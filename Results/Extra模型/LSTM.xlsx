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ych\OneDrive\桌面\金融科技與應用\Extra模型\"/>
    </mc:Choice>
  </mc:AlternateContent>
  <xr:revisionPtr revIDLastSave="0" documentId="13_ncr:1_{86C59AAA-959E-47FE-B61D-547E26E8E31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預測IC" sheetId="1" r:id="rId1"/>
    <sheet name="預測(LSTM)勝率" sheetId="2" r:id="rId2"/>
    <sheet name="預測(LSTM)累積報酬" sheetId="3" r:id="rId3"/>
    <sheet name="LSTM再投資累積報酬" sheetId="4" r:id="rId4"/>
    <sheet name="LSTM夏普比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H25" i="5" l="1"/>
  <c r="EI25" i="5" s="1"/>
  <c r="EG25" i="5"/>
  <c r="EH24" i="5"/>
  <c r="EG24" i="5"/>
  <c r="EI24" i="5" s="1"/>
  <c r="EH23" i="5"/>
  <c r="EI23" i="5" s="1"/>
  <c r="EG23" i="5"/>
  <c r="EH22" i="5"/>
  <c r="EI22" i="5" s="1"/>
  <c r="EG22" i="5"/>
  <c r="EH21" i="5"/>
  <c r="EI21" i="5" s="1"/>
  <c r="EG21" i="5"/>
  <c r="EH20" i="5"/>
  <c r="EG20" i="5"/>
  <c r="EI20" i="5" s="1"/>
  <c r="EH19" i="5"/>
  <c r="EG19" i="5"/>
  <c r="EI19" i="5" s="1"/>
  <c r="EH18" i="5"/>
  <c r="EG18" i="5"/>
  <c r="EI18" i="5" s="1"/>
  <c r="EH17" i="5"/>
  <c r="EG17" i="5"/>
  <c r="EI17" i="5" s="1"/>
  <c r="EH16" i="5"/>
  <c r="EG16" i="5"/>
  <c r="EI16" i="5" s="1"/>
  <c r="EH15" i="5"/>
  <c r="EG15" i="5"/>
  <c r="EI15" i="5" s="1"/>
  <c r="EH14" i="5"/>
  <c r="EI14" i="5" s="1"/>
  <c r="EG14" i="5"/>
  <c r="EH13" i="5"/>
  <c r="EG13" i="5"/>
  <c r="EI13" i="5" s="1"/>
  <c r="EI12" i="5"/>
  <c r="EH12" i="5"/>
  <c r="EG12" i="5"/>
  <c r="DT8" i="5"/>
  <c r="DO8" i="5"/>
  <c r="DI8" i="5"/>
  <c r="CS8" i="5"/>
  <c r="BU8" i="5"/>
  <c r="BS8" i="5"/>
  <c r="BR8" i="5"/>
  <c r="AZ8" i="5"/>
  <c r="AY8" i="5"/>
  <c r="AJ8" i="5"/>
  <c r="AD8" i="5"/>
  <c r="C8" i="5"/>
  <c r="EA7" i="5"/>
  <c r="DH7" i="5"/>
  <c r="CZ7" i="5"/>
  <c r="CY7" i="5"/>
  <c r="CL7" i="5"/>
  <c r="CJ7" i="5"/>
  <c r="CI7" i="5"/>
  <c r="CH7" i="5"/>
  <c r="CG7" i="5"/>
  <c r="CB7" i="5"/>
  <c r="BS7" i="5"/>
  <c r="BR7" i="5"/>
  <c r="BQ7" i="5"/>
  <c r="BP7" i="5"/>
  <c r="BO7" i="5"/>
  <c r="BL7" i="5"/>
  <c r="BB7" i="5"/>
  <c r="BA7" i="5"/>
  <c r="AZ7" i="5"/>
  <c r="AY7" i="5"/>
  <c r="AK7" i="5"/>
  <c r="AJ7" i="5"/>
  <c r="AH7" i="5"/>
  <c r="AD7" i="5"/>
  <c r="S7" i="5"/>
  <c r="P7" i="5"/>
  <c r="M7" i="5"/>
  <c r="EG6" i="5" a="1"/>
  <c r="EG6" i="5" s="1"/>
  <c r="EF6" i="5" a="1"/>
  <c r="EF6" i="5" s="1"/>
  <c r="EF8" i="5" s="1"/>
  <c r="EE6" i="5" a="1"/>
  <c r="EE6" i="5"/>
  <c r="EE7" i="5" s="1"/>
  <c r="ED6" i="5" a="1"/>
  <c r="ED6" i="5"/>
  <c r="ED8" i="5" s="1"/>
  <c r="EC6" i="5" a="1"/>
  <c r="EC6" i="5" s="1"/>
  <c r="EB6" i="5" a="1"/>
  <c r="EB6" i="5"/>
  <c r="EB8" i="5" s="1"/>
  <c r="EA6" i="5" a="1"/>
  <c r="EA6" i="5"/>
  <c r="EA8" i="5" s="1"/>
  <c r="DZ6" i="5" a="1"/>
  <c r="DZ6" i="5" s="1"/>
  <c r="DY6" i="5" a="1"/>
  <c r="DY6" i="5"/>
  <c r="DY7" i="5" s="1"/>
  <c r="DX6" i="5" a="1"/>
  <c r="DX6" i="5" s="1"/>
  <c r="DX8" i="5" s="1"/>
  <c r="DW6" i="5" a="1"/>
  <c r="DW6" i="5" s="1"/>
  <c r="DV6" i="5" a="1"/>
  <c r="DV6" i="5" s="1"/>
  <c r="DU6" i="5" a="1"/>
  <c r="DU6" i="5"/>
  <c r="DU8" i="5" s="1"/>
  <c r="DT6" i="5" a="1"/>
  <c r="DT6" i="5"/>
  <c r="DT7" i="5" s="1"/>
  <c r="DS6" i="5" a="1"/>
  <c r="DS6" i="5" s="1"/>
  <c r="DR6" i="5" a="1"/>
  <c r="DR6" i="5" s="1"/>
  <c r="DQ6" i="5" a="1"/>
  <c r="DQ6" i="5" s="1"/>
  <c r="DP6" i="5" a="1"/>
  <c r="DP6" i="5" s="1"/>
  <c r="DP8" i="5" s="1"/>
  <c r="DO6" i="5" a="1"/>
  <c r="DO6" i="5"/>
  <c r="DO7" i="5" s="1"/>
  <c r="DN6" i="5" a="1"/>
  <c r="DN6" i="5"/>
  <c r="DN7" i="5" s="1"/>
  <c r="DM6" i="5" a="1"/>
  <c r="DM6" i="5" s="1"/>
  <c r="DL6" i="5" a="1"/>
  <c r="DL6" i="5" s="1"/>
  <c r="DK6" i="5" a="1"/>
  <c r="DK6" i="5"/>
  <c r="DK7" i="5" s="1"/>
  <c r="DJ6" i="5" a="1"/>
  <c r="DJ6" i="5"/>
  <c r="DJ8" i="5" s="1"/>
  <c r="DI6" i="5" a="1"/>
  <c r="DI6" i="5"/>
  <c r="DI7" i="5" s="1"/>
  <c r="DH6" i="5" a="1"/>
  <c r="DH6" i="5" s="1"/>
  <c r="DH8" i="5" s="1"/>
  <c r="DG6" i="5" a="1"/>
  <c r="DG6" i="5" s="1"/>
  <c r="DF6" i="5" a="1"/>
  <c r="DF6" i="5" s="1"/>
  <c r="DE6" i="5" a="1"/>
  <c r="DE6" i="5"/>
  <c r="DE8" i="5" s="1"/>
  <c r="DD6" i="5" a="1"/>
  <c r="DD6" i="5"/>
  <c r="DD7" i="5" s="1"/>
  <c r="DC6" i="5" a="1"/>
  <c r="DC6" i="5"/>
  <c r="DC8" i="5" s="1"/>
  <c r="DB6" i="5" a="1"/>
  <c r="DB6" i="5" s="1"/>
  <c r="DA6" i="5" a="1"/>
  <c r="DA6" i="5" s="1"/>
  <c r="CZ6" i="5" a="1"/>
  <c r="CZ6" i="5" s="1"/>
  <c r="CZ8" i="5" s="1"/>
  <c r="CY6" i="5" a="1"/>
  <c r="CY6" i="5"/>
  <c r="CY8" i="5" s="1"/>
  <c r="CX6" i="5" a="1"/>
  <c r="CX6" i="5"/>
  <c r="CX8" i="5" s="1"/>
  <c r="CW6" i="5" a="1"/>
  <c r="CW6" i="5"/>
  <c r="CW8" i="5" s="1"/>
  <c r="CV6" i="5" a="1"/>
  <c r="CV6" i="5" s="1"/>
  <c r="CU6" i="5" a="1"/>
  <c r="CU6" i="5" s="1"/>
  <c r="CT6" i="5" a="1"/>
  <c r="CT6" i="5"/>
  <c r="CT8" i="5" s="1"/>
  <c r="CS6" i="5" a="1"/>
  <c r="CS6" i="5"/>
  <c r="CS7" i="5" s="1"/>
  <c r="CR6" i="5" a="1"/>
  <c r="CR6" i="5" s="1"/>
  <c r="CR8" i="5" s="1"/>
  <c r="CQ6" i="5" a="1"/>
  <c r="CQ6" i="5" s="1"/>
  <c r="CP6" i="5" a="1"/>
  <c r="CP6" i="5" s="1"/>
  <c r="CO6" i="5" a="1"/>
  <c r="CO6" i="5" s="1"/>
  <c r="CN6" i="5" a="1"/>
  <c r="CN6" i="5"/>
  <c r="CN7" i="5" s="1"/>
  <c r="CM6" i="5" a="1"/>
  <c r="CM6" i="5"/>
  <c r="CM7" i="5" s="1"/>
  <c r="CL6" i="5" a="1"/>
  <c r="CL6" i="5"/>
  <c r="CL8" i="5" s="1"/>
  <c r="CK6" i="5" a="1"/>
  <c r="CK6" i="5" s="1"/>
  <c r="CJ6" i="5" a="1"/>
  <c r="CJ6" i="5" s="1"/>
  <c r="CJ8" i="5" s="1"/>
  <c r="CI6" i="5" a="1"/>
  <c r="CI6" i="5"/>
  <c r="CI8" i="5" s="1"/>
  <c r="CH6" i="5" a="1"/>
  <c r="CH6" i="5"/>
  <c r="CH8" i="5" s="1"/>
  <c r="CG6" i="5" a="1"/>
  <c r="CG6" i="5"/>
  <c r="CG8" i="5" s="1"/>
  <c r="CF6" i="5" a="1"/>
  <c r="CF6" i="5"/>
  <c r="CF8" i="5" s="1"/>
  <c r="CE6" i="5" a="1"/>
  <c r="CE6" i="5" s="1"/>
  <c r="CD6" i="5" a="1"/>
  <c r="CD6" i="5" s="1"/>
  <c r="CC6" i="5" a="1"/>
  <c r="CC6" i="5"/>
  <c r="CC7" i="5" s="1"/>
  <c r="CB6" i="5" a="1"/>
  <c r="CB6" i="5" s="1"/>
  <c r="CB8" i="5" s="1"/>
  <c r="CA6" i="5" a="1"/>
  <c r="CA6" i="5" s="1"/>
  <c r="BZ6" i="5" a="1"/>
  <c r="BZ6" i="5" s="1"/>
  <c r="BY6" i="5" a="1"/>
  <c r="BY6" i="5" s="1"/>
  <c r="BX6" i="5" a="1"/>
  <c r="BX6" i="5" s="1"/>
  <c r="BW6" i="5" a="1"/>
  <c r="BW6" i="5"/>
  <c r="BW7" i="5" s="1"/>
  <c r="BV6" i="5" a="1"/>
  <c r="BV6" i="5"/>
  <c r="BV8" i="5" s="1"/>
  <c r="BU6" i="5" a="1"/>
  <c r="BU6" i="5"/>
  <c r="BU7" i="5" s="1"/>
  <c r="BT6" i="5" a="1"/>
  <c r="BT6" i="5" s="1"/>
  <c r="BT8" i="5" s="1"/>
  <c r="BS6" i="5" a="1"/>
  <c r="BS6" i="5"/>
  <c r="BR6" i="5" a="1"/>
  <c r="BR6" i="5"/>
  <c r="BQ6" i="5" a="1"/>
  <c r="BQ6" i="5"/>
  <c r="BQ8" i="5" s="1"/>
  <c r="BP6" i="5" a="1"/>
  <c r="BP6" i="5"/>
  <c r="BP8" i="5" s="1"/>
  <c r="BO6" i="5" a="1"/>
  <c r="BO6" i="5"/>
  <c r="BO8" i="5" s="1"/>
  <c r="BN6" i="5" a="1"/>
  <c r="BN6" i="5" s="1"/>
  <c r="BM6" i="5" a="1"/>
  <c r="BM6" i="5" s="1"/>
  <c r="BL6" i="5" a="1"/>
  <c r="BL6" i="5" s="1"/>
  <c r="BL8" i="5" s="1"/>
  <c r="BK6" i="5" a="1"/>
  <c r="BK6" i="5" s="1"/>
  <c r="BJ6" i="5" a="1"/>
  <c r="BJ6" i="5" s="1"/>
  <c r="BI6" i="5" a="1"/>
  <c r="BI6" i="5" s="1"/>
  <c r="BH6" i="5" a="1"/>
  <c r="BH6" i="5" s="1"/>
  <c r="BG6" i="5" a="1"/>
  <c r="BG6" i="5" s="1"/>
  <c r="BF6" i="5" a="1"/>
  <c r="BF6" i="5"/>
  <c r="BF8" i="5" s="1"/>
  <c r="BE6" i="5" a="1"/>
  <c r="BE6" i="5"/>
  <c r="BE7" i="5" s="1"/>
  <c r="BD6" i="5" a="1"/>
  <c r="BD6" i="5" s="1"/>
  <c r="BD8" i="5" s="1"/>
  <c r="BC6" i="5" a="1"/>
  <c r="BC6" i="5"/>
  <c r="BC7" i="5" s="1"/>
  <c r="BB6" i="5" a="1"/>
  <c r="BB6" i="5"/>
  <c r="BB8" i="5" s="1"/>
  <c r="BA6" i="5" a="1"/>
  <c r="BA6" i="5"/>
  <c r="BA8" i="5" s="1"/>
  <c r="AZ6" i="5" a="1"/>
  <c r="AZ6" i="5"/>
  <c r="AY6" i="5" a="1"/>
  <c r="AY6" i="5"/>
  <c r="AX6" i="5" a="1"/>
  <c r="AX6" i="5"/>
  <c r="AX8" i="5" s="1"/>
  <c r="AW6" i="5" a="1"/>
  <c r="AW6" i="5" s="1"/>
  <c r="AV6" i="5" a="1"/>
  <c r="AV6" i="5" s="1"/>
  <c r="AV8" i="5" s="1"/>
  <c r="AU6" i="5" a="1"/>
  <c r="AU6" i="5"/>
  <c r="AU7" i="5" s="1"/>
  <c r="AT6" i="5" a="1"/>
  <c r="AT6" i="5" s="1"/>
  <c r="AS6" i="5" a="1"/>
  <c r="AS6" i="5" s="1"/>
  <c r="AR6" i="5" a="1"/>
  <c r="AR6" i="5" s="1"/>
  <c r="AQ6" i="5" a="1"/>
  <c r="AQ6" i="5" s="1"/>
  <c r="AP6" i="5" a="1"/>
  <c r="AP6" i="5" s="1"/>
  <c r="AO6" i="5" a="1"/>
  <c r="AO6" i="5"/>
  <c r="AO8" i="5" s="1"/>
  <c r="AN6" i="5" a="1"/>
  <c r="AN6" i="5" s="1"/>
  <c r="AN8" i="5" s="1"/>
  <c r="AM6" i="5" a="1"/>
  <c r="AM6" i="5" s="1"/>
  <c r="AL6" i="5" a="1"/>
  <c r="AL6" i="5"/>
  <c r="AL8" i="5" s="1"/>
  <c r="AK6" i="5" a="1"/>
  <c r="AK6" i="5"/>
  <c r="AK8" i="5" s="1"/>
  <c r="AJ6" i="5" a="1"/>
  <c r="AJ6" i="5"/>
  <c r="AI6" i="5" a="1"/>
  <c r="AI6" i="5"/>
  <c r="AI8" i="5" s="1"/>
  <c r="AH6" i="5" a="1"/>
  <c r="AH6" i="5"/>
  <c r="AH8" i="5" s="1"/>
  <c r="AG6" i="5" a="1"/>
  <c r="AG6" i="5"/>
  <c r="AG8" i="5" s="1"/>
  <c r="AF6" i="5" a="1"/>
  <c r="AF6" i="5" s="1"/>
  <c r="AF8" i="5" s="1"/>
  <c r="AE6" i="5" a="1"/>
  <c r="AE6" i="5"/>
  <c r="AE7" i="5" s="1"/>
  <c r="AD6" i="5" a="1"/>
  <c r="AD6" i="5"/>
  <c r="AC6" i="5" a="1"/>
  <c r="AC6" i="5" s="1"/>
  <c r="AB6" i="5" a="1"/>
  <c r="AB6" i="5" s="1"/>
  <c r="AA6" i="5" a="1"/>
  <c r="AA6" i="5" s="1"/>
  <c r="Z6" i="5" a="1"/>
  <c r="Z6" i="5" s="1"/>
  <c r="Y6" i="5" a="1"/>
  <c r="Y6" i="5" s="1"/>
  <c r="X6" i="5" a="1"/>
  <c r="X6" i="5" s="1"/>
  <c r="X8" i="5" s="1"/>
  <c r="W6" i="5" a="1"/>
  <c r="W6" i="5" s="1"/>
  <c r="V6" i="5" a="1"/>
  <c r="V6" i="5" s="1"/>
  <c r="U6" i="5" a="1"/>
  <c r="U6" i="5"/>
  <c r="U8" i="5" s="1"/>
  <c r="T6" i="5" a="1"/>
  <c r="T6" i="5"/>
  <c r="T8" i="5" s="1"/>
  <c r="S6" i="5" a="1"/>
  <c r="S6" i="5"/>
  <c r="S8" i="5" s="1"/>
  <c r="R6" i="5" a="1"/>
  <c r="R6" i="5"/>
  <c r="R8" i="5" s="1"/>
  <c r="Q6" i="5" a="1"/>
  <c r="Q6" i="5"/>
  <c r="Q8" i="5" s="1"/>
  <c r="P6" i="5" a="1"/>
  <c r="P6" i="5" s="1"/>
  <c r="P8" i="5" s="1"/>
  <c r="O6" i="5" a="1"/>
  <c r="O6" i="5"/>
  <c r="O7" i="5" s="1"/>
  <c r="N6" i="5" a="1"/>
  <c r="N6" i="5"/>
  <c r="N8" i="5" s="1"/>
  <c r="M6" i="5" a="1"/>
  <c r="M6" i="5"/>
  <c r="M8" i="5" s="1"/>
  <c r="L6" i="5" a="1"/>
  <c r="L6" i="5" s="1"/>
  <c r="K6" i="5" a="1"/>
  <c r="K6" i="5" s="1"/>
  <c r="J6" i="5" a="1"/>
  <c r="J6" i="5" s="1"/>
  <c r="I6" i="5" a="1"/>
  <c r="I6" i="5" s="1"/>
  <c r="H6" i="5" a="1"/>
  <c r="H6" i="5" s="1"/>
  <c r="H8" i="5" s="1"/>
  <c r="G6" i="5" a="1"/>
  <c r="G6" i="5"/>
  <c r="G7" i="5" s="1"/>
  <c r="F6" i="5" a="1"/>
  <c r="F6" i="5" s="1"/>
  <c r="E6" i="5" a="1"/>
  <c r="E6" i="5" s="1"/>
  <c r="D6" i="5" a="1"/>
  <c r="D6" i="5"/>
  <c r="D7" i="5" s="1"/>
  <c r="C6" i="5" a="1"/>
  <c r="C6" i="5"/>
  <c r="C7" i="5" s="1"/>
  <c r="EF24" i="4" a="1"/>
  <c r="EF24" i="4" s="1"/>
  <c r="EE24" i="4" a="1"/>
  <c r="EE24" i="4" s="1"/>
  <c r="ED24" i="4" a="1"/>
  <c r="ED24" i="4" s="1"/>
  <c r="EC24" i="4" a="1"/>
  <c r="EC24" i="4" s="1"/>
  <c r="EB24" i="4" a="1"/>
  <c r="EB24" i="4" s="1"/>
  <c r="EA24" i="4" a="1"/>
  <c r="EA24" i="4" s="1"/>
  <c r="DZ24" i="4" a="1"/>
  <c r="DZ24" i="4" s="1"/>
  <c r="DY24" i="4" a="1"/>
  <c r="DY24" i="4" s="1"/>
  <c r="DX24" i="4" a="1"/>
  <c r="DX24" i="4"/>
  <c r="DW24" i="4" a="1"/>
  <c r="DW24" i="4"/>
  <c r="DV24" i="4" a="1"/>
  <c r="DV24" i="4" s="1"/>
  <c r="DU24" i="4" a="1"/>
  <c r="DU24" i="4"/>
  <c r="DT24" i="4" a="1"/>
  <c r="DT24" i="4"/>
  <c r="DS24" i="4" a="1"/>
  <c r="DS24" i="4"/>
  <c r="DR24" i="4" a="1"/>
  <c r="DR24" i="4"/>
  <c r="DQ24" i="4" a="1"/>
  <c r="DQ24" i="4"/>
  <c r="DP24" i="4" a="1"/>
  <c r="DP24" i="4"/>
  <c r="DO24" i="4" a="1"/>
  <c r="DO24" i="4"/>
  <c r="DN24" i="4" a="1"/>
  <c r="DN24" i="4" s="1"/>
  <c r="DM24" i="4" a="1"/>
  <c r="DM24" i="4"/>
  <c r="DL24" i="4" a="1"/>
  <c r="DL24" i="4" s="1"/>
  <c r="DK24" i="4" a="1"/>
  <c r="DK24" i="4" s="1"/>
  <c r="DJ24" i="4" a="1"/>
  <c r="DJ24" i="4" s="1"/>
  <c r="DI24" i="4" a="1"/>
  <c r="DI24" i="4" s="1"/>
  <c r="DH24" i="4" a="1"/>
  <c r="DH24" i="4" s="1"/>
  <c r="DG24" i="4" a="1"/>
  <c r="DG24" i="4" s="1"/>
  <c r="DF24" i="4" a="1"/>
  <c r="DF24" i="4" s="1"/>
  <c r="DE24" i="4" a="1"/>
  <c r="DE24" i="4" s="1"/>
  <c r="DD24" i="4" a="1"/>
  <c r="DD24" i="4"/>
  <c r="DC24" i="4" a="1"/>
  <c r="DC24" i="4"/>
  <c r="DB24" i="4" a="1"/>
  <c r="DB24" i="4"/>
  <c r="DA24" i="4" a="1"/>
  <c r="DA24" i="4"/>
  <c r="CZ24" i="4" a="1"/>
  <c r="CZ24" i="4"/>
  <c r="CY24" i="4" a="1"/>
  <c r="CY24" i="4"/>
  <c r="CX24" i="4" a="1"/>
  <c r="CX24" i="4" s="1"/>
  <c r="CW24" i="4" a="1"/>
  <c r="CW24" i="4" s="1"/>
  <c r="CV24" i="4" a="1"/>
  <c r="CV24" i="4" s="1"/>
  <c r="CU24" i="4" a="1"/>
  <c r="CU24" i="4" s="1"/>
  <c r="CT24" i="4" a="1"/>
  <c r="CT24" i="4" s="1"/>
  <c r="CS24" i="4" a="1"/>
  <c r="CS24" i="4" s="1"/>
  <c r="CR24" i="4" a="1"/>
  <c r="CR24" i="4" s="1"/>
  <c r="CQ24" i="4" a="1"/>
  <c r="CQ24" i="4" s="1"/>
  <c r="CP24" i="4" a="1"/>
  <c r="CP24" i="4" s="1"/>
  <c r="CO24" i="4" a="1"/>
  <c r="CO24" i="4" s="1"/>
  <c r="CN24" i="4" a="1"/>
  <c r="CN24" i="4"/>
  <c r="CM24" i="4" a="1"/>
  <c r="CM24" i="4" s="1"/>
  <c r="CL24" i="4" a="1"/>
  <c r="CL24" i="4"/>
  <c r="CK24" i="4" a="1"/>
  <c r="CK24" i="4"/>
  <c r="CJ24" i="4" a="1"/>
  <c r="CJ24" i="4"/>
  <c r="CI24" i="4" a="1"/>
  <c r="CI24" i="4"/>
  <c r="CH24" i="4" a="1"/>
  <c r="CH24" i="4" s="1"/>
  <c r="CG24" i="4" a="1"/>
  <c r="CG24" i="4"/>
  <c r="CF24" i="4" a="1"/>
  <c r="CF24" i="4" s="1"/>
  <c r="CE24" i="4" a="1"/>
  <c r="CE24" i="4" s="1"/>
  <c r="CD24" i="4" a="1"/>
  <c r="CD24" i="4" s="1"/>
  <c r="CC24" i="4" a="1"/>
  <c r="CC24" i="4" s="1"/>
  <c r="CB24" i="4" a="1"/>
  <c r="CB24" i="4" s="1"/>
  <c r="CA24" i="4" a="1"/>
  <c r="CA24" i="4" s="1"/>
  <c r="BZ24" i="4" a="1"/>
  <c r="BZ24" i="4" s="1"/>
  <c r="BY24" i="4" a="1"/>
  <c r="BY24" i="4"/>
  <c r="BX24" i="4" a="1"/>
  <c r="BX24" i="4" s="1"/>
  <c r="BW24" i="4" a="1"/>
  <c r="BW24" i="4"/>
  <c r="BV24" i="4" a="1"/>
  <c r="BV24" i="4"/>
  <c r="BU24" i="4" a="1"/>
  <c r="BU24" i="4"/>
  <c r="BT24" i="4" a="1"/>
  <c r="BT24" i="4"/>
  <c r="BS24" i="4" a="1"/>
  <c r="BS24" i="4"/>
  <c r="BR24" i="4" a="1"/>
  <c r="BR24" i="4" s="1"/>
  <c r="BQ24" i="4" a="1"/>
  <c r="BQ24" i="4" s="1"/>
  <c r="BP24" i="4" a="1"/>
  <c r="BP24" i="4"/>
  <c r="BO24" i="4" a="1"/>
  <c r="BO24" i="4" s="1"/>
  <c r="BN24" i="4" a="1"/>
  <c r="BN24" i="4"/>
  <c r="BM24" i="4" a="1"/>
  <c r="BM24" i="4" s="1"/>
  <c r="BL24" i="4" a="1"/>
  <c r="BL24" i="4" s="1"/>
  <c r="BK24" i="4" a="1"/>
  <c r="BK24" i="4" s="1"/>
  <c r="BJ24" i="4" a="1"/>
  <c r="BJ24" i="4" s="1"/>
  <c r="BI24" i="4" a="1"/>
  <c r="BI24" i="4"/>
  <c r="BH24" i="4" a="1"/>
  <c r="BH24" i="4"/>
  <c r="BG24" i="4" a="1"/>
  <c r="BG24" i="4" s="1"/>
  <c r="BF24" i="4" a="1"/>
  <c r="BF24" i="4" s="1"/>
  <c r="BE24" i="4" a="1"/>
  <c r="BE24" i="4"/>
  <c r="BD24" i="4" a="1"/>
  <c r="BD24" i="4"/>
  <c r="BC24" i="4" a="1"/>
  <c r="BC24" i="4"/>
  <c r="BB24" i="4" a="1"/>
  <c r="BB24" i="4" s="1"/>
  <c r="BA24" i="4" a="1"/>
  <c r="BA24" i="4" s="1"/>
  <c r="AZ24" i="4" a="1"/>
  <c r="AZ24" i="4" s="1"/>
  <c r="AY24" i="4" a="1"/>
  <c r="AY24" i="4"/>
  <c r="AX24" i="4" a="1"/>
  <c r="AX24" i="4"/>
  <c r="AW24" i="4" a="1"/>
  <c r="AW24" i="4"/>
  <c r="AV24" i="4" a="1"/>
  <c r="AV24" i="4" s="1"/>
  <c r="AU24" i="4" a="1"/>
  <c r="AU24" i="4" s="1"/>
  <c r="AT24" i="4" a="1"/>
  <c r="AT24" i="4" s="1"/>
  <c r="AS24" i="4" a="1"/>
  <c r="AS24" i="4"/>
  <c r="AR24" i="4" a="1"/>
  <c r="AR24" i="4"/>
  <c r="AQ24" i="4" a="1"/>
  <c r="AQ24" i="4"/>
  <c r="AP24" i="4" a="1"/>
  <c r="AP24" i="4" s="1"/>
  <c r="AO24" i="4" a="1"/>
  <c r="AO24" i="4" s="1"/>
  <c r="AN24" i="4" a="1"/>
  <c r="AN24" i="4" s="1"/>
  <c r="AM24" i="4" a="1"/>
  <c r="AM24" i="4"/>
  <c r="AL24" i="4" a="1"/>
  <c r="AL24" i="4" s="1"/>
  <c r="AK24" i="4" a="1"/>
  <c r="AK24" i="4" s="1"/>
  <c r="AJ24" i="4" a="1"/>
  <c r="AJ24" i="4" s="1"/>
  <c r="AI24" i="4" a="1"/>
  <c r="AI24" i="4" s="1"/>
  <c r="AH24" i="4" a="1"/>
  <c r="AH24" i="4" s="1"/>
  <c r="AG24" i="4" a="1"/>
  <c r="AG24" i="4"/>
  <c r="AF24" i="4" a="1"/>
  <c r="AF24" i="4" s="1"/>
  <c r="AE24" i="4" a="1"/>
  <c r="AE24" i="4" s="1"/>
  <c r="AD24" i="4" a="1"/>
  <c r="AD24" i="4" s="1"/>
  <c r="AC24" i="4" a="1"/>
  <c r="AC24" i="4"/>
  <c r="AB24" i="4" a="1"/>
  <c r="AB24" i="4"/>
  <c r="AA24" i="4" a="1"/>
  <c r="AA24" i="4"/>
  <c r="Z24" i="4" a="1"/>
  <c r="Z24" i="4"/>
  <c r="Y24" i="4" a="1"/>
  <c r="Y24" i="4"/>
  <c r="X24" i="4" a="1"/>
  <c r="X24" i="4" s="1"/>
  <c r="W24" i="4" a="1"/>
  <c r="W24" i="4" s="1"/>
  <c r="V24" i="4" a="1"/>
  <c r="V24" i="4" s="1"/>
  <c r="U24" i="4" a="1"/>
  <c r="U24" i="4" s="1"/>
  <c r="T24" i="4" a="1"/>
  <c r="T24" i="4" s="1"/>
  <c r="S24" i="4" a="1"/>
  <c r="S24" i="4" s="1"/>
  <c r="R24" i="4" a="1"/>
  <c r="R24" i="4" s="1"/>
  <c r="Q24" i="4" a="1"/>
  <c r="Q24" i="4" s="1"/>
  <c r="P24" i="4" a="1"/>
  <c r="P24" i="4"/>
  <c r="O24" i="4" a="1"/>
  <c r="O24" i="4" s="1"/>
  <c r="N24" i="4" a="1"/>
  <c r="N24" i="4" s="1"/>
  <c r="M24" i="4" a="1"/>
  <c r="M24" i="4"/>
  <c r="L24" i="4" a="1"/>
  <c r="L24" i="4"/>
  <c r="K24" i="4" a="1"/>
  <c r="K24" i="4"/>
  <c r="J24" i="4" a="1"/>
  <c r="J24" i="4"/>
  <c r="I24" i="4" a="1"/>
  <c r="I24" i="4"/>
  <c r="H24" i="4" a="1"/>
  <c r="H24" i="4" s="1"/>
  <c r="G24" i="4" a="1"/>
  <c r="G24" i="4"/>
  <c r="F24" i="4" a="1"/>
  <c r="F24" i="4" s="1"/>
  <c r="E24" i="4" a="1"/>
  <c r="E24" i="4" s="1"/>
  <c r="D24" i="4" a="1"/>
  <c r="D24" i="4" s="1"/>
  <c r="C24" i="4" a="1"/>
  <c r="C24" i="4" s="1"/>
  <c r="EF23" i="4" a="1"/>
  <c r="EF23" i="4" s="1"/>
  <c r="EE23" i="4" a="1"/>
  <c r="EE23" i="4" s="1"/>
  <c r="ED23" i="4" a="1"/>
  <c r="ED23" i="4" s="1"/>
  <c r="EC23" i="4" a="1"/>
  <c r="EC23" i="4" s="1"/>
  <c r="EB23" i="4" a="1"/>
  <c r="EB23" i="4" s="1"/>
  <c r="EA23" i="4" a="1"/>
  <c r="EA23" i="4" s="1"/>
  <c r="DZ23" i="4" a="1"/>
  <c r="DZ23" i="4"/>
  <c r="DY23" i="4" a="1"/>
  <c r="DY23" i="4"/>
  <c r="DX23" i="4" a="1"/>
  <c r="DX23" i="4"/>
  <c r="DW23" i="4" a="1"/>
  <c r="DW23" i="4"/>
  <c r="DV23" i="4" a="1"/>
  <c r="DV23" i="4"/>
  <c r="DU23" i="4" a="1"/>
  <c r="DU23" i="4"/>
  <c r="DT23" i="4" a="1"/>
  <c r="DT23" i="4" s="1"/>
  <c r="DS23" i="4" a="1"/>
  <c r="DS23" i="4" s="1"/>
  <c r="DR23" i="4" a="1"/>
  <c r="DR23" i="4" s="1"/>
  <c r="DQ23" i="4" a="1"/>
  <c r="DQ23" i="4" s="1"/>
  <c r="DP23" i="4" a="1"/>
  <c r="DP23" i="4" s="1"/>
  <c r="DO23" i="4" a="1"/>
  <c r="DO23" i="4" s="1"/>
  <c r="DN23" i="4" a="1"/>
  <c r="DN23" i="4" s="1"/>
  <c r="DM23" i="4" a="1"/>
  <c r="DM23" i="4" s="1"/>
  <c r="DL23" i="4" a="1"/>
  <c r="DL23" i="4" s="1"/>
  <c r="DK23" i="4" a="1"/>
  <c r="DK23" i="4" s="1"/>
  <c r="DJ23" i="4" a="1"/>
  <c r="DJ23" i="4" s="1"/>
  <c r="DI23" i="4" a="1"/>
  <c r="DI23" i="4"/>
  <c r="DH23" i="4" a="1"/>
  <c r="DH23" i="4"/>
  <c r="DG23" i="4" a="1"/>
  <c r="DG23" i="4"/>
  <c r="DF23" i="4" a="1"/>
  <c r="DF23" i="4"/>
  <c r="DE23" i="4" a="1"/>
  <c r="DE23" i="4"/>
  <c r="DD23" i="4" a="1"/>
  <c r="DD23" i="4" s="1"/>
  <c r="DC23" i="4" a="1"/>
  <c r="DC23" i="4" s="1"/>
  <c r="DB23" i="4" a="1"/>
  <c r="DB23" i="4"/>
  <c r="DA23" i="4" a="1"/>
  <c r="DA23" i="4" s="1"/>
  <c r="CZ23" i="4" a="1"/>
  <c r="CZ23" i="4" s="1"/>
  <c r="CY23" i="4" a="1"/>
  <c r="CY23" i="4" s="1"/>
  <c r="CX23" i="4" a="1"/>
  <c r="CX23" i="4" s="1"/>
  <c r="CW23" i="4" a="1"/>
  <c r="CW23" i="4" s="1"/>
  <c r="CV23" i="4" a="1"/>
  <c r="CV23" i="4" s="1"/>
  <c r="CU23" i="4" a="1"/>
  <c r="CU23" i="4"/>
  <c r="CT23" i="4" a="1"/>
  <c r="CT23" i="4" s="1"/>
  <c r="CS23" i="4" a="1"/>
  <c r="CS23" i="4" s="1"/>
  <c r="CR23" i="4" a="1"/>
  <c r="CR23" i="4"/>
  <c r="CQ23" i="4" a="1"/>
  <c r="CQ23" i="4"/>
  <c r="CP23" i="4" a="1"/>
  <c r="CP23" i="4"/>
  <c r="CO23" i="4" a="1"/>
  <c r="CO23" i="4"/>
  <c r="CN23" i="4" a="1"/>
  <c r="CN23" i="4" s="1"/>
  <c r="CM23" i="4" a="1"/>
  <c r="CM23" i="4"/>
  <c r="CL23" i="4" a="1"/>
  <c r="CL23" i="4"/>
  <c r="CK23" i="4" a="1"/>
  <c r="CK23" i="4"/>
  <c r="CJ23" i="4" a="1"/>
  <c r="CJ23" i="4" s="1"/>
  <c r="CI23" i="4" a="1"/>
  <c r="CI23" i="4" s="1"/>
  <c r="CH23" i="4" a="1"/>
  <c r="CH23" i="4" s="1"/>
  <c r="CG23" i="4" a="1"/>
  <c r="CG23" i="4" s="1"/>
  <c r="CF23" i="4" a="1"/>
  <c r="CF23" i="4" s="1"/>
  <c r="CE23" i="4" a="1"/>
  <c r="CE23" i="4"/>
  <c r="CD23" i="4" a="1"/>
  <c r="CD23" i="4"/>
  <c r="CC23" i="4" a="1"/>
  <c r="CC23" i="4" s="1"/>
  <c r="CB23" i="4" a="1"/>
  <c r="CB23" i="4"/>
  <c r="CA23" i="4" a="1"/>
  <c r="CA23" i="4"/>
  <c r="BZ23" i="4" a="1"/>
  <c r="BZ23" i="4"/>
  <c r="BY23" i="4" a="1"/>
  <c r="BY23" i="4"/>
  <c r="BX23" i="4" a="1"/>
  <c r="BX23" i="4" s="1"/>
  <c r="BW23" i="4" a="1"/>
  <c r="BW23" i="4" s="1"/>
  <c r="BV23" i="4" a="1"/>
  <c r="BV23" i="4" s="1"/>
  <c r="BU23" i="4" a="1"/>
  <c r="BU23" i="4"/>
  <c r="BT23" i="4" a="1"/>
  <c r="BT23" i="4" s="1"/>
  <c r="BS23" i="4" a="1"/>
  <c r="BS23" i="4" s="1"/>
  <c r="BR23" i="4" a="1"/>
  <c r="BR23" i="4" s="1"/>
  <c r="BQ23" i="4" a="1"/>
  <c r="BQ23" i="4" s="1"/>
  <c r="BP23" i="4" a="1"/>
  <c r="BP23" i="4" s="1"/>
  <c r="BO23" i="4" a="1"/>
  <c r="BO23" i="4"/>
  <c r="BN23" i="4" a="1"/>
  <c r="BN23" i="4"/>
  <c r="BM23" i="4" a="1"/>
  <c r="BM23" i="4"/>
  <c r="BL23" i="4" a="1"/>
  <c r="BL23" i="4" s="1"/>
  <c r="BK23" i="4" a="1"/>
  <c r="BK23" i="4"/>
  <c r="BJ23" i="4" a="1"/>
  <c r="BJ23" i="4"/>
  <c r="BI23" i="4" a="1"/>
  <c r="BI23" i="4"/>
  <c r="BH23" i="4" a="1"/>
  <c r="BH23" i="4" s="1"/>
  <c r="BG23" i="4" a="1"/>
  <c r="BG23" i="4" s="1"/>
  <c r="BF23" i="4" a="1"/>
  <c r="BF23" i="4" s="1"/>
  <c r="BE23" i="4" a="1"/>
  <c r="BE23" i="4"/>
  <c r="BD23" i="4" a="1"/>
  <c r="BD23" i="4" s="1"/>
  <c r="BC23" i="4" a="1"/>
  <c r="BC23" i="4" s="1"/>
  <c r="BB23" i="4" a="1"/>
  <c r="BB23" i="4" s="1"/>
  <c r="BA23" i="4" a="1"/>
  <c r="BA23" i="4" s="1"/>
  <c r="AZ23" i="4" a="1"/>
  <c r="AZ23" i="4" s="1"/>
  <c r="AY23" i="4" a="1"/>
  <c r="AY23" i="4"/>
  <c r="AX23" i="4" a="1"/>
  <c r="AX23" i="4"/>
  <c r="AW23" i="4" a="1"/>
  <c r="AW23" i="4"/>
  <c r="AV23" i="4" a="1"/>
  <c r="AV23" i="4"/>
  <c r="AU23" i="4" a="1"/>
  <c r="AU23" i="4" s="1"/>
  <c r="AT23" i="4" a="1"/>
  <c r="AT23" i="4"/>
  <c r="AS23" i="4" a="1"/>
  <c r="AS23" i="4"/>
  <c r="AR23" i="4" a="1"/>
  <c r="AR23" i="4" s="1"/>
  <c r="AQ23" i="4" a="1"/>
  <c r="AQ23" i="4" s="1"/>
  <c r="AP23" i="4" a="1"/>
  <c r="AP23" i="4" s="1"/>
  <c r="AO23" i="4" a="1"/>
  <c r="AO23" i="4" s="1"/>
  <c r="AN23" i="4" a="1"/>
  <c r="AN23" i="4"/>
  <c r="AM23" i="4" a="1"/>
  <c r="AM23" i="4" s="1"/>
  <c r="AL23" i="4" a="1"/>
  <c r="AL23" i="4"/>
  <c r="AK23" i="4" a="1"/>
  <c r="AK23" i="4" s="1"/>
  <c r="AJ23" i="4" a="1"/>
  <c r="AJ23" i="4" s="1"/>
  <c r="AI23" i="4" a="1"/>
  <c r="AI23" i="4"/>
  <c r="AH23" i="4" a="1"/>
  <c r="AH23" i="4"/>
  <c r="AG23" i="4" a="1"/>
  <c r="AG23" i="4"/>
  <c r="AF23" i="4" a="1"/>
  <c r="AF23" i="4"/>
  <c r="AE23" i="4" a="1"/>
  <c r="AE23" i="4" s="1"/>
  <c r="AD23" i="4" a="1"/>
  <c r="AD23" i="4" s="1"/>
  <c r="AC23" i="4" a="1"/>
  <c r="AC23" i="4" s="1"/>
  <c r="AB23" i="4" a="1"/>
  <c r="AB23" i="4" s="1"/>
  <c r="AA23" i="4" a="1"/>
  <c r="AA23" i="4" s="1"/>
  <c r="Z23" i="4" a="1"/>
  <c r="Z23" i="4" s="1"/>
  <c r="Y23" i="4" a="1"/>
  <c r="Y23" i="4" s="1"/>
  <c r="X23" i="4" a="1"/>
  <c r="X23" i="4" s="1"/>
  <c r="W23" i="4" a="1"/>
  <c r="W23" i="4" s="1"/>
  <c r="V23" i="4" a="1"/>
  <c r="V23" i="4"/>
  <c r="U23" i="4" a="1"/>
  <c r="U23" i="4" s="1"/>
  <c r="T23" i="4" a="1"/>
  <c r="T23" i="4" s="1"/>
  <c r="S23" i="4" a="1"/>
  <c r="S23" i="4"/>
  <c r="R23" i="4" a="1"/>
  <c r="R23" i="4"/>
  <c r="Q23" i="4" a="1"/>
  <c r="Q23" i="4"/>
  <c r="P23" i="4" a="1"/>
  <c r="P23" i="4"/>
  <c r="O23" i="4" a="1"/>
  <c r="O23" i="4"/>
  <c r="N23" i="4" a="1"/>
  <c r="N23" i="4"/>
  <c r="M23" i="4" a="1"/>
  <c r="M23" i="4"/>
  <c r="L23" i="4" a="1"/>
  <c r="L23" i="4" s="1"/>
  <c r="K23" i="4" a="1"/>
  <c r="K23" i="4" s="1"/>
  <c r="J23" i="4" a="1"/>
  <c r="J23" i="4" s="1"/>
  <c r="I23" i="4" a="1"/>
  <c r="I23" i="4" s="1"/>
  <c r="H23" i="4" a="1"/>
  <c r="H23" i="4" s="1"/>
  <c r="G23" i="4" a="1"/>
  <c r="G23" i="4" s="1"/>
  <c r="F23" i="4" a="1"/>
  <c r="F23" i="4" s="1"/>
  <c r="E23" i="4" a="1"/>
  <c r="E23" i="4"/>
  <c r="D23" i="4" a="1"/>
  <c r="D23" i="4" s="1"/>
  <c r="C23" i="4" a="1"/>
  <c r="C23" i="4" s="1"/>
  <c r="EF22" i="4" a="1"/>
  <c r="EF22" i="4"/>
  <c r="EE22" i="4" a="1"/>
  <c r="EE22" i="4"/>
  <c r="ED22" i="4" a="1"/>
  <c r="ED22" i="4"/>
  <c r="EC22" i="4" a="1"/>
  <c r="EC22" i="4"/>
  <c r="EB22" i="4" a="1"/>
  <c r="EB22" i="4"/>
  <c r="EA22" i="4" a="1"/>
  <c r="EA22" i="4" s="1"/>
  <c r="DZ22" i="4" a="1"/>
  <c r="DZ22" i="4" s="1"/>
  <c r="DY22" i="4" a="1"/>
  <c r="DY22" i="4" s="1"/>
  <c r="DX22" i="4" a="1"/>
  <c r="DX22" i="4" s="1"/>
  <c r="DW22" i="4" a="1"/>
  <c r="DW22" i="4" s="1"/>
  <c r="DV22" i="4" a="1"/>
  <c r="DV22" i="4" s="1"/>
  <c r="DU22" i="4" a="1"/>
  <c r="DU22" i="4" s="1"/>
  <c r="DT22" i="4" a="1"/>
  <c r="DT22" i="4" s="1"/>
  <c r="DS22" i="4" a="1"/>
  <c r="DS22" i="4"/>
  <c r="DR22" i="4" a="1"/>
  <c r="DR22" i="4" s="1"/>
  <c r="DQ22" i="4" a="1"/>
  <c r="DQ22" i="4"/>
  <c r="DP22" i="4" a="1"/>
  <c r="DP22" i="4" s="1"/>
  <c r="DO22" i="4" a="1"/>
  <c r="DO22" i="4"/>
  <c r="DN22" i="4" a="1"/>
  <c r="DN22" i="4"/>
  <c r="DM22" i="4" a="1"/>
  <c r="DM22" i="4"/>
  <c r="DL22" i="4" a="1"/>
  <c r="DL22" i="4"/>
  <c r="DK22" i="4" a="1"/>
  <c r="DK22" i="4"/>
  <c r="DJ22" i="4" a="1"/>
  <c r="DJ22" i="4" s="1"/>
  <c r="DI22" i="4" a="1"/>
  <c r="DI22" i="4"/>
  <c r="DH22" i="4" a="1"/>
  <c r="DH22" i="4" s="1"/>
  <c r="DG22" i="4" a="1"/>
  <c r="DG22" i="4" s="1"/>
  <c r="DF22" i="4" a="1"/>
  <c r="DF22" i="4" s="1"/>
  <c r="DE22" i="4" a="1"/>
  <c r="DE22" i="4" s="1"/>
  <c r="DD22" i="4" a="1"/>
  <c r="DD22" i="4" s="1"/>
  <c r="DC22" i="4" a="1"/>
  <c r="DC22" i="4" s="1"/>
  <c r="DB22" i="4" a="1"/>
  <c r="DB22" i="4" s="1"/>
  <c r="DA22" i="4" a="1"/>
  <c r="DA22" i="4"/>
  <c r="CZ22" i="4" a="1"/>
  <c r="CZ22" i="4"/>
  <c r="CY22" i="4" a="1"/>
  <c r="CY22" i="4"/>
  <c r="CX22" i="4" a="1"/>
  <c r="CX22" i="4"/>
  <c r="CW22" i="4" a="1"/>
  <c r="CW22" i="4"/>
  <c r="CV22" i="4" a="1"/>
  <c r="CV22" i="4"/>
  <c r="CU22" i="4" a="1"/>
  <c r="CU22" i="4"/>
  <c r="CT22" i="4" a="1"/>
  <c r="CT22" i="4" s="1"/>
  <c r="CS22" i="4" a="1"/>
  <c r="CS22" i="4"/>
  <c r="CR22" i="4" a="1"/>
  <c r="CR22" i="4" s="1"/>
  <c r="CQ22" i="4" a="1"/>
  <c r="CQ22" i="4"/>
  <c r="CP22" i="4" a="1"/>
  <c r="CP22" i="4" s="1"/>
  <c r="CO22" i="4" a="1"/>
  <c r="CO22" i="4" s="1"/>
  <c r="CN22" i="4" a="1"/>
  <c r="CN22" i="4" s="1"/>
  <c r="CM22" i="4" a="1"/>
  <c r="CM22" i="4" s="1"/>
  <c r="CL22" i="4" a="1"/>
  <c r="CL22" i="4" s="1"/>
  <c r="CK22" i="4" a="1"/>
  <c r="CK22" i="4"/>
  <c r="CJ22" i="4" a="1"/>
  <c r="CJ22" i="4" s="1"/>
  <c r="CI22" i="4" a="1"/>
  <c r="CI22" i="4" s="1"/>
  <c r="CH22" i="4" a="1"/>
  <c r="CH22" i="4" s="1"/>
  <c r="CG22" i="4" a="1"/>
  <c r="CG22" i="4"/>
  <c r="CF22" i="4" a="1"/>
  <c r="CF22" i="4"/>
  <c r="CE22" i="4" a="1"/>
  <c r="CE22" i="4"/>
  <c r="CD22" i="4" a="1"/>
  <c r="CD22" i="4" s="1"/>
  <c r="CC22" i="4" a="1"/>
  <c r="CC22" i="4" s="1"/>
  <c r="CB22" i="4" a="1"/>
  <c r="CB22" i="4" s="1"/>
  <c r="CA22" i="4" a="1"/>
  <c r="CA22" i="4" s="1"/>
  <c r="BZ22" i="4" a="1"/>
  <c r="BZ22" i="4" s="1"/>
  <c r="BY22" i="4" a="1"/>
  <c r="BY22" i="4" s="1"/>
  <c r="BX22" i="4" a="1"/>
  <c r="BX22" i="4" s="1"/>
  <c r="BW22" i="4" a="1"/>
  <c r="BW22" i="4" s="1"/>
  <c r="BV22" i="4" a="1"/>
  <c r="BV22" i="4" s="1"/>
  <c r="BU22" i="4" a="1"/>
  <c r="BU22" i="4"/>
  <c r="BT22" i="4" a="1"/>
  <c r="BT22" i="4"/>
  <c r="BS22" i="4" a="1"/>
  <c r="BS22" i="4" s="1"/>
  <c r="BR22" i="4" a="1"/>
  <c r="BR22" i="4" s="1"/>
  <c r="BQ22" i="4" a="1"/>
  <c r="BQ22" i="4" s="1"/>
  <c r="BP22" i="4" a="1"/>
  <c r="BP22" i="4"/>
  <c r="BO22" i="4" a="1"/>
  <c r="BO22" i="4"/>
  <c r="BN22" i="4" a="1"/>
  <c r="BN22" i="4" s="1"/>
  <c r="BM22" i="4" a="1"/>
  <c r="BM22" i="4" s="1"/>
  <c r="BL22" i="4" a="1"/>
  <c r="BL22" i="4" s="1"/>
  <c r="BK22" i="4" a="1"/>
  <c r="BK22" i="4" s="1"/>
  <c r="BJ22" i="4" a="1"/>
  <c r="BJ22" i="4"/>
  <c r="BI22" i="4" a="1"/>
  <c r="BI22" i="4"/>
  <c r="BH22" i="4" a="1"/>
  <c r="BH22" i="4" s="1"/>
  <c r="BG22" i="4" a="1"/>
  <c r="BG22" i="4" s="1"/>
  <c r="BF22" i="4" a="1"/>
  <c r="BF22" i="4" s="1"/>
  <c r="BE22" i="4" a="1"/>
  <c r="BE22" i="4"/>
  <c r="BD22" i="4" a="1"/>
  <c r="BD22" i="4"/>
  <c r="BC22" i="4" a="1"/>
  <c r="BC22" i="4"/>
  <c r="BB22" i="4" a="1"/>
  <c r="BB22" i="4" s="1"/>
  <c r="BA22" i="4" a="1"/>
  <c r="BA22" i="4" s="1"/>
  <c r="AZ22" i="4" a="1"/>
  <c r="AZ22" i="4" s="1"/>
  <c r="AY22" i="4" a="1"/>
  <c r="AY22" i="4"/>
  <c r="AX22" i="4" a="1"/>
  <c r="AX22" i="4" s="1"/>
  <c r="AW22" i="4" a="1"/>
  <c r="AW22" i="4" s="1"/>
  <c r="AV22" i="4" a="1"/>
  <c r="AV22" i="4" s="1"/>
  <c r="AU22" i="4" a="1"/>
  <c r="AU22" i="4" s="1"/>
  <c r="AT22" i="4" a="1"/>
  <c r="AT22" i="4" s="1"/>
  <c r="AS22" i="4" a="1"/>
  <c r="AS22" i="4"/>
  <c r="AR22" i="4" a="1"/>
  <c r="AR22" i="4"/>
  <c r="AQ22" i="4" a="1"/>
  <c r="AQ22" i="4" s="1"/>
  <c r="AP22" i="4" a="1"/>
  <c r="AP22" i="4" s="1"/>
  <c r="AO22" i="4" a="1"/>
  <c r="AO22" i="4"/>
  <c r="AN22" i="4" a="1"/>
  <c r="AN22" i="4"/>
  <c r="AM22" i="4" a="1"/>
  <c r="AM22" i="4"/>
  <c r="AL22" i="4" a="1"/>
  <c r="AL22" i="4"/>
  <c r="AK22" i="4" a="1"/>
  <c r="AK22" i="4" s="1"/>
  <c r="AJ22" i="4" a="1"/>
  <c r="AJ22" i="4"/>
  <c r="AI22" i="4" a="1"/>
  <c r="AI22" i="4"/>
  <c r="AH22" i="4" a="1"/>
  <c r="AH22" i="4" s="1"/>
  <c r="AG22" i="4" a="1"/>
  <c r="AG22" i="4" s="1"/>
  <c r="AF22" i="4" a="1"/>
  <c r="AF22" i="4" s="1"/>
  <c r="AE22" i="4" a="1"/>
  <c r="AE22" i="4" s="1"/>
  <c r="AD22" i="4" a="1"/>
  <c r="AD22" i="4" s="1"/>
  <c r="AC22" i="4" a="1"/>
  <c r="AC22" i="4"/>
  <c r="AB22" i="4" a="1"/>
  <c r="AB22" i="4" s="1"/>
  <c r="AA22" i="4" a="1"/>
  <c r="AA22" i="4"/>
  <c r="Z22" i="4" a="1"/>
  <c r="Z22" i="4" s="1"/>
  <c r="Y22" i="4" a="1"/>
  <c r="Y22" i="4"/>
  <c r="X22" i="4" a="1"/>
  <c r="X22" i="4"/>
  <c r="W22" i="4" a="1"/>
  <c r="W22" i="4"/>
  <c r="V22" i="4" a="1"/>
  <c r="V22" i="4"/>
  <c r="U22" i="4" a="1"/>
  <c r="U22" i="4"/>
  <c r="T22" i="4" a="1"/>
  <c r="T22" i="4" s="1"/>
  <c r="S22" i="4" a="1"/>
  <c r="S22" i="4" s="1"/>
  <c r="R22" i="4" a="1"/>
  <c r="R22" i="4" s="1"/>
  <c r="Q22" i="4" a="1"/>
  <c r="Q22" i="4" s="1"/>
  <c r="P22" i="4" a="1"/>
  <c r="P22" i="4" s="1"/>
  <c r="O22" i="4" a="1"/>
  <c r="O22" i="4" s="1"/>
  <c r="N22" i="4" a="1"/>
  <c r="N22" i="4" s="1"/>
  <c r="M22" i="4" a="1"/>
  <c r="M22" i="4" s="1"/>
  <c r="L22" i="4" a="1"/>
  <c r="L22" i="4" s="1"/>
  <c r="K22" i="4" a="1"/>
  <c r="K22" i="4" s="1"/>
  <c r="J22" i="4" a="1"/>
  <c r="J22" i="4" s="1"/>
  <c r="I22" i="4" a="1"/>
  <c r="I22" i="4"/>
  <c r="H22" i="4" a="1"/>
  <c r="H22" i="4"/>
  <c r="G22" i="4" a="1"/>
  <c r="G22" i="4"/>
  <c r="F22" i="4" a="1"/>
  <c r="F22" i="4"/>
  <c r="E22" i="4" a="1"/>
  <c r="E22" i="4"/>
  <c r="D22" i="4" a="1"/>
  <c r="D22" i="4"/>
  <c r="C22" i="4" a="1"/>
  <c r="C22" i="4"/>
  <c r="EF21" i="4" a="1"/>
  <c r="EF21" i="4" s="1"/>
  <c r="EE21" i="4" a="1"/>
  <c r="EE21" i="4"/>
  <c r="ED21" i="4" a="1"/>
  <c r="ED21" i="4"/>
  <c r="EC21" i="4" a="1"/>
  <c r="EC21" i="4"/>
  <c r="EB21" i="4" a="1"/>
  <c r="EB21" i="4"/>
  <c r="EA21" i="4" a="1"/>
  <c r="EA21" i="4"/>
  <c r="DZ21" i="4" a="1"/>
  <c r="DZ21" i="4"/>
  <c r="DY21" i="4" a="1"/>
  <c r="DY21" i="4"/>
  <c r="DX21" i="4" a="1"/>
  <c r="DX21" i="4" s="1"/>
  <c r="DW21" i="4" a="1"/>
  <c r="DW21" i="4"/>
  <c r="DV21" i="4" a="1"/>
  <c r="DV21" i="4"/>
  <c r="DU21" i="4" a="1"/>
  <c r="DU21" i="4"/>
  <c r="DT21" i="4" a="1"/>
  <c r="DT21" i="4"/>
  <c r="DS21" i="4" a="1"/>
  <c r="DS21" i="4"/>
  <c r="DR21" i="4" a="1"/>
  <c r="DR21" i="4"/>
  <c r="DQ21" i="4" a="1"/>
  <c r="DQ21" i="4"/>
  <c r="DP21" i="4" a="1"/>
  <c r="DP21" i="4" s="1"/>
  <c r="DO21" i="4" a="1"/>
  <c r="DO21" i="4"/>
  <c r="DN21" i="4" a="1"/>
  <c r="DN21" i="4"/>
  <c r="DM21" i="4" a="1"/>
  <c r="DM21" i="4"/>
  <c r="DL21" i="4" a="1"/>
  <c r="DL21" i="4"/>
  <c r="DK21" i="4" a="1"/>
  <c r="DK21" i="4"/>
  <c r="DJ21" i="4" a="1"/>
  <c r="DJ21" i="4"/>
  <c r="DI21" i="4" a="1"/>
  <c r="DI21" i="4"/>
  <c r="DH21" i="4" a="1"/>
  <c r="DH21" i="4" s="1"/>
  <c r="DG21" i="4" a="1"/>
  <c r="DG21" i="4"/>
  <c r="DF21" i="4" a="1"/>
  <c r="DF21" i="4"/>
  <c r="DE21" i="4" a="1"/>
  <c r="DE21" i="4"/>
  <c r="DD21" i="4" a="1"/>
  <c r="DD21" i="4"/>
  <c r="DC21" i="4" a="1"/>
  <c r="DC21" i="4"/>
  <c r="DB21" i="4" a="1"/>
  <c r="DB21" i="4"/>
  <c r="DA21" i="4" a="1"/>
  <c r="DA21" i="4"/>
  <c r="CZ21" i="4" a="1"/>
  <c r="CZ21" i="4" s="1"/>
  <c r="CY21" i="4" a="1"/>
  <c r="CY21" i="4"/>
  <c r="CX21" i="4" a="1"/>
  <c r="CX21" i="4"/>
  <c r="CW21" i="4" a="1"/>
  <c r="CW21" i="4"/>
  <c r="CV21" i="4" a="1"/>
  <c r="CV21" i="4"/>
  <c r="CU21" i="4" a="1"/>
  <c r="CU21" i="4"/>
  <c r="CT21" i="4" a="1"/>
  <c r="CT21" i="4"/>
  <c r="CS21" i="4" a="1"/>
  <c r="CS21" i="4"/>
  <c r="CR21" i="4" a="1"/>
  <c r="CR21" i="4" s="1"/>
  <c r="CQ21" i="4" a="1"/>
  <c r="CQ21" i="4"/>
  <c r="CP21" i="4" a="1"/>
  <c r="CP21" i="4"/>
  <c r="CO21" i="4" a="1"/>
  <c r="CO21" i="4"/>
  <c r="CN21" i="4" a="1"/>
  <c r="CN21" i="4"/>
  <c r="CM21" i="4" a="1"/>
  <c r="CM21" i="4"/>
  <c r="CL21" i="4" a="1"/>
  <c r="CL21" i="4"/>
  <c r="CK21" i="4" a="1"/>
  <c r="CK21" i="4"/>
  <c r="CJ21" i="4" a="1"/>
  <c r="CJ21" i="4" s="1"/>
  <c r="CI21" i="4" a="1"/>
  <c r="CI21" i="4"/>
  <c r="CH21" i="4" a="1"/>
  <c r="CH21" i="4"/>
  <c r="CG21" i="4" a="1"/>
  <c r="CG21" i="4"/>
  <c r="CF21" i="4" a="1"/>
  <c r="CF21" i="4"/>
  <c r="CE21" i="4" a="1"/>
  <c r="CE21" i="4"/>
  <c r="CD21" i="4" a="1"/>
  <c r="CD21" i="4"/>
  <c r="CC21" i="4" a="1"/>
  <c r="CC21" i="4"/>
  <c r="CB21" i="4" a="1"/>
  <c r="CB21" i="4" s="1"/>
  <c r="CA21" i="4" a="1"/>
  <c r="CA21" i="4"/>
  <c r="BZ21" i="4" a="1"/>
  <c r="BZ21" i="4"/>
  <c r="BY21" i="4" a="1"/>
  <c r="BY21" i="4"/>
  <c r="BX21" i="4" a="1"/>
  <c r="BX21" i="4"/>
  <c r="BW21" i="4" a="1"/>
  <c r="BW21" i="4"/>
  <c r="BV21" i="4" a="1"/>
  <c r="BV21" i="4"/>
  <c r="BU21" i="4" a="1"/>
  <c r="BU21" i="4"/>
  <c r="BT21" i="4" a="1"/>
  <c r="BT21" i="4" s="1"/>
  <c r="BS21" i="4" a="1"/>
  <c r="BS21" i="4"/>
  <c r="BR21" i="4" a="1"/>
  <c r="BR21" i="4"/>
  <c r="BQ21" i="4" a="1"/>
  <c r="BQ21" i="4"/>
  <c r="BP21" i="4" a="1"/>
  <c r="BP21" i="4"/>
  <c r="BO21" i="4" a="1"/>
  <c r="BO21" i="4"/>
  <c r="BN21" i="4" a="1"/>
  <c r="BN21" i="4"/>
  <c r="BM21" i="4" a="1"/>
  <c r="BM21" i="4"/>
  <c r="BL21" i="4" a="1"/>
  <c r="BL21" i="4" s="1"/>
  <c r="BK21" i="4" a="1"/>
  <c r="BK21" i="4"/>
  <c r="BJ21" i="4" a="1"/>
  <c r="BJ21" i="4"/>
  <c r="BI21" i="4" a="1"/>
  <c r="BI21" i="4"/>
  <c r="BH21" i="4" a="1"/>
  <c r="BH21" i="4"/>
  <c r="BG21" i="4" a="1"/>
  <c r="BG21" i="4"/>
  <c r="BF21" i="4" a="1"/>
  <c r="BF21" i="4"/>
  <c r="BE21" i="4" a="1"/>
  <c r="BE21" i="4"/>
  <c r="BD21" i="4" a="1"/>
  <c r="BD21" i="4" s="1"/>
  <c r="BC21" i="4" a="1"/>
  <c r="BC21" i="4"/>
  <c r="BB21" i="4" a="1"/>
  <c r="BB21" i="4"/>
  <c r="BA21" i="4" a="1"/>
  <c r="BA21" i="4"/>
  <c r="AZ21" i="4" a="1"/>
  <c r="AZ21" i="4"/>
  <c r="AY21" i="4" a="1"/>
  <c r="AY21" i="4"/>
  <c r="AX21" i="4" a="1"/>
  <c r="AX21" i="4"/>
  <c r="AW21" i="4" a="1"/>
  <c r="AW21" i="4"/>
  <c r="AV21" i="4" a="1"/>
  <c r="AV21" i="4" s="1"/>
  <c r="AU21" i="4" a="1"/>
  <c r="AU21" i="4"/>
  <c r="AT21" i="4" a="1"/>
  <c r="AT21" i="4"/>
  <c r="AS21" i="4" a="1"/>
  <c r="AS21" i="4"/>
  <c r="AR21" i="4" a="1"/>
  <c r="AR21" i="4"/>
  <c r="AQ21" i="4" a="1"/>
  <c r="AQ21" i="4"/>
  <c r="AP21" i="4" a="1"/>
  <c r="AP21" i="4"/>
  <c r="AO21" i="4" a="1"/>
  <c r="AO21" i="4"/>
  <c r="AN21" i="4" a="1"/>
  <c r="AN21" i="4" s="1"/>
  <c r="AM21" i="4" a="1"/>
  <c r="AM21" i="4"/>
  <c r="AL21" i="4" a="1"/>
  <c r="AL21" i="4"/>
  <c r="AK21" i="4" a="1"/>
  <c r="AK21" i="4"/>
  <c r="AJ21" i="4" a="1"/>
  <c r="AJ21" i="4"/>
  <c r="AI21" i="4" a="1"/>
  <c r="AI21" i="4"/>
  <c r="AH21" i="4" a="1"/>
  <c r="AH21" i="4"/>
  <c r="AG21" i="4" a="1"/>
  <c r="AG21" i="4"/>
  <c r="AF21" i="4" a="1"/>
  <c r="AF21" i="4" s="1"/>
  <c r="AE21" i="4" a="1"/>
  <c r="AE21" i="4"/>
  <c r="AD21" i="4" a="1"/>
  <c r="AD21" i="4"/>
  <c r="AC21" i="4" a="1"/>
  <c r="AC21" i="4"/>
  <c r="AB21" i="4" a="1"/>
  <c r="AB21" i="4"/>
  <c r="AA21" i="4" a="1"/>
  <c r="AA21" i="4"/>
  <c r="Z21" i="4" a="1"/>
  <c r="Z21" i="4"/>
  <c r="Y21" i="4" a="1"/>
  <c r="Y21" i="4"/>
  <c r="X21" i="4" a="1"/>
  <c r="X21" i="4" s="1"/>
  <c r="W21" i="4" a="1"/>
  <c r="W21" i="4"/>
  <c r="V21" i="4" a="1"/>
  <c r="V21" i="4"/>
  <c r="U21" i="4" a="1"/>
  <c r="U21" i="4"/>
  <c r="T21" i="4" a="1"/>
  <c r="T21" i="4"/>
  <c r="S21" i="4" a="1"/>
  <c r="S21" i="4"/>
  <c r="R21" i="4" a="1"/>
  <c r="R21" i="4"/>
  <c r="Q21" i="4" a="1"/>
  <c r="Q21" i="4"/>
  <c r="P21" i="4" a="1"/>
  <c r="P21" i="4" s="1"/>
  <c r="O21" i="4" a="1"/>
  <c r="O21" i="4"/>
  <c r="N21" i="4" a="1"/>
  <c r="N21" i="4"/>
  <c r="M21" i="4" a="1"/>
  <c r="M21" i="4"/>
  <c r="L21" i="4" a="1"/>
  <c r="L21" i="4"/>
  <c r="K21" i="4" a="1"/>
  <c r="K21" i="4"/>
  <c r="J21" i="4" a="1"/>
  <c r="J21" i="4"/>
  <c r="I21" i="4" a="1"/>
  <c r="I21" i="4"/>
  <c r="H21" i="4" a="1"/>
  <c r="H21" i="4" s="1"/>
  <c r="G21" i="4" a="1"/>
  <c r="G21" i="4"/>
  <c r="F21" i="4" a="1"/>
  <c r="F21" i="4"/>
  <c r="E21" i="4" a="1"/>
  <c r="E21" i="4"/>
  <c r="D21" i="4" a="1"/>
  <c r="D21" i="4"/>
  <c r="C21" i="4" a="1"/>
  <c r="C21" i="4"/>
  <c r="EF20" i="4" a="1"/>
  <c r="EF20" i="4"/>
  <c r="EE20" i="4" a="1"/>
  <c r="EE20" i="4"/>
  <c r="ED20" i="4" a="1"/>
  <c r="ED20" i="4" s="1"/>
  <c r="EC20" i="4" a="1"/>
  <c r="EC20" i="4"/>
  <c r="EB20" i="4" a="1"/>
  <c r="EB20" i="4"/>
  <c r="EA20" i="4" a="1"/>
  <c r="EA20" i="4"/>
  <c r="DZ20" i="4" a="1"/>
  <c r="DZ20" i="4"/>
  <c r="DY20" i="4" a="1"/>
  <c r="DY20" i="4"/>
  <c r="DX20" i="4" a="1"/>
  <c r="DX20" i="4"/>
  <c r="DW20" i="4" a="1"/>
  <c r="DW20" i="4"/>
  <c r="DV20" i="4" a="1"/>
  <c r="DV20" i="4" s="1"/>
  <c r="DU20" i="4" a="1"/>
  <c r="DU20" i="4"/>
  <c r="DT20" i="4" a="1"/>
  <c r="DT20" i="4"/>
  <c r="DS20" i="4" a="1"/>
  <c r="DS20" i="4"/>
  <c r="DR20" i="4" a="1"/>
  <c r="DR20" i="4"/>
  <c r="DQ20" i="4" a="1"/>
  <c r="DQ20" i="4"/>
  <c r="DP20" i="4" a="1"/>
  <c r="DP20" i="4"/>
  <c r="DO20" i="4" a="1"/>
  <c r="DO20" i="4"/>
  <c r="DN20" i="4" a="1"/>
  <c r="DN20" i="4" s="1"/>
  <c r="DM20" i="4" a="1"/>
  <c r="DM20" i="4"/>
  <c r="DL20" i="4" a="1"/>
  <c r="DL20" i="4"/>
  <c r="DK20" i="4" a="1"/>
  <c r="DK20" i="4"/>
  <c r="DJ20" i="4" a="1"/>
  <c r="DJ20" i="4"/>
  <c r="DI20" i="4" a="1"/>
  <c r="DI20" i="4"/>
  <c r="DH20" i="4" a="1"/>
  <c r="DH20" i="4"/>
  <c r="DG20" i="4" a="1"/>
  <c r="DG20" i="4"/>
  <c r="DF20" i="4" a="1"/>
  <c r="DF20" i="4" s="1"/>
  <c r="DE20" i="4" a="1"/>
  <c r="DE20" i="4"/>
  <c r="DD20" i="4" a="1"/>
  <c r="DD20" i="4"/>
  <c r="DC20" i="4" a="1"/>
  <c r="DC20" i="4"/>
  <c r="DB20" i="4" a="1"/>
  <c r="DB20" i="4"/>
  <c r="DA20" i="4" a="1"/>
  <c r="DA20" i="4"/>
  <c r="CZ20" i="4" a="1"/>
  <c r="CZ20" i="4"/>
  <c r="CY20" i="4" a="1"/>
  <c r="CY20" i="4" s="1"/>
  <c r="CX20" i="4" a="1"/>
  <c r="CX20" i="4" s="1"/>
  <c r="CW20" i="4" a="1"/>
  <c r="CW20" i="4"/>
  <c r="CV20" i="4" a="1"/>
  <c r="CV20" i="4"/>
  <c r="CU20" i="4" a="1"/>
  <c r="CU20" i="4"/>
  <c r="CT20" i="4" a="1"/>
  <c r="CT20" i="4"/>
  <c r="CS20" i="4" a="1"/>
  <c r="CS20" i="4"/>
  <c r="CR20" i="4" a="1"/>
  <c r="CR20" i="4"/>
  <c r="CQ20" i="4" a="1"/>
  <c r="CQ20" i="4" s="1"/>
  <c r="CP20" i="4" a="1"/>
  <c r="CP20" i="4" s="1"/>
  <c r="CO20" i="4" a="1"/>
  <c r="CO20" i="4"/>
  <c r="CN20" i="4" a="1"/>
  <c r="CN20" i="4"/>
  <c r="CM20" i="4" a="1"/>
  <c r="CM20" i="4"/>
  <c r="CL20" i="4" a="1"/>
  <c r="CL20" i="4"/>
  <c r="CK20" i="4" a="1"/>
  <c r="CK20" i="4"/>
  <c r="CJ20" i="4" a="1"/>
  <c r="CJ20" i="4"/>
  <c r="CI20" i="4" a="1"/>
  <c r="CI20" i="4" s="1"/>
  <c r="CH20" i="4" a="1"/>
  <c r="CH20" i="4" s="1"/>
  <c r="CG20" i="4" a="1"/>
  <c r="CG20" i="4"/>
  <c r="CF20" i="4" a="1"/>
  <c r="CF20" i="4"/>
  <c r="CE20" i="4" a="1"/>
  <c r="CE20" i="4"/>
  <c r="CD20" i="4" a="1"/>
  <c r="CD20" i="4"/>
  <c r="CC20" i="4" a="1"/>
  <c r="CC20" i="4"/>
  <c r="CB20" i="4" a="1"/>
  <c r="CB20" i="4"/>
  <c r="CA20" i="4" a="1"/>
  <c r="CA20" i="4" s="1"/>
  <c r="BZ20" i="4" a="1"/>
  <c r="BZ20" i="4" s="1"/>
  <c r="BY20" i="4" a="1"/>
  <c r="BY20" i="4"/>
  <c r="BX20" i="4" a="1"/>
  <c r="BX20" i="4"/>
  <c r="BW20" i="4" a="1"/>
  <c r="BW20" i="4"/>
  <c r="BV20" i="4" a="1"/>
  <c r="BV20" i="4"/>
  <c r="BU20" i="4" a="1"/>
  <c r="BU20" i="4"/>
  <c r="BT20" i="4" a="1"/>
  <c r="BT20" i="4"/>
  <c r="BS20" i="4" a="1"/>
  <c r="BS20" i="4" s="1"/>
  <c r="BR20" i="4" a="1"/>
  <c r="BR20" i="4" s="1"/>
  <c r="BQ20" i="4" a="1"/>
  <c r="BQ20" i="4"/>
  <c r="BP20" i="4" a="1"/>
  <c r="BP20" i="4"/>
  <c r="BO20" i="4" a="1"/>
  <c r="BO20" i="4"/>
  <c r="BN20" i="4" a="1"/>
  <c r="BN20" i="4"/>
  <c r="BM20" i="4" a="1"/>
  <c r="BM20" i="4"/>
  <c r="BL20" i="4" a="1"/>
  <c r="BL20" i="4"/>
  <c r="BK20" i="4" a="1"/>
  <c r="BK20" i="4" s="1"/>
  <c r="BJ20" i="4" a="1"/>
  <c r="BJ20" i="4" s="1"/>
  <c r="BI20" i="4" a="1"/>
  <c r="BI20" i="4"/>
  <c r="BH20" i="4" a="1"/>
  <c r="BH20" i="4"/>
  <c r="BG20" i="4" a="1"/>
  <c r="BG20" i="4"/>
  <c r="BF20" i="4" a="1"/>
  <c r="BF20" i="4"/>
  <c r="BE20" i="4" a="1"/>
  <c r="BE20" i="4"/>
  <c r="BD20" i="4" a="1"/>
  <c r="BD20" i="4"/>
  <c r="BC20" i="4" a="1"/>
  <c r="BC20" i="4" s="1"/>
  <c r="BB20" i="4" a="1"/>
  <c r="BB20" i="4" s="1"/>
  <c r="BA20" i="4" a="1"/>
  <c r="BA20" i="4"/>
  <c r="AZ20" i="4" a="1"/>
  <c r="AZ20" i="4"/>
  <c r="AY20" i="4" a="1"/>
  <c r="AY20" i="4"/>
  <c r="AX20" i="4" a="1"/>
  <c r="AX20" i="4"/>
  <c r="AW20" i="4" a="1"/>
  <c r="AW20" i="4"/>
  <c r="AV20" i="4" a="1"/>
  <c r="AV20" i="4"/>
  <c r="AU20" i="4" a="1"/>
  <c r="AU20" i="4" s="1"/>
  <c r="AT20" i="4" a="1"/>
  <c r="AT20" i="4" s="1"/>
  <c r="AS20" i="4" a="1"/>
  <c r="AS20" i="4" s="1"/>
  <c r="AR20" i="4" a="1"/>
  <c r="AR20" i="4"/>
  <c r="AQ20" i="4" a="1"/>
  <c r="AQ20" i="4"/>
  <c r="AP20" i="4" a="1"/>
  <c r="AP20" i="4"/>
  <c r="AO20" i="4" a="1"/>
  <c r="AO20" i="4"/>
  <c r="AN20" i="4" a="1"/>
  <c r="AN20" i="4"/>
  <c r="AM20" i="4" a="1"/>
  <c r="AM20" i="4" s="1"/>
  <c r="AL20" i="4" a="1"/>
  <c r="AL20" i="4"/>
  <c r="AK20" i="4" a="1"/>
  <c r="AK20" i="4" s="1"/>
  <c r="AJ20" i="4" a="1"/>
  <c r="AJ20" i="4"/>
  <c r="AI20" i="4" a="1"/>
  <c r="AI20" i="4"/>
  <c r="AH20" i="4" a="1"/>
  <c r="AH20" i="4"/>
  <c r="AG20" i="4" a="1"/>
  <c r="AG20" i="4"/>
  <c r="AF20" i="4" a="1"/>
  <c r="AF20" i="4"/>
  <c r="AE20" i="4" a="1"/>
  <c r="AE20" i="4"/>
  <c r="AD20" i="4" a="1"/>
  <c r="AD20" i="4" s="1"/>
  <c r="AC20" i="4" a="1"/>
  <c r="AC20" i="4" s="1"/>
  <c r="AB20" i="4" a="1"/>
  <c r="AB20" i="4"/>
  <c r="AA20" i="4" a="1"/>
  <c r="AA20" i="4"/>
  <c r="Z20" i="4" a="1"/>
  <c r="Z20" i="4"/>
  <c r="Y20" i="4" a="1"/>
  <c r="Y20" i="4"/>
  <c r="X20" i="4" a="1"/>
  <c r="X20" i="4"/>
  <c r="W20" i="4" a="1"/>
  <c r="W20" i="4" s="1"/>
  <c r="V20" i="4" a="1"/>
  <c r="V20" i="4" s="1"/>
  <c r="U20" i="4" a="1"/>
  <c r="U20" i="4" s="1"/>
  <c r="T20" i="4" a="1"/>
  <c r="T20" i="4"/>
  <c r="S20" i="4" a="1"/>
  <c r="S20" i="4"/>
  <c r="R20" i="4" a="1"/>
  <c r="R20" i="4"/>
  <c r="Q20" i="4" a="1"/>
  <c r="Q20" i="4"/>
  <c r="P20" i="4" a="1"/>
  <c r="P20" i="4"/>
  <c r="O20" i="4" a="1"/>
  <c r="O20" i="4"/>
  <c r="N20" i="4" a="1"/>
  <c r="N20" i="4" s="1"/>
  <c r="M20" i="4" a="1"/>
  <c r="M20" i="4" s="1"/>
  <c r="L20" i="4" a="1"/>
  <c r="L20" i="4"/>
  <c r="K20" i="4" a="1"/>
  <c r="K20" i="4"/>
  <c r="J20" i="4" a="1"/>
  <c r="J20" i="4"/>
  <c r="I20" i="4" a="1"/>
  <c r="I20" i="4"/>
  <c r="H20" i="4" a="1"/>
  <c r="H20" i="4"/>
  <c r="G20" i="4" a="1"/>
  <c r="G20" i="4"/>
  <c r="F20" i="4" a="1"/>
  <c r="F20" i="4"/>
  <c r="E20" i="4" a="1"/>
  <c r="E20" i="4" s="1"/>
  <c r="D20" i="4" a="1"/>
  <c r="D20" i="4"/>
  <c r="C20" i="4" a="1"/>
  <c r="C20" i="4"/>
  <c r="EF19" i="4" a="1"/>
  <c r="EF19" i="4"/>
  <c r="EE19" i="4" a="1"/>
  <c r="EE19" i="4"/>
  <c r="ED19" i="4" a="1"/>
  <c r="ED19" i="4"/>
  <c r="EC19" i="4" a="1"/>
  <c r="EC19" i="4"/>
  <c r="EB19" i="4" a="1"/>
  <c r="EB19" i="4"/>
  <c r="EA19" i="4" a="1"/>
  <c r="EA19" i="4" s="1"/>
  <c r="DZ19" i="4" a="1"/>
  <c r="DZ19" i="4"/>
  <c r="DY19" i="4" a="1"/>
  <c r="DY19" i="4"/>
  <c r="DX19" i="4" a="1"/>
  <c r="DX19" i="4"/>
  <c r="DW19" i="4" a="1"/>
  <c r="DW19" i="4"/>
  <c r="DV19" i="4" a="1"/>
  <c r="DV19" i="4"/>
  <c r="DU19" i="4" a="1"/>
  <c r="DU19" i="4" s="1"/>
  <c r="DT19" i="4" a="1"/>
  <c r="DT19" i="4"/>
  <c r="DS19" i="4" a="1"/>
  <c r="DS19" i="4" s="1"/>
  <c r="DR19" i="4" a="1"/>
  <c r="DR19" i="4"/>
  <c r="DQ19" i="4" a="1"/>
  <c r="DQ19" i="4"/>
  <c r="DP19" i="4" a="1"/>
  <c r="DP19" i="4"/>
  <c r="DO19" i="4" a="1"/>
  <c r="DO19" i="4"/>
  <c r="DN19" i="4" a="1"/>
  <c r="DN19" i="4"/>
  <c r="DM19" i="4" a="1"/>
  <c r="DM19" i="4" s="1"/>
  <c r="DL19" i="4" a="1"/>
  <c r="DL19" i="4"/>
  <c r="DK19" i="4" a="1"/>
  <c r="DK19" i="4" s="1"/>
  <c r="DJ19" i="4" a="1"/>
  <c r="DJ19" i="4"/>
  <c r="DI19" i="4" a="1"/>
  <c r="DI19" i="4"/>
  <c r="DH19" i="4" a="1"/>
  <c r="DH19" i="4"/>
  <c r="DG19" i="4" a="1"/>
  <c r="DG19" i="4"/>
  <c r="DF19" i="4" a="1"/>
  <c r="DF19" i="4"/>
  <c r="DE19" i="4" a="1"/>
  <c r="DE19" i="4"/>
  <c r="DD19" i="4" a="1"/>
  <c r="DD19" i="4" s="1"/>
  <c r="DC19" i="4" a="1"/>
  <c r="DC19" i="4" s="1"/>
  <c r="DB19" i="4" a="1"/>
  <c r="DB19" i="4"/>
  <c r="DA19" i="4" a="1"/>
  <c r="DA19" i="4"/>
  <c r="CZ19" i="4" a="1"/>
  <c r="CZ19" i="4"/>
  <c r="CY19" i="4" a="1"/>
  <c r="CY19" i="4"/>
  <c r="CX19" i="4" a="1"/>
  <c r="CX19" i="4"/>
  <c r="CW19" i="4" a="1"/>
  <c r="CW19" i="4" s="1"/>
  <c r="CV19" i="4" a="1"/>
  <c r="CV19" i="4"/>
  <c r="CU19" i="4" a="1"/>
  <c r="CU19" i="4" s="1"/>
  <c r="CT19" i="4" a="1"/>
  <c r="CT19" i="4"/>
  <c r="CS19" i="4" a="1"/>
  <c r="CS19" i="4"/>
  <c r="CR19" i="4" a="1"/>
  <c r="CR19" i="4"/>
  <c r="CQ19" i="4" a="1"/>
  <c r="CQ19" i="4"/>
  <c r="CP19" i="4" a="1"/>
  <c r="CP19" i="4"/>
  <c r="CO19" i="4" a="1"/>
  <c r="CO19" i="4" s="1"/>
  <c r="CN19" i="4" a="1"/>
  <c r="CN19" i="4"/>
  <c r="CM19" i="4" a="1"/>
  <c r="CM19" i="4" s="1"/>
  <c r="CL19" i="4" a="1"/>
  <c r="CL19" i="4"/>
  <c r="CK19" i="4" a="1"/>
  <c r="CK19" i="4"/>
  <c r="CJ19" i="4" a="1"/>
  <c r="CJ19" i="4"/>
  <c r="CI19" i="4" a="1"/>
  <c r="CI19" i="4"/>
  <c r="CH19" i="4" a="1"/>
  <c r="CH19" i="4"/>
  <c r="CG19" i="4" a="1"/>
  <c r="CG19" i="4"/>
  <c r="CF19" i="4" a="1"/>
  <c r="CF19" i="4" s="1"/>
  <c r="CE19" i="4" a="1"/>
  <c r="CE19" i="4" s="1"/>
  <c r="CD19" i="4" a="1"/>
  <c r="CD19" i="4"/>
  <c r="CC19" i="4" a="1"/>
  <c r="CC19" i="4"/>
  <c r="CB19" i="4" a="1"/>
  <c r="CB19" i="4"/>
  <c r="CA19" i="4" a="1"/>
  <c r="CA19" i="4"/>
  <c r="BZ19" i="4" a="1"/>
  <c r="BZ19" i="4"/>
  <c r="BY19" i="4" a="1"/>
  <c r="BY19" i="4" s="1"/>
  <c r="BX19" i="4" a="1"/>
  <c r="BX19" i="4" s="1"/>
  <c r="BW19" i="4" a="1"/>
  <c r="BW19" i="4" s="1"/>
  <c r="BV19" i="4" a="1"/>
  <c r="BV19" i="4"/>
  <c r="BU19" i="4" a="1"/>
  <c r="BU19" i="4"/>
  <c r="BT19" i="4" a="1"/>
  <c r="BT19" i="4"/>
  <c r="BS19" i="4" a="1"/>
  <c r="BS19" i="4"/>
  <c r="BR19" i="4" a="1"/>
  <c r="BR19" i="4"/>
  <c r="BQ19" i="4" a="1"/>
  <c r="BQ19" i="4" s="1"/>
  <c r="BP19" i="4" a="1"/>
  <c r="BP19" i="4"/>
  <c r="BO19" i="4" a="1"/>
  <c r="BO19" i="4" s="1"/>
  <c r="BN19" i="4" a="1"/>
  <c r="BN19" i="4"/>
  <c r="BM19" i="4" a="1"/>
  <c r="BM19" i="4"/>
  <c r="BL19" i="4" a="1"/>
  <c r="BL19" i="4"/>
  <c r="BK19" i="4" a="1"/>
  <c r="BK19" i="4"/>
  <c r="BJ19" i="4" a="1"/>
  <c r="BJ19" i="4"/>
  <c r="BI19" i="4" a="1"/>
  <c r="BI19" i="4"/>
  <c r="BH19" i="4" a="1"/>
  <c r="BH19" i="4" s="1"/>
  <c r="BG19" i="4" a="1"/>
  <c r="BG19" i="4" s="1"/>
  <c r="BF19" i="4" a="1"/>
  <c r="BF19" i="4"/>
  <c r="BE19" i="4" a="1"/>
  <c r="BE19" i="4"/>
  <c r="BD19" i="4" a="1"/>
  <c r="BD19" i="4"/>
  <c r="BC19" i="4" a="1"/>
  <c r="BC19" i="4"/>
  <c r="BB19" i="4" a="1"/>
  <c r="BB19" i="4"/>
  <c r="BA19" i="4" a="1"/>
  <c r="BA19" i="4" s="1"/>
  <c r="AZ19" i="4" a="1"/>
  <c r="AZ19" i="4" s="1"/>
  <c r="AY19" i="4" a="1"/>
  <c r="AY19" i="4" s="1"/>
  <c r="AX19" i="4" a="1"/>
  <c r="AX19" i="4"/>
  <c r="AW19" i="4" a="1"/>
  <c r="AW19" i="4"/>
  <c r="AV19" i="4" a="1"/>
  <c r="AV19" i="4"/>
  <c r="AU19" i="4" a="1"/>
  <c r="AU19" i="4"/>
  <c r="AT19" i="4" a="1"/>
  <c r="AT19" i="4"/>
  <c r="AS19" i="4" a="1"/>
  <c r="AS19" i="4" s="1"/>
  <c r="AR19" i="4" a="1"/>
  <c r="AR19" i="4"/>
  <c r="AQ19" i="4" a="1"/>
  <c r="AQ19" i="4" s="1"/>
  <c r="AP19" i="4" a="1"/>
  <c r="AP19" i="4"/>
  <c r="AO19" i="4" a="1"/>
  <c r="AO19" i="4"/>
  <c r="AN19" i="4" a="1"/>
  <c r="AN19" i="4"/>
  <c r="AM19" i="4" a="1"/>
  <c r="AM19" i="4"/>
  <c r="AL19" i="4" a="1"/>
  <c r="AL19" i="4"/>
  <c r="AK19" i="4" a="1"/>
  <c r="AK19" i="4" s="1"/>
  <c r="AJ19" i="4" a="1"/>
  <c r="AJ19" i="4" s="1"/>
  <c r="AI19" i="4" a="1"/>
  <c r="AI19" i="4" s="1"/>
  <c r="AH19" i="4" a="1"/>
  <c r="AH19" i="4"/>
  <c r="AG19" i="4" a="1"/>
  <c r="AG19" i="4"/>
  <c r="AF19" i="4" a="1"/>
  <c r="AF19" i="4"/>
  <c r="AE19" i="4" a="1"/>
  <c r="AE19" i="4"/>
  <c r="AD19" i="4" a="1"/>
  <c r="AD19" i="4"/>
  <c r="AC19" i="4" a="1"/>
  <c r="AC19" i="4" s="1"/>
  <c r="AB19" i="4" a="1"/>
  <c r="AB19" i="4" s="1"/>
  <c r="AA19" i="4" a="1"/>
  <c r="AA19" i="4" s="1"/>
  <c r="Z19" i="4" a="1"/>
  <c r="Z19" i="4"/>
  <c r="Y19" i="4" a="1"/>
  <c r="Y19" i="4"/>
  <c r="X19" i="4" a="1"/>
  <c r="X19" i="4"/>
  <c r="W19" i="4" a="1"/>
  <c r="W19" i="4"/>
  <c r="V19" i="4" a="1"/>
  <c r="V19" i="4"/>
  <c r="U19" i="4" a="1"/>
  <c r="U19" i="4"/>
  <c r="T19" i="4" a="1"/>
  <c r="T19" i="4" s="1"/>
  <c r="S19" i="4" a="1"/>
  <c r="S19" i="4" s="1"/>
  <c r="R19" i="4" a="1"/>
  <c r="R19" i="4"/>
  <c r="Q19" i="4" a="1"/>
  <c r="Q19" i="4"/>
  <c r="P19" i="4" a="1"/>
  <c r="P19" i="4"/>
  <c r="O19" i="4" a="1"/>
  <c r="O19" i="4"/>
  <c r="N19" i="4" a="1"/>
  <c r="N19" i="4"/>
  <c r="M19" i="4" a="1"/>
  <c r="M19" i="4"/>
  <c r="L19" i="4" a="1"/>
  <c r="L19" i="4"/>
  <c r="K19" i="4" a="1"/>
  <c r="K19" i="4" s="1"/>
  <c r="J19" i="4" a="1"/>
  <c r="J19" i="4"/>
  <c r="I19" i="4" a="1"/>
  <c r="I19" i="4"/>
  <c r="H19" i="4" a="1"/>
  <c r="H19" i="4"/>
  <c r="G19" i="4" a="1"/>
  <c r="G19" i="4"/>
  <c r="F19" i="4" a="1"/>
  <c r="F19" i="4"/>
  <c r="E19" i="4" a="1"/>
  <c r="E19" i="4" s="1"/>
  <c r="D19" i="4" a="1"/>
  <c r="D19" i="4"/>
  <c r="C19" i="4" a="1"/>
  <c r="C19" i="4" s="1"/>
  <c r="EF18" i="4" a="1"/>
  <c r="EF18" i="4"/>
  <c r="EE18" i="4" a="1"/>
  <c r="EE18" i="4"/>
  <c r="ED18" i="4" a="1"/>
  <c r="ED18" i="4"/>
  <c r="EC18" i="4" a="1"/>
  <c r="EC18" i="4"/>
  <c r="EB18" i="4" a="1"/>
  <c r="EB18" i="4"/>
  <c r="EA18" i="4" a="1"/>
  <c r="EA18" i="4"/>
  <c r="DZ18" i="4" a="1"/>
  <c r="DZ18" i="4"/>
  <c r="DY18" i="4" a="1"/>
  <c r="DY18" i="4" s="1"/>
  <c r="DX18" i="4" a="1"/>
  <c r="DX18" i="4"/>
  <c r="DW18" i="4" a="1"/>
  <c r="DW18" i="4"/>
  <c r="DV18" i="4" a="1"/>
  <c r="DV18" i="4"/>
  <c r="DU18" i="4" a="1"/>
  <c r="DU18" i="4"/>
  <c r="DT18" i="4" a="1"/>
  <c r="DT18" i="4"/>
  <c r="DS18" i="4" a="1"/>
  <c r="DS18" i="4" s="1"/>
  <c r="DR18" i="4" a="1"/>
  <c r="DR18" i="4"/>
  <c r="DQ18" i="4" a="1"/>
  <c r="DQ18" i="4" s="1"/>
  <c r="DP18" i="4" a="1"/>
  <c r="DP18" i="4"/>
  <c r="DO18" i="4" a="1"/>
  <c r="DO18" i="4"/>
  <c r="DN18" i="4" a="1"/>
  <c r="DN18" i="4"/>
  <c r="DM18" i="4" a="1"/>
  <c r="DM18" i="4"/>
  <c r="DL18" i="4" a="1"/>
  <c r="DL18" i="4"/>
  <c r="DK18" i="4" a="1"/>
  <c r="DK18" i="4"/>
  <c r="DJ18" i="4" a="1"/>
  <c r="DJ18" i="4"/>
  <c r="DI18" i="4" a="1"/>
  <c r="DI18" i="4" s="1"/>
  <c r="DH18" i="4" a="1"/>
  <c r="DH18" i="4"/>
  <c r="DG18" i="4" a="1"/>
  <c r="DG18" i="4"/>
  <c r="DF18" i="4" a="1"/>
  <c r="DF18" i="4"/>
  <c r="DE18" i="4" a="1"/>
  <c r="DE18" i="4"/>
  <c r="DD18" i="4" a="1"/>
  <c r="DD18" i="4"/>
  <c r="DC18" i="4" a="1"/>
  <c r="DC18" i="4" s="1"/>
  <c r="DB18" i="4" a="1"/>
  <c r="DB18" i="4"/>
  <c r="DA18" i="4" a="1"/>
  <c r="DA18" i="4" s="1"/>
  <c r="CZ18" i="4" a="1"/>
  <c r="CZ18" i="4"/>
  <c r="CY18" i="4" a="1"/>
  <c r="CY18" i="4"/>
  <c r="CX18" i="4" a="1"/>
  <c r="CX18" i="4"/>
  <c r="CW18" i="4" a="1"/>
  <c r="CW18" i="4"/>
  <c r="CV18" i="4" a="1"/>
  <c r="CV18" i="4"/>
  <c r="CU18" i="4" a="1"/>
  <c r="CU18" i="4" s="1"/>
  <c r="CT18" i="4" a="1"/>
  <c r="CT18" i="4"/>
  <c r="CS18" i="4" a="1"/>
  <c r="CS18" i="4" s="1"/>
  <c r="CR18" i="4" a="1"/>
  <c r="CR18" i="4"/>
  <c r="CQ18" i="4" a="1"/>
  <c r="CQ18" i="4"/>
  <c r="CP18" i="4" a="1"/>
  <c r="CP18" i="4"/>
  <c r="CO18" i="4" a="1"/>
  <c r="CO18" i="4"/>
  <c r="CN18" i="4" a="1"/>
  <c r="CN18" i="4"/>
  <c r="CM18" i="4" a="1"/>
  <c r="CM18" i="4"/>
  <c r="CL18" i="4" a="1"/>
  <c r="CL18" i="4" s="1"/>
  <c r="CK18" i="4" a="1"/>
  <c r="CK18" i="4" s="1"/>
  <c r="CJ18" i="4" a="1"/>
  <c r="CJ18" i="4"/>
  <c r="CI18" i="4" a="1"/>
  <c r="CI18" i="4"/>
  <c r="CH18" i="4" a="1"/>
  <c r="CH18" i="4"/>
  <c r="CG18" i="4" a="1"/>
  <c r="CG18" i="4"/>
  <c r="CF18" i="4" a="1"/>
  <c r="CF18" i="4"/>
  <c r="CE18" i="4" a="1"/>
  <c r="CE18" i="4" s="1"/>
  <c r="CD18" i="4" a="1"/>
  <c r="CD18" i="4"/>
  <c r="CC18" i="4" a="1"/>
  <c r="CC18" i="4" s="1"/>
  <c r="CB18" i="4" a="1"/>
  <c r="CB18" i="4"/>
  <c r="CA18" i="4" a="1"/>
  <c r="CA18" i="4"/>
  <c r="BZ18" i="4" a="1"/>
  <c r="BZ18" i="4"/>
  <c r="BY18" i="4" a="1"/>
  <c r="BY18" i="4"/>
  <c r="BX18" i="4" a="1"/>
  <c r="BX18" i="4"/>
  <c r="BW18" i="4" a="1"/>
  <c r="BW18" i="4" s="1"/>
  <c r="BV18" i="4" a="1"/>
  <c r="BV18" i="4"/>
  <c r="BU18" i="4" a="1"/>
  <c r="BU18" i="4" s="1"/>
  <c r="BT18" i="4" a="1"/>
  <c r="BT18" i="4"/>
  <c r="BS18" i="4" a="1"/>
  <c r="BS18" i="4"/>
  <c r="BR18" i="4" a="1"/>
  <c r="BR18" i="4"/>
  <c r="BQ18" i="4" a="1"/>
  <c r="BQ18" i="4"/>
  <c r="BP18" i="4" a="1"/>
  <c r="BP18" i="4"/>
  <c r="BO18" i="4" a="1"/>
  <c r="BO18" i="4"/>
  <c r="BN18" i="4" a="1"/>
  <c r="BN18" i="4" s="1"/>
  <c r="BM18" i="4" a="1"/>
  <c r="BM18" i="4" s="1"/>
  <c r="BL18" i="4" a="1"/>
  <c r="BL18" i="4"/>
  <c r="BK18" i="4" a="1"/>
  <c r="BK18" i="4"/>
  <c r="BJ18" i="4" a="1"/>
  <c r="BJ18" i="4"/>
  <c r="BI18" i="4" a="1"/>
  <c r="BI18" i="4"/>
  <c r="BH18" i="4" a="1"/>
  <c r="BH18" i="4"/>
  <c r="BG18" i="4" a="1"/>
  <c r="BG18" i="4" s="1"/>
  <c r="BF18" i="4" a="1"/>
  <c r="BF18" i="4" s="1"/>
  <c r="BE18" i="4" a="1"/>
  <c r="BE18" i="4" s="1"/>
  <c r="BD18" i="4" a="1"/>
  <c r="BD18" i="4"/>
  <c r="BC18" i="4" a="1"/>
  <c r="BC18" i="4"/>
  <c r="BB18" i="4" a="1"/>
  <c r="BB18" i="4"/>
  <c r="BA18" i="4" a="1"/>
  <c r="BA18" i="4"/>
  <c r="AZ18" i="4" a="1"/>
  <c r="AZ18" i="4"/>
  <c r="AY18" i="4" a="1"/>
  <c r="AY18" i="4" s="1"/>
  <c r="AX18" i="4" a="1"/>
  <c r="AX18" i="4"/>
  <c r="AW18" i="4" a="1"/>
  <c r="AW18" i="4" s="1"/>
  <c r="AV18" i="4" a="1"/>
  <c r="AV18" i="4"/>
  <c r="AU18" i="4" a="1"/>
  <c r="AU18" i="4"/>
  <c r="AT18" i="4" a="1"/>
  <c r="AT18" i="4"/>
  <c r="AS18" i="4" a="1"/>
  <c r="AS18" i="4"/>
  <c r="AR18" i="4" a="1"/>
  <c r="AR18" i="4"/>
  <c r="AQ18" i="4" a="1"/>
  <c r="AQ18" i="4" s="1"/>
  <c r="AP18" i="4" a="1"/>
  <c r="AP18" i="4" s="1"/>
  <c r="AO18" i="4" a="1"/>
  <c r="AO18" i="4" s="1"/>
  <c r="AN18" i="4" a="1"/>
  <c r="AN18" i="4"/>
  <c r="AM18" i="4" a="1"/>
  <c r="AM18" i="4"/>
  <c r="AL18" i="4" a="1"/>
  <c r="AL18" i="4"/>
  <c r="AK18" i="4" a="1"/>
  <c r="AK18" i="4"/>
  <c r="AJ18" i="4" a="1"/>
  <c r="AJ18" i="4"/>
  <c r="AI18" i="4" a="1"/>
  <c r="AI18" i="4" s="1"/>
  <c r="AH18" i="4" a="1"/>
  <c r="AH18" i="4" s="1"/>
  <c r="AG18" i="4" a="1"/>
  <c r="AG18" i="4" s="1"/>
  <c r="AF18" i="4" a="1"/>
  <c r="AF18" i="4"/>
  <c r="AE18" i="4" a="1"/>
  <c r="AE18" i="4"/>
  <c r="AD18" i="4" a="1"/>
  <c r="AD18" i="4"/>
  <c r="AC18" i="4" a="1"/>
  <c r="AC18" i="4"/>
  <c r="AB18" i="4" a="1"/>
  <c r="AB18" i="4"/>
  <c r="AA18" i="4" a="1"/>
  <c r="AA18" i="4" s="1"/>
  <c r="Z18" i="4" a="1"/>
  <c r="Z18" i="4" s="1"/>
  <c r="Y18" i="4" a="1"/>
  <c r="Y18" i="4" s="1"/>
  <c r="X18" i="4" a="1"/>
  <c r="X18" i="4"/>
  <c r="W18" i="4" a="1"/>
  <c r="W18" i="4"/>
  <c r="V18" i="4" a="1"/>
  <c r="V18" i="4"/>
  <c r="U18" i="4" a="1"/>
  <c r="U18" i="4"/>
  <c r="T18" i="4" a="1"/>
  <c r="T18" i="4"/>
  <c r="S18" i="4" a="1"/>
  <c r="S18" i="4" s="1"/>
  <c r="R18" i="4" a="1"/>
  <c r="R18" i="4" s="1"/>
  <c r="Q18" i="4" a="1"/>
  <c r="Q18" i="4" s="1"/>
  <c r="P18" i="4" a="1"/>
  <c r="P18" i="4"/>
  <c r="O18" i="4" a="1"/>
  <c r="O18" i="4"/>
  <c r="N18" i="4" a="1"/>
  <c r="N18" i="4"/>
  <c r="M18" i="4" a="1"/>
  <c r="M18" i="4"/>
  <c r="L18" i="4" a="1"/>
  <c r="L18" i="4"/>
  <c r="K18" i="4" a="1"/>
  <c r="K18" i="4"/>
  <c r="J18" i="4" a="1"/>
  <c r="J18" i="4"/>
  <c r="I18" i="4" a="1"/>
  <c r="I18" i="4" s="1"/>
  <c r="H18" i="4" a="1"/>
  <c r="H18" i="4"/>
  <c r="G18" i="4" a="1"/>
  <c r="G18" i="4"/>
  <c r="F18" i="4" a="1"/>
  <c r="F18" i="4"/>
  <c r="E18" i="4" a="1"/>
  <c r="E18" i="4"/>
  <c r="D18" i="4" a="1"/>
  <c r="D18" i="4"/>
  <c r="C18" i="4" a="1"/>
  <c r="C18" i="4" s="1"/>
  <c r="EF17" i="4" a="1"/>
  <c r="EF17" i="4" s="1"/>
  <c r="EE17" i="4" a="1"/>
  <c r="EE17" i="4" s="1"/>
  <c r="ED17" i="4" a="1"/>
  <c r="ED17" i="4"/>
  <c r="EC17" i="4" a="1"/>
  <c r="EC17" i="4"/>
  <c r="EB17" i="4" a="1"/>
  <c r="EB17" i="4"/>
  <c r="EA17" i="4" a="1"/>
  <c r="EA17" i="4"/>
  <c r="DZ17" i="4" a="1"/>
  <c r="DZ17" i="4"/>
  <c r="DY17" i="4" a="1"/>
  <c r="DY17" i="4" s="1"/>
  <c r="DX17" i="4" a="1"/>
  <c r="DX17" i="4"/>
  <c r="DW17" i="4" a="1"/>
  <c r="DW17" i="4" s="1"/>
  <c r="DV17" i="4" a="1"/>
  <c r="DV17" i="4"/>
  <c r="DU17" i="4" a="1"/>
  <c r="DU17" i="4"/>
  <c r="DT17" i="4" a="1"/>
  <c r="DT17" i="4"/>
  <c r="DS17" i="4" a="1"/>
  <c r="DS17" i="4"/>
  <c r="DR17" i="4" a="1"/>
  <c r="DR17" i="4"/>
  <c r="DQ17" i="4" a="1"/>
  <c r="DQ17" i="4"/>
  <c r="DP17" i="4" a="1"/>
  <c r="DP17" i="4" s="1"/>
  <c r="DO17" i="4" a="1"/>
  <c r="DO17" i="4" s="1"/>
  <c r="DN17" i="4" a="1"/>
  <c r="DN17" i="4"/>
  <c r="DM17" i="4" a="1"/>
  <c r="DM17" i="4"/>
  <c r="DL17" i="4" a="1"/>
  <c r="DL17" i="4"/>
  <c r="DK17" i="4" a="1"/>
  <c r="DK17" i="4"/>
  <c r="DJ17" i="4" a="1"/>
  <c r="DJ17" i="4"/>
  <c r="DI17" i="4" a="1"/>
  <c r="DI17" i="4" s="1"/>
  <c r="DH17" i="4" a="1"/>
  <c r="DH17" i="4" s="1"/>
  <c r="DG17" i="4" a="1"/>
  <c r="DG17" i="4" s="1"/>
  <c r="DF17" i="4" a="1"/>
  <c r="DF17" i="4"/>
  <c r="DE17" i="4" a="1"/>
  <c r="DE17" i="4"/>
  <c r="DD17" i="4" a="1"/>
  <c r="DD17" i="4"/>
  <c r="DC17" i="4" a="1"/>
  <c r="DC17" i="4"/>
  <c r="DB17" i="4" a="1"/>
  <c r="DB17" i="4"/>
  <c r="DA17" i="4" a="1"/>
  <c r="DA17" i="4"/>
  <c r="CZ17" i="4" a="1"/>
  <c r="CZ17" i="4"/>
  <c r="CY17" i="4" a="1"/>
  <c r="CY17" i="4" s="1"/>
  <c r="CX17" i="4" a="1"/>
  <c r="CX17" i="4"/>
  <c r="CW17" i="4" a="1"/>
  <c r="CW17" i="4"/>
  <c r="CV17" i="4" a="1"/>
  <c r="CV17" i="4"/>
  <c r="CU17" i="4" a="1"/>
  <c r="CU17" i="4"/>
  <c r="CT17" i="4" a="1"/>
  <c r="CT17" i="4"/>
  <c r="CS17" i="4" a="1"/>
  <c r="CS17" i="4"/>
  <c r="CR17" i="4" a="1"/>
  <c r="CR17" i="4" s="1"/>
  <c r="CQ17" i="4" a="1"/>
  <c r="CQ17" i="4" s="1"/>
  <c r="CP17" i="4" a="1"/>
  <c r="CP17" i="4"/>
  <c r="CO17" i="4" a="1"/>
  <c r="CO17" i="4"/>
  <c r="CN17" i="4" a="1"/>
  <c r="CN17" i="4"/>
  <c r="CM17" i="4" a="1"/>
  <c r="CM17" i="4"/>
  <c r="CL17" i="4" a="1"/>
  <c r="CL17" i="4"/>
  <c r="CK17" i="4" a="1"/>
  <c r="CK17" i="4" s="1"/>
  <c r="CJ17" i="4" a="1"/>
  <c r="CJ17" i="4"/>
  <c r="CI17" i="4" a="1"/>
  <c r="CI17" i="4" s="1"/>
  <c r="CH17" i="4" a="1"/>
  <c r="CH17" i="4"/>
  <c r="CG17" i="4" a="1"/>
  <c r="CG17" i="4"/>
  <c r="CF17" i="4" a="1"/>
  <c r="CF17" i="4"/>
  <c r="CE17" i="4" a="1"/>
  <c r="CE17" i="4"/>
  <c r="CD17" i="4" a="1"/>
  <c r="CD17" i="4"/>
  <c r="CC17" i="4" a="1"/>
  <c r="CC17" i="4" s="1"/>
  <c r="CB17" i="4" a="1"/>
  <c r="CB17" i="4"/>
  <c r="CA17" i="4" a="1"/>
  <c r="CA17" i="4" s="1"/>
  <c r="BZ17" i="4" a="1"/>
  <c r="BZ17" i="4"/>
  <c r="BY17" i="4" a="1"/>
  <c r="BY17" i="4"/>
  <c r="BX17" i="4" a="1"/>
  <c r="BX17" i="4"/>
  <c r="BW17" i="4" a="1"/>
  <c r="BW17" i="4"/>
  <c r="BV17" i="4" a="1"/>
  <c r="BV17" i="4"/>
  <c r="BU17" i="4" a="1"/>
  <c r="BU17" i="4"/>
  <c r="BT17" i="4" a="1"/>
  <c r="BT17" i="4" s="1"/>
  <c r="BS17" i="4" a="1"/>
  <c r="BS17" i="4" s="1"/>
  <c r="BR17" i="4" a="1"/>
  <c r="BR17" i="4"/>
  <c r="BQ17" i="4" a="1"/>
  <c r="BQ17" i="4"/>
  <c r="BP17" i="4" a="1"/>
  <c r="BP17" i="4"/>
  <c r="BO17" i="4" a="1"/>
  <c r="BO17" i="4"/>
  <c r="BN17" i="4" a="1"/>
  <c r="BN17" i="4"/>
  <c r="BM17" i="4" a="1"/>
  <c r="BM17" i="4"/>
  <c r="BL17" i="4" a="1"/>
  <c r="BL17" i="4" s="1"/>
  <c r="BK17" i="4" a="1"/>
  <c r="BK17" i="4" s="1"/>
  <c r="BJ17" i="4" a="1"/>
  <c r="BJ17" i="4"/>
  <c r="BI17" i="4" a="1"/>
  <c r="BI17" i="4"/>
  <c r="BH17" i="4" a="1"/>
  <c r="BH17" i="4"/>
  <c r="BG17" i="4" a="1"/>
  <c r="BG17" i="4"/>
  <c r="BF17" i="4" a="1"/>
  <c r="BF17" i="4"/>
  <c r="BE17" i="4" a="1"/>
  <c r="BE17" i="4" s="1"/>
  <c r="BD17" i="4" a="1"/>
  <c r="BD17" i="4"/>
  <c r="BC17" i="4" a="1"/>
  <c r="BC17" i="4" s="1"/>
  <c r="BB17" i="4" a="1"/>
  <c r="BB17" i="4"/>
  <c r="BA17" i="4" a="1"/>
  <c r="BA17" i="4"/>
  <c r="AZ17" i="4" a="1"/>
  <c r="AZ17" i="4"/>
  <c r="AY17" i="4" a="1"/>
  <c r="AY17" i="4"/>
  <c r="AX17" i="4" a="1"/>
  <c r="AX17" i="4"/>
  <c r="AW17" i="4" a="1"/>
  <c r="AW17" i="4" s="1"/>
  <c r="AV17" i="4" a="1"/>
  <c r="AV17" i="4"/>
  <c r="AU17" i="4" a="1"/>
  <c r="AU17" i="4" s="1"/>
  <c r="AT17" i="4" a="1"/>
  <c r="AT17" i="4" s="1"/>
  <c r="AS17" i="4" a="1"/>
  <c r="AS17" i="4"/>
  <c r="AR17" i="4" a="1"/>
  <c r="AR17" i="4"/>
  <c r="AQ17" i="4" a="1"/>
  <c r="AQ17" i="4"/>
  <c r="AP17" i="4" a="1"/>
  <c r="AP17" i="4"/>
  <c r="AO17" i="4" a="1"/>
  <c r="AO17" i="4"/>
  <c r="AN17" i="4" a="1"/>
  <c r="AN17" i="4" s="1"/>
  <c r="AM17" i="4" a="1"/>
  <c r="AM17" i="4" s="1"/>
  <c r="AL17" i="4" a="1"/>
  <c r="AL17" i="4" s="1"/>
  <c r="AK17" i="4" a="1"/>
  <c r="AK17" i="4"/>
  <c r="AJ17" i="4" a="1"/>
  <c r="AJ17" i="4"/>
  <c r="AI17" i="4" a="1"/>
  <c r="AI17" i="4"/>
  <c r="AH17" i="4" a="1"/>
  <c r="AH17" i="4"/>
  <c r="AG17" i="4" a="1"/>
  <c r="AG17" i="4" s="1"/>
  <c r="AF17" i="4" a="1"/>
  <c r="AF17" i="4" s="1"/>
  <c r="AE17" i="4" a="1"/>
  <c r="AE17" i="4" s="1"/>
  <c r="AD17" i="4" a="1"/>
  <c r="AD17" i="4"/>
  <c r="AC17" i="4" a="1"/>
  <c r="AC17" i="4"/>
  <c r="AB17" i="4" a="1"/>
  <c r="AB17" i="4"/>
  <c r="AA17" i="4" a="1"/>
  <c r="AA17" i="4"/>
  <c r="Z17" i="4" a="1"/>
  <c r="Z17" i="4"/>
  <c r="Y17" i="4" a="1"/>
  <c r="Y17" i="4" s="1"/>
  <c r="X17" i="4" a="1"/>
  <c r="X17" i="4" s="1"/>
  <c r="W17" i="4" a="1"/>
  <c r="W17" i="4" s="1"/>
  <c r="V17" i="4" a="1"/>
  <c r="V17" i="4"/>
  <c r="U17" i="4" a="1"/>
  <c r="U17" i="4"/>
  <c r="T17" i="4" a="1"/>
  <c r="T17" i="4"/>
  <c r="S17" i="4" a="1"/>
  <c r="S17" i="4" s="1"/>
  <c r="R17" i="4" a="1"/>
  <c r="R17" i="4"/>
  <c r="Q17" i="4" a="1"/>
  <c r="Q17" i="4" s="1"/>
  <c r="P17" i="4" a="1"/>
  <c r="P17" i="4" s="1"/>
  <c r="O17" i="4" a="1"/>
  <c r="O17" i="4" s="1"/>
  <c r="N17" i="4" a="1"/>
  <c r="N17" i="4" s="1"/>
  <c r="M17" i="4" a="1"/>
  <c r="M17" i="4"/>
  <c r="L17" i="4" a="1"/>
  <c r="L17" i="4"/>
  <c r="K17" i="4" a="1"/>
  <c r="K17" i="4"/>
  <c r="J17" i="4" a="1"/>
  <c r="J17" i="4"/>
  <c r="I17" i="4" a="1"/>
  <c r="I17" i="4"/>
  <c r="H17" i="4" a="1"/>
  <c r="H17" i="4" s="1"/>
  <c r="G17" i="4" a="1"/>
  <c r="G17" i="4" s="1"/>
  <c r="F17" i="4" a="1"/>
  <c r="F17" i="4" s="1"/>
  <c r="E17" i="4" a="1"/>
  <c r="E17" i="4"/>
  <c r="D17" i="4" a="1"/>
  <c r="D17" i="4"/>
  <c r="C17" i="4" a="1"/>
  <c r="C17" i="4"/>
  <c r="EF16" i="4" a="1"/>
  <c r="EF16" i="4"/>
  <c r="EE16" i="4" a="1"/>
  <c r="EE16" i="4"/>
  <c r="ED16" i="4" a="1"/>
  <c r="ED16" i="4"/>
  <c r="EC16" i="4" a="1"/>
  <c r="EC16" i="4" s="1"/>
  <c r="EB16" i="4" a="1"/>
  <c r="EB16" i="4" s="1"/>
  <c r="EA16" i="4" a="1"/>
  <c r="EA16" i="4"/>
  <c r="DZ16" i="4" a="1"/>
  <c r="DZ16" i="4"/>
  <c r="DY16" i="4" a="1"/>
  <c r="DY16" i="4" s="1"/>
  <c r="DX16" i="4" a="1"/>
  <c r="DX16" i="4"/>
  <c r="DW16" i="4" a="1"/>
  <c r="DW16" i="4"/>
  <c r="DV16" i="4" a="1"/>
  <c r="DV16" i="4"/>
  <c r="DU16" i="4" a="1"/>
  <c r="DU16" i="4" s="1"/>
  <c r="DT16" i="4" a="1"/>
  <c r="DT16" i="4"/>
  <c r="DS16" i="4" a="1"/>
  <c r="DS16" i="4"/>
  <c r="DR16" i="4" a="1"/>
  <c r="DR16" i="4"/>
  <c r="DQ16" i="4" a="1"/>
  <c r="DQ16" i="4" s="1"/>
  <c r="DP16" i="4" a="1"/>
  <c r="DP16" i="4"/>
  <c r="DO16" i="4" a="1"/>
  <c r="DO16" i="4" s="1"/>
  <c r="DN16" i="4" a="1"/>
  <c r="DN16" i="4"/>
  <c r="DM16" i="4" a="1"/>
  <c r="DM16" i="4" s="1"/>
  <c r="DL16" i="4" a="1"/>
  <c r="DL16" i="4"/>
  <c r="DK16" i="4" a="1"/>
  <c r="DK16" i="4"/>
  <c r="DJ16" i="4" a="1"/>
  <c r="DJ16" i="4"/>
  <c r="DI16" i="4" a="1"/>
  <c r="DI16" i="4"/>
  <c r="DH16" i="4" a="1"/>
  <c r="DH16" i="4"/>
  <c r="DG16" i="4" a="1"/>
  <c r="DG16" i="4"/>
  <c r="DF16" i="4" a="1"/>
  <c r="DF16" i="4"/>
  <c r="DE16" i="4" a="1"/>
  <c r="DE16" i="4" s="1"/>
  <c r="DD16" i="4" a="1"/>
  <c r="DD16" i="4"/>
  <c r="DC16" i="4" a="1"/>
  <c r="DC16" i="4"/>
  <c r="DB16" i="4" a="1"/>
  <c r="DB16" i="4"/>
  <c r="DA16" i="4" a="1"/>
  <c r="DA16" i="4"/>
  <c r="CZ16" i="4" a="1"/>
  <c r="CZ16" i="4"/>
  <c r="CY16" i="4" a="1"/>
  <c r="CY16" i="4"/>
  <c r="CX16" i="4" a="1"/>
  <c r="CX16" i="4" s="1"/>
  <c r="CW16" i="4" a="1"/>
  <c r="CW16" i="4" s="1"/>
  <c r="CV16" i="4" a="1"/>
  <c r="CV16" i="4" s="1"/>
  <c r="CU16" i="4" a="1"/>
  <c r="CU16" i="4"/>
  <c r="CT16" i="4" a="1"/>
  <c r="CT16" i="4"/>
  <c r="CS16" i="4" a="1"/>
  <c r="CS16" i="4" s="1"/>
  <c r="CR16" i="4" a="1"/>
  <c r="CR16" i="4"/>
  <c r="CQ16" i="4" a="1"/>
  <c r="CQ16" i="4" s="1"/>
  <c r="CP16" i="4" a="1"/>
  <c r="CP16" i="4" s="1"/>
  <c r="CO16" i="4" a="1"/>
  <c r="CO16" i="4" s="1"/>
  <c r="CN16" i="4" a="1"/>
  <c r="CN16" i="4"/>
  <c r="CM16" i="4" a="1"/>
  <c r="CM16" i="4"/>
  <c r="CL16" i="4" a="1"/>
  <c r="CL16" i="4"/>
  <c r="CK16" i="4" a="1"/>
  <c r="CK16" i="4"/>
  <c r="CJ16" i="4" a="1"/>
  <c r="CJ16" i="4"/>
  <c r="CI16" i="4" a="1"/>
  <c r="CI16" i="4" s="1"/>
  <c r="CH16" i="4" a="1"/>
  <c r="CH16" i="4"/>
  <c r="CG16" i="4" a="1"/>
  <c r="CG16" i="4" s="1"/>
  <c r="CF16" i="4" a="1"/>
  <c r="CF16" i="4" s="1"/>
  <c r="CE16" i="4" a="1"/>
  <c r="CE16" i="4"/>
  <c r="CD16" i="4" a="1"/>
  <c r="CD16" i="4"/>
  <c r="CC16" i="4" a="1"/>
  <c r="CC16" i="4"/>
  <c r="CB16" i="4" a="1"/>
  <c r="CB16" i="4"/>
  <c r="CA16" i="4" a="1"/>
  <c r="CA16" i="4"/>
  <c r="BZ16" i="4" a="1"/>
  <c r="BZ16" i="4" s="1"/>
  <c r="BY16" i="4" a="1"/>
  <c r="BY16" i="4" s="1"/>
  <c r="BX16" i="4" a="1"/>
  <c r="BX16" i="4"/>
  <c r="BW16" i="4" a="1"/>
  <c r="BW16" i="4"/>
  <c r="BV16" i="4" a="1"/>
  <c r="BV16" i="4"/>
  <c r="BU16" i="4" a="1"/>
  <c r="BU16" i="4" s="1"/>
  <c r="BT16" i="4" a="1"/>
  <c r="BT16" i="4"/>
  <c r="BS16" i="4" a="1"/>
  <c r="BS16" i="4"/>
  <c r="BR16" i="4" a="1"/>
  <c r="BR16" i="4" s="1"/>
  <c r="BQ16" i="4" a="1"/>
  <c r="BQ16" i="4" s="1"/>
  <c r="BP16" i="4" a="1"/>
  <c r="BP16" i="4"/>
  <c r="BO16" i="4" a="1"/>
  <c r="BO16" i="4"/>
  <c r="BN16" i="4" a="1"/>
  <c r="BN16" i="4"/>
  <c r="BM16" i="4" a="1"/>
  <c r="BM16" i="4"/>
  <c r="BL16" i="4" a="1"/>
  <c r="BL16" i="4"/>
  <c r="BK16" i="4" a="1"/>
  <c r="BK16" i="4" s="1"/>
  <c r="BJ16" i="4" a="1"/>
  <c r="BJ16" i="4"/>
  <c r="BI16" i="4" a="1"/>
  <c r="BI16" i="4" s="1"/>
  <c r="BH16" i="4" a="1"/>
  <c r="BH16" i="4"/>
  <c r="BG16" i="4" a="1"/>
  <c r="BG16" i="4"/>
  <c r="BF16" i="4" a="1"/>
  <c r="BF16" i="4"/>
  <c r="BE16" i="4" a="1"/>
  <c r="BE16" i="4" s="1"/>
  <c r="BD16" i="4" a="1"/>
  <c r="BD16" i="4"/>
  <c r="BC16" i="4" a="1"/>
  <c r="BC16" i="4"/>
  <c r="BB16" i="4" a="1"/>
  <c r="BB16" i="4"/>
  <c r="BA16" i="4" a="1"/>
  <c r="BA16" i="4" s="1"/>
  <c r="AZ16" i="4" a="1"/>
  <c r="AZ16" i="4" s="1"/>
  <c r="AY16" i="4" a="1"/>
  <c r="AY16" i="4"/>
  <c r="AX16" i="4" a="1"/>
  <c r="AX16" i="4"/>
  <c r="AW16" i="4" a="1"/>
  <c r="AW16" i="4"/>
  <c r="AV16" i="4" a="1"/>
  <c r="AV16" i="4"/>
  <c r="AU16" i="4" a="1"/>
  <c r="AU16" i="4"/>
  <c r="AT16" i="4" a="1"/>
  <c r="AT16" i="4" s="1"/>
  <c r="AS16" i="4" a="1"/>
  <c r="AS16" i="4" s="1"/>
  <c r="AR16" i="4" a="1"/>
  <c r="AR16" i="4"/>
  <c r="AQ16" i="4" a="1"/>
  <c r="AQ16" i="4"/>
  <c r="AP16" i="4" a="1"/>
  <c r="AP16" i="4"/>
  <c r="AO16" i="4" a="1"/>
  <c r="AO16" i="4" s="1"/>
  <c r="AN16" i="4" a="1"/>
  <c r="AN16" i="4"/>
  <c r="AM16" i="4" a="1"/>
  <c r="AM16" i="4" s="1"/>
  <c r="AL16" i="4" a="1"/>
  <c r="AL16" i="4" s="1"/>
  <c r="AK16" i="4" a="1"/>
  <c r="AK16" i="4" s="1"/>
  <c r="AJ16" i="4" a="1"/>
  <c r="AJ16" i="4" s="1"/>
  <c r="AI16" i="4" a="1"/>
  <c r="AI16" i="4"/>
  <c r="AH16" i="4" a="1"/>
  <c r="AH16" i="4"/>
  <c r="AG16" i="4" a="1"/>
  <c r="AG16" i="4" s="1"/>
  <c r="AF16" i="4" a="1"/>
  <c r="AF16" i="4"/>
  <c r="AE16" i="4" a="1"/>
  <c r="AE16" i="4" s="1"/>
  <c r="AD16" i="4" a="1"/>
  <c r="AD16" i="4"/>
  <c r="AC16" i="4" a="1"/>
  <c r="AC16" i="4" s="1"/>
  <c r="AB16" i="4" a="1"/>
  <c r="AB16" i="4"/>
  <c r="AA16" i="4" a="1"/>
  <c r="AA16" i="4"/>
  <c r="Z16" i="4" a="1"/>
  <c r="Z16" i="4"/>
  <c r="Y16" i="4" a="1"/>
  <c r="Y16" i="4"/>
  <c r="X16" i="4" a="1"/>
  <c r="X16" i="4"/>
  <c r="W16" i="4" a="1"/>
  <c r="W16" i="4"/>
  <c r="V16" i="4" a="1"/>
  <c r="V16" i="4" s="1"/>
  <c r="U16" i="4" a="1"/>
  <c r="U16" i="4" s="1"/>
  <c r="T16" i="4" a="1"/>
  <c r="T16" i="4" s="1"/>
  <c r="S16" i="4" a="1"/>
  <c r="S16" i="4"/>
  <c r="R16" i="4" a="1"/>
  <c r="R16" i="4"/>
  <c r="Q16" i="4" a="1"/>
  <c r="Q16" i="4"/>
  <c r="P16" i="4" a="1"/>
  <c r="P16" i="4"/>
  <c r="O16" i="4" a="1"/>
  <c r="O16" i="4"/>
  <c r="N16" i="4" a="1"/>
  <c r="N16" i="4"/>
  <c r="M16" i="4" a="1"/>
  <c r="M16" i="4" s="1"/>
  <c r="L16" i="4" a="1"/>
  <c r="L16" i="4"/>
  <c r="K16" i="4" a="1"/>
  <c r="K16" i="4"/>
  <c r="J16" i="4" a="1"/>
  <c r="J16" i="4"/>
  <c r="I16" i="4" a="1"/>
  <c r="I16" i="4"/>
  <c r="H16" i="4" a="1"/>
  <c r="H16" i="4"/>
  <c r="G16" i="4" a="1"/>
  <c r="G16" i="4"/>
  <c r="F16" i="4" a="1"/>
  <c r="F16" i="4" s="1"/>
  <c r="E16" i="4" a="1"/>
  <c r="E16" i="4" s="1"/>
  <c r="D16" i="4" a="1"/>
  <c r="D16" i="4" s="1"/>
  <c r="C16" i="4" a="1"/>
  <c r="C16" i="4"/>
  <c r="EF15" i="4" a="1"/>
  <c r="EF15" i="4"/>
  <c r="EE15" i="4" a="1"/>
  <c r="EE15" i="4" s="1"/>
  <c r="ED15" i="4" a="1"/>
  <c r="ED15" i="4"/>
  <c r="EC15" i="4" a="1"/>
  <c r="EC15" i="4" s="1"/>
  <c r="EB15" i="4" a="1"/>
  <c r="EB15" i="4"/>
  <c r="EA15" i="4" a="1"/>
  <c r="EA15" i="4" s="1"/>
  <c r="DZ15" i="4" a="1"/>
  <c r="DZ15" i="4"/>
  <c r="DY15" i="4" a="1"/>
  <c r="DY15" i="4"/>
  <c r="DX15" i="4" a="1"/>
  <c r="DX15" i="4"/>
  <c r="DW15" i="4" a="1"/>
  <c r="DW15" i="4" s="1"/>
  <c r="DV15" i="4" a="1"/>
  <c r="DV15" i="4"/>
  <c r="DU15" i="4" a="1"/>
  <c r="DU15" i="4"/>
  <c r="DT15" i="4" a="1"/>
  <c r="DT15" i="4" s="1"/>
  <c r="DS15" i="4" a="1"/>
  <c r="DS15" i="4" s="1"/>
  <c r="DR15" i="4" a="1"/>
  <c r="DR15" i="4" s="1"/>
  <c r="DQ15" i="4" a="1"/>
  <c r="DQ15" i="4"/>
  <c r="DP15" i="4" a="1"/>
  <c r="DP15" i="4"/>
  <c r="DO15" i="4" a="1"/>
  <c r="DO15" i="4" s="1"/>
  <c r="DN15" i="4" a="1"/>
  <c r="DN15" i="4"/>
  <c r="DM15" i="4" a="1"/>
  <c r="DM15" i="4" s="1"/>
  <c r="DL15" i="4" a="1"/>
  <c r="DL15" i="4"/>
  <c r="DK15" i="4" a="1"/>
  <c r="DK15" i="4" s="1"/>
  <c r="DJ15" i="4" a="1"/>
  <c r="DJ15" i="4" s="1"/>
  <c r="DI15" i="4" a="1"/>
  <c r="DI15" i="4"/>
  <c r="DH15" i="4" a="1"/>
  <c r="DH15" i="4"/>
  <c r="DG15" i="4" a="1"/>
  <c r="DG15" i="4"/>
  <c r="DF15" i="4" a="1"/>
  <c r="DF15" i="4"/>
  <c r="DE15" i="4" a="1"/>
  <c r="DE15" i="4"/>
  <c r="DD15" i="4" a="1"/>
  <c r="DD15" i="4" s="1"/>
  <c r="DC15" i="4" a="1"/>
  <c r="DC15" i="4" s="1"/>
  <c r="DB15" i="4" a="1"/>
  <c r="DB15" i="4"/>
  <c r="DA15" i="4" a="1"/>
  <c r="DA15" i="4"/>
  <c r="CZ15" i="4" a="1"/>
  <c r="CZ15" i="4"/>
  <c r="CY15" i="4" a="1"/>
  <c r="CY15" i="4" s="1"/>
  <c r="CX15" i="4" a="1"/>
  <c r="CX15" i="4"/>
  <c r="CW15" i="4" a="1"/>
  <c r="CW15" i="4" s="1"/>
  <c r="CV15" i="4" a="1"/>
  <c r="CV15" i="4" s="1"/>
  <c r="CU15" i="4" a="1"/>
  <c r="CU15" i="4" s="1"/>
  <c r="CT15" i="4" a="1"/>
  <c r="CT15" i="4" s="1"/>
  <c r="CS15" i="4" a="1"/>
  <c r="CS15" i="4"/>
  <c r="CR15" i="4" a="1"/>
  <c r="CR15" i="4"/>
  <c r="CQ15" i="4" a="1"/>
  <c r="CQ15" i="4"/>
  <c r="CP15" i="4" a="1"/>
  <c r="CP15" i="4"/>
  <c r="CO15" i="4" a="1"/>
  <c r="CO15" i="4" s="1"/>
  <c r="CN15" i="4" a="1"/>
  <c r="CN15" i="4"/>
  <c r="CM15" i="4" a="1"/>
  <c r="CM15" i="4" s="1"/>
  <c r="CL15" i="4" a="1"/>
  <c r="CL15" i="4" s="1"/>
  <c r="CK15" i="4" a="1"/>
  <c r="CK15" i="4"/>
  <c r="CJ15" i="4" a="1"/>
  <c r="CJ15" i="4"/>
  <c r="CI15" i="4" a="1"/>
  <c r="CI15" i="4" s="1"/>
  <c r="CH15" i="4" a="1"/>
  <c r="CH15" i="4"/>
  <c r="CG15" i="4" a="1"/>
  <c r="CG15" i="4"/>
  <c r="CF15" i="4" a="1"/>
  <c r="CF15" i="4" s="1"/>
  <c r="CE15" i="4" a="1"/>
  <c r="CE15" i="4" s="1"/>
  <c r="CD15" i="4" a="1"/>
  <c r="CD15" i="4" s="1"/>
  <c r="CC15" i="4" a="1"/>
  <c r="CC15" i="4"/>
  <c r="CB15" i="4" a="1"/>
  <c r="CB15" i="4"/>
  <c r="CA15" i="4" a="1"/>
  <c r="CA15" i="4"/>
  <c r="BZ15" i="4" a="1"/>
  <c r="BZ15" i="4"/>
  <c r="BY15" i="4" a="1"/>
  <c r="BY15" i="4" s="1"/>
  <c r="BX15" i="4" a="1"/>
  <c r="BX15" i="4" s="1"/>
  <c r="BW15" i="4" a="1"/>
  <c r="BW15" i="4" s="1"/>
  <c r="BV15" i="4" a="1"/>
  <c r="BV15" i="4"/>
  <c r="BU15" i="4" a="1"/>
  <c r="BU15" i="4"/>
  <c r="BT15" i="4" a="1"/>
  <c r="BT15" i="4"/>
  <c r="BS15" i="4" a="1"/>
  <c r="BS15" i="4"/>
  <c r="BR15" i="4" a="1"/>
  <c r="BR15" i="4"/>
  <c r="BQ15" i="4" a="1"/>
  <c r="BQ15" i="4"/>
  <c r="BP15" i="4" a="1"/>
  <c r="BP15" i="4" s="1"/>
  <c r="BO15" i="4" a="1"/>
  <c r="BO15" i="4"/>
  <c r="BN15" i="4" a="1"/>
  <c r="BN15" i="4"/>
  <c r="BM15" i="4" a="1"/>
  <c r="BM15" i="4"/>
  <c r="BL15" i="4" a="1"/>
  <c r="BL15" i="4"/>
  <c r="BK15" i="4" a="1"/>
  <c r="BK15" i="4" s="1"/>
  <c r="BJ15" i="4" a="1"/>
  <c r="BJ15" i="4"/>
  <c r="BI15" i="4" a="1"/>
  <c r="BI15" i="4"/>
  <c r="BH15" i="4" a="1"/>
  <c r="BH15" i="4" s="1"/>
  <c r="BG15" i="4" a="1"/>
  <c r="BG15" i="4"/>
  <c r="BF15" i="4" a="1"/>
  <c r="BF15" i="4"/>
  <c r="BE15" i="4" a="1"/>
  <c r="BE15" i="4"/>
  <c r="BD15" i="4" a="1"/>
  <c r="BD15" i="4"/>
  <c r="BC15" i="4" a="1"/>
  <c r="BC15" i="4" s="1"/>
  <c r="BB15" i="4" a="1"/>
  <c r="BB15" i="4"/>
  <c r="BA15" i="4" a="1"/>
  <c r="BA15" i="4" s="1"/>
  <c r="AZ15" i="4" a="1"/>
  <c r="AZ15" i="4" s="1"/>
  <c r="AY15" i="4" a="1"/>
  <c r="AY15" i="4" s="1"/>
  <c r="AX15" i="4" a="1"/>
  <c r="AX15" i="4"/>
  <c r="AW15" i="4" a="1"/>
  <c r="AW15" i="4"/>
  <c r="AV15" i="4" a="1"/>
  <c r="AV15" i="4"/>
  <c r="AU15" i="4" a="1"/>
  <c r="AU15" i="4"/>
  <c r="AT15" i="4" a="1"/>
  <c r="AT15" i="4"/>
  <c r="AS15" i="4" a="1"/>
  <c r="AS15" i="4" s="1"/>
  <c r="AR15" i="4" a="1"/>
  <c r="AR15" i="4" s="1"/>
  <c r="AQ15" i="4" a="1"/>
  <c r="AQ15" i="4"/>
  <c r="AP15" i="4" a="1"/>
  <c r="AP15" i="4"/>
  <c r="AO15" i="4" a="1"/>
  <c r="AO15" i="4"/>
  <c r="AN15" i="4" a="1"/>
  <c r="AN15" i="4"/>
  <c r="AM15" i="4" a="1"/>
  <c r="AM15" i="4"/>
  <c r="AL15" i="4" a="1"/>
  <c r="AL15" i="4"/>
  <c r="AK15" i="4" a="1"/>
  <c r="AK15" i="4" s="1"/>
  <c r="AJ15" i="4" a="1"/>
  <c r="AJ15" i="4" s="1"/>
  <c r="AI15" i="4" a="1"/>
  <c r="AI15" i="4"/>
  <c r="AH15" i="4" a="1"/>
  <c r="AH15" i="4" s="1"/>
  <c r="AG15" i="4" a="1"/>
  <c r="AG15" i="4"/>
  <c r="AF15" i="4" a="1"/>
  <c r="AF15" i="4"/>
  <c r="AE15" i="4" a="1"/>
  <c r="AE15" i="4" s="1"/>
  <c r="AD15" i="4" a="1"/>
  <c r="AD15" i="4"/>
  <c r="AC15" i="4" a="1"/>
  <c r="AC15" i="4" s="1"/>
  <c r="AB15" i="4" a="1"/>
  <c r="AB15" i="4" s="1"/>
  <c r="AA15" i="4" a="1"/>
  <c r="AA15" i="4" s="1"/>
  <c r="Z15" i="4" a="1"/>
  <c r="Z15" i="4"/>
  <c r="Y15" i="4" a="1"/>
  <c r="Y15" i="4"/>
  <c r="X15" i="4" a="1"/>
  <c r="X15" i="4"/>
  <c r="W15" i="4" a="1"/>
  <c r="W15" i="4"/>
  <c r="V15" i="4" a="1"/>
  <c r="V15" i="4"/>
  <c r="U15" i="4" a="1"/>
  <c r="U15" i="4" s="1"/>
  <c r="T15" i="4" a="1"/>
  <c r="T15" i="4" s="1"/>
  <c r="S15" i="4" a="1"/>
  <c r="S15" i="4"/>
  <c r="R15" i="4" a="1"/>
  <c r="R15" i="4"/>
  <c r="Q15" i="4" a="1"/>
  <c r="Q15" i="4"/>
  <c r="P15" i="4" a="1"/>
  <c r="P15" i="4"/>
  <c r="O15" i="4" a="1"/>
  <c r="O15" i="4"/>
  <c r="N15" i="4" a="1"/>
  <c r="N15" i="4"/>
  <c r="M15" i="4" a="1"/>
  <c r="M15" i="4" s="1"/>
  <c r="L15" i="4" a="1"/>
  <c r="L15" i="4" s="1"/>
  <c r="K15" i="4" a="1"/>
  <c r="K15" i="4" s="1"/>
  <c r="J15" i="4" a="1"/>
  <c r="J15" i="4" s="1"/>
  <c r="I15" i="4" a="1"/>
  <c r="I15" i="4"/>
  <c r="H15" i="4" a="1"/>
  <c r="H15" i="4"/>
  <c r="G15" i="4" a="1"/>
  <c r="G15" i="4" s="1"/>
  <c r="F15" i="4" a="1"/>
  <c r="F15" i="4"/>
  <c r="E15" i="4" a="1"/>
  <c r="E15" i="4"/>
  <c r="D15" i="4" a="1"/>
  <c r="D15" i="4" s="1"/>
  <c r="C15" i="4" a="1"/>
  <c r="C15" i="4" s="1"/>
  <c r="EF14" i="4" a="1"/>
  <c r="EF14" i="4" s="1"/>
  <c r="EE14" i="4" a="1"/>
  <c r="EE14" i="4"/>
  <c r="ED14" i="4" a="1"/>
  <c r="ED14" i="4"/>
  <c r="EC14" i="4" a="1"/>
  <c r="EC14" i="4" s="1"/>
  <c r="EB14" i="4" a="1"/>
  <c r="EB14" i="4"/>
  <c r="EA14" i="4" a="1"/>
  <c r="EA14" i="4" s="1"/>
  <c r="DZ14" i="4" a="1"/>
  <c r="DZ14" i="4" s="1"/>
  <c r="DY14" i="4" a="1"/>
  <c r="DY14" i="4"/>
  <c r="DX14" i="4" a="1"/>
  <c r="DX14" i="4"/>
  <c r="DW14" i="4" a="1"/>
  <c r="DW14" i="4"/>
  <c r="DV14" i="4" a="1"/>
  <c r="DV14" i="4"/>
  <c r="DU14" i="4" a="1"/>
  <c r="DU14" i="4"/>
  <c r="DT14" i="4" a="1"/>
  <c r="DT14" i="4"/>
  <c r="DS14" i="4" a="1"/>
  <c r="DS14" i="4"/>
  <c r="DR14" i="4" a="1"/>
  <c r="DR14" i="4" s="1"/>
  <c r="DQ14" i="4" a="1"/>
  <c r="DQ14" i="4" s="1"/>
  <c r="DP14" i="4" a="1"/>
  <c r="DP14" i="4"/>
  <c r="DO14" i="4" a="1"/>
  <c r="DO14" i="4"/>
  <c r="DN14" i="4" a="1"/>
  <c r="DN14" i="4"/>
  <c r="DM14" i="4" a="1"/>
  <c r="DM14" i="4" s="1"/>
  <c r="DL14" i="4" a="1"/>
  <c r="DL14" i="4"/>
  <c r="DK14" i="4" a="1"/>
  <c r="DK14" i="4"/>
  <c r="DJ14" i="4" a="1"/>
  <c r="DJ14" i="4" s="1"/>
  <c r="DI14" i="4" a="1"/>
  <c r="DI14" i="4" s="1"/>
  <c r="DH14" i="4" a="1"/>
  <c r="DH14" i="4" s="1"/>
  <c r="DG14" i="4" a="1"/>
  <c r="DG14" i="4"/>
  <c r="DF14" i="4" a="1"/>
  <c r="DF14" i="4"/>
  <c r="DE14" i="4" a="1"/>
  <c r="DE14" i="4"/>
  <c r="DD14" i="4" a="1"/>
  <c r="DD14" i="4"/>
  <c r="DC14" i="4" a="1"/>
  <c r="DC14" i="4" s="1"/>
  <c r="DB14" i="4" a="1"/>
  <c r="DB14" i="4" s="1"/>
  <c r="DA14" i="4" a="1"/>
  <c r="DA14" i="4"/>
  <c r="CZ14" i="4" a="1"/>
  <c r="CZ14" i="4" s="1"/>
  <c r="CY14" i="4" a="1"/>
  <c r="CY14" i="4"/>
  <c r="CX14" i="4" a="1"/>
  <c r="CX14" i="4"/>
  <c r="CW14" i="4" a="1"/>
  <c r="CW14" i="4"/>
  <c r="CV14" i="4" a="1"/>
  <c r="CV14" i="4"/>
  <c r="CU14" i="4" a="1"/>
  <c r="CU14" i="4"/>
  <c r="CT14" i="4" a="1"/>
  <c r="CT14" i="4" s="1"/>
  <c r="CS14" i="4" a="1"/>
  <c r="CS14" i="4" s="1"/>
  <c r="CR14" i="4" a="1"/>
  <c r="CR14" i="4"/>
  <c r="CQ14" i="4" a="1"/>
  <c r="CQ14" i="4"/>
  <c r="CP14" i="4" a="1"/>
  <c r="CP14" i="4"/>
  <c r="CO14" i="4" a="1"/>
  <c r="CO14" i="4" s="1"/>
  <c r="CN14" i="4" a="1"/>
  <c r="CN14" i="4"/>
  <c r="CM14" i="4" a="1"/>
  <c r="CM14" i="4"/>
  <c r="CL14" i="4" a="1"/>
  <c r="CL14" i="4" s="1"/>
  <c r="CK14" i="4" a="1"/>
  <c r="CK14" i="4"/>
  <c r="CJ14" i="4" a="1"/>
  <c r="CJ14" i="4" s="1"/>
  <c r="CI14" i="4" a="1"/>
  <c r="CI14" i="4"/>
  <c r="CH14" i="4" a="1"/>
  <c r="CH14" i="4"/>
  <c r="CG14" i="4" a="1"/>
  <c r="CG14" i="4"/>
  <c r="CF14" i="4" a="1"/>
  <c r="CF14" i="4"/>
  <c r="CE14" i="4" a="1"/>
  <c r="CE14" i="4" s="1"/>
  <c r="CD14" i="4" a="1"/>
  <c r="CD14" i="4" s="1"/>
  <c r="CC14" i="4" a="1"/>
  <c r="CC14" i="4"/>
  <c r="CB14" i="4" a="1"/>
  <c r="CB14" i="4"/>
  <c r="CA14" i="4" a="1"/>
  <c r="CA14" i="4"/>
  <c r="BZ14" i="4" a="1"/>
  <c r="BZ14" i="4"/>
  <c r="BY14" i="4" a="1"/>
  <c r="BY14" i="4" s="1"/>
  <c r="BX14" i="4" a="1"/>
  <c r="BX14" i="4"/>
  <c r="BW14" i="4" a="1"/>
  <c r="BW14" i="4"/>
  <c r="BV14" i="4" a="1"/>
  <c r="BV14" i="4" s="1"/>
  <c r="BU14" i="4" a="1"/>
  <c r="BU14" i="4" s="1"/>
  <c r="BT14" i="4" a="1"/>
  <c r="BT14" i="4" s="1"/>
  <c r="BS14" i="4" a="1"/>
  <c r="BS14" i="4"/>
  <c r="BR14" i="4" a="1"/>
  <c r="BR14" i="4"/>
  <c r="BQ14" i="4" a="1"/>
  <c r="BQ14" i="4"/>
  <c r="BP14" i="4" a="1"/>
  <c r="BP14" i="4"/>
  <c r="BO14" i="4" a="1"/>
  <c r="BO14" i="4"/>
  <c r="BN14" i="4" a="1"/>
  <c r="BN14" i="4" s="1"/>
  <c r="BM14" i="4" a="1"/>
  <c r="BM14" i="4"/>
  <c r="BL14" i="4" a="1"/>
  <c r="BL14" i="4"/>
  <c r="BK14" i="4" a="1"/>
  <c r="BK14" i="4"/>
  <c r="BJ14" i="4" a="1"/>
  <c r="BJ14" i="4"/>
  <c r="BI14" i="4" a="1"/>
  <c r="BI14" i="4"/>
  <c r="BH14" i="4" a="1"/>
  <c r="BH14" i="4"/>
  <c r="BG14" i="4" a="1"/>
  <c r="BG14" i="4" s="1"/>
  <c r="BF14" i="4" a="1"/>
  <c r="BF14" i="4" s="1"/>
  <c r="BE14" i="4" a="1"/>
  <c r="BE14" i="4" s="1"/>
  <c r="BD14" i="4" a="1"/>
  <c r="BD14" i="4"/>
  <c r="BC14" i="4" a="1"/>
  <c r="BC14" i="4"/>
  <c r="BB14" i="4" a="1"/>
  <c r="BB14" i="4"/>
  <c r="BA14" i="4" a="1"/>
  <c r="BA14" i="4"/>
  <c r="AZ14" i="4" a="1"/>
  <c r="AZ14" i="4"/>
  <c r="AY14" i="4" a="1"/>
  <c r="AY14" i="4"/>
  <c r="AX14" i="4" a="1"/>
  <c r="AX14" i="4" s="1"/>
  <c r="AW14" i="4" a="1"/>
  <c r="AW14" i="4"/>
  <c r="AV14" i="4" a="1"/>
  <c r="AV14" i="4"/>
  <c r="AU14" i="4" a="1"/>
  <c r="AU14" i="4"/>
  <c r="AT14" i="4" a="1"/>
  <c r="AT14" i="4"/>
  <c r="AS14" i="4" a="1"/>
  <c r="AS14" i="4" s="1"/>
  <c r="AR14" i="4" a="1"/>
  <c r="AR14" i="4"/>
  <c r="AQ14" i="4" a="1"/>
  <c r="AQ14" i="4"/>
  <c r="AP14" i="4" a="1"/>
  <c r="AP14" i="4" s="1"/>
  <c r="AO14" i="4" a="1"/>
  <c r="AO14" i="4"/>
  <c r="AN14" i="4" a="1"/>
  <c r="AN14" i="4" s="1"/>
  <c r="AM14" i="4" a="1"/>
  <c r="AM14" i="4"/>
  <c r="AL14" i="4" a="1"/>
  <c r="AL14" i="4"/>
  <c r="AK14" i="4" a="1"/>
  <c r="AK14" i="4"/>
  <c r="AJ14" i="4" a="1"/>
  <c r="AJ14" i="4"/>
  <c r="AI14" i="4" a="1"/>
  <c r="AI14" i="4" s="1"/>
  <c r="AH14" i="4" a="1"/>
  <c r="AH14" i="4" s="1"/>
  <c r="AG14" i="4" a="1"/>
  <c r="AG14" i="4" s="1"/>
  <c r="AF14" i="4" a="1"/>
  <c r="AF14" i="4"/>
  <c r="AE14" i="4" a="1"/>
  <c r="AE14" i="4"/>
  <c r="AD14" i="4" a="1"/>
  <c r="AD14" i="4"/>
  <c r="AC14" i="4" a="1"/>
  <c r="AC14" i="4"/>
  <c r="AB14" i="4" a="1"/>
  <c r="AB14" i="4"/>
  <c r="AA14" i="4" a="1"/>
  <c r="AA14" i="4" s="1"/>
  <c r="Z14" i="4" a="1"/>
  <c r="Z14" i="4" s="1"/>
  <c r="Y14" i="4" a="1"/>
  <c r="Y14" i="4"/>
  <c r="X14" i="4" a="1"/>
  <c r="X14" i="4"/>
  <c r="W14" i="4" a="1"/>
  <c r="W14" i="4"/>
  <c r="V14" i="4" a="1"/>
  <c r="V14" i="4"/>
  <c r="U14" i="4" a="1"/>
  <c r="U14" i="4"/>
  <c r="T14" i="4" a="1"/>
  <c r="T14" i="4"/>
  <c r="S14" i="4" a="1"/>
  <c r="S14" i="4"/>
  <c r="R14" i="4" a="1"/>
  <c r="R14" i="4" s="1"/>
  <c r="Q14" i="4" a="1"/>
  <c r="Q14" i="4" s="1"/>
  <c r="P14" i="4" a="1"/>
  <c r="P14" i="4" s="1"/>
  <c r="O14" i="4" a="1"/>
  <c r="O14" i="4"/>
  <c r="N14" i="4" a="1"/>
  <c r="N14" i="4"/>
  <c r="M14" i="4" a="1"/>
  <c r="M14" i="4"/>
  <c r="L14" i="4" a="1"/>
  <c r="L14" i="4"/>
  <c r="K14" i="4" a="1"/>
  <c r="K14" i="4" s="1"/>
  <c r="J14" i="4" a="1"/>
  <c r="J14" i="4" s="1"/>
  <c r="I14" i="4" a="1"/>
  <c r="I14" i="4" s="1"/>
  <c r="H14" i="4" a="1"/>
  <c r="H14" i="4" s="1"/>
  <c r="G14" i="4" a="1"/>
  <c r="G14" i="4"/>
  <c r="F14" i="4" a="1"/>
  <c r="F14" i="4"/>
  <c r="E14" i="4" a="1"/>
  <c r="E14" i="4"/>
  <c r="D14" i="4" a="1"/>
  <c r="D14" i="4"/>
  <c r="C14" i="4" a="1"/>
  <c r="C14" i="4"/>
  <c r="EF13" i="4" a="1"/>
  <c r="EF13" i="4" s="1"/>
  <c r="EE13" i="4" a="1"/>
  <c r="EE13" i="4" s="1"/>
  <c r="ED13" i="4" a="1"/>
  <c r="ED13" i="4" s="1"/>
  <c r="EC13" i="4" a="1"/>
  <c r="EC13" i="4"/>
  <c r="EB13" i="4" a="1"/>
  <c r="EB13" i="4"/>
  <c r="EA13" i="4" a="1"/>
  <c r="EA13" i="4"/>
  <c r="DZ13" i="4" a="1"/>
  <c r="DZ13" i="4"/>
  <c r="DY13" i="4" a="1"/>
  <c r="DY13" i="4" s="1"/>
  <c r="DX13" i="4" a="1"/>
  <c r="DX13" i="4" s="1"/>
  <c r="DW13" i="4" a="1"/>
  <c r="DW13" i="4"/>
  <c r="DV13" i="4" a="1"/>
  <c r="DV13" i="4" s="1"/>
  <c r="DU13" i="4" a="1"/>
  <c r="DU13" i="4"/>
  <c r="DT13" i="4" a="1"/>
  <c r="DT13" i="4"/>
  <c r="DS13" i="4" a="1"/>
  <c r="DS13" i="4" s="1"/>
  <c r="DR13" i="4" a="1"/>
  <c r="DR13" i="4"/>
  <c r="DQ13" i="4" a="1"/>
  <c r="DQ13" i="4"/>
  <c r="DP13" i="4" a="1"/>
  <c r="DP13" i="4" s="1"/>
  <c r="DO13" i="4" a="1"/>
  <c r="DO13" i="4"/>
  <c r="DN13" i="4" a="1"/>
  <c r="DN13" i="4"/>
  <c r="DM13" i="4" a="1"/>
  <c r="DM13" i="4"/>
  <c r="DL13" i="4" a="1"/>
  <c r="DL13" i="4"/>
  <c r="DK13" i="4" a="1"/>
  <c r="DK13" i="4"/>
  <c r="DJ13" i="4" a="1"/>
  <c r="DJ13" i="4"/>
  <c r="DI13" i="4" a="1"/>
  <c r="DI13" i="4" s="1"/>
  <c r="DH13" i="4" a="1"/>
  <c r="DH13" i="4" s="1"/>
  <c r="DG13" i="4" a="1"/>
  <c r="DG13" i="4" s="1"/>
  <c r="DF13" i="4" a="1"/>
  <c r="DF13" i="4" s="1"/>
  <c r="DE13" i="4" a="1"/>
  <c r="DE13" i="4"/>
  <c r="DD13" i="4" a="1"/>
  <c r="DD13" i="4"/>
  <c r="DC13" i="4" a="1"/>
  <c r="DC13" i="4"/>
  <c r="DB13" i="4" a="1"/>
  <c r="DB13" i="4"/>
  <c r="DA13" i="4" a="1"/>
  <c r="DA13" i="4" s="1"/>
  <c r="CZ13" i="4" a="1"/>
  <c r="CZ13" i="4" s="1"/>
  <c r="CY13" i="4" a="1"/>
  <c r="CY13" i="4" s="1"/>
  <c r="CX13" i="4" a="1"/>
  <c r="CX13" i="4"/>
  <c r="CW13" i="4" a="1"/>
  <c r="CW13" i="4"/>
  <c r="CV13" i="4" a="1"/>
  <c r="CV13" i="4"/>
  <c r="CU13" i="4" a="1"/>
  <c r="CU13" i="4" s="1"/>
  <c r="CT13" i="4" a="1"/>
  <c r="CT13" i="4"/>
  <c r="CS13" i="4" a="1"/>
  <c r="CS13" i="4"/>
  <c r="CR13" i="4" a="1"/>
  <c r="CR13" i="4" s="1"/>
  <c r="CQ13" i="4" a="1"/>
  <c r="CQ13" i="4" s="1"/>
  <c r="CP13" i="4" a="1"/>
  <c r="CP13" i="4" s="1"/>
  <c r="CO13" i="4" a="1"/>
  <c r="CO13" i="4"/>
  <c r="CN13" i="4" a="1"/>
  <c r="CN13" i="4"/>
  <c r="CM13" i="4" a="1"/>
  <c r="CM13" i="4"/>
  <c r="CL13" i="4" a="1"/>
  <c r="CL13" i="4"/>
  <c r="CK13" i="4" a="1"/>
  <c r="CK13" i="4" s="1"/>
  <c r="CJ13" i="4" a="1"/>
  <c r="CJ13" i="4" s="1"/>
  <c r="CI13" i="4" a="1"/>
  <c r="CI13" i="4" s="1"/>
  <c r="CH13" i="4" a="1"/>
  <c r="CH13" i="4"/>
  <c r="CG13" i="4" a="1"/>
  <c r="CG13" i="4"/>
  <c r="CF13" i="4" a="1"/>
  <c r="CF13" i="4"/>
  <c r="CE13" i="4" a="1"/>
  <c r="CE13" i="4"/>
  <c r="CD13" i="4" a="1"/>
  <c r="CD13" i="4"/>
  <c r="CC13" i="4" a="1"/>
  <c r="CC13" i="4"/>
  <c r="CB13" i="4" a="1"/>
  <c r="CB13" i="4" s="1"/>
  <c r="CA13" i="4" a="1"/>
  <c r="CA13" i="4"/>
  <c r="BZ13" i="4" a="1"/>
  <c r="BZ13" i="4" s="1"/>
  <c r="BY13" i="4" a="1"/>
  <c r="BY13" i="4"/>
  <c r="BX13" i="4" a="1"/>
  <c r="BX13" i="4"/>
  <c r="BW13" i="4" a="1"/>
  <c r="BW13" i="4" s="1"/>
  <c r="BV13" i="4" a="1"/>
  <c r="BV13" i="4"/>
  <c r="BU13" i="4" a="1"/>
  <c r="BU13" i="4"/>
  <c r="BT13" i="4" a="1"/>
  <c r="BT13" i="4" s="1"/>
  <c r="BS13" i="4" a="1"/>
  <c r="BS13" i="4"/>
  <c r="BR13" i="4" a="1"/>
  <c r="BR13" i="4"/>
  <c r="BQ13" i="4" a="1"/>
  <c r="BQ13" i="4"/>
  <c r="BP13" i="4" a="1"/>
  <c r="BP13" i="4"/>
  <c r="BO13" i="4" a="1"/>
  <c r="BO13" i="4"/>
  <c r="BN13" i="4" a="1"/>
  <c r="BN13" i="4"/>
  <c r="BM13" i="4" a="1"/>
  <c r="BM13" i="4" s="1"/>
  <c r="BL13" i="4" a="1"/>
  <c r="BL13" i="4" s="1"/>
  <c r="BK13" i="4" a="1"/>
  <c r="BK13" i="4" s="1"/>
  <c r="BJ13" i="4" a="1"/>
  <c r="BJ13" i="4"/>
  <c r="BI13" i="4" a="1"/>
  <c r="BI13" i="4"/>
  <c r="BH13" i="4" a="1"/>
  <c r="BH13" i="4"/>
  <c r="BG13" i="4" a="1"/>
  <c r="BG13" i="4"/>
  <c r="BF13" i="4" a="1"/>
  <c r="BF13" i="4"/>
  <c r="BE13" i="4" a="1"/>
  <c r="BE13" i="4" s="1"/>
  <c r="BD13" i="4" a="1"/>
  <c r="BD13" i="4" s="1"/>
  <c r="BC13" i="4" a="1"/>
  <c r="BC13" i="4"/>
  <c r="BB13" i="4" a="1"/>
  <c r="BB13" i="4"/>
  <c r="BA13" i="4" a="1"/>
  <c r="BA13" i="4"/>
  <c r="AZ13" i="4" a="1"/>
  <c r="AZ13" i="4"/>
  <c r="AY13" i="4" a="1"/>
  <c r="AY13" i="4" s="1"/>
  <c r="AX13" i="4" a="1"/>
  <c r="AX13" i="4"/>
  <c r="AW13" i="4" a="1"/>
  <c r="AW13" i="4"/>
  <c r="AV13" i="4" a="1"/>
  <c r="AV13" i="4" s="1"/>
  <c r="AU13" i="4" a="1"/>
  <c r="AU13" i="4"/>
  <c r="AT13" i="4" a="1"/>
  <c r="AT13" i="4" s="1"/>
  <c r="AS13" i="4" a="1"/>
  <c r="AS13" i="4"/>
  <c r="AR13" i="4" a="1"/>
  <c r="AR13" i="4"/>
  <c r="AQ13" i="4" a="1"/>
  <c r="AQ13" i="4"/>
  <c r="AP13" i="4" a="1"/>
  <c r="AP13" i="4"/>
  <c r="AO13" i="4" a="1"/>
  <c r="AO13" i="4" s="1"/>
  <c r="AN13" i="4" a="1"/>
  <c r="AN13" i="4" s="1"/>
  <c r="AM13" i="4" a="1"/>
  <c r="AM13" i="4" s="1"/>
  <c r="AL13" i="4" a="1"/>
  <c r="AL13" i="4"/>
  <c r="AK13" i="4" a="1"/>
  <c r="AK13" i="4"/>
  <c r="AJ13" i="4" a="1"/>
  <c r="AJ13" i="4"/>
  <c r="AI13" i="4" a="1"/>
  <c r="AI13" i="4"/>
  <c r="AH13" i="4" a="1"/>
  <c r="AH13" i="4"/>
  <c r="AG13" i="4" a="1"/>
  <c r="AG13" i="4"/>
  <c r="AF13" i="4" a="1"/>
  <c r="AF13" i="4" s="1"/>
  <c r="AE13" i="4" a="1"/>
  <c r="AE13" i="4"/>
  <c r="AD13" i="4" a="1"/>
  <c r="AD13" i="4"/>
  <c r="AC13" i="4" a="1"/>
  <c r="AC13" i="4"/>
  <c r="AB13" i="4" a="1"/>
  <c r="AB13" i="4"/>
  <c r="AA13" i="4" a="1"/>
  <c r="AA13" i="4"/>
  <c r="Z13" i="4" a="1"/>
  <c r="Z13" i="4"/>
  <c r="Y13" i="4" a="1"/>
  <c r="Y13" i="4"/>
  <c r="X13" i="4" a="1"/>
  <c r="X13" i="4" s="1"/>
  <c r="W13" i="4" a="1"/>
  <c r="W13" i="4" s="1"/>
  <c r="V13" i="4" a="1"/>
  <c r="V13" i="4" s="1"/>
  <c r="U13" i="4" a="1"/>
  <c r="U13" i="4"/>
  <c r="T13" i="4" a="1"/>
  <c r="T13" i="4"/>
  <c r="S13" i="4" a="1"/>
  <c r="S13" i="4"/>
  <c r="R13" i="4" a="1"/>
  <c r="R13" i="4"/>
  <c r="Q13" i="4" a="1"/>
  <c r="Q13" i="4"/>
  <c r="P13" i="4" a="1"/>
  <c r="P13" i="4" s="1"/>
  <c r="O13" i="4" a="1"/>
  <c r="O13" i="4"/>
  <c r="N13" i="4" a="1"/>
  <c r="N13" i="4" s="1"/>
  <c r="M13" i="4" a="1"/>
  <c r="M13" i="4"/>
  <c r="L13" i="4" a="1"/>
  <c r="L13" i="4"/>
  <c r="K13" i="4" a="1"/>
  <c r="K13" i="4" s="1"/>
  <c r="J13" i="4" a="1"/>
  <c r="J13" i="4"/>
  <c r="I13" i="4" a="1"/>
  <c r="I13" i="4" s="1"/>
  <c r="H13" i="4" a="1"/>
  <c r="H13" i="4" s="1"/>
  <c r="G13" i="4" a="1"/>
  <c r="G13" i="4"/>
  <c r="F13" i="4" a="1"/>
  <c r="F13" i="4"/>
  <c r="E13" i="4" a="1"/>
  <c r="E13" i="4"/>
  <c r="D13" i="4" a="1"/>
  <c r="D13" i="4"/>
  <c r="C13" i="4" a="1"/>
  <c r="C13" i="4"/>
  <c r="EF12" i="4" a="1"/>
  <c r="EF12" i="4"/>
  <c r="EE12" i="4" a="1"/>
  <c r="EE12" i="4"/>
  <c r="ED12" i="4" a="1"/>
  <c r="ED12" i="4" s="1"/>
  <c r="EC12" i="4" a="1"/>
  <c r="EC12" i="4"/>
  <c r="EB12" i="4" a="1"/>
  <c r="EB12" i="4"/>
  <c r="EA12" i="4" a="1"/>
  <c r="EA12" i="4"/>
  <c r="DZ12" i="4" a="1"/>
  <c r="DZ12" i="4"/>
  <c r="DY12" i="4" a="1"/>
  <c r="DY12" i="4" s="1"/>
  <c r="DX12" i="4" a="1"/>
  <c r="DX12" i="4"/>
  <c r="DW12" i="4" a="1"/>
  <c r="DW12" i="4" s="1"/>
  <c r="DV12" i="4" a="1"/>
  <c r="DV12" i="4" s="1"/>
  <c r="DU12" i="4" a="1"/>
  <c r="DU12" i="4"/>
  <c r="DT12" i="4" a="1"/>
  <c r="DT12" i="4"/>
  <c r="DS12" i="4" a="1"/>
  <c r="DS12" i="4"/>
  <c r="DR12" i="4" a="1"/>
  <c r="DR12" i="4"/>
  <c r="DQ12" i="4" a="1"/>
  <c r="DQ12" i="4" s="1"/>
  <c r="DP12" i="4" a="1"/>
  <c r="DP12" i="4"/>
  <c r="DO12" i="4" a="1"/>
  <c r="DO12" i="4"/>
  <c r="DN12" i="4" a="1"/>
  <c r="DN12" i="4" s="1"/>
  <c r="DM12" i="4" a="1"/>
  <c r="DM12" i="4"/>
  <c r="DL12" i="4" a="1"/>
  <c r="DL12" i="4"/>
  <c r="DK12" i="4" a="1"/>
  <c r="DK12" i="4"/>
  <c r="DJ12" i="4" a="1"/>
  <c r="DJ12" i="4"/>
  <c r="DI12" i="4" a="1"/>
  <c r="DI12" i="4"/>
  <c r="DH12" i="4" a="1"/>
  <c r="DH12" i="4"/>
  <c r="DG12" i="4" a="1"/>
  <c r="DG12" i="4" s="1"/>
  <c r="DF12" i="4" a="1"/>
  <c r="DF12" i="4" s="1"/>
  <c r="DE12" i="4" a="1"/>
  <c r="DE12" i="4" s="1"/>
  <c r="DD12" i="4" a="1"/>
  <c r="DD12" i="4"/>
  <c r="DC12" i="4" a="1"/>
  <c r="DC12" i="4"/>
  <c r="DB12" i="4" a="1"/>
  <c r="DB12" i="4"/>
  <c r="DA12" i="4" a="1"/>
  <c r="DA12" i="4" s="1"/>
  <c r="CZ12" i="4" a="1"/>
  <c r="CZ12" i="4"/>
  <c r="CY12" i="4" a="1"/>
  <c r="CY12" i="4"/>
  <c r="CX12" i="4" a="1"/>
  <c r="CX12" i="4" s="1"/>
  <c r="CW12" i="4" a="1"/>
  <c r="CW12" i="4" s="1"/>
  <c r="CV12" i="4" a="1"/>
  <c r="CV12" i="4" s="1"/>
  <c r="CU12" i="4" a="1"/>
  <c r="CU12" i="4"/>
  <c r="CT12" i="4" a="1"/>
  <c r="CT12" i="4"/>
  <c r="CS12" i="4" a="1"/>
  <c r="CS12" i="4"/>
  <c r="CR12" i="4" a="1"/>
  <c r="CR12" i="4"/>
  <c r="CQ12" i="4" a="1"/>
  <c r="CQ12" i="4" s="1"/>
  <c r="CP12" i="4" a="1"/>
  <c r="CP12" i="4" s="1"/>
  <c r="CO12" i="4" a="1"/>
  <c r="CO12" i="4"/>
  <c r="CN12" i="4" a="1"/>
  <c r="CN12" i="4"/>
  <c r="CM12" i="4" a="1"/>
  <c r="CM12" i="4"/>
  <c r="CL12" i="4" a="1"/>
  <c r="CL12" i="4"/>
  <c r="CK12" i="4" a="1"/>
  <c r="CK12" i="4" s="1"/>
  <c r="CJ12" i="4" a="1"/>
  <c r="CJ12" i="4"/>
  <c r="CI12" i="4" a="1"/>
  <c r="CI12" i="4" s="1"/>
  <c r="CH12" i="4" a="1"/>
  <c r="CH12" i="4" s="1"/>
  <c r="CG12" i="4" a="1"/>
  <c r="CG12" i="4" s="1"/>
  <c r="CF12" i="4" a="1"/>
  <c r="CF12" i="4"/>
  <c r="CE12" i="4" a="1"/>
  <c r="CE12" i="4"/>
  <c r="CD12" i="4" a="1"/>
  <c r="CD12" i="4"/>
  <c r="CC12" i="4" a="1"/>
  <c r="CC12" i="4"/>
  <c r="CB12" i="4" a="1"/>
  <c r="CB12" i="4"/>
  <c r="CA12" i="4" a="1"/>
  <c r="CA12" i="4"/>
  <c r="BZ12" i="4" a="1"/>
  <c r="BZ12" i="4" s="1"/>
  <c r="BY12" i="4" a="1"/>
  <c r="BY12" i="4"/>
  <c r="BX12" i="4" a="1"/>
  <c r="BX12" i="4"/>
  <c r="BW12" i="4" a="1"/>
  <c r="BW12" i="4"/>
  <c r="BV12" i="4" a="1"/>
  <c r="BV12" i="4"/>
  <c r="BU12" i="4" a="1"/>
  <c r="BU12" i="4"/>
  <c r="BT12" i="4" a="1"/>
  <c r="BT12" i="4"/>
  <c r="BS12" i="4" a="1"/>
  <c r="BS12" i="4" s="1"/>
  <c r="BR12" i="4" a="1"/>
  <c r="BR12" i="4" s="1"/>
  <c r="BQ12" i="4" a="1"/>
  <c r="BQ12" i="4" s="1"/>
  <c r="BP12" i="4" a="1"/>
  <c r="BP12" i="4"/>
  <c r="BO12" i="4" a="1"/>
  <c r="BO12" i="4"/>
  <c r="BN12" i="4" a="1"/>
  <c r="BN12" i="4"/>
  <c r="BM12" i="4" a="1"/>
  <c r="BM12" i="4"/>
  <c r="BL12" i="4" a="1"/>
  <c r="BL12" i="4"/>
  <c r="BK12" i="4" a="1"/>
  <c r="BK12" i="4"/>
  <c r="BJ12" i="4" a="1"/>
  <c r="BJ12" i="4" s="1"/>
  <c r="BI12" i="4" a="1"/>
  <c r="BI12" i="4" s="1"/>
  <c r="BH12" i="4" a="1"/>
  <c r="BH12" i="4"/>
  <c r="BG12" i="4" a="1"/>
  <c r="BG12" i="4"/>
  <c r="BF12" i="4" a="1"/>
  <c r="BF12" i="4"/>
  <c r="BE12" i="4" a="1"/>
  <c r="BE12" i="4"/>
  <c r="BD12" i="4" a="1"/>
  <c r="BD12" i="4"/>
  <c r="BC12" i="4" a="1"/>
  <c r="BC12" i="4"/>
  <c r="BB12" i="4" a="1"/>
  <c r="BB12" i="4" s="1"/>
  <c r="BA12" i="4" a="1"/>
  <c r="BA12" i="4"/>
  <c r="AZ12" i="4" a="1"/>
  <c r="AZ12" i="4" s="1"/>
  <c r="AY12" i="4" a="1"/>
  <c r="AY12" i="4"/>
  <c r="AX12" i="4" a="1"/>
  <c r="AX12" i="4"/>
  <c r="AW12" i="4" a="1"/>
  <c r="AW12" i="4"/>
  <c r="AV12" i="4" a="1"/>
  <c r="AV12" i="4"/>
  <c r="AU12" i="4" a="1"/>
  <c r="AU12" i="4" s="1"/>
  <c r="AT12" i="4" a="1"/>
  <c r="AT12" i="4" s="1"/>
  <c r="AS12" i="4" a="1"/>
  <c r="AS12" i="4" s="1"/>
  <c r="AR12" i="4" a="1"/>
  <c r="AR12" i="4"/>
  <c r="AQ12" i="4" a="1"/>
  <c r="AQ12" i="4"/>
  <c r="AP12" i="4" a="1"/>
  <c r="AP12" i="4"/>
  <c r="AO12" i="4" a="1"/>
  <c r="AO12" i="4" s="1"/>
  <c r="AN12" i="4" a="1"/>
  <c r="AN12" i="4"/>
  <c r="AM12" i="4" a="1"/>
  <c r="AM12" i="4"/>
  <c r="AL12" i="4" a="1"/>
  <c r="AL12" i="4" s="1"/>
  <c r="AK12" i="4" a="1"/>
  <c r="AK12" i="4"/>
  <c r="AJ12" i="4" a="1"/>
  <c r="AJ12" i="4"/>
  <c r="AI12" i="4" a="1"/>
  <c r="AI12" i="4"/>
  <c r="AH12" i="4" a="1"/>
  <c r="AH12" i="4"/>
  <c r="AG12" i="4" a="1"/>
  <c r="AG12" i="4"/>
  <c r="AF12" i="4" a="1"/>
  <c r="AF12" i="4"/>
  <c r="AE12" i="4" a="1"/>
  <c r="AE12" i="4"/>
  <c r="AD12" i="4" a="1"/>
  <c r="AD12" i="4" s="1"/>
  <c r="AC12" i="4" a="1"/>
  <c r="AC12" i="4" s="1"/>
  <c r="AB12" i="4" a="1"/>
  <c r="AB12" i="4" s="1"/>
  <c r="AA12" i="4" a="1"/>
  <c r="AA12" i="4"/>
  <c r="Z12" i="4" a="1"/>
  <c r="Z12" i="4"/>
  <c r="Y12" i="4" a="1"/>
  <c r="Y12" i="4" s="1"/>
  <c r="X12" i="4" a="1"/>
  <c r="X12" i="4"/>
  <c r="W12" i="4" a="1"/>
  <c r="W12" i="4" s="1"/>
  <c r="V12" i="4" a="1"/>
  <c r="V12" i="4" s="1"/>
  <c r="U12" i="4" a="1"/>
  <c r="U12" i="4"/>
  <c r="T12" i="4" a="1"/>
  <c r="T12" i="4" s="1"/>
  <c r="S12" i="4" a="1"/>
  <c r="S12" i="4"/>
  <c r="R12" i="4" a="1"/>
  <c r="R12" i="4"/>
  <c r="Q12" i="4" a="1"/>
  <c r="Q12" i="4" s="1"/>
  <c r="P12" i="4" a="1"/>
  <c r="P12" i="4"/>
  <c r="O12" i="4" a="1"/>
  <c r="O12" i="4" s="1"/>
  <c r="N12" i="4" a="1"/>
  <c r="N12" i="4" s="1"/>
  <c r="M12" i="4" a="1"/>
  <c r="M12" i="4" s="1"/>
  <c r="L12" i="4" a="1"/>
  <c r="L12" i="4" s="1"/>
  <c r="K12" i="4" a="1"/>
  <c r="K12" i="4"/>
  <c r="J12" i="4" a="1"/>
  <c r="J12" i="4"/>
  <c r="I12" i="4" a="1"/>
  <c r="I12" i="4"/>
  <c r="H12" i="4" a="1"/>
  <c r="H12" i="4"/>
  <c r="G12" i="4" a="1"/>
  <c r="G12" i="4"/>
  <c r="F12" i="4" a="1"/>
  <c r="F12" i="4" s="1"/>
  <c r="E12" i="4" a="1"/>
  <c r="E12" i="4"/>
  <c r="D12" i="4" a="1"/>
  <c r="D12" i="4" s="1"/>
  <c r="C12" i="4" a="1"/>
  <c r="C12" i="4"/>
  <c r="DY8" i="4"/>
  <c r="DL8" i="4"/>
  <c r="DK8" i="4"/>
  <c r="DH8" i="4"/>
  <c r="DD8" i="4"/>
  <c r="DB8" i="4"/>
  <c r="CX8" i="4"/>
  <c r="CS8" i="4"/>
  <c r="CD8" i="4"/>
  <c r="CC8" i="4"/>
  <c r="CA8" i="4"/>
  <c r="BZ8" i="4"/>
  <c r="BT8" i="4"/>
  <c r="BS8" i="4"/>
  <c r="BJ8" i="4"/>
  <c r="BD8" i="4"/>
  <c r="BC8" i="4"/>
  <c r="AZ8" i="4"/>
  <c r="AV8" i="4"/>
  <c r="AT8" i="4"/>
  <c r="AS8" i="4"/>
  <c r="AD8" i="4"/>
  <c r="AC8" i="4"/>
  <c r="AB8" i="4"/>
  <c r="V8" i="4"/>
  <c r="L8" i="4"/>
  <c r="C8" i="4"/>
  <c r="EC7" i="4"/>
  <c r="EB7" i="4"/>
  <c r="DY7" i="4"/>
  <c r="DV7" i="4"/>
  <c r="DU7" i="4"/>
  <c r="DK7" i="4"/>
  <c r="DC7" i="4"/>
  <c r="CK7" i="4"/>
  <c r="CF7" i="4"/>
  <c r="BZ7" i="4"/>
  <c r="BU7" i="4"/>
  <c r="BT7" i="4"/>
  <c r="BQ7" i="4"/>
  <c r="BB7" i="4"/>
  <c r="AU7" i="4"/>
  <c r="AT7" i="4"/>
  <c r="AS7" i="4"/>
  <c r="AQ7" i="4"/>
  <c r="AI7" i="4"/>
  <c r="AD7" i="4"/>
  <c r="Z7" i="4"/>
  <c r="V7" i="4"/>
  <c r="U7" i="4"/>
  <c r="Q7" i="4"/>
  <c r="O7" i="4"/>
  <c r="G7" i="4"/>
  <c r="E7" i="4"/>
  <c r="D7" i="4"/>
  <c r="C7" i="4"/>
  <c r="EG6" i="4" a="1"/>
  <c r="EG6" i="4"/>
  <c r="EF6" i="4" a="1"/>
  <c r="EF6" i="4"/>
  <c r="EE6" i="4" a="1"/>
  <c r="EE6" i="4" s="1"/>
  <c r="ED6" i="4" a="1"/>
  <c r="ED6" i="4"/>
  <c r="ED7" i="4" s="1"/>
  <c r="EC6" i="4" a="1"/>
  <c r="EC6" i="4" s="1"/>
  <c r="EC8" i="4" s="1"/>
  <c r="EB6" i="4" a="1"/>
  <c r="EB6" i="4"/>
  <c r="EB8" i="4" s="1"/>
  <c r="EA6" i="4" a="1"/>
  <c r="EA6" i="4"/>
  <c r="EA8" i="4" s="1"/>
  <c r="DZ6" i="4" a="1"/>
  <c r="DZ6" i="4"/>
  <c r="DY6" i="4" a="1"/>
  <c r="DY6" i="4"/>
  <c r="DX6" i="4" a="1"/>
  <c r="DX6" i="4"/>
  <c r="DX7" i="4" s="1"/>
  <c r="DW6" i="4" a="1"/>
  <c r="DW6" i="4"/>
  <c r="DW7" i="4" s="1"/>
  <c r="DV6" i="4" a="1"/>
  <c r="DV6" i="4"/>
  <c r="DV8" i="4" s="1"/>
  <c r="DU6" i="4" a="1"/>
  <c r="DU6" i="4" s="1"/>
  <c r="DU8" i="4" s="1"/>
  <c r="DT6" i="4" a="1"/>
  <c r="DT6" i="4"/>
  <c r="DT7" i="4" s="1"/>
  <c r="DS6" i="4" a="1"/>
  <c r="DS6" i="4"/>
  <c r="DR6" i="4" a="1"/>
  <c r="DR6" i="4"/>
  <c r="DR8" i="4" s="1"/>
  <c r="DQ6" i="4" a="1"/>
  <c r="DQ6" i="4"/>
  <c r="DP6" i="4" a="1"/>
  <c r="DP6" i="4"/>
  <c r="DO6" i="4" a="1"/>
  <c r="DO6" i="4" s="1"/>
  <c r="DN6" i="4" a="1"/>
  <c r="DN6" i="4"/>
  <c r="DM6" i="4" a="1"/>
  <c r="DM6" i="4" s="1"/>
  <c r="DL6" i="4" a="1"/>
  <c r="DL6" i="4"/>
  <c r="DL7" i="4" s="1"/>
  <c r="DK6" i="4" a="1"/>
  <c r="DK6" i="4"/>
  <c r="DJ6" i="4" a="1"/>
  <c r="DJ6" i="4"/>
  <c r="DI6" i="4" a="1"/>
  <c r="DI6" i="4"/>
  <c r="DH6" i="4" a="1"/>
  <c r="DH6" i="4"/>
  <c r="DH7" i="4" s="1"/>
  <c r="DG6" i="4" a="1"/>
  <c r="DG6" i="4" s="1"/>
  <c r="DG8" i="4" s="1"/>
  <c r="DF6" i="4" a="1"/>
  <c r="DF6" i="4"/>
  <c r="DE6" i="4" a="1"/>
  <c r="DE6" i="4" s="1"/>
  <c r="DD6" i="4" a="1"/>
  <c r="DD6" i="4"/>
  <c r="DD7" i="4" s="1"/>
  <c r="DC6" i="4" a="1"/>
  <c r="DC6" i="4"/>
  <c r="DC8" i="4" s="1"/>
  <c r="DB6" i="4" a="1"/>
  <c r="DB6" i="4" s="1"/>
  <c r="DB7" i="4" s="1"/>
  <c r="DA6" i="4" a="1"/>
  <c r="DA6" i="4"/>
  <c r="CZ6" i="4" a="1"/>
  <c r="CZ6" i="4"/>
  <c r="CY6" i="4" a="1"/>
  <c r="CY6" i="4"/>
  <c r="CX6" i="4" a="1"/>
  <c r="CX6" i="4"/>
  <c r="CX7" i="4" s="1"/>
  <c r="CW6" i="4" a="1"/>
  <c r="CW6" i="4" s="1"/>
  <c r="CV6" i="4" a="1"/>
  <c r="CV6" i="4"/>
  <c r="CU6" i="4" a="1"/>
  <c r="CU6" i="4"/>
  <c r="CT6" i="4" a="1"/>
  <c r="CT6" i="4" s="1"/>
  <c r="CT7" i="4" s="1"/>
  <c r="CS6" i="4" a="1"/>
  <c r="CS6" i="4"/>
  <c r="CS7" i="4" s="1"/>
  <c r="CR6" i="4" a="1"/>
  <c r="CR6" i="4"/>
  <c r="CQ6" i="4" a="1"/>
  <c r="CQ6" i="4" s="1"/>
  <c r="CQ8" i="4" s="1"/>
  <c r="CP6" i="4" a="1"/>
  <c r="CP6" i="4"/>
  <c r="CP8" i="4" s="1"/>
  <c r="CO6" i="4" a="1"/>
  <c r="CO6" i="4" s="1"/>
  <c r="CN6" i="4" a="1"/>
  <c r="CN6" i="4"/>
  <c r="CM6" i="4" a="1"/>
  <c r="CM6" i="4"/>
  <c r="CL6" i="4" a="1"/>
  <c r="CL6" i="4"/>
  <c r="CL8" i="4" s="1"/>
  <c r="CK6" i="4" a="1"/>
  <c r="CK6" i="4"/>
  <c r="CK8" i="4" s="1"/>
  <c r="CJ6" i="4" a="1"/>
  <c r="CJ6" i="4"/>
  <c r="CI6" i="4" a="1"/>
  <c r="CI6" i="4"/>
  <c r="CI8" i="4" s="1"/>
  <c r="CH6" i="4" a="1"/>
  <c r="CH6" i="4"/>
  <c r="CH8" i="4" s="1"/>
  <c r="CG6" i="4" a="1"/>
  <c r="CG6" i="4" s="1"/>
  <c r="CG8" i="4" s="1"/>
  <c r="CF6" i="4" a="1"/>
  <c r="CF6" i="4"/>
  <c r="CF8" i="4" s="1"/>
  <c r="CE6" i="4" a="1"/>
  <c r="CE6" i="4"/>
  <c r="CD6" i="4" a="1"/>
  <c r="CD6" i="4" s="1"/>
  <c r="CD7" i="4" s="1"/>
  <c r="CC6" i="4" a="1"/>
  <c r="CC6" i="4"/>
  <c r="CC7" i="4" s="1"/>
  <c r="CB6" i="4" a="1"/>
  <c r="CB6" i="4"/>
  <c r="CA6" i="4" a="1"/>
  <c r="CA6" i="4" s="1"/>
  <c r="CA7" i="4" s="1"/>
  <c r="BZ6" i="4" a="1"/>
  <c r="BZ6" i="4"/>
  <c r="BY6" i="4" a="1"/>
  <c r="BY6" i="4" s="1"/>
  <c r="BX6" i="4" a="1"/>
  <c r="BX6" i="4"/>
  <c r="BX7" i="4" s="1"/>
  <c r="BW6" i="4" a="1"/>
  <c r="BW6" i="4"/>
  <c r="BV6" i="4" a="1"/>
  <c r="BV6" i="4" s="1"/>
  <c r="BV7" i="4" s="1"/>
  <c r="BU6" i="4" a="1"/>
  <c r="BU6" i="4"/>
  <c r="BU8" i="4" s="1"/>
  <c r="BT6" i="4" a="1"/>
  <c r="BT6" i="4"/>
  <c r="BS6" i="4" a="1"/>
  <c r="BS6" i="4"/>
  <c r="BS7" i="4" s="1"/>
  <c r="BR6" i="4" a="1"/>
  <c r="BR6" i="4"/>
  <c r="BQ6" i="4" a="1"/>
  <c r="BQ6" i="4" s="1"/>
  <c r="BQ8" i="4" s="1"/>
  <c r="BP6" i="4" a="1"/>
  <c r="BP6" i="4"/>
  <c r="BO6" i="4" a="1"/>
  <c r="BO6" i="4"/>
  <c r="BN6" i="4" a="1"/>
  <c r="BN6" i="4"/>
  <c r="BM6" i="4" a="1"/>
  <c r="BM6" i="4"/>
  <c r="BM8" i="4" s="1"/>
  <c r="BL6" i="4" a="1"/>
  <c r="BL6" i="4"/>
  <c r="BL7" i="4" s="1"/>
  <c r="BK6" i="4" a="1"/>
  <c r="BK6" i="4"/>
  <c r="BJ6" i="4" a="1"/>
  <c r="BJ6" i="4"/>
  <c r="BJ7" i="4" s="1"/>
  <c r="BI6" i="4" a="1"/>
  <c r="BI6" i="4" s="1"/>
  <c r="BH6" i="4" a="1"/>
  <c r="BH6" i="4"/>
  <c r="BG6" i="4" a="1"/>
  <c r="BG6" i="4"/>
  <c r="BF6" i="4" a="1"/>
  <c r="BF6" i="4"/>
  <c r="BF7" i="4" s="1"/>
  <c r="BE6" i="4" a="1"/>
  <c r="BE6" i="4"/>
  <c r="BD6" i="4" a="1"/>
  <c r="BD6" i="4"/>
  <c r="BD7" i="4" s="1"/>
  <c r="BC6" i="4" a="1"/>
  <c r="BC6" i="4" s="1"/>
  <c r="BC7" i="4" s="1"/>
  <c r="BB6" i="4" a="1"/>
  <c r="BB6" i="4"/>
  <c r="BB8" i="4" s="1"/>
  <c r="BA6" i="4" a="1"/>
  <c r="BA6" i="4" s="1"/>
  <c r="AZ6" i="4" a="1"/>
  <c r="AZ6" i="4"/>
  <c r="AZ7" i="4" s="1"/>
  <c r="AY6" i="4" a="1"/>
  <c r="AY6" i="4"/>
  <c r="AX6" i="4" a="1"/>
  <c r="AX6" i="4"/>
  <c r="AW6" i="4" a="1"/>
  <c r="AW6" i="4"/>
  <c r="AW8" i="4" s="1"/>
  <c r="AV6" i="4" a="1"/>
  <c r="AV6" i="4"/>
  <c r="AV7" i="4" s="1"/>
  <c r="AU6" i="4" a="1"/>
  <c r="AU6" i="4"/>
  <c r="AU8" i="4" s="1"/>
  <c r="AT6" i="4" a="1"/>
  <c r="AT6" i="4"/>
  <c r="AS6" i="4" a="1"/>
  <c r="AS6" i="4" s="1"/>
  <c r="AR6" i="4" a="1"/>
  <c r="AR6" i="4"/>
  <c r="AQ6" i="4" a="1"/>
  <c r="AQ6" i="4"/>
  <c r="AQ8" i="4" s="1"/>
  <c r="AP6" i="4" a="1"/>
  <c r="AP6" i="4"/>
  <c r="AP8" i="4" s="1"/>
  <c r="AO6" i="4" a="1"/>
  <c r="AO6" i="4"/>
  <c r="AO8" i="4" s="1"/>
  <c r="AN6" i="4" a="1"/>
  <c r="AN6" i="4"/>
  <c r="AM6" i="4" a="1"/>
  <c r="AM6" i="4"/>
  <c r="AM8" i="4" s="1"/>
  <c r="AL6" i="4" a="1"/>
  <c r="AL6" i="4" s="1"/>
  <c r="AK6" i="4" a="1"/>
  <c r="AK6" i="4" s="1"/>
  <c r="AJ6" i="4" a="1"/>
  <c r="AJ6" i="4"/>
  <c r="AI6" i="4" a="1"/>
  <c r="AI6" i="4"/>
  <c r="AI8" i="4" s="1"/>
  <c r="AH6" i="4" a="1"/>
  <c r="AH6" i="4"/>
  <c r="AG6" i="4" a="1"/>
  <c r="AG6" i="4"/>
  <c r="AF6" i="4" a="1"/>
  <c r="AF6" i="4"/>
  <c r="AF7" i="4" s="1"/>
  <c r="AE6" i="4" a="1"/>
  <c r="AE6" i="4" s="1"/>
  <c r="AE7" i="4" s="1"/>
  <c r="AD6" i="4" a="1"/>
  <c r="AD6" i="4"/>
  <c r="AC6" i="4" a="1"/>
  <c r="AC6" i="4" s="1"/>
  <c r="AC7" i="4" s="1"/>
  <c r="AB6" i="4" a="1"/>
  <c r="AB6" i="4"/>
  <c r="AB7" i="4" s="1"/>
  <c r="AA6" i="4" a="1"/>
  <c r="AA6" i="4"/>
  <c r="Z6" i="4" a="1"/>
  <c r="Z6" i="4"/>
  <c r="Z8" i="4" s="1"/>
  <c r="Y6" i="4" a="1"/>
  <c r="Y6" i="4"/>
  <c r="X6" i="4" a="1"/>
  <c r="X6" i="4"/>
  <c r="X7" i="4" s="1"/>
  <c r="W6" i="4" a="1"/>
  <c r="W6" i="4"/>
  <c r="W7" i="4" s="1"/>
  <c r="V6" i="4" a="1"/>
  <c r="V6" i="4"/>
  <c r="U6" i="4" a="1"/>
  <c r="U6" i="4" s="1"/>
  <c r="U8" i="4" s="1"/>
  <c r="T6" i="4" a="1"/>
  <c r="T6" i="4"/>
  <c r="S6" i="4" a="1"/>
  <c r="S6" i="4"/>
  <c r="R6" i="4" a="1"/>
  <c r="R6" i="4" s="1"/>
  <c r="R7" i="4" s="1"/>
  <c r="Q6" i="4" a="1"/>
  <c r="Q6" i="4"/>
  <c r="Q8" i="4" s="1"/>
  <c r="P6" i="4" a="1"/>
  <c r="P6" i="4"/>
  <c r="O6" i="4" a="1"/>
  <c r="O6" i="4"/>
  <c r="O8" i="4" s="1"/>
  <c r="N6" i="4" a="1"/>
  <c r="N6" i="4" s="1"/>
  <c r="M6" i="4" a="1"/>
  <c r="M6" i="4" s="1"/>
  <c r="M8" i="4" s="1"/>
  <c r="L6" i="4" a="1"/>
  <c r="L6" i="4"/>
  <c r="L7" i="4" s="1"/>
  <c r="K6" i="4" a="1"/>
  <c r="K6" i="4"/>
  <c r="J6" i="4" a="1"/>
  <c r="J6" i="4" s="1"/>
  <c r="I6" i="4" a="1"/>
  <c r="I6" i="4"/>
  <c r="H6" i="4" a="1"/>
  <c r="H6" i="4"/>
  <c r="G6" i="4" a="1"/>
  <c r="G6" i="4" s="1"/>
  <c r="G8" i="4" s="1"/>
  <c r="F6" i="4" a="1"/>
  <c r="F6" i="4"/>
  <c r="E6" i="4" a="1"/>
  <c r="E6" i="4" s="1"/>
  <c r="E8" i="4" s="1"/>
  <c r="D6" i="4" a="1"/>
  <c r="D6" i="4"/>
  <c r="D8" i="4" s="1"/>
  <c r="C6" i="4" a="1"/>
  <c r="C6" i="4"/>
  <c r="W24" i="3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Z24" i="3" s="1"/>
  <c r="BA24" i="3" s="1"/>
  <c r="BB24" i="3" s="1"/>
  <c r="BC24" i="3" s="1"/>
  <c r="BD24" i="3" s="1"/>
  <c r="BE24" i="3" s="1"/>
  <c r="BF24" i="3" s="1"/>
  <c r="BG24" i="3" s="1"/>
  <c r="BH24" i="3" s="1"/>
  <c r="BI24" i="3" s="1"/>
  <c r="BJ24" i="3" s="1"/>
  <c r="BK24" i="3" s="1"/>
  <c r="BL24" i="3" s="1"/>
  <c r="BM24" i="3" s="1"/>
  <c r="BN24" i="3" s="1"/>
  <c r="BO24" i="3" s="1"/>
  <c r="BP24" i="3" s="1"/>
  <c r="BQ24" i="3" s="1"/>
  <c r="BR24" i="3" s="1"/>
  <c r="BS24" i="3" s="1"/>
  <c r="BT24" i="3" s="1"/>
  <c r="BU24" i="3" s="1"/>
  <c r="BV24" i="3" s="1"/>
  <c r="BW24" i="3" s="1"/>
  <c r="BX24" i="3" s="1"/>
  <c r="BY24" i="3" s="1"/>
  <c r="BZ24" i="3" s="1"/>
  <c r="CA24" i="3" s="1"/>
  <c r="CB24" i="3" s="1"/>
  <c r="CC24" i="3" s="1"/>
  <c r="CD24" i="3" s="1"/>
  <c r="CE24" i="3" s="1"/>
  <c r="CF24" i="3" s="1"/>
  <c r="CG24" i="3" s="1"/>
  <c r="CH24" i="3" s="1"/>
  <c r="CI24" i="3" s="1"/>
  <c r="CJ24" i="3" s="1"/>
  <c r="CK24" i="3" s="1"/>
  <c r="CL24" i="3" s="1"/>
  <c r="CM24" i="3" s="1"/>
  <c r="CN24" i="3" s="1"/>
  <c r="CO24" i="3" s="1"/>
  <c r="CP24" i="3" s="1"/>
  <c r="CQ24" i="3" s="1"/>
  <c r="CR24" i="3" s="1"/>
  <c r="CS24" i="3" s="1"/>
  <c r="CT24" i="3" s="1"/>
  <c r="CU24" i="3" s="1"/>
  <c r="CV24" i="3" s="1"/>
  <c r="CW24" i="3" s="1"/>
  <c r="CX24" i="3" s="1"/>
  <c r="CY24" i="3" s="1"/>
  <c r="CZ24" i="3" s="1"/>
  <c r="DA24" i="3" s="1"/>
  <c r="DB24" i="3" s="1"/>
  <c r="DC24" i="3" s="1"/>
  <c r="DD24" i="3" s="1"/>
  <c r="DE24" i="3" s="1"/>
  <c r="DF24" i="3" s="1"/>
  <c r="DG24" i="3" s="1"/>
  <c r="DH24" i="3" s="1"/>
  <c r="DI24" i="3" s="1"/>
  <c r="DJ24" i="3" s="1"/>
  <c r="DK24" i="3" s="1"/>
  <c r="DL24" i="3" s="1"/>
  <c r="DM24" i="3" s="1"/>
  <c r="DN24" i="3" s="1"/>
  <c r="DO24" i="3" s="1"/>
  <c r="DP24" i="3" s="1"/>
  <c r="DQ24" i="3" s="1"/>
  <c r="DR24" i="3" s="1"/>
  <c r="DS24" i="3" s="1"/>
  <c r="DT24" i="3" s="1"/>
  <c r="DU24" i="3" s="1"/>
  <c r="DV24" i="3" s="1"/>
  <c r="DW24" i="3" s="1"/>
  <c r="DX24" i="3" s="1"/>
  <c r="DY24" i="3" s="1"/>
  <c r="DZ24" i="3" s="1"/>
  <c r="EA24" i="3" s="1"/>
  <c r="EB24" i="3" s="1"/>
  <c r="EC24" i="3" s="1"/>
  <c r="ED24" i="3" s="1"/>
  <c r="EE24" i="3" s="1"/>
  <c r="EF24" i="3" s="1"/>
  <c r="S24" i="3"/>
  <c r="T24" i="3" s="1"/>
  <c r="U24" i="3" s="1"/>
  <c r="V24" i="3" s="1"/>
  <c r="E24" i="3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D24" i="3"/>
  <c r="CX23" i="3"/>
  <c r="CY23" i="3" s="1"/>
  <c r="CZ23" i="3" s="1"/>
  <c r="DA23" i="3" s="1"/>
  <c r="DB23" i="3" s="1"/>
  <c r="DC23" i="3" s="1"/>
  <c r="DD23" i="3" s="1"/>
  <c r="DE23" i="3" s="1"/>
  <c r="DF23" i="3" s="1"/>
  <c r="DG23" i="3" s="1"/>
  <c r="DH23" i="3" s="1"/>
  <c r="DI23" i="3" s="1"/>
  <c r="DJ23" i="3" s="1"/>
  <c r="DK23" i="3" s="1"/>
  <c r="DL23" i="3" s="1"/>
  <c r="DM23" i="3" s="1"/>
  <c r="DN23" i="3" s="1"/>
  <c r="DO23" i="3" s="1"/>
  <c r="DP23" i="3" s="1"/>
  <c r="DQ23" i="3" s="1"/>
  <c r="DR23" i="3" s="1"/>
  <c r="DS23" i="3" s="1"/>
  <c r="DT23" i="3" s="1"/>
  <c r="DU23" i="3" s="1"/>
  <c r="DV23" i="3" s="1"/>
  <c r="DW23" i="3" s="1"/>
  <c r="DX23" i="3" s="1"/>
  <c r="DY23" i="3" s="1"/>
  <c r="DZ23" i="3" s="1"/>
  <c r="EA23" i="3" s="1"/>
  <c r="EB23" i="3" s="1"/>
  <c r="EC23" i="3" s="1"/>
  <c r="ED23" i="3" s="1"/>
  <c r="EE23" i="3" s="1"/>
  <c r="EF23" i="3" s="1"/>
  <c r="AX23" i="3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" s="1"/>
  <c r="CG23" i="3" s="1"/>
  <c r="CH23" i="3" s="1"/>
  <c r="CI23" i="3" s="1"/>
  <c r="CJ23" i="3" s="1"/>
  <c r="CK23" i="3" s="1"/>
  <c r="CL23" i="3" s="1"/>
  <c r="CM23" i="3" s="1"/>
  <c r="CN23" i="3" s="1"/>
  <c r="CO23" i="3" s="1"/>
  <c r="CP23" i="3" s="1"/>
  <c r="CQ23" i="3" s="1"/>
  <c r="CR23" i="3" s="1"/>
  <c r="CS23" i="3" s="1"/>
  <c r="CT23" i="3" s="1"/>
  <c r="CU23" i="3" s="1"/>
  <c r="CV23" i="3" s="1"/>
  <c r="CW23" i="3" s="1"/>
  <c r="F23" i="3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E23" i="3"/>
  <c r="D23" i="3"/>
  <c r="D22" i="3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Z22" i="3" s="1"/>
  <c r="BA22" i="3" s="1"/>
  <c r="BB22" i="3" s="1"/>
  <c r="BC22" i="3" s="1"/>
  <c r="BD22" i="3" s="1"/>
  <c r="BE22" i="3" s="1"/>
  <c r="BF22" i="3" s="1"/>
  <c r="BG22" i="3" s="1"/>
  <c r="BH22" i="3" s="1"/>
  <c r="BI22" i="3" s="1"/>
  <c r="BJ22" i="3" s="1"/>
  <c r="BK22" i="3" s="1"/>
  <c r="BL22" i="3" s="1"/>
  <c r="BM22" i="3" s="1"/>
  <c r="BN22" i="3" s="1"/>
  <c r="BO22" i="3" s="1"/>
  <c r="BP22" i="3" s="1"/>
  <c r="BQ22" i="3" s="1"/>
  <c r="BR22" i="3" s="1"/>
  <c r="BS22" i="3" s="1"/>
  <c r="BT22" i="3" s="1"/>
  <c r="BU22" i="3" s="1"/>
  <c r="BV22" i="3" s="1"/>
  <c r="BW22" i="3" s="1"/>
  <c r="BX22" i="3" s="1"/>
  <c r="BY22" i="3" s="1"/>
  <c r="BZ22" i="3" s="1"/>
  <c r="CA22" i="3" s="1"/>
  <c r="CB22" i="3" s="1"/>
  <c r="CC22" i="3" s="1"/>
  <c r="CD22" i="3" s="1"/>
  <c r="CE22" i="3" s="1"/>
  <c r="CF22" i="3" s="1"/>
  <c r="CG22" i="3" s="1"/>
  <c r="CH22" i="3" s="1"/>
  <c r="CI22" i="3" s="1"/>
  <c r="CJ22" i="3" s="1"/>
  <c r="CK22" i="3" s="1"/>
  <c r="CL22" i="3" s="1"/>
  <c r="CM22" i="3" s="1"/>
  <c r="CN22" i="3" s="1"/>
  <c r="CO22" i="3" s="1"/>
  <c r="CP22" i="3" s="1"/>
  <c r="CQ22" i="3" s="1"/>
  <c r="CR22" i="3" s="1"/>
  <c r="CS22" i="3" s="1"/>
  <c r="CT22" i="3" s="1"/>
  <c r="CU22" i="3" s="1"/>
  <c r="CV22" i="3" s="1"/>
  <c r="CW22" i="3" s="1"/>
  <c r="CX22" i="3" s="1"/>
  <c r="CY22" i="3" s="1"/>
  <c r="CZ22" i="3" s="1"/>
  <c r="DA22" i="3" s="1"/>
  <c r="DB22" i="3" s="1"/>
  <c r="DC22" i="3" s="1"/>
  <c r="DD22" i="3" s="1"/>
  <c r="DE22" i="3" s="1"/>
  <c r="DF22" i="3" s="1"/>
  <c r="DG22" i="3" s="1"/>
  <c r="DH22" i="3" s="1"/>
  <c r="DI22" i="3" s="1"/>
  <c r="DJ22" i="3" s="1"/>
  <c r="DK22" i="3" s="1"/>
  <c r="DL22" i="3" s="1"/>
  <c r="DM22" i="3" s="1"/>
  <c r="DN22" i="3" s="1"/>
  <c r="DO22" i="3" s="1"/>
  <c r="DP22" i="3" s="1"/>
  <c r="DQ22" i="3" s="1"/>
  <c r="DR22" i="3" s="1"/>
  <c r="DS22" i="3" s="1"/>
  <c r="DT22" i="3" s="1"/>
  <c r="DU22" i="3" s="1"/>
  <c r="DV22" i="3" s="1"/>
  <c r="DW22" i="3" s="1"/>
  <c r="DX22" i="3" s="1"/>
  <c r="DY22" i="3" s="1"/>
  <c r="DZ22" i="3" s="1"/>
  <c r="EA22" i="3" s="1"/>
  <c r="EB22" i="3" s="1"/>
  <c r="EC22" i="3" s="1"/>
  <c r="ED22" i="3" s="1"/>
  <c r="EE22" i="3" s="1"/>
  <c r="EF22" i="3" s="1"/>
  <c r="D21" i="3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AK21" i="3" s="1"/>
  <c r="AL21" i="3" s="1"/>
  <c r="AM21" i="3" s="1"/>
  <c r="AN21" i="3" s="1"/>
  <c r="AO21" i="3" s="1"/>
  <c r="AP21" i="3" s="1"/>
  <c r="AQ21" i="3" s="1"/>
  <c r="AR21" i="3" s="1"/>
  <c r="AS21" i="3" s="1"/>
  <c r="AT21" i="3" s="1"/>
  <c r="AU21" i="3" s="1"/>
  <c r="AV21" i="3" s="1"/>
  <c r="AW21" i="3" s="1"/>
  <c r="AX21" i="3" s="1"/>
  <c r="AY21" i="3" s="1"/>
  <c r="AZ21" i="3" s="1"/>
  <c r="BA21" i="3" s="1"/>
  <c r="BB21" i="3" s="1"/>
  <c r="BC21" i="3" s="1"/>
  <c r="BD21" i="3" s="1"/>
  <c r="BE21" i="3" s="1"/>
  <c r="BF21" i="3" s="1"/>
  <c r="BG21" i="3" s="1"/>
  <c r="BH21" i="3" s="1"/>
  <c r="BI21" i="3" s="1"/>
  <c r="BJ21" i="3" s="1"/>
  <c r="BK21" i="3" s="1"/>
  <c r="BL21" i="3" s="1"/>
  <c r="BM21" i="3" s="1"/>
  <c r="BN21" i="3" s="1"/>
  <c r="BO21" i="3" s="1"/>
  <c r="BP21" i="3" s="1"/>
  <c r="BQ21" i="3" s="1"/>
  <c r="BR21" i="3" s="1"/>
  <c r="BS21" i="3" s="1"/>
  <c r="BT21" i="3" s="1"/>
  <c r="BU21" i="3" s="1"/>
  <c r="BV21" i="3" s="1"/>
  <c r="BW21" i="3" s="1"/>
  <c r="BX21" i="3" s="1"/>
  <c r="BY21" i="3" s="1"/>
  <c r="BZ21" i="3" s="1"/>
  <c r="CA21" i="3" s="1"/>
  <c r="CB21" i="3" s="1"/>
  <c r="CC21" i="3" s="1"/>
  <c r="CD21" i="3" s="1"/>
  <c r="CE21" i="3" s="1"/>
  <c r="CF21" i="3" s="1"/>
  <c r="CG21" i="3" s="1"/>
  <c r="CH21" i="3" s="1"/>
  <c r="CI21" i="3" s="1"/>
  <c r="CJ21" i="3" s="1"/>
  <c r="CK21" i="3" s="1"/>
  <c r="CL21" i="3" s="1"/>
  <c r="CM21" i="3" s="1"/>
  <c r="CN21" i="3" s="1"/>
  <c r="CO21" i="3" s="1"/>
  <c r="CP21" i="3" s="1"/>
  <c r="CQ21" i="3" s="1"/>
  <c r="CR21" i="3" s="1"/>
  <c r="CS21" i="3" s="1"/>
  <c r="CT21" i="3" s="1"/>
  <c r="CU21" i="3" s="1"/>
  <c r="CV21" i="3" s="1"/>
  <c r="CW21" i="3" s="1"/>
  <c r="CX21" i="3" s="1"/>
  <c r="CY21" i="3" s="1"/>
  <c r="CZ21" i="3" s="1"/>
  <c r="DA21" i="3" s="1"/>
  <c r="DB21" i="3" s="1"/>
  <c r="DC21" i="3" s="1"/>
  <c r="DD21" i="3" s="1"/>
  <c r="DE21" i="3" s="1"/>
  <c r="DF21" i="3" s="1"/>
  <c r="DG21" i="3" s="1"/>
  <c r="DH21" i="3" s="1"/>
  <c r="DI21" i="3" s="1"/>
  <c r="DJ21" i="3" s="1"/>
  <c r="DK21" i="3" s="1"/>
  <c r="DL21" i="3" s="1"/>
  <c r="DM21" i="3" s="1"/>
  <c r="DN21" i="3" s="1"/>
  <c r="DO21" i="3" s="1"/>
  <c r="DP21" i="3" s="1"/>
  <c r="DQ21" i="3" s="1"/>
  <c r="DR21" i="3" s="1"/>
  <c r="DS21" i="3" s="1"/>
  <c r="DT21" i="3" s="1"/>
  <c r="DU21" i="3" s="1"/>
  <c r="DV21" i="3" s="1"/>
  <c r="DW21" i="3" s="1"/>
  <c r="DX21" i="3" s="1"/>
  <c r="DY21" i="3" s="1"/>
  <c r="DZ21" i="3" s="1"/>
  <c r="EA21" i="3" s="1"/>
  <c r="EB21" i="3" s="1"/>
  <c r="EC21" i="3" s="1"/>
  <c r="ED21" i="3" s="1"/>
  <c r="EE21" i="3" s="1"/>
  <c r="EF21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CU20" i="3" s="1"/>
  <c r="CV20" i="3" s="1"/>
  <c r="CW20" i="3" s="1"/>
  <c r="CX20" i="3" s="1"/>
  <c r="CY20" i="3" s="1"/>
  <c r="CZ20" i="3" s="1"/>
  <c r="DA20" i="3" s="1"/>
  <c r="DB20" i="3" s="1"/>
  <c r="DC20" i="3" s="1"/>
  <c r="DD20" i="3" s="1"/>
  <c r="DE20" i="3" s="1"/>
  <c r="DF20" i="3" s="1"/>
  <c r="DG20" i="3" s="1"/>
  <c r="DH20" i="3" s="1"/>
  <c r="DI20" i="3" s="1"/>
  <c r="DJ20" i="3" s="1"/>
  <c r="DK20" i="3" s="1"/>
  <c r="DL20" i="3" s="1"/>
  <c r="DM20" i="3" s="1"/>
  <c r="DN20" i="3" s="1"/>
  <c r="DO20" i="3" s="1"/>
  <c r="DP20" i="3" s="1"/>
  <c r="DQ20" i="3" s="1"/>
  <c r="DR20" i="3" s="1"/>
  <c r="DS20" i="3" s="1"/>
  <c r="DT20" i="3" s="1"/>
  <c r="DU20" i="3" s="1"/>
  <c r="DV20" i="3" s="1"/>
  <c r="DW20" i="3" s="1"/>
  <c r="DX20" i="3" s="1"/>
  <c r="DY20" i="3" s="1"/>
  <c r="DZ20" i="3" s="1"/>
  <c r="EA20" i="3" s="1"/>
  <c r="EB20" i="3" s="1"/>
  <c r="EC20" i="3" s="1"/>
  <c r="ED20" i="3" s="1"/>
  <c r="EE20" i="3" s="1"/>
  <c r="EF20" i="3" s="1"/>
  <c r="F20" i="3"/>
  <c r="D20" i="3"/>
  <c r="E20" i="3" s="1"/>
  <c r="I19" i="3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CU19" i="3" s="1"/>
  <c r="CV19" i="3" s="1"/>
  <c r="CW19" i="3" s="1"/>
  <c r="CX19" i="3" s="1"/>
  <c r="CY19" i="3" s="1"/>
  <c r="CZ19" i="3" s="1"/>
  <c r="DA19" i="3" s="1"/>
  <c r="DB19" i="3" s="1"/>
  <c r="DC19" i="3" s="1"/>
  <c r="DD19" i="3" s="1"/>
  <c r="DE19" i="3" s="1"/>
  <c r="DF19" i="3" s="1"/>
  <c r="DG19" i="3" s="1"/>
  <c r="DH19" i="3" s="1"/>
  <c r="DI19" i="3" s="1"/>
  <c r="DJ19" i="3" s="1"/>
  <c r="DK19" i="3" s="1"/>
  <c r="DL19" i="3" s="1"/>
  <c r="DM19" i="3" s="1"/>
  <c r="DN19" i="3" s="1"/>
  <c r="DO19" i="3" s="1"/>
  <c r="DP19" i="3" s="1"/>
  <c r="DQ19" i="3" s="1"/>
  <c r="DR19" i="3" s="1"/>
  <c r="DS19" i="3" s="1"/>
  <c r="DT19" i="3" s="1"/>
  <c r="DU19" i="3" s="1"/>
  <c r="DV19" i="3" s="1"/>
  <c r="DW19" i="3" s="1"/>
  <c r="DX19" i="3" s="1"/>
  <c r="DY19" i="3" s="1"/>
  <c r="DZ19" i="3" s="1"/>
  <c r="EA19" i="3" s="1"/>
  <c r="EB19" i="3" s="1"/>
  <c r="EC19" i="3" s="1"/>
  <c r="ED19" i="3" s="1"/>
  <c r="EE19" i="3" s="1"/>
  <c r="EF19" i="3" s="1"/>
  <c r="F19" i="3"/>
  <c r="G19" i="3" s="1"/>
  <c r="H19" i="3" s="1"/>
  <c r="E19" i="3"/>
  <c r="D19" i="3"/>
  <c r="F18" i="3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AV18" i="3" s="1"/>
  <c r="AW18" i="3" s="1"/>
  <c r="AX18" i="3" s="1"/>
  <c r="AY18" i="3" s="1"/>
  <c r="AZ18" i="3" s="1"/>
  <c r="BA18" i="3" s="1"/>
  <c r="BB18" i="3" s="1"/>
  <c r="BC18" i="3" s="1"/>
  <c r="BD18" i="3" s="1"/>
  <c r="BE18" i="3" s="1"/>
  <c r="BF18" i="3" s="1"/>
  <c r="BG18" i="3" s="1"/>
  <c r="BH18" i="3" s="1"/>
  <c r="BI18" i="3" s="1"/>
  <c r="BJ18" i="3" s="1"/>
  <c r="BK18" i="3" s="1"/>
  <c r="BL18" i="3" s="1"/>
  <c r="BM18" i="3" s="1"/>
  <c r="BN18" i="3" s="1"/>
  <c r="BO18" i="3" s="1"/>
  <c r="BP18" i="3" s="1"/>
  <c r="BQ18" i="3" s="1"/>
  <c r="BR18" i="3" s="1"/>
  <c r="BS18" i="3" s="1"/>
  <c r="BT18" i="3" s="1"/>
  <c r="BU18" i="3" s="1"/>
  <c r="BV18" i="3" s="1"/>
  <c r="BW18" i="3" s="1"/>
  <c r="BX18" i="3" s="1"/>
  <c r="BY18" i="3" s="1"/>
  <c r="BZ18" i="3" s="1"/>
  <c r="CA18" i="3" s="1"/>
  <c r="CB18" i="3" s="1"/>
  <c r="CC18" i="3" s="1"/>
  <c r="CD18" i="3" s="1"/>
  <c r="CE18" i="3" s="1"/>
  <c r="CF18" i="3" s="1"/>
  <c r="CG18" i="3" s="1"/>
  <c r="CH18" i="3" s="1"/>
  <c r="CI18" i="3" s="1"/>
  <c r="CJ18" i="3" s="1"/>
  <c r="CK18" i="3" s="1"/>
  <c r="CL18" i="3" s="1"/>
  <c r="CM18" i="3" s="1"/>
  <c r="CN18" i="3" s="1"/>
  <c r="CO18" i="3" s="1"/>
  <c r="CP18" i="3" s="1"/>
  <c r="CQ18" i="3" s="1"/>
  <c r="CR18" i="3" s="1"/>
  <c r="CS18" i="3" s="1"/>
  <c r="CT18" i="3" s="1"/>
  <c r="CU18" i="3" s="1"/>
  <c r="CV18" i="3" s="1"/>
  <c r="CW18" i="3" s="1"/>
  <c r="CX18" i="3" s="1"/>
  <c r="CY18" i="3" s="1"/>
  <c r="CZ18" i="3" s="1"/>
  <c r="DA18" i="3" s="1"/>
  <c r="DB18" i="3" s="1"/>
  <c r="DC18" i="3" s="1"/>
  <c r="DD18" i="3" s="1"/>
  <c r="DE18" i="3" s="1"/>
  <c r="DF18" i="3" s="1"/>
  <c r="DG18" i="3" s="1"/>
  <c r="DH18" i="3" s="1"/>
  <c r="DI18" i="3" s="1"/>
  <c r="DJ18" i="3" s="1"/>
  <c r="DK18" i="3" s="1"/>
  <c r="DL18" i="3" s="1"/>
  <c r="DM18" i="3" s="1"/>
  <c r="DN18" i="3" s="1"/>
  <c r="DO18" i="3" s="1"/>
  <c r="DP18" i="3" s="1"/>
  <c r="DQ18" i="3" s="1"/>
  <c r="DR18" i="3" s="1"/>
  <c r="DS18" i="3" s="1"/>
  <c r="DT18" i="3" s="1"/>
  <c r="DU18" i="3" s="1"/>
  <c r="DV18" i="3" s="1"/>
  <c r="DW18" i="3" s="1"/>
  <c r="DX18" i="3" s="1"/>
  <c r="DY18" i="3" s="1"/>
  <c r="DZ18" i="3" s="1"/>
  <c r="EA18" i="3" s="1"/>
  <c r="EB18" i="3" s="1"/>
  <c r="EC18" i="3" s="1"/>
  <c r="ED18" i="3" s="1"/>
  <c r="EE18" i="3" s="1"/>
  <c r="EF18" i="3" s="1"/>
  <c r="D18" i="3"/>
  <c r="E18" i="3" s="1"/>
  <c r="AM17" i="3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BS17" i="3" s="1"/>
  <c r="BT17" i="3" s="1"/>
  <c r="BU17" i="3" s="1"/>
  <c r="BV17" i="3" s="1"/>
  <c r="BW17" i="3" s="1"/>
  <c r="BX17" i="3" s="1"/>
  <c r="BY17" i="3" s="1"/>
  <c r="BZ17" i="3" s="1"/>
  <c r="CA17" i="3" s="1"/>
  <c r="CB17" i="3" s="1"/>
  <c r="CC17" i="3" s="1"/>
  <c r="CD17" i="3" s="1"/>
  <c r="CE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DC17" i="3" s="1"/>
  <c r="DD17" i="3" s="1"/>
  <c r="DE17" i="3" s="1"/>
  <c r="DF17" i="3" s="1"/>
  <c r="DG17" i="3" s="1"/>
  <c r="DH17" i="3" s="1"/>
  <c r="DI17" i="3" s="1"/>
  <c r="DJ17" i="3" s="1"/>
  <c r="DK17" i="3" s="1"/>
  <c r="DL17" i="3" s="1"/>
  <c r="DM17" i="3" s="1"/>
  <c r="DN17" i="3" s="1"/>
  <c r="DO17" i="3" s="1"/>
  <c r="DP17" i="3" s="1"/>
  <c r="DQ17" i="3" s="1"/>
  <c r="DR17" i="3" s="1"/>
  <c r="DS17" i="3" s="1"/>
  <c r="DT17" i="3" s="1"/>
  <c r="DU17" i="3" s="1"/>
  <c r="DV17" i="3" s="1"/>
  <c r="DW17" i="3" s="1"/>
  <c r="DX17" i="3" s="1"/>
  <c r="DY17" i="3" s="1"/>
  <c r="DZ17" i="3" s="1"/>
  <c r="EA17" i="3" s="1"/>
  <c r="EB17" i="3" s="1"/>
  <c r="EC17" i="3" s="1"/>
  <c r="ED17" i="3" s="1"/>
  <c r="EE17" i="3" s="1"/>
  <c r="EF17" i="3" s="1"/>
  <c r="E17" i="3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D17" i="3"/>
  <c r="D16" i="3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Z16" i="3" s="1"/>
  <c r="BA16" i="3" s="1"/>
  <c r="BB16" i="3" s="1"/>
  <c r="BC16" i="3" s="1"/>
  <c r="BD16" i="3" s="1"/>
  <c r="BE16" i="3" s="1"/>
  <c r="BF16" i="3" s="1"/>
  <c r="BG16" i="3" s="1"/>
  <c r="BH16" i="3" s="1"/>
  <c r="BI16" i="3" s="1"/>
  <c r="BJ16" i="3" s="1"/>
  <c r="BK16" i="3" s="1"/>
  <c r="BL16" i="3" s="1"/>
  <c r="BM16" i="3" s="1"/>
  <c r="BN16" i="3" s="1"/>
  <c r="BO16" i="3" s="1"/>
  <c r="BP16" i="3" s="1"/>
  <c r="BQ16" i="3" s="1"/>
  <c r="BR16" i="3" s="1"/>
  <c r="BS16" i="3" s="1"/>
  <c r="BT16" i="3" s="1"/>
  <c r="BU16" i="3" s="1"/>
  <c r="BV16" i="3" s="1"/>
  <c r="BW16" i="3" s="1"/>
  <c r="BX16" i="3" s="1"/>
  <c r="BY16" i="3" s="1"/>
  <c r="BZ16" i="3" s="1"/>
  <c r="CA16" i="3" s="1"/>
  <c r="CB16" i="3" s="1"/>
  <c r="CC16" i="3" s="1"/>
  <c r="CD16" i="3" s="1"/>
  <c r="CE16" i="3" s="1"/>
  <c r="CF16" i="3" s="1"/>
  <c r="CG16" i="3" s="1"/>
  <c r="CH16" i="3" s="1"/>
  <c r="CI16" i="3" s="1"/>
  <c r="CJ16" i="3" s="1"/>
  <c r="CK16" i="3" s="1"/>
  <c r="CL16" i="3" s="1"/>
  <c r="CM16" i="3" s="1"/>
  <c r="CN16" i="3" s="1"/>
  <c r="CO16" i="3" s="1"/>
  <c r="CP16" i="3" s="1"/>
  <c r="CQ16" i="3" s="1"/>
  <c r="CR16" i="3" s="1"/>
  <c r="CS16" i="3" s="1"/>
  <c r="CT16" i="3" s="1"/>
  <c r="CU16" i="3" s="1"/>
  <c r="CV16" i="3" s="1"/>
  <c r="CW16" i="3" s="1"/>
  <c r="CX16" i="3" s="1"/>
  <c r="CY16" i="3" s="1"/>
  <c r="CZ16" i="3" s="1"/>
  <c r="DA16" i="3" s="1"/>
  <c r="DB16" i="3" s="1"/>
  <c r="DC16" i="3" s="1"/>
  <c r="DD16" i="3" s="1"/>
  <c r="DE16" i="3" s="1"/>
  <c r="DF16" i="3" s="1"/>
  <c r="DG16" i="3" s="1"/>
  <c r="DH16" i="3" s="1"/>
  <c r="DI16" i="3" s="1"/>
  <c r="DJ16" i="3" s="1"/>
  <c r="DK16" i="3" s="1"/>
  <c r="DL16" i="3" s="1"/>
  <c r="DM16" i="3" s="1"/>
  <c r="DN16" i="3" s="1"/>
  <c r="DO16" i="3" s="1"/>
  <c r="DP16" i="3" s="1"/>
  <c r="DQ16" i="3" s="1"/>
  <c r="DR16" i="3" s="1"/>
  <c r="DS16" i="3" s="1"/>
  <c r="DT16" i="3" s="1"/>
  <c r="DU16" i="3" s="1"/>
  <c r="DV16" i="3" s="1"/>
  <c r="DW16" i="3" s="1"/>
  <c r="DX16" i="3" s="1"/>
  <c r="DY16" i="3" s="1"/>
  <c r="DZ16" i="3" s="1"/>
  <c r="EA16" i="3" s="1"/>
  <c r="EB16" i="3" s="1"/>
  <c r="EC16" i="3" s="1"/>
  <c r="ED16" i="3" s="1"/>
  <c r="EE16" i="3" s="1"/>
  <c r="EF16" i="3" s="1"/>
  <c r="D15" i="3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AY15" i="3" s="1"/>
  <c r="AZ15" i="3" s="1"/>
  <c r="BA15" i="3" s="1"/>
  <c r="BB15" i="3" s="1"/>
  <c r="BC15" i="3" s="1"/>
  <c r="BD15" i="3" s="1"/>
  <c r="BE15" i="3" s="1"/>
  <c r="BF15" i="3" s="1"/>
  <c r="BG15" i="3" s="1"/>
  <c r="BH15" i="3" s="1"/>
  <c r="BI15" i="3" s="1"/>
  <c r="BJ15" i="3" s="1"/>
  <c r="BK15" i="3" s="1"/>
  <c r="BL15" i="3" s="1"/>
  <c r="BM15" i="3" s="1"/>
  <c r="BN15" i="3" s="1"/>
  <c r="BO15" i="3" s="1"/>
  <c r="BP15" i="3" s="1"/>
  <c r="BQ15" i="3" s="1"/>
  <c r="BR15" i="3" s="1"/>
  <c r="BS15" i="3" s="1"/>
  <c r="BT15" i="3" s="1"/>
  <c r="BU15" i="3" s="1"/>
  <c r="BV15" i="3" s="1"/>
  <c r="BW15" i="3" s="1"/>
  <c r="BX15" i="3" s="1"/>
  <c r="BY15" i="3" s="1"/>
  <c r="BZ15" i="3" s="1"/>
  <c r="CA15" i="3" s="1"/>
  <c r="CB15" i="3" s="1"/>
  <c r="CC15" i="3" s="1"/>
  <c r="CD15" i="3" s="1"/>
  <c r="CE15" i="3" s="1"/>
  <c r="CF15" i="3" s="1"/>
  <c r="CG15" i="3" s="1"/>
  <c r="CH15" i="3" s="1"/>
  <c r="CI15" i="3" s="1"/>
  <c r="CJ15" i="3" s="1"/>
  <c r="CK15" i="3" s="1"/>
  <c r="CL15" i="3" s="1"/>
  <c r="CM15" i="3" s="1"/>
  <c r="CN15" i="3" s="1"/>
  <c r="CO15" i="3" s="1"/>
  <c r="CP15" i="3" s="1"/>
  <c r="CQ15" i="3" s="1"/>
  <c r="CR15" i="3" s="1"/>
  <c r="CS15" i="3" s="1"/>
  <c r="CT15" i="3" s="1"/>
  <c r="CU15" i="3" s="1"/>
  <c r="CV15" i="3" s="1"/>
  <c r="CW15" i="3" s="1"/>
  <c r="CX15" i="3" s="1"/>
  <c r="CY15" i="3" s="1"/>
  <c r="CZ15" i="3" s="1"/>
  <c r="DA15" i="3" s="1"/>
  <c r="DB15" i="3" s="1"/>
  <c r="DC15" i="3" s="1"/>
  <c r="DD15" i="3" s="1"/>
  <c r="DE15" i="3" s="1"/>
  <c r="DF15" i="3" s="1"/>
  <c r="DG15" i="3" s="1"/>
  <c r="DH15" i="3" s="1"/>
  <c r="DI15" i="3" s="1"/>
  <c r="DJ15" i="3" s="1"/>
  <c r="DK15" i="3" s="1"/>
  <c r="DL15" i="3" s="1"/>
  <c r="DM15" i="3" s="1"/>
  <c r="DN15" i="3" s="1"/>
  <c r="DO15" i="3" s="1"/>
  <c r="DP15" i="3" s="1"/>
  <c r="DQ15" i="3" s="1"/>
  <c r="DR15" i="3" s="1"/>
  <c r="DS15" i="3" s="1"/>
  <c r="DT15" i="3" s="1"/>
  <c r="DU15" i="3" s="1"/>
  <c r="DV15" i="3" s="1"/>
  <c r="DW15" i="3" s="1"/>
  <c r="DX15" i="3" s="1"/>
  <c r="DY15" i="3" s="1"/>
  <c r="DZ15" i="3" s="1"/>
  <c r="EA15" i="3" s="1"/>
  <c r="EB15" i="3" s="1"/>
  <c r="EC15" i="3" s="1"/>
  <c r="ED15" i="3" s="1"/>
  <c r="EE15" i="3" s="1"/>
  <c r="EF15" i="3" s="1"/>
  <c r="D14" i="3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AK14" i="3" s="1"/>
  <c r="AL14" i="3" s="1"/>
  <c r="AM14" i="3" s="1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AZ14" i="3" s="1"/>
  <c r="BA14" i="3" s="1"/>
  <c r="BB14" i="3" s="1"/>
  <c r="BC14" i="3" s="1"/>
  <c r="BD14" i="3" s="1"/>
  <c r="BE14" i="3" s="1"/>
  <c r="BF14" i="3" s="1"/>
  <c r="BG14" i="3" s="1"/>
  <c r="BH14" i="3" s="1"/>
  <c r="BI14" i="3" s="1"/>
  <c r="BJ14" i="3" s="1"/>
  <c r="BK14" i="3" s="1"/>
  <c r="BL14" i="3" s="1"/>
  <c r="BM14" i="3" s="1"/>
  <c r="BN14" i="3" s="1"/>
  <c r="BO14" i="3" s="1"/>
  <c r="BP14" i="3" s="1"/>
  <c r="BQ14" i="3" s="1"/>
  <c r="BR14" i="3" s="1"/>
  <c r="BS14" i="3" s="1"/>
  <c r="BT14" i="3" s="1"/>
  <c r="BU14" i="3" s="1"/>
  <c r="BV14" i="3" s="1"/>
  <c r="BW14" i="3" s="1"/>
  <c r="BX14" i="3" s="1"/>
  <c r="BY14" i="3" s="1"/>
  <c r="BZ14" i="3" s="1"/>
  <c r="CA14" i="3" s="1"/>
  <c r="CB14" i="3" s="1"/>
  <c r="CC14" i="3" s="1"/>
  <c r="CD14" i="3" s="1"/>
  <c r="CE14" i="3" s="1"/>
  <c r="CF14" i="3" s="1"/>
  <c r="CG14" i="3" s="1"/>
  <c r="CH14" i="3" s="1"/>
  <c r="CI14" i="3" s="1"/>
  <c r="CJ14" i="3" s="1"/>
  <c r="CK14" i="3" s="1"/>
  <c r="CL14" i="3" s="1"/>
  <c r="CM14" i="3" s="1"/>
  <c r="CN14" i="3" s="1"/>
  <c r="CO14" i="3" s="1"/>
  <c r="CP14" i="3" s="1"/>
  <c r="CQ14" i="3" s="1"/>
  <c r="CR14" i="3" s="1"/>
  <c r="CS14" i="3" s="1"/>
  <c r="CT14" i="3" s="1"/>
  <c r="CU14" i="3" s="1"/>
  <c r="CV14" i="3" s="1"/>
  <c r="CW14" i="3" s="1"/>
  <c r="CX14" i="3" s="1"/>
  <c r="CY14" i="3" s="1"/>
  <c r="CZ14" i="3" s="1"/>
  <c r="DA14" i="3" s="1"/>
  <c r="DB14" i="3" s="1"/>
  <c r="DC14" i="3" s="1"/>
  <c r="DD14" i="3" s="1"/>
  <c r="DE14" i="3" s="1"/>
  <c r="DF14" i="3" s="1"/>
  <c r="DG14" i="3" s="1"/>
  <c r="DH14" i="3" s="1"/>
  <c r="DI14" i="3" s="1"/>
  <c r="DJ14" i="3" s="1"/>
  <c r="DK14" i="3" s="1"/>
  <c r="DL14" i="3" s="1"/>
  <c r="DM14" i="3" s="1"/>
  <c r="DN14" i="3" s="1"/>
  <c r="DO14" i="3" s="1"/>
  <c r="DP14" i="3" s="1"/>
  <c r="DQ14" i="3" s="1"/>
  <c r="DR14" i="3" s="1"/>
  <c r="DS14" i="3" s="1"/>
  <c r="DT14" i="3" s="1"/>
  <c r="DU14" i="3" s="1"/>
  <c r="DV14" i="3" s="1"/>
  <c r="DW14" i="3" s="1"/>
  <c r="DX14" i="3" s="1"/>
  <c r="DY14" i="3" s="1"/>
  <c r="DZ14" i="3" s="1"/>
  <c r="EA14" i="3" s="1"/>
  <c r="EB14" i="3" s="1"/>
  <c r="EC14" i="3" s="1"/>
  <c r="ED14" i="3" s="1"/>
  <c r="EE14" i="3" s="1"/>
  <c r="EF14" i="3" s="1"/>
  <c r="F13" i="3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CU13" i="3" s="1"/>
  <c r="CV13" i="3" s="1"/>
  <c r="CW13" i="3" s="1"/>
  <c r="CX13" i="3" s="1"/>
  <c r="CY13" i="3" s="1"/>
  <c r="CZ13" i="3" s="1"/>
  <c r="DA13" i="3" s="1"/>
  <c r="DB13" i="3" s="1"/>
  <c r="DC13" i="3" s="1"/>
  <c r="DD13" i="3" s="1"/>
  <c r="DE13" i="3" s="1"/>
  <c r="DF13" i="3" s="1"/>
  <c r="DG13" i="3" s="1"/>
  <c r="DH13" i="3" s="1"/>
  <c r="DI13" i="3" s="1"/>
  <c r="DJ13" i="3" s="1"/>
  <c r="DK13" i="3" s="1"/>
  <c r="DL13" i="3" s="1"/>
  <c r="DM13" i="3" s="1"/>
  <c r="DN13" i="3" s="1"/>
  <c r="DO13" i="3" s="1"/>
  <c r="DP13" i="3" s="1"/>
  <c r="DQ13" i="3" s="1"/>
  <c r="DR13" i="3" s="1"/>
  <c r="DS13" i="3" s="1"/>
  <c r="DT13" i="3" s="1"/>
  <c r="DU13" i="3" s="1"/>
  <c r="DV13" i="3" s="1"/>
  <c r="DW13" i="3" s="1"/>
  <c r="DX13" i="3" s="1"/>
  <c r="DY13" i="3" s="1"/>
  <c r="DZ13" i="3" s="1"/>
  <c r="EA13" i="3" s="1"/>
  <c r="EB13" i="3" s="1"/>
  <c r="EC13" i="3" s="1"/>
  <c r="ED13" i="3" s="1"/>
  <c r="EE13" i="3" s="1"/>
  <c r="EF13" i="3" s="1"/>
  <c r="E13" i="3"/>
  <c r="D13" i="3"/>
  <c r="J12" i="3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AZ12" i="3" s="1"/>
  <c r="BA12" i="3" s="1"/>
  <c r="BB12" i="3" s="1"/>
  <c r="BC12" i="3" s="1"/>
  <c r="BD12" i="3" s="1"/>
  <c r="BE12" i="3" s="1"/>
  <c r="BF12" i="3" s="1"/>
  <c r="BG12" i="3" s="1"/>
  <c r="BH12" i="3" s="1"/>
  <c r="BI12" i="3" s="1"/>
  <c r="BJ12" i="3" s="1"/>
  <c r="BK12" i="3" s="1"/>
  <c r="BL12" i="3" s="1"/>
  <c r="BM12" i="3" s="1"/>
  <c r="BN12" i="3" s="1"/>
  <c r="BO12" i="3" s="1"/>
  <c r="BP12" i="3" s="1"/>
  <c r="BQ12" i="3" s="1"/>
  <c r="BR12" i="3" s="1"/>
  <c r="BS12" i="3" s="1"/>
  <c r="BT12" i="3" s="1"/>
  <c r="BU12" i="3" s="1"/>
  <c r="BV12" i="3" s="1"/>
  <c r="BW12" i="3" s="1"/>
  <c r="BX12" i="3" s="1"/>
  <c r="BY12" i="3" s="1"/>
  <c r="BZ12" i="3" s="1"/>
  <c r="CA12" i="3" s="1"/>
  <c r="CB12" i="3" s="1"/>
  <c r="CC12" i="3" s="1"/>
  <c r="CD12" i="3" s="1"/>
  <c r="CE12" i="3" s="1"/>
  <c r="CF12" i="3" s="1"/>
  <c r="CG12" i="3" s="1"/>
  <c r="CH12" i="3" s="1"/>
  <c r="CI12" i="3" s="1"/>
  <c r="CJ12" i="3" s="1"/>
  <c r="CK12" i="3" s="1"/>
  <c r="CL12" i="3" s="1"/>
  <c r="CM12" i="3" s="1"/>
  <c r="CN12" i="3" s="1"/>
  <c r="CO12" i="3" s="1"/>
  <c r="CP12" i="3" s="1"/>
  <c r="CQ12" i="3" s="1"/>
  <c r="CR12" i="3" s="1"/>
  <c r="CS12" i="3" s="1"/>
  <c r="CT12" i="3" s="1"/>
  <c r="CU12" i="3" s="1"/>
  <c r="CV12" i="3" s="1"/>
  <c r="CW12" i="3" s="1"/>
  <c r="CX12" i="3" s="1"/>
  <c r="CY12" i="3" s="1"/>
  <c r="CZ12" i="3" s="1"/>
  <c r="DA12" i="3" s="1"/>
  <c r="DB12" i="3" s="1"/>
  <c r="DC12" i="3" s="1"/>
  <c r="DD12" i="3" s="1"/>
  <c r="DE12" i="3" s="1"/>
  <c r="DF12" i="3" s="1"/>
  <c r="DG12" i="3" s="1"/>
  <c r="DH12" i="3" s="1"/>
  <c r="DI12" i="3" s="1"/>
  <c r="DJ12" i="3" s="1"/>
  <c r="DK12" i="3" s="1"/>
  <c r="DL12" i="3" s="1"/>
  <c r="DM12" i="3" s="1"/>
  <c r="DN12" i="3" s="1"/>
  <c r="DO12" i="3" s="1"/>
  <c r="DP12" i="3" s="1"/>
  <c r="DQ12" i="3" s="1"/>
  <c r="DR12" i="3" s="1"/>
  <c r="DS12" i="3" s="1"/>
  <c r="DT12" i="3" s="1"/>
  <c r="DU12" i="3" s="1"/>
  <c r="DV12" i="3" s="1"/>
  <c r="DW12" i="3" s="1"/>
  <c r="DX12" i="3" s="1"/>
  <c r="DY12" i="3" s="1"/>
  <c r="DZ12" i="3" s="1"/>
  <c r="EA12" i="3" s="1"/>
  <c r="EB12" i="3" s="1"/>
  <c r="EC12" i="3" s="1"/>
  <c r="ED12" i="3" s="1"/>
  <c r="EE12" i="3" s="1"/>
  <c r="EF12" i="3" s="1"/>
  <c r="E12" i="3"/>
  <c r="F12" i="3" s="1"/>
  <c r="G12" i="3" s="1"/>
  <c r="H12" i="3" s="1"/>
  <c r="I12" i="3" s="1"/>
  <c r="D12" i="3"/>
  <c r="DW8" i="3"/>
  <c r="DR8" i="3"/>
  <c r="DQ8" i="3"/>
  <c r="DP8" i="3"/>
  <c r="DO8" i="3"/>
  <c r="DI8" i="3"/>
  <c r="DG8" i="3"/>
  <c r="DA8" i="3"/>
  <c r="CZ8" i="3"/>
  <c r="CY8" i="3"/>
  <c r="CX8" i="3"/>
  <c r="CW8" i="3"/>
  <c r="CQ8" i="3"/>
  <c r="CP8" i="3"/>
  <c r="CN8" i="3"/>
  <c r="CM8" i="3"/>
  <c r="CL8" i="3"/>
  <c r="CI8" i="3"/>
  <c r="CA8" i="3"/>
  <c r="BW8" i="3"/>
  <c r="BV8" i="3"/>
  <c r="BS8" i="3"/>
  <c r="BP8" i="3"/>
  <c r="BO8" i="3"/>
  <c r="BF8" i="3"/>
  <c r="AX8" i="3"/>
  <c r="AW8" i="3"/>
  <c r="AV8" i="3"/>
  <c r="AU8" i="3"/>
  <c r="AN8" i="3"/>
  <c r="AM8" i="3"/>
  <c r="AK8" i="3"/>
  <c r="AE8" i="3"/>
  <c r="AD8" i="3"/>
  <c r="V8" i="3"/>
  <c r="T8" i="3"/>
  <c r="S8" i="3"/>
  <c r="R8" i="3"/>
  <c r="O8" i="3"/>
  <c r="N8" i="3"/>
  <c r="EE7" i="3"/>
  <c r="DZ7" i="3"/>
  <c r="DY7" i="3"/>
  <c r="DX7" i="3"/>
  <c r="DW7" i="3"/>
  <c r="DP7" i="3"/>
  <c r="DO7" i="3"/>
  <c r="DG7" i="3"/>
  <c r="CX7" i="3"/>
  <c r="CW7" i="3"/>
  <c r="CS7" i="3"/>
  <c r="CR7" i="3"/>
  <c r="CQ7" i="3"/>
  <c r="CP7" i="3"/>
  <c r="CA7" i="3"/>
  <c r="BZ7" i="3"/>
  <c r="BY7" i="3"/>
  <c r="BW7" i="3"/>
  <c r="BV7" i="3"/>
  <c r="BU7" i="3"/>
  <c r="BM7" i="3"/>
  <c r="BK7" i="3"/>
  <c r="BG7" i="3"/>
  <c r="BF7" i="3"/>
  <c r="BE7" i="3"/>
  <c r="BD7" i="3"/>
  <c r="BC7" i="3"/>
  <c r="AU7" i="3"/>
  <c r="AT7" i="3"/>
  <c r="AS7" i="3"/>
  <c r="AR7" i="3"/>
  <c r="AP7" i="3"/>
  <c r="AO7" i="3"/>
  <c r="AM7" i="3"/>
  <c r="AE7" i="3"/>
  <c r="W7" i="3"/>
  <c r="V7" i="3"/>
  <c r="R7" i="3"/>
  <c r="G7" i="3"/>
  <c r="EG6" i="3" a="1"/>
  <c r="EG6" i="3"/>
  <c r="EG8" i="3" s="1"/>
  <c r="EF6" i="3" a="1"/>
  <c r="EF6" i="3" s="1"/>
  <c r="EF8" i="3" s="1"/>
  <c r="EE6" i="3" a="1"/>
  <c r="EE6" i="3"/>
  <c r="EE8" i="3" s="1"/>
  <c r="ED6" i="3" a="1"/>
  <c r="ED6" i="3" s="1"/>
  <c r="ED8" i="3" s="1"/>
  <c r="EC6" i="3" a="1"/>
  <c r="EC6" i="3" s="1"/>
  <c r="EB6" i="3" a="1"/>
  <c r="EB6" i="3"/>
  <c r="EA6" i="3" a="1"/>
  <c r="EA6" i="3" s="1"/>
  <c r="DZ6" i="3" a="1"/>
  <c r="DZ6" i="3"/>
  <c r="DZ8" i="3" s="1"/>
  <c r="DY6" i="3" a="1"/>
  <c r="DY6" i="3"/>
  <c r="DY8" i="3" s="1"/>
  <c r="DX6" i="3" a="1"/>
  <c r="DX6" i="3" s="1"/>
  <c r="DX8" i="3" s="1"/>
  <c r="DW6" i="3" a="1"/>
  <c r="DW6" i="3"/>
  <c r="DV6" i="3" a="1"/>
  <c r="DV6" i="3" s="1"/>
  <c r="DV7" i="3" s="1"/>
  <c r="DU6" i="3" a="1"/>
  <c r="DU6" i="3"/>
  <c r="DT6" i="3" a="1"/>
  <c r="DT6" i="3" s="1"/>
  <c r="DS6" i="3" a="1"/>
  <c r="DS6" i="3"/>
  <c r="DR6" i="3" a="1"/>
  <c r="DR6" i="3"/>
  <c r="DR7" i="3" s="1"/>
  <c r="DQ6" i="3" a="1"/>
  <c r="DQ6" i="3"/>
  <c r="DQ7" i="3" s="1"/>
  <c r="DP6" i="3" a="1"/>
  <c r="DP6" i="3" s="1"/>
  <c r="DO6" i="3" a="1"/>
  <c r="DO6" i="3"/>
  <c r="DN6" i="3" a="1"/>
  <c r="DN6" i="3" s="1"/>
  <c r="DN8" i="3" s="1"/>
  <c r="DM6" i="3" a="1"/>
  <c r="DM6" i="3"/>
  <c r="DM8" i="3" s="1"/>
  <c r="DL6" i="3" a="1"/>
  <c r="DL6" i="3"/>
  <c r="DK6" i="3" a="1"/>
  <c r="DK6" i="3" s="1"/>
  <c r="DJ6" i="3" a="1"/>
  <c r="DJ6" i="3"/>
  <c r="DJ8" i="3" s="1"/>
  <c r="DI6" i="3" a="1"/>
  <c r="DI6" i="3"/>
  <c r="DI7" i="3" s="1"/>
  <c r="DH6" i="3" a="1"/>
  <c r="DH6" i="3" s="1"/>
  <c r="DH8" i="3" s="1"/>
  <c r="DG6" i="3" a="1"/>
  <c r="DG6" i="3"/>
  <c r="DF6" i="3" a="1"/>
  <c r="DF6" i="3" s="1"/>
  <c r="DF8" i="3" s="1"/>
  <c r="DE6" i="3" a="1"/>
  <c r="DE6" i="3"/>
  <c r="DE8" i="3" s="1"/>
  <c r="DD6" i="3" a="1"/>
  <c r="DD6" i="3"/>
  <c r="DD7" i="3" s="1"/>
  <c r="DC6" i="3" a="1"/>
  <c r="DC6" i="3"/>
  <c r="DC7" i="3" s="1"/>
  <c r="DB6" i="3" a="1"/>
  <c r="DB6" i="3"/>
  <c r="DA6" i="3" a="1"/>
  <c r="DA6" i="3"/>
  <c r="DA7" i="3" s="1"/>
  <c r="CZ6" i="3" a="1"/>
  <c r="CZ6" i="3" s="1"/>
  <c r="CZ7" i="3" s="1"/>
  <c r="CY6" i="3" a="1"/>
  <c r="CY6" i="3"/>
  <c r="CY7" i="3" s="1"/>
  <c r="CX6" i="3" a="1"/>
  <c r="CX6" i="3" s="1"/>
  <c r="CW6" i="3" a="1"/>
  <c r="CW6" i="3"/>
  <c r="CV6" i="3" a="1"/>
  <c r="CV6" i="3"/>
  <c r="CU6" i="3" a="1"/>
  <c r="CU6" i="3"/>
  <c r="CU8" i="3" s="1"/>
  <c r="CT6" i="3" a="1"/>
  <c r="CT6" i="3"/>
  <c r="CT8" i="3" s="1"/>
  <c r="CS6" i="3" a="1"/>
  <c r="CS6" i="3"/>
  <c r="CS8" i="3" s="1"/>
  <c r="CR6" i="3" a="1"/>
  <c r="CR6" i="3" s="1"/>
  <c r="CR8" i="3" s="1"/>
  <c r="CQ6" i="3" a="1"/>
  <c r="CQ6" i="3"/>
  <c r="CP6" i="3" a="1"/>
  <c r="CP6" i="3" s="1"/>
  <c r="CO6" i="3" a="1"/>
  <c r="CO6" i="3"/>
  <c r="CO8" i="3" s="1"/>
  <c r="CN6" i="3" a="1"/>
  <c r="CN6" i="3"/>
  <c r="CN7" i="3" s="1"/>
  <c r="CM6" i="3" a="1"/>
  <c r="CM6" i="3"/>
  <c r="CM7" i="3" s="1"/>
  <c r="CL6" i="3" a="1"/>
  <c r="CL6" i="3"/>
  <c r="CL7" i="3" s="1"/>
  <c r="CK6" i="3" a="1"/>
  <c r="CK6" i="3"/>
  <c r="CJ6" i="3" a="1"/>
  <c r="CJ6" i="3" s="1"/>
  <c r="CI6" i="3" a="1"/>
  <c r="CI6" i="3"/>
  <c r="CI7" i="3" s="1"/>
  <c r="CH6" i="3" a="1"/>
  <c r="CH6" i="3" s="1"/>
  <c r="CH7" i="3" s="1"/>
  <c r="CG6" i="3" a="1"/>
  <c r="CG6" i="3" s="1"/>
  <c r="CF6" i="3" a="1"/>
  <c r="CF6" i="3"/>
  <c r="CF7" i="3" s="1"/>
  <c r="CE6" i="3" a="1"/>
  <c r="CE6" i="3"/>
  <c r="CE7" i="3" s="1"/>
  <c r="CD6" i="3" a="1"/>
  <c r="CD6" i="3"/>
  <c r="CD8" i="3" s="1"/>
  <c r="CC6" i="3" a="1"/>
  <c r="CC6" i="3"/>
  <c r="CC8" i="3" s="1"/>
  <c r="CB6" i="3" a="1"/>
  <c r="CB6" i="3" s="1"/>
  <c r="CB8" i="3" s="1"/>
  <c r="CA6" i="3" a="1"/>
  <c r="CA6" i="3"/>
  <c r="BZ6" i="3" a="1"/>
  <c r="BZ6" i="3" s="1"/>
  <c r="BZ8" i="3" s="1"/>
  <c r="BY6" i="3" a="1"/>
  <c r="BY6" i="3"/>
  <c r="BY8" i="3" s="1"/>
  <c r="BX6" i="3" a="1"/>
  <c r="BX6" i="3" s="1"/>
  <c r="BW6" i="3" a="1"/>
  <c r="BW6" i="3"/>
  <c r="BV6" i="3" a="1"/>
  <c r="BV6" i="3"/>
  <c r="BU6" i="3" a="1"/>
  <c r="BU6" i="3"/>
  <c r="BU8" i="3" s="1"/>
  <c r="BT6" i="3" a="1"/>
  <c r="BT6" i="3" s="1"/>
  <c r="BS6" i="3" a="1"/>
  <c r="BS6" i="3"/>
  <c r="BS7" i="3" s="1"/>
  <c r="BR6" i="3" a="1"/>
  <c r="BR6" i="3" s="1"/>
  <c r="BR7" i="3" s="1"/>
  <c r="BQ6" i="3" a="1"/>
  <c r="BQ6" i="3" s="1"/>
  <c r="BP6" i="3" a="1"/>
  <c r="BP6" i="3"/>
  <c r="BP7" i="3" s="1"/>
  <c r="BO6" i="3" a="1"/>
  <c r="BO6" i="3" s="1"/>
  <c r="BO7" i="3" s="1"/>
  <c r="BN6" i="3" a="1"/>
  <c r="BN6" i="3"/>
  <c r="BN7" i="3" s="1"/>
  <c r="BM6" i="3" a="1"/>
  <c r="BM6" i="3"/>
  <c r="BM8" i="3" s="1"/>
  <c r="BL6" i="3" a="1"/>
  <c r="BL6" i="3" s="1"/>
  <c r="BL8" i="3" s="1"/>
  <c r="BK6" i="3" a="1"/>
  <c r="BK6" i="3"/>
  <c r="BK8" i="3" s="1"/>
  <c r="BJ6" i="3" a="1"/>
  <c r="BJ6" i="3" s="1"/>
  <c r="BJ8" i="3" s="1"/>
  <c r="BI6" i="3" a="1"/>
  <c r="BI6" i="3"/>
  <c r="BI8" i="3" s="1"/>
  <c r="BH6" i="3" a="1"/>
  <c r="BH6" i="3" s="1"/>
  <c r="BG6" i="3" a="1"/>
  <c r="BG6" i="3"/>
  <c r="BG8" i="3" s="1"/>
  <c r="BF6" i="3" a="1"/>
  <c r="BF6" i="3"/>
  <c r="BE6" i="3" a="1"/>
  <c r="BE6" i="3"/>
  <c r="BE8" i="3" s="1"/>
  <c r="BD6" i="3" a="1"/>
  <c r="BD6" i="3" s="1"/>
  <c r="BD8" i="3" s="1"/>
  <c r="BC6" i="3" a="1"/>
  <c r="BC6" i="3"/>
  <c r="BC8" i="3" s="1"/>
  <c r="BB6" i="3" a="1"/>
  <c r="BB6" i="3" s="1"/>
  <c r="BB7" i="3" s="1"/>
  <c r="BA6" i="3" a="1"/>
  <c r="BA6" i="3"/>
  <c r="BA7" i="3" s="1"/>
  <c r="AZ6" i="3" a="1"/>
  <c r="AZ6" i="3"/>
  <c r="AZ7" i="3" s="1"/>
  <c r="AY6" i="3" a="1"/>
  <c r="AY6" i="3" s="1"/>
  <c r="AX6" i="3" a="1"/>
  <c r="AX6" i="3"/>
  <c r="AX7" i="3" s="1"/>
  <c r="AW6" i="3" a="1"/>
  <c r="AW6" i="3"/>
  <c r="AW7" i="3" s="1"/>
  <c r="AV6" i="3" a="1"/>
  <c r="AV6" i="3" s="1"/>
  <c r="AV7" i="3" s="1"/>
  <c r="AU6" i="3" a="1"/>
  <c r="AU6" i="3"/>
  <c r="AT6" i="3" a="1"/>
  <c r="AT6" i="3" s="1"/>
  <c r="AT8" i="3" s="1"/>
  <c r="AS6" i="3" a="1"/>
  <c r="AS6" i="3"/>
  <c r="AS8" i="3" s="1"/>
  <c r="AR6" i="3" a="1"/>
  <c r="AR6" i="3"/>
  <c r="AR8" i="3" s="1"/>
  <c r="AQ6" i="3" a="1"/>
  <c r="AQ6" i="3"/>
  <c r="AQ8" i="3" s="1"/>
  <c r="AP6" i="3" a="1"/>
  <c r="AP6" i="3"/>
  <c r="AP8" i="3" s="1"/>
  <c r="AO6" i="3" a="1"/>
  <c r="AO6" i="3"/>
  <c r="AO8" i="3" s="1"/>
  <c r="AN6" i="3" a="1"/>
  <c r="AN6" i="3" s="1"/>
  <c r="AN7" i="3" s="1"/>
  <c r="AM6" i="3" a="1"/>
  <c r="AM6" i="3"/>
  <c r="AL6" i="3" a="1"/>
  <c r="AL6" i="3" s="1"/>
  <c r="AL8" i="3" s="1"/>
  <c r="AK6" i="3" a="1"/>
  <c r="AK6" i="3"/>
  <c r="AK7" i="3" s="1"/>
  <c r="AJ6" i="3" a="1"/>
  <c r="AJ6" i="3"/>
  <c r="AJ7" i="3" s="1"/>
  <c r="AI6" i="3" a="1"/>
  <c r="AI6" i="3"/>
  <c r="AI8" i="3" s="1"/>
  <c r="AH6" i="3" a="1"/>
  <c r="AH6" i="3"/>
  <c r="AH7" i="3" s="1"/>
  <c r="AG6" i="3" a="1"/>
  <c r="AG6" i="3"/>
  <c r="AG7" i="3" s="1"/>
  <c r="AF6" i="3" a="1"/>
  <c r="AF6" i="3" s="1"/>
  <c r="AF7" i="3" s="1"/>
  <c r="AE6" i="3" a="1"/>
  <c r="AE6" i="3"/>
  <c r="AD6" i="3" a="1"/>
  <c r="AD6" i="3" s="1"/>
  <c r="AD7" i="3" s="1"/>
  <c r="AC6" i="3" a="1"/>
  <c r="AC6" i="3"/>
  <c r="AC8" i="3" s="1"/>
  <c r="AB6" i="3" a="1"/>
  <c r="AB6" i="3"/>
  <c r="AB7" i="3" s="1"/>
  <c r="AA6" i="3" a="1"/>
  <c r="AA6" i="3"/>
  <c r="AA8" i="3" s="1"/>
  <c r="Z6" i="3" a="1"/>
  <c r="Z6" i="3"/>
  <c r="Z8" i="3" s="1"/>
  <c r="Y6" i="3" a="1"/>
  <c r="Y6" i="3"/>
  <c r="Y8" i="3" s="1"/>
  <c r="X6" i="3" a="1"/>
  <c r="X6" i="3" s="1"/>
  <c r="W6" i="3" a="1"/>
  <c r="W6" i="3"/>
  <c r="W8" i="3" s="1"/>
  <c r="V6" i="3" a="1"/>
  <c r="V6" i="3" s="1"/>
  <c r="U6" i="3" a="1"/>
  <c r="U6" i="3" s="1"/>
  <c r="T6" i="3" a="1"/>
  <c r="T6" i="3"/>
  <c r="T7" i="3" s="1"/>
  <c r="S6" i="3" a="1"/>
  <c r="S6" i="3"/>
  <c r="S7" i="3" s="1"/>
  <c r="R6" i="3" a="1"/>
  <c r="R6" i="3"/>
  <c r="Q6" i="3" a="1"/>
  <c r="Q6" i="3"/>
  <c r="Q7" i="3" s="1"/>
  <c r="P6" i="3" a="1"/>
  <c r="P6" i="3" s="1"/>
  <c r="P7" i="3" s="1"/>
  <c r="O6" i="3" a="1"/>
  <c r="O6" i="3"/>
  <c r="O7" i="3" s="1"/>
  <c r="N6" i="3" a="1"/>
  <c r="N6" i="3" s="1"/>
  <c r="N7" i="3" s="1"/>
  <c r="M6" i="3" a="1"/>
  <c r="M6" i="3"/>
  <c r="L6" i="3" a="1"/>
  <c r="L6" i="3" s="1"/>
  <c r="K6" i="3" a="1"/>
  <c r="K6" i="3"/>
  <c r="K8" i="3" s="1"/>
  <c r="J6" i="3" a="1"/>
  <c r="J6" i="3"/>
  <c r="J8" i="3" s="1"/>
  <c r="I6" i="3" a="1"/>
  <c r="I6" i="3"/>
  <c r="I8" i="3" s="1"/>
  <c r="H6" i="3" a="1"/>
  <c r="H6" i="3" s="1"/>
  <c r="H8" i="3" s="1"/>
  <c r="G6" i="3" a="1"/>
  <c r="G6" i="3"/>
  <c r="G8" i="3" s="1"/>
  <c r="F6" i="3" a="1"/>
  <c r="F6" i="3" s="1"/>
  <c r="F8" i="3" s="1"/>
  <c r="E6" i="3" a="1"/>
  <c r="E6" i="3" s="1"/>
  <c r="D6" i="3" a="1"/>
  <c r="D6" i="3"/>
  <c r="C6" i="3" a="1"/>
  <c r="C6" i="3" s="1"/>
  <c r="EF24" i="2"/>
  <c r="EE24" i="2"/>
  <c r="ED24" i="2"/>
  <c r="EC24" i="2"/>
  <c r="EB24" i="2"/>
  <c r="EA24" i="2"/>
  <c r="DZ24" i="2"/>
  <c r="DY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EG24" i="2" s="1"/>
  <c r="D24" i="2"/>
  <c r="C24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EH22" i="2" s="1"/>
  <c r="D22" i="2"/>
  <c r="C22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EH20" i="2" s="1"/>
  <c r="D20" i="2"/>
  <c r="C20" i="2"/>
  <c r="EF19" i="2"/>
  <c r="EE19" i="2"/>
  <c r="ED19" i="2"/>
  <c r="EC19" i="2"/>
  <c r="EB19" i="2"/>
  <c r="EA19" i="2"/>
  <c r="DZ19" i="2"/>
  <c r="DY19" i="2"/>
  <c r="DX19" i="2"/>
  <c r="DW19" i="2"/>
  <c r="DV19" i="2"/>
  <c r="DU19" i="2"/>
  <c r="DT19" i="2"/>
  <c r="DS19" i="2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EH18" i="2" s="1"/>
  <c r="H18" i="2"/>
  <c r="G18" i="2"/>
  <c r="F18" i="2"/>
  <c r="E18" i="2"/>
  <c r="D18" i="2"/>
  <c r="C18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T17" i="2"/>
  <c r="DS17" i="2"/>
  <c r="DR17" i="2"/>
  <c r="DQ17" i="2"/>
  <c r="DP17" i="2"/>
  <c r="DO17" i="2"/>
  <c r="DN17" i="2"/>
  <c r="DM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EH12" i="2" s="1"/>
  <c r="D12" i="2"/>
  <c r="C12" i="2"/>
  <c r="DX8" i="2"/>
  <c r="DU8" i="2"/>
  <c r="DL8" i="2"/>
  <c r="DK8" i="2"/>
  <c r="DJ8" i="2"/>
  <c r="DH8" i="2"/>
  <c r="DD8" i="2"/>
  <c r="CU8" i="2"/>
  <c r="CT8" i="2"/>
  <c r="CS8" i="2"/>
  <c r="CR8" i="2"/>
  <c r="CQ8" i="2"/>
  <c r="CP8" i="2"/>
  <c r="CO8" i="2"/>
  <c r="CD8" i="2"/>
  <c r="CC8" i="2"/>
  <c r="CB8" i="2"/>
  <c r="BR8" i="2"/>
  <c r="BQ8" i="2"/>
  <c r="BP8" i="2"/>
  <c r="BO8" i="2"/>
  <c r="BL8" i="2"/>
  <c r="AW8" i="2"/>
  <c r="AV8" i="2"/>
  <c r="AU8" i="2"/>
  <c r="AT8" i="2"/>
  <c r="AE8" i="2"/>
  <c r="AD8" i="2"/>
  <c r="AB8" i="2"/>
  <c r="U8" i="2"/>
  <c r="T8" i="2"/>
  <c r="L8" i="2"/>
  <c r="C8" i="2"/>
  <c r="EG7" i="2"/>
  <c r="EF7" i="2"/>
  <c r="ED7" i="2"/>
  <c r="EC7" i="2"/>
  <c r="DU7" i="2"/>
  <c r="DP7" i="2"/>
  <c r="DL7" i="2"/>
  <c r="DK7" i="2"/>
  <c r="DD7" i="2"/>
  <c r="CZ7" i="2"/>
  <c r="CU7" i="2"/>
  <c r="CM7" i="2"/>
  <c r="CK7" i="2"/>
  <c r="CJ7" i="2"/>
  <c r="CI7" i="2"/>
  <c r="BV7" i="2"/>
  <c r="BU7" i="2"/>
  <c r="BT7" i="2"/>
  <c r="BS7" i="2"/>
  <c r="BR7" i="2"/>
  <c r="BQ7" i="2"/>
  <c r="BI7" i="2"/>
  <c r="BE7" i="2"/>
  <c r="BD7" i="2"/>
  <c r="AS7" i="2"/>
  <c r="AR7" i="2"/>
  <c r="AN7" i="2"/>
  <c r="AM7" i="2"/>
  <c r="U7" i="2"/>
  <c r="S7" i="2"/>
  <c r="C7" i="2"/>
  <c r="EG6" i="2" a="1"/>
  <c r="EG6" i="2" s="1"/>
  <c r="EG8" i="2" s="1"/>
  <c r="EF6" i="2" a="1"/>
  <c r="EF6" i="2"/>
  <c r="EF8" i="2" s="1"/>
  <c r="EE6" i="2" a="1"/>
  <c r="EE6" i="2"/>
  <c r="ED6" i="2" a="1"/>
  <c r="ED6" i="2" s="1"/>
  <c r="ED8" i="2" s="1"/>
  <c r="EC6" i="2" a="1"/>
  <c r="EC6" i="2"/>
  <c r="EC8" i="2" s="1"/>
  <c r="EB6" i="2" a="1"/>
  <c r="EB6" i="2"/>
  <c r="EB7" i="2" s="1"/>
  <c r="EA6" i="2" a="1"/>
  <c r="EA6" i="2"/>
  <c r="EA7" i="2" s="1"/>
  <c r="DZ6" i="2" a="1"/>
  <c r="DZ6" i="2"/>
  <c r="DZ7" i="2" s="1"/>
  <c r="DY6" i="2" a="1"/>
  <c r="DY6" i="2" s="1"/>
  <c r="DY7" i="2" s="1"/>
  <c r="DX6" i="2" a="1"/>
  <c r="DX6" i="2"/>
  <c r="DX7" i="2" s="1"/>
  <c r="DW6" i="2" a="1"/>
  <c r="DW6" i="2"/>
  <c r="DW7" i="2" s="1"/>
  <c r="DV6" i="2" a="1"/>
  <c r="DV6" i="2" s="1"/>
  <c r="DU6" i="2" a="1"/>
  <c r="DU6" i="2"/>
  <c r="DT6" i="2" a="1"/>
  <c r="DT6" i="2" s="1"/>
  <c r="DS6" i="2" a="1"/>
  <c r="DS6" i="2"/>
  <c r="DS8" i="2" s="1"/>
  <c r="DR6" i="2" a="1"/>
  <c r="DR6" i="2"/>
  <c r="DR8" i="2" s="1"/>
  <c r="DQ6" i="2" a="1"/>
  <c r="DQ6" i="2" s="1"/>
  <c r="DQ8" i="2" s="1"/>
  <c r="DP6" i="2" a="1"/>
  <c r="DP6" i="2"/>
  <c r="DP8" i="2" s="1"/>
  <c r="DO6" i="2" a="1"/>
  <c r="DO6" i="2"/>
  <c r="DO8" i="2" s="1"/>
  <c r="DN6" i="2" a="1"/>
  <c r="DN6" i="2"/>
  <c r="DM6" i="2" a="1"/>
  <c r="DM6" i="2" s="1"/>
  <c r="DL6" i="2" a="1"/>
  <c r="DL6" i="2"/>
  <c r="DK6" i="2" a="1"/>
  <c r="DK6" i="2"/>
  <c r="DJ6" i="2" a="1"/>
  <c r="DJ6" i="2"/>
  <c r="DJ7" i="2" s="1"/>
  <c r="DI6" i="2" a="1"/>
  <c r="DI6" i="2" s="1"/>
  <c r="DI7" i="2" s="1"/>
  <c r="DH6" i="2" a="1"/>
  <c r="DH6" i="2"/>
  <c r="DH7" i="2" s="1"/>
  <c r="DG6" i="2" a="1"/>
  <c r="DG6" i="2"/>
  <c r="DG7" i="2" s="1"/>
  <c r="DF6" i="2" a="1"/>
  <c r="DF6" i="2"/>
  <c r="DE6" i="2" a="1"/>
  <c r="DE6" i="2" s="1"/>
  <c r="DD6" i="2" a="1"/>
  <c r="DD6" i="2"/>
  <c r="DC6" i="2" a="1"/>
  <c r="DC6" i="2" s="1"/>
  <c r="DB6" i="2" a="1"/>
  <c r="DB6" i="2"/>
  <c r="DB8" i="2" s="1"/>
  <c r="DA6" i="2" a="1"/>
  <c r="DA6" i="2" s="1"/>
  <c r="DA8" i="2" s="1"/>
  <c r="CZ6" i="2" a="1"/>
  <c r="CZ6" i="2"/>
  <c r="CZ8" i="2" s="1"/>
  <c r="CY6" i="2" a="1"/>
  <c r="CY6" i="2"/>
  <c r="CY8" i="2" s="1"/>
  <c r="CX6" i="2" a="1"/>
  <c r="CX6" i="2"/>
  <c r="CX8" i="2" s="1"/>
  <c r="CW6" i="2" a="1"/>
  <c r="CW6" i="2"/>
  <c r="CV6" i="2" a="1"/>
  <c r="CV6" i="2" s="1"/>
  <c r="CU6" i="2" a="1"/>
  <c r="CU6" i="2"/>
  <c r="CT6" i="2" a="1"/>
  <c r="CT6" i="2"/>
  <c r="CT7" i="2" s="1"/>
  <c r="CS6" i="2" a="1"/>
  <c r="CS6" i="2" s="1"/>
  <c r="CS7" i="2" s="1"/>
  <c r="CR6" i="2" a="1"/>
  <c r="CR6" i="2"/>
  <c r="CR7" i="2" s="1"/>
  <c r="CQ6" i="2" a="1"/>
  <c r="CQ6" i="2"/>
  <c r="CQ7" i="2" s="1"/>
  <c r="CP6" i="2" a="1"/>
  <c r="CP6" i="2"/>
  <c r="CP7" i="2" s="1"/>
  <c r="CO6" i="2" a="1"/>
  <c r="CO6" i="2"/>
  <c r="CO7" i="2" s="1"/>
  <c r="CN6" i="2" a="1"/>
  <c r="CN6" i="2" s="1"/>
  <c r="CM6" i="2" a="1"/>
  <c r="CM6" i="2"/>
  <c r="CM8" i="2" s="1"/>
  <c r="CL6" i="2" a="1"/>
  <c r="CL6" i="2" s="1"/>
  <c r="CK6" i="2" a="1"/>
  <c r="CK6" i="2" s="1"/>
  <c r="CK8" i="2" s="1"/>
  <c r="CJ6" i="2" a="1"/>
  <c r="CJ6" i="2"/>
  <c r="CJ8" i="2" s="1"/>
  <c r="CI6" i="2" a="1"/>
  <c r="CI6" i="2"/>
  <c r="CI8" i="2" s="1"/>
  <c r="CH6" i="2" a="1"/>
  <c r="CH6" i="2"/>
  <c r="CH7" i="2" s="1"/>
  <c r="CG6" i="2" a="1"/>
  <c r="CG6" i="2"/>
  <c r="CG7" i="2" s="1"/>
  <c r="CF6" i="2" a="1"/>
  <c r="CF6" i="2"/>
  <c r="CE6" i="2" a="1"/>
  <c r="CE6" i="2" s="1"/>
  <c r="CD6" i="2" a="1"/>
  <c r="CD6" i="2"/>
  <c r="CD7" i="2" s="1"/>
  <c r="CC6" i="2" a="1"/>
  <c r="CC6" i="2" s="1"/>
  <c r="CC7" i="2" s="1"/>
  <c r="CB6" i="2" a="1"/>
  <c r="CB6" i="2"/>
  <c r="CB7" i="2" s="1"/>
  <c r="CA6" i="2" a="1"/>
  <c r="CA6" i="2"/>
  <c r="CA7" i="2" s="1"/>
  <c r="BZ6" i="2" a="1"/>
  <c r="BZ6" i="2"/>
  <c r="BZ7" i="2" s="1"/>
  <c r="BY6" i="2" a="1"/>
  <c r="BY6" i="2"/>
  <c r="BY8" i="2" s="1"/>
  <c r="BX6" i="2" a="1"/>
  <c r="BX6" i="2"/>
  <c r="BW6" i="2" a="1"/>
  <c r="BW6" i="2" s="1"/>
  <c r="BV6" i="2" a="1"/>
  <c r="BV6" i="2"/>
  <c r="BV8" i="2" s="1"/>
  <c r="BU6" i="2" a="1"/>
  <c r="BU6" i="2" s="1"/>
  <c r="BU8" i="2" s="1"/>
  <c r="BT6" i="2" a="1"/>
  <c r="BT6" i="2"/>
  <c r="BT8" i="2" s="1"/>
  <c r="BS6" i="2" a="1"/>
  <c r="BS6" i="2"/>
  <c r="BS8" i="2" s="1"/>
  <c r="BR6" i="2" a="1"/>
  <c r="BR6" i="2"/>
  <c r="BQ6" i="2" a="1"/>
  <c r="BQ6" i="2"/>
  <c r="BP6" i="2" a="1"/>
  <c r="BP6" i="2"/>
  <c r="BP7" i="2" s="1"/>
  <c r="BO6" i="2" a="1"/>
  <c r="BO6" i="2"/>
  <c r="BO7" i="2" s="1"/>
  <c r="BN6" i="2" a="1"/>
  <c r="BN6" i="2" s="1"/>
  <c r="BM6" i="2" a="1"/>
  <c r="BM6" i="2" s="1"/>
  <c r="BM7" i="2" s="1"/>
  <c r="BL6" i="2" a="1"/>
  <c r="BL6" i="2"/>
  <c r="BL7" i="2" s="1"/>
  <c r="BK6" i="2" a="1"/>
  <c r="BK6" i="2"/>
  <c r="BK7" i="2" s="1"/>
  <c r="BJ6" i="2" a="1"/>
  <c r="BJ6" i="2"/>
  <c r="BJ7" i="2" s="1"/>
  <c r="BI6" i="2" a="1"/>
  <c r="BI6" i="2"/>
  <c r="BI8" i="2" s="1"/>
  <c r="BH6" i="2" a="1"/>
  <c r="BH6" i="2"/>
  <c r="BH7" i="2" s="1"/>
  <c r="BG6" i="2" a="1"/>
  <c r="BG6" i="2"/>
  <c r="BF6" i="2" a="1"/>
  <c r="BF6" i="2" s="1"/>
  <c r="BE6" i="2" a="1"/>
  <c r="BE6" i="2" s="1"/>
  <c r="BE8" i="2" s="1"/>
  <c r="BD6" i="2" a="1"/>
  <c r="BD6" i="2"/>
  <c r="BD8" i="2" s="1"/>
  <c r="BC6" i="2" a="1"/>
  <c r="BC6" i="2"/>
  <c r="BC8" i="2" s="1"/>
  <c r="BB6" i="2" a="1"/>
  <c r="BB6" i="2"/>
  <c r="BB7" i="2" s="1"/>
  <c r="BA6" i="2" a="1"/>
  <c r="BA6" i="2"/>
  <c r="BA8" i="2" s="1"/>
  <c r="AZ6" i="2" a="1"/>
  <c r="AZ6" i="2"/>
  <c r="AZ7" i="2" s="1"/>
  <c r="AY6" i="2" a="1"/>
  <c r="AY6" i="2"/>
  <c r="AY7" i="2" s="1"/>
  <c r="AX6" i="2" a="1"/>
  <c r="AX6" i="2" s="1"/>
  <c r="AW6" i="2" a="1"/>
  <c r="AW6" i="2" s="1"/>
  <c r="AW7" i="2" s="1"/>
  <c r="AV6" i="2" a="1"/>
  <c r="AV6" i="2"/>
  <c r="AV7" i="2" s="1"/>
  <c r="AU6" i="2" a="1"/>
  <c r="AU6" i="2"/>
  <c r="AU7" i="2" s="1"/>
  <c r="AT6" i="2" a="1"/>
  <c r="AT6" i="2"/>
  <c r="AT7" i="2" s="1"/>
  <c r="AS6" i="2" a="1"/>
  <c r="AS6" i="2"/>
  <c r="AS8" i="2" s="1"/>
  <c r="AR6" i="2" a="1"/>
  <c r="AR6" i="2"/>
  <c r="AR8" i="2" s="1"/>
  <c r="AQ6" i="2" a="1"/>
  <c r="AQ6" i="2"/>
  <c r="AQ8" i="2" s="1"/>
  <c r="AP6" i="2" a="1"/>
  <c r="AP6" i="2"/>
  <c r="AO6" i="2" a="1"/>
  <c r="AO6" i="2" s="1"/>
  <c r="AN6" i="2" a="1"/>
  <c r="AN6" i="2" s="1"/>
  <c r="AN8" i="2" s="1"/>
  <c r="AM6" i="2" a="1"/>
  <c r="AM6" i="2"/>
  <c r="AM8" i="2" s="1"/>
  <c r="AL6" i="2" a="1"/>
  <c r="AL6" i="2" s="1"/>
  <c r="AK6" i="2" a="1"/>
  <c r="AK6" i="2"/>
  <c r="AK7" i="2" s="1"/>
  <c r="AJ6" i="2" a="1"/>
  <c r="AJ6" i="2"/>
  <c r="AJ7" i="2" s="1"/>
  <c r="AI6" i="2" a="1"/>
  <c r="AI6" i="2"/>
  <c r="AI7" i="2" s="1"/>
  <c r="AH6" i="2" a="1"/>
  <c r="AH6" i="2"/>
  <c r="AH7" i="2" s="1"/>
  <c r="AG6" i="2" a="1"/>
  <c r="AG6" i="2" s="1"/>
  <c r="AG7" i="2" s="1"/>
  <c r="AF6" i="2" a="1"/>
  <c r="AF6" i="2" s="1"/>
  <c r="AE6" i="2" a="1"/>
  <c r="AE6" i="2"/>
  <c r="AE7" i="2" s="1"/>
  <c r="AD6" i="2" a="1"/>
  <c r="AD6" i="2"/>
  <c r="AD7" i="2" s="1"/>
  <c r="AC6" i="2" a="1"/>
  <c r="AC6" i="2" s="1"/>
  <c r="AB6" i="2" a="1"/>
  <c r="AB6" i="2"/>
  <c r="AB7" i="2" s="1"/>
  <c r="AA6" i="2" a="1"/>
  <c r="AA6" i="2"/>
  <c r="AA8" i="2" s="1"/>
  <c r="Z6" i="2" a="1"/>
  <c r="Z6" i="2"/>
  <c r="Z8" i="2" s="1"/>
  <c r="Y6" i="2" a="1"/>
  <c r="Y6" i="2" s="1"/>
  <c r="Y8" i="2" s="1"/>
  <c r="X6" i="2" a="1"/>
  <c r="X6" i="2" s="1"/>
  <c r="X8" i="2" s="1"/>
  <c r="W6" i="2" a="1"/>
  <c r="W6" i="2"/>
  <c r="V6" i="2" a="1"/>
  <c r="V6" i="2" s="1"/>
  <c r="U6" i="2" a="1"/>
  <c r="U6" i="2"/>
  <c r="T6" i="2" a="1"/>
  <c r="T6" i="2" s="1"/>
  <c r="T7" i="2" s="1"/>
  <c r="S6" i="2" a="1"/>
  <c r="S6" i="2"/>
  <c r="S8" i="2" s="1"/>
  <c r="R6" i="2" a="1"/>
  <c r="R6" i="2"/>
  <c r="R7" i="2" s="1"/>
  <c r="Q6" i="2" a="1"/>
  <c r="Q6" i="2" s="1"/>
  <c r="Q7" i="2" s="1"/>
  <c r="P6" i="2" a="1"/>
  <c r="P6" i="2" s="1"/>
  <c r="P7" i="2" s="1"/>
  <c r="O6" i="2" a="1"/>
  <c r="O6" i="2"/>
  <c r="O7" i="2" s="1"/>
  <c r="N6" i="2" a="1"/>
  <c r="N6" i="2"/>
  <c r="M6" i="2" a="1"/>
  <c r="M6" i="2" s="1"/>
  <c r="L6" i="2" a="1"/>
  <c r="L6" i="2"/>
  <c r="L7" i="2" s="1"/>
  <c r="K6" i="2" a="1"/>
  <c r="K6" i="2" s="1"/>
  <c r="J6" i="2" a="1"/>
  <c r="J6" i="2"/>
  <c r="J8" i="2" s="1"/>
  <c r="I6" i="2" a="1"/>
  <c r="I6" i="2" s="1"/>
  <c r="I8" i="2" s="1"/>
  <c r="H6" i="2" a="1"/>
  <c r="H6" i="2" s="1"/>
  <c r="H8" i="2" s="1"/>
  <c r="G6" i="2" a="1"/>
  <c r="G6" i="2"/>
  <c r="G8" i="2" s="1"/>
  <c r="F6" i="2" a="1"/>
  <c r="F6" i="2"/>
  <c r="F7" i="2" s="1"/>
  <c r="E6" i="2" a="1"/>
  <c r="E6" i="2"/>
  <c r="D6" i="2" a="1"/>
  <c r="D6" i="2" s="1"/>
  <c r="C6" i="2" a="1"/>
  <c r="C6" i="2"/>
  <c r="DU8" i="1"/>
  <c r="DT8" i="1"/>
  <c r="DS8" i="1"/>
  <c r="DR8" i="1"/>
  <c r="DQ8" i="1"/>
  <c r="DP8" i="1"/>
  <c r="DB8" i="1"/>
  <c r="DA8" i="1"/>
  <c r="CZ8" i="1"/>
  <c r="CS8" i="1"/>
  <c r="CR8" i="1"/>
  <c r="CQ8" i="1"/>
  <c r="CP8" i="1"/>
  <c r="CJ8" i="1"/>
  <c r="CA8" i="1"/>
  <c r="BZ8" i="1"/>
  <c r="BY8" i="1"/>
  <c r="BX8" i="1"/>
  <c r="BW8" i="1"/>
  <c r="BV8" i="1"/>
  <c r="BU8" i="1"/>
  <c r="BI8" i="1"/>
  <c r="BH8" i="1"/>
  <c r="BG8" i="1"/>
  <c r="BF8" i="1"/>
  <c r="BE8" i="1"/>
  <c r="AX8" i="1"/>
  <c r="AW8" i="1"/>
  <c r="AV8" i="1"/>
  <c r="AU8" i="1"/>
  <c r="AG8" i="1"/>
  <c r="AF8" i="1"/>
  <c r="AE8" i="1"/>
  <c r="AD8" i="1"/>
  <c r="AC8" i="1"/>
  <c r="AB8" i="1"/>
  <c r="AA8" i="1"/>
  <c r="O8" i="1"/>
  <c r="N8" i="1"/>
  <c r="M8" i="1"/>
  <c r="L8" i="1"/>
  <c r="EG7" i="1"/>
  <c r="EE7" i="1"/>
  <c r="ED7" i="1"/>
  <c r="DK7" i="1"/>
  <c r="DJ7" i="1"/>
  <c r="CS7" i="1"/>
  <c r="CR7" i="1"/>
  <c r="CQ7" i="1"/>
  <c r="CJ7" i="1"/>
  <c r="CI7" i="1"/>
  <c r="CA7" i="1"/>
  <c r="BS7" i="1"/>
  <c r="BR7" i="1"/>
  <c r="BQ7" i="1"/>
  <c r="BP7" i="1"/>
  <c r="BO7" i="1"/>
  <c r="AY7" i="1"/>
  <c r="AX7" i="1"/>
  <c r="AW7" i="1"/>
  <c r="AV7" i="1"/>
  <c r="AU7" i="1"/>
  <c r="AO7" i="1"/>
  <c r="AG7" i="1"/>
  <c r="AF7" i="1"/>
  <c r="AE7" i="1"/>
  <c r="X7" i="1"/>
  <c r="W7" i="1"/>
  <c r="V7" i="1"/>
  <c r="U7" i="1"/>
  <c r="T7" i="1"/>
  <c r="G7" i="1"/>
  <c r="F7" i="1"/>
  <c r="E7" i="1"/>
  <c r="D7" i="1"/>
  <c r="C7" i="1"/>
  <c r="EG6" i="1" a="1"/>
  <c r="EG6" i="1"/>
  <c r="EG8" i="1" s="1"/>
  <c r="EF6" i="1" a="1"/>
  <c r="EF6" i="1" s="1"/>
  <c r="EE6" i="1" a="1"/>
  <c r="EE6" i="1" s="1"/>
  <c r="EE8" i="1" s="1"/>
  <c r="ED6" i="1" a="1"/>
  <c r="ED6" i="1" s="1"/>
  <c r="ED8" i="1" s="1"/>
  <c r="EC6" i="1" a="1"/>
  <c r="EC6" i="1"/>
  <c r="EC8" i="1" s="1"/>
  <c r="EB6" i="1" a="1"/>
  <c r="EB6" i="1"/>
  <c r="EB8" i="1" s="1"/>
  <c r="EA6" i="1" a="1"/>
  <c r="EA6" i="1"/>
  <c r="EA8" i="1" s="1"/>
  <c r="DZ6" i="1" a="1"/>
  <c r="DZ6" i="1"/>
  <c r="DZ8" i="1" s="1"/>
  <c r="DY6" i="1" a="1"/>
  <c r="DY6" i="1"/>
  <c r="DY7" i="1" s="1"/>
  <c r="DX6" i="1" a="1"/>
  <c r="DX6" i="1"/>
  <c r="DX8" i="1" s="1"/>
  <c r="DW6" i="1" a="1"/>
  <c r="DW6" i="1" s="1"/>
  <c r="DV6" i="1" a="1"/>
  <c r="DV6" i="1" s="1"/>
  <c r="DU6" i="1" a="1"/>
  <c r="DU6" i="1"/>
  <c r="DU7" i="1" s="1"/>
  <c r="DT6" i="1" a="1"/>
  <c r="DT6" i="1"/>
  <c r="DT7" i="1" s="1"/>
  <c r="DS6" i="1" a="1"/>
  <c r="DS6" i="1"/>
  <c r="DS7" i="1" s="1"/>
  <c r="DR6" i="1" a="1"/>
  <c r="DR6" i="1"/>
  <c r="DR7" i="1" s="1"/>
  <c r="DQ6" i="1" a="1"/>
  <c r="DQ6" i="1"/>
  <c r="DQ7" i="1" s="1"/>
  <c r="DP6" i="1" a="1"/>
  <c r="DP6" i="1"/>
  <c r="DP7" i="1" s="1"/>
  <c r="DO6" i="1" a="1"/>
  <c r="DO6" i="1" s="1"/>
  <c r="DO8" i="1" s="1"/>
  <c r="DN6" i="1" a="1"/>
  <c r="DN6" i="1" s="1"/>
  <c r="DN8" i="1" s="1"/>
  <c r="DM6" i="1" a="1"/>
  <c r="DM6" i="1"/>
  <c r="DL6" i="1" a="1"/>
  <c r="DL6" i="1" s="1"/>
  <c r="DK6" i="1" a="1"/>
  <c r="DK6" i="1"/>
  <c r="DK8" i="1" s="1"/>
  <c r="DJ6" i="1" a="1"/>
  <c r="DJ6" i="1"/>
  <c r="DJ8" i="1" s="1"/>
  <c r="DI6" i="1" a="1"/>
  <c r="DI6" i="1"/>
  <c r="DI7" i="1" s="1"/>
  <c r="DH6" i="1" a="1"/>
  <c r="DH6" i="1"/>
  <c r="DH7" i="1" s="1"/>
  <c r="DG6" i="1" a="1"/>
  <c r="DG6" i="1" s="1"/>
  <c r="DG7" i="1" s="1"/>
  <c r="DF6" i="1" a="1"/>
  <c r="DF6" i="1" s="1"/>
  <c r="DF7" i="1" s="1"/>
  <c r="DE6" i="1" a="1"/>
  <c r="DE6" i="1"/>
  <c r="DE7" i="1" s="1"/>
  <c r="DD6" i="1" a="1"/>
  <c r="DD6" i="1" s="1"/>
  <c r="DC6" i="1" a="1"/>
  <c r="DC6" i="1" s="1"/>
  <c r="DB6" i="1" a="1"/>
  <c r="DB6" i="1"/>
  <c r="DB7" i="1" s="1"/>
  <c r="DA6" i="1" a="1"/>
  <c r="DA6" i="1"/>
  <c r="DA7" i="1" s="1"/>
  <c r="CZ6" i="1" a="1"/>
  <c r="CZ6" i="1"/>
  <c r="CZ7" i="1" s="1"/>
  <c r="CY6" i="1" a="1"/>
  <c r="CY6" i="1" s="1"/>
  <c r="CY8" i="1" s="1"/>
  <c r="CX6" i="1" a="1"/>
  <c r="CX6" i="1" s="1"/>
  <c r="CX8" i="1" s="1"/>
  <c r="CW6" i="1" a="1"/>
  <c r="CW6" i="1"/>
  <c r="CW8" i="1" s="1"/>
  <c r="CV6" i="1" a="1"/>
  <c r="CV6" i="1"/>
  <c r="CV8" i="1" s="1"/>
  <c r="CU6" i="1" a="1"/>
  <c r="CU6" i="1"/>
  <c r="CT6" i="1" a="1"/>
  <c r="CT6" i="1" s="1"/>
  <c r="CS6" i="1" a="1"/>
  <c r="CS6" i="1"/>
  <c r="CR6" i="1" a="1"/>
  <c r="CR6" i="1"/>
  <c r="CQ6" i="1" a="1"/>
  <c r="CQ6" i="1" s="1"/>
  <c r="CP6" i="1" a="1"/>
  <c r="CP6" i="1" s="1"/>
  <c r="CP7" i="1" s="1"/>
  <c r="CO6" i="1" a="1"/>
  <c r="CO6" i="1"/>
  <c r="CO7" i="1" s="1"/>
  <c r="CN6" i="1" a="1"/>
  <c r="CN6" i="1"/>
  <c r="CN7" i="1" s="1"/>
  <c r="CM6" i="1" a="1"/>
  <c r="CM6" i="1"/>
  <c r="CM7" i="1" s="1"/>
  <c r="CL6" i="1" a="1"/>
  <c r="CL6" i="1"/>
  <c r="CK6" i="1" a="1"/>
  <c r="CK6" i="1" s="1"/>
  <c r="CK8" i="1" s="1"/>
  <c r="CJ6" i="1" a="1"/>
  <c r="CJ6" i="1"/>
  <c r="CI6" i="1" a="1"/>
  <c r="CI6" i="1" s="1"/>
  <c r="CI8" i="1" s="1"/>
  <c r="CH6" i="1" a="1"/>
  <c r="CH6" i="1" s="1"/>
  <c r="CH8" i="1" s="1"/>
  <c r="CG6" i="1" a="1"/>
  <c r="CG6" i="1"/>
  <c r="CG8" i="1" s="1"/>
  <c r="CF6" i="1" a="1"/>
  <c r="CF6" i="1"/>
  <c r="CF8" i="1" s="1"/>
  <c r="CE6" i="1" a="1"/>
  <c r="CE6" i="1"/>
  <c r="CE8" i="1" s="1"/>
  <c r="CD6" i="1" a="1"/>
  <c r="CD6" i="1"/>
  <c r="CD7" i="1" s="1"/>
  <c r="CC6" i="1" a="1"/>
  <c r="CC6" i="1" s="1"/>
  <c r="CB6" i="1" a="1"/>
  <c r="CB6" i="1" s="1"/>
  <c r="CA6" i="1" a="1"/>
  <c r="CA6" i="1" s="1"/>
  <c r="BZ6" i="1" a="1"/>
  <c r="BZ6" i="1" s="1"/>
  <c r="BZ7" i="1" s="1"/>
  <c r="BY6" i="1" a="1"/>
  <c r="BY6" i="1"/>
  <c r="BY7" i="1" s="1"/>
  <c r="BX6" i="1" a="1"/>
  <c r="BX6" i="1"/>
  <c r="BX7" i="1" s="1"/>
  <c r="BW6" i="1" a="1"/>
  <c r="BW6" i="1"/>
  <c r="BW7" i="1" s="1"/>
  <c r="BV6" i="1" a="1"/>
  <c r="BV6" i="1"/>
  <c r="BV7" i="1" s="1"/>
  <c r="BU6" i="1" a="1"/>
  <c r="BU6" i="1"/>
  <c r="BU7" i="1" s="1"/>
  <c r="BT6" i="1" a="1"/>
  <c r="BT6" i="1"/>
  <c r="BS6" i="1" a="1"/>
  <c r="BS6" i="1" s="1"/>
  <c r="BS8" i="1" s="1"/>
  <c r="BR6" i="1" a="1"/>
  <c r="BR6" i="1" s="1"/>
  <c r="BR8" i="1" s="1"/>
  <c r="BQ6" i="1" a="1"/>
  <c r="BQ6" i="1"/>
  <c r="BQ8" i="1" s="1"/>
  <c r="BP6" i="1" a="1"/>
  <c r="BP6" i="1"/>
  <c r="BP8" i="1" s="1"/>
  <c r="BO6" i="1" a="1"/>
  <c r="BO6" i="1"/>
  <c r="BO8" i="1" s="1"/>
  <c r="BN6" i="1" a="1"/>
  <c r="BN6" i="1"/>
  <c r="BN7" i="1" s="1"/>
  <c r="BM6" i="1" a="1"/>
  <c r="BM6" i="1"/>
  <c r="BM7" i="1" s="1"/>
  <c r="BL6" i="1" a="1"/>
  <c r="BL6" i="1"/>
  <c r="BL7" i="1" s="1"/>
  <c r="BK6" i="1" a="1"/>
  <c r="BK6" i="1" s="1"/>
  <c r="BJ6" i="1" a="1"/>
  <c r="BJ6" i="1" s="1"/>
  <c r="BI6" i="1" a="1"/>
  <c r="BI6" i="1"/>
  <c r="BI7" i="1" s="1"/>
  <c r="BH6" i="1" a="1"/>
  <c r="BH6" i="1"/>
  <c r="BH7" i="1" s="1"/>
  <c r="BG6" i="1" a="1"/>
  <c r="BG6" i="1"/>
  <c r="BG7" i="1" s="1"/>
  <c r="BF6" i="1" a="1"/>
  <c r="BF6" i="1"/>
  <c r="BF7" i="1" s="1"/>
  <c r="BE6" i="1" a="1"/>
  <c r="BE6" i="1"/>
  <c r="BE7" i="1" s="1"/>
  <c r="BD6" i="1" a="1"/>
  <c r="BD6" i="1"/>
  <c r="BD7" i="1" s="1"/>
  <c r="BC6" i="1" a="1"/>
  <c r="BC6" i="1" s="1"/>
  <c r="BC8" i="1" s="1"/>
  <c r="BB6" i="1" a="1"/>
  <c r="BB6" i="1" s="1"/>
  <c r="BB8" i="1" s="1"/>
  <c r="BA6" i="1" a="1"/>
  <c r="BA6" i="1"/>
  <c r="AZ6" i="1" a="1"/>
  <c r="AZ6" i="1" s="1"/>
  <c r="AY6" i="1" a="1"/>
  <c r="AY6" i="1"/>
  <c r="AY8" i="1" s="1"/>
  <c r="AX6" i="1" a="1"/>
  <c r="AX6" i="1"/>
  <c r="AW6" i="1" a="1"/>
  <c r="AW6" i="1"/>
  <c r="AV6" i="1" a="1"/>
  <c r="AV6" i="1"/>
  <c r="AU6" i="1" a="1"/>
  <c r="AU6" i="1" s="1"/>
  <c r="AT6" i="1" a="1"/>
  <c r="AT6" i="1" s="1"/>
  <c r="AT7" i="1" s="1"/>
  <c r="AS6" i="1" a="1"/>
  <c r="AS6" i="1"/>
  <c r="AS7" i="1" s="1"/>
  <c r="AR6" i="1" a="1"/>
  <c r="AR6" i="1"/>
  <c r="AQ6" i="1" a="1"/>
  <c r="AQ6" i="1" s="1"/>
  <c r="AP6" i="1" a="1"/>
  <c r="AP6" i="1"/>
  <c r="AP7" i="1" s="1"/>
  <c r="AO6" i="1" a="1"/>
  <c r="AO6" i="1"/>
  <c r="AO8" i="1" s="1"/>
  <c r="AN6" i="1" a="1"/>
  <c r="AN6" i="1"/>
  <c r="AN7" i="1" s="1"/>
  <c r="AM6" i="1" a="1"/>
  <c r="AM6" i="1" s="1"/>
  <c r="AM8" i="1" s="1"/>
  <c r="AL6" i="1" a="1"/>
  <c r="AL6" i="1" s="1"/>
  <c r="AL8" i="1" s="1"/>
  <c r="AK6" i="1" a="1"/>
  <c r="AK6" i="1"/>
  <c r="AK8" i="1" s="1"/>
  <c r="AJ6" i="1" a="1"/>
  <c r="AJ6" i="1"/>
  <c r="AJ8" i="1" s="1"/>
  <c r="AI6" i="1" a="1"/>
  <c r="AI6" i="1"/>
  <c r="AH6" i="1" a="1"/>
  <c r="AH6" i="1" s="1"/>
  <c r="AG6" i="1" a="1"/>
  <c r="AG6" i="1"/>
  <c r="AF6" i="1" a="1"/>
  <c r="AF6" i="1"/>
  <c r="AE6" i="1" a="1"/>
  <c r="AE6" i="1" s="1"/>
  <c r="AD6" i="1" a="1"/>
  <c r="AD6" i="1" s="1"/>
  <c r="AD7" i="1" s="1"/>
  <c r="AC6" i="1" a="1"/>
  <c r="AC6" i="1"/>
  <c r="AC7" i="1" s="1"/>
  <c r="AB6" i="1" a="1"/>
  <c r="AB6" i="1"/>
  <c r="AB7" i="1" s="1"/>
  <c r="AA6" i="1" a="1"/>
  <c r="AA6" i="1"/>
  <c r="AA7" i="1" s="1"/>
  <c r="Z6" i="1" a="1"/>
  <c r="Z6" i="1"/>
  <c r="Z7" i="1" s="1"/>
  <c r="Y6" i="1" a="1"/>
  <c r="Y6" i="1" s="1"/>
  <c r="X6" i="1" a="1"/>
  <c r="X6" i="1"/>
  <c r="X8" i="1" s="1"/>
  <c r="W6" i="1" a="1"/>
  <c r="W6" i="1" s="1"/>
  <c r="W8" i="1" s="1"/>
  <c r="V6" i="1" a="1"/>
  <c r="V6" i="1" s="1"/>
  <c r="V8" i="1" s="1"/>
  <c r="U6" i="1" a="1"/>
  <c r="U6" i="1"/>
  <c r="U8" i="1" s="1"/>
  <c r="T6" i="1" a="1"/>
  <c r="T6" i="1"/>
  <c r="T8" i="1" s="1"/>
  <c r="S6" i="1" a="1"/>
  <c r="S6" i="1"/>
  <c r="S8" i="1" s="1"/>
  <c r="R6" i="1" a="1"/>
  <c r="R6" i="1"/>
  <c r="R7" i="1" s="1"/>
  <c r="Q6" i="1" a="1"/>
  <c r="Q6" i="1"/>
  <c r="P6" i="1" a="1"/>
  <c r="P6" i="1" s="1"/>
  <c r="O6" i="1" a="1"/>
  <c r="O6" i="1" s="1"/>
  <c r="O7" i="1" s="1"/>
  <c r="N6" i="1" a="1"/>
  <c r="N6" i="1" s="1"/>
  <c r="N7" i="1" s="1"/>
  <c r="M6" i="1" a="1"/>
  <c r="M6" i="1"/>
  <c r="M7" i="1" s="1"/>
  <c r="L6" i="1" a="1"/>
  <c r="L6" i="1"/>
  <c r="L7" i="1" s="1"/>
  <c r="K6" i="1" a="1"/>
  <c r="K6" i="1"/>
  <c r="K7" i="1" s="1"/>
  <c r="J6" i="1" a="1"/>
  <c r="J6" i="1"/>
  <c r="J7" i="1" s="1"/>
  <c r="I6" i="1" a="1"/>
  <c r="I6" i="1"/>
  <c r="I7" i="1" s="1"/>
  <c r="H6" i="1" a="1"/>
  <c r="H6" i="1"/>
  <c r="G6" i="1" a="1"/>
  <c r="G6" i="1" s="1"/>
  <c r="G8" i="1" s="1"/>
  <c r="F6" i="1" a="1"/>
  <c r="F6" i="1" s="1"/>
  <c r="F8" i="1" s="1"/>
  <c r="E6" i="1" a="1"/>
  <c r="E6" i="1"/>
  <c r="E8" i="1" s="1"/>
  <c r="D6" i="1" a="1"/>
  <c r="D6" i="1"/>
  <c r="D8" i="1" s="1"/>
  <c r="C6" i="1" a="1"/>
  <c r="C6" i="1"/>
  <c r="C8" i="1" s="1"/>
  <c r="CC7" i="1" l="1"/>
  <c r="CC8" i="1"/>
  <c r="AX7" i="2"/>
  <c r="AX8" i="2"/>
  <c r="EF8" i="1"/>
  <c r="EF7" i="1"/>
  <c r="DD7" i="1"/>
  <c r="DD8" i="1"/>
  <c r="CU8" i="1"/>
  <c r="CU7" i="1"/>
  <c r="W8" i="2"/>
  <c r="W7" i="2"/>
  <c r="EE8" i="2"/>
  <c r="EE7" i="2"/>
  <c r="L7" i="5"/>
  <c r="L8" i="5"/>
  <c r="AQ7" i="5"/>
  <c r="AQ8" i="5"/>
  <c r="BN7" i="5"/>
  <c r="BN8" i="5"/>
  <c r="DZ8" i="5"/>
  <c r="DZ7" i="5"/>
  <c r="CB8" i="1"/>
  <c r="CB7" i="1"/>
  <c r="CL7" i="1"/>
  <c r="CL8" i="1"/>
  <c r="M7" i="2"/>
  <c r="M8" i="2"/>
  <c r="DC8" i="2"/>
  <c r="DC7" i="2"/>
  <c r="DV7" i="2"/>
  <c r="DV8" i="2"/>
  <c r="EH16" i="2"/>
  <c r="EG16" i="2"/>
  <c r="U8" i="3"/>
  <c r="U7" i="3"/>
  <c r="BQ7" i="3"/>
  <c r="BQ8" i="3"/>
  <c r="AZ8" i="1"/>
  <c r="AZ7" i="1"/>
  <c r="N7" i="2"/>
  <c r="N8" i="2"/>
  <c r="DM8" i="2"/>
  <c r="DM7" i="2"/>
  <c r="L7" i="3"/>
  <c r="L8" i="3"/>
  <c r="BA8" i="1"/>
  <c r="BA7" i="1"/>
  <c r="DN7" i="2"/>
  <c r="DN8" i="2"/>
  <c r="CV8" i="2"/>
  <c r="CV7" i="2"/>
  <c r="DF7" i="2"/>
  <c r="DF8" i="2"/>
  <c r="AN8" i="4"/>
  <c r="AN7" i="4"/>
  <c r="BN7" i="4"/>
  <c r="BN8" i="4"/>
  <c r="CO7" i="4"/>
  <c r="CO8" i="4"/>
  <c r="CY7" i="4"/>
  <c r="CY8" i="4"/>
  <c r="BJ7" i="1"/>
  <c r="BJ8" i="1"/>
  <c r="CG7" i="3"/>
  <c r="CG8" i="3"/>
  <c r="EC8" i="3"/>
  <c r="EC7" i="3"/>
  <c r="DG7" i="4"/>
  <c r="BF8" i="2"/>
  <c r="BF7" i="2"/>
  <c r="D8" i="2"/>
  <c r="D7" i="2"/>
  <c r="EH14" i="2"/>
  <c r="EG14" i="2"/>
  <c r="E8" i="2"/>
  <c r="E7" i="2"/>
  <c r="CL8" i="2"/>
  <c r="CL7" i="2"/>
  <c r="C7" i="3"/>
  <c r="C8" i="3"/>
  <c r="Y8" i="1"/>
  <c r="Y7" i="1"/>
  <c r="X8" i="3"/>
  <c r="X7" i="3"/>
  <c r="CW7" i="2"/>
  <c r="CW8" i="2"/>
  <c r="BW8" i="4"/>
  <c r="BW7" i="4"/>
  <c r="CN8" i="2"/>
  <c r="CN7" i="2"/>
  <c r="E8" i="3"/>
  <c r="E7" i="3"/>
  <c r="H7" i="1"/>
  <c r="H8" i="1"/>
  <c r="EA7" i="3"/>
  <c r="EA8" i="3"/>
  <c r="AL7" i="2"/>
  <c r="AL8" i="2"/>
  <c r="CF7" i="2"/>
  <c r="CF8" i="2"/>
  <c r="BW8" i="2"/>
  <c r="BW7" i="2"/>
  <c r="Z8" i="1"/>
  <c r="BX7" i="3"/>
  <c r="BX8" i="3"/>
  <c r="DL8" i="1"/>
  <c r="DL7" i="1"/>
  <c r="CK7" i="1"/>
  <c r="AO8" i="2"/>
  <c r="AO7" i="2"/>
  <c r="BG8" i="2"/>
  <c r="BG7" i="2"/>
  <c r="DT7" i="3"/>
  <c r="DT8" i="3"/>
  <c r="AQ7" i="1"/>
  <c r="AQ8" i="1"/>
  <c r="BT8" i="1"/>
  <c r="BT7" i="1"/>
  <c r="BH8" i="3"/>
  <c r="BH7" i="3"/>
  <c r="AH7" i="1"/>
  <c r="AH8" i="1"/>
  <c r="AR7" i="1"/>
  <c r="AR8" i="1"/>
  <c r="BK7" i="1"/>
  <c r="BK8" i="1"/>
  <c r="DE8" i="2"/>
  <c r="DE7" i="2"/>
  <c r="AY7" i="3"/>
  <c r="AY8" i="3"/>
  <c r="AI8" i="1"/>
  <c r="AI7" i="1"/>
  <c r="DQ8" i="4"/>
  <c r="DQ7" i="4"/>
  <c r="P7" i="1"/>
  <c r="P8" i="1"/>
  <c r="Q7" i="1"/>
  <c r="Q8" i="1"/>
  <c r="CE7" i="2"/>
  <c r="CE8" i="2"/>
  <c r="AC7" i="2"/>
  <c r="AC8" i="2"/>
  <c r="BN7" i="2"/>
  <c r="BN8" i="2"/>
  <c r="BX8" i="2"/>
  <c r="BX7" i="2"/>
  <c r="EH21" i="2"/>
  <c r="EG21" i="2"/>
  <c r="DC7" i="1"/>
  <c r="DC8" i="1"/>
  <c r="DM8" i="1"/>
  <c r="DM7" i="1"/>
  <c r="DV7" i="1"/>
  <c r="DV8" i="1"/>
  <c r="K8" i="2"/>
  <c r="K7" i="2"/>
  <c r="AP8" i="2"/>
  <c r="AP7" i="2"/>
  <c r="DT8" i="2"/>
  <c r="DT7" i="2"/>
  <c r="DK8" i="3"/>
  <c r="DK7" i="3"/>
  <c r="CT8" i="1"/>
  <c r="CT7" i="1"/>
  <c r="DW7" i="1"/>
  <c r="DW8" i="1"/>
  <c r="V7" i="2"/>
  <c r="V8" i="2"/>
  <c r="AF7" i="2"/>
  <c r="AF8" i="2"/>
  <c r="EG18" i="2"/>
  <c r="CJ7" i="3"/>
  <c r="CJ8" i="3"/>
  <c r="CK8" i="3"/>
  <c r="CK7" i="3"/>
  <c r="DL7" i="3"/>
  <c r="DL8" i="3"/>
  <c r="AQ7" i="3"/>
  <c r="AE8" i="4"/>
  <c r="AR7" i="5"/>
  <c r="AR8" i="5"/>
  <c r="P8" i="3"/>
  <c r="CZ8" i="4"/>
  <c r="CZ7" i="4"/>
  <c r="AS8" i="5"/>
  <c r="AS7" i="5"/>
  <c r="BX7" i="5"/>
  <c r="BX8" i="5"/>
  <c r="BO8" i="4"/>
  <c r="BO7" i="4"/>
  <c r="DI7" i="4"/>
  <c r="DI8" i="4"/>
  <c r="DR7" i="4"/>
  <c r="AF8" i="4"/>
  <c r="Q8" i="3"/>
  <c r="N8" i="4"/>
  <c r="N7" i="4"/>
  <c r="AX7" i="4"/>
  <c r="AX8" i="4"/>
  <c r="BG8" i="4"/>
  <c r="BG7" i="4"/>
  <c r="W7" i="5"/>
  <c r="W8" i="5"/>
  <c r="AT8" i="5"/>
  <c r="AT7" i="5"/>
  <c r="I8" i="1"/>
  <c r="EH17" i="2"/>
  <c r="EG17" i="2"/>
  <c r="BT8" i="3"/>
  <c r="BT7" i="3"/>
  <c r="AG7" i="4"/>
  <c r="AG8" i="4"/>
  <c r="BY7" i="4"/>
  <c r="BY8" i="4"/>
  <c r="DA8" i="4"/>
  <c r="DA7" i="4"/>
  <c r="BZ7" i="5"/>
  <c r="BZ8" i="5"/>
  <c r="CV8" i="5"/>
  <c r="CV7" i="5"/>
  <c r="AY8" i="2"/>
  <c r="DV8" i="3"/>
  <c r="DG7" i="5"/>
  <c r="DG8" i="5"/>
  <c r="Y7" i="2"/>
  <c r="DO7" i="2"/>
  <c r="AZ8" i="2"/>
  <c r="EG12" i="2"/>
  <c r="F7" i="4"/>
  <c r="F8" i="4"/>
  <c r="EA7" i="4"/>
  <c r="CV7" i="1"/>
  <c r="AA7" i="3"/>
  <c r="DE7" i="3"/>
  <c r="AA7" i="2"/>
  <c r="BA7" i="2"/>
  <c r="DQ7" i="2"/>
  <c r="BB8" i="2"/>
  <c r="EH13" i="2"/>
  <c r="EG13" i="2"/>
  <c r="DF7" i="3"/>
  <c r="AB8" i="3"/>
  <c r="E8" i="5"/>
  <c r="E7" i="5"/>
  <c r="BC7" i="1"/>
  <c r="DX7" i="1"/>
  <c r="BH8" i="2"/>
  <c r="AC7" i="3"/>
  <c r="BA8" i="3"/>
  <c r="BG7" i="5"/>
  <c r="BG8" i="5"/>
  <c r="CD8" i="5"/>
  <c r="CD7" i="5"/>
  <c r="CY7" i="1"/>
  <c r="BC7" i="2"/>
  <c r="CX7" i="2"/>
  <c r="DS7" i="2"/>
  <c r="AI8" i="2"/>
  <c r="DY8" i="2"/>
  <c r="CE8" i="3"/>
  <c r="EE7" i="4"/>
  <c r="EE8" i="4"/>
  <c r="CH7" i="4"/>
  <c r="AJ7" i="1"/>
  <c r="CE7" i="1"/>
  <c r="DZ7" i="1"/>
  <c r="AP8" i="1"/>
  <c r="DF8" i="1"/>
  <c r="I7" i="2"/>
  <c r="BY7" i="2"/>
  <c r="CY7" i="2"/>
  <c r="O8" i="2"/>
  <c r="AJ8" i="2"/>
  <c r="BJ8" i="2"/>
  <c r="DZ8" i="2"/>
  <c r="H7" i="3"/>
  <c r="AI7" i="3"/>
  <c r="EG7" i="3"/>
  <c r="AF8" i="3"/>
  <c r="CF8" i="3"/>
  <c r="DD8" i="3"/>
  <c r="CV8" i="4"/>
  <c r="CV7" i="4"/>
  <c r="DE8" i="4"/>
  <c r="DE7" i="4"/>
  <c r="DN7" i="4"/>
  <c r="DN8" i="4"/>
  <c r="AO7" i="4"/>
  <c r="CI7" i="4"/>
  <c r="DW8" i="4"/>
  <c r="EH19" i="2"/>
  <c r="EG19" i="2"/>
  <c r="Y7" i="5"/>
  <c r="Y8" i="5"/>
  <c r="K8" i="1"/>
  <c r="BZ8" i="2"/>
  <c r="BB7" i="1"/>
  <c r="DW8" i="2"/>
  <c r="CB7" i="3"/>
  <c r="CG7" i="4"/>
  <c r="BL8" i="1"/>
  <c r="DG8" i="1"/>
  <c r="J7" i="2"/>
  <c r="P8" i="2"/>
  <c r="AK8" i="2"/>
  <c r="BK8" i="2"/>
  <c r="EA8" i="2"/>
  <c r="EG22" i="2"/>
  <c r="I7" i="3"/>
  <c r="AL7" i="3"/>
  <c r="BI7" i="3"/>
  <c r="DJ7" i="3"/>
  <c r="AG8" i="3"/>
  <c r="CM8" i="4"/>
  <c r="CM7" i="4"/>
  <c r="DF8" i="4"/>
  <c r="DF7" i="4"/>
  <c r="AP7" i="4"/>
  <c r="W8" i="4"/>
  <c r="DX8" i="4"/>
  <c r="CR7" i="4"/>
  <c r="CR8" i="4"/>
  <c r="DF8" i="5"/>
  <c r="DF7" i="5"/>
  <c r="X7" i="2"/>
  <c r="Z7" i="2"/>
  <c r="CW7" i="1"/>
  <c r="AH8" i="2"/>
  <c r="H7" i="2"/>
  <c r="DA7" i="2"/>
  <c r="Q8" i="2"/>
  <c r="CG8" i="2"/>
  <c r="DG8" i="2"/>
  <c r="EB8" i="2"/>
  <c r="D7" i="3"/>
  <c r="D8" i="3"/>
  <c r="M8" i="3"/>
  <c r="M7" i="3"/>
  <c r="DS8" i="3"/>
  <c r="DS7" i="3"/>
  <c r="EB7" i="3"/>
  <c r="EB8" i="3"/>
  <c r="J7" i="3"/>
  <c r="BJ7" i="3"/>
  <c r="AH8" i="3"/>
  <c r="CH8" i="3"/>
  <c r="J7" i="4"/>
  <c r="J8" i="4"/>
  <c r="T8" i="4"/>
  <c r="T7" i="4"/>
  <c r="AL7" i="4"/>
  <c r="AL8" i="4"/>
  <c r="DO8" i="4"/>
  <c r="DO7" i="4"/>
  <c r="EG8" i="4"/>
  <c r="EG7" i="4"/>
  <c r="CP7" i="4"/>
  <c r="X8" i="4"/>
  <c r="BV8" i="4"/>
  <c r="DU8" i="3"/>
  <c r="DU7" i="3"/>
  <c r="DZ7" i="4"/>
  <c r="DZ8" i="4"/>
  <c r="AW7" i="4"/>
  <c r="V8" i="5"/>
  <c r="V7" i="5"/>
  <c r="AQ7" i="2"/>
  <c r="CT7" i="3"/>
  <c r="BR8" i="3"/>
  <c r="BY7" i="5"/>
  <c r="BY8" i="5"/>
  <c r="CU7" i="5"/>
  <c r="CU8" i="5"/>
  <c r="DN7" i="1"/>
  <c r="BD8" i="1"/>
  <c r="CU7" i="3"/>
  <c r="BP8" i="4"/>
  <c r="BP7" i="4"/>
  <c r="DJ7" i="4"/>
  <c r="DJ8" i="4"/>
  <c r="CK7" i="5"/>
  <c r="CK8" i="5"/>
  <c r="DO7" i="1"/>
  <c r="J8" i="1"/>
  <c r="BH7" i="4"/>
  <c r="BH8" i="4"/>
  <c r="CA7" i="5"/>
  <c r="CA8" i="5"/>
  <c r="DR8" i="5"/>
  <c r="DR7" i="5"/>
  <c r="Z7" i="3"/>
  <c r="Z8" i="5"/>
  <c r="Z7" i="5"/>
  <c r="DS8" i="5"/>
  <c r="DS7" i="5"/>
  <c r="F8" i="2"/>
  <c r="CA8" i="2"/>
  <c r="ED7" i="3"/>
  <c r="AB7" i="5"/>
  <c r="AB8" i="5"/>
  <c r="CX7" i="1"/>
  <c r="CD8" i="1"/>
  <c r="DY8" i="1"/>
  <c r="G7" i="2"/>
  <c r="DR7" i="2"/>
  <c r="F7" i="3"/>
  <c r="CC7" i="3"/>
  <c r="BF8" i="4"/>
  <c r="F7" i="5"/>
  <c r="F8" i="5"/>
  <c r="AC8" i="5"/>
  <c r="AC7" i="5"/>
  <c r="DE8" i="1"/>
  <c r="CD7" i="3"/>
  <c r="DH7" i="3"/>
  <c r="EF7" i="3"/>
  <c r="BB8" i="3"/>
  <c r="DC8" i="3"/>
  <c r="AK7" i="1"/>
  <c r="CF7" i="1"/>
  <c r="EA7" i="1"/>
  <c r="AL7" i="1"/>
  <c r="CG7" i="1"/>
  <c r="EB7" i="1"/>
  <c r="R8" i="1"/>
  <c r="BM8" i="1"/>
  <c r="CM8" i="1"/>
  <c r="DH8" i="1"/>
  <c r="AM7" i="1"/>
  <c r="CH7" i="1"/>
  <c r="EC7" i="1"/>
  <c r="AS8" i="1"/>
  <c r="BN8" i="1"/>
  <c r="CN8" i="1"/>
  <c r="DI8" i="1"/>
  <c r="DB7" i="2"/>
  <c r="R8" i="2"/>
  <c r="BM8" i="2"/>
  <c r="CH8" i="2"/>
  <c r="EG20" i="2"/>
  <c r="EH23" i="2"/>
  <c r="EG23" i="2"/>
  <c r="K7" i="3"/>
  <c r="CO7" i="3"/>
  <c r="DM7" i="3"/>
  <c r="K8" i="4"/>
  <c r="K7" i="4"/>
  <c r="CN7" i="4"/>
  <c r="CN8" i="4"/>
  <c r="DP7" i="4"/>
  <c r="DP8" i="4"/>
  <c r="CQ7" i="4"/>
  <c r="BX8" i="4"/>
  <c r="DQ8" i="5"/>
  <c r="DQ7" i="5"/>
  <c r="CV7" i="3"/>
  <c r="CV8" i="3"/>
  <c r="Y7" i="3"/>
  <c r="AY7" i="4"/>
  <c r="AY8" i="4"/>
  <c r="EC8" i="5"/>
  <c r="EC7" i="5"/>
  <c r="EH15" i="2"/>
  <c r="EG15" i="2"/>
  <c r="AG8" i="2"/>
  <c r="AZ8" i="3"/>
  <c r="AN8" i="1"/>
  <c r="S7" i="1"/>
  <c r="AT8" i="1"/>
  <c r="CO8" i="1"/>
  <c r="DI8" i="2"/>
  <c r="DB8" i="3"/>
  <c r="DB7" i="3"/>
  <c r="BL7" i="3"/>
  <c r="DN7" i="3"/>
  <c r="AJ8" i="3"/>
  <c r="BN8" i="3"/>
  <c r="P7" i="4"/>
  <c r="P8" i="4"/>
  <c r="Y8" i="4"/>
  <c r="Y7" i="4"/>
  <c r="AH7" i="4"/>
  <c r="AH8" i="4"/>
  <c r="BI8" i="4"/>
  <c r="BI7" i="4"/>
  <c r="BR8" i="4"/>
  <c r="BR7" i="4"/>
  <c r="CJ8" i="4"/>
  <c r="CJ7" i="4"/>
  <c r="ED8" i="4"/>
  <c r="BH7" i="5"/>
  <c r="BH8" i="5"/>
  <c r="AR7" i="4"/>
  <c r="AR8" i="4"/>
  <c r="CE8" i="5"/>
  <c r="CE7" i="5"/>
  <c r="H7" i="4"/>
  <c r="H8" i="4"/>
  <c r="BA8" i="4"/>
  <c r="BA7" i="4"/>
  <c r="CB7" i="4"/>
  <c r="CB8" i="4"/>
  <c r="EH24" i="2"/>
  <c r="AA8" i="4"/>
  <c r="AA7" i="4"/>
  <c r="AJ8" i="4"/>
  <c r="AJ7" i="4"/>
  <c r="BK8" i="4"/>
  <c r="BK7" i="4"/>
  <c r="R8" i="4"/>
  <c r="CT8" i="4"/>
  <c r="I8" i="4"/>
  <c r="I7" i="4"/>
  <c r="S7" i="4"/>
  <c r="S8" i="4"/>
  <c r="AK8" i="4"/>
  <c r="AK7" i="4"/>
  <c r="DM8" i="4"/>
  <c r="DM7" i="4"/>
  <c r="BE8" i="4"/>
  <c r="BE7" i="4"/>
  <c r="CE8" i="4"/>
  <c r="CE7" i="4"/>
  <c r="CW8" i="4"/>
  <c r="CW7" i="4"/>
  <c r="EF7" i="4"/>
  <c r="EF8" i="4"/>
  <c r="DS8" i="4"/>
  <c r="DS7" i="4"/>
  <c r="BL8" i="4"/>
  <c r="M7" i="4"/>
  <c r="AM7" i="4"/>
  <c r="BM7" i="4"/>
  <c r="CL7" i="4"/>
  <c r="CU8" i="4"/>
  <c r="CU7" i="4"/>
  <c r="DT8" i="4"/>
  <c r="AA8" i="5"/>
  <c r="AA7" i="5"/>
  <c r="AW8" i="5"/>
  <c r="AW7" i="5"/>
  <c r="AM8" i="5"/>
  <c r="AM7" i="5"/>
  <c r="BI7" i="5"/>
  <c r="BI8" i="5"/>
  <c r="CO7" i="5"/>
  <c r="CO8" i="5"/>
  <c r="DV8" i="5"/>
  <c r="DV7" i="5"/>
  <c r="EG7" i="5"/>
  <c r="EG8" i="5"/>
  <c r="BJ7" i="5"/>
  <c r="BJ8" i="5"/>
  <c r="CP7" i="5"/>
  <c r="CP8" i="5"/>
  <c r="DA8" i="5"/>
  <c r="DA7" i="5"/>
  <c r="DW7" i="5"/>
  <c r="DW8" i="5"/>
  <c r="I8" i="5"/>
  <c r="I7" i="5"/>
  <c r="BK7" i="5"/>
  <c r="BK8" i="5"/>
  <c r="CQ7" i="5"/>
  <c r="CQ8" i="5"/>
  <c r="DB8" i="5"/>
  <c r="DB7" i="5"/>
  <c r="DL7" i="5"/>
  <c r="DL8" i="5"/>
  <c r="J8" i="5"/>
  <c r="J7" i="5"/>
  <c r="DM8" i="5"/>
  <c r="DM7" i="5"/>
  <c r="K8" i="5"/>
  <c r="K7" i="5"/>
  <c r="AP8" i="5"/>
  <c r="AP7" i="5"/>
  <c r="BM8" i="5"/>
  <c r="BM7" i="5"/>
  <c r="H7" i="5"/>
  <c r="EE8" i="5"/>
  <c r="CW7" i="5"/>
  <c r="DP7" i="5"/>
  <c r="D8" i="5"/>
  <c r="CM8" i="5"/>
  <c r="AV7" i="5"/>
  <c r="CF7" i="5"/>
  <c r="CX7" i="5"/>
  <c r="AU8" i="5"/>
  <c r="CN8" i="5"/>
  <c r="DK8" i="5"/>
  <c r="G8" i="5"/>
  <c r="AF7" i="5"/>
  <c r="AX7" i="5"/>
  <c r="DN8" i="5"/>
  <c r="N7" i="5"/>
  <c r="AG7" i="5"/>
  <c r="DU7" i="5"/>
  <c r="AE8" i="5"/>
  <c r="BW8" i="5"/>
  <c r="Q7" i="5"/>
  <c r="AI7" i="5"/>
  <c r="DC7" i="5"/>
  <c r="DX7" i="5"/>
  <c r="R7" i="5"/>
  <c r="BT7" i="5"/>
  <c r="DE7" i="5"/>
  <c r="BC8" i="5"/>
  <c r="O8" i="5"/>
  <c r="BE8" i="5"/>
  <c r="T7" i="5"/>
  <c r="AL7" i="5"/>
  <c r="BD7" i="5"/>
  <c r="BV7" i="5"/>
  <c r="EB7" i="5"/>
  <c r="U7" i="5"/>
  <c r="DJ7" i="5"/>
  <c r="CC8" i="5"/>
  <c r="AN7" i="5"/>
  <c r="BF7" i="5"/>
  <c r="CR7" i="5"/>
  <c r="ED7" i="5"/>
  <c r="DY8" i="5"/>
  <c r="AO7" i="5"/>
  <c r="DD8" i="5"/>
  <c r="X7" i="5"/>
  <c r="CT7" i="5"/>
  <c r="EF7" i="5"/>
</calcChain>
</file>

<file path=xl/sharedStrings.xml><?xml version="1.0" encoding="utf-8"?>
<sst xmlns="http://schemas.openxmlformats.org/spreadsheetml/2006/main" count="1436" uniqueCount="166">
  <si>
    <t>LSTM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</si>
  <si>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</si>
  <si>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</si>
  <si>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</si>
  <si>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</si>
  <si>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</si>
  <si>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</si>
  <si>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</si>
  <si>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</si>
  <si>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</si>
  <si>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</si>
  <si>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</si>
  <si>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</si>
  <si>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</si>
  <si>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</si>
  <si>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</si>
  <si>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</si>
  <si>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</si>
  <si>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</si>
  <si>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</si>
  <si>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</si>
  <si>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</si>
  <si>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</si>
  <si>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</si>
  <si>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</si>
  <si>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</si>
  <si>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</si>
  <si>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</si>
  <si>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</si>
  <si>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</si>
  <si>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</si>
  <si>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</si>
  <si>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</si>
  <si>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</si>
  <si>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</si>
  <si>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</si>
  <si>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</si>
  <si>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</si>
  <si>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</si>
  <si>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</si>
  <si>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</si>
  <si>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</si>
  <si>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</si>
  <si>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</si>
  <si>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</si>
  <si>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</si>
  <si>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</si>
  <si>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</si>
  <si>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</si>
  <si>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</si>
  <si>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</si>
  <si>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</si>
  <si>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</si>
  <si>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</si>
  <si>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</si>
  <si>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</si>
  <si>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</si>
  <si>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</si>
  <si>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</si>
  <si>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</si>
  <si>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</si>
  <si>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</si>
  <si>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</si>
  <si>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</si>
  <si>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</si>
  <si>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</si>
  <si>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</si>
  <si>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</si>
  <si>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</si>
  <si>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</si>
  <si>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</si>
  <si>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</si>
  <si>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</si>
  <si>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</si>
  <si>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</si>
  <si>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</si>
  <si>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</si>
  <si>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</si>
  <si>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</si>
  <si>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</si>
  <si>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</si>
  <si>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</si>
  <si>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</si>
  <si>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</si>
  <si>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</si>
  <si>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</si>
  <si>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</si>
  <si>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</si>
  <si>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</si>
  <si>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</si>
  <si>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</si>
  <si>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</si>
  <si>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</si>
  <si>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</si>
  <si>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</si>
  <si>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</si>
  <si>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</si>
  <si>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</si>
  <si>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</si>
  <si>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</si>
  <si>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</si>
  <si>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</si>
  <si>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</si>
  <si>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</si>
  <si>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</si>
  <si>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</si>
  <si>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</si>
  <si>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</si>
  <si>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</si>
  <si>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</si>
  <si>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</si>
  <si>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</si>
  <si>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</si>
  <si>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</si>
  <si>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</si>
  <si>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</si>
  <si>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</si>
  <si>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</si>
  <si>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</si>
  <si>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</si>
  <si>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</si>
  <si>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</si>
  <si>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</si>
  <si>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</si>
  <si>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</si>
  <si>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</si>
  <si>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</si>
  <si>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</si>
  <si>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</si>
  <si>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</si>
  <si>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</si>
  <si>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</si>
  <si>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</si>
  <si>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</si>
  <si>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</si>
  <si>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</si>
  <si>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</si>
  <si>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</si>
  <si>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</si>
  <si>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</si>
  <si>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</si>
  <si>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</si>
  <si>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</si>
  <si>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</si>
  <si>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</si>
  <si>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大盤</t>
  </si>
  <si>
    <t>TWII</t>
  </si>
  <si>
    <t>SUM</t>
  </si>
  <si>
    <t>勝率</t>
  </si>
  <si>
    <t>家數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</si>
  <si>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</si>
  <si>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</si>
  <si>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</si>
  <si>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</si>
  <si>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</si>
  <si>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</si>
  <si>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</si>
  <si>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</si>
  <si>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</si>
  <si>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</si>
  <si>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</si>
  <si>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</si>
  <si>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</si>
  <si>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平均值</t>
  </si>
  <si>
    <t>標準差</t>
  </si>
  <si>
    <t>夏普比率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</si>
</sst>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"/>
    <numFmt numFmtId="177" formatCode="0.000"/>
    <numFmt numFmtId="178" formatCode="0.000000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2" fillId="3" borderId="1" xfId="0" applyFont="1" applyFill="1" applyBorder="1"/>
    <xf numFmtId="0" fontId="0" fillId="4" borderId="1" xfId="0" applyFill="1" applyBorder="1"/>
    <xf numFmtId="0" fontId="0" fillId="4" borderId="0" xfId="0" applyFill="1"/>
    <xf numFmtId="177" fontId="0" fillId="3" borderId="0" xfId="0" applyNumberFormat="1" applyFill="1"/>
    <xf numFmtId="0" fontId="2" fillId="5" borderId="1" xfId="0" applyFont="1" applyFill="1" applyBorder="1"/>
    <xf numFmtId="0" fontId="0" fillId="0" borderId="4" xfId="0" applyBorder="1"/>
    <xf numFmtId="178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預測</a:t>
            </a:r>
            <a:r>
              <a:rPr lang="en-US" altLang="zh-TW"/>
              <a:t>(LSTM</a:t>
            </a:r>
            <a:r>
              <a:rPr lang="pt-PT" altLang="zh-TW"/>
              <a:t>)</a:t>
            </a:r>
            <a:r>
              <a:rPr lang="zh-TW" altLang="en-US"/>
              <a:t>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'預測(LSTM)累積報酬'!$B$12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'預測(LSTM)累積報酬'!$C$12:$EF$12</c:f>
              <c:numCache>
                <c:formatCode>General</c:formatCode>
                <c:ptCount val="134"/>
                <c:pt idx="0">
                  <c:v>4.7013508994228799E-2</c:v>
                </c:pt>
                <c:pt idx="1">
                  <c:v>6.1692060492104871E-2</c:v>
                </c:pt>
                <c:pt idx="2">
                  <c:v>6.0298335951238423E-2</c:v>
                </c:pt>
                <c:pt idx="3">
                  <c:v>0.11625772073569715</c:v>
                </c:pt>
                <c:pt idx="4">
                  <c:v>8.431027221706669E-2</c:v>
                </c:pt>
                <c:pt idx="5">
                  <c:v>9.3909530573666272E-2</c:v>
                </c:pt>
                <c:pt idx="6">
                  <c:v>0.10256768283701077</c:v>
                </c:pt>
                <c:pt idx="7">
                  <c:v>9.517788918108197E-2</c:v>
                </c:pt>
                <c:pt idx="8">
                  <c:v>6.5989891047382787E-2</c:v>
                </c:pt>
                <c:pt idx="9">
                  <c:v>7.4748447011549021E-2</c:v>
                </c:pt>
                <c:pt idx="10">
                  <c:v>4.7859273178342071E-2</c:v>
                </c:pt>
                <c:pt idx="11">
                  <c:v>1.3155918934879253E-2</c:v>
                </c:pt>
                <c:pt idx="12">
                  <c:v>4.1070678002119637E-2</c:v>
                </c:pt>
                <c:pt idx="13">
                  <c:v>4.0816349893962524E-2</c:v>
                </c:pt>
                <c:pt idx="14">
                  <c:v>4.5932033267926567E-2</c:v>
                </c:pt>
                <c:pt idx="15">
                  <c:v>3.277854460738798E-2</c:v>
                </c:pt>
                <c:pt idx="16">
                  <c:v>4.3833574380727186E-2</c:v>
                </c:pt>
                <c:pt idx="17">
                  <c:v>-4.0341419647975107E-3</c:v>
                </c:pt>
                <c:pt idx="18">
                  <c:v>-5.3906650485784913E-3</c:v>
                </c:pt>
                <c:pt idx="19">
                  <c:v>4.1202886050697302E-3</c:v>
                </c:pt>
                <c:pt idx="20">
                  <c:v>-2.42973742530934E-2</c:v>
                </c:pt>
                <c:pt idx="21">
                  <c:v>8.5343377094242001E-2</c:v>
                </c:pt>
                <c:pt idx="22">
                  <c:v>6.4744983566550729E-2</c:v>
                </c:pt>
                <c:pt idx="23">
                  <c:v>1.1592896589689851E-2</c:v>
                </c:pt>
                <c:pt idx="24">
                  <c:v>-1.5325582831121769E-2</c:v>
                </c:pt>
                <c:pt idx="25">
                  <c:v>-4.5922532269829994E-3</c:v>
                </c:pt>
                <c:pt idx="26">
                  <c:v>4.218069239932825E-2</c:v>
                </c:pt>
                <c:pt idx="27">
                  <c:v>3.9650262568104729E-2</c:v>
                </c:pt>
                <c:pt idx="28">
                  <c:v>1.7526390358741581E-3</c:v>
                </c:pt>
                <c:pt idx="29">
                  <c:v>-5.0259463740893524E-2</c:v>
                </c:pt>
                <c:pt idx="30">
                  <c:v>-4.6444533320083678E-2</c:v>
                </c:pt>
                <c:pt idx="31">
                  <c:v>-6.215756708936454E-2</c:v>
                </c:pt>
                <c:pt idx="32">
                  <c:v>-5.3363774597102967E-2</c:v>
                </c:pt>
                <c:pt idx="33">
                  <c:v>-3.4640478264168766E-2</c:v>
                </c:pt>
                <c:pt idx="34">
                  <c:v>-1.8165110040033086E-2</c:v>
                </c:pt>
                <c:pt idx="35">
                  <c:v>-6.596559999211038E-2</c:v>
                </c:pt>
                <c:pt idx="36">
                  <c:v>-8.2672351998397703E-2</c:v>
                </c:pt>
                <c:pt idx="37">
                  <c:v>-0.10931798080084232</c:v>
                </c:pt>
                <c:pt idx="38">
                  <c:v>-9.4322509957715003E-2</c:v>
                </c:pt>
                <c:pt idx="39">
                  <c:v>-8.7942140460816637E-2</c:v>
                </c:pt>
                <c:pt idx="40">
                  <c:v>-8.9639071038346077E-2</c:v>
                </c:pt>
                <c:pt idx="41">
                  <c:v>-6.7416045050753909E-2</c:v>
                </c:pt>
                <c:pt idx="42">
                  <c:v>-8.7392317961125121E-2</c:v>
                </c:pt>
                <c:pt idx="43">
                  <c:v>-0.15958770031356023</c:v>
                </c:pt>
                <c:pt idx="44">
                  <c:v>-0.15587416387351563</c:v>
                </c:pt>
                <c:pt idx="45">
                  <c:v>-0.20958979453023535</c:v>
                </c:pt>
                <c:pt idx="46">
                  <c:v>-0.22675949929363842</c:v>
                </c:pt>
                <c:pt idx="47">
                  <c:v>-0.27145551126653628</c:v>
                </c:pt>
                <c:pt idx="48">
                  <c:v>-0.2889468329255438</c:v>
                </c:pt>
                <c:pt idx="49">
                  <c:v>-0.31256138609084444</c:v>
                </c:pt>
                <c:pt idx="50">
                  <c:v>-0.33899571596790601</c:v>
                </c:pt>
                <c:pt idx="51">
                  <c:v>-0.30995906139826424</c:v>
                </c:pt>
                <c:pt idx="52">
                  <c:v>-0.28326809510592671</c:v>
                </c:pt>
                <c:pt idx="53">
                  <c:v>-0.27504651496446519</c:v>
                </c:pt>
                <c:pt idx="54">
                  <c:v>-0.31041506010698394</c:v>
                </c:pt>
                <c:pt idx="55">
                  <c:v>-0.24262270762378382</c:v>
                </c:pt>
                <c:pt idx="56">
                  <c:v>-0.20895184518252102</c:v>
                </c:pt>
                <c:pt idx="57">
                  <c:v>-0.23387399047139448</c:v>
                </c:pt>
                <c:pt idx="58">
                  <c:v>-0.19011792609154987</c:v>
                </c:pt>
                <c:pt idx="59">
                  <c:v>-0.21478105226666924</c:v>
                </c:pt>
                <c:pt idx="60">
                  <c:v>-0.21543843576170382</c:v>
                </c:pt>
                <c:pt idx="61">
                  <c:v>-0.24756753406219795</c:v>
                </c:pt>
                <c:pt idx="62">
                  <c:v>-0.2978732185855224</c:v>
                </c:pt>
                <c:pt idx="63">
                  <c:v>-0.30944918575846303</c:v>
                </c:pt>
                <c:pt idx="64">
                  <c:v>-0.3119432221572746</c:v>
                </c:pt>
                <c:pt idx="65">
                  <c:v>-0.3383651794914419</c:v>
                </c:pt>
                <c:pt idx="66">
                  <c:v>-0.35708068839619622</c:v>
                </c:pt>
                <c:pt idx="67">
                  <c:v>-0.42577430354330947</c:v>
                </c:pt>
                <c:pt idx="68">
                  <c:v>-0.45841715843170217</c:v>
                </c:pt>
                <c:pt idx="69">
                  <c:v>-0.44205237511727674</c:v>
                </c:pt>
                <c:pt idx="70">
                  <c:v>-0.43327085797718029</c:v>
                </c:pt>
                <c:pt idx="71">
                  <c:v>-0.39098846889125027</c:v>
                </c:pt>
                <c:pt idx="72">
                  <c:v>-0.34651146499960006</c:v>
                </c:pt>
                <c:pt idx="73">
                  <c:v>-0.33952631114146081</c:v>
                </c:pt>
                <c:pt idx="74">
                  <c:v>-0.28059639478389675</c:v>
                </c:pt>
                <c:pt idx="75">
                  <c:v>-0.31297512071638145</c:v>
                </c:pt>
                <c:pt idx="76">
                  <c:v>-0.31237143228188219</c:v>
                </c:pt>
                <c:pt idx="77">
                  <c:v>-0.33954529507491388</c:v>
                </c:pt>
                <c:pt idx="78">
                  <c:v>-0.35631625946902412</c:v>
                </c:pt>
                <c:pt idx="79">
                  <c:v>-0.2453826258845716</c:v>
                </c:pt>
                <c:pt idx="80">
                  <c:v>-0.29619916491358927</c:v>
                </c:pt>
                <c:pt idx="81">
                  <c:v>-0.30422043942751931</c:v>
                </c:pt>
                <c:pt idx="82">
                  <c:v>-0.3534983993905999</c:v>
                </c:pt>
                <c:pt idx="83">
                  <c:v>-0.33703528701181407</c:v>
                </c:pt>
                <c:pt idx="84">
                  <c:v>-0.30143725611070826</c:v>
                </c:pt>
                <c:pt idx="85">
                  <c:v>-0.35555732302490328</c:v>
                </c:pt>
                <c:pt idx="86">
                  <c:v>-0.41165876367269344</c:v>
                </c:pt>
                <c:pt idx="87">
                  <c:v>-0.49009904395871434</c:v>
                </c:pt>
                <c:pt idx="88">
                  <c:v>-0.46374509312054502</c:v>
                </c:pt>
                <c:pt idx="89">
                  <c:v>-0.38527988910973865</c:v>
                </c:pt>
                <c:pt idx="90">
                  <c:v>-0.41009967436495126</c:v>
                </c:pt>
                <c:pt idx="91">
                  <c:v>-0.41110469640064312</c:v>
                </c:pt>
                <c:pt idx="92">
                  <c:v>-0.34842034939706834</c:v>
                </c:pt>
                <c:pt idx="93">
                  <c:v>-0.30027372410976666</c:v>
                </c:pt>
                <c:pt idx="94">
                  <c:v>-0.30125229770461931</c:v>
                </c:pt>
                <c:pt idx="95">
                  <c:v>-0.29192323447464241</c:v>
                </c:pt>
                <c:pt idx="96">
                  <c:v>-0.21714370519328569</c:v>
                </c:pt>
                <c:pt idx="97">
                  <c:v>-0.28217701168897447</c:v>
                </c:pt>
                <c:pt idx="98">
                  <c:v>-0.27662908694444222</c:v>
                </c:pt>
                <c:pt idx="99">
                  <c:v>-0.30738172521190521</c:v>
                </c:pt>
                <c:pt idx="100">
                  <c:v>-0.29096112896409959</c:v>
                </c:pt>
                <c:pt idx="101">
                  <c:v>-0.27863686690418299</c:v>
                </c:pt>
                <c:pt idx="102">
                  <c:v>-0.27303308283382244</c:v>
                </c:pt>
                <c:pt idx="103">
                  <c:v>-0.30861836547772586</c:v>
                </c:pt>
                <c:pt idx="104">
                  <c:v>-0.30411700168518441</c:v>
                </c:pt>
                <c:pt idx="105">
                  <c:v>-0.3740775474195277</c:v>
                </c:pt>
                <c:pt idx="106">
                  <c:v>-0.34933990300443268</c:v>
                </c:pt>
                <c:pt idx="107">
                  <c:v>-0.29385416892235972</c:v>
                </c:pt>
                <c:pt idx="108">
                  <c:v>-0.24645974729253539</c:v>
                </c:pt>
                <c:pt idx="109">
                  <c:v>-0.27726290247939195</c:v>
                </c:pt>
                <c:pt idx="110">
                  <c:v>-0.30724215703689162</c:v>
                </c:pt>
                <c:pt idx="111">
                  <c:v>-0.26586411410122007</c:v>
                </c:pt>
                <c:pt idx="112">
                  <c:v>-0.26693531272980076</c:v>
                </c:pt>
                <c:pt idx="113">
                  <c:v>-0.28560514606360382</c:v>
                </c:pt>
                <c:pt idx="114">
                  <c:v>-0.27646165273007467</c:v>
                </c:pt>
                <c:pt idx="115">
                  <c:v>-0.29500309618868709</c:v>
                </c:pt>
                <c:pt idx="116">
                  <c:v>-0.3140338244565849</c:v>
                </c:pt>
                <c:pt idx="117">
                  <c:v>-0.37344251901324532</c:v>
                </c:pt>
                <c:pt idx="118">
                  <c:v>-0.29890187153277259</c:v>
                </c:pt>
                <c:pt idx="119">
                  <c:v>-0.28012292825338569</c:v>
                </c:pt>
                <c:pt idx="120">
                  <c:v>-0.32614720725851043</c:v>
                </c:pt>
                <c:pt idx="121">
                  <c:v>-0.30133336569592373</c:v>
                </c:pt>
                <c:pt idx="122">
                  <c:v>-0.25554622372145674</c:v>
                </c:pt>
                <c:pt idx="123">
                  <c:v>-0.27229766523527732</c:v>
                </c:pt>
                <c:pt idx="124">
                  <c:v>-0.27022145352266191</c:v>
                </c:pt>
                <c:pt idx="125">
                  <c:v>-0.2521223167443285</c:v>
                </c:pt>
                <c:pt idx="126">
                  <c:v>-0.31485053883909841</c:v>
                </c:pt>
                <c:pt idx="127">
                  <c:v>-0.2948116487155093</c:v>
                </c:pt>
                <c:pt idx="128">
                  <c:v>-0.18168460696637229</c:v>
                </c:pt>
                <c:pt idx="129">
                  <c:v>-0.15115883014853063</c:v>
                </c:pt>
                <c:pt idx="130">
                  <c:v>-0.12450732056886532</c:v>
                </c:pt>
                <c:pt idx="131">
                  <c:v>-0.18501547337734947</c:v>
                </c:pt>
                <c:pt idx="132">
                  <c:v>-0.21323175364515284</c:v>
                </c:pt>
                <c:pt idx="133">
                  <c:v>-0.24504261191938331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D2-4F88-BF7C-8C002738F1A5}"/>
            </c:ext>
          </c:extLst>
        </c:ser>
        <c:ser>
          <c:idx val="1"/>
          <c:order val="1"/>
          <c:tx>
            <c:strRef>
              <c:f>'預測(LSTM)累積報酬'!$B$13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'預測(LSTM)累積報酬'!$C$13:$EF$13</c:f>
              <c:numCache>
                <c:formatCode>General</c:formatCode>
                <c:ptCount val="134"/>
                <c:pt idx="0">
                  <c:v>4.2506117601795589E-2</c:v>
                </c:pt>
                <c:pt idx="1">
                  <c:v>3.7049257613003782E-2</c:v>
                </c:pt>
                <c:pt idx="2">
                  <c:v>3.1525630909717439E-2</c:v>
                </c:pt>
                <c:pt idx="3">
                  <c:v>9.1512157602640407E-2</c:v>
                </c:pt>
                <c:pt idx="4">
                  <c:v>7.9464753302534469E-2</c:v>
                </c:pt>
                <c:pt idx="5">
                  <c:v>9.6853140330033463E-2</c:v>
                </c:pt>
                <c:pt idx="6">
                  <c:v>6.4567148646167596E-2</c:v>
                </c:pt>
                <c:pt idx="7">
                  <c:v>4.1566739993595905E-2</c:v>
                </c:pt>
                <c:pt idx="8">
                  <c:v>-1.8759399233974232E-2</c:v>
                </c:pt>
                <c:pt idx="9">
                  <c:v>3.2210711447485489E-3</c:v>
                </c:pt>
                <c:pt idx="10">
                  <c:v>-5.8687081256168002E-5</c:v>
                </c:pt>
                <c:pt idx="11">
                  <c:v>-4.3451104546952959E-2</c:v>
                </c:pt>
                <c:pt idx="12">
                  <c:v>-2.602840573600302E-2</c:v>
                </c:pt>
                <c:pt idx="13">
                  <c:v>-3.2306053396735965E-2</c:v>
                </c:pt>
                <c:pt idx="14">
                  <c:v>-4.9762437893098664E-2</c:v>
                </c:pt>
                <c:pt idx="15">
                  <c:v>-6.627314897592862E-2</c:v>
                </c:pt>
                <c:pt idx="16">
                  <c:v>-7.2286951982970887E-2</c:v>
                </c:pt>
                <c:pt idx="17">
                  <c:v>-0.14652103349469348</c:v>
                </c:pt>
                <c:pt idx="18">
                  <c:v>-0.11775970290413915</c:v>
                </c:pt>
                <c:pt idx="19">
                  <c:v>-0.11554306300108519</c:v>
                </c:pt>
                <c:pt idx="20">
                  <c:v>-0.14651196707256806</c:v>
                </c:pt>
                <c:pt idx="21">
                  <c:v>-2.5384196219829958E-2</c:v>
                </c:pt>
                <c:pt idx="22">
                  <c:v>-1.8700837493284522E-2</c:v>
                </c:pt>
                <c:pt idx="23">
                  <c:v>-9.9952239614520072E-2</c:v>
                </c:pt>
                <c:pt idx="24">
                  <c:v>-0.14766488806477826</c:v>
                </c:pt>
                <c:pt idx="25">
                  <c:v>-0.13266331473579976</c:v>
                </c:pt>
                <c:pt idx="26">
                  <c:v>-6.5891614353869921E-2</c:v>
                </c:pt>
                <c:pt idx="27">
                  <c:v>-8.6331842727662353E-2</c:v>
                </c:pt>
                <c:pt idx="28">
                  <c:v>-0.12884905418345352</c:v>
                </c:pt>
                <c:pt idx="29">
                  <c:v>-0.2021302150117647</c:v>
                </c:pt>
                <c:pt idx="30">
                  <c:v>-0.2120354227388388</c:v>
                </c:pt>
                <c:pt idx="31">
                  <c:v>-0.23699062928870568</c:v>
                </c:pt>
                <c:pt idx="32">
                  <c:v>-0.21834458290873965</c:v>
                </c:pt>
                <c:pt idx="33">
                  <c:v>-0.2166371320701207</c:v>
                </c:pt>
                <c:pt idx="34">
                  <c:v>-0.17827774178724862</c:v>
                </c:pt>
                <c:pt idx="35">
                  <c:v>-0.22753662658179868</c:v>
                </c:pt>
                <c:pt idx="36">
                  <c:v>-0.21310252046770967</c:v>
                </c:pt>
                <c:pt idx="37">
                  <c:v>-0.24308018098763201</c:v>
                </c:pt>
                <c:pt idx="38">
                  <c:v>-0.2447890276762674</c:v>
                </c:pt>
                <c:pt idx="39">
                  <c:v>-0.24689973480299365</c:v>
                </c:pt>
                <c:pt idx="40">
                  <c:v>-0.24923980896251013</c:v>
                </c:pt>
                <c:pt idx="41">
                  <c:v>-0.22839176516778631</c:v>
                </c:pt>
                <c:pt idx="42">
                  <c:v>-0.25179672870938363</c:v>
                </c:pt>
                <c:pt idx="43">
                  <c:v>-0.33821964343698308</c:v>
                </c:pt>
                <c:pt idx="44">
                  <c:v>-0.35391506186345556</c:v>
                </c:pt>
                <c:pt idx="45">
                  <c:v>-0.43358103751192567</c:v>
                </c:pt>
                <c:pt idx="46">
                  <c:v>-0.46040227548230661</c:v>
                </c:pt>
                <c:pt idx="47">
                  <c:v>-0.49320210761816241</c:v>
                </c:pt>
                <c:pt idx="48">
                  <c:v>-0.50746431152530114</c:v>
                </c:pt>
                <c:pt idx="49">
                  <c:v>-0.53868484761907121</c:v>
                </c:pt>
                <c:pt idx="50">
                  <c:v>-0.56487312166971382</c:v>
                </c:pt>
                <c:pt idx="51">
                  <c:v>-0.54232572069493479</c:v>
                </c:pt>
                <c:pt idx="52">
                  <c:v>-0.52321485342009266</c:v>
                </c:pt>
                <c:pt idx="53">
                  <c:v>-0.512252540243753</c:v>
                </c:pt>
                <c:pt idx="54">
                  <c:v>-0.55602632962953613</c:v>
                </c:pt>
                <c:pt idx="55">
                  <c:v>-0.47209691432203937</c:v>
                </c:pt>
                <c:pt idx="56">
                  <c:v>-0.42553045198332773</c:v>
                </c:pt>
                <c:pt idx="57">
                  <c:v>-0.45947470657069106</c:v>
                </c:pt>
                <c:pt idx="58">
                  <c:v>-0.43787314746775813</c:v>
                </c:pt>
                <c:pt idx="59">
                  <c:v>-0.46213923508086702</c:v>
                </c:pt>
                <c:pt idx="60">
                  <c:v>-0.47101763099695837</c:v>
                </c:pt>
                <c:pt idx="61">
                  <c:v>-0.50547767144540923</c:v>
                </c:pt>
                <c:pt idx="62">
                  <c:v>-0.5588494401405999</c:v>
                </c:pt>
                <c:pt idx="63">
                  <c:v>-0.59440215355300718</c:v>
                </c:pt>
                <c:pt idx="64">
                  <c:v>-0.59889455855000284</c:v>
                </c:pt>
                <c:pt idx="65">
                  <c:v>-0.60684570496777746</c:v>
                </c:pt>
                <c:pt idx="66">
                  <c:v>-0.6056948857423754</c:v>
                </c:pt>
                <c:pt idx="67">
                  <c:v>-0.68552634256570832</c:v>
                </c:pt>
                <c:pt idx="68">
                  <c:v>-0.72570685692712522</c:v>
                </c:pt>
                <c:pt idx="69">
                  <c:v>-0.72518578525132227</c:v>
                </c:pt>
                <c:pt idx="70">
                  <c:v>-0.70747923021476855</c:v>
                </c:pt>
                <c:pt idx="71">
                  <c:v>-0.62754839611371105</c:v>
                </c:pt>
                <c:pt idx="72">
                  <c:v>-0.55183439047703153</c:v>
                </c:pt>
                <c:pt idx="73">
                  <c:v>-0.55108875167102145</c:v>
                </c:pt>
                <c:pt idx="74">
                  <c:v>-0.51188679509588009</c:v>
                </c:pt>
                <c:pt idx="75">
                  <c:v>-0.57786352502122329</c:v>
                </c:pt>
                <c:pt idx="76">
                  <c:v>-0.56684253963037168</c:v>
                </c:pt>
                <c:pt idx="77">
                  <c:v>-0.59285991915306657</c:v>
                </c:pt>
                <c:pt idx="78">
                  <c:v>-0.60539083136569993</c:v>
                </c:pt>
                <c:pt idx="79">
                  <c:v>-0.50030499847337251</c:v>
                </c:pt>
                <c:pt idx="80">
                  <c:v>-0.57974286826057508</c:v>
                </c:pt>
                <c:pt idx="81">
                  <c:v>-0.56769920124551576</c:v>
                </c:pt>
                <c:pt idx="82">
                  <c:v>-0.62571416905275512</c:v>
                </c:pt>
                <c:pt idx="83">
                  <c:v>-0.62168466299454483</c:v>
                </c:pt>
                <c:pt idx="84">
                  <c:v>-0.607151359761265</c:v>
                </c:pt>
                <c:pt idx="85">
                  <c:v>-0.66196154044010502</c:v>
                </c:pt>
                <c:pt idx="86">
                  <c:v>-0.72764866670690243</c:v>
                </c:pt>
                <c:pt idx="87">
                  <c:v>-0.80037284186012103</c:v>
                </c:pt>
                <c:pt idx="88">
                  <c:v>-0.78636210708724241</c:v>
                </c:pt>
                <c:pt idx="89">
                  <c:v>-0.68536794043904814</c:v>
                </c:pt>
                <c:pt idx="90">
                  <c:v>-0.72070228451970553</c:v>
                </c:pt>
                <c:pt idx="91">
                  <c:v>-0.70012528877957603</c:v>
                </c:pt>
                <c:pt idx="92">
                  <c:v>-0.62894642381117216</c:v>
                </c:pt>
                <c:pt idx="93">
                  <c:v>-0.56456577507375993</c:v>
                </c:pt>
                <c:pt idx="94">
                  <c:v>-0.57413342873889528</c:v>
                </c:pt>
                <c:pt idx="95">
                  <c:v>-0.57454196885451159</c:v>
                </c:pt>
                <c:pt idx="96">
                  <c:v>-0.46745100714087429</c:v>
                </c:pt>
                <c:pt idx="97">
                  <c:v>-0.5451070583978469</c:v>
                </c:pt>
                <c:pt idx="98">
                  <c:v>-0.53913002754160078</c:v>
                </c:pt>
                <c:pt idx="99">
                  <c:v>-0.5697128690212907</c:v>
                </c:pt>
                <c:pt idx="100">
                  <c:v>-0.5285111171371939</c:v>
                </c:pt>
                <c:pt idx="101">
                  <c:v>-0.52361290097712865</c:v>
                </c:pt>
                <c:pt idx="102">
                  <c:v>-0.52919657790295005</c:v>
                </c:pt>
                <c:pt idx="103">
                  <c:v>-0.59055276314022154</c:v>
                </c:pt>
                <c:pt idx="104">
                  <c:v>-0.57640289631292729</c:v>
                </c:pt>
                <c:pt idx="105">
                  <c:v>-0.64537995523731073</c:v>
                </c:pt>
                <c:pt idx="106">
                  <c:v>-0.62293795880807468</c:v>
                </c:pt>
                <c:pt idx="107">
                  <c:v>-0.53981577174004425</c:v>
                </c:pt>
                <c:pt idx="108">
                  <c:v>-0.46848001152512464</c:v>
                </c:pt>
                <c:pt idx="109">
                  <c:v>-0.50728652846541289</c:v>
                </c:pt>
                <c:pt idx="110">
                  <c:v>-0.53685694809984108</c:v>
                </c:pt>
                <c:pt idx="111">
                  <c:v>-0.52983582448428312</c:v>
                </c:pt>
                <c:pt idx="112">
                  <c:v>-0.50643493258869288</c:v>
                </c:pt>
                <c:pt idx="113">
                  <c:v>-0.52848562326678106</c:v>
                </c:pt>
                <c:pt idx="114">
                  <c:v>-0.54014151768230123</c:v>
                </c:pt>
                <c:pt idx="115">
                  <c:v>-0.55291740716850446</c:v>
                </c:pt>
                <c:pt idx="116">
                  <c:v>-0.5972425465907073</c:v>
                </c:pt>
                <c:pt idx="117">
                  <c:v>-0.65527485548140896</c:v>
                </c:pt>
                <c:pt idx="118">
                  <c:v>-0.5681458440888385</c:v>
                </c:pt>
                <c:pt idx="119">
                  <c:v>-0.5543746348165266</c:v>
                </c:pt>
                <c:pt idx="120">
                  <c:v>-0.58428982870785373</c:v>
                </c:pt>
                <c:pt idx="121">
                  <c:v>-0.55444401954685041</c:v>
                </c:pt>
                <c:pt idx="122">
                  <c:v>-0.5307451657656489</c:v>
                </c:pt>
                <c:pt idx="123">
                  <c:v>-0.54059797052789693</c:v>
                </c:pt>
                <c:pt idx="124">
                  <c:v>-0.5274997414859216</c:v>
                </c:pt>
                <c:pt idx="125">
                  <c:v>-0.50427013193695547</c:v>
                </c:pt>
                <c:pt idx="126">
                  <c:v>-0.51377475674083295</c:v>
                </c:pt>
                <c:pt idx="127">
                  <c:v>-0.48348950526589168</c:v>
                </c:pt>
                <c:pt idx="128">
                  <c:v>-0.3590205471168208</c:v>
                </c:pt>
                <c:pt idx="129">
                  <c:v>-0.30181525436843171</c:v>
                </c:pt>
                <c:pt idx="130">
                  <c:v>-0.26015550093320278</c:v>
                </c:pt>
                <c:pt idx="131">
                  <c:v>-0.32583759459243772</c:v>
                </c:pt>
                <c:pt idx="132">
                  <c:v>-0.36170507449325784</c:v>
                </c:pt>
                <c:pt idx="133">
                  <c:v>-0.40958433998556604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D2-4F88-BF7C-8C002738F1A5}"/>
            </c:ext>
          </c:extLst>
        </c:ser>
        <c:ser>
          <c:idx val="2"/>
          <c:order val="2"/>
          <c:tx>
            <c:strRef>
              <c:f>'預測(LSTM)累積報酬'!$B$14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'預測(LSTM)累積報酬'!$C$14:$EF$14</c:f>
              <c:numCache>
                <c:formatCode>General</c:formatCode>
                <c:ptCount val="134"/>
                <c:pt idx="0">
                  <c:v>-3.7017512404591897E-2</c:v>
                </c:pt>
                <c:pt idx="1">
                  <c:v>-0.1786611611572175</c:v>
                </c:pt>
                <c:pt idx="2">
                  <c:v>-0.22658190717048673</c:v>
                </c:pt>
                <c:pt idx="3">
                  <c:v>-0.16624000226445418</c:v>
                </c:pt>
                <c:pt idx="4">
                  <c:v>-0.21989663270723486</c:v>
                </c:pt>
                <c:pt idx="5">
                  <c:v>-0.23140489356935845</c:v>
                </c:pt>
                <c:pt idx="6">
                  <c:v>-0.2615050288562939</c:v>
                </c:pt>
                <c:pt idx="7">
                  <c:v>-0.30673660288869731</c:v>
                </c:pt>
                <c:pt idx="8">
                  <c:v>-0.35756406914954525</c:v>
                </c:pt>
                <c:pt idx="9">
                  <c:v>-0.30129298417330974</c:v>
                </c:pt>
                <c:pt idx="10">
                  <c:v>-0.28227126970832578</c:v>
                </c:pt>
                <c:pt idx="11">
                  <c:v>-0.33964069636534783</c:v>
                </c:pt>
                <c:pt idx="12">
                  <c:v>-0.33814628842679928</c:v>
                </c:pt>
                <c:pt idx="13">
                  <c:v>-0.33160486746864887</c:v>
                </c:pt>
                <c:pt idx="14">
                  <c:v>-0.4109025250502133</c:v>
                </c:pt>
                <c:pt idx="15">
                  <c:v>-0.39314021642103475</c:v>
                </c:pt>
                <c:pt idx="16">
                  <c:v>-0.41794696251380253</c:v>
                </c:pt>
                <c:pt idx="17">
                  <c:v>-0.45296651734820259</c:v>
                </c:pt>
                <c:pt idx="18">
                  <c:v>-0.42241034801780192</c:v>
                </c:pt>
                <c:pt idx="19">
                  <c:v>-0.47483164817668699</c:v>
                </c:pt>
                <c:pt idx="20">
                  <c:v>-0.5226266509102071</c:v>
                </c:pt>
                <c:pt idx="21">
                  <c:v>-0.33594095529986023</c:v>
                </c:pt>
                <c:pt idx="22">
                  <c:v>-0.28074996388763851</c:v>
                </c:pt>
                <c:pt idx="23">
                  <c:v>-0.3974539955590673</c:v>
                </c:pt>
                <c:pt idx="24">
                  <c:v>-0.49735987505639206</c:v>
                </c:pt>
                <c:pt idx="25">
                  <c:v>-0.47002389645083792</c:v>
                </c:pt>
                <c:pt idx="26">
                  <c:v>-0.47311045878962721</c:v>
                </c:pt>
                <c:pt idx="27">
                  <c:v>-0.54298505052476931</c:v>
                </c:pt>
                <c:pt idx="28">
                  <c:v>-0.64939712277244688</c:v>
                </c:pt>
                <c:pt idx="29">
                  <c:v>-0.74547721822908053</c:v>
                </c:pt>
                <c:pt idx="30">
                  <c:v>-0.77080651324003358</c:v>
                </c:pt>
                <c:pt idx="31">
                  <c:v>-0.85175869766383516</c:v>
                </c:pt>
                <c:pt idx="32">
                  <c:v>-0.88722134156244703</c:v>
                </c:pt>
                <c:pt idx="33">
                  <c:v>-0.91172691666353189</c:v>
                </c:pt>
                <c:pt idx="34">
                  <c:v>-0.83425157764107782</c:v>
                </c:pt>
                <c:pt idx="35">
                  <c:v>-0.88548176060920736</c:v>
                </c:pt>
                <c:pt idx="36">
                  <c:v>-0.84301790467183357</c:v>
                </c:pt>
                <c:pt idx="37">
                  <c:v>-0.86215042789712015</c:v>
                </c:pt>
                <c:pt idx="38">
                  <c:v>-0.90019478043918144</c:v>
                </c:pt>
                <c:pt idx="39">
                  <c:v>-0.89184299880905926</c:v>
                </c:pt>
                <c:pt idx="40">
                  <c:v>-0.86210961831178157</c:v>
                </c:pt>
                <c:pt idx="41">
                  <c:v>-0.85452692664434271</c:v>
                </c:pt>
                <c:pt idx="42">
                  <c:v>-0.84785758825465329</c:v>
                </c:pt>
                <c:pt idx="43">
                  <c:v>-0.92726106796529129</c:v>
                </c:pt>
                <c:pt idx="44">
                  <c:v>-0.98468268107942514</c:v>
                </c:pt>
                <c:pt idx="45">
                  <c:v>-1.0509414302956837</c:v>
                </c:pt>
                <c:pt idx="46">
                  <c:v>-1.1048701115251109</c:v>
                </c:pt>
                <c:pt idx="47">
                  <c:v>-1.1242403249006014</c:v>
                </c:pt>
                <c:pt idx="48">
                  <c:v>-1.1259308967256085</c:v>
                </c:pt>
                <c:pt idx="49">
                  <c:v>-1.1870014772068478</c:v>
                </c:pt>
                <c:pt idx="50">
                  <c:v>-1.2538913087696963</c:v>
                </c:pt>
                <c:pt idx="51">
                  <c:v>-1.1435800598685759</c:v>
                </c:pt>
                <c:pt idx="52">
                  <c:v>-1.172085743367882</c:v>
                </c:pt>
                <c:pt idx="53">
                  <c:v>-1.1179960906816087</c:v>
                </c:pt>
                <c:pt idx="54">
                  <c:v>-1.1880778608309377</c:v>
                </c:pt>
                <c:pt idx="55">
                  <c:v>-1.147307339285248</c:v>
                </c:pt>
                <c:pt idx="56">
                  <c:v>-1.1059330752113152</c:v>
                </c:pt>
                <c:pt idx="57">
                  <c:v>-1.1996831594510375</c:v>
                </c:pt>
                <c:pt idx="58">
                  <c:v>-1.2407142273842695</c:v>
                </c:pt>
                <c:pt idx="59">
                  <c:v>-1.3093184229865722</c:v>
                </c:pt>
                <c:pt idx="60">
                  <c:v>-1.3430098428573407</c:v>
                </c:pt>
                <c:pt idx="61">
                  <c:v>-1.4030067383847811</c:v>
                </c:pt>
                <c:pt idx="62">
                  <c:v>-1.4492850633877814</c:v>
                </c:pt>
                <c:pt idx="63">
                  <c:v>-1.4753730236633611</c:v>
                </c:pt>
                <c:pt idx="64">
                  <c:v>-1.4886112647182284</c:v>
                </c:pt>
                <c:pt idx="65">
                  <c:v>-1.438278981390483</c:v>
                </c:pt>
                <c:pt idx="66">
                  <c:v>-1.3873944991964025</c:v>
                </c:pt>
                <c:pt idx="67">
                  <c:v>-1.4874469222717888</c:v>
                </c:pt>
                <c:pt idx="68">
                  <c:v>-1.5177796462585593</c:v>
                </c:pt>
                <c:pt idx="69">
                  <c:v>-1.5485061223843237</c:v>
                </c:pt>
                <c:pt idx="70">
                  <c:v>-1.5573609577423546</c:v>
                </c:pt>
                <c:pt idx="71">
                  <c:v>-1.4493793245423598</c:v>
                </c:pt>
                <c:pt idx="72">
                  <c:v>-1.3184818159851746</c:v>
                </c:pt>
                <c:pt idx="73">
                  <c:v>-1.3328171112624752</c:v>
                </c:pt>
                <c:pt idx="74">
                  <c:v>-1.3754216009158244</c:v>
                </c:pt>
                <c:pt idx="75">
                  <c:v>-1.4687962791648239</c:v>
                </c:pt>
                <c:pt idx="76">
                  <c:v>-1.3722799545834408</c:v>
                </c:pt>
                <c:pt idx="77">
                  <c:v>-1.4317570148769805</c:v>
                </c:pt>
                <c:pt idx="78">
                  <c:v>-1.444551095662159</c:v>
                </c:pt>
                <c:pt idx="79">
                  <c:v>-1.3465343857299612</c:v>
                </c:pt>
                <c:pt idx="80">
                  <c:v>-1.460887494357056</c:v>
                </c:pt>
                <c:pt idx="81">
                  <c:v>-1.4180100842817391</c:v>
                </c:pt>
                <c:pt idx="82">
                  <c:v>-1.4753307479495597</c:v>
                </c:pt>
                <c:pt idx="83">
                  <c:v>-1.426451077493494</c:v>
                </c:pt>
                <c:pt idx="84">
                  <c:v>-1.4117494654820513</c:v>
                </c:pt>
                <c:pt idx="85">
                  <c:v>-1.4295455818311926</c:v>
                </c:pt>
                <c:pt idx="86">
                  <c:v>-1.4833376683451855</c:v>
                </c:pt>
                <c:pt idx="87">
                  <c:v>-1.62068123879866</c:v>
                </c:pt>
                <c:pt idx="88">
                  <c:v>-1.6257783456764072</c:v>
                </c:pt>
                <c:pt idx="89">
                  <c:v>-1.45118267099135</c:v>
                </c:pt>
                <c:pt idx="90">
                  <c:v>-1.5299464297096741</c:v>
                </c:pt>
                <c:pt idx="91">
                  <c:v>-1.4362870719686323</c:v>
                </c:pt>
                <c:pt idx="92">
                  <c:v>-1.4040591720812445</c:v>
                </c:pt>
                <c:pt idx="93">
                  <c:v>-1.3414185167047965</c:v>
                </c:pt>
                <c:pt idx="94">
                  <c:v>-1.3370058831715468</c:v>
                </c:pt>
                <c:pt idx="95">
                  <c:v>-1.3273439968894916</c:v>
                </c:pt>
                <c:pt idx="96">
                  <c:v>-1.2257989969327772</c:v>
                </c:pt>
                <c:pt idx="97">
                  <c:v>-1.3771958380904104</c:v>
                </c:pt>
                <c:pt idx="98">
                  <c:v>-1.380594220553881</c:v>
                </c:pt>
                <c:pt idx="99">
                  <c:v>-1.4712334479038047</c:v>
                </c:pt>
                <c:pt idx="100">
                  <c:v>-1.3748723177765207</c:v>
                </c:pt>
                <c:pt idx="101">
                  <c:v>-1.3645709181180974</c:v>
                </c:pt>
                <c:pt idx="102">
                  <c:v>-1.3888752072886819</c:v>
                </c:pt>
                <c:pt idx="103">
                  <c:v>-1.4791142208454831</c:v>
                </c:pt>
                <c:pt idx="104">
                  <c:v>-1.4361156788652829</c:v>
                </c:pt>
                <c:pt idx="105">
                  <c:v>-1.5153210307134675</c:v>
                </c:pt>
                <c:pt idx="106">
                  <c:v>-1.4527941067070085</c:v>
                </c:pt>
                <c:pt idx="107">
                  <c:v>-1.2512312672398964</c:v>
                </c:pt>
                <c:pt idx="108">
                  <c:v>-1.1639064614813635</c:v>
                </c:pt>
                <c:pt idx="109">
                  <c:v>-1.1723197018490337</c:v>
                </c:pt>
                <c:pt idx="110">
                  <c:v>-1.2129788364846052</c:v>
                </c:pt>
                <c:pt idx="111">
                  <c:v>-1.2041848070972845</c:v>
                </c:pt>
                <c:pt idx="112">
                  <c:v>-1.1267715228071482</c:v>
                </c:pt>
                <c:pt idx="113">
                  <c:v>-1.1675263946390473</c:v>
                </c:pt>
                <c:pt idx="114">
                  <c:v>-1.1999483113808262</c:v>
                </c:pt>
                <c:pt idx="115">
                  <c:v>-1.1550125707723307</c:v>
                </c:pt>
                <c:pt idx="116">
                  <c:v>-1.2253011197168622</c:v>
                </c:pt>
                <c:pt idx="117">
                  <c:v>-1.2882159277871625</c:v>
                </c:pt>
                <c:pt idx="118">
                  <c:v>-1.2170433632060296</c:v>
                </c:pt>
                <c:pt idx="119">
                  <c:v>-1.16442084374703</c:v>
                </c:pt>
                <c:pt idx="120">
                  <c:v>-1.2538585981359973</c:v>
                </c:pt>
                <c:pt idx="121">
                  <c:v>-1.2461043077969145</c:v>
                </c:pt>
                <c:pt idx="122">
                  <c:v>-1.1271867212293414</c:v>
                </c:pt>
                <c:pt idx="123">
                  <c:v>-1.1723399451338243</c:v>
                </c:pt>
                <c:pt idx="124">
                  <c:v>-1.1412479757257812</c:v>
                </c:pt>
                <c:pt idx="125">
                  <c:v>-1.1135582783653826</c:v>
                </c:pt>
                <c:pt idx="126">
                  <c:v>-1.1612192649677238</c:v>
                </c:pt>
                <c:pt idx="127">
                  <c:v>-1.1395216757116069</c:v>
                </c:pt>
                <c:pt idx="128">
                  <c:v>-1.0766089911388652</c:v>
                </c:pt>
                <c:pt idx="129">
                  <c:v>-0.99842916043860208</c:v>
                </c:pt>
                <c:pt idx="130">
                  <c:v>-0.99234977829046911</c:v>
                </c:pt>
                <c:pt idx="131">
                  <c:v>-1.0949794874766561</c:v>
                </c:pt>
                <c:pt idx="132">
                  <c:v>-1.1374852267780142</c:v>
                </c:pt>
                <c:pt idx="133">
                  <c:v>-1.2224366112544809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D2-4F88-BF7C-8C002738F1A5}"/>
            </c:ext>
          </c:extLst>
        </c:ser>
        <c:ser>
          <c:idx val="3"/>
          <c:order val="3"/>
          <c:tx>
            <c:strRef>
              <c:f>'預測(LSTM)累積報酬'!$B$15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'預測(LSTM)累積報酬'!$C$15:$EF$15</c:f>
              <c:numCache>
                <c:formatCode>General</c:formatCode>
                <c:ptCount val="134"/>
                <c:pt idx="0">
                  <c:v>-9.6503141994516081E-2</c:v>
                </c:pt>
                <c:pt idx="1">
                  <c:v>-0.36953801469014208</c:v>
                </c:pt>
                <c:pt idx="2">
                  <c:v>-0.46488262016111254</c:v>
                </c:pt>
                <c:pt idx="3">
                  <c:v>-0.49980405671780992</c:v>
                </c:pt>
                <c:pt idx="4">
                  <c:v>-0.5342079776848464</c:v>
                </c:pt>
                <c:pt idx="5">
                  <c:v>-0.53545170374295148</c:v>
                </c:pt>
                <c:pt idx="6">
                  <c:v>-0.61474479439605212</c:v>
                </c:pt>
                <c:pt idx="7">
                  <c:v>-0.67686600414602416</c:v>
                </c:pt>
                <c:pt idx="8">
                  <c:v>-0.77138080173795509</c:v>
                </c:pt>
                <c:pt idx="9">
                  <c:v>-0.69020974116930878</c:v>
                </c:pt>
                <c:pt idx="10">
                  <c:v>-0.68807672473302106</c:v>
                </c:pt>
                <c:pt idx="11">
                  <c:v>-0.79787291915815473</c:v>
                </c:pt>
                <c:pt idx="12">
                  <c:v>-0.81014371491730741</c:v>
                </c:pt>
                <c:pt idx="13">
                  <c:v>-0.78824714507208338</c:v>
                </c:pt>
                <c:pt idx="14">
                  <c:v>-0.83414587651801497</c:v>
                </c:pt>
                <c:pt idx="15">
                  <c:v>-0.70745481780820119</c:v>
                </c:pt>
                <c:pt idx="16">
                  <c:v>-0.62196692760226036</c:v>
                </c:pt>
                <c:pt idx="17">
                  <c:v>-0.66785800471944456</c:v>
                </c:pt>
                <c:pt idx="18">
                  <c:v>-0.58965861428163169</c:v>
                </c:pt>
                <c:pt idx="19">
                  <c:v>-0.69978562061246763</c:v>
                </c:pt>
                <c:pt idx="20">
                  <c:v>-0.75045704485745823</c:v>
                </c:pt>
                <c:pt idx="21">
                  <c:v>-0.53927071752707656</c:v>
                </c:pt>
                <c:pt idx="22">
                  <c:v>-0.48724191946993439</c:v>
                </c:pt>
                <c:pt idx="23">
                  <c:v>-0.54994603879837833</c:v>
                </c:pt>
                <c:pt idx="24">
                  <c:v>-0.71079642301144275</c:v>
                </c:pt>
                <c:pt idx="25">
                  <c:v>-0.68863002227050962</c:v>
                </c:pt>
                <c:pt idx="26">
                  <c:v>-0.68431235342245444</c:v>
                </c:pt>
                <c:pt idx="27">
                  <c:v>-0.76602572831063687</c:v>
                </c:pt>
                <c:pt idx="28">
                  <c:v>-0.86382341231958792</c:v>
                </c:pt>
                <c:pt idx="29">
                  <c:v>-1.0015496994972424</c:v>
                </c:pt>
                <c:pt idx="30">
                  <c:v>-1.0458742437123183</c:v>
                </c:pt>
                <c:pt idx="31">
                  <c:v>-1.178841608722041</c:v>
                </c:pt>
                <c:pt idx="32">
                  <c:v>-1.203690865854572</c:v>
                </c:pt>
                <c:pt idx="33">
                  <c:v>-1.2374087879737452</c:v>
                </c:pt>
                <c:pt idx="34">
                  <c:v>-1.1680473367818287</c:v>
                </c:pt>
                <c:pt idx="35">
                  <c:v>-1.2004075105784902</c:v>
                </c:pt>
                <c:pt idx="36">
                  <c:v>-1.1317763034888715</c:v>
                </c:pt>
                <c:pt idx="37">
                  <c:v>-1.1672767637540733</c:v>
                </c:pt>
                <c:pt idx="38">
                  <c:v>-1.2186612839940407</c:v>
                </c:pt>
                <c:pt idx="39">
                  <c:v>-1.1281059089566126</c:v>
                </c:pt>
                <c:pt idx="40">
                  <c:v>-1.0916525895363773</c:v>
                </c:pt>
                <c:pt idx="41">
                  <c:v>-1.0739187637771379</c:v>
                </c:pt>
                <c:pt idx="42">
                  <c:v>-1.0251855424230361</c:v>
                </c:pt>
                <c:pt idx="43">
                  <c:v>-1.096175355026741</c:v>
                </c:pt>
                <c:pt idx="44">
                  <c:v>-1.1733494322767029</c:v>
                </c:pt>
                <c:pt idx="45">
                  <c:v>-1.2106473609758133</c:v>
                </c:pt>
                <c:pt idx="46">
                  <c:v>-1.3023748337691641</c:v>
                </c:pt>
                <c:pt idx="47">
                  <c:v>-1.3837353997239321</c:v>
                </c:pt>
                <c:pt idx="48">
                  <c:v>-1.4127410590244238</c:v>
                </c:pt>
                <c:pt idx="49">
                  <c:v>-1.4805873881430742</c:v>
                </c:pt>
                <c:pt idx="50">
                  <c:v>-1.4654356496492771</c:v>
                </c:pt>
                <c:pt idx="51">
                  <c:v>-1.2677225001449364</c:v>
                </c:pt>
                <c:pt idx="52">
                  <c:v>-1.2986591917672865</c:v>
                </c:pt>
                <c:pt idx="53">
                  <c:v>-1.2890117106270649</c:v>
                </c:pt>
                <c:pt idx="54">
                  <c:v>-1.330409681323973</c:v>
                </c:pt>
                <c:pt idx="55">
                  <c:v>-1.2827467018672207</c:v>
                </c:pt>
                <c:pt idx="56">
                  <c:v>-1.2802571631326556</c:v>
                </c:pt>
                <c:pt idx="57">
                  <c:v>-1.3349663892903956</c:v>
                </c:pt>
                <c:pt idx="58">
                  <c:v>-1.3561255036971351</c:v>
                </c:pt>
                <c:pt idx="59">
                  <c:v>-1.4862357587333046</c:v>
                </c:pt>
                <c:pt idx="60">
                  <c:v>-1.4406308264328911</c:v>
                </c:pt>
                <c:pt idx="61">
                  <c:v>-1.500386247407212</c:v>
                </c:pt>
                <c:pt idx="62">
                  <c:v>-1.5486052518949562</c:v>
                </c:pt>
                <c:pt idx="63">
                  <c:v>-1.6123259793059679</c:v>
                </c:pt>
                <c:pt idx="64">
                  <c:v>-1.5427703652915987</c:v>
                </c:pt>
                <c:pt idx="65">
                  <c:v>-1.4911535108195342</c:v>
                </c:pt>
                <c:pt idx="66">
                  <c:v>-1.4477222573266384</c:v>
                </c:pt>
                <c:pt idx="67">
                  <c:v>-1.5714843937630936</c:v>
                </c:pt>
                <c:pt idx="68">
                  <c:v>-1.5833503046717052</c:v>
                </c:pt>
                <c:pt idx="69">
                  <c:v>-1.6432012407635559</c:v>
                </c:pt>
                <c:pt idx="70">
                  <c:v>-1.6237248209677624</c:v>
                </c:pt>
                <c:pt idx="71">
                  <c:v>-1.5190847766740723</c:v>
                </c:pt>
                <c:pt idx="72">
                  <c:v>-1.2202057870981444</c:v>
                </c:pt>
                <c:pt idx="73">
                  <c:v>-1.2740573560426083</c:v>
                </c:pt>
                <c:pt idx="74">
                  <c:v>-1.4000809296196952</c:v>
                </c:pt>
                <c:pt idx="75">
                  <c:v>-1.6048009478193004</c:v>
                </c:pt>
                <c:pt idx="76">
                  <c:v>-1.5118804140105067</c:v>
                </c:pt>
                <c:pt idx="77">
                  <c:v>-1.6045645195337441</c:v>
                </c:pt>
                <c:pt idx="78">
                  <c:v>-1.7568827845879056</c:v>
                </c:pt>
                <c:pt idx="79">
                  <c:v>-1.6367307006248213</c:v>
                </c:pt>
                <c:pt idx="80">
                  <c:v>-1.7342214457702561</c:v>
                </c:pt>
                <c:pt idx="81">
                  <c:v>-1.6928720159022885</c:v>
                </c:pt>
                <c:pt idx="82">
                  <c:v>-1.7787580374324523</c:v>
                </c:pt>
                <c:pt idx="83">
                  <c:v>-1.6974154294491242</c:v>
                </c:pt>
                <c:pt idx="84">
                  <c:v>-1.6999263682294565</c:v>
                </c:pt>
                <c:pt idx="85">
                  <c:v>-1.7405980851765177</c:v>
                </c:pt>
                <c:pt idx="86">
                  <c:v>-1.836238833349223</c:v>
                </c:pt>
                <c:pt idx="87">
                  <c:v>-1.9978933063923996</c:v>
                </c:pt>
                <c:pt idx="88">
                  <c:v>-2.0445198421849984</c:v>
                </c:pt>
                <c:pt idx="89">
                  <c:v>-1.901370025213758</c:v>
                </c:pt>
                <c:pt idx="90">
                  <c:v>-2.0083492694133263</c:v>
                </c:pt>
                <c:pt idx="91">
                  <c:v>-1.8782505217395866</c:v>
                </c:pt>
                <c:pt idx="92">
                  <c:v>-1.9032138821960254</c:v>
                </c:pt>
                <c:pt idx="93">
                  <c:v>-1.87883956349827</c:v>
                </c:pt>
                <c:pt idx="94">
                  <c:v>-1.8853226145973156</c:v>
                </c:pt>
                <c:pt idx="95">
                  <c:v>-1.8902642849629276</c:v>
                </c:pt>
                <c:pt idx="96">
                  <c:v>-1.7662143535490595</c:v>
                </c:pt>
                <c:pt idx="97">
                  <c:v>-1.9488259012659759</c:v>
                </c:pt>
                <c:pt idx="98">
                  <c:v>-1.9613105614464161</c:v>
                </c:pt>
                <c:pt idx="99">
                  <c:v>-2.1136983403379843</c:v>
                </c:pt>
                <c:pt idx="100">
                  <c:v>-2.0207504360026265</c:v>
                </c:pt>
                <c:pt idx="101">
                  <c:v>-1.9969871008621445</c:v>
                </c:pt>
                <c:pt idx="102">
                  <c:v>-2.0233629363040211</c:v>
                </c:pt>
                <c:pt idx="103">
                  <c:v>-2.2330263383832367</c:v>
                </c:pt>
                <c:pt idx="104">
                  <c:v>-2.1653339064381107</c:v>
                </c:pt>
                <c:pt idx="105">
                  <c:v>-2.1798406325695572</c:v>
                </c:pt>
                <c:pt idx="106">
                  <c:v>-2.1226769978383047</c:v>
                </c:pt>
                <c:pt idx="107">
                  <c:v>-1.8199565481955224</c:v>
                </c:pt>
                <c:pt idx="108">
                  <c:v>-1.7068649853551627</c:v>
                </c:pt>
                <c:pt idx="109">
                  <c:v>-1.7059265705880762</c:v>
                </c:pt>
                <c:pt idx="110">
                  <c:v>-1.7600348892452065</c:v>
                </c:pt>
                <c:pt idx="111">
                  <c:v>-1.7000111125541493</c:v>
                </c:pt>
                <c:pt idx="112">
                  <c:v>-1.6278225147483518</c:v>
                </c:pt>
                <c:pt idx="113">
                  <c:v>-1.6275185215455239</c:v>
                </c:pt>
                <c:pt idx="114">
                  <c:v>-1.6665706382391896</c:v>
                </c:pt>
                <c:pt idx="115">
                  <c:v>-1.5848399259880606</c:v>
                </c:pt>
                <c:pt idx="116">
                  <c:v>-1.6189443417371576</c:v>
                </c:pt>
                <c:pt idx="117">
                  <c:v>-1.753249289102524</c:v>
                </c:pt>
                <c:pt idx="118">
                  <c:v>-1.7162106001503266</c:v>
                </c:pt>
                <c:pt idx="119">
                  <c:v>-1.6462000335323881</c:v>
                </c:pt>
                <c:pt idx="120">
                  <c:v>-1.6557715759911527</c:v>
                </c:pt>
                <c:pt idx="121">
                  <c:v>-1.6030527860020831</c:v>
                </c:pt>
                <c:pt idx="122">
                  <c:v>-1.4144121410996953</c:v>
                </c:pt>
                <c:pt idx="123">
                  <c:v>-1.461139870452935</c:v>
                </c:pt>
                <c:pt idx="124">
                  <c:v>-1.410691633869988</c:v>
                </c:pt>
                <c:pt idx="125">
                  <c:v>-1.389145963549508</c:v>
                </c:pt>
                <c:pt idx="126">
                  <c:v>-1.3054723288569692</c:v>
                </c:pt>
                <c:pt idx="127">
                  <c:v>-1.2688758310931652</c:v>
                </c:pt>
                <c:pt idx="128">
                  <c:v>-1.2254246108128399</c:v>
                </c:pt>
                <c:pt idx="129">
                  <c:v>-1.1373371612855849</c:v>
                </c:pt>
                <c:pt idx="130">
                  <c:v>-1.0712553052376386</c:v>
                </c:pt>
                <c:pt idx="131">
                  <c:v>-1.18461236117295</c:v>
                </c:pt>
                <c:pt idx="132">
                  <c:v>-1.2339565411131095</c:v>
                </c:pt>
                <c:pt idx="133">
                  <c:v>-1.3936399802360759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D2-4F88-BF7C-8C002738F1A5}"/>
            </c:ext>
          </c:extLst>
        </c:ser>
        <c:ser>
          <c:idx val="4"/>
          <c:order val="4"/>
          <c:tx>
            <c:strRef>
              <c:f>'預測(LSTM)累積報酬'!$B$16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'預測(LSTM)累積報酬'!$C$16:$EF$16</c:f>
              <c:numCache>
                <c:formatCode>General</c:formatCode>
                <c:ptCount val="134"/>
                <c:pt idx="0">
                  <c:v>-2.7383644610379052E-2</c:v>
                </c:pt>
                <c:pt idx="1">
                  <c:v>-0.26172162157036816</c:v>
                </c:pt>
                <c:pt idx="2">
                  <c:v>-0.34842579299892146</c:v>
                </c:pt>
                <c:pt idx="3">
                  <c:v>-0.42714126490325244</c:v>
                </c:pt>
                <c:pt idx="4">
                  <c:v>-0.4352878155622017</c:v>
                </c:pt>
                <c:pt idx="5">
                  <c:v>-0.43593716501902474</c:v>
                </c:pt>
                <c:pt idx="6">
                  <c:v>-0.5451551283552698</c:v>
                </c:pt>
                <c:pt idx="7">
                  <c:v>-0.61825976749765421</c:v>
                </c:pt>
                <c:pt idx="8">
                  <c:v>-0.70468065908004474</c:v>
                </c:pt>
                <c:pt idx="9">
                  <c:v>-0.61951905496583326</c:v>
                </c:pt>
                <c:pt idx="10">
                  <c:v>-0.60553161910391617</c:v>
                </c:pt>
                <c:pt idx="11">
                  <c:v>-0.72577411738311293</c:v>
                </c:pt>
                <c:pt idx="12">
                  <c:v>-0.75436119426209214</c:v>
                </c:pt>
                <c:pt idx="13">
                  <c:v>-0.74617301474776021</c:v>
                </c:pt>
                <c:pt idx="14">
                  <c:v>-0.82765165805375351</c:v>
                </c:pt>
                <c:pt idx="15">
                  <c:v>-0.72454196416604433</c:v>
                </c:pt>
                <c:pt idx="16">
                  <c:v>-0.61468291983123768</c:v>
                </c:pt>
                <c:pt idx="17">
                  <c:v>-0.65308959312484971</c:v>
                </c:pt>
                <c:pt idx="18">
                  <c:v>-0.56161765817408271</c:v>
                </c:pt>
                <c:pt idx="19">
                  <c:v>-0.63718914428298967</c:v>
                </c:pt>
                <c:pt idx="20">
                  <c:v>-0.73882050141416511</c:v>
                </c:pt>
                <c:pt idx="21">
                  <c:v>-0.498288539786999</c:v>
                </c:pt>
                <c:pt idx="22">
                  <c:v>-0.44800970532593642</c:v>
                </c:pt>
                <c:pt idx="23">
                  <c:v>-0.49101976350969734</c:v>
                </c:pt>
                <c:pt idx="24">
                  <c:v>-0.65717865480701443</c:v>
                </c:pt>
                <c:pt idx="25">
                  <c:v>-0.62488324037294662</c:v>
                </c:pt>
                <c:pt idx="26">
                  <c:v>-0.63764868840836331</c:v>
                </c:pt>
                <c:pt idx="27">
                  <c:v>-0.69078474395622014</c:v>
                </c:pt>
                <c:pt idx="28">
                  <c:v>-0.78728710444482575</c:v>
                </c:pt>
                <c:pt idx="29">
                  <c:v>-0.93520271470925231</c:v>
                </c:pt>
                <c:pt idx="30">
                  <c:v>-0.97897887444502474</c:v>
                </c:pt>
                <c:pt idx="31">
                  <c:v>-1.1273804996121772</c:v>
                </c:pt>
                <c:pt idx="32">
                  <c:v>-1.1607637552838246</c:v>
                </c:pt>
                <c:pt idx="33">
                  <c:v>-1.2088842338201549</c:v>
                </c:pt>
                <c:pt idx="34">
                  <c:v>-1.1714507808386669</c:v>
                </c:pt>
                <c:pt idx="35">
                  <c:v>-1.1768904834693199</c:v>
                </c:pt>
                <c:pt idx="36">
                  <c:v>-1.1247447509892288</c:v>
                </c:pt>
                <c:pt idx="37">
                  <c:v>-1.1467772689317428</c:v>
                </c:pt>
                <c:pt idx="38">
                  <c:v>-1.187867422293484</c:v>
                </c:pt>
                <c:pt idx="39">
                  <c:v>-1.0931427397262894</c:v>
                </c:pt>
                <c:pt idx="40">
                  <c:v>-1.0386449867824061</c:v>
                </c:pt>
                <c:pt idx="41">
                  <c:v>-1.0042730077221351</c:v>
                </c:pt>
                <c:pt idx="42">
                  <c:v>-0.95163028948390138</c:v>
                </c:pt>
                <c:pt idx="43">
                  <c:v>-1.0741943328341861</c:v>
                </c:pt>
                <c:pt idx="44">
                  <c:v>-1.156284604677188</c:v>
                </c:pt>
                <c:pt idx="45">
                  <c:v>-1.2083654401139254</c:v>
                </c:pt>
                <c:pt idx="46">
                  <c:v>-1.3173503787554541</c:v>
                </c:pt>
                <c:pt idx="47">
                  <c:v>-1.417971707856857</c:v>
                </c:pt>
                <c:pt idx="48">
                  <c:v>-1.4375735614559961</c:v>
                </c:pt>
                <c:pt idx="49">
                  <c:v>-1.5257237429765689</c:v>
                </c:pt>
                <c:pt idx="50">
                  <c:v>-1.5596353049612675</c:v>
                </c:pt>
                <c:pt idx="51">
                  <c:v>-1.3341617418855281</c:v>
                </c:pt>
                <c:pt idx="52">
                  <c:v>-1.3731611338077598</c:v>
                </c:pt>
                <c:pt idx="53">
                  <c:v>-1.3900973517321191</c:v>
                </c:pt>
                <c:pt idx="54">
                  <c:v>-1.4512949956585783</c:v>
                </c:pt>
                <c:pt idx="55">
                  <c:v>-1.3870269413388601</c:v>
                </c:pt>
                <c:pt idx="56">
                  <c:v>-1.3735536592909035</c:v>
                </c:pt>
                <c:pt idx="57">
                  <c:v>-1.4355936848424711</c:v>
                </c:pt>
                <c:pt idx="58">
                  <c:v>-1.4845836252753821</c:v>
                </c:pt>
                <c:pt idx="59">
                  <c:v>-1.5811504288009202</c:v>
                </c:pt>
                <c:pt idx="60">
                  <c:v>-1.5297788042749088</c:v>
                </c:pt>
                <c:pt idx="61">
                  <c:v>-1.590952403759379</c:v>
                </c:pt>
                <c:pt idx="62">
                  <c:v>-1.6304503892504851</c:v>
                </c:pt>
                <c:pt idx="63">
                  <c:v>-1.6917551391603698</c:v>
                </c:pt>
                <c:pt idx="64">
                  <c:v>-1.6175382770033677</c:v>
                </c:pt>
                <c:pt idx="65">
                  <c:v>-1.559788216322912</c:v>
                </c:pt>
                <c:pt idx="66">
                  <c:v>-1.5360974976556645</c:v>
                </c:pt>
                <c:pt idx="67">
                  <c:v>-1.6666804658806862</c:v>
                </c:pt>
                <c:pt idx="68">
                  <c:v>-1.6986874530735694</c:v>
                </c:pt>
                <c:pt idx="69">
                  <c:v>-1.7453483355670878</c:v>
                </c:pt>
                <c:pt idx="70">
                  <c:v>-1.6875832253822873</c:v>
                </c:pt>
                <c:pt idx="71">
                  <c:v>-1.6509975874585407</c:v>
                </c:pt>
                <c:pt idx="72">
                  <c:v>-1.3330267529201736</c:v>
                </c:pt>
                <c:pt idx="73">
                  <c:v>-1.3995862720382566</c:v>
                </c:pt>
                <c:pt idx="74">
                  <c:v>-1.5321446812956359</c:v>
                </c:pt>
                <c:pt idx="75">
                  <c:v>-1.6637265301862909</c:v>
                </c:pt>
                <c:pt idx="76">
                  <c:v>-1.5332566463480553</c:v>
                </c:pt>
                <c:pt idx="77">
                  <c:v>-1.6491221953372106</c:v>
                </c:pt>
                <c:pt idx="78">
                  <c:v>-1.8081947098211451</c:v>
                </c:pt>
                <c:pt idx="79">
                  <c:v>-1.6531234381947832</c:v>
                </c:pt>
                <c:pt idx="80">
                  <c:v>-1.7744338515967435</c:v>
                </c:pt>
                <c:pt idx="81">
                  <c:v>-1.7216337672614626</c:v>
                </c:pt>
                <c:pt idx="82">
                  <c:v>-1.7833616454081291</c:v>
                </c:pt>
                <c:pt idx="83">
                  <c:v>-1.7329129207041329</c:v>
                </c:pt>
                <c:pt idx="84">
                  <c:v>-1.7371535888162837</c:v>
                </c:pt>
                <c:pt idx="85">
                  <c:v>-1.7668569743100471</c:v>
                </c:pt>
                <c:pt idx="86">
                  <c:v>-1.8552796640916547</c:v>
                </c:pt>
                <c:pt idx="87">
                  <c:v>-2.0520201022508684</c:v>
                </c:pt>
                <c:pt idx="88">
                  <c:v>-2.0590198289965205</c:v>
                </c:pt>
                <c:pt idx="89">
                  <c:v>-1.898659912679993</c:v>
                </c:pt>
                <c:pt idx="90">
                  <c:v>-2.0333001214738982</c:v>
                </c:pt>
                <c:pt idx="91">
                  <c:v>-1.9221486712722538</c:v>
                </c:pt>
                <c:pt idx="92">
                  <c:v>-1.9424824510926146</c:v>
                </c:pt>
                <c:pt idx="93">
                  <c:v>-1.9172537945804551</c:v>
                </c:pt>
                <c:pt idx="94">
                  <c:v>-1.9581059821751985</c:v>
                </c:pt>
                <c:pt idx="95">
                  <c:v>-1.9836633601360332</c:v>
                </c:pt>
                <c:pt idx="96">
                  <c:v>-1.848191659271827</c:v>
                </c:pt>
                <c:pt idx="97">
                  <c:v>-2.0204431819103132</c:v>
                </c:pt>
                <c:pt idx="98">
                  <c:v>-2.029637341442935</c:v>
                </c:pt>
                <c:pt idx="99">
                  <c:v>-2.1919033167455511</c:v>
                </c:pt>
                <c:pt idx="100">
                  <c:v>-2.1106226788713367</c:v>
                </c:pt>
                <c:pt idx="101">
                  <c:v>-2.0778978566291926</c:v>
                </c:pt>
                <c:pt idx="102">
                  <c:v>-2.107702650596428</c:v>
                </c:pt>
                <c:pt idx="103">
                  <c:v>-2.3393679964980718</c:v>
                </c:pt>
                <c:pt idx="104">
                  <c:v>-2.256103944875087</c:v>
                </c:pt>
                <c:pt idx="105">
                  <c:v>-2.2878476553623672</c:v>
                </c:pt>
                <c:pt idx="106">
                  <c:v>-2.2532952550035774</c:v>
                </c:pt>
                <c:pt idx="107">
                  <c:v>-1.9277157040864248</c:v>
                </c:pt>
                <c:pt idx="108">
                  <c:v>-1.8013437842359521</c:v>
                </c:pt>
                <c:pt idx="109">
                  <c:v>-1.8053226162005074</c:v>
                </c:pt>
                <c:pt idx="110">
                  <c:v>-1.8507221141017687</c:v>
                </c:pt>
                <c:pt idx="111">
                  <c:v>-1.7797670616648831</c:v>
                </c:pt>
                <c:pt idx="112">
                  <c:v>-1.7220812923176236</c:v>
                </c:pt>
                <c:pt idx="113">
                  <c:v>-1.7002084180678494</c:v>
                </c:pt>
                <c:pt idx="114">
                  <c:v>-1.7191187922363926</c:v>
                </c:pt>
                <c:pt idx="115">
                  <c:v>-1.603232060491401</c:v>
                </c:pt>
                <c:pt idx="116">
                  <c:v>-1.649795926971179</c:v>
                </c:pt>
                <c:pt idx="117">
                  <c:v>-1.8101299214469915</c:v>
                </c:pt>
                <c:pt idx="118">
                  <c:v>-1.7630597654424598</c:v>
                </c:pt>
                <c:pt idx="119">
                  <c:v>-1.7078685137929446</c:v>
                </c:pt>
                <c:pt idx="120">
                  <c:v>-1.6974454894164297</c:v>
                </c:pt>
                <c:pt idx="121">
                  <c:v>-1.6383325143382437</c:v>
                </c:pt>
                <c:pt idx="122">
                  <c:v>-1.4482242718923253</c:v>
                </c:pt>
                <c:pt idx="123">
                  <c:v>-1.4939525890648122</c:v>
                </c:pt>
                <c:pt idx="124">
                  <c:v>-1.4638134770749971</c:v>
                </c:pt>
                <c:pt idx="125">
                  <c:v>-1.4418657492989562</c:v>
                </c:pt>
                <c:pt idx="126">
                  <c:v>-1.3468808850777192</c:v>
                </c:pt>
                <c:pt idx="127">
                  <c:v>-1.3342317134919299</c:v>
                </c:pt>
                <c:pt idx="128">
                  <c:v>-1.333811198251686</c:v>
                </c:pt>
                <c:pt idx="129">
                  <c:v>-1.2331320975744844</c:v>
                </c:pt>
                <c:pt idx="130">
                  <c:v>-1.1696000309399146</c:v>
                </c:pt>
                <c:pt idx="131">
                  <c:v>-1.2850167784388358</c:v>
                </c:pt>
                <c:pt idx="132">
                  <c:v>-1.3442577750940217</c:v>
                </c:pt>
                <c:pt idx="133">
                  <c:v>-1.5022495243640324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D2-4F88-BF7C-8C002738F1A5}"/>
            </c:ext>
          </c:extLst>
        </c:ser>
        <c:ser>
          <c:idx val="5"/>
          <c:order val="5"/>
          <c:tx>
            <c:strRef>
              <c:f>'預測(LSTM)累積報酬'!$B$17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'預測(LSTM)累積報酬'!$C$17:$EF$17</c:f>
              <c:numCache>
                <c:formatCode>General</c:formatCode>
                <c:ptCount val="134"/>
                <c:pt idx="0">
                  <c:v>-4.1028984252961823E-2</c:v>
                </c:pt>
                <c:pt idx="1">
                  <c:v>-0.20957634611273612</c:v>
                </c:pt>
                <c:pt idx="2">
                  <c:v>-0.30624745530534692</c:v>
                </c:pt>
                <c:pt idx="3">
                  <c:v>-0.38699961945766603</c:v>
                </c:pt>
                <c:pt idx="4">
                  <c:v>-0.49238669412139674</c:v>
                </c:pt>
                <c:pt idx="5">
                  <c:v>-0.48444383727339507</c:v>
                </c:pt>
                <c:pt idx="6">
                  <c:v>-0.59752136164684155</c:v>
                </c:pt>
                <c:pt idx="7">
                  <c:v>-0.64580830960760727</c:v>
                </c:pt>
                <c:pt idx="8">
                  <c:v>-0.74736838932991723</c:v>
                </c:pt>
                <c:pt idx="9">
                  <c:v>-0.70513359818457511</c:v>
                </c:pt>
                <c:pt idx="10">
                  <c:v>-0.71979274027486351</c:v>
                </c:pt>
                <c:pt idx="11">
                  <c:v>-0.82907056710466931</c:v>
                </c:pt>
                <c:pt idx="12">
                  <c:v>-0.84037724316880158</c:v>
                </c:pt>
                <c:pt idx="13">
                  <c:v>-0.82699429642543321</c:v>
                </c:pt>
                <c:pt idx="14">
                  <c:v>-0.92726112472900124</c:v>
                </c:pt>
                <c:pt idx="15">
                  <c:v>-0.79083467952875508</c:v>
                </c:pt>
                <c:pt idx="16">
                  <c:v>-0.67178029020342434</c:v>
                </c:pt>
                <c:pt idx="17">
                  <c:v>-0.69512287571436504</c:v>
                </c:pt>
                <c:pt idx="18">
                  <c:v>-0.63271697401446791</c:v>
                </c:pt>
                <c:pt idx="19">
                  <c:v>-0.7299766298670709</c:v>
                </c:pt>
                <c:pt idx="20">
                  <c:v>-0.85864388422473947</c:v>
                </c:pt>
                <c:pt idx="21">
                  <c:v>-0.62065445290442467</c:v>
                </c:pt>
                <c:pt idx="22">
                  <c:v>-0.547031321414017</c:v>
                </c:pt>
                <c:pt idx="23">
                  <c:v>-0.59535699498567329</c:v>
                </c:pt>
                <c:pt idx="24">
                  <c:v>-0.78664043190108268</c:v>
                </c:pt>
                <c:pt idx="25">
                  <c:v>-0.74210212863164304</c:v>
                </c:pt>
                <c:pt idx="26">
                  <c:v>-0.76218838336966455</c:v>
                </c:pt>
                <c:pt idx="27">
                  <c:v>-0.81196575883041866</c:v>
                </c:pt>
                <c:pt idx="28">
                  <c:v>-0.93912418127764363</c:v>
                </c:pt>
                <c:pt idx="29">
                  <c:v>-1.0594105059334902</c:v>
                </c:pt>
                <c:pt idx="30">
                  <c:v>-1.1220506475046288</c:v>
                </c:pt>
                <c:pt idx="31">
                  <c:v>-1.2690755367604334</c:v>
                </c:pt>
                <c:pt idx="32">
                  <c:v>-1.32611351241592</c:v>
                </c:pt>
                <c:pt idx="33">
                  <c:v>-1.3877261310246622</c:v>
                </c:pt>
                <c:pt idx="34">
                  <c:v>-1.358350241415087</c:v>
                </c:pt>
                <c:pt idx="35">
                  <c:v>-1.3853684235837755</c:v>
                </c:pt>
                <c:pt idx="36">
                  <c:v>-1.2920167135572453</c:v>
                </c:pt>
                <c:pt idx="37">
                  <c:v>-1.285560578183957</c:v>
                </c:pt>
                <c:pt idx="38">
                  <c:v>-1.3622551058065799</c:v>
                </c:pt>
                <c:pt idx="39">
                  <c:v>-1.2688375257260185</c:v>
                </c:pt>
                <c:pt idx="40">
                  <c:v>-1.2075602736077966</c:v>
                </c:pt>
                <c:pt idx="41">
                  <c:v>-1.1617576480504939</c:v>
                </c:pt>
                <c:pt idx="42">
                  <c:v>-1.1029546911062595</c:v>
                </c:pt>
                <c:pt idx="43">
                  <c:v>-1.2300264842135111</c:v>
                </c:pt>
                <c:pt idx="44">
                  <c:v>-1.3457260937476161</c:v>
                </c:pt>
                <c:pt idx="45">
                  <c:v>-1.4042555430822474</c:v>
                </c:pt>
                <c:pt idx="46">
                  <c:v>-1.4804451533120639</c:v>
                </c:pt>
                <c:pt idx="47">
                  <c:v>-1.5780642584296718</c:v>
                </c:pt>
                <c:pt idx="48">
                  <c:v>-1.5935423041349182</c:v>
                </c:pt>
                <c:pt idx="49">
                  <c:v>-1.6640365350513528</c:v>
                </c:pt>
                <c:pt idx="50">
                  <c:v>-1.7028081502990433</c:v>
                </c:pt>
                <c:pt idx="51">
                  <c:v>-1.4723661053511732</c:v>
                </c:pt>
                <c:pt idx="52">
                  <c:v>-1.4996589297316631</c:v>
                </c:pt>
                <c:pt idx="53">
                  <c:v>-1.486184099907039</c:v>
                </c:pt>
                <c:pt idx="54">
                  <c:v>-1.5302943532518776</c:v>
                </c:pt>
                <c:pt idx="55">
                  <c:v>-1.4750968566429239</c:v>
                </c:pt>
                <c:pt idx="56">
                  <c:v>-1.5104910927309612</c:v>
                </c:pt>
                <c:pt idx="57">
                  <c:v>-1.5592290869757495</c:v>
                </c:pt>
                <c:pt idx="58">
                  <c:v>-1.639967486534101</c:v>
                </c:pt>
                <c:pt idx="59">
                  <c:v>-1.737835730902525</c:v>
                </c:pt>
                <c:pt idx="60">
                  <c:v>-1.7210844041521443</c:v>
                </c:pt>
                <c:pt idx="61">
                  <c:v>-1.7552368514764387</c:v>
                </c:pt>
                <c:pt idx="62">
                  <c:v>-1.784295862628793</c:v>
                </c:pt>
                <c:pt idx="63">
                  <c:v>-1.8377660435759451</c:v>
                </c:pt>
                <c:pt idx="64">
                  <c:v>-1.7526787458262563</c:v>
                </c:pt>
                <c:pt idx="65">
                  <c:v>-1.6920405989163392</c:v>
                </c:pt>
                <c:pt idx="66">
                  <c:v>-1.666438883400891</c:v>
                </c:pt>
                <c:pt idx="67">
                  <c:v>-1.7814612364266427</c:v>
                </c:pt>
                <c:pt idx="68">
                  <c:v>-1.8023672546403382</c:v>
                </c:pt>
                <c:pt idx="69">
                  <c:v>-1.855017414902316</c:v>
                </c:pt>
                <c:pt idx="70">
                  <c:v>-1.7838895961515635</c:v>
                </c:pt>
                <c:pt idx="71">
                  <c:v>-1.7456486396493693</c:v>
                </c:pt>
                <c:pt idx="72">
                  <c:v>-1.5373118141319808</c:v>
                </c:pt>
                <c:pt idx="73">
                  <c:v>-1.6199528036696291</c:v>
                </c:pt>
                <c:pt idx="74">
                  <c:v>-1.7624301787960961</c:v>
                </c:pt>
                <c:pt idx="75">
                  <c:v>-1.8292877094052022</c:v>
                </c:pt>
                <c:pt idx="76">
                  <c:v>-1.6984098616292282</c:v>
                </c:pt>
                <c:pt idx="77">
                  <c:v>-1.8075756986499723</c:v>
                </c:pt>
                <c:pt idx="78">
                  <c:v>-1.9825336726396532</c:v>
                </c:pt>
                <c:pt idx="79">
                  <c:v>-1.8095739314205046</c:v>
                </c:pt>
                <c:pt idx="80">
                  <c:v>-1.9220685227159116</c:v>
                </c:pt>
                <c:pt idx="81">
                  <c:v>-1.8638297261212151</c:v>
                </c:pt>
                <c:pt idx="82">
                  <c:v>-1.9385447147499462</c:v>
                </c:pt>
                <c:pt idx="83">
                  <c:v>-1.9055756425794932</c:v>
                </c:pt>
                <c:pt idx="84">
                  <c:v>-1.9092774259543777</c:v>
                </c:pt>
                <c:pt idx="85">
                  <c:v>-1.930228253435726</c:v>
                </c:pt>
                <c:pt idx="86">
                  <c:v>-2.0141841016953568</c:v>
                </c:pt>
                <c:pt idx="87">
                  <c:v>-2.1510232006600938</c:v>
                </c:pt>
                <c:pt idx="88">
                  <c:v>-2.1493532277667402</c:v>
                </c:pt>
                <c:pt idx="89">
                  <c:v>-1.9728219491853534</c:v>
                </c:pt>
                <c:pt idx="90">
                  <c:v>-2.1102348245148783</c:v>
                </c:pt>
                <c:pt idx="91">
                  <c:v>-2.0020134410059893</c:v>
                </c:pt>
                <c:pt idx="92">
                  <c:v>-1.9501063376642629</c:v>
                </c:pt>
                <c:pt idx="93">
                  <c:v>-1.9271005081262647</c:v>
                </c:pt>
                <c:pt idx="94">
                  <c:v>-1.9584463265219829</c:v>
                </c:pt>
                <c:pt idx="95">
                  <c:v>-1.9757856069270736</c:v>
                </c:pt>
                <c:pt idx="96">
                  <c:v>-1.8204337141273141</c:v>
                </c:pt>
                <c:pt idx="97">
                  <c:v>-1.9719050989886686</c:v>
                </c:pt>
                <c:pt idx="98">
                  <c:v>-1.9916669528980215</c:v>
                </c:pt>
                <c:pt idx="99">
                  <c:v>-2.116676808297739</c:v>
                </c:pt>
                <c:pt idx="100">
                  <c:v>-2.0410678948879335</c:v>
                </c:pt>
                <c:pt idx="101">
                  <c:v>-2.0094752105075928</c:v>
                </c:pt>
                <c:pt idx="102">
                  <c:v>-2.053371069652727</c:v>
                </c:pt>
                <c:pt idx="103">
                  <c:v>-2.2776880409478095</c:v>
                </c:pt>
                <c:pt idx="104">
                  <c:v>-2.178838648398</c:v>
                </c:pt>
                <c:pt idx="105">
                  <c:v>-2.2079940692808808</c:v>
                </c:pt>
                <c:pt idx="106">
                  <c:v>-2.1838692059341587</c:v>
                </c:pt>
                <c:pt idx="107">
                  <c:v>-1.8316436516626866</c:v>
                </c:pt>
                <c:pt idx="108">
                  <c:v>-1.7084311855320473</c:v>
                </c:pt>
                <c:pt idx="109">
                  <c:v>-1.7210850801945601</c:v>
                </c:pt>
                <c:pt idx="110">
                  <c:v>-1.7561296162605051</c:v>
                </c:pt>
                <c:pt idx="111">
                  <c:v>-1.6272045564744957</c:v>
                </c:pt>
                <c:pt idx="112">
                  <c:v>-1.5590864449856106</c:v>
                </c:pt>
                <c:pt idx="113">
                  <c:v>-1.5551567132944819</c:v>
                </c:pt>
                <c:pt idx="114">
                  <c:v>-1.5923841888104742</c:v>
                </c:pt>
                <c:pt idx="115">
                  <c:v>-1.4859042262031879</c:v>
                </c:pt>
                <c:pt idx="116">
                  <c:v>-1.5511547705546416</c:v>
                </c:pt>
                <c:pt idx="117">
                  <c:v>-1.6931889288052764</c:v>
                </c:pt>
                <c:pt idx="118">
                  <c:v>-1.6205349236992515</c:v>
                </c:pt>
                <c:pt idx="119">
                  <c:v>-1.5646501088229232</c:v>
                </c:pt>
                <c:pt idx="120">
                  <c:v>-1.5581445725914509</c:v>
                </c:pt>
                <c:pt idx="121">
                  <c:v>-1.4983326373564747</c:v>
                </c:pt>
                <c:pt idx="122">
                  <c:v>-1.3387775378780309</c:v>
                </c:pt>
                <c:pt idx="123">
                  <c:v>-1.3839263740270897</c:v>
                </c:pt>
                <c:pt idx="124">
                  <c:v>-1.3356909810576285</c:v>
                </c:pt>
                <c:pt idx="125">
                  <c:v>-1.3587261612268171</c:v>
                </c:pt>
                <c:pt idx="126">
                  <c:v>-1.2327156233257623</c:v>
                </c:pt>
                <c:pt idx="127">
                  <c:v>-1.2375066765717508</c:v>
                </c:pt>
                <c:pt idx="128">
                  <c:v>-1.2421392007884755</c:v>
                </c:pt>
                <c:pt idx="129">
                  <c:v>-1.134853874034718</c:v>
                </c:pt>
                <c:pt idx="130">
                  <c:v>-1.1184286568186574</c:v>
                </c:pt>
                <c:pt idx="131">
                  <c:v>-1.2467531007475701</c:v>
                </c:pt>
                <c:pt idx="132">
                  <c:v>-1.3110318007164592</c:v>
                </c:pt>
                <c:pt idx="133">
                  <c:v>-1.4508466485426628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D2-4F88-BF7C-8C002738F1A5}"/>
            </c:ext>
          </c:extLst>
        </c:ser>
        <c:ser>
          <c:idx val="6"/>
          <c:order val="6"/>
          <c:tx>
            <c:strRef>
              <c:f>'預測(LSTM)累積報酬'!$B$18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'預測(LSTM)累積報酬'!$C$18:$EF$18</c:f>
              <c:numCache>
                <c:formatCode>General</c:formatCode>
                <c:ptCount val="134"/>
                <c:pt idx="0">
                  <c:v>-5.3942228163147227E-2</c:v>
                </c:pt>
                <c:pt idx="1">
                  <c:v>-0.23796111756631344</c:v>
                </c:pt>
                <c:pt idx="2">
                  <c:v>-0.33843674056940565</c:v>
                </c:pt>
                <c:pt idx="3">
                  <c:v>-0.45781970067159544</c:v>
                </c:pt>
                <c:pt idx="4">
                  <c:v>-0.56613607395667542</c:v>
                </c:pt>
                <c:pt idx="5">
                  <c:v>-0.5575138462022311</c:v>
                </c:pt>
                <c:pt idx="6">
                  <c:v>-0.6861404020377716</c:v>
                </c:pt>
                <c:pt idx="7">
                  <c:v>-0.77731363372533968</c:v>
                </c:pt>
                <c:pt idx="8">
                  <c:v>-0.91296152250297191</c:v>
                </c:pt>
                <c:pt idx="9">
                  <c:v>-0.86220331539625283</c:v>
                </c:pt>
                <c:pt idx="10">
                  <c:v>-0.89125477977271017</c:v>
                </c:pt>
                <c:pt idx="11">
                  <c:v>-1.0324622682690063</c:v>
                </c:pt>
                <c:pt idx="12">
                  <c:v>-1.0007243271715081</c:v>
                </c:pt>
                <c:pt idx="13">
                  <c:v>-0.99239624131759907</c:v>
                </c:pt>
                <c:pt idx="14">
                  <c:v>-1.0854558312305054</c:v>
                </c:pt>
                <c:pt idx="15">
                  <c:v>-0.93126664249648394</c:v>
                </c:pt>
                <c:pt idx="16">
                  <c:v>-0.78746141519758472</c:v>
                </c:pt>
                <c:pt idx="17">
                  <c:v>-0.83977111274831562</c:v>
                </c:pt>
                <c:pt idx="18">
                  <c:v>-0.78462076969675087</c:v>
                </c:pt>
                <c:pt idx="19">
                  <c:v>-0.90601223112267659</c:v>
                </c:pt>
                <c:pt idx="20">
                  <c:v>-1.0721470603919756</c:v>
                </c:pt>
                <c:pt idx="21">
                  <c:v>-0.85702600299202392</c:v>
                </c:pt>
                <c:pt idx="22">
                  <c:v>-0.7531467590832126</c:v>
                </c:pt>
                <c:pt idx="23">
                  <c:v>-0.80461648483405213</c:v>
                </c:pt>
                <c:pt idx="24">
                  <c:v>-0.97718714236858084</c:v>
                </c:pt>
                <c:pt idx="25">
                  <c:v>-0.91454233710591992</c:v>
                </c:pt>
                <c:pt idx="26">
                  <c:v>-0.91317691662908762</c:v>
                </c:pt>
                <c:pt idx="27">
                  <c:v>-0.98562070571761906</c:v>
                </c:pt>
                <c:pt idx="28">
                  <c:v>-1.1291499471466935</c:v>
                </c:pt>
                <c:pt idx="29">
                  <c:v>-1.2796935869707668</c:v>
                </c:pt>
                <c:pt idx="30">
                  <c:v>-1.3614135668635206</c:v>
                </c:pt>
                <c:pt idx="31">
                  <c:v>-1.5244820716883702</c:v>
                </c:pt>
                <c:pt idx="32">
                  <c:v>-1.6059058217395399</c:v>
                </c:pt>
                <c:pt idx="33">
                  <c:v>-1.6767730394011424</c:v>
                </c:pt>
                <c:pt idx="34">
                  <c:v>-1.6539401540391461</c:v>
                </c:pt>
                <c:pt idx="35">
                  <c:v>-1.6867529658187554</c:v>
                </c:pt>
                <c:pt idx="36">
                  <c:v>-1.5906999366819374</c:v>
                </c:pt>
                <c:pt idx="37">
                  <c:v>-1.5934943544418754</c:v>
                </c:pt>
                <c:pt idx="38">
                  <c:v>-1.5689100739970685</c:v>
                </c:pt>
                <c:pt idx="39">
                  <c:v>-1.4733642810815637</c:v>
                </c:pt>
                <c:pt idx="40">
                  <c:v>-1.4092093074180454</c:v>
                </c:pt>
                <c:pt idx="41">
                  <c:v>-1.370206833355281</c:v>
                </c:pt>
                <c:pt idx="42">
                  <c:v>-1.2869537054660951</c:v>
                </c:pt>
                <c:pt idx="43">
                  <c:v>-1.453339514890154</c:v>
                </c:pt>
                <c:pt idx="44">
                  <c:v>-1.5922377295363737</c:v>
                </c:pt>
                <c:pt idx="45">
                  <c:v>-1.6524733942428436</c:v>
                </c:pt>
                <c:pt idx="46">
                  <c:v>-1.7502402560640788</c:v>
                </c:pt>
                <c:pt idx="47">
                  <c:v>-1.8763045934902063</c:v>
                </c:pt>
                <c:pt idx="48">
                  <c:v>-1.9064939522186966</c:v>
                </c:pt>
                <c:pt idx="49">
                  <c:v>-1.9581402796122049</c:v>
                </c:pt>
                <c:pt idx="50">
                  <c:v>-1.9934425196189682</c:v>
                </c:pt>
                <c:pt idx="51">
                  <c:v>-1.6759850939548557</c:v>
                </c:pt>
                <c:pt idx="52">
                  <c:v>-1.6480430432528861</c:v>
                </c:pt>
                <c:pt idx="53">
                  <c:v>-1.6441856929737564</c:v>
                </c:pt>
                <c:pt idx="54">
                  <c:v>-1.735358545829679</c:v>
                </c:pt>
                <c:pt idx="55">
                  <c:v>-1.6894740095301002</c:v>
                </c:pt>
                <c:pt idx="56">
                  <c:v>-1.7062802507563044</c:v>
                </c:pt>
                <c:pt idx="57">
                  <c:v>-1.7692156345815988</c:v>
                </c:pt>
                <c:pt idx="58">
                  <c:v>-1.8452067283220575</c:v>
                </c:pt>
                <c:pt idx="59">
                  <c:v>-1.9437405850074791</c:v>
                </c:pt>
                <c:pt idx="60">
                  <c:v>-1.9427595011043621</c:v>
                </c:pt>
                <c:pt idx="61">
                  <c:v>-1.9985473819661421</c:v>
                </c:pt>
                <c:pt idx="62">
                  <c:v>-2.0266287383392374</c:v>
                </c:pt>
                <c:pt idx="63">
                  <c:v>-2.0688203271440408</c:v>
                </c:pt>
                <c:pt idx="64">
                  <c:v>-2.0066512456768302</c:v>
                </c:pt>
                <c:pt idx="65">
                  <c:v>-1.9441878136403785</c:v>
                </c:pt>
                <c:pt idx="66">
                  <c:v>-1.8577281227281492</c:v>
                </c:pt>
                <c:pt idx="67">
                  <c:v>-1.9786899406106251</c:v>
                </c:pt>
                <c:pt idx="68">
                  <c:v>-2.011563197186657</c:v>
                </c:pt>
                <c:pt idx="69">
                  <c:v>-2.0731085200793617</c:v>
                </c:pt>
                <c:pt idx="70">
                  <c:v>-1.9924310760393209</c:v>
                </c:pt>
                <c:pt idx="71">
                  <c:v>-1.9528066499151731</c:v>
                </c:pt>
                <c:pt idx="72">
                  <c:v>-1.7344311507841843</c:v>
                </c:pt>
                <c:pt idx="73">
                  <c:v>-1.8090120141987824</c:v>
                </c:pt>
                <c:pt idx="74">
                  <c:v>-1.896477282470884</c:v>
                </c:pt>
                <c:pt idx="75">
                  <c:v>-1.931824934991822</c:v>
                </c:pt>
                <c:pt idx="76">
                  <c:v>-1.8174989480397328</c:v>
                </c:pt>
                <c:pt idx="77">
                  <c:v>-1.9148862310191421</c:v>
                </c:pt>
                <c:pt idx="78">
                  <c:v>-1.9430596750385423</c:v>
                </c:pt>
                <c:pt idx="79">
                  <c:v>-1.7493428563917115</c:v>
                </c:pt>
                <c:pt idx="80">
                  <c:v>-1.8794184420089586</c:v>
                </c:pt>
                <c:pt idx="81">
                  <c:v>-1.9233761853955673</c:v>
                </c:pt>
                <c:pt idx="82">
                  <c:v>-2.0149854409594865</c:v>
                </c:pt>
                <c:pt idx="83">
                  <c:v>-1.9696197920003278</c:v>
                </c:pt>
                <c:pt idx="84">
                  <c:v>-1.8545604811911494</c:v>
                </c:pt>
                <c:pt idx="85">
                  <c:v>-1.8507881146907517</c:v>
                </c:pt>
                <c:pt idx="86">
                  <c:v>-1.9468461463562747</c:v>
                </c:pt>
                <c:pt idx="87">
                  <c:v>-2.09976009016576</c:v>
                </c:pt>
                <c:pt idx="88">
                  <c:v>-2.0842113398237565</c:v>
                </c:pt>
                <c:pt idx="89">
                  <c:v>-1.9632682062821818</c:v>
                </c:pt>
                <c:pt idx="90">
                  <c:v>-2.1138657159044292</c:v>
                </c:pt>
                <c:pt idx="91">
                  <c:v>-1.9975953960964958</c:v>
                </c:pt>
                <c:pt idx="92">
                  <c:v>-1.9593527205015531</c:v>
                </c:pt>
                <c:pt idx="93">
                  <c:v>-1.9256094182303605</c:v>
                </c:pt>
                <c:pt idx="94">
                  <c:v>-1.983300066881776</c:v>
                </c:pt>
                <c:pt idx="95">
                  <c:v>-1.9670275726817672</c:v>
                </c:pt>
                <c:pt idx="96">
                  <c:v>-1.8224627515056322</c:v>
                </c:pt>
                <c:pt idx="97">
                  <c:v>-1.9494850196386391</c:v>
                </c:pt>
                <c:pt idx="98">
                  <c:v>-1.9579411052031648</c:v>
                </c:pt>
                <c:pt idx="99">
                  <c:v>-2.111016794812318</c:v>
                </c:pt>
                <c:pt idx="100">
                  <c:v>-2.0178384109044103</c:v>
                </c:pt>
                <c:pt idx="101">
                  <c:v>-1.9263791974917077</c:v>
                </c:pt>
                <c:pt idx="102">
                  <c:v>-1.9737601370104012</c:v>
                </c:pt>
                <c:pt idx="103">
                  <c:v>-2.1961422495337839</c:v>
                </c:pt>
                <c:pt idx="104">
                  <c:v>-2.1133225423226212</c:v>
                </c:pt>
                <c:pt idx="105">
                  <c:v>-2.1543367296419551</c:v>
                </c:pt>
                <c:pt idx="106">
                  <c:v>-2.1159161421555042</c:v>
                </c:pt>
                <c:pt idx="107">
                  <c:v>-1.7492241325414892</c:v>
                </c:pt>
                <c:pt idx="108">
                  <c:v>-1.6310070392678939</c:v>
                </c:pt>
                <c:pt idx="109">
                  <c:v>-1.6440570718848224</c:v>
                </c:pt>
                <c:pt idx="110">
                  <c:v>-1.6626703199152406</c:v>
                </c:pt>
                <c:pt idx="111">
                  <c:v>-1.5164742438158283</c:v>
                </c:pt>
                <c:pt idx="112">
                  <c:v>-1.4592236538292023</c:v>
                </c:pt>
                <c:pt idx="113">
                  <c:v>-1.4553933797616101</c:v>
                </c:pt>
                <c:pt idx="114">
                  <c:v>-1.460644058503874</c:v>
                </c:pt>
                <c:pt idx="115">
                  <c:v>-1.3355353752343433</c:v>
                </c:pt>
                <c:pt idx="116">
                  <c:v>-1.3657343926959331</c:v>
                </c:pt>
                <c:pt idx="117">
                  <c:v>-1.4992208649730137</c:v>
                </c:pt>
                <c:pt idx="118">
                  <c:v>-1.4334714067891148</c:v>
                </c:pt>
                <c:pt idx="119">
                  <c:v>-1.3566307520171537</c:v>
                </c:pt>
                <c:pt idx="120">
                  <c:v>-1.3312451007600155</c:v>
                </c:pt>
                <c:pt idx="121">
                  <c:v>-1.308644065918908</c:v>
                </c:pt>
                <c:pt idx="122">
                  <c:v>-1.1460552814946579</c:v>
                </c:pt>
                <c:pt idx="123">
                  <c:v>-1.2165829740007355</c:v>
                </c:pt>
                <c:pt idx="124">
                  <c:v>-1.1586055936706237</c:v>
                </c:pt>
                <c:pt idx="125">
                  <c:v>-1.226782887192359</c:v>
                </c:pt>
                <c:pt idx="126">
                  <c:v>-1.0610197825303558</c:v>
                </c:pt>
                <c:pt idx="127">
                  <c:v>-1.1042476373997976</c:v>
                </c:pt>
                <c:pt idx="128">
                  <c:v>-1.1089859346380424</c:v>
                </c:pt>
                <c:pt idx="129">
                  <c:v>-0.99902158018784704</c:v>
                </c:pt>
                <c:pt idx="130">
                  <c:v>-0.99625746476247568</c:v>
                </c:pt>
                <c:pt idx="131">
                  <c:v>-1.1067354866282413</c:v>
                </c:pt>
                <c:pt idx="132">
                  <c:v>-1.1597505269436055</c:v>
                </c:pt>
                <c:pt idx="133">
                  <c:v>-1.3146866296333524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D2-4F88-BF7C-8C002738F1A5}"/>
            </c:ext>
          </c:extLst>
        </c:ser>
        <c:ser>
          <c:idx val="7"/>
          <c:order val="7"/>
          <c:tx>
            <c:strRef>
              <c:f>'預測(LSTM)累積報酬'!$B$19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'預測(LSTM)累積報酬'!$C$19:$EF$19</c:f>
              <c:numCache>
                <c:formatCode>General</c:formatCode>
                <c:ptCount val="134"/>
                <c:pt idx="0">
                  <c:v>-7.7959416087486216E-2</c:v>
                </c:pt>
                <c:pt idx="1">
                  <c:v>-0.29750228446977556</c:v>
                </c:pt>
                <c:pt idx="2">
                  <c:v>-0.43808596106110675</c:v>
                </c:pt>
                <c:pt idx="3">
                  <c:v>-0.61577462286666729</c:v>
                </c:pt>
                <c:pt idx="4">
                  <c:v>-0.71184059472384464</c:v>
                </c:pt>
                <c:pt idx="5">
                  <c:v>-0.72390938318632958</c:v>
                </c:pt>
                <c:pt idx="6">
                  <c:v>-0.85802156167390897</c:v>
                </c:pt>
                <c:pt idx="7">
                  <c:v>-0.96945880584606137</c:v>
                </c:pt>
                <c:pt idx="8">
                  <c:v>-1.208248220569978</c:v>
                </c:pt>
                <c:pt idx="9">
                  <c:v>-1.1879215709296329</c:v>
                </c:pt>
                <c:pt idx="10">
                  <c:v>-1.1442313347733257</c:v>
                </c:pt>
                <c:pt idx="11">
                  <c:v>-1.2960749159213059</c:v>
                </c:pt>
                <c:pt idx="12">
                  <c:v>-1.26451304143239</c:v>
                </c:pt>
                <c:pt idx="13">
                  <c:v>-1.2409998806078699</c:v>
                </c:pt>
                <c:pt idx="14">
                  <c:v>-1.3228659933444107</c:v>
                </c:pt>
                <c:pt idx="15">
                  <c:v>-1.1772827205422005</c:v>
                </c:pt>
                <c:pt idx="16">
                  <c:v>-1.0545908442064591</c:v>
                </c:pt>
                <c:pt idx="17">
                  <c:v>-1.1060555614517686</c:v>
                </c:pt>
                <c:pt idx="18">
                  <c:v>-1.0388055598332857</c:v>
                </c:pt>
                <c:pt idx="19">
                  <c:v>-1.1314938795585989</c:v>
                </c:pt>
                <c:pt idx="20">
                  <c:v>-1.3062286428608305</c:v>
                </c:pt>
                <c:pt idx="21">
                  <c:v>-1.1568287695081032</c:v>
                </c:pt>
                <c:pt idx="22">
                  <c:v>-1.0536985305776649</c:v>
                </c:pt>
                <c:pt idx="23">
                  <c:v>-1.1115872559563642</c:v>
                </c:pt>
                <c:pt idx="24">
                  <c:v>-1.2434201554374553</c:v>
                </c:pt>
                <c:pt idx="25">
                  <c:v>-1.1917014026266981</c:v>
                </c:pt>
                <c:pt idx="26">
                  <c:v>-1.1775598599180883</c:v>
                </c:pt>
                <c:pt idx="27">
                  <c:v>-1.2015573171791489</c:v>
                </c:pt>
                <c:pt idx="28">
                  <c:v>-1.3709733781769387</c:v>
                </c:pt>
                <c:pt idx="29">
                  <c:v>-1.5398039588849817</c:v>
                </c:pt>
                <c:pt idx="30">
                  <c:v>-1.5812910623292933</c:v>
                </c:pt>
                <c:pt idx="31">
                  <c:v>-1.7854473494945029</c:v>
                </c:pt>
                <c:pt idx="32">
                  <c:v>-1.8332137022542994</c:v>
                </c:pt>
                <c:pt idx="33">
                  <c:v>-1.9104164118988709</c:v>
                </c:pt>
                <c:pt idx="34">
                  <c:v>-1.8698348887857079</c:v>
                </c:pt>
                <c:pt idx="35">
                  <c:v>-1.8847494963155063</c:v>
                </c:pt>
                <c:pt idx="36">
                  <c:v>-1.8236253652616596</c:v>
                </c:pt>
                <c:pt idx="37">
                  <c:v>-1.8133858169919466</c:v>
                </c:pt>
                <c:pt idx="38">
                  <c:v>-1.7574956908628319</c:v>
                </c:pt>
                <c:pt idx="39">
                  <c:v>-1.632667440055815</c:v>
                </c:pt>
                <c:pt idx="40">
                  <c:v>-1.5902917748966119</c:v>
                </c:pt>
                <c:pt idx="41">
                  <c:v>-1.6314362897921877</c:v>
                </c:pt>
                <c:pt idx="42">
                  <c:v>-1.5222374137391215</c:v>
                </c:pt>
                <c:pt idx="43">
                  <c:v>-1.7068310775491795</c:v>
                </c:pt>
                <c:pt idx="44">
                  <c:v>-1.8598457040234402</c:v>
                </c:pt>
                <c:pt idx="45">
                  <c:v>-1.8568130944208321</c:v>
                </c:pt>
                <c:pt idx="46">
                  <c:v>-1.9935064915497449</c:v>
                </c:pt>
                <c:pt idx="47">
                  <c:v>-2.2176302868506008</c:v>
                </c:pt>
                <c:pt idx="48">
                  <c:v>-2.283903529563073</c:v>
                </c:pt>
                <c:pt idx="49">
                  <c:v>-2.3995150579324966</c:v>
                </c:pt>
                <c:pt idx="50">
                  <c:v>-2.4010240744883316</c:v>
                </c:pt>
                <c:pt idx="51">
                  <c:v>-2.0368631426951125</c:v>
                </c:pt>
                <c:pt idx="52">
                  <c:v>-1.8522913532886853</c:v>
                </c:pt>
                <c:pt idx="53">
                  <c:v>-1.866611400064528</c:v>
                </c:pt>
                <c:pt idx="54">
                  <c:v>-1.956092121824899</c:v>
                </c:pt>
                <c:pt idx="55">
                  <c:v>-1.9425211476757605</c:v>
                </c:pt>
                <c:pt idx="56">
                  <c:v>-1.9588648060086027</c:v>
                </c:pt>
                <c:pt idx="57">
                  <c:v>-2.0159992673351352</c:v>
                </c:pt>
                <c:pt idx="58">
                  <c:v>-2.1172834972943515</c:v>
                </c:pt>
                <c:pt idx="59">
                  <c:v>-2.1761957144668074</c:v>
                </c:pt>
                <c:pt idx="60">
                  <c:v>-2.2457147510962492</c:v>
                </c:pt>
                <c:pt idx="61">
                  <c:v>-2.3088792848432687</c:v>
                </c:pt>
                <c:pt idx="62">
                  <c:v>-2.3406655497124138</c:v>
                </c:pt>
                <c:pt idx="63">
                  <c:v>-2.4128506494349149</c:v>
                </c:pt>
                <c:pt idx="64">
                  <c:v>-2.3072859707581839</c:v>
                </c:pt>
                <c:pt idx="65">
                  <c:v>-2.294875629480583</c:v>
                </c:pt>
                <c:pt idx="66">
                  <c:v>-2.185222494547526</c:v>
                </c:pt>
                <c:pt idx="67">
                  <c:v>-2.3220617300906716</c:v>
                </c:pt>
                <c:pt idx="68">
                  <c:v>-2.3185617981510327</c:v>
                </c:pt>
                <c:pt idx="69">
                  <c:v>-2.400885201828344</c:v>
                </c:pt>
                <c:pt idx="70">
                  <c:v>-2.3249489505941061</c:v>
                </c:pt>
                <c:pt idx="71">
                  <c:v>-2.2945981586282089</c:v>
                </c:pt>
                <c:pt idx="72">
                  <c:v>-1.9871451518184755</c:v>
                </c:pt>
                <c:pt idx="73">
                  <c:v>-2.0419754333787923</c:v>
                </c:pt>
                <c:pt idx="74">
                  <c:v>-2.1218423604477383</c:v>
                </c:pt>
                <c:pt idx="75">
                  <c:v>-2.12526738862221</c:v>
                </c:pt>
                <c:pt idx="76">
                  <c:v>-2.069052244788967</c:v>
                </c:pt>
                <c:pt idx="77">
                  <c:v>-2.1480290524074928</c:v>
                </c:pt>
                <c:pt idx="78">
                  <c:v>-2.1727523051733204</c:v>
                </c:pt>
                <c:pt idx="79">
                  <c:v>-1.9571331070796025</c:v>
                </c:pt>
                <c:pt idx="80">
                  <c:v>-2.0715474665927358</c:v>
                </c:pt>
                <c:pt idx="81">
                  <c:v>-2.1505989915635504</c:v>
                </c:pt>
                <c:pt idx="82">
                  <c:v>-2.2077166164305075</c:v>
                </c:pt>
                <c:pt idx="83">
                  <c:v>-2.1650015726877734</c:v>
                </c:pt>
                <c:pt idx="84">
                  <c:v>-2.054267364934069</c:v>
                </c:pt>
                <c:pt idx="85">
                  <c:v>-2.0424554421720749</c:v>
                </c:pt>
                <c:pt idx="86">
                  <c:v>-2.1612527051294093</c:v>
                </c:pt>
                <c:pt idx="87">
                  <c:v>-2.2766004867681469</c:v>
                </c:pt>
                <c:pt idx="88">
                  <c:v>-2.2010186157701526</c:v>
                </c:pt>
                <c:pt idx="89">
                  <c:v>-2.0578254053006182</c:v>
                </c:pt>
                <c:pt idx="90">
                  <c:v>-2.2239719630758987</c:v>
                </c:pt>
                <c:pt idx="91">
                  <c:v>-2.0865572383180631</c:v>
                </c:pt>
                <c:pt idx="92">
                  <c:v>-2.0541626308016445</c:v>
                </c:pt>
                <c:pt idx="93">
                  <c:v>-2.0298634283379178</c:v>
                </c:pt>
                <c:pt idx="94">
                  <c:v>-2.0841138778862511</c:v>
                </c:pt>
                <c:pt idx="95">
                  <c:v>-2.0561732407012543</c:v>
                </c:pt>
                <c:pt idx="96">
                  <c:v>-1.9095656974403152</c:v>
                </c:pt>
                <c:pt idx="97">
                  <c:v>-2.004118705411694</c:v>
                </c:pt>
                <c:pt idx="98">
                  <c:v>-2.0260205131935924</c:v>
                </c:pt>
                <c:pt idx="99">
                  <c:v>-2.1741708039980971</c:v>
                </c:pt>
                <c:pt idx="100">
                  <c:v>-2.0662786845409062</c:v>
                </c:pt>
                <c:pt idx="101">
                  <c:v>-2.0087794214523944</c:v>
                </c:pt>
                <c:pt idx="102">
                  <c:v>-2.067003298155631</c:v>
                </c:pt>
                <c:pt idx="103">
                  <c:v>-2.3531417520569375</c:v>
                </c:pt>
                <c:pt idx="104">
                  <c:v>-2.2875541673190405</c:v>
                </c:pt>
                <c:pt idx="105">
                  <c:v>-2.2937552925738696</c:v>
                </c:pt>
                <c:pt idx="106">
                  <c:v>-2.2607368779180774</c:v>
                </c:pt>
                <c:pt idx="107">
                  <c:v>-2.055235132323781</c:v>
                </c:pt>
                <c:pt idx="108">
                  <c:v>-1.9287443344862596</c:v>
                </c:pt>
                <c:pt idx="109">
                  <c:v>-1.9719649399695109</c:v>
                </c:pt>
                <c:pt idx="110">
                  <c:v>-2.0306119729807794</c:v>
                </c:pt>
                <c:pt idx="111">
                  <c:v>-1.8653615040217075</c:v>
                </c:pt>
                <c:pt idx="112">
                  <c:v>-1.8493772144470435</c:v>
                </c:pt>
                <c:pt idx="113">
                  <c:v>-1.8373944285380697</c:v>
                </c:pt>
                <c:pt idx="114">
                  <c:v>-1.7912965260524421</c:v>
                </c:pt>
                <c:pt idx="115">
                  <c:v>-1.6173682243238938</c:v>
                </c:pt>
                <c:pt idx="116">
                  <c:v>-1.6660737441844877</c:v>
                </c:pt>
                <c:pt idx="117">
                  <c:v>-1.8363418748644498</c:v>
                </c:pt>
                <c:pt idx="118">
                  <c:v>-1.7559677030263747</c:v>
                </c:pt>
                <c:pt idx="119">
                  <c:v>-1.6800053497013265</c:v>
                </c:pt>
                <c:pt idx="120">
                  <c:v>-1.6350863865494465</c:v>
                </c:pt>
                <c:pt idx="121">
                  <c:v>-1.6300531400293414</c:v>
                </c:pt>
                <c:pt idx="122">
                  <c:v>-1.4355337005663622</c:v>
                </c:pt>
                <c:pt idx="123">
                  <c:v>-1.5071270871637643</c:v>
                </c:pt>
                <c:pt idx="124">
                  <c:v>-1.4502830988423032</c:v>
                </c:pt>
                <c:pt idx="125">
                  <c:v>-1.544897292199841</c:v>
                </c:pt>
                <c:pt idx="126">
                  <c:v>-1.3927778825953541</c:v>
                </c:pt>
                <c:pt idx="127">
                  <c:v>-1.4724214507337892</c:v>
                </c:pt>
                <c:pt idx="128">
                  <c:v>-1.4395017235387739</c:v>
                </c:pt>
                <c:pt idx="129">
                  <c:v>-1.3307482139005213</c:v>
                </c:pt>
                <c:pt idx="130">
                  <c:v>-1.3429382571242234</c:v>
                </c:pt>
                <c:pt idx="131">
                  <c:v>-1.4938735741143803</c:v>
                </c:pt>
                <c:pt idx="132">
                  <c:v>-1.5166894599582932</c:v>
                </c:pt>
                <c:pt idx="133">
                  <c:v>-1.6849263953556517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D2-4F88-BF7C-8C002738F1A5}"/>
            </c:ext>
          </c:extLst>
        </c:ser>
        <c:ser>
          <c:idx val="8"/>
          <c:order val="8"/>
          <c:tx>
            <c:strRef>
              <c:f>'預測(LSTM)累積報酬'!$B$20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'預測(LSTM)累積報酬'!$C$20:$EF$20</c:f>
              <c:numCache>
                <c:formatCode>General</c:formatCode>
                <c:ptCount val="134"/>
                <c:pt idx="0">
                  <c:v>-0.13932460396499161</c:v>
                </c:pt>
                <c:pt idx="1">
                  <c:v>-0.36191099765376744</c:v>
                </c:pt>
                <c:pt idx="2">
                  <c:v>-0.50803590291801337</c:v>
                </c:pt>
                <c:pt idx="3">
                  <c:v>-0.71356716725118763</c:v>
                </c:pt>
                <c:pt idx="4">
                  <c:v>-0.83075030854012677</c:v>
                </c:pt>
                <c:pt idx="5">
                  <c:v>-0.81916728246154902</c:v>
                </c:pt>
                <c:pt idx="6">
                  <c:v>-1.0050304579382454</c:v>
                </c:pt>
                <c:pt idx="7">
                  <c:v>-1.1523185900948478</c:v>
                </c:pt>
                <c:pt idx="8">
                  <c:v>-1.3670430938559297</c:v>
                </c:pt>
                <c:pt idx="9">
                  <c:v>-1.3580433225147412</c:v>
                </c:pt>
                <c:pt idx="10">
                  <c:v>-1.2803250942234676</c:v>
                </c:pt>
                <c:pt idx="11">
                  <c:v>-1.4484686824130115</c:v>
                </c:pt>
                <c:pt idx="12">
                  <c:v>-1.3986037963437374</c:v>
                </c:pt>
                <c:pt idx="13">
                  <c:v>-1.3554651174552099</c:v>
                </c:pt>
                <c:pt idx="14">
                  <c:v>-1.462510438905938</c:v>
                </c:pt>
                <c:pt idx="15">
                  <c:v>-1.2715679719164241</c:v>
                </c:pt>
                <c:pt idx="16">
                  <c:v>-1.1890053612091362</c:v>
                </c:pt>
                <c:pt idx="17">
                  <c:v>-1.2744708169469516</c:v>
                </c:pt>
                <c:pt idx="18">
                  <c:v>-1.2607504522397743</c:v>
                </c:pt>
                <c:pt idx="19">
                  <c:v>-1.3642680554443918</c:v>
                </c:pt>
                <c:pt idx="20">
                  <c:v>-1.5907117175274932</c:v>
                </c:pt>
                <c:pt idx="21">
                  <c:v>-1.3803253046047081</c:v>
                </c:pt>
                <c:pt idx="22">
                  <c:v>-1.2513602657223344</c:v>
                </c:pt>
                <c:pt idx="23">
                  <c:v>-1.3253874339802889</c:v>
                </c:pt>
                <c:pt idx="24">
                  <c:v>-1.4558708024609346</c:v>
                </c:pt>
                <c:pt idx="25">
                  <c:v>-1.4229722571407084</c:v>
                </c:pt>
                <c:pt idx="26">
                  <c:v>-1.3757239944127408</c:v>
                </c:pt>
                <c:pt idx="27">
                  <c:v>-1.4027112979834189</c:v>
                </c:pt>
                <c:pt idx="28">
                  <c:v>-1.6020041623225167</c:v>
                </c:pt>
                <c:pt idx="29">
                  <c:v>-1.8255019819588894</c:v>
                </c:pt>
                <c:pt idx="30">
                  <c:v>-1.8576652308405659</c:v>
                </c:pt>
                <c:pt idx="31">
                  <c:v>-2.0743076834889269</c:v>
                </c:pt>
                <c:pt idx="32">
                  <c:v>-2.1575870372396504</c:v>
                </c:pt>
                <c:pt idx="33">
                  <c:v>-2.2183127219004346</c:v>
                </c:pt>
                <c:pt idx="34">
                  <c:v>-2.2100642068378216</c:v>
                </c:pt>
                <c:pt idx="35">
                  <c:v>-2.2308444719464164</c:v>
                </c:pt>
                <c:pt idx="36">
                  <c:v>-2.1633146121580893</c:v>
                </c:pt>
                <c:pt idx="37">
                  <c:v>-2.1977591311469347</c:v>
                </c:pt>
                <c:pt idx="38">
                  <c:v>-2.1486508365075352</c:v>
                </c:pt>
                <c:pt idx="39">
                  <c:v>-2.0089305782678752</c:v>
                </c:pt>
                <c:pt idx="40">
                  <c:v>-1.9756223471723309</c:v>
                </c:pt>
                <c:pt idx="41">
                  <c:v>-2.0053613470226317</c:v>
                </c:pt>
                <c:pt idx="42">
                  <c:v>-1.9630696305736557</c:v>
                </c:pt>
                <c:pt idx="43">
                  <c:v>-2.2021933780187264</c:v>
                </c:pt>
                <c:pt idx="44">
                  <c:v>-2.345266018945892</c:v>
                </c:pt>
                <c:pt idx="45">
                  <c:v>-2.3130194061591287</c:v>
                </c:pt>
                <c:pt idx="46">
                  <c:v>-2.5380172469374731</c:v>
                </c:pt>
                <c:pt idx="47">
                  <c:v>-2.7423564668980198</c:v>
                </c:pt>
                <c:pt idx="48">
                  <c:v>-2.6602988308804534</c:v>
                </c:pt>
                <c:pt idx="49">
                  <c:v>-2.8165728385871174</c:v>
                </c:pt>
                <c:pt idx="50">
                  <c:v>-2.9186504089078964</c:v>
                </c:pt>
                <c:pt idx="51">
                  <c:v>-2.5402036235985519</c:v>
                </c:pt>
                <c:pt idx="52">
                  <c:v>-2.3000629486081383</c:v>
                </c:pt>
                <c:pt idx="53">
                  <c:v>-2.3113712439943765</c:v>
                </c:pt>
                <c:pt idx="54">
                  <c:v>-2.4096496187287322</c:v>
                </c:pt>
                <c:pt idx="55">
                  <c:v>-2.4039610363974036</c:v>
                </c:pt>
                <c:pt idx="56">
                  <c:v>-2.4108871791060968</c:v>
                </c:pt>
                <c:pt idx="57">
                  <c:v>-2.4627864564316959</c:v>
                </c:pt>
                <c:pt idx="58">
                  <c:v>-2.5770421221662194</c:v>
                </c:pt>
                <c:pt idx="59">
                  <c:v>-2.6261819059774933</c:v>
                </c:pt>
                <c:pt idx="60">
                  <c:v>-2.7287801901319386</c:v>
                </c:pt>
                <c:pt idx="61">
                  <c:v>-2.7986396320691593</c:v>
                </c:pt>
                <c:pt idx="62">
                  <c:v>-2.8461081835333482</c:v>
                </c:pt>
                <c:pt idx="63">
                  <c:v>-2.9317728149745284</c:v>
                </c:pt>
                <c:pt idx="64">
                  <c:v>-2.80055437458567</c:v>
                </c:pt>
                <c:pt idx="65">
                  <c:v>-2.8078366220919948</c:v>
                </c:pt>
                <c:pt idx="66">
                  <c:v>-2.6992363545327427</c:v>
                </c:pt>
                <c:pt idx="67">
                  <c:v>-2.8803634360044041</c:v>
                </c:pt>
                <c:pt idx="68">
                  <c:v>-2.8478272382795482</c:v>
                </c:pt>
                <c:pt idx="69">
                  <c:v>-2.9443577394940039</c:v>
                </c:pt>
                <c:pt idx="70">
                  <c:v>-2.8456027901262972</c:v>
                </c:pt>
                <c:pt idx="71">
                  <c:v>-2.9271462318868964</c:v>
                </c:pt>
                <c:pt idx="72">
                  <c:v>-2.5753166818384918</c:v>
                </c:pt>
                <c:pt idx="73">
                  <c:v>-2.6333047001145227</c:v>
                </c:pt>
                <c:pt idx="74">
                  <c:v>-2.637944059264191</c:v>
                </c:pt>
                <c:pt idx="75">
                  <c:v>-2.6436641173858892</c:v>
                </c:pt>
                <c:pt idx="76">
                  <c:v>-2.6679126521253154</c:v>
                </c:pt>
                <c:pt idx="77">
                  <c:v>-2.6678048970242871</c:v>
                </c:pt>
                <c:pt idx="78">
                  <c:v>-2.6938479308073524</c:v>
                </c:pt>
                <c:pt idx="79">
                  <c:v>-2.5128204333167554</c:v>
                </c:pt>
                <c:pt idx="80">
                  <c:v>-2.6265889069363806</c:v>
                </c:pt>
                <c:pt idx="81">
                  <c:v>-2.7323737962124723</c:v>
                </c:pt>
                <c:pt idx="82">
                  <c:v>-2.8083440369555803</c:v>
                </c:pt>
                <c:pt idx="83">
                  <c:v>-2.7861488079314474</c:v>
                </c:pt>
                <c:pt idx="84">
                  <c:v>-2.7009406054963718</c:v>
                </c:pt>
                <c:pt idx="85">
                  <c:v>-2.6594306207124432</c:v>
                </c:pt>
                <c:pt idx="86">
                  <c:v>-2.7400202446530648</c:v>
                </c:pt>
                <c:pt idx="87">
                  <c:v>-2.8893333952833165</c:v>
                </c:pt>
                <c:pt idx="88">
                  <c:v>-2.8098786681019803</c:v>
                </c:pt>
                <c:pt idx="89">
                  <c:v>-2.6049868344608775</c:v>
                </c:pt>
                <c:pt idx="90">
                  <c:v>-2.8335050376424187</c:v>
                </c:pt>
                <c:pt idx="91">
                  <c:v>-2.6768442824472358</c:v>
                </c:pt>
                <c:pt idx="92">
                  <c:v>-2.653726237146953</c:v>
                </c:pt>
                <c:pt idx="93">
                  <c:v>-2.628363684372939</c:v>
                </c:pt>
                <c:pt idx="94">
                  <c:v>-2.7255007831072611</c:v>
                </c:pt>
                <c:pt idx="95">
                  <c:v>-2.7074240723274263</c:v>
                </c:pt>
                <c:pt idx="96">
                  <c:v>-2.5606960632557993</c:v>
                </c:pt>
                <c:pt idx="97">
                  <c:v>-2.6799101914684842</c:v>
                </c:pt>
                <c:pt idx="98">
                  <c:v>-2.6699571285472015</c:v>
                </c:pt>
                <c:pt idx="99">
                  <c:v>-2.815111316547068</c:v>
                </c:pt>
                <c:pt idx="100">
                  <c:v>-2.7141446594352447</c:v>
                </c:pt>
                <c:pt idx="101">
                  <c:v>-2.701082025572914</c:v>
                </c:pt>
                <c:pt idx="102">
                  <c:v>-2.7485539187280916</c:v>
                </c:pt>
                <c:pt idx="103">
                  <c:v>-3.1310438389944832</c:v>
                </c:pt>
                <c:pt idx="104">
                  <c:v>-3.0937115278560823</c:v>
                </c:pt>
                <c:pt idx="105">
                  <c:v>-3.0973087126130325</c:v>
                </c:pt>
                <c:pt idx="106">
                  <c:v>-3.0868899910061796</c:v>
                </c:pt>
                <c:pt idx="107">
                  <c:v>-2.8413157857285953</c:v>
                </c:pt>
                <c:pt idx="108">
                  <c:v>-2.7172424777444744</c:v>
                </c:pt>
                <c:pt idx="109">
                  <c:v>-2.7653008899299776</c:v>
                </c:pt>
                <c:pt idx="110">
                  <c:v>-2.8395492255220711</c:v>
                </c:pt>
                <c:pt idx="111">
                  <c:v>-2.7029911330893737</c:v>
                </c:pt>
                <c:pt idx="112">
                  <c:v>-2.6822254746013789</c:v>
                </c:pt>
                <c:pt idx="113">
                  <c:v>-2.6627601012677591</c:v>
                </c:pt>
                <c:pt idx="114">
                  <c:v>-2.7056248753761052</c:v>
                </c:pt>
                <c:pt idx="115">
                  <c:v>-2.5223901417549364</c:v>
                </c:pt>
                <c:pt idx="116">
                  <c:v>-2.5722109964318323</c:v>
                </c:pt>
                <c:pt idx="117">
                  <c:v>-2.7723664311862213</c:v>
                </c:pt>
                <c:pt idx="118">
                  <c:v>-2.7149062495615213</c:v>
                </c:pt>
                <c:pt idx="119">
                  <c:v>-2.6363935895332307</c:v>
                </c:pt>
                <c:pt idx="120">
                  <c:v>-2.7061863474315131</c:v>
                </c:pt>
                <c:pt idx="121">
                  <c:v>-2.7358716862303556</c:v>
                </c:pt>
                <c:pt idx="122">
                  <c:v>-2.4632273583884099</c:v>
                </c:pt>
                <c:pt idx="123">
                  <c:v>-2.5652695395708851</c:v>
                </c:pt>
                <c:pt idx="124">
                  <c:v>-2.5029841476586738</c:v>
                </c:pt>
                <c:pt idx="125">
                  <c:v>-2.6008353658633991</c:v>
                </c:pt>
                <c:pt idx="126">
                  <c:v>-2.4134335358242058</c:v>
                </c:pt>
                <c:pt idx="127">
                  <c:v>-2.3953184093118232</c:v>
                </c:pt>
                <c:pt idx="128">
                  <c:v>-2.4012440085851576</c:v>
                </c:pt>
                <c:pt idx="129">
                  <c:v>-2.3188368661407379</c:v>
                </c:pt>
                <c:pt idx="130">
                  <c:v>-2.284787284726796</c:v>
                </c:pt>
                <c:pt idx="131">
                  <c:v>-2.4617061457938063</c:v>
                </c:pt>
                <c:pt idx="132">
                  <c:v>-2.4817237330908251</c:v>
                </c:pt>
                <c:pt idx="133">
                  <c:v>-2.6912654755577452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D2-4F88-BF7C-8C002738F1A5}"/>
            </c:ext>
          </c:extLst>
        </c:ser>
        <c:ser>
          <c:idx val="9"/>
          <c:order val="9"/>
          <c:tx>
            <c:strRef>
              <c:f>'預測(LSTM)累積報酬'!$B$21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'預測(LSTM)累積報酬'!$C$21:$EF$21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-0.52265744598368835</c:v>
                </c:pt>
                <c:pt idx="2">
                  <c:v>-0.56637500086340942</c:v>
                </c:pt>
                <c:pt idx="3">
                  <c:v>-0.75041358246953938</c:v>
                </c:pt>
                <c:pt idx="4">
                  <c:v>-0.89425573358210386</c:v>
                </c:pt>
                <c:pt idx="5">
                  <c:v>-0.93209981061039626</c:v>
                </c:pt>
                <c:pt idx="6">
                  <c:v>-1.1714228727881504</c:v>
                </c:pt>
                <c:pt idx="7">
                  <c:v>-1.2619895120325972</c:v>
                </c:pt>
                <c:pt idx="8">
                  <c:v>-1.4688695380359928</c:v>
                </c:pt>
                <c:pt idx="9">
                  <c:v>-1.4116433711710485</c:v>
                </c:pt>
                <c:pt idx="10">
                  <c:v>-1.3119587777628372</c:v>
                </c:pt>
                <c:pt idx="11">
                  <c:v>-1.4510094536236371</c:v>
                </c:pt>
                <c:pt idx="12">
                  <c:v>-1.4166574641629464</c:v>
                </c:pt>
                <c:pt idx="13">
                  <c:v>-1.3767657413028436</c:v>
                </c:pt>
                <c:pt idx="14">
                  <c:v>-1.457961110318817</c:v>
                </c:pt>
                <c:pt idx="15">
                  <c:v>-1.3152690195954957</c:v>
                </c:pt>
                <c:pt idx="16">
                  <c:v>-1.1061095441205313</c:v>
                </c:pt>
                <c:pt idx="17">
                  <c:v>-1.2045712168773288</c:v>
                </c:pt>
                <c:pt idx="18">
                  <c:v>-1.2847869526837878</c:v>
                </c:pt>
                <c:pt idx="19">
                  <c:v>-1.3901577230731426</c:v>
                </c:pt>
                <c:pt idx="20">
                  <c:v>-1.7130782717613295</c:v>
                </c:pt>
                <c:pt idx="21">
                  <c:v>-1.4994473295562132</c:v>
                </c:pt>
                <c:pt idx="22">
                  <c:v>-1.4067181056100087</c:v>
                </c:pt>
                <c:pt idx="23">
                  <c:v>-1.5160983067577722</c:v>
                </c:pt>
                <c:pt idx="24">
                  <c:v>-1.626734213760251</c:v>
                </c:pt>
                <c:pt idx="25">
                  <c:v>-1.6047782698711168</c:v>
                </c:pt>
                <c:pt idx="26">
                  <c:v>-1.5859505331643167</c:v>
                </c:pt>
                <c:pt idx="27">
                  <c:v>-1.5600172571668818</c:v>
                </c:pt>
                <c:pt idx="28">
                  <c:v>-1.8004733676600684</c:v>
                </c:pt>
                <c:pt idx="29">
                  <c:v>-2.095617625743432</c:v>
                </c:pt>
                <c:pt idx="30">
                  <c:v>-2.1066641978498759</c:v>
                </c:pt>
                <c:pt idx="31">
                  <c:v>-2.3470154535086429</c:v>
                </c:pt>
                <c:pt idx="32">
                  <c:v>-2.4147451341037938</c:v>
                </c:pt>
                <c:pt idx="33">
                  <c:v>-2.493686298115493</c:v>
                </c:pt>
                <c:pt idx="34">
                  <c:v>-2.5120046670248057</c:v>
                </c:pt>
                <c:pt idx="35">
                  <c:v>-2.5493961531595599</c:v>
                </c:pt>
                <c:pt idx="36">
                  <c:v>-2.6125218711670435</c:v>
                </c:pt>
                <c:pt idx="37">
                  <c:v>-2.634310900712864</c:v>
                </c:pt>
                <c:pt idx="38">
                  <c:v>-2.5487431257989765</c:v>
                </c:pt>
                <c:pt idx="39">
                  <c:v>-2.3606419200286575</c:v>
                </c:pt>
                <c:pt idx="40">
                  <c:v>-2.3236057315780827</c:v>
                </c:pt>
                <c:pt idx="41">
                  <c:v>-2.3578036322089067</c:v>
                </c:pt>
                <c:pt idx="42">
                  <c:v>-2.3123969501488983</c:v>
                </c:pt>
                <c:pt idx="43">
                  <c:v>-2.5772352076968956</c:v>
                </c:pt>
                <c:pt idx="44">
                  <c:v>-2.6406905373101757</c:v>
                </c:pt>
                <c:pt idx="45">
                  <c:v>-2.5719766246136961</c:v>
                </c:pt>
                <c:pt idx="46">
                  <c:v>-2.8352315409875111</c:v>
                </c:pt>
                <c:pt idx="47">
                  <c:v>-3.0529498435045483</c:v>
                </c:pt>
                <c:pt idx="48">
                  <c:v>-2.9872275487720414</c:v>
                </c:pt>
                <c:pt idx="49">
                  <c:v>-3.0802869429006345</c:v>
                </c:pt>
                <c:pt idx="50">
                  <c:v>-3.0995801505363421</c:v>
                </c:pt>
                <c:pt idx="51">
                  <c:v>-2.6951487224031929</c:v>
                </c:pt>
                <c:pt idx="52">
                  <c:v>-2.5306881904743661</c:v>
                </c:pt>
                <c:pt idx="53">
                  <c:v>-2.5609761697822795</c:v>
                </c:pt>
                <c:pt idx="54">
                  <c:v>-2.6977215256902438</c:v>
                </c:pt>
                <c:pt idx="55">
                  <c:v>-2.6941444255098093</c:v>
                </c:pt>
                <c:pt idx="56">
                  <c:v>-2.6575092362929968</c:v>
                </c:pt>
                <c:pt idx="57">
                  <c:v>-2.7254259668550596</c:v>
                </c:pt>
                <c:pt idx="58">
                  <c:v>-2.8793006129473162</c:v>
                </c:pt>
                <c:pt idx="59">
                  <c:v>-2.9112831273583084</c:v>
                </c:pt>
                <c:pt idx="60">
                  <c:v>-2.9942562892483742</c:v>
                </c:pt>
                <c:pt idx="61">
                  <c:v>-3.0815970797160723</c:v>
                </c:pt>
                <c:pt idx="62">
                  <c:v>-3.1223923657447932</c:v>
                </c:pt>
                <c:pt idx="63">
                  <c:v>-3.3106398683371814</c:v>
                </c:pt>
                <c:pt idx="64">
                  <c:v>-3.1405710990528419</c:v>
                </c:pt>
                <c:pt idx="65">
                  <c:v>-3.1363902967212489</c:v>
                </c:pt>
                <c:pt idx="66">
                  <c:v>-3.0634995536869059</c:v>
                </c:pt>
                <c:pt idx="67">
                  <c:v>-3.2055610095970013</c:v>
                </c:pt>
                <c:pt idx="68">
                  <c:v>-3.139819188636654</c:v>
                </c:pt>
                <c:pt idx="69">
                  <c:v>-3.2327713919849113</c:v>
                </c:pt>
                <c:pt idx="70">
                  <c:v>-3.0972749297863422</c:v>
                </c:pt>
                <c:pt idx="71">
                  <c:v>-3.1416149098276156</c:v>
                </c:pt>
                <c:pt idx="72">
                  <c:v>-2.9571542391072065</c:v>
                </c:pt>
                <c:pt idx="73">
                  <c:v>-3.0455335738948452</c:v>
                </c:pt>
                <c:pt idx="74">
                  <c:v>-3.1011998661370828</c:v>
                </c:pt>
                <c:pt idx="75">
                  <c:v>-3.0497016621226329</c:v>
                </c:pt>
                <c:pt idx="76">
                  <c:v>-3.0877806015978995</c:v>
                </c:pt>
                <c:pt idx="77">
                  <c:v>-3.1612467010028285</c:v>
                </c:pt>
                <c:pt idx="78">
                  <c:v>-3.2079402504717915</c:v>
                </c:pt>
                <c:pt idx="79">
                  <c:v>-2.9198841861093183</c:v>
                </c:pt>
                <c:pt idx="80">
                  <c:v>-3.0652591465533066</c:v>
                </c:pt>
                <c:pt idx="81">
                  <c:v>-3.1797853041644748</c:v>
                </c:pt>
                <c:pt idx="82">
                  <c:v>-3.2648706396386058</c:v>
                </c:pt>
                <c:pt idx="83">
                  <c:v>-3.1082441990116374</c:v>
                </c:pt>
                <c:pt idx="84">
                  <c:v>-3.0350614719366384</c:v>
                </c:pt>
                <c:pt idx="85">
                  <c:v>-2.9799206233754814</c:v>
                </c:pt>
                <c:pt idx="86">
                  <c:v>-3.0470802536723371</c:v>
                </c:pt>
                <c:pt idx="87">
                  <c:v>-3.2345133752130639</c:v>
                </c:pt>
                <c:pt idx="88">
                  <c:v>-3.1715190423526396</c:v>
                </c:pt>
                <c:pt idx="89">
                  <c:v>-3.0906675335232059</c:v>
                </c:pt>
                <c:pt idx="90">
                  <c:v>-3.3284595146625984</c:v>
                </c:pt>
                <c:pt idx="91">
                  <c:v>-3.2301522085385481</c:v>
                </c:pt>
                <c:pt idx="92">
                  <c:v>-3.2072400143690518</c:v>
                </c:pt>
                <c:pt idx="93">
                  <c:v>-3.1956242255089489</c:v>
                </c:pt>
                <c:pt idx="94">
                  <c:v>-3.2568932617282798</c:v>
                </c:pt>
                <c:pt idx="95">
                  <c:v>-3.1708207048568835</c:v>
                </c:pt>
                <c:pt idx="96">
                  <c:v>-3.0119040825394334</c:v>
                </c:pt>
                <c:pt idx="97">
                  <c:v>-3.1662359273140059</c:v>
                </c:pt>
                <c:pt idx="98">
                  <c:v>-3.1012305100330173</c:v>
                </c:pt>
                <c:pt idx="99">
                  <c:v>-3.2581993569446288</c:v>
                </c:pt>
                <c:pt idx="100">
                  <c:v>-3.1057470506993097</c:v>
                </c:pt>
                <c:pt idx="101">
                  <c:v>-3.0918998442876089</c:v>
                </c:pt>
                <c:pt idx="102">
                  <c:v>-3.090707587830877</c:v>
                </c:pt>
                <c:pt idx="103">
                  <c:v>-3.5630583233015538</c:v>
                </c:pt>
                <c:pt idx="104">
                  <c:v>-3.409153527931835</c:v>
                </c:pt>
                <c:pt idx="105">
                  <c:v>-3.4119723223229057</c:v>
                </c:pt>
                <c:pt idx="106">
                  <c:v>-3.3829945852625789</c:v>
                </c:pt>
                <c:pt idx="107">
                  <c:v>-3.0818443735805352</c:v>
                </c:pt>
                <c:pt idx="108">
                  <c:v>-2.9336594424488056</c:v>
                </c:pt>
                <c:pt idx="109">
                  <c:v>-2.9233038709469481</c:v>
                </c:pt>
                <c:pt idx="110">
                  <c:v>-3.0134530736647687</c:v>
                </c:pt>
                <c:pt idx="111">
                  <c:v>-2.8568473552011269</c:v>
                </c:pt>
                <c:pt idx="112">
                  <c:v>-2.8358812930491082</c:v>
                </c:pt>
                <c:pt idx="113">
                  <c:v>-2.823144301548095</c:v>
                </c:pt>
                <c:pt idx="114">
                  <c:v>-2.8188897375272095</c:v>
                </c:pt>
                <c:pt idx="115">
                  <c:v>-2.5985940966626822</c:v>
                </c:pt>
                <c:pt idx="116">
                  <c:v>-2.5800352876048946</c:v>
                </c:pt>
                <c:pt idx="117">
                  <c:v>-2.8090551772851295</c:v>
                </c:pt>
                <c:pt idx="118">
                  <c:v>-2.738632478476946</c:v>
                </c:pt>
                <c:pt idx="119">
                  <c:v>-2.6884616194398654</c:v>
                </c:pt>
                <c:pt idx="120">
                  <c:v>-2.7730670530454011</c:v>
                </c:pt>
                <c:pt idx="121">
                  <c:v>-2.7782822433920802</c:v>
                </c:pt>
                <c:pt idx="122">
                  <c:v>-2.4384756045345122</c:v>
                </c:pt>
                <c:pt idx="123">
                  <c:v>-2.5933738556644168</c:v>
                </c:pt>
                <c:pt idx="124">
                  <c:v>-2.4707095247180821</c:v>
                </c:pt>
                <c:pt idx="125">
                  <c:v>-2.5875384145928648</c:v>
                </c:pt>
                <c:pt idx="126">
                  <c:v>-2.3618765334048755</c:v>
                </c:pt>
                <c:pt idx="127">
                  <c:v>-2.1819855116799753</c:v>
                </c:pt>
                <c:pt idx="128">
                  <c:v>-2.2170519688652122</c:v>
                </c:pt>
                <c:pt idx="129">
                  <c:v>-2.1907497748666782</c:v>
                </c:pt>
                <c:pt idx="130">
                  <c:v>-2.176712719768636</c:v>
                </c:pt>
                <c:pt idx="131">
                  <c:v>-2.2312115761168165</c:v>
                </c:pt>
                <c:pt idx="132">
                  <c:v>-2.2202556307099419</c:v>
                </c:pt>
                <c:pt idx="133">
                  <c:v>-2.3989099103429306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D2-4F88-BF7C-8C002738F1A5}"/>
            </c:ext>
          </c:extLst>
        </c:ser>
        <c:ser>
          <c:idx val="10"/>
          <c:order val="10"/>
          <c:tx>
            <c:strRef>
              <c:f>'預測(LSTM)累積報酬'!$B$22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'預測(LSTM)累積報酬'!$C$22:$EF$22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-0.35318620701157422</c:v>
                </c:pt>
                <c:pt idx="2">
                  <c:v>-0.37541661927081232</c:v>
                </c:pt>
                <c:pt idx="3">
                  <c:v>-0.44324768019208988</c:v>
                </c:pt>
                <c:pt idx="4">
                  <c:v>-0.54713204348242395</c:v>
                </c:pt>
                <c:pt idx="5">
                  <c:v>-0.77693758797382451</c:v>
                </c:pt>
                <c:pt idx="6">
                  <c:v>-1.0313704908842745</c:v>
                </c:pt>
                <c:pt idx="7">
                  <c:v>-1.1497487720665625</c:v>
                </c:pt>
                <c:pt idx="8">
                  <c:v>-1.3951146847493181</c:v>
                </c:pt>
                <c:pt idx="9">
                  <c:v>-1.2876275160980764</c:v>
                </c:pt>
                <c:pt idx="10">
                  <c:v>-1.2135274573275039</c:v>
                </c:pt>
                <c:pt idx="11">
                  <c:v>-1.3115583181351367</c:v>
                </c:pt>
                <c:pt idx="12">
                  <c:v>-1.3182741964465041</c:v>
                </c:pt>
                <c:pt idx="13">
                  <c:v>-1.2754157079275141</c:v>
                </c:pt>
                <c:pt idx="14">
                  <c:v>-1.3646982260313614</c:v>
                </c:pt>
                <c:pt idx="15">
                  <c:v>-1.1840184958400768</c:v>
                </c:pt>
                <c:pt idx="16">
                  <c:v>-0.93696186631034717</c:v>
                </c:pt>
                <c:pt idx="17">
                  <c:v>-1.06577428829347</c:v>
                </c:pt>
                <c:pt idx="18">
                  <c:v>-1.2178034710680135</c:v>
                </c:pt>
                <c:pt idx="19">
                  <c:v>-1.2748276057023031</c:v>
                </c:pt>
                <c:pt idx="20">
                  <c:v>-1.6210210910015517</c:v>
                </c:pt>
                <c:pt idx="21">
                  <c:v>-1.3992343319676812</c:v>
                </c:pt>
                <c:pt idx="22">
                  <c:v>-1.3512959997879128</c:v>
                </c:pt>
                <c:pt idx="23">
                  <c:v>-1.5014461097074869</c:v>
                </c:pt>
                <c:pt idx="24">
                  <c:v>-1.5839705352855999</c:v>
                </c:pt>
                <c:pt idx="25">
                  <c:v>-1.5878357654109394</c:v>
                </c:pt>
                <c:pt idx="26">
                  <c:v>-1.5020593046955069</c:v>
                </c:pt>
                <c:pt idx="27">
                  <c:v>-1.4834655554808456</c:v>
                </c:pt>
                <c:pt idx="28">
                  <c:v>-1.7120866670872197</c:v>
                </c:pt>
                <c:pt idx="29">
                  <c:v>-2.1420034351358317</c:v>
                </c:pt>
                <c:pt idx="30">
                  <c:v>-2.1528155357026741</c:v>
                </c:pt>
                <c:pt idx="31">
                  <c:v>-2.4004377818660756</c:v>
                </c:pt>
                <c:pt idx="32">
                  <c:v>-2.4678306828772616</c:v>
                </c:pt>
                <c:pt idx="33">
                  <c:v>-2.5136968123754162</c:v>
                </c:pt>
                <c:pt idx="34">
                  <c:v>-2.5922725810803304</c:v>
                </c:pt>
                <c:pt idx="35">
                  <c:v>-2.5934173073040774</c:v>
                </c:pt>
                <c:pt idx="36">
                  <c:v>-2.6497910616677052</c:v>
                </c:pt>
                <c:pt idx="37">
                  <c:v>-2.6776516285531011</c:v>
                </c:pt>
                <c:pt idx="38">
                  <c:v>-2.5194987532593744</c:v>
                </c:pt>
                <c:pt idx="39">
                  <c:v>-2.2681036956110074</c:v>
                </c:pt>
                <c:pt idx="40">
                  <c:v>-2.3232304163353503</c:v>
                </c:pt>
                <c:pt idx="41">
                  <c:v>-2.4314141168835866</c:v>
                </c:pt>
                <c:pt idx="42">
                  <c:v>-2.5052578195694202</c:v>
                </c:pt>
                <c:pt idx="43">
                  <c:v>-2.5229861905638566</c:v>
                </c:pt>
                <c:pt idx="44">
                  <c:v>-2.6329007878820412</c:v>
                </c:pt>
                <c:pt idx="45">
                  <c:v>-2.5431468060104088</c:v>
                </c:pt>
                <c:pt idx="46">
                  <c:v>-2.9139460847015823</c:v>
                </c:pt>
                <c:pt idx="47">
                  <c:v>-2.9040708986958883</c:v>
                </c:pt>
                <c:pt idx="48">
                  <c:v>-2.8056146225665248</c:v>
                </c:pt>
                <c:pt idx="49">
                  <c:v>-3.0331001187999784</c:v>
                </c:pt>
                <c:pt idx="50">
                  <c:v>-3.082277058547199</c:v>
                </c:pt>
                <c:pt idx="51">
                  <c:v>-2.5640130090971613</c:v>
                </c:pt>
                <c:pt idx="52">
                  <c:v>-2.3683869737466439</c:v>
                </c:pt>
                <c:pt idx="53">
                  <c:v>-2.4267233283882046</c:v>
                </c:pt>
                <c:pt idx="54">
                  <c:v>-2.5547912123538645</c:v>
                </c:pt>
                <c:pt idx="55">
                  <c:v>-2.541152395015545</c:v>
                </c:pt>
                <c:pt idx="56">
                  <c:v>-2.4948728828471589</c:v>
                </c:pt>
                <c:pt idx="57">
                  <c:v>-2.5028662949107092</c:v>
                </c:pt>
                <c:pt idx="58">
                  <c:v>-2.5901843540878851</c:v>
                </c:pt>
                <c:pt idx="59">
                  <c:v>-2.5799503786387814</c:v>
                </c:pt>
                <c:pt idx="60">
                  <c:v>-2.6008051339685481</c:v>
                </c:pt>
                <c:pt idx="61">
                  <c:v>-2.7402765243694116</c:v>
                </c:pt>
                <c:pt idx="62">
                  <c:v>-2.7427070076149449</c:v>
                </c:pt>
                <c:pt idx="63">
                  <c:v>-2.7141882011509697</c:v>
                </c:pt>
                <c:pt idx="64">
                  <c:v>-2.6804370988581492</c:v>
                </c:pt>
                <c:pt idx="65">
                  <c:v>-2.6798960987336176</c:v>
                </c:pt>
                <c:pt idx="66">
                  <c:v>-2.5886679075392083</c:v>
                </c:pt>
                <c:pt idx="67">
                  <c:v>-2.6952346895068984</c:v>
                </c:pt>
                <c:pt idx="68">
                  <c:v>-2.5981870998023533</c:v>
                </c:pt>
                <c:pt idx="69">
                  <c:v>-2.5310438843846281</c:v>
                </c:pt>
                <c:pt idx="70">
                  <c:v>-2.3180951182466178</c:v>
                </c:pt>
                <c:pt idx="71">
                  <c:v>-2.3666986528356957</c:v>
                </c:pt>
                <c:pt idx="72">
                  <c:v>-2.2345268612999143</c:v>
                </c:pt>
                <c:pt idx="73">
                  <c:v>-2.3874642315499064</c:v>
                </c:pt>
                <c:pt idx="74">
                  <c:v>-2.4430612815202775</c:v>
                </c:pt>
                <c:pt idx="75">
                  <c:v>-2.3867389292602033</c:v>
                </c:pt>
                <c:pt idx="76">
                  <c:v>-2.4501456933245658</c:v>
                </c:pt>
                <c:pt idx="77">
                  <c:v>-2.5137499628642548</c:v>
                </c:pt>
                <c:pt idx="78">
                  <c:v>-2.5287356663024112</c:v>
                </c:pt>
                <c:pt idx="79">
                  <c:v>-2.1948576295896882</c:v>
                </c:pt>
                <c:pt idx="80">
                  <c:v>-2.3288000606408796</c:v>
                </c:pt>
                <c:pt idx="81">
                  <c:v>-2.4295704176749444</c:v>
                </c:pt>
                <c:pt idx="82">
                  <c:v>-2.6366557503084573</c:v>
                </c:pt>
                <c:pt idx="83">
                  <c:v>-2.4830494654989139</c:v>
                </c:pt>
                <c:pt idx="84">
                  <c:v>-2.4184321426885398</c:v>
                </c:pt>
                <c:pt idx="85">
                  <c:v>-2.2921067834099524</c:v>
                </c:pt>
                <c:pt idx="86">
                  <c:v>-2.4030303236967345</c:v>
                </c:pt>
                <c:pt idx="87">
                  <c:v>-2.49802733572028</c:v>
                </c:pt>
                <c:pt idx="88">
                  <c:v>-2.4515860567455823</c:v>
                </c:pt>
                <c:pt idx="89">
                  <c:v>-2.2987821399353749</c:v>
                </c:pt>
                <c:pt idx="90">
                  <c:v>-2.4840678978406019</c:v>
                </c:pt>
                <c:pt idx="91">
                  <c:v>-2.3122241646982031</c:v>
                </c:pt>
                <c:pt idx="92">
                  <c:v>-2.2950645491790795</c:v>
                </c:pt>
                <c:pt idx="93">
                  <c:v>-2.3234867542582402</c:v>
                </c:pt>
                <c:pt idx="94">
                  <c:v>-2.4082686901426045</c:v>
                </c:pt>
                <c:pt idx="95">
                  <c:v>-2.2821773119538329</c:v>
                </c:pt>
                <c:pt idx="96">
                  <c:v>-2.1148234007674649</c:v>
                </c:pt>
                <c:pt idx="97">
                  <c:v>-2.2810460794570191</c:v>
                </c:pt>
                <c:pt idx="98">
                  <c:v>-2.2445948261308537</c:v>
                </c:pt>
                <c:pt idx="99">
                  <c:v>-2.2988881216046573</c:v>
                </c:pt>
                <c:pt idx="100">
                  <c:v>-2.1364482528912108</c:v>
                </c:pt>
                <c:pt idx="101">
                  <c:v>-2.1288610064500717</c:v>
                </c:pt>
                <c:pt idx="102">
                  <c:v>-2.1328527603319958</c:v>
                </c:pt>
                <c:pt idx="103">
                  <c:v>-2.7262279320582277</c:v>
                </c:pt>
                <c:pt idx="104">
                  <c:v>-2.585060696338918</c:v>
                </c:pt>
                <c:pt idx="105">
                  <c:v>-2.6167708654647432</c:v>
                </c:pt>
                <c:pt idx="106">
                  <c:v>-2.6345273689666762</c:v>
                </c:pt>
                <c:pt idx="107">
                  <c:v>-2.2448597352725526</c:v>
                </c:pt>
                <c:pt idx="108">
                  <c:v>-2.1567383247694889</c:v>
                </c:pt>
                <c:pt idx="109">
                  <c:v>-2.191427077198679</c:v>
                </c:pt>
                <c:pt idx="110">
                  <c:v>-2.2725326210389492</c:v>
                </c:pt>
                <c:pt idx="111">
                  <c:v>-2.1188328582086196</c:v>
                </c:pt>
                <c:pt idx="112">
                  <c:v>-2.0954866815756579</c:v>
                </c:pt>
                <c:pt idx="113">
                  <c:v>-2.0922733508325191</c:v>
                </c:pt>
                <c:pt idx="114">
                  <c:v>-2.0495968017164783</c:v>
                </c:pt>
                <c:pt idx="115">
                  <c:v>-1.7442217734442753</c:v>
                </c:pt>
                <c:pt idx="116">
                  <c:v>-1.7679904417317243</c:v>
                </c:pt>
                <c:pt idx="117">
                  <c:v>-1.9375528738724546</c:v>
                </c:pt>
                <c:pt idx="118">
                  <c:v>-1.7721487073278146</c:v>
                </c:pt>
                <c:pt idx="119">
                  <c:v>-1.7782412599431325</c:v>
                </c:pt>
                <c:pt idx="120">
                  <c:v>-1.9077650993123376</c:v>
                </c:pt>
                <c:pt idx="121">
                  <c:v>-1.8806363453341675</c:v>
                </c:pt>
                <c:pt idx="122">
                  <c:v>-1.5053674729921953</c:v>
                </c:pt>
                <c:pt idx="123">
                  <c:v>-1.6624298425419461</c:v>
                </c:pt>
                <c:pt idx="124">
                  <c:v>-1.6645371042976607</c:v>
                </c:pt>
                <c:pt idx="125">
                  <c:v>-1.8288892283391998</c:v>
                </c:pt>
                <c:pt idx="126">
                  <c:v>-1.5111348559747173</c:v>
                </c:pt>
                <c:pt idx="127">
                  <c:v>-1.3455086097489617</c:v>
                </c:pt>
                <c:pt idx="128">
                  <c:v>-1.3796998521588348</c:v>
                </c:pt>
                <c:pt idx="129">
                  <c:v>-1.2499339018527658</c:v>
                </c:pt>
                <c:pt idx="130">
                  <c:v>-1.2284388002771276</c:v>
                </c:pt>
                <c:pt idx="131">
                  <c:v>-1.3058523673347351</c:v>
                </c:pt>
                <c:pt idx="132">
                  <c:v>-1.2699530101386662</c:v>
                </c:pt>
                <c:pt idx="133">
                  <c:v>-1.4310992111569441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D2-4F88-BF7C-8C002738F1A5}"/>
            </c:ext>
          </c:extLst>
        </c:ser>
        <c:ser>
          <c:idx val="11"/>
          <c:order val="11"/>
          <c:tx>
            <c:strRef>
              <c:f>'預測(LSTM)累積報酬'!$B$23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'預測(LSTM)累積報酬'!$C$23:$EF$23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5.3979613448067572E-2</c:v>
                </c:pt>
                <c:pt idx="2">
                  <c:v>3.8918025761102169E-2</c:v>
                </c:pt>
                <c:pt idx="3">
                  <c:v>-0.14347804955977653</c:v>
                </c:pt>
                <c:pt idx="4">
                  <c:v>-0.1165064810354085</c:v>
                </c:pt>
                <c:pt idx="5">
                  <c:v>-0.3793167222368613</c:v>
                </c:pt>
                <c:pt idx="6">
                  <c:v>-0.63501959430243837</c:v>
                </c:pt>
                <c:pt idx="7">
                  <c:v>-0.79031341120542153</c:v>
                </c:pt>
                <c:pt idx="8">
                  <c:v>-0.93292098633007647</c:v>
                </c:pt>
                <c:pt idx="9">
                  <c:v>-0.70047662528761423</c:v>
                </c:pt>
                <c:pt idx="10">
                  <c:v>-0.44202670892897183</c:v>
                </c:pt>
                <c:pt idx="11">
                  <c:v>-0.5688267226213003</c:v>
                </c:pt>
                <c:pt idx="12">
                  <c:v>-0.5882344338880694</c:v>
                </c:pt>
                <c:pt idx="13">
                  <c:v>-0.57755092912832262</c:v>
                </c:pt>
                <c:pt idx="14">
                  <c:v>-0.82840060602912935</c:v>
                </c:pt>
                <c:pt idx="15">
                  <c:v>-0.73877260298798464</c:v>
                </c:pt>
                <c:pt idx="16">
                  <c:v>-0.5694776030747406</c:v>
                </c:pt>
                <c:pt idx="17">
                  <c:v>-0.72408029640216909</c:v>
                </c:pt>
                <c:pt idx="18">
                  <c:v>-0.93706206927019497</c:v>
                </c:pt>
                <c:pt idx="19">
                  <c:v>-0.87370505829112899</c:v>
                </c:pt>
                <c:pt idx="20">
                  <c:v>-1.3776243894764397</c:v>
                </c:pt>
                <c:pt idx="21">
                  <c:v>-1.1958432036786169</c:v>
                </c:pt>
                <c:pt idx="22">
                  <c:v>-1.1882544402499386</c:v>
                </c:pt>
                <c:pt idx="23">
                  <c:v>-1.3358948496932124</c:v>
                </c:pt>
                <c:pt idx="24">
                  <c:v>-1.2791464037331022</c:v>
                </c:pt>
                <c:pt idx="25">
                  <c:v>-1.3101377887890944</c:v>
                </c:pt>
                <c:pt idx="26">
                  <c:v>-1.1413829891521816</c:v>
                </c:pt>
                <c:pt idx="27">
                  <c:v>-1.1383876975816973</c:v>
                </c:pt>
                <c:pt idx="28">
                  <c:v>-1.4707319461942228</c:v>
                </c:pt>
                <c:pt idx="29">
                  <c:v>-1.795391271834434</c:v>
                </c:pt>
                <c:pt idx="30">
                  <c:v>-1.649497378894762</c:v>
                </c:pt>
                <c:pt idx="31">
                  <c:v>-1.5138484585440948</c:v>
                </c:pt>
                <c:pt idx="32">
                  <c:v>-1.5892986282835571</c:v>
                </c:pt>
                <c:pt idx="33">
                  <c:v>-1.5723361728984075</c:v>
                </c:pt>
                <c:pt idx="34">
                  <c:v>-1.6635353971736673</c:v>
                </c:pt>
                <c:pt idx="35">
                  <c:v>-1.7148457083561541</c:v>
                </c:pt>
                <c:pt idx="36">
                  <c:v>-1.6943751650540682</c:v>
                </c:pt>
                <c:pt idx="37">
                  <c:v>-1.8548953058163995</c:v>
                </c:pt>
                <c:pt idx="38">
                  <c:v>-1.764112826286782</c:v>
                </c:pt>
                <c:pt idx="39">
                  <c:v>-1.7745606477343316</c:v>
                </c:pt>
                <c:pt idx="40">
                  <c:v>-1.5988484391513247</c:v>
                </c:pt>
                <c:pt idx="41">
                  <c:v>-1.8523092349316688</c:v>
                </c:pt>
                <c:pt idx="42">
                  <c:v>-1.9339728557122391</c:v>
                </c:pt>
                <c:pt idx="43">
                  <c:v>-2.0434787586771392</c:v>
                </c:pt>
                <c:pt idx="44">
                  <c:v>-2.2470746498587251</c:v>
                </c:pt>
                <c:pt idx="45">
                  <c:v>-2.1979245832294332</c:v>
                </c:pt>
                <c:pt idx="46">
                  <c:v>-2.7801845574036479</c:v>
                </c:pt>
                <c:pt idx="47">
                  <c:v>-2.7653717783951071</c:v>
                </c:pt>
                <c:pt idx="48">
                  <c:v>-2.7072321782883169</c:v>
                </c:pt>
                <c:pt idx="49">
                  <c:v>-3.0232166995441183</c:v>
                </c:pt>
                <c:pt idx="50">
                  <c:v>-2.8511357901683856</c:v>
                </c:pt>
                <c:pt idx="51">
                  <c:v>-2.1651124604886514</c:v>
                </c:pt>
                <c:pt idx="52">
                  <c:v>-1.9122432785887118</c:v>
                </c:pt>
                <c:pt idx="53">
                  <c:v>-1.9275939478131461</c:v>
                </c:pt>
                <c:pt idx="54">
                  <c:v>-2.0518860908390453</c:v>
                </c:pt>
                <c:pt idx="55">
                  <c:v>-2.0747330814437315</c:v>
                </c:pt>
                <c:pt idx="56">
                  <c:v>-1.9999716102469789</c:v>
                </c:pt>
                <c:pt idx="57">
                  <c:v>-1.9463747463119887</c:v>
                </c:pt>
                <c:pt idx="58">
                  <c:v>-2.0845943015384356</c:v>
                </c:pt>
                <c:pt idx="59">
                  <c:v>-2.142614515083078</c:v>
                </c:pt>
                <c:pt idx="60">
                  <c:v>-2.1476243785576132</c:v>
                </c:pt>
                <c:pt idx="61">
                  <c:v>-2.2619906686992821</c:v>
                </c:pt>
                <c:pt idx="62">
                  <c:v>-2.1924952066748316</c:v>
                </c:pt>
                <c:pt idx="63">
                  <c:v>-2.1658917366528541</c:v>
                </c:pt>
                <c:pt idx="64">
                  <c:v>-2.1710413261664971</c:v>
                </c:pt>
                <c:pt idx="65">
                  <c:v>-2.1485656047738151</c:v>
                </c:pt>
                <c:pt idx="66">
                  <c:v>-2.0892091799133974</c:v>
                </c:pt>
                <c:pt idx="67">
                  <c:v>-2.1920317700937479</c:v>
                </c:pt>
                <c:pt idx="68">
                  <c:v>-1.9714646756913572</c:v>
                </c:pt>
                <c:pt idx="69">
                  <c:v>-1.9012754115267203</c:v>
                </c:pt>
                <c:pt idx="70">
                  <c:v>-1.6955876756807744</c:v>
                </c:pt>
                <c:pt idx="71">
                  <c:v>-1.7488567262386627</c:v>
                </c:pt>
                <c:pt idx="72">
                  <c:v>-1.7334942111955725</c:v>
                </c:pt>
                <c:pt idx="73">
                  <c:v>-1.8577137347402075</c:v>
                </c:pt>
                <c:pt idx="74">
                  <c:v>-1.7394645008132517</c:v>
                </c:pt>
                <c:pt idx="75">
                  <c:v>-1.537139522139668</c:v>
                </c:pt>
                <c:pt idx="76">
                  <c:v>-1.5028559022943213</c:v>
                </c:pt>
                <c:pt idx="77">
                  <c:v>-1.4611909139157329</c:v>
                </c:pt>
                <c:pt idx="78">
                  <c:v>-1.2362322864200528</c:v>
                </c:pt>
                <c:pt idx="79">
                  <c:v>-1.0445558314052676</c:v>
                </c:pt>
                <c:pt idx="80">
                  <c:v>-1.2491465529077124</c:v>
                </c:pt>
                <c:pt idx="81">
                  <c:v>-1.2653073883377941</c:v>
                </c:pt>
                <c:pt idx="82">
                  <c:v>-1.481944629964997</c:v>
                </c:pt>
                <c:pt idx="83">
                  <c:v>-1.3198220556479263</c:v>
                </c:pt>
                <c:pt idx="84">
                  <c:v>-1.184599858996447</c:v>
                </c:pt>
                <c:pt idx="85">
                  <c:v>-1.0280839625785463</c:v>
                </c:pt>
                <c:pt idx="86">
                  <c:v>-1.0999403531150909</c:v>
                </c:pt>
                <c:pt idx="87">
                  <c:v>-1.263989812294005</c:v>
                </c:pt>
                <c:pt idx="88">
                  <c:v>-1.257014803280784</c:v>
                </c:pt>
                <c:pt idx="89">
                  <c:v>-0.97991054132471578</c:v>
                </c:pt>
                <c:pt idx="90">
                  <c:v>-1.2483615182278649</c:v>
                </c:pt>
                <c:pt idx="91">
                  <c:v>-1.002259745771646</c:v>
                </c:pt>
                <c:pt idx="92">
                  <c:v>-1.0269620158510269</c:v>
                </c:pt>
                <c:pt idx="93">
                  <c:v>-1.0651948550222468</c:v>
                </c:pt>
                <c:pt idx="94">
                  <c:v>-1.1303547393154587</c:v>
                </c:pt>
                <c:pt idx="95">
                  <c:v>-1.0975045153093139</c:v>
                </c:pt>
                <c:pt idx="96">
                  <c:v>-0.89540063032215711</c:v>
                </c:pt>
                <c:pt idx="97">
                  <c:v>-1.0487315985937318</c:v>
                </c:pt>
                <c:pt idx="98">
                  <c:v>-0.94783026679131321</c:v>
                </c:pt>
                <c:pt idx="99">
                  <c:v>-1.009690259938594</c:v>
                </c:pt>
                <c:pt idx="100">
                  <c:v>-0.72797943246457408</c:v>
                </c:pt>
                <c:pt idx="101">
                  <c:v>-0.78926053297921495</c:v>
                </c:pt>
                <c:pt idx="102">
                  <c:v>-0.82024266920512534</c:v>
                </c:pt>
                <c:pt idx="103">
                  <c:v>-1.6848182438023365</c:v>
                </c:pt>
                <c:pt idx="104">
                  <c:v>-1.5268693444840833</c:v>
                </c:pt>
                <c:pt idx="105">
                  <c:v>-1.6196680191612365</c:v>
                </c:pt>
                <c:pt idx="106">
                  <c:v>-1.6797539666714081</c:v>
                </c:pt>
                <c:pt idx="107">
                  <c:v>-1.2709590461104878</c:v>
                </c:pt>
                <c:pt idx="108">
                  <c:v>-1.117982391815435</c:v>
                </c:pt>
                <c:pt idx="109">
                  <c:v>-1.2275645901775325</c:v>
                </c:pt>
                <c:pt idx="110">
                  <c:v>-1.4124773037256377</c:v>
                </c:pt>
                <c:pt idx="111">
                  <c:v>-1.292444721901719</c:v>
                </c:pt>
                <c:pt idx="112">
                  <c:v>-1.24469492485314</c:v>
                </c:pt>
                <c:pt idx="113">
                  <c:v>-1.2709375769577644</c:v>
                </c:pt>
                <c:pt idx="114">
                  <c:v>-1.2816479112645893</c:v>
                </c:pt>
                <c:pt idx="115">
                  <c:v>-1.016673054780598</c:v>
                </c:pt>
                <c:pt idx="116">
                  <c:v>-0.93200222697341584</c:v>
                </c:pt>
                <c:pt idx="117">
                  <c:v>-1.1088418454583224</c:v>
                </c:pt>
                <c:pt idx="118">
                  <c:v>-0.86289573789953611</c:v>
                </c:pt>
                <c:pt idx="119">
                  <c:v>-0.95278174063084287</c:v>
                </c:pt>
                <c:pt idx="120">
                  <c:v>-1.1999762920733112</c:v>
                </c:pt>
                <c:pt idx="121">
                  <c:v>-1.2222727491430685</c:v>
                </c:pt>
                <c:pt idx="122">
                  <c:v>-0.69703104248996861</c:v>
                </c:pt>
                <c:pt idx="123">
                  <c:v>-0.88977244370786557</c:v>
                </c:pt>
                <c:pt idx="124">
                  <c:v>-1.156761576677944</c:v>
                </c:pt>
                <c:pt idx="125">
                  <c:v>-1.3277643636463985</c:v>
                </c:pt>
                <c:pt idx="126">
                  <c:v>-1.0595424342742745</c:v>
                </c:pt>
                <c:pt idx="127">
                  <c:v>-0.93020941872255569</c:v>
                </c:pt>
                <c:pt idx="128">
                  <c:v>-1.0235714981915245</c:v>
                </c:pt>
                <c:pt idx="129">
                  <c:v>-0.77928684006760229</c:v>
                </c:pt>
                <c:pt idx="130">
                  <c:v>-0.81587115639341568</c:v>
                </c:pt>
                <c:pt idx="131">
                  <c:v>-0.90729706101319674</c:v>
                </c:pt>
                <c:pt idx="132">
                  <c:v>-0.83775150291821021</c:v>
                </c:pt>
                <c:pt idx="133">
                  <c:v>-0.92102327966769293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D2-4F88-BF7C-8C002738F1A5}"/>
            </c:ext>
          </c:extLst>
        </c:ser>
        <c:ser>
          <c:idx val="12"/>
          <c:order val="12"/>
          <c:tx>
            <c:strRef>
              <c:f>'預測(LSTM)累積報酬'!$B$24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'預測(LSTM)累積報酬'!$C$24:$EF$24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0.2449815161007089</c:v>
                </c:pt>
                <c:pt idx="2">
                  <c:v>0.32686185071110641</c:v>
                </c:pt>
                <c:pt idx="3">
                  <c:v>0.12531613183946019</c:v>
                </c:pt>
                <c:pt idx="4">
                  <c:v>0.14793852040207783</c:v>
                </c:pt>
                <c:pt idx="5">
                  <c:v>-0.20288367092896098</c:v>
                </c:pt>
                <c:pt idx="6">
                  <c:v>-0.44326991569987678</c:v>
                </c:pt>
                <c:pt idx="7">
                  <c:v>-0.44730564063913641</c:v>
                </c:pt>
                <c:pt idx="8">
                  <c:v>-0.4977499766326251</c:v>
                </c:pt>
                <c:pt idx="9">
                  <c:v>-0.16399053215697851</c:v>
                </c:pt>
                <c:pt idx="10">
                  <c:v>-1.7171193257470019E-2</c:v>
                </c:pt>
                <c:pt idx="11">
                  <c:v>-0.12236290405331542</c:v>
                </c:pt>
                <c:pt idx="12">
                  <c:v>-8.5714113313771684E-2</c:v>
                </c:pt>
                <c:pt idx="13">
                  <c:v>-7.9776274597144481E-3</c:v>
                </c:pt>
                <c:pt idx="14">
                  <c:v>8.2167321338948496E-2</c:v>
                </c:pt>
                <c:pt idx="15">
                  <c:v>0.19053281625113971</c:v>
                </c:pt>
                <c:pt idx="16">
                  <c:v>0.3304166158181403</c:v>
                </c:pt>
                <c:pt idx="17">
                  <c:v>0.60090333049215772</c:v>
                </c:pt>
                <c:pt idx="18">
                  <c:v>0.2079414456435047</c:v>
                </c:pt>
                <c:pt idx="19">
                  <c:v>0.32448176236035553</c:v>
                </c:pt>
                <c:pt idx="20">
                  <c:v>-0.31845176624530391</c:v>
                </c:pt>
                <c:pt idx="21">
                  <c:v>-0.35460966260655591</c:v>
                </c:pt>
                <c:pt idx="22">
                  <c:v>-0.32521082302612331</c:v>
                </c:pt>
                <c:pt idx="23">
                  <c:v>-0.475620748714913</c:v>
                </c:pt>
                <c:pt idx="24">
                  <c:v>-0.69416532840606782</c:v>
                </c:pt>
                <c:pt idx="25">
                  <c:v>-0.9945591219630503</c:v>
                </c:pt>
                <c:pt idx="26">
                  <c:v>-0.59281178811609569</c:v>
                </c:pt>
                <c:pt idx="27">
                  <c:v>-0.53288964130527661</c:v>
                </c:pt>
                <c:pt idx="28">
                  <c:v>-1.0741477625515579</c:v>
                </c:pt>
                <c:pt idx="29">
                  <c:v>-1.5695371753557197</c:v>
                </c:pt>
                <c:pt idx="30">
                  <c:v>-1.1894817827729236</c:v>
                </c:pt>
                <c:pt idx="31">
                  <c:v>-0.88735902616634832</c:v>
                </c:pt>
                <c:pt idx="32">
                  <c:v>-1.0392707009497455</c:v>
                </c:pt>
                <c:pt idx="33">
                  <c:v>-1.0191583355765466</c:v>
                </c:pt>
                <c:pt idx="34">
                  <c:v>-1.1323374993521707</c:v>
                </c:pt>
                <c:pt idx="35">
                  <c:v>-1.2397919256579122</c:v>
                </c:pt>
                <c:pt idx="36">
                  <c:v>-1.2547584709920361</c:v>
                </c:pt>
                <c:pt idx="37">
                  <c:v>-1.3654192429275867</c:v>
                </c:pt>
                <c:pt idx="38">
                  <c:v>-1.2625135403497971</c:v>
                </c:pt>
                <c:pt idx="39">
                  <c:v>-1.6789220742395079</c:v>
                </c:pt>
                <c:pt idx="40">
                  <c:v>-1.3224301425419898</c:v>
                </c:pt>
                <c:pt idx="41">
                  <c:v>-1.3427809870348042</c:v>
                </c:pt>
                <c:pt idx="42">
                  <c:v>-1.3460677607414269</c:v>
                </c:pt>
                <c:pt idx="43">
                  <c:v>-1.4968367406671077</c:v>
                </c:pt>
                <c:pt idx="44">
                  <c:v>-1.7266777563465276</c:v>
                </c:pt>
                <c:pt idx="45">
                  <c:v>-1.9743624165768552</c:v>
                </c:pt>
                <c:pt idx="46">
                  <c:v>-1.825651460045415</c:v>
                </c:pt>
                <c:pt idx="47">
                  <c:v>-1.9371427969616306</c:v>
                </c:pt>
                <c:pt idx="48">
                  <c:v>-1.6697070522751605</c:v>
                </c:pt>
                <c:pt idx="49">
                  <c:v>-2.2796066124599372</c:v>
                </c:pt>
                <c:pt idx="50">
                  <c:v>-2.1778239181499948</c:v>
                </c:pt>
                <c:pt idx="51">
                  <c:v>-1.3051207690435045</c:v>
                </c:pt>
                <c:pt idx="52">
                  <c:v>-1.3094876386578878</c:v>
                </c:pt>
                <c:pt idx="53">
                  <c:v>-1.1369174999445475</c:v>
                </c:pt>
                <c:pt idx="54">
                  <c:v>-1.0795369619594672</c:v>
                </c:pt>
                <c:pt idx="55">
                  <c:v>-0.99188562590537499</c:v>
                </c:pt>
                <c:pt idx="56">
                  <c:v>-0.96504966003906412</c:v>
                </c:pt>
                <c:pt idx="57">
                  <c:v>-0.95548020902291342</c:v>
                </c:pt>
                <c:pt idx="58">
                  <c:v>-0.92732857687473524</c:v>
                </c:pt>
                <c:pt idx="59">
                  <c:v>-0.86676132255227589</c:v>
                </c:pt>
                <c:pt idx="60">
                  <c:v>-0.87678104950134594</c:v>
                </c:pt>
                <c:pt idx="61">
                  <c:v>-0.98288796965251257</c:v>
                </c:pt>
                <c:pt idx="62">
                  <c:v>-1.0676709094915009</c:v>
                </c:pt>
                <c:pt idx="63">
                  <c:v>-1.0477807510122812</c:v>
                </c:pt>
                <c:pt idx="64">
                  <c:v>-0.83970441878115865</c:v>
                </c:pt>
                <c:pt idx="65">
                  <c:v>-0.87149852311104847</c:v>
                </c:pt>
                <c:pt idx="66">
                  <c:v>-0.8853559895351848</c:v>
                </c:pt>
                <c:pt idx="67">
                  <c:v>-0.98427687872042646</c:v>
                </c:pt>
                <c:pt idx="68">
                  <c:v>-0.86265584219081992</c:v>
                </c:pt>
                <c:pt idx="69">
                  <c:v>-0.80685658588256337</c:v>
                </c:pt>
                <c:pt idx="70">
                  <c:v>-0.57852995432262266</c:v>
                </c:pt>
                <c:pt idx="71">
                  <c:v>-0.62478866006328559</c:v>
                </c:pt>
                <c:pt idx="72">
                  <c:v>-0.47376121464086618</c:v>
                </c:pt>
                <c:pt idx="73">
                  <c:v>-0.53180458429078126</c:v>
                </c:pt>
                <c:pt idx="74">
                  <c:v>-0.41339635324047946</c:v>
                </c:pt>
                <c:pt idx="75">
                  <c:v>-9.3066925982921878E-2</c:v>
                </c:pt>
                <c:pt idx="76">
                  <c:v>-7.7147871956887437E-3</c:v>
                </c:pt>
                <c:pt idx="77">
                  <c:v>-7.1841870351730827E-2</c:v>
                </c:pt>
                <c:pt idx="78">
                  <c:v>0.36801264191520278</c:v>
                </c:pt>
                <c:pt idx="79">
                  <c:v>0.51231895265739769</c:v>
                </c:pt>
                <c:pt idx="80">
                  <c:v>0.3330151687908815</c:v>
                </c:pt>
                <c:pt idx="81">
                  <c:v>0.37697980278761306</c:v>
                </c:pt>
                <c:pt idx="82">
                  <c:v>-0.14298916328630901</c:v>
                </c:pt>
                <c:pt idx="83">
                  <c:v>6.9983720743009292E-2</c:v>
                </c:pt>
                <c:pt idx="84">
                  <c:v>0.36358336439269318</c:v>
                </c:pt>
                <c:pt idx="85">
                  <c:v>0.66377025798294853</c:v>
                </c:pt>
                <c:pt idx="86">
                  <c:v>0.34071099265456445</c:v>
                </c:pt>
                <c:pt idx="87">
                  <c:v>0.32502724476519795</c:v>
                </c:pt>
                <c:pt idx="88">
                  <c:v>0.36971578308912995</c:v>
                </c:pt>
                <c:pt idx="89">
                  <c:v>0.97939298035620426</c:v>
                </c:pt>
                <c:pt idx="90">
                  <c:v>0.40698337062152923</c:v>
                </c:pt>
                <c:pt idx="91">
                  <c:v>0.60505071616862227</c:v>
                </c:pt>
                <c:pt idx="92">
                  <c:v>0.4448610695411217</c:v>
                </c:pt>
                <c:pt idx="93">
                  <c:v>0.34804316234978327</c:v>
                </c:pt>
                <c:pt idx="94">
                  <c:v>0.24006892641075578</c:v>
                </c:pt>
                <c:pt idx="95">
                  <c:v>5.7172339118639282E-2</c:v>
                </c:pt>
                <c:pt idx="96">
                  <c:v>0.10990138393229409</c:v>
                </c:pt>
                <c:pt idx="97">
                  <c:v>-7.2962710974928902E-2</c:v>
                </c:pt>
                <c:pt idx="98">
                  <c:v>0.10215445509707849</c:v>
                </c:pt>
                <c:pt idx="99">
                  <c:v>-4.4540170573208998E-2</c:v>
                </c:pt>
                <c:pt idx="100">
                  <c:v>0.31568787619552874</c:v>
                </c:pt>
                <c:pt idx="101">
                  <c:v>0.15358096631736845</c:v>
                </c:pt>
                <c:pt idx="102">
                  <c:v>0.1780921704801233</c:v>
                </c:pt>
                <c:pt idx="103">
                  <c:v>-0.77001741889984587</c:v>
                </c:pt>
                <c:pt idx="104">
                  <c:v>-0.4872876401713277</c:v>
                </c:pt>
                <c:pt idx="105">
                  <c:v>-0.29144291798888639</c:v>
                </c:pt>
                <c:pt idx="106">
                  <c:v>-0.15985732669335359</c:v>
                </c:pt>
                <c:pt idx="107">
                  <c:v>0.36572767945114437</c:v>
                </c:pt>
                <c:pt idx="108">
                  <c:v>0.61431666218437431</c:v>
                </c:pt>
                <c:pt idx="109">
                  <c:v>0.51148381820285982</c:v>
                </c:pt>
                <c:pt idx="110">
                  <c:v>8.8385018474520793E-2</c:v>
                </c:pt>
                <c:pt idx="111">
                  <c:v>0.31775489300561022</c:v>
                </c:pt>
                <c:pt idx="112">
                  <c:v>0.48377662135986021</c:v>
                </c:pt>
                <c:pt idx="113">
                  <c:v>0.42241610814444336</c:v>
                </c:pt>
                <c:pt idx="114">
                  <c:v>0.31410001301825835</c:v>
                </c:pt>
                <c:pt idx="115">
                  <c:v>0.83094795201579053</c:v>
                </c:pt>
                <c:pt idx="116">
                  <c:v>0.9140622416057963</c:v>
                </c:pt>
                <c:pt idx="117">
                  <c:v>0.69049041812209944</c:v>
                </c:pt>
                <c:pt idx="118">
                  <c:v>1.0495617202187479</c:v>
                </c:pt>
                <c:pt idx="119">
                  <c:v>1.0290460900067187</c:v>
                </c:pt>
                <c:pt idx="120">
                  <c:v>0.88503911516790434</c:v>
                </c:pt>
                <c:pt idx="121">
                  <c:v>0.85560338877904096</c:v>
                </c:pt>
                <c:pt idx="122">
                  <c:v>1.6261466965349998</c:v>
                </c:pt>
                <c:pt idx="123">
                  <c:v>0.87569014734577855</c:v>
                </c:pt>
                <c:pt idx="124">
                  <c:v>0.49232690640057264</c:v>
                </c:pt>
                <c:pt idx="125">
                  <c:v>0.31858957595249343</c:v>
                </c:pt>
                <c:pt idx="126">
                  <c:v>0.35065611168244498</c:v>
                </c:pt>
                <c:pt idx="127">
                  <c:v>0.30175144742364518</c:v>
                </c:pt>
                <c:pt idx="128">
                  <c:v>0.2785799455769703</c:v>
                </c:pt>
                <c:pt idx="129">
                  <c:v>0.86827786257606077</c:v>
                </c:pt>
                <c:pt idx="130">
                  <c:v>0.85396794380538188</c:v>
                </c:pt>
                <c:pt idx="131">
                  <c:v>0.7977950985070198</c:v>
                </c:pt>
                <c:pt idx="132">
                  <c:v>0.76213111563605507</c:v>
                </c:pt>
                <c:pt idx="133">
                  <c:v>0.6331733425576167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D2-4F88-BF7C-8C002738F1A5}"/>
            </c:ext>
          </c:extLst>
        </c:ser>
        <c:ser>
          <c:idx val="13"/>
          <c:order val="13"/>
          <c:tx>
            <c:strRef>
              <c:f>'預測(LSTM)累積報酬'!$B$25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'預測(LSTM)累積報酬'!$C$11:$EF$11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'預測(LSTM)累積報酬'!$C$25:$EF$25</c:f>
              <c:numCache>
                <c:formatCode>#,##0.0000</c:formatCode>
                <c:ptCount val="134"/>
                <c:pt idx="0">
                  <c:v>-1.7446770539390338E-2</c:v>
                </c:pt>
                <c:pt idx="1">
                  <c:v>2.070106053181563E-2</c:v>
                </c:pt>
                <c:pt idx="2">
                  <c:v>2.3982129254766709E-2</c:v>
                </c:pt>
                <c:pt idx="3">
                  <c:v>-6.557578972823077E-3</c:v>
                </c:pt>
                <c:pt idx="4">
                  <c:v>3.1845129800519692E-2</c:v>
                </c:pt>
                <c:pt idx="5">
                  <c:v>3.4348532736990518E-2</c:v>
                </c:pt>
                <c:pt idx="6">
                  <c:v>-8.2549327813252367E-3</c:v>
                </c:pt>
                <c:pt idx="7">
                  <c:v>1.2843524394052759E-2</c:v>
                </c:pt>
                <c:pt idx="8">
                  <c:v>-5.1018524626790823E-2</c:v>
                </c:pt>
                <c:pt idx="9">
                  <c:v>8.7394274103658827E-4</c:v>
                </c:pt>
                <c:pt idx="10">
                  <c:v>2.3389575505495919E-2</c:v>
                </c:pt>
                <c:pt idx="11">
                  <c:v>1.2988972200332851E-2</c:v>
                </c:pt>
                <c:pt idx="12">
                  <c:v>5.8545887256348812E-3</c:v>
                </c:pt>
                <c:pt idx="13">
                  <c:v>2.7413206571790558E-2</c:v>
                </c:pt>
                <c:pt idx="14">
                  <c:v>-3.7129361176928542E-3</c:v>
                </c:pt>
                <c:pt idx="15">
                  <c:v>2.4076614047823328E-2</c:v>
                </c:pt>
                <c:pt idx="16">
                  <c:v>-1.219002529903996E-2</c:v>
                </c:pt>
                <c:pt idx="17">
                  <c:v>-3.9749578159589592E-2</c:v>
                </c:pt>
                <c:pt idx="18">
                  <c:v>-7.3155449831649552E-2</c:v>
                </c:pt>
                <c:pt idx="19">
                  <c:v>-5.8260229910114661E-2</c:v>
                </c:pt>
                <c:pt idx="20">
                  <c:v>7.7279756550837221E-4</c:v>
                </c:pt>
                <c:pt idx="21">
                  <c:v>4.459152113521897E-2</c:v>
                </c:pt>
                <c:pt idx="22">
                  <c:v>-2.7699680050213091E-2</c:v>
                </c:pt>
                <c:pt idx="23">
                  <c:v>2.0950059497436462E-3</c:v>
                </c:pt>
                <c:pt idx="24">
                  <c:v>-2.340055099256411E-2</c:v>
                </c:pt>
                <c:pt idx="25">
                  <c:v>3.2129371097322189E-2</c:v>
                </c:pt>
                <c:pt idx="26">
                  <c:v>3.890327309406643E-2</c:v>
                </c:pt>
                <c:pt idx="27">
                  <c:v>-4.286538217110427E-2</c:v>
                </c:pt>
                <c:pt idx="28">
                  <c:v>1.8647194550152159E-2</c:v>
                </c:pt>
                <c:pt idx="29">
                  <c:v>1.5229768322528949E-2</c:v>
                </c:pt>
                <c:pt idx="30">
                  <c:v>3.6016603778892417E-2</c:v>
                </c:pt>
                <c:pt idx="31">
                  <c:v>9.3546113853161701E-3</c:v>
                </c:pt>
                <c:pt idx="32">
                  <c:v>1.0748251336838139E-2</c:v>
                </c:pt>
                <c:pt idx="33">
                  <c:v>1.335775405308097E-2</c:v>
                </c:pt>
                <c:pt idx="34">
                  <c:v>-5.3327473290953921E-3</c:v>
                </c:pt>
                <c:pt idx="35">
                  <c:v>1.383135807261675E-3</c:v>
                </c:pt>
                <c:pt idx="36">
                  <c:v>2.079592842007446E-2</c:v>
                </c:pt>
                <c:pt idx="37">
                  <c:v>3.1517702220390638E-2</c:v>
                </c:pt>
                <c:pt idx="38">
                  <c:v>6.2417165333294418E-3</c:v>
                </c:pt>
                <c:pt idx="39">
                  <c:v>6.1452616535713897E-3</c:v>
                </c:pt>
                <c:pt idx="40">
                  <c:v>1.694635767669651E-2</c:v>
                </c:pt>
                <c:pt idx="41">
                  <c:v>3.4682830454308228E-2</c:v>
                </c:pt>
                <c:pt idx="42">
                  <c:v>3.0985886171969678E-3</c:v>
                </c:pt>
                <c:pt idx="43">
                  <c:v>1.508134714348611E-2</c:v>
                </c:pt>
                <c:pt idx="44">
                  <c:v>-1.9251209229863991E-2</c:v>
                </c:pt>
                <c:pt idx="45">
                  <c:v>3.8711513387631437E-2</c:v>
                </c:pt>
                <c:pt idx="46">
                  <c:v>-2.1856951135736599E-2</c:v>
                </c:pt>
                <c:pt idx="47">
                  <c:v>7.7743007097896798E-3</c:v>
                </c:pt>
                <c:pt idx="48">
                  <c:v>4.2397246695325942E-2</c:v>
                </c:pt>
                <c:pt idx="49">
                  <c:v>-2.630897486115975E-2</c:v>
                </c:pt>
                <c:pt idx="50">
                  <c:v>9.5717493087162323E-3</c:v>
                </c:pt>
                <c:pt idx="51">
                  <c:v>-2.424974126627483E-2</c:v>
                </c:pt>
                <c:pt idx="52">
                  <c:v>2.0163374143915822E-2</c:v>
                </c:pt>
                <c:pt idx="53">
                  <c:v>-3.5049987821160239E-3</c:v>
                </c:pt>
                <c:pt idx="54">
                  <c:v>2.0151935098542271E-2</c:v>
                </c:pt>
                <c:pt idx="55">
                  <c:v>5.8133623077027128E-4</c:v>
                </c:pt>
                <c:pt idx="56">
                  <c:v>-5.2197009532526043E-3</c:v>
                </c:pt>
                <c:pt idx="57">
                  <c:v>-0.11587176140213</c:v>
                </c:pt>
                <c:pt idx="58">
                  <c:v>8.7252256924373536E-3</c:v>
                </c:pt>
                <c:pt idx="59">
                  <c:v>-1.6377260977822151E-2</c:v>
                </c:pt>
                <c:pt idx="60">
                  <c:v>2.0840371600260421E-2</c:v>
                </c:pt>
                <c:pt idx="61">
                  <c:v>4.4975872102114713E-2</c:v>
                </c:pt>
                <c:pt idx="62">
                  <c:v>2.3954306081863871E-2</c:v>
                </c:pt>
                <c:pt idx="63">
                  <c:v>3.0239101391442601E-2</c:v>
                </c:pt>
                <c:pt idx="64">
                  <c:v>-4.372588759108751E-2</c:v>
                </c:pt>
                <c:pt idx="65">
                  <c:v>2.1889469568198618E-2</c:v>
                </c:pt>
                <c:pt idx="66">
                  <c:v>8.6274302635084028E-3</c:v>
                </c:pt>
                <c:pt idx="67">
                  <c:v>-1.9192953994658781E-2</c:v>
                </c:pt>
                <c:pt idx="68">
                  <c:v>1.973512988813305E-2</c:v>
                </c:pt>
                <c:pt idx="69">
                  <c:v>4.7694337483699438E-2</c:v>
                </c:pt>
                <c:pt idx="70">
                  <c:v>1.145481680658339E-2</c:v>
                </c:pt>
                <c:pt idx="71">
                  <c:v>4.3228620735213191E-2</c:v>
                </c:pt>
                <c:pt idx="72">
                  <c:v>-4.2747430436922793E-2</c:v>
                </c:pt>
                <c:pt idx="73">
                  <c:v>-1.781129242779457E-2</c:v>
                </c:pt>
                <c:pt idx="74">
                  <c:v>-0.1511530968690756</c:v>
                </c:pt>
                <c:pt idx="75">
                  <c:v>0.12422400361957529</c:v>
                </c:pt>
                <c:pt idx="76">
                  <c:v>-4.5572538445296431E-3</c:v>
                </c:pt>
                <c:pt idx="77">
                  <c:v>6.0211240204911178E-2</c:v>
                </c:pt>
                <c:pt idx="78">
                  <c:v>8.5992033482502284E-2</c:v>
                </c:pt>
                <c:pt idx="79">
                  <c:v>-5.8084795823660634E-3</c:v>
                </c:pt>
                <c:pt idx="80">
                  <c:v>-6.0413469889680736E-3</c:v>
                </c:pt>
                <c:pt idx="81">
                  <c:v>2.4523243722520739E-3</c:v>
                </c:pt>
                <c:pt idx="82">
                  <c:v>8.963625193702289E-2</c:v>
                </c:pt>
                <c:pt idx="83">
                  <c:v>7.099273252675789E-2</c:v>
                </c:pt>
                <c:pt idx="84">
                  <c:v>2.7170642901783448E-2</c:v>
                </c:pt>
                <c:pt idx="85">
                  <c:v>5.2468428425330033E-2</c:v>
                </c:pt>
                <c:pt idx="86">
                  <c:v>2.9480660943049509E-2</c:v>
                </c:pt>
                <c:pt idx="87">
                  <c:v>6.6825081060201283E-2</c:v>
                </c:pt>
                <c:pt idx="88">
                  <c:v>-2.8772229019816971E-2</c:v>
                </c:pt>
                <c:pt idx="89">
                  <c:v>3.9462515901637851E-2</c:v>
                </c:pt>
                <c:pt idx="90">
                  <c:v>-2.9031086977359909E-2</c:v>
                </c:pt>
                <c:pt idx="91">
                  <c:v>1.3983882519467901E-2</c:v>
                </c:pt>
                <c:pt idx="92">
                  <c:v>-3.2276964959333833E-2</c:v>
                </c:pt>
                <c:pt idx="93">
                  <c:v>3.1035766128940231E-3</c:v>
                </c:pt>
                <c:pt idx="94">
                  <c:v>2.5591855767083171E-2</c:v>
                </c:pt>
                <c:pt idx="95">
                  <c:v>4.4391886287193302E-2</c:v>
                </c:pt>
                <c:pt idx="96">
                  <c:v>-3.0338958549577438E-2</c:v>
                </c:pt>
                <c:pt idx="97">
                  <c:v>-1.2579764545717069E-3</c:v>
                </c:pt>
                <c:pt idx="98">
                  <c:v>2.336356455857952E-3</c:v>
                </c:pt>
                <c:pt idx="99">
                  <c:v>-6.4264144925906069E-2</c:v>
                </c:pt>
                <c:pt idx="100">
                  <c:v>1.2909779458992439E-2</c:v>
                </c:pt>
                <c:pt idx="101">
                  <c:v>-0.12547709467085871</c:v>
                </c:pt>
                <c:pt idx="102">
                  <c:v>1.1690682939792569E-2</c:v>
                </c:pt>
                <c:pt idx="103">
                  <c:v>6.3378437007417512E-3</c:v>
                </c:pt>
                <c:pt idx="104">
                  <c:v>-0.1173053564693855</c:v>
                </c:pt>
                <c:pt idx="105">
                  <c:v>-3.6010872049446613E-2</c:v>
                </c:pt>
                <c:pt idx="106">
                  <c:v>0.1389113040722679</c:v>
                </c:pt>
                <c:pt idx="107">
                  <c:v>-5.1143506226105737E-2</c:v>
                </c:pt>
                <c:pt idx="108">
                  <c:v>7.6731447181969059E-2</c:v>
                </c:pt>
                <c:pt idx="109">
                  <c:v>1.550878219700816E-2</c:v>
                </c:pt>
                <c:pt idx="110">
                  <c:v>2.3223773674755831E-2</c:v>
                </c:pt>
                <c:pt idx="111">
                  <c:v>-1.8372876361227891E-2</c:v>
                </c:pt>
                <c:pt idx="112">
                  <c:v>6.2199014085099431E-2</c:v>
                </c:pt>
                <c:pt idx="113">
                  <c:v>2.0098304486957191E-2</c:v>
                </c:pt>
                <c:pt idx="114">
                  <c:v>1.349893974806809E-2</c:v>
                </c:pt>
                <c:pt idx="115">
                  <c:v>-3.025221272842088E-2</c:v>
                </c:pt>
                <c:pt idx="116">
                  <c:v>-1.7022835708053841E-2</c:v>
                </c:pt>
                <c:pt idx="117">
                  <c:v>-2.1788523272461981E-2</c:v>
                </c:pt>
                <c:pt idx="118">
                  <c:v>8.5745624585137223E-2</c:v>
                </c:pt>
                <c:pt idx="119">
                  <c:v>2.8106743604973752E-2</c:v>
                </c:pt>
                <c:pt idx="120">
                  <c:v>-2.3031598073594501E-3</c:v>
                </c:pt>
                <c:pt idx="121">
                  <c:v>5.8471198131487503E-2</c:v>
                </c:pt>
                <c:pt idx="122">
                  <c:v>6.7658949048647651E-2</c:v>
                </c:pt>
                <c:pt idx="123">
                  <c:v>5.0207706404322644E-3</c:v>
                </c:pt>
                <c:pt idx="124">
                  <c:v>3.7416183675207063E-2</c:v>
                </c:pt>
                <c:pt idx="125">
                  <c:v>8.4111003746042121E-2</c:v>
                </c:pt>
                <c:pt idx="126">
                  <c:v>-3.6832398544012837E-2</c:v>
                </c:pt>
                <c:pt idx="127">
                  <c:v>3.0917028169369942E-3</c:v>
                </c:pt>
                <c:pt idx="128">
                  <c:v>-1.957628214294549E-3</c:v>
                </c:pt>
                <c:pt idx="129">
                  <c:v>2.6459103603519739E-2</c:v>
                </c:pt>
                <c:pt idx="130">
                  <c:v>-2.4752538760690269E-2</c:v>
                </c:pt>
                <c:pt idx="131">
                  <c:v>3.4115490982559941E-2</c:v>
                </c:pt>
                <c:pt idx="132">
                  <c:v>2.1061973989032982E-2</c:v>
                </c:pt>
                <c:pt idx="133" formatCode="General">
                  <c:v>-2.0277392706005901E-2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8D2-4F88-BF7C-8C002738F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139903"/>
        <c:axId val="2120140383"/>
      </c:lineChart>
      <c:catAx>
        <c:axId val="212013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0140383"/>
        <c:crosses val="autoZero"/>
        <c:auto val="1"/>
        <c:lblAlgn val="ctr"/>
        <c:lblOffset val="100"/>
        <c:noMultiLvlLbl val="0"/>
      </c:catAx>
      <c:valAx>
        <c:axId val="212014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013990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altLang="zh-TW"/>
              <a:t>LSTM</a:t>
            </a:r>
            <a:r>
              <a:rPr lang="zh-TW" altLang="en-US"/>
              <a:t>再投資累積報酬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LSTM再投資累積報酬!$B$12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LSTM再投資累積報酬!$C$12:$EF$12</c:f>
              <c:numCache>
                <c:formatCode>General</c:formatCode>
                <c:ptCount val="134"/>
                <c:pt idx="0">
                  <c:v>1.4499246984096104E-2</c:v>
                </c:pt>
                <c:pt idx="1">
                  <c:v>2.9390626425508604E-2</c:v>
                </c:pt>
                <c:pt idx="2">
                  <c:v>2.7955939447321443E-2</c:v>
                </c:pt>
                <c:pt idx="3">
                  <c:v>8.5479721404323916E-2</c:v>
                </c:pt>
                <c:pt idx="4">
                  <c:v>5.0801413886742086E-2</c:v>
                </c:pt>
                <c:pt idx="5">
                  <c:v>6.0888328140121128E-2</c:v>
                </c:pt>
                <c:pt idx="6">
                  <c:v>7.0073660819563122E-2</c:v>
                </c:pt>
                <c:pt idx="7">
                  <c:v>6.2166037269462127E-2</c:v>
                </c:pt>
                <c:pt idx="8">
                  <c:v>3.1163536955962412E-2</c:v>
                </c:pt>
                <c:pt idx="9">
                  <c:v>4.0195040502598811E-2</c:v>
                </c:pt>
                <c:pt idx="10">
                  <c:v>1.2225055238084703E-2</c:v>
                </c:pt>
                <c:pt idx="11">
                  <c:v>-2.2902549427951224E-2</c:v>
                </c:pt>
                <c:pt idx="12">
                  <c:v>4.3728904899822396E-3</c:v>
                </c:pt>
                <c:pt idx="13">
                  <c:v>4.1174502328595874E-3</c:v>
                </c:pt>
                <c:pt idx="14">
                  <c:v>9.2541971785229382E-3</c:v>
                </c:pt>
                <c:pt idx="15">
                  <c:v>-4.0210164596656828E-3</c:v>
                </c:pt>
                <c:pt idx="16">
                  <c:v>6.9895608569927603E-3</c:v>
                </c:pt>
                <c:pt idx="17">
                  <c:v>-4.1212729805014225E-2</c:v>
                </c:pt>
                <c:pt idx="18">
                  <c:v>-4.251334686946906E-2</c:v>
                </c:pt>
                <c:pt idx="19">
                  <c:v>-3.340673568755792E-2</c:v>
                </c:pt>
                <c:pt idx="20">
                  <c:v>-6.0875057193760296E-2</c:v>
                </c:pt>
                <c:pt idx="21">
                  <c:v>4.2091307144539236E-2</c:v>
                </c:pt>
                <c:pt idx="22">
                  <c:v>2.0625900308189893E-2</c:v>
                </c:pt>
                <c:pt idx="23">
                  <c:v>-3.3622496315828032E-2</c:v>
                </c:pt>
                <c:pt idx="24">
                  <c:v>-5.9635909261485653E-2</c:v>
                </c:pt>
                <c:pt idx="25">
                  <c:v>-4.9542671527692983E-2</c:v>
                </c:pt>
                <c:pt idx="26">
                  <c:v>-5.086982582928723E-3</c:v>
                </c:pt>
                <c:pt idx="27">
                  <c:v>-7.6045401616734454E-3</c:v>
                </c:pt>
                <c:pt idx="28">
                  <c:v>-4.5213969693721157E-2</c:v>
                </c:pt>
                <c:pt idx="29">
                  <c:v>-9.4874398831833351E-2</c:v>
                </c:pt>
                <c:pt idx="30">
                  <c:v>-9.1421407641283037E-2</c:v>
                </c:pt>
                <c:pt idx="31">
                  <c:v>-0.10569793374506131</c:v>
                </c:pt>
                <c:pt idx="32">
                  <c:v>-9.783362694901454E-2</c:v>
                </c:pt>
                <c:pt idx="33">
                  <c:v>-8.0942098604772417E-2</c:v>
                </c:pt>
                <c:pt idx="34">
                  <c:v>-6.5800281259984716E-2</c:v>
                </c:pt>
                <c:pt idx="35">
                  <c:v>-0.11045548552885032</c:v>
                </c:pt>
                <c:pt idx="36">
                  <c:v>-0.12531688513067307</c:v>
                </c:pt>
                <c:pt idx="37">
                  <c:v>-0.14862336672924714</c:v>
                </c:pt>
                <c:pt idx="38">
                  <c:v>-0.13585657324851574</c:v>
                </c:pt>
                <c:pt idx="39">
                  <c:v>-0.13034301888752531</c:v>
                </c:pt>
                <c:pt idx="40">
                  <c:v>-0.13181876641073698</c:v>
                </c:pt>
                <c:pt idx="41">
                  <c:v>-0.11252515229474291</c:v>
                </c:pt>
                <c:pt idx="42">
                  <c:v>-0.13025359205359321</c:v>
                </c:pt>
                <c:pt idx="43">
                  <c:v>-0.19304526652494103</c:v>
                </c:pt>
                <c:pt idx="44">
                  <c:v>-0.19004861071671486</c:v>
                </c:pt>
                <c:pt idx="45">
                  <c:v>-0.23355566039335285</c:v>
                </c:pt>
                <c:pt idx="46">
                  <c:v>-0.24671528342198046</c:v>
                </c:pt>
                <c:pt idx="47">
                  <c:v>-0.28038410613315257</c:v>
                </c:pt>
                <c:pt idx="48">
                  <c:v>-0.29297113920371187</c:v>
                </c:pt>
                <c:pt idx="49">
                  <c:v>-0.30966730982638768</c:v>
                </c:pt>
                <c:pt idx="50">
                  <c:v>-0.32791579188335629</c:v>
                </c:pt>
                <c:pt idx="51">
                  <c:v>-0.30840071489056198</c:v>
                </c:pt>
                <c:pt idx="52">
                  <c:v>-0.28994126168390122</c:v>
                </c:pt>
                <c:pt idx="53">
                  <c:v>-0.28410345686169036</c:v>
                </c:pt>
                <c:pt idx="54">
                  <c:v>-0.30942367606505083</c:v>
                </c:pt>
                <c:pt idx="55">
                  <c:v>-0.26260788249630018</c:v>
                </c:pt>
                <c:pt idx="56">
                  <c:v>-0.23777925394256172</c:v>
                </c:pt>
                <c:pt idx="57">
                  <c:v>-0.25677543011799875</c:v>
                </c:pt>
                <c:pt idx="58">
                  <c:v>-0.22425484798955952</c:v>
                </c:pt>
                <c:pt idx="59">
                  <c:v>-0.2433871485533301</c:v>
                </c:pt>
                <c:pt idx="60">
                  <c:v>-0.24388453335400218</c:v>
                </c:pt>
                <c:pt idx="61">
                  <c:v>-0.26817784150839541</c:v>
                </c:pt>
                <c:pt idx="62">
                  <c:v>-0.30499265614065241</c:v>
                </c:pt>
                <c:pt idx="63">
                  <c:v>-0.31303803833812083</c:v>
                </c:pt>
                <c:pt idx="64">
                  <c:v>-0.3147513464751045</c:v>
                </c:pt>
                <c:pt idx="65">
                  <c:v>-0.33285695716183483</c:v>
                </c:pt>
                <c:pt idx="66">
                  <c:v>-0.34534287872081737</c:v>
                </c:pt>
                <c:pt idx="67">
                  <c:v>-0.39031364306328664</c:v>
                </c:pt>
                <c:pt idx="68">
                  <c:v>-0.41021554634020452</c:v>
                </c:pt>
                <c:pt idx="69">
                  <c:v>-0.40056385155384522</c:v>
                </c:pt>
                <c:pt idx="70">
                  <c:v>-0.39529989274187194</c:v>
                </c:pt>
                <c:pt idx="71">
                  <c:v>-0.36973172752648009</c:v>
                </c:pt>
                <c:pt idx="72">
                  <c:v>-0.34169928311889164</c:v>
                </c:pt>
                <c:pt idx="73">
                  <c:v>-0.33710095132655371</c:v>
                </c:pt>
                <c:pt idx="74">
                  <c:v>-0.29803636583471871</c:v>
                </c:pt>
                <c:pt idx="75">
                  <c:v>-0.32076505395992727</c:v>
                </c:pt>
                <c:pt idx="76">
                  <c:v>-0.32035500767869507</c:v>
                </c:pt>
                <c:pt idx="77">
                  <c:v>-0.33882358744800534</c:v>
                </c:pt>
                <c:pt idx="78">
                  <c:v>-0.34991215352114036</c:v>
                </c:pt>
                <c:pt idx="79">
                  <c:v>-0.27779554656214878</c:v>
                </c:pt>
                <c:pt idx="80">
                  <c:v>-0.31449547735720373</c:v>
                </c:pt>
                <c:pt idx="81">
                  <c:v>-0.31999409731386208</c:v>
                </c:pt>
                <c:pt idx="82">
                  <c:v>-0.35350340096108812</c:v>
                </c:pt>
                <c:pt idx="83">
                  <c:v>-0.34286005479860771</c:v>
                </c:pt>
                <c:pt idx="84">
                  <c:v>-0.31946716672297748</c:v>
                </c:pt>
                <c:pt idx="85">
                  <c:v>-0.35629764919723661</c:v>
                </c:pt>
                <c:pt idx="86">
                  <c:v>-0.39241027842564091</c:v>
                </c:pt>
                <c:pt idx="87">
                  <c:v>-0.44006978648483908</c:v>
                </c:pt>
                <c:pt idx="88">
                  <c:v>-0.42531341316505489</c:v>
                </c:pt>
                <c:pt idx="89">
                  <c:v>-0.38022051288677683</c:v>
                </c:pt>
                <c:pt idx="90">
                  <c:v>-0.39560330666251275</c:v>
                </c:pt>
                <c:pt idx="91">
                  <c:v>-0.39621073865761625</c:v>
                </c:pt>
                <c:pt idx="92">
                  <c:v>-0.35836260308259815</c:v>
                </c:pt>
                <c:pt idx="93">
                  <c:v>-0.3274699277628963</c:v>
                </c:pt>
                <c:pt idx="94">
                  <c:v>-0.32812804793333183</c:v>
                </c:pt>
                <c:pt idx="95">
                  <c:v>-0.32186011201005382</c:v>
                </c:pt>
                <c:pt idx="96">
                  <c:v>-0.2711491303992537</c:v>
                </c:pt>
                <c:pt idx="97">
                  <c:v>-0.31854871239164839</c:v>
                </c:pt>
                <c:pt idx="98">
                  <c:v>-0.3147680719309327</c:v>
                </c:pt>
                <c:pt idx="99">
                  <c:v>-0.33584076154415698</c:v>
                </c:pt>
                <c:pt idx="100">
                  <c:v>-0.32493487084522354</c:v>
                </c:pt>
                <c:pt idx="101">
                  <c:v>-0.31661519128600857</c:v>
                </c:pt>
                <c:pt idx="102">
                  <c:v>-0.3127856503810108</c:v>
                </c:pt>
                <c:pt idx="103">
                  <c:v>-0.33724036724914885</c:v>
                </c:pt>
                <c:pt idx="104">
                  <c:v>-0.3342570450351261</c:v>
                </c:pt>
                <c:pt idx="105">
                  <c:v>-0.38083278548326305</c:v>
                </c:pt>
                <c:pt idx="106">
                  <c:v>-0.36551604709706309</c:v>
                </c:pt>
                <c:pt idx="107">
                  <c:v>-0.33031123920694827</c:v>
                </c:pt>
                <c:pt idx="108">
                  <c:v>-0.29857172771716778</c:v>
                </c:pt>
                <c:pt idx="109">
                  <c:v>-0.3201779316407446</c:v>
                </c:pt>
                <c:pt idx="110">
                  <c:v>-0.34055849048189268</c:v>
                </c:pt>
                <c:pt idx="111">
                  <c:v>-0.31327209138748835</c:v>
                </c:pt>
                <c:pt idx="112">
                  <c:v>-0.3140077133814021</c:v>
                </c:pt>
                <c:pt idx="113">
                  <c:v>-0.32681507504084573</c:v>
                </c:pt>
                <c:pt idx="114">
                  <c:v>-0.32065981316724934</c:v>
                </c:pt>
                <c:pt idx="115">
                  <c:v>-0.33325576083057196</c:v>
                </c:pt>
                <c:pt idx="116">
                  <c:v>-0.34594438927039162</c:v>
                </c:pt>
                <c:pt idx="117">
                  <c:v>-0.38480097927129686</c:v>
                </c:pt>
                <c:pt idx="118">
                  <c:v>-0.33894364593682647</c:v>
                </c:pt>
                <c:pt idx="119">
                  <c:v>-0.32652970615939581</c:v>
                </c:pt>
                <c:pt idx="120">
                  <c:v>-0.35752569086477914</c:v>
                </c:pt>
                <c:pt idx="121">
                  <c:v>-0.34158343514986544</c:v>
                </c:pt>
                <c:pt idx="122">
                  <c:v>-0.31143642241673142</c:v>
                </c:pt>
                <c:pt idx="123">
                  <c:v>-0.32297085491516464</c:v>
                </c:pt>
                <c:pt idx="124">
                  <c:v>-0.32156519907435754</c:v>
                </c:pt>
                <c:pt idx="125">
                  <c:v>-0.3092861148172229</c:v>
                </c:pt>
                <c:pt idx="126">
                  <c:v>-0.35261336881090954</c:v>
                </c:pt>
                <c:pt idx="127">
                  <c:v>-0.33964045924103092</c:v>
                </c:pt>
                <c:pt idx="128">
                  <c:v>-0.26493593790415004</c:v>
                </c:pt>
                <c:pt idx="129">
                  <c:v>-0.24249753639779592</c:v>
                </c:pt>
                <c:pt idx="130">
                  <c:v>-0.2223089522324817</c:v>
                </c:pt>
                <c:pt idx="131">
                  <c:v>-0.26936560098858886</c:v>
                </c:pt>
                <c:pt idx="132">
                  <c:v>-0.28998138596439293</c:v>
                </c:pt>
                <c:pt idx="133">
                  <c:v>-0.31256768746754515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E-46C7-AA85-687A438B0A3F}"/>
            </c:ext>
          </c:extLst>
        </c:ser>
        <c:ser>
          <c:idx val="1"/>
          <c:order val="1"/>
          <c:tx>
            <c:strRef>
              <c:f>LSTM再投資累積報酬!$B$13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LSTM再投資累積報酬!$C$13:$EF$13</c:f>
              <c:numCache>
                <c:formatCode>General</c:formatCode>
                <c:ptCount val="134"/>
                <c:pt idx="0">
                  <c:v>-7.4773642018864939E-3</c:v>
                </c:pt>
                <c:pt idx="1">
                  <c:v>-1.2893421261143456E-2</c:v>
                </c:pt>
                <c:pt idx="2">
                  <c:v>-1.8345829518454981E-2</c:v>
                </c:pt>
                <c:pt idx="3">
                  <c:v>4.054019458235536E-2</c:v>
                </c:pt>
                <c:pt idx="4">
                  <c:v>2.8004386167710837E-2</c:v>
                </c:pt>
                <c:pt idx="5">
                  <c:v>4.5879724300361469E-2</c:v>
                </c:pt>
                <c:pt idx="6">
                  <c:v>1.2112460219276144E-2</c:v>
                </c:pt>
                <c:pt idx="7">
                  <c:v>-1.1166539968126887E-2</c:v>
                </c:pt>
                <c:pt idx="8">
                  <c:v>-7.0819044950889531E-2</c:v>
                </c:pt>
                <c:pt idx="9">
                  <c:v>-5.0395210491959275E-2</c:v>
                </c:pt>
                <c:pt idx="10">
                  <c:v>-5.3509684611801722E-2</c:v>
                </c:pt>
                <c:pt idx="11">
                  <c:v>-9.4580187504365476E-2</c:v>
                </c:pt>
                <c:pt idx="12">
                  <c:v>-7.8805330813787156E-2</c:v>
                </c:pt>
                <c:pt idx="13">
                  <c:v>-8.4588266373883614E-2</c:v>
                </c:pt>
                <c:pt idx="14">
                  <c:v>-0.10056804556854304</c:v>
                </c:pt>
                <c:pt idx="15">
                  <c:v>-0.11541830670682596</c:v>
                </c:pt>
                <c:pt idx="16">
                  <c:v>-0.12073800675392699</c:v>
                </c:pt>
                <c:pt idx="17">
                  <c:v>-0.18600921323071562</c:v>
                </c:pt>
                <c:pt idx="18">
                  <c:v>-0.16259775511477881</c:v>
                </c:pt>
                <c:pt idx="19">
                  <c:v>-0.16074153588385931</c:v>
                </c:pt>
                <c:pt idx="20">
                  <c:v>-0.18673245075025213</c:v>
                </c:pt>
                <c:pt idx="21">
                  <c:v>-8.8223165402760761E-2</c:v>
                </c:pt>
                <c:pt idx="22">
                  <c:v>-8.2129433738593383E-2</c:v>
                </c:pt>
                <c:pt idx="23">
                  <c:v>-0.15670770421314517</c:v>
                </c:pt>
                <c:pt idx="24">
                  <c:v>-0.19694341306283447</c:v>
                </c:pt>
                <c:pt idx="25">
                  <c:v>-0.18489630078657737</c:v>
                </c:pt>
                <c:pt idx="26">
                  <c:v>-0.13047044080249603</c:v>
                </c:pt>
                <c:pt idx="27">
                  <c:v>-0.14824382357025612</c:v>
                </c:pt>
                <c:pt idx="28">
                  <c:v>-0.18445812103229564</c:v>
                </c:pt>
                <c:pt idx="29">
                  <c:v>-0.24422197662715106</c:v>
                </c:pt>
                <c:pt idx="30">
                  <c:v>-0.25170811494421652</c:v>
                </c:pt>
                <c:pt idx="31">
                  <c:v>-0.27038189349537278</c:v>
                </c:pt>
                <c:pt idx="32">
                  <c:v>-0.25677740044182451</c:v>
                </c:pt>
                <c:pt idx="33">
                  <c:v>-0.25550838439092827</c:v>
                </c:pt>
                <c:pt idx="34">
                  <c:v>-0.22695013994545388</c:v>
                </c:pt>
                <c:pt idx="35">
                  <c:v>-0.26502971394232389</c:v>
                </c:pt>
                <c:pt idx="36">
                  <c:v>-0.25442107484266507</c:v>
                </c:pt>
                <c:pt idx="37">
                  <c:v>-0.27677178675184022</c:v>
                </c:pt>
                <c:pt idx="38">
                  <c:v>-0.27800767288917705</c:v>
                </c:pt>
                <c:pt idx="39">
                  <c:v>-0.27953158723945148</c:v>
                </c:pt>
                <c:pt idx="40">
                  <c:v>-0.28121753675490024</c:v>
                </c:pt>
                <c:pt idx="41">
                  <c:v>-0.26623232848228695</c:v>
                </c:pt>
                <c:pt idx="42">
                  <c:v>-0.28340613408216186</c:v>
                </c:pt>
                <c:pt idx="43">
                  <c:v>-0.3453362646507</c:v>
                </c:pt>
                <c:pt idx="44">
                  <c:v>-0.35561148590564473</c:v>
                </c:pt>
                <c:pt idx="45">
                  <c:v>-0.40694732557763946</c:v>
                </c:pt>
                <c:pt idx="46">
                  <c:v>-0.42285373248729241</c:v>
                </c:pt>
                <c:pt idx="47">
                  <c:v>-0.44178403317954495</c:v>
                </c:pt>
                <c:pt idx="48">
                  <c:v>-0.44974542312255883</c:v>
                </c:pt>
                <c:pt idx="49">
                  <c:v>-0.46692466600072313</c:v>
                </c:pt>
                <c:pt idx="50">
                  <c:v>-0.48088498893713405</c:v>
                </c:pt>
                <c:pt idx="51">
                  <c:v>-0.46918029463067279</c:v>
                </c:pt>
                <c:pt idx="52">
                  <c:v>-0.45903586969448873</c:v>
                </c:pt>
                <c:pt idx="53">
                  <c:v>-0.45310565148091353</c:v>
                </c:pt>
                <c:pt idx="54">
                  <c:v>-0.47704528950926306</c:v>
                </c:pt>
                <c:pt idx="55">
                  <c:v>-0.4331540064254743</c:v>
                </c:pt>
                <c:pt idx="56">
                  <c:v>-0.40675799381383659</c:v>
                </c:pt>
                <c:pt idx="57">
                  <c:v>-0.42689515150373791</c:v>
                </c:pt>
                <c:pt idx="58">
                  <c:v>-0.41451519324676855</c:v>
                </c:pt>
                <c:pt idx="59">
                  <c:v>-0.42872261886358665</c:v>
                </c:pt>
                <c:pt idx="60">
                  <c:v>-0.43379464563122361</c:v>
                </c:pt>
                <c:pt idx="61">
                  <c:v>-0.4533061050449011</c:v>
                </c:pt>
                <c:pt idx="62">
                  <c:v>-0.48248412515351746</c:v>
                </c:pt>
                <c:pt idx="63">
                  <c:v>-0.50088321873830566</c:v>
                </c:pt>
                <c:pt idx="64">
                  <c:v>-0.50312545346053006</c:v>
                </c:pt>
                <c:pt idx="65">
                  <c:v>-0.50707617573133079</c:v>
                </c:pt>
                <c:pt idx="66">
                  <c:v>-0.50650890951770366</c:v>
                </c:pt>
                <c:pt idx="67">
                  <c:v>-0.54590502220024062</c:v>
                </c:pt>
                <c:pt idx="68">
                  <c:v>-0.56415079197717111</c:v>
                </c:pt>
                <c:pt idx="69">
                  <c:v>-0.56392368329994924</c:v>
                </c:pt>
                <c:pt idx="70">
                  <c:v>-0.55620227399816202</c:v>
                </c:pt>
                <c:pt idx="71">
                  <c:v>-0.52072915158668254</c:v>
                </c:pt>
                <c:pt idx="72">
                  <c:v>-0.48444163586842037</c:v>
                </c:pt>
                <c:pt idx="73">
                  <c:v>-0.48405721554536074</c:v>
                </c:pt>
                <c:pt idx="74">
                  <c:v>-0.46383124891391248</c:v>
                </c:pt>
                <c:pt idx="75">
                  <c:v>-0.49920590979872781</c:v>
                </c:pt>
                <c:pt idx="76">
                  <c:v>-0.49368666544679474</c:v>
                </c:pt>
                <c:pt idx="77">
                  <c:v>-0.50685961162926674</c:v>
                </c:pt>
                <c:pt idx="78">
                  <c:v>-0.51303911054444429</c:v>
                </c:pt>
                <c:pt idx="79">
                  <c:v>-0.46186641989001864</c:v>
                </c:pt>
                <c:pt idx="80">
                  <c:v>-0.50461460515491652</c:v>
                </c:pt>
                <c:pt idx="81">
                  <c:v>-0.49864834841527861</c:v>
                </c:pt>
                <c:pt idx="82">
                  <c:v>-0.5277342483420725</c:v>
                </c:pt>
                <c:pt idx="83">
                  <c:v>-0.52583125063468161</c:v>
                </c:pt>
                <c:pt idx="84">
                  <c:v>-0.51894001241641052</c:v>
                </c:pt>
                <c:pt idx="85">
                  <c:v>-0.54530699725322762</c:v>
                </c:pt>
                <c:pt idx="86">
                  <c:v>-0.57517447393728405</c:v>
                </c:pt>
                <c:pt idx="87">
                  <c:v>-0.60606955990422717</c:v>
                </c:pt>
                <c:pt idx="88">
                  <c:v>-0.60055030498908202</c:v>
                </c:pt>
                <c:pt idx="89">
                  <c:v>-0.56020821592357894</c:v>
                </c:pt>
                <c:pt idx="90">
                  <c:v>-0.57574797014598134</c:v>
                </c:pt>
                <c:pt idx="91">
                  <c:v>-0.56701813793493394</c:v>
                </c:pt>
                <c:pt idx="92">
                  <c:v>-0.53619898044123659</c:v>
                </c:pt>
                <c:pt idx="93">
                  <c:v>-0.50633916991697014</c:v>
                </c:pt>
                <c:pt idx="94">
                  <c:v>-0.51106234576724774</c:v>
                </c:pt>
                <c:pt idx="95">
                  <c:v>-0.51126209641303721</c:v>
                </c:pt>
                <c:pt idx="96">
                  <c:v>-0.45892268429200234</c:v>
                </c:pt>
                <c:pt idx="97">
                  <c:v>-0.50094061205460783</c:v>
                </c:pt>
                <c:pt idx="98">
                  <c:v>-0.49795771869375882</c:v>
                </c:pt>
                <c:pt idx="99">
                  <c:v>-0.51331159819904948</c:v>
                </c:pt>
                <c:pt idx="100">
                  <c:v>-0.49325918342317909</c:v>
                </c:pt>
                <c:pt idx="101">
                  <c:v>-0.49077705736645783</c:v>
                </c:pt>
                <c:pt idx="102">
                  <c:v>-0.49362039376133959</c:v>
                </c:pt>
                <c:pt idx="103">
                  <c:v>-0.52468991468209536</c:v>
                </c:pt>
                <c:pt idx="104">
                  <c:v>-0.51796434027317717</c:v>
                </c:pt>
                <c:pt idx="105">
                  <c:v>-0.55121374237780829</c:v>
                </c:pt>
                <c:pt idx="106">
                  <c:v>-0.54114208278676079</c:v>
                </c:pt>
                <c:pt idx="107">
                  <c:v>-0.50300080915451517</c:v>
                </c:pt>
                <c:pt idx="108">
                  <c:v>-0.46754699404935263</c:v>
                </c:pt>
                <c:pt idx="109">
                  <c:v>-0.48820964064468386</c:v>
                </c:pt>
                <c:pt idx="110">
                  <c:v>-0.50334349633567532</c:v>
                </c:pt>
                <c:pt idx="111">
                  <c:v>-0.49985640962897737</c:v>
                </c:pt>
                <c:pt idx="112">
                  <c:v>-0.48815260353843259</c:v>
                </c:pt>
                <c:pt idx="113">
                  <c:v>-0.49943919215219135</c:v>
                </c:pt>
                <c:pt idx="114">
                  <c:v>-0.5052736760770129</c:v>
                </c:pt>
                <c:pt idx="115">
                  <c:v>-0.51159424491736849</c:v>
                </c:pt>
                <c:pt idx="116">
                  <c:v>-0.53324289810601244</c:v>
                </c:pt>
                <c:pt idx="117">
                  <c:v>-0.5603298904200531</c:v>
                </c:pt>
                <c:pt idx="118">
                  <c:v>-0.52202186843348919</c:v>
                </c:pt>
                <c:pt idx="119">
                  <c:v>-0.51543953155609801</c:v>
                </c:pt>
                <c:pt idx="120">
                  <c:v>-0.52993525192166968</c:v>
                </c:pt>
                <c:pt idx="121">
                  <c:v>-0.51590578915720875</c:v>
                </c:pt>
                <c:pt idx="122">
                  <c:v>-0.50443331123811941</c:v>
                </c:pt>
                <c:pt idx="123">
                  <c:v>-0.50931603306916395</c:v>
                </c:pt>
                <c:pt idx="124">
                  <c:v>-0.50288894208307866</c:v>
                </c:pt>
                <c:pt idx="125">
                  <c:v>-0.49134124630519516</c:v>
                </c:pt>
                <c:pt idx="126">
                  <c:v>-0.49617585691227217</c:v>
                </c:pt>
                <c:pt idx="127">
                  <c:v>-0.48091741603971361</c:v>
                </c:pt>
                <c:pt idx="128">
                  <c:v>-0.4163077476208491</c:v>
                </c:pt>
                <c:pt idx="129">
                  <c:v>-0.38291746144853323</c:v>
                </c:pt>
                <c:pt idx="130">
                  <c:v>-0.35720995504329389</c:v>
                </c:pt>
                <c:pt idx="131">
                  <c:v>-0.39942975097936406</c:v>
                </c:pt>
                <c:pt idx="132">
                  <c:v>-0.42097069231514217</c:v>
                </c:pt>
                <c:pt idx="133">
                  <c:v>-0.44869419026561286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E-46C7-AA85-687A438B0A3F}"/>
            </c:ext>
          </c:extLst>
        </c:ser>
        <c:ser>
          <c:idx val="2"/>
          <c:order val="2"/>
          <c:tx>
            <c:strRef>
              <c:f>LSTM再投資累積報酬!$B$14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LSTM再投資累積報酬!$C$14:$EF$14</c:f>
              <c:numCache>
                <c:formatCode>General</c:formatCode>
                <c:ptCount val="134"/>
                <c:pt idx="0">
                  <c:v>-3.3228977675766158E-2</c:v>
                </c:pt>
                <c:pt idx="1">
                  <c:v>-0.17016595278607671</c:v>
                </c:pt>
                <c:pt idx="2">
                  <c:v>-0.20993221939577844</c:v>
                </c:pt>
                <c:pt idx="3">
                  <c:v>-0.16225802450923832</c:v>
                </c:pt>
                <c:pt idx="4">
                  <c:v>-0.2072084360945512</c:v>
                </c:pt>
                <c:pt idx="5">
                  <c:v>-0.21633208822126604</c:v>
                </c:pt>
                <c:pt idx="6">
                  <c:v>-0.23992059838583613</c:v>
                </c:pt>
                <c:pt idx="7">
                  <c:v>-0.27430018611045204</c:v>
                </c:pt>
                <c:pt idx="8">
                  <c:v>-0.31118566891642674</c:v>
                </c:pt>
                <c:pt idx="9">
                  <c:v>-0.27242533915917411</c:v>
                </c:pt>
                <c:pt idx="10">
                  <c:v>-0.25858562170870236</c:v>
                </c:pt>
                <c:pt idx="11">
                  <c:v>-0.30112013950654659</c:v>
                </c:pt>
                <c:pt idx="12">
                  <c:v>-0.30007572789493342</c:v>
                </c:pt>
                <c:pt idx="13">
                  <c:v>-0.29549722859226712</c:v>
                </c:pt>
                <c:pt idx="14">
                  <c:v>-0.3513626481246207</c:v>
                </c:pt>
                <c:pt idx="15">
                  <c:v>-0.33984135129219717</c:v>
                </c:pt>
                <c:pt idx="16">
                  <c:v>-0.35621773927163636</c:v>
                </c:pt>
                <c:pt idx="17">
                  <c:v>-0.37876270745262741</c:v>
                </c:pt>
                <c:pt idx="18">
                  <c:v>-0.35978007554719027</c:v>
                </c:pt>
                <c:pt idx="19">
                  <c:v>-0.39334123637462981</c:v>
                </c:pt>
                <c:pt idx="20">
                  <c:v>-0.42233649364041825</c:v>
                </c:pt>
                <c:pt idx="21">
                  <c:v>-0.31449498012696775</c:v>
                </c:pt>
                <c:pt idx="22">
                  <c:v>-0.2766612784621203</c:v>
                </c:pt>
                <c:pt idx="23">
                  <c:v>-0.3610778235296479</c:v>
                </c:pt>
                <c:pt idx="24">
                  <c:v>-0.42490990550026342</c:v>
                </c:pt>
                <c:pt idx="25">
                  <c:v>-0.40918925498075254</c:v>
                </c:pt>
                <c:pt idx="26">
                  <c:v>-0.41101282917568094</c:v>
                </c:pt>
                <c:pt idx="27">
                  <c:v>-0.45216806727426662</c:v>
                </c:pt>
                <c:pt idx="28">
                  <c:v>-0.51046399847906221</c:v>
                </c:pt>
                <c:pt idx="29">
                  <c:v>-0.55749866423465266</c:v>
                </c:pt>
                <c:pt idx="30">
                  <c:v>-0.56870691111099392</c:v>
                </c:pt>
                <c:pt idx="31">
                  <c:v>-0.60362102878344781</c:v>
                </c:pt>
                <c:pt idx="32">
                  <c:v>-0.6176776750885985</c:v>
                </c:pt>
                <c:pt idx="33">
                  <c:v>-0.62704670353453618</c:v>
                </c:pt>
                <c:pt idx="34">
                  <c:v>-0.59815202045133264</c:v>
                </c:pt>
                <c:pt idx="35">
                  <c:v>-0.61873876596898403</c:v>
                </c:pt>
                <c:pt idx="36">
                  <c:v>-0.60254894385258551</c:v>
                </c:pt>
                <c:pt idx="37">
                  <c:v>-0.61015318541524066</c:v>
                </c:pt>
                <c:pt idx="38">
                  <c:v>-0.62498465506670287</c:v>
                </c:pt>
                <c:pt idx="39">
                  <c:v>-0.62185260879787507</c:v>
                </c:pt>
                <c:pt idx="40">
                  <c:v>-0.61060900853120925</c:v>
                </c:pt>
                <c:pt idx="41">
                  <c:v>-0.60765637670482309</c:v>
                </c:pt>
                <c:pt idx="42">
                  <c:v>-0.60503970431603071</c:v>
                </c:pt>
                <c:pt idx="43">
                  <c:v>-0.6364009261408804</c:v>
                </c:pt>
                <c:pt idx="44">
                  <c:v>-0.65727937148867621</c:v>
                </c:pt>
                <c:pt idx="45">
                  <c:v>-0.67998761166444643</c:v>
                </c:pt>
                <c:pt idx="46">
                  <c:v>-0.69724545774446223</c:v>
                </c:pt>
                <c:pt idx="47">
                  <c:v>-0.70310987782835088</c:v>
                </c:pt>
                <c:pt idx="48">
                  <c:v>-0.70361179190401724</c:v>
                </c:pt>
                <c:pt idx="49">
                  <c:v>-0.72171239182023328</c:v>
                </c:pt>
                <c:pt idx="50">
                  <c:v>-0.74032700305740584</c:v>
                </c:pt>
                <c:pt idx="51">
                  <c:v>-0.71168215045877148</c:v>
                </c:pt>
                <c:pt idx="52">
                  <c:v>-0.71990084782499431</c:v>
                </c:pt>
                <c:pt idx="53">
                  <c:v>-0.70475038196612871</c:v>
                </c:pt>
                <c:pt idx="54">
                  <c:v>-0.72544199783385555</c:v>
                </c:pt>
                <c:pt idx="55">
                  <c:v>-0.71424812489099931</c:v>
                </c:pt>
                <c:pt idx="56">
                  <c:v>-0.70242535135061801</c:v>
                </c:pt>
                <c:pt idx="57">
                  <c:v>-0.73032299972910331</c:v>
                </c:pt>
                <c:pt idx="58">
                  <c:v>-0.74138813504724865</c:v>
                </c:pt>
                <c:pt idx="59">
                  <c:v>-0.75912999401554349</c:v>
                </c:pt>
                <c:pt idx="60">
                  <c:v>-0.76724524652144033</c:v>
                </c:pt>
                <c:pt idx="61">
                  <c:v>-0.78120980914940863</c:v>
                </c:pt>
                <c:pt idx="62">
                  <c:v>-0.79133505270906068</c:v>
                </c:pt>
                <c:pt idx="63">
                  <c:v>-0.79677869556489267</c:v>
                </c:pt>
                <c:pt idx="64">
                  <c:v>-0.79946898818048917</c:v>
                </c:pt>
                <c:pt idx="65">
                  <c:v>-0.78937580447759015</c:v>
                </c:pt>
                <c:pt idx="66">
                  <c:v>-0.77865830135088754</c:v>
                </c:pt>
                <c:pt idx="67">
                  <c:v>-0.80080407462835324</c:v>
                </c:pt>
                <c:pt idx="68">
                  <c:v>-0.80684622965194075</c:v>
                </c:pt>
                <c:pt idx="69">
                  <c:v>-0.81278116436514181</c:v>
                </c:pt>
                <c:pt idx="70">
                  <c:v>-0.8144389563306107</c:v>
                </c:pt>
                <c:pt idx="71">
                  <c:v>-0.79440177177689453</c:v>
                </c:pt>
                <c:pt idx="72">
                  <c:v>-0.76748947593871841</c:v>
                </c:pt>
                <c:pt idx="73">
                  <c:v>-0.77082258295621675</c:v>
                </c:pt>
                <c:pt idx="74">
                  <c:v>-0.78058656984943997</c:v>
                </c:pt>
                <c:pt idx="75">
                  <c:v>-0.80107422829325792</c:v>
                </c:pt>
                <c:pt idx="76">
                  <c:v>-0.78187464394360784</c:v>
                </c:pt>
                <c:pt idx="77">
                  <c:v>-0.79484809889732366</c:v>
                </c:pt>
                <c:pt idx="78">
                  <c:v>-0.79747282889326432</c:v>
                </c:pt>
                <c:pt idx="79">
                  <c:v>-0.77762178190950682</c:v>
                </c:pt>
                <c:pt idx="80">
                  <c:v>-0.80305142243910876</c:v>
                </c:pt>
                <c:pt idx="81">
                  <c:v>-0.79460677751528008</c:v>
                </c:pt>
                <c:pt idx="82">
                  <c:v>-0.80638005334097651</c:v>
                </c:pt>
                <c:pt idx="83">
                  <c:v>-0.79691597415456239</c:v>
                </c:pt>
                <c:pt idx="84">
                  <c:v>-0.79393031160086103</c:v>
                </c:pt>
                <c:pt idx="85">
                  <c:v>-0.79759755175164337</c:v>
                </c:pt>
                <c:pt idx="86">
                  <c:v>-0.80848520175846295</c:v>
                </c:pt>
                <c:pt idx="87">
                  <c:v>-0.83478852794363245</c:v>
                </c:pt>
                <c:pt idx="88">
                  <c:v>-0.83563062847413372</c:v>
                </c:pt>
                <c:pt idx="89">
                  <c:v>-0.80693244715501633</c:v>
                </c:pt>
                <c:pt idx="90">
                  <c:v>-0.82213917330363584</c:v>
                </c:pt>
                <c:pt idx="91">
                  <c:v>-0.80548084250796359</c:v>
                </c:pt>
                <c:pt idx="92">
                  <c:v>-0.79921189857413133</c:v>
                </c:pt>
                <c:pt idx="93">
                  <c:v>-0.78663440030902221</c:v>
                </c:pt>
                <c:pt idx="94">
                  <c:v>-0.78569289610898385</c:v>
                </c:pt>
                <c:pt idx="95">
                  <c:v>-0.78362228524175226</c:v>
                </c:pt>
                <c:pt idx="96">
                  <c:v>-0.761650210205992</c:v>
                </c:pt>
                <c:pt idx="97">
                  <c:v>-0.79773561547139071</c:v>
                </c:pt>
                <c:pt idx="98">
                  <c:v>-0.79842298720875748</c:v>
                </c:pt>
                <c:pt idx="99">
                  <c:v>-0.81669377189966141</c:v>
                </c:pt>
                <c:pt idx="100">
                  <c:v>-0.79903017660054299</c:v>
                </c:pt>
                <c:pt idx="101">
                  <c:v>-0.79695990613042245</c:v>
                </c:pt>
                <c:pt idx="102">
                  <c:v>-0.80189465128505133</c:v>
                </c:pt>
                <c:pt idx="103">
                  <c:v>-0.81977148253341436</c:v>
                </c:pt>
                <c:pt idx="104">
                  <c:v>-0.81202191905909815</c:v>
                </c:pt>
                <c:pt idx="105">
                  <c:v>-0.82691078909976878</c:v>
                </c:pt>
                <c:pt idx="106">
                  <c:v>-0.8160880531634721</c:v>
                </c:pt>
                <c:pt idx="107">
                  <c:v>-0.77901823894717692</c:v>
                </c:pt>
                <c:pt idx="108">
                  <c:v>-0.75972104958706066</c:v>
                </c:pt>
                <c:pt idx="109">
                  <c:v>-0.76174257415217617</c:v>
                </c:pt>
                <c:pt idx="110">
                  <c:v>-0.77142991490764756</c:v>
                </c:pt>
                <c:pt idx="111">
                  <c:v>-0.76941986286228303</c:v>
                </c:pt>
                <c:pt idx="112">
                  <c:v>-0.75156989715438227</c:v>
                </c:pt>
                <c:pt idx="113">
                  <c:v>-0.76169463415504102</c:v>
                </c:pt>
                <c:pt idx="114">
                  <c:v>-0.76942095088558538</c:v>
                </c:pt>
                <c:pt idx="115">
                  <c:v>-0.75905971054482657</c:v>
                </c:pt>
                <c:pt idx="116">
                  <c:v>-0.77599505387290613</c:v>
                </c:pt>
                <c:pt idx="117">
                  <c:v>-0.79008828206529014</c:v>
                </c:pt>
                <c:pt idx="118">
                  <c:v>-0.7751483267642455</c:v>
                </c:pt>
                <c:pt idx="119">
                  <c:v>-0.76331606521400841</c:v>
                </c:pt>
                <c:pt idx="120">
                  <c:v>-0.78448454484121222</c:v>
                </c:pt>
                <c:pt idx="121">
                  <c:v>-0.78281337542935137</c:v>
                </c:pt>
                <c:pt idx="122">
                  <c:v>-0.75698606620065234</c:v>
                </c:pt>
                <c:pt idx="123">
                  <c:v>-0.7679589287654035</c:v>
                </c:pt>
                <c:pt idx="124">
                  <c:v>-0.76074431487716787</c:v>
                </c:pt>
                <c:pt idx="125">
                  <c:v>-0.75411939736436184</c:v>
                </c:pt>
                <c:pt idx="126">
                  <c:v>-0.76583830947235454</c:v>
                </c:pt>
                <c:pt idx="127">
                  <c:v>-0.76075756529176775</c:v>
                </c:pt>
                <c:pt idx="128">
                  <c:v>-0.7457061814605539</c:v>
                </c:pt>
                <c:pt idx="129">
                  <c:v>-0.7258255337790166</c:v>
                </c:pt>
                <c:pt idx="130">
                  <c:v>-0.7241587224235988</c:v>
                </c:pt>
                <c:pt idx="131">
                  <c:v>-0.75246823252281114</c:v>
                </c:pt>
                <c:pt idx="132">
                  <c:v>-0.76298975330000096</c:v>
                </c:pt>
                <c:pt idx="133">
                  <c:v>-0.78312410189227477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CE-46C7-AA85-687A438B0A3F}"/>
            </c:ext>
          </c:extLst>
        </c:ser>
        <c:ser>
          <c:idx val="3"/>
          <c:order val="3"/>
          <c:tx>
            <c:strRef>
              <c:f>LSTM再投資累積報酬!$B$15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LSTM再投資累積報酬!$C$15:$EF$15</c:f>
              <c:numCache>
                <c:formatCode>General</c:formatCode>
                <c:ptCount val="134"/>
                <c:pt idx="0">
                  <c:v>-3.6350225217569587E-2</c:v>
                </c:pt>
                <c:pt idx="1">
                  <c:v>-0.29946021879845908</c:v>
                </c:pt>
                <c:pt idx="2">
                  <c:v>-0.36625290785384002</c:v>
                </c:pt>
                <c:pt idx="3">
                  <c:v>-0.38838426672521353</c:v>
                </c:pt>
                <c:pt idx="4">
                  <c:v>-0.40942624607499534</c:v>
                </c:pt>
                <c:pt idx="5">
                  <c:v>-0.41016075804198482</c:v>
                </c:pt>
                <c:pt idx="6">
                  <c:v>-0.45693093452531786</c:v>
                </c:pt>
                <c:pt idx="7">
                  <c:v>-0.49066704185039189</c:v>
                </c:pt>
                <c:pt idx="8">
                  <c:v>-0.53880654329680155</c:v>
                </c:pt>
                <c:pt idx="9">
                  <c:v>-0.50137098128888291</c:v>
                </c:pt>
                <c:pt idx="10">
                  <c:v>-0.5003073973963621</c:v>
                </c:pt>
                <c:pt idx="11">
                  <c:v>-0.55517174354463217</c:v>
                </c:pt>
                <c:pt idx="12">
                  <c:v>-0.56063014022749602</c:v>
                </c:pt>
                <c:pt idx="13">
                  <c:v>-0.55100944740510105</c:v>
                </c:pt>
                <c:pt idx="14">
                  <c:v>-0.57161754420041477</c:v>
                </c:pt>
                <c:pt idx="15">
                  <c:v>-0.51734531734245537</c:v>
                </c:pt>
                <c:pt idx="16">
                  <c:v>-0.47608418682404396</c:v>
                </c:pt>
                <c:pt idx="17">
                  <c:v>-0.50012724780941409</c:v>
                </c:pt>
                <c:pt idx="18">
                  <c:v>-0.46103750329163828</c:v>
                </c:pt>
                <c:pt idx="19">
                  <c:v>-0.5203918295787231</c:v>
                </c:pt>
                <c:pt idx="20">
                  <c:v>-0.5446942586535034</c:v>
                </c:pt>
                <c:pt idx="21">
                  <c:v>-0.44853991132610005</c:v>
                </c:pt>
                <c:pt idx="22">
                  <c:v>-0.41984810573591202</c:v>
                </c:pt>
                <c:pt idx="23">
                  <c:v>-0.4562260193424702</c:v>
                </c:pt>
                <c:pt idx="24">
                  <c:v>-0.5436922730563013</c:v>
                </c:pt>
                <c:pt idx="25">
                  <c:v>-0.53357757311968301</c:v>
                </c:pt>
                <c:pt idx="26">
                  <c:v>-0.53156371553710757</c:v>
                </c:pt>
                <c:pt idx="27">
                  <c:v>-0.56984122526065129</c:v>
                </c:pt>
                <c:pt idx="28">
                  <c:v>-0.6119097571862876</c:v>
                </c:pt>
                <c:pt idx="29">
                  <c:v>-0.66535998541889452</c:v>
                </c:pt>
                <c:pt idx="30">
                  <c:v>-0.68019275154132841</c:v>
                </c:pt>
                <c:pt idx="31">
                  <c:v>-0.72271667867988776</c:v>
                </c:pt>
                <c:pt idx="32">
                  <c:v>-0.72960696322993335</c:v>
                </c:pt>
                <c:pt idx="33">
                  <c:v>-0.73872405458531309</c:v>
                </c:pt>
                <c:pt idx="34">
                  <c:v>-0.72060157584981055</c:v>
                </c:pt>
                <c:pt idx="35">
                  <c:v>-0.7296429574138239</c:v>
                </c:pt>
                <c:pt idx="36">
                  <c:v>-0.71108802723595521</c:v>
                </c:pt>
                <c:pt idx="37">
                  <c:v>-0.72134453524520636</c:v>
                </c:pt>
                <c:pt idx="38">
                  <c:v>-0.73566311261387651</c:v>
                </c:pt>
                <c:pt idx="39">
                  <c:v>-0.71172598664039977</c:v>
                </c:pt>
                <c:pt idx="40">
                  <c:v>-0.70121744195084901</c:v>
                </c:pt>
                <c:pt idx="41">
                  <c:v>-0.6959188841265056</c:v>
                </c:pt>
                <c:pt idx="42">
                  <c:v>-0.68110003179704037</c:v>
                </c:pt>
                <c:pt idx="43">
                  <c:v>-0.70373868077909596</c:v>
                </c:pt>
                <c:pt idx="44">
                  <c:v>-0.72660237471482558</c:v>
                </c:pt>
                <c:pt idx="45">
                  <c:v>-0.7367995398492182</c:v>
                </c:pt>
                <c:pt idx="46">
                  <c:v>-0.76094225289689632</c:v>
                </c:pt>
                <c:pt idx="47">
                  <c:v>-0.78039212649707679</c:v>
                </c:pt>
                <c:pt idx="48">
                  <c:v>-0.78676199765560806</c:v>
                </c:pt>
                <c:pt idx="49">
                  <c:v>-0.80122941334326914</c:v>
                </c:pt>
                <c:pt idx="50">
                  <c:v>-0.79821769339398774</c:v>
                </c:pt>
                <c:pt idx="51">
                  <c:v>-0.75832267804066256</c:v>
                </c:pt>
                <c:pt idx="52">
                  <c:v>-0.76579937482223404</c:v>
                </c:pt>
                <c:pt idx="53">
                  <c:v>-0.76353992870780341</c:v>
                </c:pt>
                <c:pt idx="54">
                  <c:v>-0.77332889581014652</c:v>
                </c:pt>
                <c:pt idx="55">
                  <c:v>-0.76252507562770622</c:v>
                </c:pt>
                <c:pt idx="56">
                  <c:v>-0.76193387260499346</c:v>
                </c:pt>
                <c:pt idx="57">
                  <c:v>-0.7749582862091442</c:v>
                </c:pt>
                <c:pt idx="58">
                  <c:v>-0.77971996957753364</c:v>
                </c:pt>
                <c:pt idx="59">
                  <c:v>-0.80838066051517588</c:v>
                </c:pt>
                <c:pt idx="60">
                  <c:v>-0.79964187351052052</c:v>
                </c:pt>
                <c:pt idx="61">
                  <c:v>-0.81161435770452561</c:v>
                </c:pt>
                <c:pt idx="62">
                  <c:v>-0.8206981258357976</c:v>
                </c:pt>
                <c:pt idx="63">
                  <c:v>-0.83212337168369821</c:v>
                </c:pt>
                <c:pt idx="64">
                  <c:v>-0.82044660972249583</c:v>
                </c:pt>
                <c:pt idx="65">
                  <c:v>-0.81117862850657607</c:v>
                </c:pt>
                <c:pt idx="66">
                  <c:v>-0.80297787965636902</c:v>
                </c:pt>
                <c:pt idx="67">
                  <c:v>-0.82736175819533708</c:v>
                </c:pt>
                <c:pt idx="68">
                  <c:v>-0.82941026819201058</c:v>
                </c:pt>
                <c:pt idx="69">
                  <c:v>-0.83962022332837649</c:v>
                </c:pt>
                <c:pt idx="70">
                  <c:v>-0.83649659947116439</c:v>
                </c:pt>
                <c:pt idx="71">
                  <c:v>-0.81938759639765801</c:v>
                </c:pt>
                <c:pt idx="72">
                  <c:v>-0.76540634370411043</c:v>
                </c:pt>
                <c:pt idx="73">
                  <c:v>-0.77803958016006236</c:v>
                </c:pt>
                <c:pt idx="74">
                  <c:v>-0.80601182546096184</c:v>
                </c:pt>
                <c:pt idx="75">
                  <c:v>-0.84572508808310198</c:v>
                </c:pt>
                <c:pt idx="76">
                  <c:v>-0.83138978091447913</c:v>
                </c:pt>
                <c:pt idx="77">
                  <c:v>-0.84701726825249768</c:v>
                </c:pt>
                <c:pt idx="78">
                  <c:v>-0.8703193325355234</c:v>
                </c:pt>
                <c:pt idx="79">
                  <c:v>-0.85473793008994292</c:v>
                </c:pt>
                <c:pt idx="80">
                  <c:v>-0.86889963752684252</c:v>
                </c:pt>
                <c:pt idx="81">
                  <c:v>-0.86347871228309359</c:v>
                </c:pt>
                <c:pt idx="82">
                  <c:v>-0.87520398253927345</c:v>
                </c:pt>
                <c:pt idx="83">
                  <c:v>-0.86505274901308504</c:v>
                </c:pt>
                <c:pt idx="84">
                  <c:v>-0.86539159329888737</c:v>
                </c:pt>
                <c:pt idx="85">
                  <c:v>-0.87086634831492993</c:v>
                </c:pt>
                <c:pt idx="86">
                  <c:v>-0.88321678737636355</c:v>
                </c:pt>
                <c:pt idx="87">
                  <c:v>-0.90209531607332671</c:v>
                </c:pt>
                <c:pt idx="88">
                  <c:v>-0.90666027232269686</c:v>
                </c:pt>
                <c:pt idx="89">
                  <c:v>-0.89329870738954542</c:v>
                </c:pt>
                <c:pt idx="90">
                  <c:v>-0.90471353102812879</c:v>
                </c:pt>
                <c:pt idx="91">
                  <c:v>-0.89231688074463578</c:v>
                </c:pt>
                <c:pt idx="92">
                  <c:v>-0.89500501326568105</c:v>
                </c:pt>
                <c:pt idx="93">
                  <c:v>-0.89244583199735217</c:v>
                </c:pt>
                <c:pt idx="94">
                  <c:v>-0.89314311116442868</c:v>
                </c:pt>
                <c:pt idx="95">
                  <c:v>-0.89367116268534896</c:v>
                </c:pt>
                <c:pt idx="96">
                  <c:v>-0.88048107770915007</c:v>
                </c:pt>
                <c:pt idx="97">
                  <c:v>-0.90230661309014004</c:v>
                </c:pt>
                <c:pt idx="98">
                  <c:v>-0.90352628182758599</c:v>
                </c:pt>
                <c:pt idx="99">
                  <c:v>-0.91822769746129118</c:v>
                </c:pt>
                <c:pt idx="100">
                  <c:v>-0.91062713330764133</c:v>
                </c:pt>
                <c:pt idx="101">
                  <c:v>-0.90850333592396515</c:v>
                </c:pt>
                <c:pt idx="102">
                  <c:v>-0.91091663687911539</c:v>
                </c:pt>
                <c:pt idx="103">
                  <c:v>-0.92959415785969812</c:v>
                </c:pt>
                <c:pt idx="104">
                  <c:v>-0.92482821518207647</c:v>
                </c:pt>
                <c:pt idx="105">
                  <c:v>-0.92591871167724216</c:v>
                </c:pt>
                <c:pt idx="106">
                  <c:v>-0.92168395597113939</c:v>
                </c:pt>
                <c:pt idx="107">
                  <c:v>-0.89797608790847883</c:v>
                </c:pt>
                <c:pt idx="108">
                  <c:v>-0.88643804424296113</c:v>
                </c:pt>
                <c:pt idx="109">
                  <c:v>-0.88633147602669948</c:v>
                </c:pt>
                <c:pt idx="110">
                  <c:v>-0.8924818887431325</c:v>
                </c:pt>
                <c:pt idx="111">
                  <c:v>-0.88602824564280602</c:v>
                </c:pt>
                <c:pt idx="112">
                  <c:v>-0.8778007845062934</c:v>
                </c:pt>
                <c:pt idx="113">
                  <c:v>-0.87776363677539249</c:v>
                </c:pt>
                <c:pt idx="114">
                  <c:v>-0.88253722549624913</c:v>
                </c:pt>
                <c:pt idx="115">
                  <c:v>-0.87293690927306389</c:v>
                </c:pt>
                <c:pt idx="116">
                  <c:v>-0.87727032174558051</c:v>
                </c:pt>
                <c:pt idx="117">
                  <c:v>-0.89375352472370873</c:v>
                </c:pt>
                <c:pt idx="118">
                  <c:v>-0.88981829457368278</c:v>
                </c:pt>
                <c:pt idx="119">
                  <c:v>-0.88210441094585557</c:v>
                </c:pt>
                <c:pt idx="120">
                  <c:v>-0.88323285358218828</c:v>
                </c:pt>
                <c:pt idx="121">
                  <c:v>-0.87707703091256484</c:v>
                </c:pt>
                <c:pt idx="122">
                  <c:v>-0.85388876275059467</c:v>
                </c:pt>
                <c:pt idx="123">
                  <c:v>-0.86071620910025193</c:v>
                </c:pt>
                <c:pt idx="124">
                  <c:v>-0.85368958746477175</c:v>
                </c:pt>
                <c:pt idx="125">
                  <c:v>-0.85053723155183425</c:v>
                </c:pt>
                <c:pt idx="126">
                  <c:v>-0.83803113846456689</c:v>
                </c:pt>
                <c:pt idx="127">
                  <c:v>-0.83210364538557957</c:v>
                </c:pt>
                <c:pt idx="128">
                  <c:v>-0.82480834389696478</c:v>
                </c:pt>
                <c:pt idx="129">
                  <c:v>-0.80937615773239258</c:v>
                </c:pt>
                <c:pt idx="130">
                  <c:v>-0.79677938042835805</c:v>
                </c:pt>
                <c:pt idx="131">
                  <c:v>-0.81981587156834934</c:v>
                </c:pt>
                <c:pt idx="132">
                  <c:v>-0.82870690962404148</c:v>
                </c:pt>
                <c:pt idx="133">
                  <c:v>-0.8560595793932757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CE-46C7-AA85-687A438B0A3F}"/>
            </c:ext>
          </c:extLst>
        </c:ser>
        <c:ser>
          <c:idx val="4"/>
          <c:order val="4"/>
          <c:tx>
            <c:strRef>
              <c:f>LSTM再投資累積報酬!$B$16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LSTM再投資累積報酬!$C$16:$EF$16</c:f>
              <c:numCache>
                <c:formatCode>General</c:formatCode>
                <c:ptCount val="134"/>
                <c:pt idx="0">
                  <c:v>-3.9435389831589451E-2</c:v>
                </c:pt>
                <c:pt idx="1">
                  <c:v>-0.26453215731781543</c:v>
                </c:pt>
                <c:pt idx="2">
                  <c:v>-0.32830028722991988</c:v>
                </c:pt>
                <c:pt idx="3">
                  <c:v>-0.38117344709862033</c:v>
                </c:pt>
                <c:pt idx="4">
                  <c:v>-0.38621474896093444</c:v>
                </c:pt>
                <c:pt idx="5">
                  <c:v>-0.38661331008030264</c:v>
                </c:pt>
                <c:pt idx="6">
                  <c:v>-0.45360615509089286</c:v>
                </c:pt>
                <c:pt idx="7">
                  <c:v>-0.49355007995259303</c:v>
                </c:pt>
                <c:pt idx="8">
                  <c:v>-0.5373179335849203</c:v>
                </c:pt>
                <c:pt idx="9">
                  <c:v>-0.49791518661413414</c:v>
                </c:pt>
                <c:pt idx="10">
                  <c:v>-0.49089230748965673</c:v>
                </c:pt>
                <c:pt idx="11">
                  <c:v>-0.5521086883302575</c:v>
                </c:pt>
                <c:pt idx="12">
                  <c:v>-0.56491259169038721</c:v>
                </c:pt>
                <c:pt idx="13">
                  <c:v>-0.56135001788672279</c:v>
                </c:pt>
                <c:pt idx="14">
                  <c:v>-0.59709062331551077</c:v>
                </c:pt>
                <c:pt idx="15">
                  <c:v>-0.55554676082108534</c:v>
                </c:pt>
                <c:pt idx="16">
                  <c:v>-0.50671955271338054</c:v>
                </c:pt>
                <c:pt idx="17">
                  <c:v>-0.52566481369444462</c:v>
                </c:pt>
                <c:pt idx="18">
                  <c:v>-0.482276456387843</c:v>
                </c:pt>
                <c:pt idx="19">
                  <c:v>-0.52140159397218322</c:v>
                </c:pt>
                <c:pt idx="20">
                  <c:v>-0.57004219949760759</c:v>
                </c:pt>
                <c:pt idx="21">
                  <c:v>-0.46662360632586541</c:v>
                </c:pt>
                <c:pt idx="22">
                  <c:v>-0.43980606292288504</c:v>
                </c:pt>
                <c:pt idx="23">
                  <c:v>-0.46390003675076186</c:v>
                </c:pt>
                <c:pt idx="24">
                  <c:v>-0.55297781226878773</c:v>
                </c:pt>
                <c:pt idx="25">
                  <c:v>-0.53854104545478454</c:v>
                </c:pt>
                <c:pt idx="26">
                  <c:v>-0.54443177575950918</c:v>
                </c:pt>
                <c:pt idx="27">
                  <c:v>-0.56863887422859039</c:v>
                </c:pt>
                <c:pt idx="28">
                  <c:v>-0.61026624108855376</c:v>
                </c:pt>
                <c:pt idx="29">
                  <c:v>-0.66791394787858926</c:v>
                </c:pt>
                <c:pt idx="30">
                  <c:v>-0.68245139994227821</c:v>
                </c:pt>
                <c:pt idx="31">
                  <c:v>-0.7295761282603983</c:v>
                </c:pt>
                <c:pt idx="32">
                  <c:v>-0.73860375751039808</c:v>
                </c:pt>
                <c:pt idx="33">
                  <c:v>-0.75118226978659641</c:v>
                </c:pt>
                <c:pt idx="34">
                  <c:v>-0.74186816298169245</c:v>
                </c:pt>
                <c:pt idx="35">
                  <c:v>-0.74327232341457616</c:v>
                </c:pt>
                <c:pt idx="36">
                  <c:v>-0.7298850706711173</c:v>
                </c:pt>
                <c:pt idx="37">
                  <c:v>-0.73583638269809692</c:v>
                </c:pt>
                <c:pt idx="38">
                  <c:v>-0.7466909062456244</c:v>
                </c:pt>
                <c:pt idx="39">
                  <c:v>-0.7226962827483574</c:v>
                </c:pt>
                <c:pt idx="40">
                  <c:v>-0.70758385327515705</c:v>
                </c:pt>
                <c:pt idx="41">
                  <c:v>-0.69753293160304564</c:v>
                </c:pt>
                <c:pt idx="42">
                  <c:v>-0.6816102429450801</c:v>
                </c:pt>
                <c:pt idx="43">
                  <c:v>-0.72063337893104595</c:v>
                </c:pt>
                <c:pt idx="44">
                  <c:v>-0.74356666079845724</c:v>
                </c:pt>
                <c:pt idx="45">
                  <c:v>-0.75692192333790587</c:v>
                </c:pt>
                <c:pt idx="46">
                  <c:v>-0.78341377260802503</c:v>
                </c:pt>
                <c:pt idx="47">
                  <c:v>-0.80520696667326419</c:v>
                </c:pt>
                <c:pt idx="48">
                  <c:v>-0.80902527119466716</c:v>
                </c:pt>
                <c:pt idx="49">
                  <c:v>-0.82585972820469933</c:v>
                </c:pt>
                <c:pt idx="50">
                  <c:v>-0.83176509682571798</c:v>
                </c:pt>
                <c:pt idx="51">
                  <c:v>-0.79383257377331051</c:v>
                </c:pt>
                <c:pt idx="52">
                  <c:v>-0.80187297803032298</c:v>
                </c:pt>
                <c:pt idx="53">
                  <c:v>-0.80522850045110572</c:v>
                </c:pt>
                <c:pt idx="54">
                  <c:v>-0.81714805732752149</c:v>
                </c:pt>
                <c:pt idx="55">
                  <c:v>-0.8053965187433807</c:v>
                </c:pt>
                <c:pt idx="56">
                  <c:v>-0.80277457115289597</c:v>
                </c:pt>
                <c:pt idx="57">
                  <c:v>-0.8150104417979892</c:v>
                </c:pt>
                <c:pt idx="58">
                  <c:v>-0.82407306923501622</c:v>
                </c:pt>
                <c:pt idx="59">
                  <c:v>-0.84106177059304932</c:v>
                </c:pt>
                <c:pt idx="60">
                  <c:v>-0.8328968555491264</c:v>
                </c:pt>
                <c:pt idx="61">
                  <c:v>-0.84311915638035972</c:v>
                </c:pt>
                <c:pt idx="62">
                  <c:v>-0.8493156336654808</c:v>
                </c:pt>
                <c:pt idx="63">
                  <c:v>-0.85855330105894789</c:v>
                </c:pt>
                <c:pt idx="64">
                  <c:v>-0.84805557090107686</c:v>
                </c:pt>
                <c:pt idx="65">
                  <c:v>-0.83928077090055686</c:v>
                </c:pt>
                <c:pt idx="66">
                  <c:v>-0.83547321685954512</c:v>
                </c:pt>
                <c:pt idx="67">
                  <c:v>-0.85695761255454017</c:v>
                </c:pt>
                <c:pt idx="68">
                  <c:v>-0.86153596841754643</c:v>
                </c:pt>
                <c:pt idx="69">
                  <c:v>-0.86799682232479403</c:v>
                </c:pt>
                <c:pt idx="70">
                  <c:v>-0.86037164422164203</c:v>
                </c:pt>
                <c:pt idx="71">
                  <c:v>-0.85526325175324702</c:v>
                </c:pt>
                <c:pt idx="72">
                  <c:v>-0.80924118712485738</c:v>
                </c:pt>
                <c:pt idx="73">
                  <c:v>-0.82193800197736322</c:v>
                </c:pt>
                <c:pt idx="74">
                  <c:v>-0.84554161718443455</c:v>
                </c:pt>
                <c:pt idx="75">
                  <c:v>-0.8658655367719672</c:v>
                </c:pt>
                <c:pt idx="76">
                  <c:v>-0.84836502893590171</c:v>
                </c:pt>
                <c:pt idx="77">
                  <c:v>-0.86593429810419809</c:v>
                </c:pt>
                <c:pt idx="78">
                  <c:v>-0.88726046641081691</c:v>
                </c:pt>
                <c:pt idx="79">
                  <c:v>-0.86977780357457934</c:v>
                </c:pt>
                <c:pt idx="80">
                  <c:v>-0.88557511205705841</c:v>
                </c:pt>
                <c:pt idx="81">
                  <c:v>-0.87953346832361601</c:v>
                </c:pt>
                <c:pt idx="82">
                  <c:v>-0.88696961171168742</c:v>
                </c:pt>
                <c:pt idx="83">
                  <c:v>-0.88126737276974454</c:v>
                </c:pt>
                <c:pt idx="84">
                  <c:v>-0.88177087843591173</c:v>
                </c:pt>
                <c:pt idx="85">
                  <c:v>-0.88528268361031881</c:v>
                </c:pt>
                <c:pt idx="86">
                  <c:v>-0.8954262972900221</c:v>
                </c:pt>
                <c:pt idx="87">
                  <c:v>-0.9160001733811145</c:v>
                </c:pt>
                <c:pt idx="88">
                  <c:v>-0.9165881492141289</c:v>
                </c:pt>
                <c:pt idx="89">
                  <c:v>-0.90321223180229993</c:v>
                </c:pt>
                <c:pt idx="90">
                  <c:v>-0.91624375712113437</c:v>
                </c:pt>
                <c:pt idx="91">
                  <c:v>-0.90693412926170736</c:v>
                </c:pt>
                <c:pt idx="92">
                  <c:v>-0.90882651018608995</c:v>
                </c:pt>
                <c:pt idx="93">
                  <c:v>-0.90652632552855994</c:v>
                </c:pt>
                <c:pt idx="94">
                  <c:v>-0.9103449296132371</c:v>
                </c:pt>
                <c:pt idx="95">
                  <c:v>-0.9126362781332169</c:v>
                </c:pt>
                <c:pt idx="96">
                  <c:v>-0.90080096613809635</c:v>
                </c:pt>
                <c:pt idx="97">
                  <c:v>-0.91788815076507602</c:v>
                </c:pt>
                <c:pt idx="98">
                  <c:v>-0.91864310020646045</c:v>
                </c:pt>
                <c:pt idx="99">
                  <c:v>-0.93184455689905643</c:v>
                </c:pt>
                <c:pt idx="100">
                  <c:v>-0.92630483900921201</c:v>
                </c:pt>
                <c:pt idx="101">
                  <c:v>-0.92389317796568227</c:v>
                </c:pt>
                <c:pt idx="102">
                  <c:v>-0.92616152611591618</c:v>
                </c:pt>
                <c:pt idx="103">
                  <c:v>-0.94326734170912196</c:v>
                </c:pt>
                <c:pt idx="104">
                  <c:v>-0.93854355072048112</c:v>
                </c:pt>
                <c:pt idx="105">
                  <c:v>-0.94049440645398641</c:v>
                </c:pt>
                <c:pt idx="106">
                  <c:v>-0.93843834536219706</c:v>
                </c:pt>
                <c:pt idx="107">
                  <c:v>-0.91839512949150437</c:v>
                </c:pt>
                <c:pt idx="108">
                  <c:v>-0.90808256533619658</c:v>
                </c:pt>
                <c:pt idx="109">
                  <c:v>-0.90844828936333677</c:v>
                </c:pt>
                <c:pt idx="110">
                  <c:v>-0.91260469105824282</c:v>
                </c:pt>
                <c:pt idx="111">
                  <c:v>-0.90640355232954262</c:v>
                </c:pt>
                <c:pt idx="112">
                  <c:v>-0.90100436923750182</c:v>
                </c:pt>
                <c:pt idx="113">
                  <c:v>-0.89883905025455657</c:v>
                </c:pt>
                <c:pt idx="114">
                  <c:v>-0.90075204166548817</c:v>
                </c:pt>
                <c:pt idx="115">
                  <c:v>-0.88925052014173844</c:v>
                </c:pt>
                <c:pt idx="116">
                  <c:v>-0.89440744413456341</c:v>
                </c:pt>
                <c:pt idx="117">
                  <c:v>-0.91133752040337923</c:v>
                </c:pt>
                <c:pt idx="118">
                  <c:v>-0.90716416365701769</c:v>
                </c:pt>
                <c:pt idx="119">
                  <c:v>-0.90204043765131892</c:v>
                </c:pt>
                <c:pt idx="120">
                  <c:v>-0.90101940274504588</c:v>
                </c:pt>
                <c:pt idx="121">
                  <c:v>-0.89516836516628984</c:v>
                </c:pt>
                <c:pt idx="122">
                  <c:v>-0.87523900731532089</c:v>
                </c:pt>
                <c:pt idx="123">
                  <c:v>-0.88094411755956026</c:v>
                </c:pt>
                <c:pt idx="124">
                  <c:v>-0.87735587898564149</c:v>
                </c:pt>
                <c:pt idx="125">
                  <c:v>-0.87466411920428655</c:v>
                </c:pt>
                <c:pt idx="126">
                  <c:v>-0.86275910758485663</c:v>
                </c:pt>
                <c:pt idx="127">
                  <c:v>-0.86102312398811065</c:v>
                </c:pt>
                <c:pt idx="128">
                  <c:v>-0.86096468209370614</c:v>
                </c:pt>
                <c:pt idx="129">
                  <c:v>-0.8469667313245316</c:v>
                </c:pt>
                <c:pt idx="130">
                  <c:v>-0.83724421150173578</c:v>
                </c:pt>
                <c:pt idx="131">
                  <c:v>-0.85602895524682765</c:v>
                </c:pt>
                <c:pt idx="132">
                  <c:v>-0.86455794342749404</c:v>
                </c:pt>
                <c:pt idx="133">
                  <c:v>-0.88595667087011198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CE-46C7-AA85-687A438B0A3F}"/>
            </c:ext>
          </c:extLst>
        </c:ser>
        <c:ser>
          <c:idx val="5"/>
          <c:order val="5"/>
          <c:tx>
            <c:strRef>
              <c:f>LSTM再投資累積報酬!$B$17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LSTM再投資累積報酬!$C$17:$EF$17</c:f>
              <c:numCache>
                <c:formatCode>General</c:formatCode>
                <c:ptCount val="134"/>
                <c:pt idx="0">
                  <c:v>-3.8913468982799793E-2</c:v>
                </c:pt>
                <c:pt idx="1">
                  <c:v>-0.20090206830471102</c:v>
                </c:pt>
                <c:pt idx="2">
                  <c:v>-0.27815175171521578</c:v>
                </c:pt>
                <c:pt idx="3">
                  <c:v>-0.3364425599537727</c:v>
                </c:pt>
                <c:pt idx="4">
                  <c:v>-0.40637293743159841</c:v>
                </c:pt>
                <c:pt idx="5">
                  <c:v>-0.4016578426525178</c:v>
                </c:pt>
                <c:pt idx="6">
                  <c:v>-0.46931689253363829</c:v>
                </c:pt>
                <c:pt idx="7">
                  <c:v>-0.49494196012752389</c:v>
                </c:pt>
                <c:pt idx="8">
                  <c:v>-0.54623569492136614</c:v>
                </c:pt>
                <c:pt idx="9">
                  <c:v>-0.52707105426715861</c:v>
                </c:pt>
                <c:pt idx="10">
                  <c:v>-0.53400378688126671</c:v>
                </c:pt>
                <c:pt idx="11">
                  <c:v>-0.58492684036180087</c:v>
                </c:pt>
                <c:pt idx="12">
                  <c:v>-0.58961993812074587</c:v>
                </c:pt>
                <c:pt idx="13">
                  <c:v>-0.58412784360807568</c:v>
                </c:pt>
                <c:pt idx="14">
                  <c:v>-0.62582602570925938</c:v>
                </c:pt>
                <c:pt idx="15">
                  <c:v>-0.57477880051032526</c:v>
                </c:pt>
                <c:pt idx="16">
                  <c:v>-0.5241543502768975</c:v>
                </c:pt>
                <c:pt idx="17">
                  <c:v>-0.53526181804556816</c:v>
                </c:pt>
                <c:pt idx="18">
                  <c:v>-0.50625941274633102</c:v>
                </c:pt>
                <c:pt idx="19">
                  <c:v>-0.55428045234308509</c:v>
                </c:pt>
                <c:pt idx="20">
                  <c:v>-0.61162996275364234</c:v>
                </c:pt>
                <c:pt idx="21">
                  <c:v>-0.51920199844753212</c:v>
                </c:pt>
                <c:pt idx="22">
                  <c:v>-0.48380414395890958</c:v>
                </c:pt>
                <c:pt idx="23">
                  <c:v>-0.50874965639699299</c:v>
                </c:pt>
                <c:pt idx="24">
                  <c:v>-0.60271771050725198</c:v>
                </c:pt>
                <c:pt idx="25">
                  <c:v>-0.58502343141424662</c:v>
                </c:pt>
                <c:pt idx="26">
                  <c:v>-0.5933587564811702</c:v>
                </c:pt>
                <c:pt idx="27">
                  <c:v>-0.61360029033763497</c:v>
                </c:pt>
                <c:pt idx="28">
                  <c:v>-0.662734267852367</c:v>
                </c:pt>
                <c:pt idx="29">
                  <c:v>-0.70330272320476894</c:v>
                </c:pt>
                <c:pt idx="30">
                  <c:v>-0.72188788262699355</c:v>
                </c:pt>
                <c:pt idx="31">
                  <c:v>-0.76277728588445715</c:v>
                </c:pt>
                <c:pt idx="32">
                  <c:v>-0.77630798927710787</c:v>
                </c:pt>
                <c:pt idx="33">
                  <c:v>-0.79009023981960014</c:v>
                </c:pt>
                <c:pt idx="34">
                  <c:v>-0.78392395387656832</c:v>
                </c:pt>
                <c:pt idx="35">
                  <c:v>-0.78976193585302112</c:v>
                </c:pt>
                <c:pt idx="36">
                  <c:v>-0.77013585305223331</c:v>
                </c:pt>
                <c:pt idx="37">
                  <c:v>-0.76865181900207313</c:v>
                </c:pt>
                <c:pt idx="38">
                  <c:v>-0.78639495846006224</c:v>
                </c:pt>
                <c:pt idx="39">
                  <c:v>-0.76644049238639345</c:v>
                </c:pt>
                <c:pt idx="40">
                  <c:v>-0.75212860755374666</c:v>
                </c:pt>
                <c:pt idx="41">
                  <c:v>-0.74077544697916364</c:v>
                </c:pt>
                <c:pt idx="42">
                  <c:v>-0.72553227674899112</c:v>
                </c:pt>
                <c:pt idx="43">
                  <c:v>-0.76040938249256174</c:v>
                </c:pt>
                <c:pt idx="44">
                  <c:v>-0.78812992338620735</c:v>
                </c:pt>
                <c:pt idx="45">
                  <c:v>-0.80053056230089881</c:v>
                </c:pt>
                <c:pt idx="46">
                  <c:v>-0.81572806101195394</c:v>
                </c:pt>
                <c:pt idx="47">
                  <c:v>-0.83371652279425357</c:v>
                </c:pt>
                <c:pt idx="48">
                  <c:v>-0.83629026605447132</c:v>
                </c:pt>
                <c:pt idx="49">
                  <c:v>-0.84783085784249557</c:v>
                </c:pt>
                <c:pt idx="50">
                  <c:v>-0.85373070127479744</c:v>
                </c:pt>
                <c:pt idx="51">
                  <c:v>-0.82002410496347089</c:v>
                </c:pt>
                <c:pt idx="52">
                  <c:v>-0.82493615545942434</c:v>
                </c:pt>
                <c:pt idx="53">
                  <c:v>-0.82257719994579559</c:v>
                </c:pt>
                <c:pt idx="54">
                  <c:v>-0.83040336460533726</c:v>
                </c:pt>
                <c:pt idx="55">
                  <c:v>-0.82104205489825033</c:v>
                </c:pt>
                <c:pt idx="56">
                  <c:v>-0.82737613465701165</c:v>
                </c:pt>
                <c:pt idx="57">
                  <c:v>-0.83578947561261141</c:v>
                </c:pt>
                <c:pt idx="58">
                  <c:v>-0.84904757054228674</c:v>
                </c:pt>
                <c:pt idx="59">
                  <c:v>-0.86382101979646153</c:v>
                </c:pt>
                <c:pt idx="60">
                  <c:v>-0.86153984120253846</c:v>
                </c:pt>
                <c:pt idx="61">
                  <c:v>-0.86626859448238225</c:v>
                </c:pt>
                <c:pt idx="62">
                  <c:v>-0.87015469688673863</c:v>
                </c:pt>
                <c:pt idx="63">
                  <c:v>-0.87709754873934254</c:v>
                </c:pt>
                <c:pt idx="64">
                  <c:v>-0.86664011127476037</c:v>
                </c:pt>
                <c:pt idx="65">
                  <c:v>-0.85855341475034908</c:v>
                </c:pt>
                <c:pt idx="66">
                  <c:v>-0.85493213951415603</c:v>
                </c:pt>
                <c:pt idx="67">
                  <c:v>-0.87161818617564923</c:v>
                </c:pt>
                <c:pt idx="68">
                  <c:v>-0.87430213871376838</c:v>
                </c:pt>
                <c:pt idx="69">
                  <c:v>-0.88092015125507639</c:v>
                </c:pt>
                <c:pt idx="70">
                  <c:v>-0.87245026135668036</c:v>
                </c:pt>
                <c:pt idx="71">
                  <c:v>-0.86757263734935497</c:v>
                </c:pt>
                <c:pt idx="72">
                  <c:v>-0.83998314100307958</c:v>
                </c:pt>
                <c:pt idx="73">
                  <c:v>-0.85320709257329153</c:v>
                </c:pt>
                <c:pt idx="74">
                  <c:v>-0.8741217607106313</c:v>
                </c:pt>
                <c:pt idx="75">
                  <c:v>-0.88253766894694075</c:v>
                </c:pt>
                <c:pt idx="76">
                  <c:v>-0.8671644518639674</c:v>
                </c:pt>
                <c:pt idx="77">
                  <c:v>-0.88166555566234672</c:v>
                </c:pt>
                <c:pt idx="78">
                  <c:v>-0.90236911029685718</c:v>
                </c:pt>
                <c:pt idx="79">
                  <c:v>-0.88548289687880644</c:v>
                </c:pt>
                <c:pt idx="80">
                  <c:v>-0.89836545159075909</c:v>
                </c:pt>
                <c:pt idx="81">
                  <c:v>-0.89244637779895941</c:v>
                </c:pt>
                <c:pt idx="82">
                  <c:v>-0.90048224545868905</c:v>
                </c:pt>
                <c:pt idx="83">
                  <c:v>-0.89720123742697511</c:v>
                </c:pt>
                <c:pt idx="84">
                  <c:v>-0.89758177617722668</c:v>
                </c:pt>
                <c:pt idx="85">
                  <c:v>-0.89972752271548373</c:v>
                </c:pt>
                <c:pt idx="86">
                  <c:v>-0.90814598360299981</c:v>
                </c:pt>
                <c:pt idx="87">
                  <c:v>-0.92071520444305743</c:v>
                </c:pt>
                <c:pt idx="88">
                  <c:v>-0.92058280098362233</c:v>
                </c:pt>
                <c:pt idx="89">
                  <c:v>-0.90656318129990865</c:v>
                </c:pt>
                <c:pt idx="90">
                  <c:v>-0.91940260321913181</c:v>
                </c:pt>
                <c:pt idx="91">
                  <c:v>-0.91068024143229132</c:v>
                </c:pt>
                <c:pt idx="92">
                  <c:v>-0.90604391149385921</c:v>
                </c:pt>
                <c:pt idx="93">
                  <c:v>-0.90388237373762992</c:v>
                </c:pt>
                <c:pt idx="94">
                  <c:v>-0.90689525939507765</c:v>
                </c:pt>
                <c:pt idx="95">
                  <c:v>-0.9085096285994696</c:v>
                </c:pt>
                <c:pt idx="96">
                  <c:v>-0.89429642622944427</c:v>
                </c:pt>
                <c:pt idx="97">
                  <c:v>-0.91030749293326463</c:v>
                </c:pt>
                <c:pt idx="98">
                  <c:v>-0.91207998315468108</c:v>
                </c:pt>
                <c:pt idx="99">
                  <c:v>-0.92307085174725512</c:v>
                </c:pt>
                <c:pt idx="100">
                  <c:v>-0.91725432243832317</c:v>
                </c:pt>
                <c:pt idx="101">
                  <c:v>-0.91464016436327977</c:v>
                </c:pt>
                <c:pt idx="102">
                  <c:v>-0.91838710768504095</c:v>
                </c:pt>
                <c:pt idx="103">
                  <c:v>-0.93669426450776427</c:v>
                </c:pt>
                <c:pt idx="104">
                  <c:v>-0.93043653100943791</c:v>
                </c:pt>
                <c:pt idx="105">
                  <c:v>-0.93246468322593101</c:v>
                </c:pt>
                <c:pt idx="106">
                  <c:v>-0.93083540293767897</c:v>
                </c:pt>
                <c:pt idx="107">
                  <c:v>-0.90647386440143995</c:v>
                </c:pt>
                <c:pt idx="108">
                  <c:v>-0.89495027858667275</c:v>
                </c:pt>
                <c:pt idx="109">
                  <c:v>-0.89627956669576336</c:v>
                </c:pt>
                <c:pt idx="110">
                  <c:v>-0.89991440116146904</c:v>
                </c:pt>
                <c:pt idx="111">
                  <c:v>-0.88701085934749291</c:v>
                </c:pt>
                <c:pt idx="112">
                  <c:v>-0.87931425246749217</c:v>
                </c:pt>
                <c:pt idx="113">
                  <c:v>-0.87883998986074607</c:v>
                </c:pt>
                <c:pt idx="114">
                  <c:v>-0.88335047117172261</c:v>
                </c:pt>
                <c:pt idx="115">
                  <c:v>-0.87092963370393006</c:v>
                </c:pt>
                <c:pt idx="116">
                  <c:v>-0.87935154536439009</c:v>
                </c:pt>
                <c:pt idx="117">
                  <c:v>-0.89648774706279888</c:v>
                </c:pt>
                <c:pt idx="118">
                  <c:v>-0.88896716730936332</c:v>
                </c:pt>
                <c:pt idx="119">
                  <c:v>-0.88276211800925275</c:v>
                </c:pt>
                <c:pt idx="120">
                  <c:v>-0.88199942272026088</c:v>
                </c:pt>
                <c:pt idx="121">
                  <c:v>-0.87494157983431531</c:v>
                </c:pt>
                <c:pt idx="122">
                  <c:v>-0.85498787116416242</c:v>
                </c:pt>
                <c:pt idx="123">
                  <c:v>-0.86153500000859784</c:v>
                </c:pt>
                <c:pt idx="124">
                  <c:v>-0.85485608632149612</c:v>
                </c:pt>
                <c:pt idx="125">
                  <c:v>-0.8581995025235416</c:v>
                </c:pt>
                <c:pt idx="126">
                  <c:v>-0.84033114556189603</c:v>
                </c:pt>
                <c:pt idx="127">
                  <c:v>-0.84109612754523488</c:v>
                </c:pt>
                <c:pt idx="128">
                  <c:v>-0.8418322535825129</c:v>
                </c:pt>
                <c:pt idx="129">
                  <c:v>-0.82486317522620745</c:v>
                </c:pt>
                <c:pt idx="130">
                  <c:v>-0.82198651483676677</c:v>
                </c:pt>
                <c:pt idx="131">
                  <c:v>-0.84482999633218636</c:v>
                </c:pt>
                <c:pt idx="132">
                  <c:v>-0.85480412244212123</c:v>
                </c:pt>
                <c:pt idx="133">
                  <c:v>-0.87510466196786818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CE-46C7-AA85-687A438B0A3F}"/>
            </c:ext>
          </c:extLst>
        </c:ser>
        <c:ser>
          <c:idx val="6"/>
          <c:order val="6"/>
          <c:tx>
            <c:strRef>
              <c:f>LSTM再投資累積報酬!$B$18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LSTM再投資累積報酬!$C$18:$EF$18</c:f>
              <c:numCache>
                <c:formatCode>General</c:formatCode>
                <c:ptCount val="134"/>
                <c:pt idx="0">
                  <c:v>-5.9146797802220652E-2</c:v>
                </c:pt>
                <c:pt idx="1">
                  <c:v>-0.23228155916206861</c:v>
                </c:pt>
                <c:pt idx="2">
                  <c:v>-0.30941854779622235</c:v>
                </c:pt>
                <c:pt idx="3">
                  <c:v>-0.39186220575197828</c:v>
                </c:pt>
                <c:pt idx="4">
                  <c:v>-0.45773348608251219</c:v>
                </c:pt>
                <c:pt idx="5">
                  <c:v>-0.4530579406959071</c:v>
                </c:pt>
                <c:pt idx="6">
                  <c:v>-0.52340921402579044</c:v>
                </c:pt>
                <c:pt idx="7">
                  <c:v>-0.56686153617557722</c:v>
                </c:pt>
                <c:pt idx="8">
                  <c:v>-0.62561585434174694</c:v>
                </c:pt>
                <c:pt idx="9">
                  <c:v>-0.60661278633895332</c:v>
                </c:pt>
                <c:pt idx="10">
                  <c:v>-0.618041260962781</c:v>
                </c:pt>
                <c:pt idx="11">
                  <c:v>-0.67197669521143899</c:v>
                </c:pt>
                <c:pt idx="12">
                  <c:v>-0.6615659108854528</c:v>
                </c:pt>
                <c:pt idx="13">
                  <c:v>-0.65874740273541743</c:v>
                </c:pt>
                <c:pt idx="14">
                  <c:v>-0.6905042294935736</c:v>
                </c:pt>
                <c:pt idx="15">
                  <c:v>-0.64278332772257685</c:v>
                </c:pt>
                <c:pt idx="16">
                  <c:v>-0.59141370297076556</c:v>
                </c:pt>
                <c:pt idx="17">
                  <c:v>-0.61278672859173799</c:v>
                </c:pt>
                <c:pt idx="18">
                  <c:v>-0.59143178383945372</c:v>
                </c:pt>
                <c:pt idx="19">
                  <c:v>-0.64102847669136598</c:v>
                </c:pt>
                <c:pt idx="20">
                  <c:v>-0.70066614942878613</c:v>
                </c:pt>
                <c:pt idx="21">
                  <c:v>-0.63627313497830751</c:v>
                </c:pt>
                <c:pt idx="22">
                  <c:v>-0.59848946325053176</c:v>
                </c:pt>
                <c:pt idx="23">
                  <c:v>-0.61915510046309929</c:v>
                </c:pt>
                <c:pt idx="24">
                  <c:v>-0.68487775519485372</c:v>
                </c:pt>
                <c:pt idx="25">
                  <c:v>-0.66513698353510287</c:v>
                </c:pt>
                <c:pt idx="26">
                  <c:v>-0.66467975471548779</c:v>
                </c:pt>
                <c:pt idx="27">
                  <c:v>-0.68897162384199362</c:v>
                </c:pt>
                <c:pt idx="28">
                  <c:v>-0.73361329073486914</c:v>
                </c:pt>
                <c:pt idx="29">
                  <c:v>-0.77371611554839914</c:v>
                </c:pt>
                <c:pt idx="30">
                  <c:v>-0.79220803003583817</c:v>
                </c:pt>
                <c:pt idx="31">
                  <c:v>-0.82609235589250407</c:v>
                </c:pt>
                <c:pt idx="32">
                  <c:v>-0.84025256843830065</c:v>
                </c:pt>
                <c:pt idx="33">
                  <c:v>-0.85157342444166551</c:v>
                </c:pt>
                <c:pt idx="34">
                  <c:v>-0.84818441745726836</c:v>
                </c:pt>
                <c:pt idx="35">
                  <c:v>-0.85316591359245475</c:v>
                </c:pt>
                <c:pt idx="36">
                  <c:v>-0.83906205481247276</c:v>
                </c:pt>
                <c:pt idx="37">
                  <c:v>-0.83951178266475268</c:v>
                </c:pt>
                <c:pt idx="38">
                  <c:v>-0.83556629532169591</c:v>
                </c:pt>
                <c:pt idx="39">
                  <c:v>-0.81985534662617343</c:v>
                </c:pt>
                <c:pt idx="40">
                  <c:v>-0.80829817113335189</c:v>
                </c:pt>
                <c:pt idx="41">
                  <c:v>-0.80082132552519603</c:v>
                </c:pt>
                <c:pt idx="42">
                  <c:v>-0.78423907786634661</c:v>
                </c:pt>
                <c:pt idx="43">
                  <c:v>-0.82013863353763594</c:v>
                </c:pt>
                <c:pt idx="44">
                  <c:v>-0.84512105622308775</c:v>
                </c:pt>
                <c:pt idx="45">
                  <c:v>-0.85445029235052594</c:v>
                </c:pt>
                <c:pt idx="46">
                  <c:v>-0.8686802305064133</c:v>
                </c:pt>
                <c:pt idx="47">
                  <c:v>-0.885234970238574</c:v>
                </c:pt>
                <c:pt idx="48">
                  <c:v>-0.88869965289152764</c:v>
                </c:pt>
                <c:pt idx="49">
                  <c:v>-0.89444790705730293</c:v>
                </c:pt>
                <c:pt idx="50">
                  <c:v>-0.89817413237558219</c:v>
                </c:pt>
                <c:pt idx="51">
                  <c:v>-0.86584875457351984</c:v>
                </c:pt>
                <c:pt idx="52">
                  <c:v>-0.86210029367208074</c:v>
                </c:pt>
                <c:pt idx="53">
                  <c:v>-0.86156836620138477</c:v>
                </c:pt>
                <c:pt idx="54">
                  <c:v>-0.87418957318031087</c:v>
                </c:pt>
                <c:pt idx="55">
                  <c:v>-0.86841682008403742</c:v>
                </c:pt>
                <c:pt idx="56">
                  <c:v>-0.87062823874701611</c:v>
                </c:pt>
                <c:pt idx="57">
                  <c:v>-0.87877030019762692</c:v>
                </c:pt>
                <c:pt idx="58">
                  <c:v>-0.88798267767943673</c:v>
                </c:pt>
                <c:pt idx="59">
                  <c:v>-0.89902017646325583</c:v>
                </c:pt>
                <c:pt idx="60">
                  <c:v>-0.89892110678384429</c:v>
                </c:pt>
                <c:pt idx="61">
                  <c:v>-0.90456008403622779</c:v>
                </c:pt>
                <c:pt idx="62">
                  <c:v>-0.90724016632862481</c:v>
                </c:pt>
                <c:pt idx="63">
                  <c:v>-0.91115385108848945</c:v>
                </c:pt>
                <c:pt idx="64">
                  <c:v>-0.90563036761876181</c:v>
                </c:pt>
                <c:pt idx="65">
                  <c:v>-0.89973571650021134</c:v>
                </c:pt>
                <c:pt idx="66">
                  <c:v>-0.89106689753928348</c:v>
                </c:pt>
                <c:pt idx="67">
                  <c:v>-0.9042436436405098</c:v>
                </c:pt>
                <c:pt idx="68">
                  <c:v>-0.9073914669119012</c:v>
                </c:pt>
                <c:pt idx="69">
                  <c:v>-0.91309108898342795</c:v>
                </c:pt>
                <c:pt idx="70">
                  <c:v>-0.90607950017830763</c:v>
                </c:pt>
                <c:pt idx="71">
                  <c:v>-0.90235795427157994</c:v>
                </c:pt>
                <c:pt idx="72">
                  <c:v>-0.88103532379946536</c:v>
                </c:pt>
                <c:pt idx="73">
                  <c:v>-0.88990781206633929</c:v>
                </c:pt>
                <c:pt idx="74">
                  <c:v>-0.89953705481861956</c:v>
                </c:pt>
                <c:pt idx="75">
                  <c:v>-0.90308818409612113</c:v>
                </c:pt>
                <c:pt idx="76">
                  <c:v>-0.89200864509559097</c:v>
                </c:pt>
                <c:pt idx="77">
                  <c:v>-0.90252562973499639</c:v>
                </c:pt>
                <c:pt idx="78">
                  <c:v>-0.90527181844898386</c:v>
                </c:pt>
                <c:pt idx="79">
                  <c:v>-0.88692137648272151</c:v>
                </c:pt>
                <c:pt idx="80">
                  <c:v>-0.90163014465752378</c:v>
                </c:pt>
                <c:pt idx="81">
                  <c:v>-0.90595426151564618</c:v>
                </c:pt>
                <c:pt idx="82">
                  <c:v>-0.91456972160715688</c:v>
                </c:pt>
                <c:pt idx="83">
                  <c:v>-0.91069412158710394</c:v>
                </c:pt>
                <c:pt idx="84">
                  <c:v>-0.90041864876570776</c:v>
                </c:pt>
                <c:pt idx="85">
                  <c:v>-0.9000429914122472</c:v>
                </c:pt>
                <c:pt idx="86">
                  <c:v>-0.90964466490836049</c:v>
                </c:pt>
                <c:pt idx="87">
                  <c:v>-0.92346125554145075</c:v>
                </c:pt>
                <c:pt idx="88">
                  <c:v>-0.92227117371237433</c:v>
                </c:pt>
                <c:pt idx="89">
                  <c:v>-0.91287040589464019</c:v>
                </c:pt>
                <c:pt idx="90">
                  <c:v>-0.92599190578130453</c:v>
                </c:pt>
                <c:pt idx="91">
                  <c:v>-0.91738696099812123</c:v>
                </c:pt>
                <c:pt idx="92">
                  <c:v>-0.91422761734766</c:v>
                </c:pt>
                <c:pt idx="93">
                  <c:v>-0.91133337391330171</c:v>
                </c:pt>
                <c:pt idx="94">
                  <c:v>-0.91644860908597581</c:v>
                </c:pt>
                <c:pt idx="95">
                  <c:v>-0.91508901956192468</c:v>
                </c:pt>
                <c:pt idx="96">
                  <c:v>-0.9028138788590041</c:v>
                </c:pt>
                <c:pt idx="97">
                  <c:v>-0.91515868039738257</c:v>
                </c:pt>
                <c:pt idx="98">
                  <c:v>-0.91587610585534951</c:v>
                </c:pt>
                <c:pt idx="99">
                  <c:v>-0.92875342896414936</c:v>
                </c:pt>
                <c:pt idx="100">
                  <c:v>-0.92211478861604879</c:v>
                </c:pt>
                <c:pt idx="101">
                  <c:v>-0.91499146844639057</c:v>
                </c:pt>
                <c:pt idx="102">
                  <c:v>-0.91901925253850514</c:v>
                </c:pt>
                <c:pt idx="103">
                  <c:v>-0.93702792223271492</c:v>
                </c:pt>
                <c:pt idx="104">
                  <c:v>-0.93181259318954979</c:v>
                </c:pt>
                <c:pt idx="105">
                  <c:v>-0.93460924426529324</c:v>
                </c:pt>
                <c:pt idx="106">
                  <c:v>-0.93209689301378273</c:v>
                </c:pt>
                <c:pt idx="107">
                  <c:v>-0.90719736625397129</c:v>
                </c:pt>
                <c:pt idx="108">
                  <c:v>-0.89622650864438169</c:v>
                </c:pt>
                <c:pt idx="109">
                  <c:v>-0.89758075609134513</c:v>
                </c:pt>
                <c:pt idx="110">
                  <c:v>-0.89948711088130484</c:v>
                </c:pt>
                <c:pt idx="111">
                  <c:v>-0.88479252089473626</c:v>
                </c:pt>
                <c:pt idx="112">
                  <c:v>-0.87819682474508798</c:v>
                </c:pt>
                <c:pt idx="113">
                  <c:v>-0.87773028520155871</c:v>
                </c:pt>
                <c:pt idx="114">
                  <c:v>-0.87837228419387359</c:v>
                </c:pt>
                <c:pt idx="115">
                  <c:v>-0.86315560082028842</c:v>
                </c:pt>
                <c:pt idx="116">
                  <c:v>-0.86728816722063728</c:v>
                </c:pt>
                <c:pt idx="117">
                  <c:v>-0.88500340160778024</c:v>
                </c:pt>
                <c:pt idx="118">
                  <c:v>-0.87744243757050033</c:v>
                </c:pt>
                <c:pt idx="119">
                  <c:v>-0.86802503422616217</c:v>
                </c:pt>
                <c:pt idx="120">
                  <c:v>-0.86467476377035468</c:v>
                </c:pt>
                <c:pt idx="121">
                  <c:v>-0.86161627339144742</c:v>
                </c:pt>
                <c:pt idx="122">
                  <c:v>-0.83911663149806504</c:v>
                </c:pt>
                <c:pt idx="123">
                  <c:v>-0.85046336424111146</c:v>
                </c:pt>
                <c:pt idx="124">
                  <c:v>-0.84179362183643303</c:v>
                </c:pt>
                <c:pt idx="125">
                  <c:v>-0.8525797045175012</c:v>
                </c:pt>
                <c:pt idx="126">
                  <c:v>-0.82814285864813231</c:v>
                </c:pt>
                <c:pt idx="127">
                  <c:v>-0.83557187421276802</c:v>
                </c:pt>
                <c:pt idx="128">
                  <c:v>-0.83635098354707538</c:v>
                </c:pt>
                <c:pt idx="129">
                  <c:v>-0.81835542509642012</c:v>
                </c:pt>
                <c:pt idx="130">
                  <c:v>-0.81785333852499409</c:v>
                </c:pt>
                <c:pt idx="131">
                  <c:v>-0.83797654137420596</c:v>
                </c:pt>
                <c:pt idx="132">
                  <c:v>-0.84656622156528716</c:v>
                </c:pt>
                <c:pt idx="133">
                  <c:v>-0.87033865321692372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CE-46C7-AA85-687A438B0A3F}"/>
            </c:ext>
          </c:extLst>
        </c:ser>
        <c:ser>
          <c:idx val="7"/>
          <c:order val="7"/>
          <c:tx>
            <c:strRef>
              <c:f>LSTM再投資累積報酬!$B$19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LSTM再投資累積報酬!$C$19:$EF$19</c:f>
              <c:numCache>
                <c:formatCode>General</c:formatCode>
                <c:ptCount val="134"/>
                <c:pt idx="0">
                  <c:v>-7.3861929880770893E-2</c:v>
                </c:pt>
                <c:pt idx="1">
                  <c:v>-0.27718893831278424</c:v>
                </c:pt>
                <c:pt idx="2">
                  <c:v>-0.37880437484565654</c:v>
                </c:pt>
                <c:pt idx="3">
                  <c:v>-0.48918379419880043</c:v>
                </c:pt>
                <c:pt idx="4">
                  <c:v>-0.53825584944948868</c:v>
                </c:pt>
                <c:pt idx="5">
                  <c:v>-0.5438285419262725</c:v>
                </c:pt>
                <c:pt idx="6">
                  <c:v>-0.60500668993239559</c:v>
                </c:pt>
                <c:pt idx="7">
                  <c:v>-0.649023655872766</c:v>
                </c:pt>
                <c:pt idx="8">
                  <c:v>-0.73283309166884814</c:v>
                </c:pt>
                <c:pt idx="9">
                  <c:v>-0.72740248352770664</c:v>
                </c:pt>
                <c:pt idx="10">
                  <c:v>-0.71549263365740923</c:v>
                </c:pt>
                <c:pt idx="11">
                  <c:v>-0.7586932510258485</c:v>
                </c:pt>
                <c:pt idx="12">
                  <c:v>-0.75107715770139805</c:v>
                </c:pt>
                <c:pt idx="13">
                  <c:v>-0.74522419487753433</c:v>
                </c:pt>
                <c:pt idx="14">
                  <c:v>-0.76608169966223305</c:v>
                </c:pt>
                <c:pt idx="15">
                  <c:v>-0.73202710793073056</c:v>
                </c:pt>
                <c:pt idx="16">
                  <c:v>-0.69914901099563687</c:v>
                </c:pt>
                <c:pt idx="17">
                  <c:v>-0.71463222207771815</c:v>
                </c:pt>
                <c:pt idx="18">
                  <c:v>-0.69544123855058171</c:v>
                </c:pt>
                <c:pt idx="19">
                  <c:v>-0.72367027840695086</c:v>
                </c:pt>
                <c:pt idx="20">
                  <c:v>-0.77195468690288371</c:v>
                </c:pt>
                <c:pt idx="21">
                  <c:v>-0.73788474600749154</c:v>
                </c:pt>
                <c:pt idx="22">
                  <c:v>-0.71085273723593168</c:v>
                </c:pt>
                <c:pt idx="23">
                  <c:v>-0.72759110372408342</c:v>
                </c:pt>
                <c:pt idx="24">
                  <c:v>-0.76350355836458128</c:v>
                </c:pt>
                <c:pt idx="25">
                  <c:v>-0.75127225735901537</c:v>
                </c:pt>
                <c:pt idx="26">
                  <c:v>-0.74775486336364183</c:v>
                </c:pt>
                <c:pt idx="27">
                  <c:v>-0.75380810524938324</c:v>
                </c:pt>
                <c:pt idx="28">
                  <c:v>-0.79551696630761515</c:v>
                </c:pt>
                <c:pt idx="29">
                  <c:v>-0.83003995563084287</c:v>
                </c:pt>
                <c:pt idx="30">
                  <c:v>-0.83709110557298583</c:v>
                </c:pt>
                <c:pt idx="31">
                  <c:v>-0.87034998060539415</c:v>
                </c:pt>
                <c:pt idx="32">
                  <c:v>-0.87654288916711132</c:v>
                </c:pt>
                <c:pt idx="33">
                  <c:v>-0.88607411264830049</c:v>
                </c:pt>
                <c:pt idx="34">
                  <c:v>-0.88145082661754992</c:v>
                </c:pt>
                <c:pt idx="35">
                  <c:v>-0.8832189410115312</c:v>
                </c:pt>
                <c:pt idx="36">
                  <c:v>-0.87608080025731305</c:v>
                </c:pt>
                <c:pt idx="37">
                  <c:v>-0.8748119236300036</c:v>
                </c:pt>
                <c:pt idx="38">
                  <c:v>-0.86781514625182321</c:v>
                </c:pt>
                <c:pt idx="39">
                  <c:v>-0.85131474217525693</c:v>
                </c:pt>
                <c:pt idx="40">
                  <c:v>-0.84501410547556588</c:v>
                </c:pt>
                <c:pt idx="41">
                  <c:v>-0.85139092492143065</c:v>
                </c:pt>
                <c:pt idx="42">
                  <c:v>-0.83516298095156505</c:v>
                </c:pt>
                <c:pt idx="43">
                  <c:v>-0.86559085022924398</c:v>
                </c:pt>
                <c:pt idx="44">
                  <c:v>-0.88615741607613918</c:v>
                </c:pt>
                <c:pt idx="45">
                  <c:v>-0.88581217596294604</c:v>
                </c:pt>
                <c:pt idx="46">
                  <c:v>-0.90142089754132937</c:v>
                </c:pt>
                <c:pt idx="47">
                  <c:v>-0.92351482012171859</c:v>
                </c:pt>
                <c:pt idx="48">
                  <c:v>-0.92858374101169905</c:v>
                </c:pt>
                <c:pt idx="49">
                  <c:v>-0.93684028386376317</c:v>
                </c:pt>
                <c:pt idx="50">
                  <c:v>-0.93693559292107453</c:v>
                </c:pt>
                <c:pt idx="51">
                  <c:v>-0.91396999967622616</c:v>
                </c:pt>
                <c:pt idx="52">
                  <c:v>-0.89809128857383169</c:v>
                </c:pt>
                <c:pt idx="53">
                  <c:v>-0.89955062608832037</c:v>
                </c:pt>
                <c:pt idx="54">
                  <c:v>-0.90853890856631481</c:v>
                </c:pt>
                <c:pt idx="55">
                  <c:v>-0.90729769245881631</c:v>
                </c:pt>
                <c:pt idx="56">
                  <c:v>-0.90881278729993542</c:v>
                </c:pt>
                <c:pt idx="57">
                  <c:v>-0.91402271957742154</c:v>
                </c:pt>
                <c:pt idx="58">
                  <c:v>-0.92273086221901002</c:v>
                </c:pt>
                <c:pt idx="59">
                  <c:v>-0.92728295844469211</c:v>
                </c:pt>
                <c:pt idx="60">
                  <c:v>-0.93233817712016021</c:v>
                </c:pt>
                <c:pt idx="61">
                  <c:v>-0.93661200461483873</c:v>
                </c:pt>
                <c:pt idx="62">
                  <c:v>-0.93862687222567553</c:v>
                </c:pt>
                <c:pt idx="63">
                  <c:v>-0.94305709757434697</c:v>
                </c:pt>
                <c:pt idx="64">
                  <c:v>-0.93704593837686245</c:v>
                </c:pt>
                <c:pt idx="65">
                  <c:v>-0.93626465698730821</c:v>
                </c:pt>
                <c:pt idx="66">
                  <c:v>-0.92927587681993284</c:v>
                </c:pt>
                <c:pt idx="67">
                  <c:v>-0.93895371177035247</c:v>
                </c:pt>
                <c:pt idx="68">
                  <c:v>-0.93874005391638116</c:v>
                </c:pt>
                <c:pt idx="69">
                  <c:v>-0.94378318118707327</c:v>
                </c:pt>
                <c:pt idx="70">
                  <c:v>-0.93951428671010517</c:v>
                </c:pt>
                <c:pt idx="71">
                  <c:v>-0.93767849740913467</c:v>
                </c:pt>
                <c:pt idx="72">
                  <c:v>-0.91851756404867257</c:v>
                </c:pt>
                <c:pt idx="73">
                  <c:v>-0.92298526895410427</c:v>
                </c:pt>
                <c:pt idx="74">
                  <c:v>-0.92913619886178134</c:v>
                </c:pt>
                <c:pt idx="75">
                  <c:v>-0.92937890937722989</c:v>
                </c:pt>
                <c:pt idx="76">
                  <c:v>-0.92540893461021045</c:v>
                </c:pt>
                <c:pt idx="77">
                  <c:v>-0.93129989883156072</c:v>
                </c:pt>
                <c:pt idx="78">
                  <c:v>-0.93299838879778596</c:v>
                </c:pt>
                <c:pt idx="79">
                  <c:v>-0.91855155511937747</c:v>
                </c:pt>
                <c:pt idx="80">
                  <c:v>-0.92787042677373466</c:v>
                </c:pt>
                <c:pt idx="81">
                  <c:v>-0.93357237953276495</c:v>
                </c:pt>
                <c:pt idx="82">
                  <c:v>-0.93736656743941704</c:v>
                </c:pt>
                <c:pt idx="83">
                  <c:v>-0.93469117762783416</c:v>
                </c:pt>
                <c:pt idx="84">
                  <c:v>-0.92745925692312503</c:v>
                </c:pt>
                <c:pt idx="85">
                  <c:v>-0.92660241126880327</c:v>
                </c:pt>
                <c:pt idx="86">
                  <c:v>-0.93532184391773754</c:v>
                </c:pt>
                <c:pt idx="87">
                  <c:v>-0.94278232574231058</c:v>
                </c:pt>
                <c:pt idx="88">
                  <c:v>-0.93845770686776064</c:v>
                </c:pt>
                <c:pt idx="89">
                  <c:v>-0.92964526833449801</c:v>
                </c:pt>
                <c:pt idx="90">
                  <c:v>-0.94133446482392469</c:v>
                </c:pt>
                <c:pt idx="91">
                  <c:v>-0.93327295645493324</c:v>
                </c:pt>
                <c:pt idx="92">
                  <c:v>-0.93111136006855977</c:v>
                </c:pt>
                <c:pt idx="93">
                  <c:v>-0.92943742105941496</c:v>
                </c:pt>
                <c:pt idx="94">
                  <c:v>-0.93326547268823146</c:v>
                </c:pt>
                <c:pt idx="95">
                  <c:v>-0.93140086747290107</c:v>
                </c:pt>
                <c:pt idx="96">
                  <c:v>-0.92134371718327157</c:v>
                </c:pt>
                <c:pt idx="97">
                  <c:v>-0.92878090531944069</c:v>
                </c:pt>
                <c:pt idx="98">
                  <c:v>-0.93034073224153513</c:v>
                </c:pt>
                <c:pt idx="99">
                  <c:v>-0.94066077301718054</c:v>
                </c:pt>
                <c:pt idx="100">
                  <c:v>-0.93425853805105286</c:v>
                </c:pt>
                <c:pt idx="101">
                  <c:v>-0.93047845243462701</c:v>
                </c:pt>
                <c:pt idx="102">
                  <c:v>-0.9345262664482914</c:v>
                </c:pt>
                <c:pt idx="103">
                  <c:v>-0.95326081933792339</c:v>
                </c:pt>
                <c:pt idx="104">
                  <c:v>-0.95019530936566965</c:v>
                </c:pt>
                <c:pt idx="105">
                  <c:v>-0.95050415449057113</c:v>
                </c:pt>
                <c:pt idx="106">
                  <c:v>-0.94886988013980178</c:v>
                </c:pt>
                <c:pt idx="107">
                  <c:v>-0.93836255125608536</c:v>
                </c:pt>
                <c:pt idx="108">
                  <c:v>-0.93056598118779832</c:v>
                </c:pt>
                <c:pt idx="109">
                  <c:v>-0.93356696152199714</c:v>
                </c:pt>
                <c:pt idx="110">
                  <c:v>-0.9374630621226554</c:v>
                </c:pt>
                <c:pt idx="111">
                  <c:v>-0.92712880381115992</c:v>
                </c:pt>
                <c:pt idx="112">
                  <c:v>-0.92596400950962532</c:v>
                </c:pt>
                <c:pt idx="113">
                  <c:v>-0.92507685208602042</c:v>
                </c:pt>
                <c:pt idx="114">
                  <c:v>-0.92162305211956552</c:v>
                </c:pt>
                <c:pt idx="115">
                  <c:v>-0.90799108268005457</c:v>
                </c:pt>
                <c:pt idx="116">
                  <c:v>-0.91247242482993296</c:v>
                </c:pt>
                <c:pt idx="117">
                  <c:v>-0.92737558143709009</c:v>
                </c:pt>
                <c:pt idx="118">
                  <c:v>-0.92153845393987444</c:v>
                </c:pt>
                <c:pt idx="119">
                  <c:v>-0.91557833025562574</c:v>
                </c:pt>
                <c:pt idx="120">
                  <c:v>-0.91178619638315794</c:v>
                </c:pt>
                <c:pt idx="121">
                  <c:v>-0.91134219456307819</c:v>
                </c:pt>
                <c:pt idx="122">
                  <c:v>-0.89409652794547034</c:v>
                </c:pt>
                <c:pt idx="123">
                  <c:v>-0.90167851616227745</c:v>
                </c:pt>
                <c:pt idx="124">
                  <c:v>-0.89608953088325727</c:v>
                </c:pt>
                <c:pt idx="125">
                  <c:v>-0.90592093610014124</c:v>
                </c:pt>
                <c:pt idx="126">
                  <c:v>-0.89160968444355193</c:v>
                </c:pt>
                <c:pt idx="127">
                  <c:v>-0.90024227592611827</c:v>
                </c:pt>
                <c:pt idx="128">
                  <c:v>-0.89695827886401047</c:v>
                </c:pt>
                <c:pt idx="129">
                  <c:v>-0.8857521300513056</c:v>
                </c:pt>
                <c:pt idx="130">
                  <c:v>-0.88714481652419608</c:v>
                </c:pt>
                <c:pt idx="131">
                  <c:v>-0.90417864941609882</c:v>
                </c:pt>
                <c:pt idx="132">
                  <c:v>-0.90636489841243062</c:v>
                </c:pt>
                <c:pt idx="133">
                  <c:v>-0.92211778094914365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CE-46C7-AA85-687A438B0A3F}"/>
            </c:ext>
          </c:extLst>
        </c:ser>
        <c:ser>
          <c:idx val="8"/>
          <c:order val="8"/>
          <c:tx>
            <c:strRef>
              <c:f>LSTM再投資累積報酬!$B$20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LSTM再投資累積報酬!$C$20:$EF$20</c:f>
              <c:numCache>
                <c:formatCode>General</c:formatCode>
                <c:ptCount val="134"/>
                <c:pt idx="0">
                  <c:v>1.1241331728202963E-2</c:v>
                </c:pt>
                <c:pt idx="1">
                  <c:v>-0.21384722945021273</c:v>
                </c:pt>
                <c:pt idx="2">
                  <c:v>-0.32872372857002485</c:v>
                </c:pt>
                <c:pt idx="3">
                  <c:v>-0.46669198935388667</c:v>
                </c:pt>
                <c:pt idx="4">
                  <c:v>-0.52918669731595325</c:v>
                </c:pt>
                <c:pt idx="5">
                  <c:v>-0.5237332545528226</c:v>
                </c:pt>
                <c:pt idx="6">
                  <c:v>-0.61225370423558645</c:v>
                </c:pt>
                <c:pt idx="7">
                  <c:v>-0.66936413188936839</c:v>
                </c:pt>
                <c:pt idx="8">
                  <c:v>-0.74035975459503822</c:v>
                </c:pt>
                <c:pt idx="9">
                  <c:v>-0.73802305175542349</c:v>
                </c:pt>
                <c:pt idx="10">
                  <c:v>-0.71766266748470042</c:v>
                </c:pt>
                <c:pt idx="11">
                  <c:v>-0.76513587965368723</c:v>
                </c:pt>
                <c:pt idx="12">
                  <c:v>-0.753424407050858</c:v>
                </c:pt>
                <c:pt idx="13">
                  <c:v>-0.74278746172487675</c:v>
                </c:pt>
                <c:pt idx="14">
                  <c:v>-0.77032086056569504</c:v>
                </c:pt>
                <c:pt idx="15">
                  <c:v>-0.72646535906608034</c:v>
                </c:pt>
                <c:pt idx="16">
                  <c:v>-0.70388162499169526</c:v>
                </c:pt>
                <c:pt idx="17">
                  <c:v>-0.72918951686412137</c:v>
                </c:pt>
                <c:pt idx="18">
                  <c:v>-0.72547389826897035</c:v>
                </c:pt>
                <c:pt idx="19">
                  <c:v>-0.75389218233727351</c:v>
                </c:pt>
                <c:pt idx="20">
                  <c:v>-0.80962173783610147</c:v>
                </c:pt>
                <c:pt idx="21">
                  <c:v>-0.76956873816096527</c:v>
                </c:pt>
                <c:pt idx="22">
                  <c:v>-0.73985116151817976</c:v>
                </c:pt>
                <c:pt idx="23">
                  <c:v>-0.75910924335658492</c:v>
                </c:pt>
                <c:pt idx="24">
                  <c:v>-0.79054148071926922</c:v>
                </c:pt>
                <c:pt idx="25">
                  <c:v>-0.78365060013000454</c:v>
                </c:pt>
                <c:pt idx="26">
                  <c:v>-0.77342846684390887</c:v>
                </c:pt>
                <c:pt idx="27">
                  <c:v>-0.77954302158966626</c:v>
                </c:pt>
                <c:pt idx="28">
                  <c:v>-0.82347852428060431</c:v>
                </c:pt>
                <c:pt idx="29">
                  <c:v>-0.86293068922288418</c:v>
                </c:pt>
                <c:pt idx="30">
                  <c:v>-0.86733928357944845</c:v>
                </c:pt>
                <c:pt idx="31">
                  <c:v>-0.89607922655488537</c:v>
                </c:pt>
                <c:pt idx="32">
                  <c:v>-0.90473368140866983</c:v>
                </c:pt>
                <c:pt idx="33">
                  <c:v>-0.91051879383024081</c:v>
                </c:pt>
                <c:pt idx="34">
                  <c:v>-0.90978070675332878</c:v>
                </c:pt>
                <c:pt idx="35">
                  <c:v>-0.91165548758490456</c:v>
                </c:pt>
                <c:pt idx="36">
                  <c:v>-0.90568959504844515</c:v>
                </c:pt>
                <c:pt idx="37">
                  <c:v>-0.90893807158264461</c:v>
                </c:pt>
                <c:pt idx="38">
                  <c:v>-0.90446617557149322</c:v>
                </c:pt>
                <c:pt idx="39">
                  <c:v>-0.89111816495171992</c:v>
                </c:pt>
                <c:pt idx="40">
                  <c:v>-0.88749150362782481</c:v>
                </c:pt>
                <c:pt idx="41">
                  <c:v>-0.89083739378459459</c:v>
                </c:pt>
                <c:pt idx="42">
                  <c:v>-0.88622071979570138</c:v>
                </c:pt>
                <c:pt idx="43">
                  <c:v>-0.91342804765975605</c:v>
                </c:pt>
                <c:pt idx="44">
                  <c:v>-0.92581412551129538</c:v>
                </c:pt>
                <c:pt idx="45">
                  <c:v>-0.92342188234241074</c:v>
                </c:pt>
                <c:pt idx="46">
                  <c:v>-0.9406517934662384</c:v>
                </c:pt>
                <c:pt idx="47">
                  <c:v>-0.9527789596954046</c:v>
                </c:pt>
                <c:pt idx="48">
                  <c:v>-0.94890411275771935</c:v>
                </c:pt>
                <c:pt idx="49">
                  <c:v>-0.95688907183439831</c:v>
                </c:pt>
                <c:pt idx="50">
                  <c:v>-0.96128973063581657</c:v>
                </c:pt>
                <c:pt idx="51">
                  <c:v>-0.94663995363648257</c:v>
                </c:pt>
                <c:pt idx="52">
                  <c:v>-0.93382603608522774</c:v>
                </c:pt>
                <c:pt idx="53">
                  <c:v>-0.93457435081605422</c:v>
                </c:pt>
                <c:pt idx="54">
                  <c:v>-0.94100427728379255</c:v>
                </c:pt>
                <c:pt idx="55">
                  <c:v>-0.94066867525792519</c:v>
                </c:pt>
                <c:pt idx="56">
                  <c:v>-0.94107961248018457</c:v>
                </c:pt>
                <c:pt idx="57">
                  <c:v>-0.94413753801220723</c:v>
                </c:pt>
                <c:pt idx="58">
                  <c:v>-0.95052014079619207</c:v>
                </c:pt>
                <c:pt idx="59">
                  <c:v>-0.9529515703804794</c:v>
                </c:pt>
                <c:pt idx="60">
                  <c:v>-0.95777865853160338</c:v>
                </c:pt>
                <c:pt idx="61">
                  <c:v>-0.96072821788442642</c:v>
                </c:pt>
                <c:pt idx="62">
                  <c:v>-0.96259239249486994</c:v>
                </c:pt>
                <c:pt idx="63">
                  <c:v>-0.96579690140489327</c:v>
                </c:pt>
                <c:pt idx="64">
                  <c:v>-0.96130882415077701</c:v>
                </c:pt>
                <c:pt idx="65">
                  <c:v>-0.96159058286962174</c:v>
                </c:pt>
                <c:pt idx="66">
                  <c:v>-0.95741930989246771</c:v>
                </c:pt>
                <c:pt idx="67">
                  <c:v>-0.96513182601869429</c:v>
                </c:pt>
                <c:pt idx="68">
                  <c:v>-0.96399734821573391</c:v>
                </c:pt>
                <c:pt idx="69">
                  <c:v>-0.96747270223751858</c:v>
                </c:pt>
                <c:pt idx="70">
                  <c:v>-0.9642604705939164</c:v>
                </c:pt>
                <c:pt idx="71">
                  <c:v>-0.96717479482859259</c:v>
                </c:pt>
                <c:pt idx="72">
                  <c:v>-0.95562591766288985</c:v>
                </c:pt>
                <c:pt idx="73">
                  <c:v>-0.9581990827604363</c:v>
                </c:pt>
                <c:pt idx="74">
                  <c:v>-0.9583930122282962</c:v>
                </c:pt>
                <c:pt idx="75">
                  <c:v>-0.95863100661661904</c:v>
                </c:pt>
                <c:pt idx="76">
                  <c:v>-0.95963414408981107</c:v>
                </c:pt>
                <c:pt idx="77">
                  <c:v>-0.9596297944629294</c:v>
                </c:pt>
                <c:pt idx="78">
                  <c:v>-0.96068115708956059</c:v>
                </c:pt>
                <c:pt idx="79">
                  <c:v>-0.95356336535325781</c:v>
                </c:pt>
                <c:pt idx="80">
                  <c:v>-0.95884639039704989</c:v>
                </c:pt>
                <c:pt idx="81">
                  <c:v>-0.96319982043220953</c:v>
                </c:pt>
                <c:pt idx="82">
                  <c:v>-0.96599553893336421</c:v>
                </c:pt>
                <c:pt idx="83">
                  <c:v>-0.96524080213214791</c:v>
                </c:pt>
                <c:pt idx="84">
                  <c:v>-0.96227903336374321</c:v>
                </c:pt>
                <c:pt idx="85">
                  <c:v>-0.96071323661263708</c:v>
                </c:pt>
                <c:pt idx="86">
                  <c:v>-0.96387934209986881</c:v>
                </c:pt>
                <c:pt idx="87">
                  <c:v>-0.96927263133377495</c:v>
                </c:pt>
                <c:pt idx="88">
                  <c:v>-0.96683119663939965</c:v>
                </c:pt>
                <c:pt idx="89">
                  <c:v>-0.96003517969916508</c:v>
                </c:pt>
                <c:pt idx="90">
                  <c:v>-0.9691678686247851</c:v>
                </c:pt>
                <c:pt idx="91">
                  <c:v>-0.96433768363926675</c:v>
                </c:pt>
                <c:pt idx="92">
                  <c:v>-0.96351324059412635</c:v>
                </c:pt>
                <c:pt idx="93">
                  <c:v>-0.96258784323314217</c:v>
                </c:pt>
                <c:pt idx="94">
                  <c:v>-0.96622195159886837</c:v>
                </c:pt>
                <c:pt idx="95">
                  <c:v>-0.96561135558721378</c:v>
                </c:pt>
                <c:pt idx="96">
                  <c:v>-0.9605655782578536</c:v>
                </c:pt>
                <c:pt idx="97">
                  <c:v>-0.96526671846741485</c:v>
                </c:pt>
                <c:pt idx="98">
                  <c:v>-0.96492101593085844</c:v>
                </c:pt>
                <c:pt idx="99">
                  <c:v>-0.970012877379275</c:v>
                </c:pt>
                <c:pt idx="100">
                  <c:v>-0.966985177851858</c:v>
                </c:pt>
                <c:pt idx="101">
                  <c:v>-0.96655391731810691</c:v>
                </c:pt>
                <c:pt idx="102">
                  <c:v>-0.96814166618164088</c:v>
                </c:pt>
                <c:pt idx="103">
                  <c:v>-0.98032715774364521</c:v>
                </c:pt>
                <c:pt idx="104">
                  <c:v>-0.97959272507555428</c:v>
                </c:pt>
                <c:pt idx="105">
                  <c:v>-0.97966613381384338</c:v>
                </c:pt>
                <c:pt idx="106">
                  <c:v>-0.9794542809228588</c:v>
                </c:pt>
                <c:pt idx="107">
                  <c:v>-0.97440878228863337</c:v>
                </c:pt>
                <c:pt idx="108">
                  <c:v>-0.97123359525184227</c:v>
                </c:pt>
                <c:pt idx="109">
                  <c:v>-0.97261606298832426</c:v>
                </c:pt>
                <c:pt idx="110">
                  <c:v>-0.97464927473339991</c:v>
                </c:pt>
                <c:pt idx="111">
                  <c:v>-0.97118742804920766</c:v>
                </c:pt>
                <c:pt idx="112">
                  <c:v>-0.97058911601991671</c:v>
                </c:pt>
                <c:pt idx="113">
                  <c:v>-0.97001662218317253</c:v>
                </c:pt>
                <c:pt idx="114">
                  <c:v>-0.97130185290029603</c:v>
                </c:pt>
                <c:pt idx="115">
                  <c:v>-0.96604335556106069</c:v>
                </c:pt>
                <c:pt idx="116">
                  <c:v>-0.96773510460896817</c:v>
                </c:pt>
                <c:pt idx="117">
                  <c:v>-0.97419309877326499</c:v>
                </c:pt>
                <c:pt idx="118">
                  <c:v>-0.97271022954160613</c:v>
                </c:pt>
                <c:pt idx="119">
                  <c:v>-0.97056763707135618</c:v>
                </c:pt>
                <c:pt idx="120">
                  <c:v>-0.97262180285160937</c:v>
                </c:pt>
                <c:pt idx="121">
                  <c:v>-0.97343453390966084</c:v>
                </c:pt>
                <c:pt idx="122">
                  <c:v>-0.9661916102636523</c:v>
                </c:pt>
                <c:pt idx="123">
                  <c:v>-0.96964149209461648</c:v>
                </c:pt>
                <c:pt idx="124">
                  <c:v>-0.96775060053185968</c:v>
                </c:pt>
                <c:pt idx="125">
                  <c:v>-0.97090624355618804</c:v>
                </c:pt>
                <c:pt idx="126">
                  <c:v>-0.96545402035590311</c:v>
                </c:pt>
                <c:pt idx="127">
                  <c:v>-0.9648282155641561</c:v>
                </c:pt>
                <c:pt idx="128">
                  <c:v>-0.96503662946445101</c:v>
                </c:pt>
                <c:pt idx="129">
                  <c:v>-0.96215539800839101</c:v>
                </c:pt>
                <c:pt idx="130">
                  <c:v>-0.96086680515179945</c:v>
                </c:pt>
                <c:pt idx="131">
                  <c:v>-0.96779020541425653</c:v>
                </c:pt>
                <c:pt idx="132">
                  <c:v>-0.96843496778919569</c:v>
                </c:pt>
                <c:pt idx="133">
                  <c:v>-0.97504915963967209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CE-46C7-AA85-687A438B0A3F}"/>
            </c:ext>
          </c:extLst>
        </c:ser>
        <c:ser>
          <c:idx val="9"/>
          <c:order val="9"/>
          <c:tx>
            <c:strRef>
              <c:f>LSTM再投資累積報酬!$B$21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LSTM再投資累積報酬!$C$21:$EF$21</c:f>
              <c:numCache>
                <c:formatCode>General</c:formatCode>
                <c:ptCount val="134"/>
                <c:pt idx="0">
                  <c:v>1.0384834477426885E-2</c:v>
                </c:pt>
                <c:pt idx="1">
                  <c:v>-0.31799860437342253</c:v>
                </c:pt>
                <c:pt idx="2">
                  <c:v>-0.34781403781477382</c:v>
                </c:pt>
                <c:pt idx="3">
                  <c:v>-0.46784141723877193</c:v>
                </c:pt>
                <c:pt idx="4">
                  <c:v>-0.54438825251616063</c:v>
                </c:pt>
                <c:pt idx="5">
                  <c:v>-0.56163045858293392</c:v>
                </c:pt>
                <c:pt idx="6">
                  <c:v>-0.66654239960032391</c:v>
                </c:pt>
                <c:pt idx="7">
                  <c:v>-0.69674253379904028</c:v>
                </c:pt>
                <c:pt idx="8">
                  <c:v>-0.75948044629241873</c:v>
                </c:pt>
                <c:pt idx="9">
                  <c:v>-0.74571643417766675</c:v>
                </c:pt>
                <c:pt idx="10">
                  <c:v>-0.72036828030827726</c:v>
                </c:pt>
                <c:pt idx="11">
                  <c:v>-0.75925125992352904</c:v>
                </c:pt>
                <c:pt idx="12">
                  <c:v>-0.7509810617417475</c:v>
                </c:pt>
                <c:pt idx="13">
                  <c:v>-0.74104726726983228</c:v>
                </c:pt>
                <c:pt idx="14">
                  <c:v>-0.76207302996155291</c:v>
                </c:pt>
                <c:pt idx="15">
                  <c:v>-0.72812273316730192</c:v>
                </c:pt>
                <c:pt idx="16">
                  <c:v>-0.67125702664300779</c:v>
                </c:pt>
                <c:pt idx="17">
                  <c:v>-0.70362560970678056</c:v>
                </c:pt>
                <c:pt idx="18">
                  <c:v>-0.72739949949834171</c:v>
                </c:pt>
                <c:pt idx="19">
                  <c:v>-0.75612362424472512</c:v>
                </c:pt>
                <c:pt idx="20">
                  <c:v>-0.834876317315705</c:v>
                </c:pt>
                <c:pt idx="21">
                  <c:v>-0.79960078940348034</c:v>
                </c:pt>
                <c:pt idx="22">
                  <c:v>-0.78101792612543308</c:v>
                </c:pt>
                <c:pt idx="23">
                  <c:v>-0.80497022941358765</c:v>
                </c:pt>
                <c:pt idx="24">
                  <c:v>-0.8265475249749008</c:v>
                </c:pt>
                <c:pt idx="25">
                  <c:v>-0.82273921216581825</c:v>
                </c:pt>
                <c:pt idx="26">
                  <c:v>-0.81940179272403624</c:v>
                </c:pt>
                <c:pt idx="27">
                  <c:v>-0.81471828957010672</c:v>
                </c:pt>
                <c:pt idx="28">
                  <c:v>-0.85927040900560381</c:v>
                </c:pt>
                <c:pt idx="29">
                  <c:v>-0.90080593973001999</c:v>
                </c:pt>
                <c:pt idx="30">
                  <c:v>-0.9019016940693233</c:v>
                </c:pt>
                <c:pt idx="31">
                  <c:v>-0.92547974507775932</c:v>
                </c:pt>
                <c:pt idx="32">
                  <c:v>-0.93052697814151186</c:v>
                </c:pt>
                <c:pt idx="33">
                  <c:v>-0.93601125935443119</c:v>
                </c:pt>
                <c:pt idx="34">
                  <c:v>-0.93718342871161897</c:v>
                </c:pt>
                <c:pt idx="35">
                  <c:v>-0.93953223366598126</c:v>
                </c:pt>
                <c:pt idx="36">
                  <c:v>-0.94334930483212498</c:v>
                </c:pt>
                <c:pt idx="37">
                  <c:v>-0.94458366850292907</c:v>
                </c:pt>
                <c:pt idx="38">
                  <c:v>-0.93984181632283437</c:v>
                </c:pt>
                <c:pt idx="39">
                  <c:v>-0.92852598943620723</c:v>
                </c:pt>
                <c:pt idx="40">
                  <c:v>-0.92587886451164814</c:v>
                </c:pt>
                <c:pt idx="41">
                  <c:v>-0.92841365173772272</c:v>
                </c:pt>
                <c:pt idx="42">
                  <c:v>-0.92516315318234044</c:v>
                </c:pt>
                <c:pt idx="43">
                  <c:v>-0.94498281329391576</c:v>
                </c:pt>
                <c:pt idx="44">
                  <c:v>-0.94847394701074572</c:v>
                </c:pt>
                <c:pt idx="45">
                  <c:v>-0.94493339030404799</c:v>
                </c:pt>
                <c:pt idx="46">
                  <c:v>-0.95942994603454534</c:v>
                </c:pt>
                <c:pt idx="47">
                  <c:v>-0.96826278931692866</c:v>
                </c:pt>
                <c:pt idx="48">
                  <c:v>-0.96617694700242818</c:v>
                </c:pt>
                <c:pt idx="49">
                  <c:v>-0.96932449982196156</c:v>
                </c:pt>
                <c:pt idx="50">
                  <c:v>-0.96991632861622556</c:v>
                </c:pt>
                <c:pt idx="51">
                  <c:v>-0.95774954643499743</c:v>
                </c:pt>
                <c:pt idx="52">
                  <c:v>-0.95080101436746289</c:v>
                </c:pt>
                <c:pt idx="53">
                  <c:v>-0.95229115222627148</c:v>
                </c:pt>
                <c:pt idx="54">
                  <c:v>-0.95881511559504884</c:v>
                </c:pt>
                <c:pt idx="55">
                  <c:v>-0.95866779313761274</c:v>
                </c:pt>
                <c:pt idx="56">
                  <c:v>-0.95715357991846073</c:v>
                </c:pt>
                <c:pt idx="57">
                  <c:v>-0.96006356868668763</c:v>
                </c:pt>
                <c:pt idx="58">
                  <c:v>-0.96620877292121121</c:v>
                </c:pt>
                <c:pt idx="59">
                  <c:v>-0.96728950132822378</c:v>
                </c:pt>
                <c:pt idx="60">
                  <c:v>-0.97000359483002185</c:v>
                </c:pt>
                <c:pt idx="61">
                  <c:v>-0.97262350456875701</c:v>
                </c:pt>
                <c:pt idx="62">
                  <c:v>-0.97374033653033853</c:v>
                </c:pt>
                <c:pt idx="63">
                  <c:v>-0.97868365259741885</c:v>
                </c:pt>
                <c:pt idx="64">
                  <c:v>-0.97505840762902452</c:v>
                </c:pt>
                <c:pt idx="65">
                  <c:v>-0.97495413176148626</c:v>
                </c:pt>
                <c:pt idx="66">
                  <c:v>-0.97312851981564075</c:v>
                </c:pt>
                <c:pt idx="67">
                  <c:v>-0.97694592141309011</c:v>
                </c:pt>
                <c:pt idx="68">
                  <c:v>-0.97543030430622368</c:v>
                </c:pt>
                <c:pt idx="69">
                  <c:v>-0.97771411165655642</c:v>
                </c:pt>
                <c:pt idx="70">
                  <c:v>-0.97469445262906751</c:v>
                </c:pt>
                <c:pt idx="71">
                  <c:v>-0.97581650009442811</c:v>
                </c:pt>
                <c:pt idx="72">
                  <c:v>-0.97135559548147943</c:v>
                </c:pt>
                <c:pt idx="73">
                  <c:v>-0.97388716889821425</c:v>
                </c:pt>
                <c:pt idx="74">
                  <c:v>-0.97534077338559844</c:v>
                </c:pt>
                <c:pt idx="75">
                  <c:v>-0.97407086750257144</c:v>
                </c:pt>
                <c:pt idx="76">
                  <c:v>-0.9750582213695872</c:v>
                </c:pt>
                <c:pt idx="77">
                  <c:v>-0.97689059655778487</c:v>
                </c:pt>
                <c:pt idx="78">
                  <c:v>-0.97796965663061208</c:v>
                </c:pt>
                <c:pt idx="79">
                  <c:v>-0.9716236826230723</c:v>
                </c:pt>
                <c:pt idx="80">
                  <c:v>-0.97574888863928921</c:v>
                </c:pt>
                <c:pt idx="81">
                  <c:v>-0.97852627524123204</c:v>
                </c:pt>
                <c:pt idx="82">
                  <c:v>-0.98035337431621095</c:v>
                </c:pt>
                <c:pt idx="83">
                  <c:v>-0.97727619326502868</c:v>
                </c:pt>
                <c:pt idx="84">
                  <c:v>-0.97561320311863819</c:v>
                </c:pt>
                <c:pt idx="85">
                  <c:v>-0.97426849444491137</c:v>
                </c:pt>
                <c:pt idx="86">
                  <c:v>-0.97599661284497263</c:v>
                </c:pt>
                <c:pt idx="87">
                  <c:v>-0.98049564262698996</c:v>
                </c:pt>
                <c:pt idx="88">
                  <c:v>-0.97926697864640588</c:v>
                </c:pt>
                <c:pt idx="89">
                  <c:v>-0.97759068258737503</c:v>
                </c:pt>
                <c:pt idx="90">
                  <c:v>-0.98291943857090458</c:v>
                </c:pt>
                <c:pt idx="91">
                  <c:v>-0.98124029458972384</c:v>
                </c:pt>
                <c:pt idx="92">
                  <c:v>-0.9808104685768011</c:v>
                </c:pt>
                <c:pt idx="93">
                  <c:v>-0.98058756703146488</c:v>
                </c:pt>
                <c:pt idx="94">
                  <c:v>-0.98177694809011939</c:v>
                </c:pt>
                <c:pt idx="95">
                  <c:v>-0.98020844341823576</c:v>
                </c:pt>
                <c:pt idx="96">
                  <c:v>-0.9770632360958571</c:v>
                </c:pt>
                <c:pt idx="97">
                  <c:v>-0.98060310918234228</c:v>
                </c:pt>
                <c:pt idx="98">
                  <c:v>-0.97934220620078671</c:v>
                </c:pt>
                <c:pt idx="99">
                  <c:v>-0.98258483627318705</c:v>
                </c:pt>
                <c:pt idx="100">
                  <c:v>-0.97992985439939462</c:v>
                </c:pt>
                <c:pt idx="101">
                  <c:v>-0.97965193895055014</c:v>
                </c:pt>
                <c:pt idx="102">
                  <c:v>-0.97962767884338198</c:v>
                </c:pt>
                <c:pt idx="103">
                  <c:v>-0.98925055972495535</c:v>
                </c:pt>
                <c:pt idx="104">
                  <c:v>-0.98759616931908556</c:v>
                </c:pt>
                <c:pt idx="105">
                  <c:v>-0.98763113316743667</c:v>
                </c:pt>
                <c:pt idx="106">
                  <c:v>-0.98727271139662842</c:v>
                </c:pt>
                <c:pt idx="107">
                  <c:v>-0.98343988573958463</c:v>
                </c:pt>
                <c:pt idx="108">
                  <c:v>-0.98098592634837145</c:v>
                </c:pt>
                <c:pt idx="109">
                  <c:v>-0.98078902474913043</c:v>
                </c:pt>
                <c:pt idx="110">
                  <c:v>-0.98252087885142814</c:v>
                </c:pt>
                <c:pt idx="111">
                  <c:v>-0.97978354852584293</c:v>
                </c:pt>
                <c:pt idx="112">
                  <c:v>-0.97935968914774252</c:v>
                </c:pt>
                <c:pt idx="113">
                  <c:v>-0.97909679368383906</c:v>
                </c:pt>
                <c:pt idx="114">
                  <c:v>-0.97900785965432513</c:v>
                </c:pt>
                <c:pt idx="115">
                  <c:v>-0.97438338264375668</c:v>
                </c:pt>
                <c:pt idx="116">
                  <c:v>-0.97390796873353569</c:v>
                </c:pt>
                <c:pt idx="117">
                  <c:v>-0.97988356285571465</c:v>
                </c:pt>
                <c:pt idx="118">
                  <c:v>-0.97846690906160882</c:v>
                </c:pt>
                <c:pt idx="119">
                  <c:v>-0.9773865753915062</c:v>
                </c:pt>
                <c:pt idx="120">
                  <c:v>-0.9792997939858139</c:v>
                </c:pt>
                <c:pt idx="121">
                  <c:v>-0.97940774950039333</c:v>
                </c:pt>
                <c:pt idx="122">
                  <c:v>-0.97241036607160891</c:v>
                </c:pt>
                <c:pt idx="123">
                  <c:v>-0.976683952116431</c:v>
                </c:pt>
                <c:pt idx="124">
                  <c:v>-0.97382390470248026</c:v>
                </c:pt>
                <c:pt idx="125">
                  <c:v>-0.9768820288573461</c:v>
                </c:pt>
                <c:pt idx="126">
                  <c:v>-0.97166518400004509</c:v>
                </c:pt>
                <c:pt idx="127">
                  <c:v>-0.96656800499942619</c:v>
                </c:pt>
                <c:pt idx="128">
                  <c:v>-0.96774034662073083</c:v>
                </c:pt>
                <c:pt idx="129">
                  <c:v>-0.96689184695922381</c:v>
                </c:pt>
                <c:pt idx="130">
                  <c:v>-0.96642710599079606</c:v>
                </c:pt>
                <c:pt idx="131">
                  <c:v>-0.96825679031859635</c:v>
                </c:pt>
                <c:pt idx="132">
                  <c:v>-0.96790901344628788</c:v>
                </c:pt>
                <c:pt idx="133">
                  <c:v>-0.97364220553175329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CE-46C7-AA85-687A438B0A3F}"/>
            </c:ext>
          </c:extLst>
        </c:ser>
        <c:ser>
          <c:idx val="10"/>
          <c:order val="10"/>
          <c:tx>
            <c:strRef>
              <c:f>LSTM再投資累積報酬!$B$22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LSTM再投資累積報酬!$C$22:$EF$22</c:f>
              <c:numCache>
                <c:formatCode>General</c:formatCode>
                <c:ptCount val="134"/>
                <c:pt idx="0">
                  <c:v>2.5922326608526669E-2</c:v>
                </c:pt>
                <c:pt idx="1">
                  <c:v>-0.40232014549558093</c:v>
                </c:pt>
                <c:pt idx="2">
                  <c:v>-0.41560681506025565</c:v>
                </c:pt>
                <c:pt idx="3">
                  <c:v>-0.45524682478988288</c:v>
                </c:pt>
                <c:pt idx="4">
                  <c:v>-0.5118381615469737</c:v>
                </c:pt>
                <c:pt idx="5">
                  <c:v>-0.62402045863259459</c:v>
                </c:pt>
                <c:pt idx="6">
                  <c:v>-0.71968202477764309</c:v>
                </c:pt>
                <c:pt idx="7">
                  <c:v>-0.75286558486896493</c:v>
                </c:pt>
                <c:pt idx="8">
                  <c:v>-0.81350394619291033</c:v>
                </c:pt>
                <c:pt idx="9">
                  <c:v>-0.79345801340455668</c:v>
                </c:pt>
                <c:pt idx="10">
                  <c:v>-0.77815324005924347</c:v>
                </c:pt>
                <c:pt idx="11">
                  <c:v>-0.79990106890362012</c:v>
                </c:pt>
                <c:pt idx="12">
                  <c:v>-0.80124490897509815</c:v>
                </c:pt>
                <c:pt idx="13">
                  <c:v>-0.79272656618831649</c:v>
                </c:pt>
                <c:pt idx="14">
                  <c:v>-0.8112324602950548</c:v>
                </c:pt>
                <c:pt idx="15">
                  <c:v>-0.77712599215229261</c:v>
                </c:pt>
                <c:pt idx="16">
                  <c:v>-0.72206349096365563</c:v>
                </c:pt>
                <c:pt idx="17">
                  <c:v>-0.75786516585016117</c:v>
                </c:pt>
                <c:pt idx="18">
                  <c:v>-0.7946767268072108</c:v>
                </c:pt>
                <c:pt idx="19">
                  <c:v>-0.80638510878130942</c:v>
                </c:pt>
                <c:pt idx="20">
                  <c:v>-0.87341332277814276</c:v>
                </c:pt>
                <c:pt idx="21">
                  <c:v>-0.84533807390024041</c:v>
                </c:pt>
                <c:pt idx="22">
                  <c:v>-0.8379238391113073</c:v>
                </c:pt>
                <c:pt idx="23">
                  <c:v>-0.86225959248408712</c:v>
                </c:pt>
                <c:pt idx="24">
                  <c:v>-0.87362654049323307</c:v>
                </c:pt>
                <c:pt idx="25">
                  <c:v>-0.8741150029959619</c:v>
                </c:pt>
                <c:pt idx="26">
                  <c:v>-0.8633170334957827</c:v>
                </c:pt>
                <c:pt idx="27">
                  <c:v>-0.8607755846946874</c:v>
                </c:pt>
                <c:pt idx="28">
                  <c:v>-0.89260522528453545</c:v>
                </c:pt>
                <c:pt idx="29">
                  <c:v>-0.93877603973551671</c:v>
                </c:pt>
                <c:pt idx="30">
                  <c:v>-0.9394379993509967</c:v>
                </c:pt>
                <c:pt idx="31">
                  <c:v>-0.95443449798385227</c:v>
                </c:pt>
                <c:pt idx="32">
                  <c:v>-0.95750528935075152</c:v>
                </c:pt>
                <c:pt idx="33">
                  <c:v>-0.9594543572523766</c:v>
                </c:pt>
                <c:pt idx="34">
                  <c:v>-0.96264026229890587</c:v>
                </c:pt>
                <c:pt idx="35">
                  <c:v>-0.96268302897036462</c:v>
                </c:pt>
                <c:pt idx="36">
                  <c:v>-0.96478672672878396</c:v>
                </c:pt>
                <c:pt idx="37">
                  <c:v>-0.96576778848401035</c:v>
                </c:pt>
                <c:pt idx="38">
                  <c:v>-0.96035386580509352</c:v>
                </c:pt>
                <c:pt idx="39">
                  <c:v>-0.95038702361363014</c:v>
                </c:pt>
                <c:pt idx="40">
                  <c:v>-0.95312202430718496</c:v>
                </c:pt>
                <c:pt idx="41">
                  <c:v>-0.95819345719184401</c:v>
                </c:pt>
                <c:pt idx="42">
                  <c:v>-0.96128060710929208</c:v>
                </c:pt>
                <c:pt idx="43">
                  <c:v>-0.96196703887113788</c:v>
                </c:pt>
                <c:pt idx="44">
                  <c:v>-0.96614741647843494</c:v>
                </c:pt>
                <c:pt idx="45">
                  <c:v>-0.96310901231073243</c:v>
                </c:pt>
                <c:pt idx="46">
                  <c:v>-0.97678816393611778</c:v>
                </c:pt>
                <c:pt idx="47">
                  <c:v>-0.97655894273745325</c:v>
                </c:pt>
                <c:pt idx="48">
                  <c:v>-0.9742510235308478</c:v>
                </c:pt>
                <c:pt idx="49">
                  <c:v>-0.98010854222043642</c:v>
                </c:pt>
                <c:pt idx="50">
                  <c:v>-0.98108674324114642</c:v>
                </c:pt>
                <c:pt idx="51">
                  <c:v>-0.97128468220501463</c:v>
                </c:pt>
                <c:pt idx="52">
                  <c:v>-0.96566721843095138</c:v>
                </c:pt>
                <c:pt idx="53">
                  <c:v>-0.96767006775239472</c:v>
                </c:pt>
                <c:pt idx="54">
                  <c:v>-0.97181049376409867</c:v>
                </c:pt>
                <c:pt idx="55">
                  <c:v>-0.97142602223768981</c:v>
                </c:pt>
                <c:pt idx="56">
                  <c:v>-0.97010363248613973</c:v>
                </c:pt>
                <c:pt idx="57">
                  <c:v>-0.97034260647088133</c:v>
                </c:pt>
                <c:pt idx="58">
                  <c:v>-0.97293223251409777</c:v>
                </c:pt>
                <c:pt idx="59">
                  <c:v>-0.97265522164618501</c:v>
                </c:pt>
                <c:pt idx="60">
                  <c:v>-0.97322549030830052</c:v>
                </c:pt>
                <c:pt idx="61">
                  <c:v>-0.97695976840230325</c:v>
                </c:pt>
                <c:pt idx="62">
                  <c:v>-0.97701576729917461</c:v>
                </c:pt>
                <c:pt idx="63">
                  <c:v>-0.97636028441505684</c:v>
                </c:pt>
                <c:pt idx="64">
                  <c:v>-0.97556241795617626</c:v>
                </c:pt>
                <c:pt idx="65">
                  <c:v>-0.97554919722124722</c:v>
                </c:pt>
                <c:pt idx="66">
                  <c:v>-0.97331859471049043</c:v>
                </c:pt>
                <c:pt idx="67">
                  <c:v>-0.97616194621056918</c:v>
                </c:pt>
                <c:pt idx="68">
                  <c:v>-0.97384852054705762</c:v>
                </c:pt>
                <c:pt idx="69">
                  <c:v>-0.97209262612865643</c:v>
                </c:pt>
                <c:pt idx="70">
                  <c:v>-0.96614978529660167</c:v>
                </c:pt>
                <c:pt idx="71">
                  <c:v>-0.96779502537778606</c:v>
                </c:pt>
                <c:pt idx="72">
                  <c:v>-0.96353843618560364</c:v>
                </c:pt>
                <c:pt idx="73">
                  <c:v>-0.96911477187057971</c:v>
                </c:pt>
                <c:pt idx="74">
                  <c:v>-0.97083189944223736</c:v>
                </c:pt>
                <c:pt idx="75">
                  <c:v>-0.9691890834078658</c:v>
                </c:pt>
                <c:pt idx="76">
                  <c:v>-0.97114270392683</c:v>
                </c:pt>
                <c:pt idx="77">
                  <c:v>-0.97297815116445452</c:v>
                </c:pt>
                <c:pt idx="78">
                  <c:v>-0.9733830925774547</c:v>
                </c:pt>
                <c:pt idx="79">
                  <c:v>-0.96449629178385099</c:v>
                </c:pt>
                <c:pt idx="80">
                  <c:v>-0.96925174477365417</c:v>
                </c:pt>
                <c:pt idx="81">
                  <c:v>-0.97235025743098757</c:v>
                </c:pt>
                <c:pt idx="82">
                  <c:v>-0.97807611356812252</c:v>
                </c:pt>
                <c:pt idx="83">
                  <c:v>-0.97470846682473544</c:v>
                </c:pt>
                <c:pt idx="84">
                  <c:v>-0.97307419566118014</c:v>
                </c:pt>
                <c:pt idx="85">
                  <c:v>-0.96967278375421373</c:v>
                </c:pt>
                <c:pt idx="86">
                  <c:v>-0.97303678594723919</c:v>
                </c:pt>
                <c:pt idx="87">
                  <c:v>-0.97559821071680275</c:v>
                </c:pt>
                <c:pt idx="88">
                  <c:v>-0.97446496041321995</c:v>
                </c:pt>
                <c:pt idx="89">
                  <c:v>-0.97056310634845622</c:v>
                </c:pt>
                <c:pt idx="90">
                  <c:v>-0.97601734349905811</c:v>
                </c:pt>
                <c:pt idx="91">
                  <c:v>-0.97189607427526448</c:v>
                </c:pt>
                <c:pt idx="92">
                  <c:v>-0.97141382171524993</c:v>
                </c:pt>
                <c:pt idx="93">
                  <c:v>-0.97222630393688858</c:v>
                </c:pt>
                <c:pt idx="94">
                  <c:v>-0.97458101165578315</c:v>
                </c:pt>
                <c:pt idx="95">
                  <c:v>-0.97137589638329647</c:v>
                </c:pt>
                <c:pt idx="96">
                  <c:v>-0.96658554068883729</c:v>
                </c:pt>
                <c:pt idx="97">
                  <c:v>-0.97213978162250192</c:v>
                </c:pt>
                <c:pt idx="98">
                  <c:v>-0.97112424174470136</c:v>
                </c:pt>
                <c:pt idx="99">
                  <c:v>-0.97269200181968651</c:v>
                </c:pt>
                <c:pt idx="100">
                  <c:v>-0.96825609418044933</c:v>
                </c:pt>
                <c:pt idx="101">
                  <c:v>-0.96801524534399208</c:v>
                </c:pt>
                <c:pt idx="102">
                  <c:v>-0.96814292061255258</c:v>
                </c:pt>
                <c:pt idx="103">
                  <c:v>-0.98704612056477536</c:v>
                </c:pt>
                <c:pt idx="104">
                  <c:v>-0.98521745721306353</c:v>
                </c:pt>
                <c:pt idx="105">
                  <c:v>-0.98568621414494706</c:v>
                </c:pt>
                <c:pt idx="106">
                  <c:v>-0.98594037693360814</c:v>
                </c:pt>
                <c:pt idx="107">
                  <c:v>-0.98046179688269597</c:v>
                </c:pt>
                <c:pt idx="108">
                  <c:v>-0.97874006286530379</c:v>
                </c:pt>
                <c:pt idx="109">
                  <c:v>-0.9794775435612294</c:v>
                </c:pt>
                <c:pt idx="110">
                  <c:v>-0.98114202855163413</c:v>
                </c:pt>
                <c:pt idx="111">
                  <c:v>-0.9782435628125592</c:v>
                </c:pt>
                <c:pt idx="112">
                  <c:v>-0.97773563318707724</c:v>
                </c:pt>
                <c:pt idx="113">
                  <c:v>-0.97766409041272073</c:v>
                </c:pt>
                <c:pt idx="114">
                  <c:v>-0.97671087087016784</c:v>
                </c:pt>
                <c:pt idx="115">
                  <c:v>-0.9695989524037103</c:v>
                </c:pt>
                <c:pt idx="116">
                  <c:v>-0.97032154481961741</c:v>
                </c:pt>
                <c:pt idx="117">
                  <c:v>-0.9753538958621828</c:v>
                </c:pt>
                <c:pt idx="118">
                  <c:v>-0.97127732754869478</c:v>
                </c:pt>
                <c:pt idx="119">
                  <c:v>-0.97145232194185682</c:v>
                </c:pt>
                <c:pt idx="120">
                  <c:v>-0.97514992680902357</c:v>
                </c:pt>
                <c:pt idx="121">
                  <c:v>-0.97447577528708607</c:v>
                </c:pt>
                <c:pt idx="122">
                  <c:v>-0.96489732826166774</c:v>
                </c:pt>
                <c:pt idx="123">
                  <c:v>-0.97041063706241726</c:v>
                </c:pt>
                <c:pt idx="124">
                  <c:v>-0.97047298959531159</c:v>
                </c:pt>
                <c:pt idx="125">
                  <c:v>-0.97532581647191874</c:v>
                </c:pt>
                <c:pt idx="126">
                  <c:v>-0.96748548677134727</c:v>
                </c:pt>
                <c:pt idx="127">
                  <c:v>-0.96210022999742784</c:v>
                </c:pt>
                <c:pt idx="128">
                  <c:v>-0.96339607022086415</c:v>
                </c:pt>
                <c:pt idx="129">
                  <c:v>-0.95864612648813807</c:v>
                </c:pt>
                <c:pt idx="130">
                  <c:v>-0.95775722077645442</c:v>
                </c:pt>
                <c:pt idx="131">
                  <c:v>-0.9610273849985761</c:v>
                </c:pt>
                <c:pt idx="132">
                  <c:v>-0.95962829317177512</c:v>
                </c:pt>
                <c:pt idx="133">
                  <c:v>-0.96613404035576722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CE-46C7-AA85-687A438B0A3F}"/>
            </c:ext>
          </c:extLst>
        </c:ser>
        <c:ser>
          <c:idx val="11"/>
          <c:order val="11"/>
          <c:tx>
            <c:strRef>
              <c:f>LSTM再投資累積報酬!$B$23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LSTM再投資累積報酬!$C$23:$EF$23</c:f>
              <c:numCache>
                <c:formatCode>General</c:formatCode>
                <c:ptCount val="134"/>
                <c:pt idx="0">
                  <c:v>3.132568458197138E-2</c:v>
                </c:pt>
                <c:pt idx="1">
                  <c:v>0.12307924767842793</c:v>
                </c:pt>
                <c:pt idx="2">
                  <c:v>0.10616389111010816</c:v>
                </c:pt>
                <c:pt idx="3">
                  <c:v>-9.5596061290047385E-2</c:v>
                </c:pt>
                <c:pt idx="4">
                  <c:v>-7.1202868483423498E-2</c:v>
                </c:pt>
                <c:pt idx="5">
                  <c:v>-0.31530026664451249</c:v>
                </c:pt>
                <c:pt idx="6">
                  <c:v>-0.49037995496604547</c:v>
                </c:pt>
                <c:pt idx="7">
                  <c:v>-0.56952079692963842</c:v>
                </c:pt>
                <c:pt idx="8">
                  <c:v>-0.63091039222109657</c:v>
                </c:pt>
                <c:pt idx="9">
                  <c:v>-0.54511759417351635</c:v>
                </c:pt>
                <c:pt idx="10">
                  <c:v>-0.42755327443464364</c:v>
                </c:pt>
                <c:pt idx="11">
                  <c:v>-0.50013952707445952</c:v>
                </c:pt>
                <c:pt idx="12">
                  <c:v>-0.50984067480666906</c:v>
                </c:pt>
                <c:pt idx="13">
                  <c:v>-0.50460405532293184</c:v>
                </c:pt>
                <c:pt idx="14">
                  <c:v>-0.62887396798314432</c:v>
                </c:pt>
                <c:pt idx="15">
                  <c:v>-0.59561068285688967</c:v>
                </c:pt>
                <c:pt idx="16">
                  <c:v>-0.52714959344623002</c:v>
                </c:pt>
                <c:pt idx="17">
                  <c:v>-0.6002535398404123</c:v>
                </c:pt>
                <c:pt idx="18">
                  <c:v>-0.685392249622919</c:v>
                </c:pt>
                <c:pt idx="19">
                  <c:v>-0.66545964292817905</c:v>
                </c:pt>
                <c:pt idx="20">
                  <c:v>-0.83404099591830616</c:v>
                </c:pt>
                <c:pt idx="21">
                  <c:v>-0.80387277136251001</c:v>
                </c:pt>
                <c:pt idx="22">
                  <c:v>-0.80238440822245782</c:v>
                </c:pt>
                <c:pt idx="23">
                  <c:v>-0.83156045510486898</c:v>
                </c:pt>
                <c:pt idx="24">
                  <c:v>-0.82200177269384211</c:v>
                </c:pt>
                <c:pt idx="25">
                  <c:v>-0.82751818429557122</c:v>
                </c:pt>
                <c:pt idx="26">
                  <c:v>-0.7984110500453595</c:v>
                </c:pt>
                <c:pt idx="27">
                  <c:v>-0.79780723236285755</c:v>
                </c:pt>
                <c:pt idx="28">
                  <c:v>-0.86500483579811061</c:v>
                </c:pt>
                <c:pt idx="29">
                  <c:v>-0.90883227477258566</c:v>
                </c:pt>
                <c:pt idx="30">
                  <c:v>-0.8955314604287038</c:v>
                </c:pt>
                <c:pt idx="31">
                  <c:v>-0.88136041582524649</c:v>
                </c:pt>
                <c:pt idx="32">
                  <c:v>-0.89031179258905091</c:v>
                </c:pt>
                <c:pt idx="33">
                  <c:v>-0.88845121126456561</c:v>
                </c:pt>
                <c:pt idx="34">
                  <c:v>-0.8986243742660821</c:v>
                </c:pt>
                <c:pt idx="35">
                  <c:v>-0.90382598916880874</c:v>
                </c:pt>
                <c:pt idx="36">
                  <c:v>-0.90185725491555357</c:v>
                </c:pt>
                <c:pt idx="37">
                  <c:v>-0.91761114217131046</c:v>
                </c:pt>
                <c:pt idx="38">
                  <c:v>-0.91013167737200895</c:v>
                </c:pt>
                <c:pt idx="39">
                  <c:v>-0.91107060556061692</c:v>
                </c:pt>
                <c:pt idx="40">
                  <c:v>-0.89544462525572355</c:v>
                </c:pt>
                <c:pt idx="41">
                  <c:v>-0.92194531374152</c:v>
                </c:pt>
                <c:pt idx="42">
                  <c:v>-0.92831954204027889</c:v>
                </c:pt>
                <c:pt idx="43">
                  <c:v>-0.93616897531409571</c:v>
                </c:pt>
                <c:pt idx="44">
                  <c:v>-0.94916470967005617</c:v>
                </c:pt>
                <c:pt idx="45">
                  <c:v>-0.94666615176322</c:v>
                </c:pt>
                <c:pt idx="46">
                  <c:v>-0.97772031686017902</c:v>
                </c:pt>
                <c:pt idx="47">
                  <c:v>-0.9773902928374486</c:v>
                </c:pt>
                <c:pt idx="48">
                  <c:v>-0.97607577350448615</c:v>
                </c:pt>
                <c:pt idx="49">
                  <c:v>-0.98363545876008651</c:v>
                </c:pt>
                <c:pt idx="50">
                  <c:v>-0.98081943362200552</c:v>
                </c:pt>
                <c:pt idx="51">
                  <c:v>-0.96766111761023055</c:v>
                </c:pt>
                <c:pt idx="52">
                  <c:v>-0.95948361087677114</c:v>
                </c:pt>
                <c:pt idx="53">
                  <c:v>-0.96010556456437035</c:v>
                </c:pt>
                <c:pt idx="54">
                  <c:v>-0.96506412943947306</c:v>
                </c:pt>
                <c:pt idx="55">
                  <c:v>-0.96586230894593594</c:v>
                </c:pt>
                <c:pt idx="56">
                  <c:v>-0.96331012493947399</c:v>
                </c:pt>
                <c:pt idx="57">
                  <c:v>-0.96134366269806315</c:v>
                </c:pt>
                <c:pt idx="58">
                  <c:v>-0.9666867244466204</c:v>
                </c:pt>
                <c:pt idx="59">
                  <c:v>-0.96861956780809899</c:v>
                </c:pt>
                <c:pt idx="60">
                  <c:v>-0.96877677948915231</c:v>
                </c:pt>
                <c:pt idx="61">
                  <c:v>-0.97234766338525325</c:v>
                </c:pt>
                <c:pt idx="62">
                  <c:v>-0.97042595147615573</c:v>
                </c:pt>
                <c:pt idx="63">
                  <c:v>-0.96963917916282316</c:v>
                </c:pt>
                <c:pt idx="64">
                  <c:v>-0.96979552492743193</c:v>
                </c:pt>
                <c:pt idx="65">
                  <c:v>-0.96911665756088861</c:v>
                </c:pt>
                <c:pt idx="66">
                  <c:v>-0.96728353276596302</c:v>
                </c:pt>
                <c:pt idx="67">
                  <c:v>-0.97064752466851723</c:v>
                </c:pt>
                <c:pt idx="68">
                  <c:v>-0.96417333447113418</c:v>
                </c:pt>
                <c:pt idx="69">
                  <c:v>-0.96165868718019054</c:v>
                </c:pt>
                <c:pt idx="70">
                  <c:v>-0.95377234935692279</c:v>
                </c:pt>
                <c:pt idx="71">
                  <c:v>-0.95623485241620132</c:v>
                </c:pt>
                <c:pt idx="72">
                  <c:v>-0.95556250967808209</c:v>
                </c:pt>
                <c:pt idx="73">
                  <c:v>-0.96108251355339014</c:v>
                </c:pt>
                <c:pt idx="74">
                  <c:v>-0.95648055059471582</c:v>
                </c:pt>
                <c:pt idx="75">
                  <c:v>-0.94767547892190551</c:v>
                </c:pt>
                <c:pt idx="76">
                  <c:v>-0.94588160493267437</c:v>
                </c:pt>
                <c:pt idx="77">
                  <c:v>-0.94362676263112633</c:v>
                </c:pt>
                <c:pt idx="78">
                  <c:v>-0.93094511652513634</c:v>
                </c:pt>
                <c:pt idx="79">
                  <c:v>-0.91770892125921544</c:v>
                </c:pt>
                <c:pt idx="80">
                  <c:v>-0.9345449124320071</c:v>
                </c:pt>
                <c:pt idx="81">
                  <c:v>-0.93560272133025502</c:v>
                </c:pt>
                <c:pt idx="82">
                  <c:v>-0.94955357014956687</c:v>
                </c:pt>
                <c:pt idx="83">
                  <c:v>-0.94137506507710911</c:v>
                </c:pt>
                <c:pt idx="84">
                  <c:v>-0.93344767259828576</c:v>
                </c:pt>
                <c:pt idx="85">
                  <c:v>-0.92303117541630886</c:v>
                </c:pt>
                <c:pt idx="86">
                  <c:v>-0.92856187733473339</c:v>
                </c:pt>
                <c:pt idx="87">
                  <c:v>-0.94028126272272727</c:v>
                </c:pt>
                <c:pt idx="88">
                  <c:v>-0.93986472399196019</c:v>
                </c:pt>
                <c:pt idx="89">
                  <c:v>-0.92320098271622775</c:v>
                </c:pt>
                <c:pt idx="90">
                  <c:v>-0.94381775393125833</c:v>
                </c:pt>
                <c:pt idx="91">
                  <c:v>-0.92999120359316945</c:v>
                </c:pt>
                <c:pt idx="92">
                  <c:v>-0.93172057978994338</c:v>
                </c:pt>
                <c:pt idx="93">
                  <c:v>-0.93433109588153862</c:v>
                </c:pt>
                <c:pt idx="94">
                  <c:v>-0.93861007407555963</c:v>
                </c:pt>
                <c:pt idx="95">
                  <c:v>-0.93659340125722113</c:v>
                </c:pt>
                <c:pt idx="96">
                  <c:v>-0.92377868131748375</c:v>
                </c:pt>
                <c:pt idx="97">
                  <c:v>-0.9354657699140102</c:v>
                </c:pt>
                <c:pt idx="98">
                  <c:v>-0.92895418015149012</c:v>
                </c:pt>
                <c:pt idx="99">
                  <c:v>-0.93334907408046197</c:v>
                </c:pt>
                <c:pt idx="100">
                  <c:v>-0.9145727865877592</c:v>
                </c:pt>
                <c:pt idx="101">
                  <c:v>-0.9198078602395604</c:v>
                </c:pt>
                <c:pt idx="102">
                  <c:v>-0.92229238403786562</c:v>
                </c:pt>
                <c:pt idx="103">
                  <c:v>-0.98947649075890742</c:v>
                </c:pt>
                <c:pt idx="104">
                  <c:v>-0.98781431405731135</c:v>
                </c:pt>
                <c:pt idx="105">
                  <c:v>-0.98894512956282488</c:v>
                </c:pt>
                <c:pt idx="106">
                  <c:v>-0.98960937192764475</c:v>
                </c:pt>
                <c:pt idx="107">
                  <c:v>-0.98536173595022813</c:v>
                </c:pt>
                <c:pt idx="108">
                  <c:v>-0.98312242329120647</c:v>
                </c:pt>
                <c:pt idx="109">
                  <c:v>-0.98497190524998102</c:v>
                </c:pt>
                <c:pt idx="110">
                  <c:v>-0.98775079102966501</c:v>
                </c:pt>
                <c:pt idx="111">
                  <c:v>-0.98628048685165504</c:v>
                </c:pt>
                <c:pt idx="112">
                  <c:v>-0.98562538288321633</c:v>
                </c:pt>
                <c:pt idx="113">
                  <c:v>-0.98600261095934916</c:v>
                </c:pt>
                <c:pt idx="114">
                  <c:v>-0.98615252767539729</c:v>
                </c:pt>
                <c:pt idx="115">
                  <c:v>-0.98248329568351966</c:v>
                </c:pt>
                <c:pt idx="116">
                  <c:v>-0.98100014182858963</c:v>
                </c:pt>
                <c:pt idx="117">
                  <c:v>-0.9843600694988891</c:v>
                </c:pt>
                <c:pt idx="118">
                  <c:v>-0.980513489469651</c:v>
                </c:pt>
                <c:pt idx="119">
                  <c:v>-0.98226505400840558</c:v>
                </c:pt>
                <c:pt idx="120">
                  <c:v>-0.98664903602765419</c:v>
                </c:pt>
                <c:pt idx="121">
                  <c:v>-0.9869467152227035</c:v>
                </c:pt>
                <c:pt idx="122">
                  <c:v>-0.98009058564884732</c:v>
                </c:pt>
                <c:pt idx="123">
                  <c:v>-0.98392795406831612</c:v>
                </c:pt>
                <c:pt idx="124">
                  <c:v>-0.9882190156766717</c:v>
                </c:pt>
                <c:pt idx="125">
                  <c:v>-0.99023359682919254</c:v>
                </c:pt>
                <c:pt idx="126">
                  <c:v>-0.98761403332769249</c:v>
                </c:pt>
                <c:pt idx="127">
                  <c:v>-0.98601211890743989</c:v>
                </c:pt>
                <c:pt idx="128">
                  <c:v>-0.98731805657360594</c:v>
                </c:pt>
                <c:pt idx="129">
                  <c:v>-0.9842200523593424</c:v>
                </c:pt>
                <c:pt idx="130">
                  <c:v>-0.98479735095543297</c:v>
                </c:pt>
                <c:pt idx="131">
                  <c:v>-0.98618726689694958</c:v>
                </c:pt>
                <c:pt idx="132">
                  <c:v>-0.98522665266448084</c:v>
                </c:pt>
                <c:pt idx="133">
                  <c:v>-0.98645685554564677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CE-46C7-AA85-687A438B0A3F}"/>
            </c:ext>
          </c:extLst>
        </c:ser>
        <c:ser>
          <c:idx val="12"/>
          <c:order val="12"/>
          <c:tx>
            <c:strRef>
              <c:f>LSTM再投資累積報酬!$B$24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LSTM再投資累積報酬!$C$24:$EF$24</c:f>
              <c:numCache>
                <c:formatCode>General</c:formatCode>
                <c:ptCount val="134"/>
                <c:pt idx="0">
                  <c:v>2.7766967310441037E-2</c:v>
                </c:pt>
                <c:pt idx="1">
                  <c:v>0.11203191512430388</c:v>
                </c:pt>
                <c:pt idx="2">
                  <c:v>0.20308546043212305</c:v>
                </c:pt>
                <c:pt idx="3">
                  <c:v>-3.9391263554694578E-2</c:v>
                </c:pt>
                <c:pt idx="4">
                  <c:v>-1.7659999462183773E-2</c:v>
                </c:pt>
                <c:pt idx="5">
                  <c:v>-0.36228667108299428</c:v>
                </c:pt>
                <c:pt idx="6">
                  <c:v>-0.5155841834617132</c:v>
                </c:pt>
                <c:pt idx="7">
                  <c:v>-0.51753915245348847</c:v>
                </c:pt>
                <c:pt idx="8">
                  <c:v>-0.54187656955082808</c:v>
                </c:pt>
                <c:pt idx="9">
                  <c:v>-0.38897354790283489</c:v>
                </c:pt>
                <c:pt idx="10">
                  <c:v>-0.29926304815581695</c:v>
                </c:pt>
                <c:pt idx="11">
                  <c:v>-0.37297476693817255</c:v>
                </c:pt>
                <c:pt idx="12">
                  <c:v>-0.34999505038327605</c:v>
                </c:pt>
                <c:pt idx="13">
                  <c:v>-0.29946594981232844</c:v>
                </c:pt>
                <c:pt idx="14">
                  <c:v>-0.23631634372644084</c:v>
                </c:pt>
                <c:pt idx="15">
                  <c:v>-0.15355938635800481</c:v>
                </c:pt>
                <c:pt idx="16">
                  <c:v>-3.5156057213938996E-2</c:v>
                </c:pt>
                <c:pt idx="17">
                  <c:v>0.22582141104338826</c:v>
                </c:pt>
                <c:pt idx="18">
                  <c:v>-0.25587968112805703</c:v>
                </c:pt>
                <c:pt idx="19">
                  <c:v>-0.16915966349127676</c:v>
                </c:pt>
                <c:pt idx="20">
                  <c:v>-0.70333477275074374</c:v>
                </c:pt>
                <c:pt idx="21">
                  <c:v>-0.71406156329160964</c:v>
                </c:pt>
                <c:pt idx="22">
                  <c:v>-0.70565530506093999</c:v>
                </c:pt>
                <c:pt idx="23">
                  <c:v>-0.74992766875361339</c:v>
                </c:pt>
                <c:pt idx="24">
                  <c:v>-0.80457962127824223</c:v>
                </c:pt>
                <c:pt idx="25">
                  <c:v>-0.86328269018081327</c:v>
                </c:pt>
                <c:pt idx="26">
                  <c:v>-0.80835687547022683</c:v>
                </c:pt>
                <c:pt idx="27">
                  <c:v>-0.79687320802686967</c:v>
                </c:pt>
                <c:pt idx="28">
                  <c:v>-0.90681723382503043</c:v>
                </c:pt>
                <c:pt idx="29">
                  <c:v>-0.95297898964391614</c:v>
                </c:pt>
                <c:pt idx="30">
                  <c:v>-0.93510840109339499</c:v>
                </c:pt>
                <c:pt idx="31">
                  <c:v>-0.91550317235112322</c:v>
                </c:pt>
                <c:pt idx="32">
                  <c:v>-0.92833922695314808</c:v>
                </c:pt>
                <c:pt idx="33">
                  <c:v>-0.92689795930270391</c:v>
                </c:pt>
                <c:pt idx="34">
                  <c:v>-0.93517158713911552</c:v>
                </c:pt>
                <c:pt idx="35">
                  <c:v>-0.94213768705139367</c:v>
                </c:pt>
                <c:pt idx="36">
                  <c:v>-0.94300368598127626</c:v>
                </c:pt>
                <c:pt idx="37">
                  <c:v>-0.94931094208806921</c:v>
                </c:pt>
                <c:pt idx="38">
                  <c:v>-0.94409474897063572</c:v>
                </c:pt>
                <c:pt idx="39">
                  <c:v>-0.96737417258850955</c:v>
                </c:pt>
                <c:pt idx="40">
                  <c:v>-0.95574332835135756</c:v>
                </c:pt>
                <c:pt idx="41">
                  <c:v>-0.95664398899384862</c:v>
                </c:pt>
                <c:pt idx="42">
                  <c:v>-0.95678649039084762</c:v>
                </c:pt>
                <c:pt idx="43">
                  <c:v>-0.96330174715362815</c:v>
                </c:pt>
                <c:pt idx="44">
                  <c:v>-0.97173651086149837</c:v>
                </c:pt>
                <c:pt idx="45">
                  <c:v>-0.97873694356569174</c:v>
                </c:pt>
                <c:pt idx="46">
                  <c:v>-0.97557489410456377</c:v>
                </c:pt>
                <c:pt idx="47">
                  <c:v>-0.97829808181516609</c:v>
                </c:pt>
                <c:pt idx="48">
                  <c:v>-0.9724942131642802</c:v>
                </c:pt>
                <c:pt idx="49">
                  <c:v>-0.98926998045792192</c:v>
                </c:pt>
                <c:pt idx="50">
                  <c:v>-0.98817785015893089</c:v>
                </c:pt>
                <c:pt idx="51">
                  <c:v>-0.97786062276342112</c:v>
                </c:pt>
                <c:pt idx="52">
                  <c:v>-0.97795730253715685</c:v>
                </c:pt>
                <c:pt idx="53">
                  <c:v>-0.97415339117837785</c:v>
                </c:pt>
                <c:pt idx="54">
                  <c:v>-0.97267029885910317</c:v>
                </c:pt>
                <c:pt idx="55">
                  <c:v>-0.9702748140401446</c:v>
                </c:pt>
                <c:pt idx="56">
                  <c:v>-0.9694771099643561</c:v>
                </c:pt>
                <c:pt idx="57">
                  <c:v>-0.96918502266328865</c:v>
                </c:pt>
                <c:pt idx="58">
                  <c:v>-0.96831753075665117</c:v>
                </c:pt>
                <c:pt idx="59">
                  <c:v>-0.96639861058442578</c:v>
                </c:pt>
                <c:pt idx="60">
                  <c:v>-0.96673528733147918</c:v>
                </c:pt>
                <c:pt idx="61">
                  <c:v>-0.97026490354244943</c:v>
                </c:pt>
                <c:pt idx="62">
                  <c:v>-0.97278593243651645</c:v>
                </c:pt>
                <c:pt idx="63">
                  <c:v>-0.97224464031981461</c:v>
                </c:pt>
                <c:pt idx="64">
                  <c:v>-0.96646940687780603</c:v>
                </c:pt>
                <c:pt idx="65">
                  <c:v>-0.96753548205377615</c:v>
                </c:pt>
                <c:pt idx="66">
                  <c:v>-0.96798535802119168</c:v>
                </c:pt>
                <c:pt idx="67">
                  <c:v>-0.97115227487268252</c:v>
                </c:pt>
                <c:pt idx="68">
                  <c:v>-0.96764378464117706</c:v>
                </c:pt>
                <c:pt idx="69">
                  <c:v>-0.96583833188720492</c:v>
                </c:pt>
                <c:pt idx="70">
                  <c:v>-0.95803831327854183</c:v>
                </c:pt>
                <c:pt idx="71">
                  <c:v>-0.95997940659697156</c:v>
                </c:pt>
                <c:pt idx="72">
                  <c:v>-0.95393519861102294</c:v>
                </c:pt>
                <c:pt idx="73">
                  <c:v>-0.95660895490589326</c:v>
                </c:pt>
                <c:pt idx="74">
                  <c:v>-0.95147109801287622</c:v>
                </c:pt>
                <c:pt idx="75">
                  <c:v>-0.93592586263390265</c:v>
                </c:pt>
                <c:pt idx="76">
                  <c:v>-0.93045699796875925</c:v>
                </c:pt>
                <c:pt idx="77">
                  <c:v>-0.93491658784293741</c:v>
                </c:pt>
                <c:pt idx="78">
                  <c:v>-0.90628935533192478</c:v>
                </c:pt>
                <c:pt idx="79">
                  <c:v>-0.89276631792260219</c:v>
                </c:pt>
                <c:pt idx="80">
                  <c:v>-0.91199372287701863</c:v>
                </c:pt>
                <c:pt idx="81">
                  <c:v>-0.90812455911389178</c:v>
                </c:pt>
                <c:pt idx="82">
                  <c:v>-0.95589693711902723</c:v>
                </c:pt>
                <c:pt idx="83">
                  <c:v>-0.94650418062274011</c:v>
                </c:pt>
                <c:pt idx="84">
                  <c:v>-0.93079782711682868</c:v>
                </c:pt>
                <c:pt idx="85">
                  <c:v>-0.91002424180933372</c:v>
                </c:pt>
                <c:pt idx="86">
                  <c:v>-0.93909174414777474</c:v>
                </c:pt>
                <c:pt idx="87">
                  <c:v>-0.94004701387694201</c:v>
                </c:pt>
                <c:pt idx="88">
                  <c:v>-0.93736780255894758</c:v>
                </c:pt>
                <c:pt idx="89">
                  <c:v>-0.89918237996440875</c:v>
                </c:pt>
                <c:pt idx="90">
                  <c:v>-0.95689135450336027</c:v>
                </c:pt>
                <c:pt idx="91">
                  <c:v>-0.94835293951971023</c:v>
                </c:pt>
                <c:pt idx="92">
                  <c:v>-0.95662626388739702</c:v>
                </c:pt>
                <c:pt idx="93">
                  <c:v>-0.96082561824488866</c:v>
                </c:pt>
                <c:pt idx="94">
                  <c:v>-0.96505544218328054</c:v>
                </c:pt>
                <c:pt idx="95">
                  <c:v>-0.97144668255239064</c:v>
                </c:pt>
                <c:pt idx="96">
                  <c:v>-0.96994109339711709</c:v>
                </c:pt>
                <c:pt idx="97">
                  <c:v>-0.97543778814695403</c:v>
                </c:pt>
                <c:pt idx="98">
                  <c:v>-0.97113652321478838</c:v>
                </c:pt>
                <c:pt idx="99">
                  <c:v>-0.97537064013733799</c:v>
                </c:pt>
                <c:pt idx="100">
                  <c:v>-0.96649845394084688</c:v>
                </c:pt>
                <c:pt idx="101">
                  <c:v>-0.97192928604863704</c:v>
                </c:pt>
                <c:pt idx="102">
                  <c:v>-0.97124123904798088</c:v>
                </c:pt>
                <c:pt idx="103">
                  <c:v>-0.99850769608527645</c:v>
                </c:pt>
                <c:pt idx="104">
                  <c:v>-0.99808577732967096</c:v>
                </c:pt>
                <c:pt idx="105">
                  <c:v>-0.99771088692260501</c:v>
                </c:pt>
                <c:pt idx="106">
                  <c:v>-0.99740967262477365</c:v>
                </c:pt>
                <c:pt idx="107">
                  <c:v>-0.99604823539534904</c:v>
                </c:pt>
                <c:pt idx="108">
                  <c:v>-0.99506587025227766</c:v>
                </c:pt>
                <c:pt idx="109">
                  <c:v>-0.99557326084680975</c:v>
                </c:pt>
                <c:pt idx="110">
                  <c:v>-0.99744620886923496</c:v>
                </c:pt>
                <c:pt idx="111">
                  <c:v>-0.99686044611799285</c:v>
                </c:pt>
                <c:pt idx="112">
                  <c:v>-0.99633921195624064</c:v>
                </c:pt>
                <c:pt idx="113">
                  <c:v>-0.99656383978937857</c:v>
                </c:pt>
                <c:pt idx="114">
                  <c:v>-0.99693603124562102</c:v>
                </c:pt>
                <c:pt idx="115">
                  <c:v>-0.99535242530976753</c:v>
                </c:pt>
                <c:pt idx="116">
                  <c:v>-0.99496614544107231</c:v>
                </c:pt>
                <c:pt idx="117">
                  <c:v>-0.99609157348396349</c:v>
                </c:pt>
                <c:pt idx="118">
                  <c:v>-0.99468816968570117</c:v>
                </c:pt>
                <c:pt idx="119">
                  <c:v>-0.99479714523217844</c:v>
                </c:pt>
                <c:pt idx="120">
                  <c:v>-0.99554639260781808</c:v>
                </c:pt>
                <c:pt idx="121">
                  <c:v>-0.99567748777645781</c:v>
                </c:pt>
                <c:pt idx="122">
                  <c:v>-0.992346804909914</c:v>
                </c:pt>
                <c:pt idx="123">
                  <c:v>-0.99809019528749188</c:v>
                </c:pt>
                <c:pt idx="124">
                  <c:v>-0.99882234421165139</c:v>
                </c:pt>
                <c:pt idx="125">
                  <c:v>-0.99902694698450578</c:v>
                </c:pt>
                <c:pt idx="126">
                  <c:v>-0.99899574454521733</c:v>
                </c:pt>
                <c:pt idx="127">
                  <c:v>-0.99904485732106352</c:v>
                </c:pt>
                <c:pt idx="128">
                  <c:v>-0.99906698941141237</c:v>
                </c:pt>
                <c:pt idx="129">
                  <c:v>-0.99851679501078416</c:v>
                </c:pt>
                <c:pt idx="130">
                  <c:v>-0.99853801955370003</c:v>
                </c:pt>
                <c:pt idx="131">
                  <c:v>-0.99862014315513936</c:v>
                </c:pt>
                <c:pt idx="132">
                  <c:v>-0.99866935434601878</c:v>
                </c:pt>
                <c:pt idx="133">
                  <c:v>-0.99884095144631269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CE-46C7-AA85-687A438B0A3F}"/>
            </c:ext>
          </c:extLst>
        </c:ser>
        <c:ser>
          <c:idx val="13"/>
          <c:order val="13"/>
          <c:tx>
            <c:strRef>
              <c:f>LSTM再投資累積報酬!$B$25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LSTM再投資累積報酬!$C$11:$EF$11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LSTM再投資累積報酬!$C$25:$EF$25</c:f>
              <c:numCache>
                <c:formatCode>#,##0.0000</c:formatCode>
                <c:ptCount val="134"/>
                <c:pt idx="0">
                  <c:v>-1.7446770539390338E-2</c:v>
                </c:pt>
                <c:pt idx="1">
                  <c:v>2.070106053181563E-2</c:v>
                </c:pt>
                <c:pt idx="2">
                  <c:v>2.3982129254766709E-2</c:v>
                </c:pt>
                <c:pt idx="3">
                  <c:v>-6.557578972823077E-3</c:v>
                </c:pt>
                <c:pt idx="4">
                  <c:v>3.1845129800519692E-2</c:v>
                </c:pt>
                <c:pt idx="5">
                  <c:v>3.4348532736990518E-2</c:v>
                </c:pt>
                <c:pt idx="6">
                  <c:v>-8.2549327813252367E-3</c:v>
                </c:pt>
                <c:pt idx="7">
                  <c:v>1.2843524394052759E-2</c:v>
                </c:pt>
                <c:pt idx="8">
                  <c:v>-5.1018524626790823E-2</c:v>
                </c:pt>
                <c:pt idx="9">
                  <c:v>8.7394274103658827E-4</c:v>
                </c:pt>
                <c:pt idx="10">
                  <c:v>2.3389575505495919E-2</c:v>
                </c:pt>
                <c:pt idx="11">
                  <c:v>1.2988972200332851E-2</c:v>
                </c:pt>
                <c:pt idx="12">
                  <c:v>5.8545887256348812E-3</c:v>
                </c:pt>
                <c:pt idx="13">
                  <c:v>2.7413206571790558E-2</c:v>
                </c:pt>
                <c:pt idx="14">
                  <c:v>-3.7129361176928542E-3</c:v>
                </c:pt>
                <c:pt idx="15">
                  <c:v>2.4076614047823328E-2</c:v>
                </c:pt>
                <c:pt idx="16">
                  <c:v>-1.219002529903996E-2</c:v>
                </c:pt>
                <c:pt idx="17">
                  <c:v>-3.9749578159589592E-2</c:v>
                </c:pt>
                <c:pt idx="18">
                  <c:v>-7.3155449831649552E-2</c:v>
                </c:pt>
                <c:pt idx="19">
                  <c:v>-5.8260229910114661E-2</c:v>
                </c:pt>
                <c:pt idx="20">
                  <c:v>7.7279756550837221E-4</c:v>
                </c:pt>
                <c:pt idx="21">
                  <c:v>4.459152113521897E-2</c:v>
                </c:pt>
                <c:pt idx="22">
                  <c:v>-2.7699680050213091E-2</c:v>
                </c:pt>
                <c:pt idx="23">
                  <c:v>2.0950059497436462E-3</c:v>
                </c:pt>
                <c:pt idx="24">
                  <c:v>-2.340055099256411E-2</c:v>
                </c:pt>
                <c:pt idx="25">
                  <c:v>3.2129371097322189E-2</c:v>
                </c:pt>
                <c:pt idx="26">
                  <c:v>3.890327309406643E-2</c:v>
                </c:pt>
                <c:pt idx="27">
                  <c:v>-4.286538217110427E-2</c:v>
                </c:pt>
                <c:pt idx="28">
                  <c:v>1.8647194550152159E-2</c:v>
                </c:pt>
                <c:pt idx="29">
                  <c:v>1.5229768322528949E-2</c:v>
                </c:pt>
                <c:pt idx="30">
                  <c:v>3.6016603778892417E-2</c:v>
                </c:pt>
                <c:pt idx="31">
                  <c:v>9.3546113853161701E-3</c:v>
                </c:pt>
                <c:pt idx="32">
                  <c:v>1.0748251336838139E-2</c:v>
                </c:pt>
                <c:pt idx="33">
                  <c:v>1.335775405308097E-2</c:v>
                </c:pt>
                <c:pt idx="34">
                  <c:v>-5.3327473290953921E-3</c:v>
                </c:pt>
                <c:pt idx="35">
                  <c:v>1.383135807261675E-3</c:v>
                </c:pt>
                <c:pt idx="36">
                  <c:v>2.079592842007446E-2</c:v>
                </c:pt>
                <c:pt idx="37">
                  <c:v>3.1517702220390638E-2</c:v>
                </c:pt>
                <c:pt idx="38">
                  <c:v>6.2417165333294418E-3</c:v>
                </c:pt>
                <c:pt idx="39">
                  <c:v>6.1452616535713897E-3</c:v>
                </c:pt>
                <c:pt idx="40">
                  <c:v>1.694635767669651E-2</c:v>
                </c:pt>
                <c:pt idx="41">
                  <c:v>3.4682830454308228E-2</c:v>
                </c:pt>
                <c:pt idx="42">
                  <c:v>3.0985886171969678E-3</c:v>
                </c:pt>
                <c:pt idx="43">
                  <c:v>1.508134714348611E-2</c:v>
                </c:pt>
                <c:pt idx="44">
                  <c:v>-1.9251209229863991E-2</c:v>
                </c:pt>
                <c:pt idx="45">
                  <c:v>3.8711513387631437E-2</c:v>
                </c:pt>
                <c:pt idx="46">
                  <c:v>-2.1856951135736599E-2</c:v>
                </c:pt>
                <c:pt idx="47">
                  <c:v>7.7743007097896798E-3</c:v>
                </c:pt>
                <c:pt idx="48">
                  <c:v>4.2397246695325942E-2</c:v>
                </c:pt>
                <c:pt idx="49">
                  <c:v>-2.630897486115975E-2</c:v>
                </c:pt>
                <c:pt idx="50">
                  <c:v>9.5717493087162323E-3</c:v>
                </c:pt>
                <c:pt idx="51">
                  <c:v>-2.424974126627483E-2</c:v>
                </c:pt>
                <c:pt idx="52">
                  <c:v>2.0163374143915822E-2</c:v>
                </c:pt>
                <c:pt idx="53">
                  <c:v>-3.5049987821160239E-3</c:v>
                </c:pt>
                <c:pt idx="54">
                  <c:v>2.0151935098542271E-2</c:v>
                </c:pt>
                <c:pt idx="55">
                  <c:v>5.8133623077027128E-4</c:v>
                </c:pt>
                <c:pt idx="56">
                  <c:v>-5.2197009532526043E-3</c:v>
                </c:pt>
                <c:pt idx="57">
                  <c:v>-0.11587176140213</c:v>
                </c:pt>
                <c:pt idx="58">
                  <c:v>8.7252256924373536E-3</c:v>
                </c:pt>
                <c:pt idx="59">
                  <c:v>-1.6377260977822151E-2</c:v>
                </c:pt>
                <c:pt idx="60">
                  <c:v>2.0840371600260421E-2</c:v>
                </c:pt>
                <c:pt idx="61">
                  <c:v>4.4975872102114713E-2</c:v>
                </c:pt>
                <c:pt idx="62">
                  <c:v>2.3954306081863871E-2</c:v>
                </c:pt>
                <c:pt idx="63">
                  <c:v>3.0239101391442601E-2</c:v>
                </c:pt>
                <c:pt idx="64">
                  <c:v>-4.372588759108751E-2</c:v>
                </c:pt>
                <c:pt idx="65">
                  <c:v>2.1889469568198618E-2</c:v>
                </c:pt>
                <c:pt idx="66">
                  <c:v>8.6274302635084028E-3</c:v>
                </c:pt>
                <c:pt idx="67">
                  <c:v>-1.9192953994658781E-2</c:v>
                </c:pt>
                <c:pt idx="68">
                  <c:v>1.973512988813305E-2</c:v>
                </c:pt>
                <c:pt idx="69">
                  <c:v>4.7694337483699438E-2</c:v>
                </c:pt>
                <c:pt idx="70">
                  <c:v>1.145481680658339E-2</c:v>
                </c:pt>
                <c:pt idx="71">
                  <c:v>4.3228620735213191E-2</c:v>
                </c:pt>
                <c:pt idx="72">
                  <c:v>-4.2747430436922793E-2</c:v>
                </c:pt>
                <c:pt idx="73">
                  <c:v>-1.781129242779457E-2</c:v>
                </c:pt>
                <c:pt idx="74">
                  <c:v>-0.1511530968690756</c:v>
                </c:pt>
                <c:pt idx="75">
                  <c:v>0.12422400361957529</c:v>
                </c:pt>
                <c:pt idx="76">
                  <c:v>-4.5572538445296431E-3</c:v>
                </c:pt>
                <c:pt idx="77">
                  <c:v>6.0211240204911178E-2</c:v>
                </c:pt>
                <c:pt idx="78">
                  <c:v>8.5992033482502284E-2</c:v>
                </c:pt>
                <c:pt idx="79">
                  <c:v>-5.8084795823660634E-3</c:v>
                </c:pt>
                <c:pt idx="80">
                  <c:v>-6.0413469889680736E-3</c:v>
                </c:pt>
                <c:pt idx="81">
                  <c:v>2.4523243722520739E-3</c:v>
                </c:pt>
                <c:pt idx="82">
                  <c:v>8.963625193702289E-2</c:v>
                </c:pt>
                <c:pt idx="83">
                  <c:v>7.099273252675789E-2</c:v>
                </c:pt>
                <c:pt idx="84">
                  <c:v>2.7170642901783448E-2</c:v>
                </c:pt>
                <c:pt idx="85">
                  <c:v>5.2468428425330033E-2</c:v>
                </c:pt>
                <c:pt idx="86">
                  <c:v>2.9480660943049509E-2</c:v>
                </c:pt>
                <c:pt idx="87">
                  <c:v>6.6825081060201283E-2</c:v>
                </c:pt>
                <c:pt idx="88">
                  <c:v>-2.8772229019816971E-2</c:v>
                </c:pt>
                <c:pt idx="89">
                  <c:v>3.9462515901637851E-2</c:v>
                </c:pt>
                <c:pt idx="90">
                  <c:v>-2.9031086977359909E-2</c:v>
                </c:pt>
                <c:pt idx="91">
                  <c:v>1.3983882519467901E-2</c:v>
                </c:pt>
                <c:pt idx="92">
                  <c:v>-3.2276964959333833E-2</c:v>
                </c:pt>
                <c:pt idx="93">
                  <c:v>3.1035766128940231E-3</c:v>
                </c:pt>
                <c:pt idx="94">
                  <c:v>2.5591855767083171E-2</c:v>
                </c:pt>
                <c:pt idx="95">
                  <c:v>4.4391886287193302E-2</c:v>
                </c:pt>
                <c:pt idx="96">
                  <c:v>-3.0338958549577438E-2</c:v>
                </c:pt>
                <c:pt idx="97">
                  <c:v>-1.2579764545717069E-3</c:v>
                </c:pt>
                <c:pt idx="98">
                  <c:v>2.336356455857952E-3</c:v>
                </c:pt>
                <c:pt idx="99">
                  <c:v>-6.4264144925906069E-2</c:v>
                </c:pt>
                <c:pt idx="100">
                  <c:v>1.2909779458992439E-2</c:v>
                </c:pt>
                <c:pt idx="101">
                  <c:v>-0.12547709467085871</c:v>
                </c:pt>
                <c:pt idx="102">
                  <c:v>1.1690682939792569E-2</c:v>
                </c:pt>
                <c:pt idx="103">
                  <c:v>6.3378437007417512E-3</c:v>
                </c:pt>
                <c:pt idx="104">
                  <c:v>-0.1173053564693855</c:v>
                </c:pt>
                <c:pt idx="105">
                  <c:v>-3.6010872049446613E-2</c:v>
                </c:pt>
                <c:pt idx="106">
                  <c:v>0.1389113040722679</c:v>
                </c:pt>
                <c:pt idx="107">
                  <c:v>-5.1143506226105737E-2</c:v>
                </c:pt>
                <c:pt idx="108">
                  <c:v>7.6731447181969059E-2</c:v>
                </c:pt>
                <c:pt idx="109">
                  <c:v>1.550878219700816E-2</c:v>
                </c:pt>
                <c:pt idx="110">
                  <c:v>2.3223773674755831E-2</c:v>
                </c:pt>
                <c:pt idx="111">
                  <c:v>-1.8372876361227891E-2</c:v>
                </c:pt>
                <c:pt idx="112">
                  <c:v>6.2199014085099431E-2</c:v>
                </c:pt>
                <c:pt idx="113">
                  <c:v>2.0098304486957191E-2</c:v>
                </c:pt>
                <c:pt idx="114">
                  <c:v>1.349893974806809E-2</c:v>
                </c:pt>
                <c:pt idx="115">
                  <c:v>-3.025221272842088E-2</c:v>
                </c:pt>
                <c:pt idx="116">
                  <c:v>-1.7022835708053841E-2</c:v>
                </c:pt>
                <c:pt idx="117">
                  <c:v>-2.1788523272461981E-2</c:v>
                </c:pt>
                <c:pt idx="118">
                  <c:v>8.5745624585137223E-2</c:v>
                </c:pt>
                <c:pt idx="119">
                  <c:v>2.8106743604973752E-2</c:v>
                </c:pt>
                <c:pt idx="120">
                  <c:v>-2.3031598073594501E-3</c:v>
                </c:pt>
                <c:pt idx="121">
                  <c:v>5.8471198131487503E-2</c:v>
                </c:pt>
                <c:pt idx="122">
                  <c:v>6.7658949048647651E-2</c:v>
                </c:pt>
                <c:pt idx="123">
                  <c:v>5.0207706404322644E-3</c:v>
                </c:pt>
                <c:pt idx="124">
                  <c:v>3.7416183675207063E-2</c:v>
                </c:pt>
                <c:pt idx="125">
                  <c:v>8.4111003746042121E-2</c:v>
                </c:pt>
                <c:pt idx="126">
                  <c:v>-3.6832398544012837E-2</c:v>
                </c:pt>
                <c:pt idx="127">
                  <c:v>3.0917028169369942E-3</c:v>
                </c:pt>
                <c:pt idx="128">
                  <c:v>-1.957628214294549E-3</c:v>
                </c:pt>
                <c:pt idx="129">
                  <c:v>2.6459103603519739E-2</c:v>
                </c:pt>
                <c:pt idx="130">
                  <c:v>-2.4752538760690269E-2</c:v>
                </c:pt>
                <c:pt idx="131">
                  <c:v>3.4115490982559941E-2</c:v>
                </c:pt>
                <c:pt idx="132">
                  <c:v>2.1061973989032982E-2</c:v>
                </c:pt>
                <c:pt idx="133" formatCode="General">
                  <c:v>-2.0277392706005901E-2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CE-46C7-AA85-687A438B0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100063"/>
        <c:axId val="2120103903"/>
      </c:lineChart>
      <c:catAx>
        <c:axId val="212010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0103903"/>
        <c:crosses val="autoZero"/>
        <c:auto val="1"/>
        <c:lblAlgn val="ctr"/>
        <c:lblOffset val="100"/>
        <c:noMultiLvlLbl val="0"/>
      </c:catAx>
      <c:valAx>
        <c:axId val="212010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2010006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60960</xdr:colOff>
      <xdr:row>26</xdr:row>
      <xdr:rowOff>38100</xdr:rowOff>
    </xdr:from>
    <xdr:to>
      <xdr:col>128</xdr:col>
      <xdr:colOff>209550</xdr:colOff>
      <xdr:row>49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117</xdr:col>
      <xdr:colOff>276225</xdr:colOff>
      <xdr:row>26</xdr:row>
      <xdr:rowOff>22859</xdr:rowOff>
    </xdr:from>
    <xdr:to>
      <xdr:col>128</xdr:col>
      <xdr:colOff>445770</xdr:colOff>
      <xdr:row>44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5"/>
  <sheetViews>
    <sheetView zoomScale="96" workbookViewId="0"/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2.1494569256901741E-2</v>
      </c>
      <c r="D3" s="7">
        <v>5.8087624609470367E-2</v>
      </c>
      <c r="E3" s="7">
        <v>2.227753214538097E-2</v>
      </c>
      <c r="F3" s="7">
        <v>7.6232915744185448E-3</v>
      </c>
      <c r="G3" s="7">
        <v>3.9053730666637421E-2</v>
      </c>
      <c r="H3" s="7">
        <v>6.5416932106018066E-2</v>
      </c>
      <c r="I3" s="7">
        <v>2.8199900407344097E-4</v>
      </c>
      <c r="J3" s="7">
        <v>7.5884922407567501E-3</v>
      </c>
      <c r="K3" s="7">
        <v>7.411685585975647E-2</v>
      </c>
      <c r="L3" s="7">
        <v>3.8932934403419488E-2</v>
      </c>
      <c r="M3" s="7">
        <v>3.122235648334026E-2</v>
      </c>
      <c r="N3" s="7">
        <v>4.6852808445692062E-2</v>
      </c>
      <c r="O3" s="7">
        <v>3.3031996339559562E-2</v>
      </c>
      <c r="P3" s="7">
        <v>-2.2221639752388E-2</v>
      </c>
      <c r="Q3" s="7">
        <v>-5.1742098294198513E-3</v>
      </c>
      <c r="R3" s="7">
        <v>1.6297245398163799E-2</v>
      </c>
      <c r="S3" s="7">
        <v>8.9645802974700928E-2</v>
      </c>
      <c r="T3" s="7">
        <v>2.1271482110023499E-2</v>
      </c>
      <c r="U3" s="7">
        <v>3.885892778635025E-2</v>
      </c>
      <c r="V3" s="7">
        <v>4.6255026012659073E-2</v>
      </c>
      <c r="W3" s="7">
        <v>-3.3824026584625237E-2</v>
      </c>
      <c r="X3" s="7">
        <v>1.622659340500832E-2</v>
      </c>
      <c r="Y3" s="7">
        <v>6.6536836326122284E-2</v>
      </c>
      <c r="Z3" s="7">
        <v>7.069706916809082E-2</v>
      </c>
      <c r="AA3" s="7">
        <v>-5.9164725244045258E-3</v>
      </c>
      <c r="AB3" s="7">
        <v>8.3319079130887985E-3</v>
      </c>
      <c r="AC3" s="7">
        <v>5.5074531584978097E-2</v>
      </c>
      <c r="AD3" s="7">
        <v>6.0238268226385117E-2</v>
      </c>
      <c r="AE3" s="7">
        <v>5.7245668023824692E-2</v>
      </c>
      <c r="AF3" s="7">
        <v>5.4834764450788498E-2</v>
      </c>
      <c r="AG3" s="7">
        <v>-2.227822691202164E-2</v>
      </c>
      <c r="AH3" s="7">
        <v>-5.5013084784150124E-4</v>
      </c>
      <c r="AI3" s="7">
        <v>2.1811854094266891E-2</v>
      </c>
      <c r="AJ3" s="7">
        <v>4.7870025038719177E-2</v>
      </c>
      <c r="AK3" s="7">
        <v>-8.2023181021213531E-3</v>
      </c>
      <c r="AL3" s="7">
        <v>2.591213770210743E-2</v>
      </c>
      <c r="AM3" s="7">
        <v>2.5353372097015381E-2</v>
      </c>
      <c r="AN3" s="7">
        <v>1.418579369783401E-2</v>
      </c>
      <c r="AO3" s="7">
        <v>-3.2123088836669922E-2</v>
      </c>
      <c r="AP3" s="7">
        <v>2.1181002259254459E-2</v>
      </c>
      <c r="AQ3" s="7">
        <v>4.0065787732601173E-2</v>
      </c>
      <c r="AR3" s="7">
        <v>4.9255453050136573E-2</v>
      </c>
      <c r="AS3" s="7">
        <v>7.5326733291149139E-2</v>
      </c>
      <c r="AT3" s="7">
        <v>3.2457578927278519E-2</v>
      </c>
      <c r="AU3" s="7">
        <v>5.5688686668872833E-2</v>
      </c>
      <c r="AV3" s="7">
        <v>3.7392936646938317E-2</v>
      </c>
      <c r="AW3" s="7">
        <v>5.4509229958057397E-2</v>
      </c>
      <c r="AX3" s="7">
        <v>4.9577698111534119E-2</v>
      </c>
      <c r="AY3" s="7">
        <v>2.4729123339056969E-2</v>
      </c>
      <c r="AZ3" s="7">
        <v>3.1866461038589478E-2</v>
      </c>
      <c r="BA3" s="7">
        <v>5.5221579968929291E-2</v>
      </c>
      <c r="BB3" s="7">
        <v>-1.9637225195765499E-2</v>
      </c>
      <c r="BC3" s="7">
        <v>7.655026763677597E-2</v>
      </c>
      <c r="BD3" s="7">
        <v>3.1304825097322457E-2</v>
      </c>
      <c r="BE3" s="7">
        <v>5.107034370303154E-2</v>
      </c>
      <c r="BF3" s="7">
        <v>4.3678727000951767E-2</v>
      </c>
      <c r="BG3" s="7">
        <v>5.5844154208898537E-2</v>
      </c>
      <c r="BH3" s="7">
        <v>4.2737655341625207E-2</v>
      </c>
      <c r="BI3" s="7">
        <v>2.917153388261795E-2</v>
      </c>
      <c r="BJ3" s="7">
        <v>4.3696995824575417E-2</v>
      </c>
      <c r="BK3" s="7">
        <v>3.5036448389291763E-2</v>
      </c>
      <c r="BL3" s="7">
        <v>3.1556073576211929E-2</v>
      </c>
      <c r="BM3" s="7">
        <v>3.3252038061618798E-2</v>
      </c>
      <c r="BN3" s="7">
        <v>6.8805761635303497E-2</v>
      </c>
      <c r="BO3" s="7">
        <v>3.0356386676430699E-2</v>
      </c>
      <c r="BP3" s="7">
        <v>1.289380248636007E-2</v>
      </c>
      <c r="BQ3" s="7">
        <v>2.089044451713562E-2</v>
      </c>
      <c r="BR3" s="7">
        <v>1.13432090729475E-2</v>
      </c>
      <c r="BS3" s="7">
        <v>3.8320299237966537E-2</v>
      </c>
      <c r="BT3" s="7">
        <v>2.537757903337479E-2</v>
      </c>
      <c r="BU3" s="7">
        <v>4.7802064567804337E-2</v>
      </c>
      <c r="BV3" s="7">
        <v>7.3472529649734497E-2</v>
      </c>
      <c r="BW3" s="7">
        <v>0.1092810556292534</v>
      </c>
      <c r="BX3" s="7">
        <v>3.602975606918335E-2</v>
      </c>
      <c r="BY3" s="7">
        <v>2.372054569423199E-2</v>
      </c>
      <c r="BZ3" s="7">
        <v>9.5607608556747437E-2</v>
      </c>
      <c r="CA3" s="7">
        <v>1.8217260017991069E-2</v>
      </c>
      <c r="CB3" s="7">
        <v>4.1878186166286469E-2</v>
      </c>
      <c r="CC3" s="7">
        <v>9.1926932334899902E-2</v>
      </c>
      <c r="CD3" s="7">
        <v>3.6699317395687103E-2</v>
      </c>
      <c r="CE3" s="7">
        <v>1.4055183157324789E-2</v>
      </c>
      <c r="CF3" s="7">
        <v>3.5171579569578171E-2</v>
      </c>
      <c r="CG3" s="7">
        <v>1.863433234393597E-2</v>
      </c>
      <c r="CH3" s="7">
        <v>3.5546198487281799E-2</v>
      </c>
      <c r="CI3" s="7">
        <v>0.11597301065921781</v>
      </c>
      <c r="CJ3" s="7">
        <v>3.6054283380508423E-2</v>
      </c>
      <c r="CK3" s="7">
        <v>1.9535236060619351E-2</v>
      </c>
      <c r="CL3" s="7">
        <v>4.2658727616071701E-2</v>
      </c>
      <c r="CM3" s="7">
        <v>9.8837614059448242E-2</v>
      </c>
      <c r="CN3" s="7">
        <v>1.032925304025412E-2</v>
      </c>
      <c r="CO3" s="7">
        <v>2.4509366601705551E-2</v>
      </c>
      <c r="CP3" s="7">
        <v>1.610288862138987E-3</v>
      </c>
      <c r="CQ3" s="7">
        <v>-6.3167043030261993E-2</v>
      </c>
      <c r="CR3" s="7">
        <v>-3.0367664294317359E-4</v>
      </c>
      <c r="CS3" s="7">
        <v>3.5372085869312293E-2</v>
      </c>
      <c r="CT3" s="7">
        <v>2.5477629154920581E-2</v>
      </c>
      <c r="CU3" s="7">
        <v>6.8784669041633606E-2</v>
      </c>
      <c r="CV3" s="7">
        <v>2.8049543499946591E-2</v>
      </c>
      <c r="CW3" s="7">
        <v>3.4555427730083473E-2</v>
      </c>
      <c r="CX3" s="7">
        <v>3.6761697381734848E-2</v>
      </c>
      <c r="CY3" s="7">
        <v>3.4295771270990372E-2</v>
      </c>
      <c r="CZ3" s="7">
        <v>3.4676019102334983E-2</v>
      </c>
      <c r="DA3" s="7">
        <v>6.6585950553417206E-2</v>
      </c>
      <c r="DB3" s="7">
        <v>5.579795315861702E-2</v>
      </c>
      <c r="DC3" s="7">
        <v>3.466598317027092E-2</v>
      </c>
      <c r="DD3" s="7">
        <v>8.9065864682197571E-2</v>
      </c>
      <c r="DE3" s="7">
        <v>6.1000078916549683E-2</v>
      </c>
      <c r="DF3" s="7">
        <v>8.9102070778608322E-3</v>
      </c>
      <c r="DG3" s="7">
        <v>2.0509727299213409E-2</v>
      </c>
      <c r="DH3" s="7">
        <v>7.4153905734419823E-3</v>
      </c>
      <c r="DI3" s="7">
        <v>3.4754626452922821E-2</v>
      </c>
      <c r="DJ3" s="7">
        <v>-1.059273956343532E-3</v>
      </c>
      <c r="DK3" s="7">
        <v>1.692493632435799E-2</v>
      </c>
      <c r="DL3" s="7">
        <v>6.1087049543857568E-2</v>
      </c>
      <c r="DM3" s="7">
        <v>-5.7382336817681789E-3</v>
      </c>
      <c r="DN3" s="7">
        <v>4.595329612493515E-2</v>
      </c>
      <c r="DO3" s="7">
        <v>1.8484823405742649E-2</v>
      </c>
      <c r="DP3" s="7">
        <v>3.1688697636127472E-2</v>
      </c>
      <c r="DQ3" s="7">
        <v>1.476644724607468E-2</v>
      </c>
      <c r="DR3" s="7">
        <v>5.3203873336315162E-2</v>
      </c>
      <c r="DS3" s="7">
        <v>4.4875107705593109E-2</v>
      </c>
      <c r="DT3" s="7">
        <v>3.7542205303907387E-2</v>
      </c>
      <c r="DU3" s="7">
        <v>4.1164088994264603E-2</v>
      </c>
      <c r="DV3" s="7">
        <v>3.1495518982410431E-2</v>
      </c>
      <c r="DW3" s="7">
        <v>4.010491818189621E-2</v>
      </c>
      <c r="DX3" s="7">
        <v>3.6577146500349038E-2</v>
      </c>
      <c r="DY3" s="7">
        <v>1.389249041676521E-2</v>
      </c>
      <c r="DZ3" s="7">
        <v>-8.9294262230396271E-2</v>
      </c>
      <c r="EA3" s="7">
        <v>4.827633872628212E-2</v>
      </c>
      <c r="EB3" s="7">
        <v>-1.8393255770206451E-2</v>
      </c>
      <c r="EC3" s="7">
        <v>0.14314509928226471</v>
      </c>
      <c r="ED3" s="7">
        <v>4.4307246804237373E-2</v>
      </c>
      <c r="EE3" s="7">
        <v>5.998542532324791E-2</v>
      </c>
      <c r="EF3" s="7">
        <v>2.78557576239109E-2</v>
      </c>
      <c r="EG3" s="1"/>
    </row>
    <row r="4" spans="1:137" x14ac:dyDescent="0.3">
      <c r="B4" s="1" t="s">
        <v>138</v>
      </c>
      <c r="C4" s="7">
        <v>-3.6761295050382607E-2</v>
      </c>
      <c r="D4" s="7">
        <v>-2.500547468662262E-2</v>
      </c>
      <c r="E4" s="7">
        <v>-2.9296796768903729E-2</v>
      </c>
      <c r="F4" s="7">
        <v>-2.5752820074558262E-2</v>
      </c>
      <c r="G4" s="7">
        <v>-2.3844622075557709E-2</v>
      </c>
      <c r="H4" s="7">
        <v>-3.1282428652048111E-2</v>
      </c>
      <c r="I4" s="7">
        <v>-3.7815678864717477E-2</v>
      </c>
      <c r="J4" s="7">
        <v>-1.7993956804275509E-2</v>
      </c>
      <c r="K4" s="7">
        <v>-4.0390666574239731E-2</v>
      </c>
      <c r="L4" s="7">
        <v>2.342902310192585E-2</v>
      </c>
      <c r="M4" s="7">
        <v>-2.9016269370913509E-2</v>
      </c>
      <c r="N4" s="7">
        <v>-3.2377995550632477E-2</v>
      </c>
      <c r="O4" s="7">
        <v>-4.252459853887558E-2</v>
      </c>
      <c r="P4" s="7">
        <v>-3.7011519074440002E-2</v>
      </c>
      <c r="Q4" s="7">
        <v>-3.9130412042140961E-2</v>
      </c>
      <c r="R4" s="7">
        <v>-3.4647129476070397E-2</v>
      </c>
      <c r="S4" s="7">
        <v>-3.3092748373746872E-2</v>
      </c>
      <c r="T4" s="7">
        <v>-3.5924136638641357E-2</v>
      </c>
      <c r="U4" s="7">
        <v>-3.4556545317172997E-2</v>
      </c>
      <c r="V4" s="7">
        <v>-6.285955011844635E-2</v>
      </c>
      <c r="W4" s="7">
        <v>-3.3894948661327362E-2</v>
      </c>
      <c r="X4" s="7">
        <v>-3.6156278103590012E-2</v>
      </c>
      <c r="Y4" s="7">
        <v>-3.4599196165800088E-2</v>
      </c>
      <c r="Z4" s="7">
        <v>-3.3225379884243011E-2</v>
      </c>
      <c r="AA4" s="7">
        <v>-3.5133514553308487E-2</v>
      </c>
      <c r="AB4" s="7">
        <v>-1.60983931273222E-2</v>
      </c>
      <c r="AC4" s="7">
        <v>-3.7427298724651337E-2</v>
      </c>
      <c r="AD4" s="7">
        <v>-3.3796574920415878E-2</v>
      </c>
      <c r="AE4" s="7">
        <v>-3.548915684223175E-2</v>
      </c>
      <c r="AF4" s="7">
        <v>-3.4209836274385452E-2</v>
      </c>
      <c r="AG4" s="7">
        <v>-3.5171721130609512E-2</v>
      </c>
      <c r="AH4" s="7">
        <v>-3.7516236305236823E-2</v>
      </c>
      <c r="AI4" s="7">
        <v>-3.8329869508743293E-2</v>
      </c>
      <c r="AJ4" s="7">
        <v>-3.3628419041633613E-2</v>
      </c>
      <c r="AK4" s="7">
        <v>-3.6896370351314538E-2</v>
      </c>
      <c r="AL4" s="7">
        <v>-3.5734511911869049E-2</v>
      </c>
      <c r="AM4" s="7">
        <v>-3.5891693085432053E-2</v>
      </c>
      <c r="AN4" s="7">
        <v>-3.7137847393751137E-2</v>
      </c>
      <c r="AO4" s="7">
        <v>-4.1066829115152359E-2</v>
      </c>
      <c r="AP4" s="7">
        <v>-3.7848193198442459E-2</v>
      </c>
      <c r="AQ4" s="7">
        <v>-3.7976961582899087E-2</v>
      </c>
      <c r="AR4" s="7">
        <v>2.134161256253719E-2</v>
      </c>
      <c r="AS4" s="7">
        <v>-3.4798242151737213E-2</v>
      </c>
      <c r="AT4" s="7">
        <v>-3.4050397574901581E-2</v>
      </c>
      <c r="AU4" s="7">
        <v>-6.3330335542559624E-3</v>
      </c>
      <c r="AV4" s="7">
        <v>-4.8375941812992103E-2</v>
      </c>
      <c r="AW4" s="7">
        <v>-3.6974024027585983E-2</v>
      </c>
      <c r="AX4" s="7">
        <v>-2.5687608867883679E-2</v>
      </c>
      <c r="AY4" s="7">
        <v>-3.0264334753155708E-2</v>
      </c>
      <c r="AZ4" s="7">
        <v>-2.7165379375219349E-2</v>
      </c>
      <c r="BA4" s="7">
        <v>-3.4559529274702072E-2</v>
      </c>
      <c r="BB4" s="7">
        <v>-2.4865930899977681E-2</v>
      </c>
      <c r="BC4" s="7">
        <v>-2.401326596736908E-2</v>
      </c>
      <c r="BD4" s="7">
        <v>-4.4926047325134277E-2</v>
      </c>
      <c r="BE4" s="7">
        <v>-2.50995047390461E-2</v>
      </c>
      <c r="BF4" s="7">
        <v>-4.251842200756073E-2</v>
      </c>
      <c r="BG4" s="7">
        <v>-4.0340084582567208E-2</v>
      </c>
      <c r="BH4" s="7">
        <v>-4.5496903359889977E-2</v>
      </c>
      <c r="BI4" s="7">
        <v>-3.308422863483429E-2</v>
      </c>
      <c r="BJ4" s="7">
        <v>-3.4715328365564353E-2</v>
      </c>
      <c r="BK4" s="7">
        <v>-3.8014709949493408E-2</v>
      </c>
      <c r="BL4" s="7">
        <v>-2.1968897432088848E-2</v>
      </c>
      <c r="BM4" s="7">
        <v>-3.7516344338655472E-2</v>
      </c>
      <c r="BN4" s="7">
        <v>-1.78551971912384E-2</v>
      </c>
      <c r="BO4" s="7">
        <v>-3.2257199287414551E-2</v>
      </c>
      <c r="BP4" s="7">
        <v>-3.397504985332489E-2</v>
      </c>
      <c r="BQ4" s="7">
        <v>-9.1880606487393379E-3</v>
      </c>
      <c r="BR4" s="7">
        <v>-2.542091533541679E-2</v>
      </c>
      <c r="BS4" s="7">
        <v>-3.012507222592831E-2</v>
      </c>
      <c r="BT4" s="7">
        <v>-1.456194743514061E-2</v>
      </c>
      <c r="BU4" s="7">
        <v>-3.3056311309337623E-2</v>
      </c>
      <c r="BV4" s="7">
        <v>-1.240904908627272E-2</v>
      </c>
      <c r="BW4" s="7">
        <v>-1.992881111800671E-2</v>
      </c>
      <c r="BX4" s="7">
        <v>-3.2520987093448639E-2</v>
      </c>
      <c r="BY4" s="7">
        <v>-2.0588364452123638E-2</v>
      </c>
      <c r="BZ4" s="7">
        <v>-1.9920434802770611E-2</v>
      </c>
      <c r="CA4" s="7">
        <v>3.0693810433149341E-2</v>
      </c>
      <c r="CB4" s="7">
        <v>-3.9390552788972848E-2</v>
      </c>
      <c r="CC4" s="7">
        <v>-2.5789398699998859E-2</v>
      </c>
      <c r="CD4" s="7">
        <v>-2.2566508501768109E-2</v>
      </c>
      <c r="CE4" s="7">
        <v>-2.5649795308709141E-2</v>
      </c>
      <c r="CF4" s="7">
        <v>-2.3216146975755692E-2</v>
      </c>
      <c r="CG4" s="7">
        <v>-3.4563317894935608E-2</v>
      </c>
      <c r="CH4" s="7">
        <v>-2.2808581590652469E-2</v>
      </c>
      <c r="CI4" s="7">
        <v>-3.0658286064863201E-2</v>
      </c>
      <c r="CJ4" s="7">
        <v>-2.693597786128521E-2</v>
      </c>
      <c r="CK4" s="7">
        <v>-2.7487637475132939E-2</v>
      </c>
      <c r="CL4" s="7">
        <v>-1.0411849245429041E-2</v>
      </c>
      <c r="CM4" s="7">
        <v>-3.1941823661327362E-2</v>
      </c>
      <c r="CN4" s="7">
        <v>-2.4238705635070801E-2</v>
      </c>
      <c r="CO4" s="7">
        <v>-1.490475982427597E-2</v>
      </c>
      <c r="CP4" s="7">
        <v>-2.724641747772694E-2</v>
      </c>
      <c r="CQ4" s="7">
        <v>-1.403701212257147E-2</v>
      </c>
      <c r="CR4" s="7">
        <v>-4.3880332261323929E-2</v>
      </c>
      <c r="CS4" s="7">
        <v>-3.680574893951416E-2</v>
      </c>
      <c r="CT4" s="7">
        <v>-1.9506087526679039E-2</v>
      </c>
      <c r="CU4" s="7">
        <v>-2.4396855384111401E-2</v>
      </c>
      <c r="CV4" s="7">
        <v>-1.900592818856239E-2</v>
      </c>
      <c r="CW4" s="7">
        <v>-3.3681344240903847E-2</v>
      </c>
      <c r="CX4" s="7">
        <v>-1.7200268805027012E-2</v>
      </c>
      <c r="CY4" s="7">
        <v>-3.021922521293163E-2</v>
      </c>
      <c r="CZ4" s="7">
        <v>-2.372348494827747E-2</v>
      </c>
      <c r="DA4" s="7">
        <v>-3.5130113363265991E-2</v>
      </c>
      <c r="DB4" s="7">
        <v>-3.3781494945287698E-2</v>
      </c>
      <c r="DC4" s="7">
        <v>-3.5217951983213418E-2</v>
      </c>
      <c r="DD4" s="7">
        <v>-3.3825557678937912E-2</v>
      </c>
      <c r="DE4" s="7">
        <v>-3.3913001418113708E-2</v>
      </c>
      <c r="DF4" s="7">
        <v>-7.5045913457870483E-2</v>
      </c>
      <c r="DG4" s="7">
        <v>-2.5657828897237781E-2</v>
      </c>
      <c r="DH4" s="7">
        <v>-3.2165661454200738E-2</v>
      </c>
      <c r="DI4" s="7">
        <v>-3.139369934797287E-2</v>
      </c>
      <c r="DJ4" s="7">
        <v>-3.538290411233902E-2</v>
      </c>
      <c r="DK4" s="7">
        <v>-3.1648963689804077E-2</v>
      </c>
      <c r="DL4" s="7">
        <v>-3.591156005859375E-2</v>
      </c>
      <c r="DM4" s="7">
        <v>-3.2739415764808648E-2</v>
      </c>
      <c r="DN4" s="7">
        <v>-4.4063650071620941E-2</v>
      </c>
      <c r="DO4" s="7">
        <v>-3.8424476981163018E-2</v>
      </c>
      <c r="DP4" s="7">
        <v>-3.8697980344295502E-2</v>
      </c>
      <c r="DQ4" s="7">
        <v>-3.6311067640781403E-2</v>
      </c>
      <c r="DR4" s="7">
        <v>-4.6766933053731918E-2</v>
      </c>
      <c r="DS4" s="7">
        <v>-4.5891899615526199E-2</v>
      </c>
      <c r="DT4" s="7">
        <v>-2.7818195521831509E-2</v>
      </c>
      <c r="DU4" s="7">
        <v>-4.667624831199646E-2</v>
      </c>
      <c r="DV4" s="7">
        <v>-4.2322345077991493E-2</v>
      </c>
      <c r="DW4" s="7">
        <v>-3.1150102615356449E-2</v>
      </c>
      <c r="DX4" s="7">
        <v>-1.8647573888301849E-2</v>
      </c>
      <c r="DY4" s="7">
        <v>-3.7037484347820282E-2</v>
      </c>
      <c r="DZ4" s="7">
        <v>-4.9548164010047913E-2</v>
      </c>
      <c r="EA4" s="7">
        <v>-3.7331569939851761E-2</v>
      </c>
      <c r="EB4" s="7">
        <v>-3.3544562757015228E-2</v>
      </c>
      <c r="EC4" s="7">
        <v>-3.3939655870199197E-2</v>
      </c>
      <c r="ED4" s="7">
        <v>-3.4055441617965698E-2</v>
      </c>
      <c r="EE4" s="7">
        <v>-2.9322430491447449E-2</v>
      </c>
      <c r="EF4" s="7">
        <v>-3.497781977057457E-2</v>
      </c>
      <c r="EG4" s="1"/>
    </row>
    <row r="5" spans="1:137" x14ac:dyDescent="0.3">
      <c r="B5" s="1" t="s">
        <v>139</v>
      </c>
      <c r="C5" s="7">
        <v>-0.23615932464599609</v>
      </c>
      <c r="D5" s="7">
        <v>0.30206522345542908</v>
      </c>
      <c r="E5" s="7">
        <v>0.16382697224616999</v>
      </c>
      <c r="F5" s="7">
        <v>-0.62130254507064819</v>
      </c>
      <c r="G5" s="7">
        <v>-0.59304982423782349</v>
      </c>
      <c r="H5" s="7">
        <v>0.18331669270992279</v>
      </c>
      <c r="I5" s="7">
        <v>-0.1334018409252167</v>
      </c>
      <c r="J5" s="7">
        <v>-0.15845844149589541</v>
      </c>
      <c r="K5" s="7">
        <v>-0.71178311109542847</v>
      </c>
      <c r="L5" s="7">
        <v>0.21329307556152341</v>
      </c>
      <c r="M5" s="7">
        <v>-6.0562975704669952E-2</v>
      </c>
      <c r="N5" s="7">
        <v>0.45479258894920349</v>
      </c>
      <c r="O5" s="7">
        <v>0.40223386883735662</v>
      </c>
      <c r="P5" s="7">
        <v>4.0549103170633323E-2</v>
      </c>
      <c r="Q5" s="7">
        <v>0.43694466352462769</v>
      </c>
      <c r="R5" s="7">
        <v>-0.11541748046875</v>
      </c>
      <c r="S5" s="7">
        <v>0.1043961718678474</v>
      </c>
      <c r="T5" s="7">
        <v>-0.69569945335388184</v>
      </c>
      <c r="U5" s="7">
        <v>5.0960946828126907E-2</v>
      </c>
      <c r="V5" s="7">
        <v>0.41305312514305109</v>
      </c>
      <c r="W5" s="7">
        <v>0.20938269793987269</v>
      </c>
      <c r="X5" s="7">
        <v>-0.53402328491210938</v>
      </c>
      <c r="Y5" s="7">
        <v>-0.23857709765434271</v>
      </c>
      <c r="Z5" s="7">
        <v>0.216572105884552</v>
      </c>
      <c r="AA5" s="7">
        <v>-3.5983704030513763E-2</v>
      </c>
      <c r="AB5" s="7">
        <v>0.54654592275619507</v>
      </c>
      <c r="AC5" s="7">
        <v>-0.13678865134716031</v>
      </c>
      <c r="AD5" s="7">
        <v>0.1866185516119003</v>
      </c>
      <c r="AE5" s="7">
        <v>1.712659373879433E-2</v>
      </c>
      <c r="AF5" s="7">
        <v>0.28047934174537659</v>
      </c>
      <c r="AG5" s="7">
        <v>-0.11216326057910921</v>
      </c>
      <c r="AH5" s="7">
        <v>7.6471276581287384E-2</v>
      </c>
      <c r="AI5" s="7">
        <v>0.3864915668964386</v>
      </c>
      <c r="AJ5" s="7">
        <v>-5.3298141807317727E-2</v>
      </c>
      <c r="AK5" s="7">
        <v>-0.21042224764823911</v>
      </c>
      <c r="AL5" s="7">
        <v>9.6125639975070953E-2</v>
      </c>
      <c r="AM5" s="7">
        <v>-0.44994819164276117</v>
      </c>
      <c r="AN5" s="7">
        <v>-0.1845518350601196</v>
      </c>
      <c r="AO5" s="7">
        <v>0.21023896336555481</v>
      </c>
      <c r="AP5" s="7">
        <v>0.55138236284255981</v>
      </c>
      <c r="AQ5" s="7">
        <v>0.6628570556640625</v>
      </c>
      <c r="AR5" s="7">
        <v>0.12583865225315091</v>
      </c>
      <c r="AS5" s="7">
        <v>-0.1316496878862381</v>
      </c>
      <c r="AT5" s="7">
        <v>-0.395926833152771</v>
      </c>
      <c r="AU5" s="7">
        <v>0.237248495221138</v>
      </c>
      <c r="AV5" s="7">
        <v>-0.31184640526771551</v>
      </c>
      <c r="AW5" s="7">
        <v>-0.1264176219701767</v>
      </c>
      <c r="AX5" s="7">
        <v>0.21496570110321039</v>
      </c>
      <c r="AY5" s="7">
        <v>-0.29770627617835999</v>
      </c>
      <c r="AZ5" s="7">
        <v>0.1427876204252243</v>
      </c>
      <c r="BA5" s="7">
        <v>0.47257468104362488</v>
      </c>
      <c r="BB5" s="7">
        <v>-7.2701506316661835E-2</v>
      </c>
      <c r="BC5" s="7">
        <v>0.45788475871086121</v>
      </c>
      <c r="BD5" s="7">
        <v>-0.11817044764757161</v>
      </c>
      <c r="BE5" s="7">
        <v>0.1402143985033035</v>
      </c>
      <c r="BF5" s="7">
        <v>-2.9146229848265651E-2</v>
      </c>
      <c r="BG5" s="7">
        <v>5.4493378847837448E-2</v>
      </c>
      <c r="BH5" s="7">
        <v>1.622027019038796E-3</v>
      </c>
      <c r="BI5" s="7">
        <v>-0.1644802987575531</v>
      </c>
      <c r="BJ5" s="7">
        <v>0.19206786155700681</v>
      </c>
      <c r="BK5" s="7">
        <v>0.62006407976150513</v>
      </c>
      <c r="BL5" s="7">
        <v>0.15779069066047671</v>
      </c>
      <c r="BM5" s="7">
        <v>-8.5973016917705536E-2</v>
      </c>
      <c r="BN5" s="7">
        <v>0.14220435917377469</v>
      </c>
      <c r="BO5" s="7">
        <v>0.42143568396568298</v>
      </c>
      <c r="BP5" s="7">
        <v>-3.3276725560426712E-2</v>
      </c>
      <c r="BQ5" s="7">
        <v>0.17931991815567019</v>
      </c>
      <c r="BR5" s="7">
        <v>-0.12777990102767939</v>
      </c>
      <c r="BS5" s="7">
        <v>9.7982287406921387E-2</v>
      </c>
      <c r="BT5" s="7">
        <v>0.28167909383773798</v>
      </c>
      <c r="BU5" s="7">
        <v>6.6495551727712146E-3</v>
      </c>
      <c r="BV5" s="7">
        <v>-0.5038764476776123</v>
      </c>
      <c r="BW5" s="7">
        <v>-0.19250540435314181</v>
      </c>
      <c r="BX5" s="7">
        <v>-6.9034270942211151E-2</v>
      </c>
      <c r="BY5" s="7">
        <v>0.15446531772613531</v>
      </c>
      <c r="BZ5" s="7">
        <v>-0.36204326152801508</v>
      </c>
      <c r="CA5" s="7">
        <v>8.2590386271476746E-2</v>
      </c>
      <c r="CB5" s="7">
        <v>0.2121867835521698</v>
      </c>
      <c r="CC5" s="7">
        <v>-6.272394210100174E-2</v>
      </c>
      <c r="CD5" s="7">
        <v>-3.048108704388142E-2</v>
      </c>
      <c r="CE5" s="7">
        <v>0.54791367053985596</v>
      </c>
      <c r="CF5" s="7">
        <v>-0.1075777038931847</v>
      </c>
      <c r="CG5" s="7">
        <v>3.8016948848962777E-2</v>
      </c>
      <c r="CH5" s="7">
        <v>-0.1932409256696701</v>
      </c>
      <c r="CI5" s="7">
        <v>-0.125183179974556</v>
      </c>
      <c r="CJ5" s="7">
        <v>-4.2053326964378357E-2</v>
      </c>
      <c r="CK5" s="7">
        <v>-0.12538301944732669</v>
      </c>
      <c r="CL5" s="7">
        <v>-0.25265124440193182</v>
      </c>
      <c r="CM5" s="7">
        <v>-0.21032579243183139</v>
      </c>
      <c r="CN5" s="7">
        <v>9.0569406747817993E-2</v>
      </c>
      <c r="CO5" s="7">
        <v>0.33166918158531189</v>
      </c>
      <c r="CP5" s="7">
        <v>0.50127995014190674</v>
      </c>
      <c r="CQ5" s="7">
        <v>-0.24841265380382541</v>
      </c>
      <c r="CR5" s="7">
        <v>-1.688362285494804E-2</v>
      </c>
      <c r="CS5" s="7">
        <v>-9.930979460477829E-2</v>
      </c>
      <c r="CT5" s="7">
        <v>-0.1180227175354958</v>
      </c>
      <c r="CU5" s="7">
        <v>-0.15861691534519201</v>
      </c>
      <c r="CV5" s="7">
        <v>-0.71324062347412109</v>
      </c>
      <c r="CW5" s="7">
        <v>-7.246803492307663E-3</v>
      </c>
      <c r="CX5" s="7">
        <v>0.2901875376701355</v>
      </c>
      <c r="CY5" s="7">
        <v>5.4072614759206772E-2</v>
      </c>
      <c r="CZ5" s="7">
        <v>-0.1071935072541237</v>
      </c>
      <c r="DA5" s="7">
        <v>4.4039390981197357E-2</v>
      </c>
      <c r="DB5" s="7">
        <v>-7.3041811585426331E-2</v>
      </c>
      <c r="DC5" s="7">
        <v>-0.60419607162475586</v>
      </c>
      <c r="DD5" s="7">
        <v>0.39677461981773382</v>
      </c>
      <c r="DE5" s="7">
        <v>-7.2055138647556305E-2</v>
      </c>
      <c r="DF5" s="7">
        <v>4.3998342007398612E-2</v>
      </c>
      <c r="DG5" s="7">
        <v>-3.1144225969910622E-2</v>
      </c>
      <c r="DH5" s="7">
        <v>-0.32177770137786871</v>
      </c>
      <c r="DI5" s="7">
        <v>-0.28737813234329218</v>
      </c>
      <c r="DJ5" s="7">
        <v>0.14427696168422699</v>
      </c>
      <c r="DK5" s="7">
        <v>-0.47954776883125311</v>
      </c>
      <c r="DL5" s="7">
        <v>-0.1048517525196075</v>
      </c>
      <c r="DM5" s="7">
        <v>0.29051229357719421</v>
      </c>
      <c r="DN5" s="7">
        <v>0.1066980957984924</v>
      </c>
      <c r="DO5" s="7">
        <v>0.37107187509536738</v>
      </c>
      <c r="DP5" s="7">
        <v>0.1571110337972641</v>
      </c>
      <c r="DQ5" s="7">
        <v>0.7847934365272522</v>
      </c>
      <c r="DR5" s="7">
        <v>-5.177861824631691E-2</v>
      </c>
      <c r="DS5" s="7">
        <v>-0.13680993020534521</v>
      </c>
      <c r="DT5" s="7">
        <v>6.0407958924770362E-2</v>
      </c>
      <c r="DU5" s="7">
        <v>5.3334835916757577E-2</v>
      </c>
      <c r="DV5" s="7">
        <v>0.1752042472362518</v>
      </c>
      <c r="DW5" s="7">
        <v>0.33214318752288818</v>
      </c>
      <c r="DX5" s="7">
        <v>7.880052924156189E-2</v>
      </c>
      <c r="DY5" s="7">
        <v>-0.34528133273124689</v>
      </c>
      <c r="DZ5" s="7">
        <v>0.1092682778835297</v>
      </c>
      <c r="EA5" s="7">
        <v>-9.0946242213249207E-2</v>
      </c>
      <c r="EB5" s="7">
        <v>-5.0370201468467712E-2</v>
      </c>
      <c r="EC5" s="7">
        <v>8.0373406410217285E-2</v>
      </c>
      <c r="ED5" s="7">
        <v>-3.8288909941911697E-2</v>
      </c>
      <c r="EE5" s="7">
        <v>0.21982145309448239</v>
      </c>
      <c r="EF5" s="7">
        <v>0.25723558664321899</v>
      </c>
      <c r="EG5" s="1"/>
    </row>
    <row r="6" spans="1:137" x14ac:dyDescent="0.3">
      <c r="A6" s="13" t="s">
        <v>140</v>
      </c>
      <c r="B6" s="14"/>
      <c r="C6" s="7">
        <f t="array" ref="C6">MATCH(MAX(ABS(C3:C5)), ABS(C3:C5), 0)</f>
        <v>3</v>
      </c>
      <c r="D6" s="7">
        <f t="array" ref="D6">MATCH(MAX(ABS(D3:D5)), ABS(D3:D5), 0)</f>
        <v>3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3</v>
      </c>
      <c r="J6" s="7">
        <f t="array" ref="J6">MATCH(MAX(ABS(J3:J5)), ABS(J3:J5), 0)</f>
        <v>3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3</v>
      </c>
      <c r="P6" s="7">
        <f t="array" ref="P6">MATCH(MAX(ABS(P3:P5)), ABS(P3:P5), 0)</f>
        <v>3</v>
      </c>
      <c r="Q6" s="7">
        <f t="array" ref="Q6">MATCH(MAX(ABS(Q3:Q5)), ABS(Q3:Q5), 0)</f>
        <v>3</v>
      </c>
      <c r="R6" s="7">
        <f t="array" ref="R6">MATCH(MAX(ABS(R3:R5)), ABS(R3:R5), 0)</f>
        <v>3</v>
      </c>
      <c r="S6" s="7">
        <f t="array" ref="S6">MATCH(MAX(ABS(S3:S5)), ABS(S3:S5), 0)</f>
        <v>3</v>
      </c>
      <c r="T6" s="7">
        <f t="array" ref="T6">MATCH(MAX(ABS(T3:T5)), ABS(T3:T5), 0)</f>
        <v>3</v>
      </c>
      <c r="U6" s="7">
        <f t="array" ref="U6">MATCH(MAX(ABS(U3:U5)), ABS(U3:U5), 0)</f>
        <v>3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3</v>
      </c>
      <c r="Y6" s="7">
        <f t="array" ref="Y6">MATCH(MAX(ABS(Y3:Y5)), ABS(Y3:Y5), 0)</f>
        <v>3</v>
      </c>
      <c r="Z6" s="7">
        <f t="array" ref="Z6">MATCH(MAX(ABS(Z3:Z5)), ABS(Z3:Z5), 0)</f>
        <v>3</v>
      </c>
      <c r="AA6" s="7">
        <f t="array" ref="AA6">MATCH(MAX(ABS(AA3:AA5)), ABS(AA3:AA5), 0)</f>
        <v>3</v>
      </c>
      <c r="AB6" s="7">
        <f t="array" ref="AB6">MATCH(MAX(ABS(AB3:AB5)), ABS(AB3:AB5), 0)</f>
        <v>3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1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3</v>
      </c>
      <c r="AO6" s="7">
        <f t="array" ref="AO6">MATCH(MAX(ABS(AO3:AO5)), ABS(AO3:AO5), 0)</f>
        <v>3</v>
      </c>
      <c r="AP6" s="7">
        <f t="array" ref="AP6">MATCH(MAX(ABS(AP3:AP5)), ABS(AP3:AP5), 0)</f>
        <v>3</v>
      </c>
      <c r="AQ6" s="7">
        <f t="array" ref="AQ6">MATCH(MAX(ABS(AQ3:AQ5)), ABS(AQ3:AQ5), 0)</f>
        <v>3</v>
      </c>
      <c r="AR6" s="7">
        <f t="array" ref="AR6">MATCH(MAX(ABS(AR3:AR5)), ABS(AR3:AR5), 0)</f>
        <v>3</v>
      </c>
      <c r="AS6" s="7">
        <f t="array" ref="AS6">MATCH(MAX(ABS(AS3:AS5)), ABS(AS3:AS5), 0)</f>
        <v>3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3</v>
      </c>
      <c r="AW6" s="7">
        <f t="array" ref="AW6">MATCH(MAX(ABS(AW3:AW5)), ABS(AW3:AW5), 0)</f>
        <v>3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3</v>
      </c>
      <c r="BB6" s="7">
        <f t="array" ref="BB6">MATCH(MAX(ABS(BB3:BB5)), ABS(BB3:BB5), 0)</f>
        <v>3</v>
      </c>
      <c r="BC6" s="7">
        <f t="array" ref="BC6">MATCH(MAX(ABS(BC3:BC5)), ABS(BC3:BC5), 0)</f>
        <v>3</v>
      </c>
      <c r="BD6" s="7">
        <f t="array" ref="BD6">MATCH(MAX(ABS(BD3:BD5)), ABS(BD3:BD5), 0)</f>
        <v>3</v>
      </c>
      <c r="BE6" s="7">
        <f t="array" ref="BE6">MATCH(MAX(ABS(BE3:BE5)), ABS(BE3:BE5), 0)</f>
        <v>3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2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3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3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3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3</v>
      </c>
      <c r="BZ6" s="7">
        <f t="array" ref="BZ6">MATCH(MAX(ABS(BZ3:BZ5)), ABS(BZ3:BZ5), 0)</f>
        <v>3</v>
      </c>
      <c r="CA6" s="7">
        <f t="array" ref="CA6">MATCH(MAX(ABS(CA3:CA5)), ABS(CA3:CA5), 0)</f>
        <v>3</v>
      </c>
      <c r="CB6" s="7">
        <f t="array" ref="CB6">MATCH(MAX(ABS(CB3:CB5)), ABS(CB3:CB5), 0)</f>
        <v>3</v>
      </c>
      <c r="CC6" s="7">
        <f t="array" ref="CC6">MATCH(MAX(ABS(CC3:CC5)), ABS(CC3:CC5), 0)</f>
        <v>1</v>
      </c>
      <c r="CD6" s="7">
        <f t="array" ref="CD6">MATCH(MAX(ABS(CD3:CD5)), ABS(CD3:CD5), 0)</f>
        <v>1</v>
      </c>
      <c r="CE6" s="7">
        <f t="array" ref="CE6">MATCH(MAX(ABS(CE3:CE5)), ABS(CE3:CE5), 0)</f>
        <v>3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3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3</v>
      </c>
      <c r="CN6" s="7">
        <f t="array" ref="CN6">MATCH(MAX(ABS(CN3:CN5)), ABS(CN3:CN5), 0)</f>
        <v>3</v>
      </c>
      <c r="CO6" s="7">
        <f t="array" ref="CO6">MATCH(MAX(ABS(CO3:CO5)), ABS(CO3:CO5), 0)</f>
        <v>3</v>
      </c>
      <c r="CP6" s="7">
        <f t="array" ref="CP6">MATCH(MAX(ABS(CP3:CP5)), ABS(CP3:CP5), 0)</f>
        <v>3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3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3</v>
      </c>
      <c r="CW6" s="7">
        <f t="array" ref="CW6">MATCH(MAX(ABS(CW3:CW5)), ABS(CW3:CW5), 0)</f>
        <v>1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3</v>
      </c>
      <c r="DC6" s="7">
        <f t="array" ref="DC6">MATCH(MAX(ABS(DC3:DC5)), ABS(DC3:DC5), 0)</f>
        <v>3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2</v>
      </c>
      <c r="DG6" s="7">
        <f t="array" ref="DG6">MATCH(MAX(ABS(DG3:DG5)), ABS(DG3:DG5), 0)</f>
        <v>3</v>
      </c>
      <c r="DH6" s="7">
        <f t="array" ref="DH6">MATCH(MAX(ABS(DH3:DH5)), ABS(DH3:DH5), 0)</f>
        <v>3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3</v>
      </c>
      <c r="DQ6" s="7">
        <f t="array" ref="DQ6">MATCH(MAX(ABS(DQ3:DQ5)), ABS(DQ3:DQ5), 0)</f>
        <v>3</v>
      </c>
      <c r="DR6" s="7">
        <f t="array" ref="DR6">MATCH(MAX(ABS(DR3:DR5)), ABS(DR3:DR5), 0)</f>
        <v>1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3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3</v>
      </c>
      <c r="EB6" s="7">
        <f t="array" ref="EB6">MATCH(MAX(ABS(EB3:EB5)), ABS(EB3:EB5), 0)</f>
        <v>3</v>
      </c>
      <c r="EC6" s="7">
        <f t="array" ref="EC6">MATCH(MAX(ABS(EC3:EC5)), ABS(EC3:EC5), 0)</f>
        <v>1</v>
      </c>
      <c r="ED6" s="7">
        <f t="array" ref="ED6">MATCH(MAX(ABS(ED3:ED5)), ABS(ED3:ED5), 0)</f>
        <v>1</v>
      </c>
      <c r="EE6" s="7">
        <f t="array" ref="EE6">MATCH(MAX(ABS(EE3:EE5)), ABS(EE3:EE5), 0)</f>
        <v>3</v>
      </c>
      <c r="EF6" s="7">
        <f t="array" ref="EF6">MATCH(MAX(ABS(EF3:EF5)), ABS(EF3:EF5), 0)</f>
        <v>3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mom</v>
      </c>
      <c r="D7" s="7" t="str">
        <f t="shared" si="0"/>
        <v>mom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mom</v>
      </c>
      <c r="J7" s="7" t="str">
        <f t="shared" si="0"/>
        <v>mom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mom</v>
      </c>
      <c r="P7" s="7" t="str">
        <f t="shared" si="0"/>
        <v>mom</v>
      </c>
      <c r="Q7" s="7" t="str">
        <f t="shared" si="0"/>
        <v>mom</v>
      </c>
      <c r="R7" s="7" t="str">
        <f t="shared" si="0"/>
        <v>mom</v>
      </c>
      <c r="S7" s="7" t="str">
        <f t="shared" si="0"/>
        <v>mom</v>
      </c>
      <c r="T7" s="7" t="str">
        <f t="shared" si="0"/>
        <v>mom</v>
      </c>
      <c r="U7" s="7" t="str">
        <f t="shared" si="0"/>
        <v>mom</v>
      </c>
      <c r="V7" s="7" t="str">
        <f t="shared" si="0"/>
        <v>mom</v>
      </c>
      <c r="W7" s="7" t="str">
        <f t="shared" si="0"/>
        <v>mom</v>
      </c>
      <c r="X7" s="7" t="str">
        <f t="shared" si="0"/>
        <v>mom</v>
      </c>
      <c r="Y7" s="7" t="str">
        <f t="shared" si="0"/>
        <v>mom</v>
      </c>
      <c r="Z7" s="7" t="str">
        <f t="shared" si="0"/>
        <v>mom</v>
      </c>
      <c r="AA7" s="7" t="str">
        <f t="shared" si="0"/>
        <v>mom</v>
      </c>
      <c r="AB7" s="7" t="str">
        <f t="shared" si="0"/>
        <v>mom</v>
      </c>
      <c r="AC7" s="7" t="str">
        <f t="shared" si="0"/>
        <v>mom</v>
      </c>
      <c r="AD7" s="7" t="str">
        <f t="shared" si="0"/>
        <v>mom</v>
      </c>
      <c r="AE7" s="7" t="str">
        <f t="shared" si="0"/>
        <v>bm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ref="AI7:BN7" si="1">IF(AI6=1,"bm",IF(AI6=2,"size",IF(AI6=3,"mom")))</f>
        <v>mom</v>
      </c>
      <c r="AJ7" s="7" t="str">
        <f t="shared" si="1"/>
        <v>mom</v>
      </c>
      <c r="AK7" s="7" t="str">
        <f t="shared" si="1"/>
        <v>mom</v>
      </c>
      <c r="AL7" s="7" t="str">
        <f t="shared" si="1"/>
        <v>mom</v>
      </c>
      <c r="AM7" s="7" t="str">
        <f t="shared" si="1"/>
        <v>mom</v>
      </c>
      <c r="AN7" s="7" t="str">
        <f t="shared" si="1"/>
        <v>mom</v>
      </c>
      <c r="AO7" s="7" t="str">
        <f t="shared" si="1"/>
        <v>mom</v>
      </c>
      <c r="AP7" s="7" t="str">
        <f t="shared" si="1"/>
        <v>mom</v>
      </c>
      <c r="AQ7" s="7" t="str">
        <f t="shared" si="1"/>
        <v>mom</v>
      </c>
      <c r="AR7" s="7" t="str">
        <f t="shared" si="1"/>
        <v>mom</v>
      </c>
      <c r="AS7" s="7" t="str">
        <f t="shared" si="1"/>
        <v>mom</v>
      </c>
      <c r="AT7" s="7" t="str">
        <f t="shared" si="1"/>
        <v>mom</v>
      </c>
      <c r="AU7" s="7" t="str">
        <f t="shared" si="1"/>
        <v>mom</v>
      </c>
      <c r="AV7" s="7" t="str">
        <f t="shared" si="1"/>
        <v>mom</v>
      </c>
      <c r="AW7" s="7" t="str">
        <f t="shared" si="1"/>
        <v>mom</v>
      </c>
      <c r="AX7" s="7" t="str">
        <f t="shared" si="1"/>
        <v>mom</v>
      </c>
      <c r="AY7" s="7" t="str">
        <f t="shared" si="1"/>
        <v>mom</v>
      </c>
      <c r="AZ7" s="7" t="str">
        <f t="shared" si="1"/>
        <v>mom</v>
      </c>
      <c r="BA7" s="7" t="str">
        <f t="shared" si="1"/>
        <v>mom</v>
      </c>
      <c r="BB7" s="7" t="str">
        <f t="shared" si="1"/>
        <v>mom</v>
      </c>
      <c r="BC7" s="7" t="str">
        <f t="shared" si="1"/>
        <v>mom</v>
      </c>
      <c r="BD7" s="7" t="str">
        <f t="shared" si="1"/>
        <v>mom</v>
      </c>
      <c r="BE7" s="7" t="str">
        <f t="shared" si="1"/>
        <v>mom</v>
      </c>
      <c r="BF7" s="7" t="str">
        <f t="shared" si="1"/>
        <v>bm</v>
      </c>
      <c r="BG7" s="7" t="str">
        <f t="shared" si="1"/>
        <v>bm</v>
      </c>
      <c r="BH7" s="7" t="str">
        <f t="shared" si="1"/>
        <v>size</v>
      </c>
      <c r="BI7" s="7" t="str">
        <f t="shared" si="1"/>
        <v>mom</v>
      </c>
      <c r="BJ7" s="7" t="str">
        <f t="shared" si="1"/>
        <v>mom</v>
      </c>
      <c r="BK7" s="7" t="str">
        <f t="shared" si="1"/>
        <v>mom</v>
      </c>
      <c r="BL7" s="7" t="str">
        <f t="shared" si="1"/>
        <v>mom</v>
      </c>
      <c r="BM7" s="7" t="str">
        <f t="shared" si="1"/>
        <v>mom</v>
      </c>
      <c r="BN7" s="7" t="str">
        <f t="shared" si="1"/>
        <v>mom</v>
      </c>
      <c r="BO7" s="7" t="str">
        <f t="shared" ref="BO7:CT7" si="2">IF(BO6=1,"bm",IF(BO6=2,"size",IF(BO6=3,"mom")))</f>
        <v>mom</v>
      </c>
      <c r="BP7" s="7" t="str">
        <f t="shared" si="2"/>
        <v>size</v>
      </c>
      <c r="BQ7" s="7" t="str">
        <f t="shared" si="2"/>
        <v>mom</v>
      </c>
      <c r="BR7" s="7" t="str">
        <f t="shared" si="2"/>
        <v>mom</v>
      </c>
      <c r="BS7" s="7" t="str">
        <f t="shared" si="2"/>
        <v>mom</v>
      </c>
      <c r="BT7" s="7" t="str">
        <f t="shared" si="2"/>
        <v>mom</v>
      </c>
      <c r="BU7" s="7" t="str">
        <f t="shared" si="2"/>
        <v>bm</v>
      </c>
      <c r="BV7" s="7" t="str">
        <f t="shared" si="2"/>
        <v>mom</v>
      </c>
      <c r="BW7" s="7" t="str">
        <f t="shared" si="2"/>
        <v>mom</v>
      </c>
      <c r="BX7" s="7" t="str">
        <f t="shared" si="2"/>
        <v>mom</v>
      </c>
      <c r="BY7" s="7" t="str">
        <f t="shared" si="2"/>
        <v>mom</v>
      </c>
      <c r="BZ7" s="7" t="str">
        <f t="shared" si="2"/>
        <v>mom</v>
      </c>
      <c r="CA7" s="7" t="str">
        <f t="shared" si="2"/>
        <v>mom</v>
      </c>
      <c r="CB7" s="7" t="str">
        <f t="shared" si="2"/>
        <v>mom</v>
      </c>
      <c r="CC7" s="7" t="str">
        <f t="shared" si="2"/>
        <v>bm</v>
      </c>
      <c r="CD7" s="7" t="str">
        <f t="shared" si="2"/>
        <v>bm</v>
      </c>
      <c r="CE7" s="7" t="str">
        <f t="shared" si="2"/>
        <v>mom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mom</v>
      </c>
      <c r="CK7" s="7" t="str">
        <f t="shared" si="2"/>
        <v>mom</v>
      </c>
      <c r="CL7" s="7" t="str">
        <f t="shared" si="2"/>
        <v>mom</v>
      </c>
      <c r="CM7" s="7" t="str">
        <f t="shared" si="2"/>
        <v>mom</v>
      </c>
      <c r="CN7" s="7" t="str">
        <f t="shared" si="2"/>
        <v>mom</v>
      </c>
      <c r="CO7" s="7" t="str">
        <f t="shared" si="2"/>
        <v>mom</v>
      </c>
      <c r="CP7" s="7" t="str">
        <f t="shared" si="2"/>
        <v>mom</v>
      </c>
      <c r="CQ7" s="7" t="str">
        <f t="shared" si="2"/>
        <v>mom</v>
      </c>
      <c r="CR7" s="7" t="str">
        <f t="shared" si="2"/>
        <v>size</v>
      </c>
      <c r="CS7" s="7" t="str">
        <f t="shared" si="2"/>
        <v>mom</v>
      </c>
      <c r="CT7" s="7" t="str">
        <f t="shared" si="2"/>
        <v>mom</v>
      </c>
      <c r="CU7" s="7" t="str">
        <f t="shared" ref="CU7:DZ7" si="3">IF(CU6=1,"bm",IF(CU6=2,"size",IF(CU6=3,"mom")))</f>
        <v>mom</v>
      </c>
      <c r="CV7" s="7" t="str">
        <f t="shared" si="3"/>
        <v>mom</v>
      </c>
      <c r="CW7" s="7" t="str">
        <f t="shared" si="3"/>
        <v>bm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bm</v>
      </c>
      <c r="DB7" s="7" t="str">
        <f t="shared" si="3"/>
        <v>mom</v>
      </c>
      <c r="DC7" s="7" t="str">
        <f t="shared" si="3"/>
        <v>mom</v>
      </c>
      <c r="DD7" s="7" t="str">
        <f t="shared" si="3"/>
        <v>mom</v>
      </c>
      <c r="DE7" s="7" t="str">
        <f t="shared" si="3"/>
        <v>mom</v>
      </c>
      <c r="DF7" s="7" t="str">
        <f t="shared" si="3"/>
        <v>size</v>
      </c>
      <c r="DG7" s="7" t="str">
        <f t="shared" si="3"/>
        <v>mom</v>
      </c>
      <c r="DH7" s="7" t="str">
        <f t="shared" si="3"/>
        <v>mom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mom</v>
      </c>
      <c r="DP7" s="7" t="str">
        <f t="shared" si="3"/>
        <v>mom</v>
      </c>
      <c r="DQ7" s="7" t="str">
        <f t="shared" si="3"/>
        <v>mom</v>
      </c>
      <c r="DR7" s="7" t="str">
        <f t="shared" si="3"/>
        <v>bm</v>
      </c>
      <c r="DS7" s="7" t="str">
        <f t="shared" si="3"/>
        <v>mom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mom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mom</v>
      </c>
      <c r="EB7" s="7" t="str">
        <f t="shared" si="4"/>
        <v>mom</v>
      </c>
      <c r="EC7" s="7" t="str">
        <f t="shared" si="4"/>
        <v>bm</v>
      </c>
      <c r="ED7" s="7" t="str">
        <f t="shared" si="4"/>
        <v>bm</v>
      </c>
      <c r="EE7" s="7" t="str">
        <f t="shared" si="4"/>
        <v>mom</v>
      </c>
      <c r="EF7" s="7" t="str">
        <f t="shared" si="4"/>
        <v>mom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-0.23615932464599609</v>
      </c>
      <c r="D8" s="7">
        <f t="shared" si="5"/>
        <v>0.30206522345542908</v>
      </c>
      <c r="E8" s="7">
        <f t="shared" si="5"/>
        <v>0.16382697224616999</v>
      </c>
      <c r="F8" s="7">
        <f t="shared" si="5"/>
        <v>-0.62130254507064819</v>
      </c>
      <c r="G8" s="7">
        <f t="shared" si="5"/>
        <v>-0.59304982423782349</v>
      </c>
      <c r="H8" s="7">
        <f t="shared" si="5"/>
        <v>0.18331669270992279</v>
      </c>
      <c r="I8" s="7">
        <f t="shared" si="5"/>
        <v>-0.1334018409252167</v>
      </c>
      <c r="J8" s="7">
        <f t="shared" si="5"/>
        <v>-0.15845844149589541</v>
      </c>
      <c r="K8" s="7">
        <f t="shared" si="5"/>
        <v>-0.71178311109542847</v>
      </c>
      <c r="L8" s="7">
        <f t="shared" si="5"/>
        <v>0.21329307556152341</v>
      </c>
      <c r="M8" s="7">
        <f t="shared" si="5"/>
        <v>-6.0562975704669952E-2</v>
      </c>
      <c r="N8" s="7">
        <f t="shared" si="5"/>
        <v>0.45479258894920349</v>
      </c>
      <c r="O8" s="7">
        <f t="shared" si="5"/>
        <v>0.40223386883735662</v>
      </c>
      <c r="P8" s="7">
        <f t="shared" si="5"/>
        <v>4.0549103170633323E-2</v>
      </c>
      <c r="Q8" s="7">
        <f t="shared" si="5"/>
        <v>0.43694466352462769</v>
      </c>
      <c r="R8" s="7">
        <f t="shared" si="5"/>
        <v>-0.11541748046875</v>
      </c>
      <c r="S8" s="7">
        <f t="shared" si="5"/>
        <v>0.1043961718678474</v>
      </c>
      <c r="T8" s="7">
        <f t="shared" si="5"/>
        <v>-0.69569945335388184</v>
      </c>
      <c r="U8" s="7">
        <f t="shared" si="5"/>
        <v>5.0960946828126907E-2</v>
      </c>
      <c r="V8" s="7">
        <f t="shared" si="5"/>
        <v>0.41305312514305109</v>
      </c>
      <c r="W8" s="7">
        <f t="shared" si="5"/>
        <v>0.20938269793987269</v>
      </c>
      <c r="X8" s="7">
        <f t="shared" si="5"/>
        <v>-0.53402328491210938</v>
      </c>
      <c r="Y8" s="7">
        <f t="shared" si="5"/>
        <v>-0.23857709765434271</v>
      </c>
      <c r="Z8" s="7">
        <f t="shared" si="5"/>
        <v>0.216572105884552</v>
      </c>
      <c r="AA8" s="7">
        <f t="shared" si="5"/>
        <v>-3.5983704030513763E-2</v>
      </c>
      <c r="AB8" s="7">
        <f t="shared" si="5"/>
        <v>0.54654592275619507</v>
      </c>
      <c r="AC8" s="7">
        <f t="shared" si="5"/>
        <v>-0.13678865134716031</v>
      </c>
      <c r="AD8" s="7">
        <f t="shared" si="5"/>
        <v>0.1866185516119003</v>
      </c>
      <c r="AE8" s="7">
        <f t="shared" si="5"/>
        <v>5.7245668023824692E-2</v>
      </c>
      <c r="AF8" s="7">
        <f t="shared" si="5"/>
        <v>0.28047934174537659</v>
      </c>
      <c r="AG8" s="7">
        <f t="shared" si="5"/>
        <v>-0.11216326057910921</v>
      </c>
      <c r="AH8" s="7">
        <f t="shared" si="5"/>
        <v>7.6471276581287384E-2</v>
      </c>
      <c r="AI8" s="7">
        <f t="shared" ref="AI8:BN8" si="6">IF(AI6=1,AI3,IF(AI6=2,AI4,IF(AI6=3,AI5)))</f>
        <v>0.3864915668964386</v>
      </c>
      <c r="AJ8" s="7">
        <f t="shared" si="6"/>
        <v>-5.3298141807317727E-2</v>
      </c>
      <c r="AK8" s="7">
        <f t="shared" si="6"/>
        <v>-0.21042224764823911</v>
      </c>
      <c r="AL8" s="7">
        <f t="shared" si="6"/>
        <v>9.6125639975070953E-2</v>
      </c>
      <c r="AM8" s="7">
        <f t="shared" si="6"/>
        <v>-0.44994819164276117</v>
      </c>
      <c r="AN8" s="7">
        <f t="shared" si="6"/>
        <v>-0.1845518350601196</v>
      </c>
      <c r="AO8" s="7">
        <f t="shared" si="6"/>
        <v>0.21023896336555481</v>
      </c>
      <c r="AP8" s="7">
        <f t="shared" si="6"/>
        <v>0.55138236284255981</v>
      </c>
      <c r="AQ8" s="7">
        <f t="shared" si="6"/>
        <v>0.6628570556640625</v>
      </c>
      <c r="AR8" s="7">
        <f t="shared" si="6"/>
        <v>0.12583865225315091</v>
      </c>
      <c r="AS8" s="7">
        <f t="shared" si="6"/>
        <v>-0.1316496878862381</v>
      </c>
      <c r="AT8" s="7">
        <f t="shared" si="6"/>
        <v>-0.395926833152771</v>
      </c>
      <c r="AU8" s="7">
        <f t="shared" si="6"/>
        <v>0.237248495221138</v>
      </c>
      <c r="AV8" s="7">
        <f t="shared" si="6"/>
        <v>-0.31184640526771551</v>
      </c>
      <c r="AW8" s="7">
        <f t="shared" si="6"/>
        <v>-0.1264176219701767</v>
      </c>
      <c r="AX8" s="7">
        <f t="shared" si="6"/>
        <v>0.21496570110321039</v>
      </c>
      <c r="AY8" s="7">
        <f t="shared" si="6"/>
        <v>-0.29770627617835999</v>
      </c>
      <c r="AZ8" s="7">
        <f t="shared" si="6"/>
        <v>0.1427876204252243</v>
      </c>
      <c r="BA8" s="7">
        <f t="shared" si="6"/>
        <v>0.47257468104362488</v>
      </c>
      <c r="BB8" s="7">
        <f t="shared" si="6"/>
        <v>-7.2701506316661835E-2</v>
      </c>
      <c r="BC8" s="7">
        <f t="shared" si="6"/>
        <v>0.45788475871086121</v>
      </c>
      <c r="BD8" s="7">
        <f t="shared" si="6"/>
        <v>-0.11817044764757161</v>
      </c>
      <c r="BE8" s="7">
        <f t="shared" si="6"/>
        <v>0.1402143985033035</v>
      </c>
      <c r="BF8" s="7">
        <f t="shared" si="6"/>
        <v>4.3678727000951767E-2</v>
      </c>
      <c r="BG8" s="7">
        <f t="shared" si="6"/>
        <v>5.5844154208898537E-2</v>
      </c>
      <c r="BH8" s="7">
        <f t="shared" si="6"/>
        <v>-4.5496903359889977E-2</v>
      </c>
      <c r="BI8" s="7">
        <f t="shared" si="6"/>
        <v>-0.1644802987575531</v>
      </c>
      <c r="BJ8" s="7">
        <f t="shared" si="6"/>
        <v>0.19206786155700681</v>
      </c>
      <c r="BK8" s="7">
        <f t="shared" si="6"/>
        <v>0.62006407976150513</v>
      </c>
      <c r="BL8" s="7">
        <f t="shared" si="6"/>
        <v>0.15779069066047671</v>
      </c>
      <c r="BM8" s="7">
        <f t="shared" si="6"/>
        <v>-8.5973016917705536E-2</v>
      </c>
      <c r="BN8" s="7">
        <f t="shared" si="6"/>
        <v>0.14220435917377469</v>
      </c>
      <c r="BO8" s="7">
        <f t="shared" ref="BO8:CT8" si="7">IF(BO6=1,BO3,IF(BO6=2,BO4,IF(BO6=3,BO5)))</f>
        <v>0.42143568396568298</v>
      </c>
      <c r="BP8" s="7">
        <f t="shared" si="7"/>
        <v>-3.397504985332489E-2</v>
      </c>
      <c r="BQ8" s="7">
        <f t="shared" si="7"/>
        <v>0.17931991815567019</v>
      </c>
      <c r="BR8" s="7">
        <f t="shared" si="7"/>
        <v>-0.12777990102767939</v>
      </c>
      <c r="BS8" s="7">
        <f t="shared" si="7"/>
        <v>9.7982287406921387E-2</v>
      </c>
      <c r="BT8" s="7">
        <f t="shared" si="7"/>
        <v>0.28167909383773798</v>
      </c>
      <c r="BU8" s="7">
        <f t="shared" si="7"/>
        <v>4.7802064567804337E-2</v>
      </c>
      <c r="BV8" s="7">
        <f t="shared" si="7"/>
        <v>-0.5038764476776123</v>
      </c>
      <c r="BW8" s="7">
        <f t="shared" si="7"/>
        <v>-0.19250540435314181</v>
      </c>
      <c r="BX8" s="7">
        <f t="shared" si="7"/>
        <v>-6.9034270942211151E-2</v>
      </c>
      <c r="BY8" s="7">
        <f t="shared" si="7"/>
        <v>0.15446531772613531</v>
      </c>
      <c r="BZ8" s="7">
        <f t="shared" si="7"/>
        <v>-0.36204326152801508</v>
      </c>
      <c r="CA8" s="7">
        <f t="shared" si="7"/>
        <v>8.2590386271476746E-2</v>
      </c>
      <c r="CB8" s="7">
        <f t="shared" si="7"/>
        <v>0.2121867835521698</v>
      </c>
      <c r="CC8" s="7">
        <f t="shared" si="7"/>
        <v>9.1926932334899902E-2</v>
      </c>
      <c r="CD8" s="7">
        <f t="shared" si="7"/>
        <v>3.6699317395687103E-2</v>
      </c>
      <c r="CE8" s="7">
        <f t="shared" si="7"/>
        <v>0.54791367053985596</v>
      </c>
      <c r="CF8" s="7">
        <f t="shared" si="7"/>
        <v>-0.1075777038931847</v>
      </c>
      <c r="CG8" s="7">
        <f t="shared" si="7"/>
        <v>3.8016948848962777E-2</v>
      </c>
      <c r="CH8" s="7">
        <f t="shared" si="7"/>
        <v>-0.1932409256696701</v>
      </c>
      <c r="CI8" s="7">
        <f t="shared" si="7"/>
        <v>-0.125183179974556</v>
      </c>
      <c r="CJ8" s="7">
        <f t="shared" si="7"/>
        <v>-4.2053326964378357E-2</v>
      </c>
      <c r="CK8" s="7">
        <f t="shared" si="7"/>
        <v>-0.12538301944732669</v>
      </c>
      <c r="CL8" s="7">
        <f t="shared" si="7"/>
        <v>-0.25265124440193182</v>
      </c>
      <c r="CM8" s="7">
        <f t="shared" si="7"/>
        <v>-0.21032579243183139</v>
      </c>
      <c r="CN8" s="7">
        <f t="shared" si="7"/>
        <v>9.0569406747817993E-2</v>
      </c>
      <c r="CO8" s="7">
        <f t="shared" si="7"/>
        <v>0.33166918158531189</v>
      </c>
      <c r="CP8" s="7">
        <f t="shared" si="7"/>
        <v>0.50127995014190674</v>
      </c>
      <c r="CQ8" s="7">
        <f t="shared" si="7"/>
        <v>-0.24841265380382541</v>
      </c>
      <c r="CR8" s="7">
        <f t="shared" si="7"/>
        <v>-4.3880332261323929E-2</v>
      </c>
      <c r="CS8" s="7">
        <f t="shared" si="7"/>
        <v>-9.930979460477829E-2</v>
      </c>
      <c r="CT8" s="7">
        <f t="shared" si="7"/>
        <v>-0.1180227175354958</v>
      </c>
      <c r="CU8" s="7">
        <f t="shared" ref="CU8:DZ8" si="8">IF(CU6=1,CU3,IF(CU6=2,CU4,IF(CU6=3,CU5)))</f>
        <v>-0.15861691534519201</v>
      </c>
      <c r="CV8" s="7">
        <f t="shared" si="8"/>
        <v>-0.71324062347412109</v>
      </c>
      <c r="CW8" s="7">
        <f t="shared" si="8"/>
        <v>3.4555427730083473E-2</v>
      </c>
      <c r="CX8" s="7">
        <f t="shared" si="8"/>
        <v>0.2901875376701355</v>
      </c>
      <c r="CY8" s="7">
        <f t="shared" si="8"/>
        <v>5.4072614759206772E-2</v>
      </c>
      <c r="CZ8" s="7">
        <f t="shared" si="8"/>
        <v>-0.1071935072541237</v>
      </c>
      <c r="DA8" s="7">
        <f t="shared" si="8"/>
        <v>6.6585950553417206E-2</v>
      </c>
      <c r="DB8" s="7">
        <f t="shared" si="8"/>
        <v>-7.3041811585426331E-2</v>
      </c>
      <c r="DC8" s="7">
        <f t="shared" si="8"/>
        <v>-0.60419607162475586</v>
      </c>
      <c r="DD8" s="7">
        <f t="shared" si="8"/>
        <v>0.39677461981773382</v>
      </c>
      <c r="DE8" s="7">
        <f t="shared" si="8"/>
        <v>-7.2055138647556305E-2</v>
      </c>
      <c r="DF8" s="7">
        <f t="shared" si="8"/>
        <v>-7.5045913457870483E-2</v>
      </c>
      <c r="DG8" s="7">
        <f t="shared" si="8"/>
        <v>-3.1144225969910622E-2</v>
      </c>
      <c r="DH8" s="7">
        <f t="shared" si="8"/>
        <v>-0.32177770137786871</v>
      </c>
      <c r="DI8" s="7">
        <f t="shared" si="8"/>
        <v>-0.28737813234329218</v>
      </c>
      <c r="DJ8" s="7">
        <f t="shared" si="8"/>
        <v>0.14427696168422699</v>
      </c>
      <c r="DK8" s="7">
        <f t="shared" si="8"/>
        <v>-0.47954776883125311</v>
      </c>
      <c r="DL8" s="7">
        <f t="shared" si="8"/>
        <v>-0.1048517525196075</v>
      </c>
      <c r="DM8" s="7">
        <f t="shared" si="8"/>
        <v>0.29051229357719421</v>
      </c>
      <c r="DN8" s="7">
        <f t="shared" si="8"/>
        <v>0.1066980957984924</v>
      </c>
      <c r="DO8" s="7">
        <f t="shared" si="8"/>
        <v>0.37107187509536738</v>
      </c>
      <c r="DP8" s="7">
        <f t="shared" si="8"/>
        <v>0.1571110337972641</v>
      </c>
      <c r="DQ8" s="7">
        <f t="shared" si="8"/>
        <v>0.7847934365272522</v>
      </c>
      <c r="DR8" s="7">
        <f t="shared" si="8"/>
        <v>5.3203873336315162E-2</v>
      </c>
      <c r="DS8" s="7">
        <f t="shared" si="8"/>
        <v>-0.13680993020534521</v>
      </c>
      <c r="DT8" s="7">
        <f t="shared" si="8"/>
        <v>6.0407958924770362E-2</v>
      </c>
      <c r="DU8" s="7">
        <f t="shared" si="8"/>
        <v>5.3334835916757577E-2</v>
      </c>
      <c r="DV8" s="7">
        <f t="shared" si="8"/>
        <v>0.1752042472362518</v>
      </c>
      <c r="DW8" s="7">
        <f t="shared" si="8"/>
        <v>0.33214318752288818</v>
      </c>
      <c r="DX8" s="7">
        <f t="shared" si="8"/>
        <v>7.880052924156189E-2</v>
      </c>
      <c r="DY8" s="7">
        <f t="shared" si="8"/>
        <v>-0.34528133273124689</v>
      </c>
      <c r="DZ8" s="7">
        <f t="shared" si="8"/>
        <v>0.1092682778835297</v>
      </c>
      <c r="EA8" s="7">
        <f t="shared" ref="EA8:EG8" si="9">IF(EA6=1,EA3,IF(EA6=2,EA4,IF(EA6=3,EA5)))</f>
        <v>-9.0946242213249207E-2</v>
      </c>
      <c r="EB8" s="7">
        <f t="shared" si="9"/>
        <v>-5.0370201468467712E-2</v>
      </c>
      <c r="EC8" s="7">
        <f t="shared" si="9"/>
        <v>0.14314509928226471</v>
      </c>
      <c r="ED8" s="7">
        <f t="shared" si="9"/>
        <v>4.4307246804237373E-2</v>
      </c>
      <c r="EE8" s="7">
        <f t="shared" si="9"/>
        <v>0.21982145309448239</v>
      </c>
      <c r="EF8" s="7">
        <f t="shared" si="9"/>
        <v>0.25723558664321899</v>
      </c>
      <c r="EG8" s="1">
        <f t="shared" si="9"/>
        <v>0</v>
      </c>
    </row>
    <row r="10" spans="1:137" x14ac:dyDescent="0.3">
      <c r="A10" s="13" t="s">
        <v>141</v>
      </c>
      <c r="B10" s="14"/>
      <c r="C10" s="1" t="s">
        <v>142</v>
      </c>
      <c r="D10" s="2">
        <v>964</v>
      </c>
    </row>
    <row r="11" spans="1:137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10</v>
      </c>
      <c r="B12" s="1">
        <v>96</v>
      </c>
      <c r="C12" s="7">
        <v>1.4499246984096079E-2</v>
      </c>
      <c r="D12" s="7">
        <v>1.467855149787607E-2</v>
      </c>
      <c r="E12" s="7">
        <v>-1.3937245408664461E-3</v>
      </c>
      <c r="F12" s="7">
        <v>5.5959384784458728E-2</v>
      </c>
      <c r="G12" s="7">
        <v>-3.1947448518630461E-2</v>
      </c>
      <c r="H12" s="7">
        <v>9.5992583565995809E-3</v>
      </c>
      <c r="I12" s="7">
        <v>8.6581522633444978E-3</v>
      </c>
      <c r="J12" s="7">
        <v>-7.3897936559287961E-3</v>
      </c>
      <c r="K12" s="7">
        <v>-2.918799813369918E-2</v>
      </c>
      <c r="L12" s="7">
        <v>8.7585559641662342E-3</v>
      </c>
      <c r="M12" s="7">
        <v>-2.688917383320695E-2</v>
      </c>
      <c r="N12" s="7">
        <v>-3.4703354243462818E-2</v>
      </c>
      <c r="O12" s="7">
        <v>2.7914759067240381E-2</v>
      </c>
      <c r="P12" s="7">
        <v>-2.5432810815711028E-4</v>
      </c>
      <c r="Q12" s="7">
        <v>5.1156833739640466E-3</v>
      </c>
      <c r="R12" s="7">
        <v>-1.315348866053859E-2</v>
      </c>
      <c r="S12" s="7">
        <v>1.105502977333921E-2</v>
      </c>
      <c r="T12" s="7">
        <v>-4.7867716345524697E-2</v>
      </c>
      <c r="U12" s="7">
        <v>-1.356523083780981E-3</v>
      </c>
      <c r="V12" s="7">
        <v>9.5109536536482214E-3</v>
      </c>
      <c r="W12" s="7">
        <v>-2.8417662858163131E-2</v>
      </c>
      <c r="X12" s="7">
        <v>0.10964075134733541</v>
      </c>
      <c r="Y12" s="7">
        <v>-2.0598393527691269E-2</v>
      </c>
      <c r="Z12" s="7">
        <v>-5.3152086976860878E-2</v>
      </c>
      <c r="AA12" s="7">
        <v>-2.691847942081162E-2</v>
      </c>
      <c r="AB12" s="7">
        <v>1.073332960413877E-2</v>
      </c>
      <c r="AC12" s="7">
        <v>4.6772945626311249E-2</v>
      </c>
      <c r="AD12" s="7">
        <v>-2.5304298312235208E-3</v>
      </c>
      <c r="AE12" s="7">
        <v>-3.789762353223057E-2</v>
      </c>
      <c r="AF12" s="7">
        <v>-5.2012102776767682E-2</v>
      </c>
      <c r="AG12" s="7">
        <v>3.814930420809846E-3</v>
      </c>
      <c r="AH12" s="7">
        <v>-1.5713033769280859E-2</v>
      </c>
      <c r="AI12" s="7">
        <v>8.79379249226157E-3</v>
      </c>
      <c r="AJ12" s="7">
        <v>1.8723296332934201E-2</v>
      </c>
      <c r="AK12" s="7">
        <v>1.6475368224135679E-2</v>
      </c>
      <c r="AL12" s="7">
        <v>-4.7800489952077287E-2</v>
      </c>
      <c r="AM12" s="7">
        <v>-1.670675200628732E-2</v>
      </c>
      <c r="AN12" s="7">
        <v>-2.6645628802444619E-2</v>
      </c>
      <c r="AO12" s="7">
        <v>1.499547084312732E-2</v>
      </c>
      <c r="AP12" s="7">
        <v>6.3803694968983726E-3</v>
      </c>
      <c r="AQ12" s="7">
        <v>-1.6969305775294419E-3</v>
      </c>
      <c r="AR12" s="7">
        <v>2.2223025987592161E-2</v>
      </c>
      <c r="AS12" s="7">
        <v>-1.9976272910371209E-2</v>
      </c>
      <c r="AT12" s="7">
        <v>-7.2195382352435097E-2</v>
      </c>
      <c r="AU12" s="7">
        <v>3.713536440044597E-3</v>
      </c>
      <c r="AV12" s="7">
        <v>-5.3715630656719707E-2</v>
      </c>
      <c r="AW12" s="7">
        <v>-1.7169704763403071E-2</v>
      </c>
      <c r="AX12" s="7">
        <v>-4.4696011972897853E-2</v>
      </c>
      <c r="AY12" s="7">
        <v>-1.749132165900753E-2</v>
      </c>
      <c r="AZ12" s="7">
        <v>-2.361455316530062E-2</v>
      </c>
      <c r="BA12" s="7">
        <v>-2.6434329877061579E-2</v>
      </c>
      <c r="BB12" s="7">
        <v>2.9036654569641791E-2</v>
      </c>
      <c r="BC12" s="7">
        <v>2.669096629233754E-2</v>
      </c>
      <c r="BD12" s="7">
        <v>8.2215801414615049E-3</v>
      </c>
      <c r="BE12" s="7">
        <v>-3.5368545142518727E-2</v>
      </c>
      <c r="BF12" s="7">
        <v>6.7792352483200119E-2</v>
      </c>
      <c r="BG12" s="7">
        <v>3.3670862441262807E-2</v>
      </c>
      <c r="BH12" s="7">
        <v>-2.4922145288873449E-2</v>
      </c>
      <c r="BI12" s="7">
        <v>4.3756064379844611E-2</v>
      </c>
      <c r="BJ12" s="7">
        <v>-2.4663126175119381E-2</v>
      </c>
      <c r="BK12" s="7">
        <v>-6.5738349503457333E-4</v>
      </c>
      <c r="BL12" s="7">
        <v>-3.2129098300494131E-2</v>
      </c>
      <c r="BM12" s="7">
        <v>-5.030568452332447E-2</v>
      </c>
      <c r="BN12" s="7">
        <v>-1.1575967172940649E-2</v>
      </c>
      <c r="BO12" s="7">
        <v>-2.4940363988115721E-3</v>
      </c>
      <c r="BP12" s="7">
        <v>-2.642195733416729E-2</v>
      </c>
      <c r="BQ12" s="7">
        <v>-1.8715508904754308E-2</v>
      </c>
      <c r="BR12" s="7">
        <v>-6.8693615147113224E-2</v>
      </c>
      <c r="BS12" s="7">
        <v>-3.2642854888392712E-2</v>
      </c>
      <c r="BT12" s="7">
        <v>1.636478331442541E-2</v>
      </c>
      <c r="BU12" s="7">
        <v>8.7815171400964752E-3</v>
      </c>
      <c r="BV12" s="7">
        <v>4.2282389085929989E-2</v>
      </c>
      <c r="BW12" s="7">
        <v>4.4477003891650199E-2</v>
      </c>
      <c r="BX12" s="7">
        <v>6.985153858139255E-3</v>
      </c>
      <c r="BY12" s="7">
        <v>5.8929916357564061E-2</v>
      </c>
      <c r="BZ12" s="7">
        <v>-3.237872593248467E-2</v>
      </c>
      <c r="CA12" s="7">
        <v>6.0368843449925408E-4</v>
      </c>
      <c r="CB12" s="7">
        <v>-2.7173862793031672E-2</v>
      </c>
      <c r="CC12" s="7">
        <v>-1.677096439411024E-2</v>
      </c>
      <c r="CD12" s="7">
        <v>0.1109336335844525</v>
      </c>
      <c r="CE12" s="7">
        <v>-5.0816539029017678E-2</v>
      </c>
      <c r="CF12" s="7">
        <v>-8.0212745139300254E-3</v>
      </c>
      <c r="CG12" s="7">
        <v>-4.9277959963080598E-2</v>
      </c>
      <c r="CH12" s="7">
        <v>1.6463112378785821E-2</v>
      </c>
      <c r="CI12" s="7">
        <v>3.5598030901105832E-2</v>
      </c>
      <c r="CJ12" s="7">
        <v>-5.4120066914195013E-2</v>
      </c>
      <c r="CK12" s="7">
        <v>-5.6101440647790157E-2</v>
      </c>
      <c r="CL12" s="7">
        <v>-7.8440280286020903E-2</v>
      </c>
      <c r="CM12" s="7">
        <v>2.635395083816933E-2</v>
      </c>
      <c r="CN12" s="7">
        <v>7.8465204010806394E-2</v>
      </c>
      <c r="CO12" s="7">
        <v>-2.4819785255212591E-2</v>
      </c>
      <c r="CP12" s="7">
        <v>-1.0050220356918669E-3</v>
      </c>
      <c r="CQ12" s="7">
        <v>6.2684347003574781E-2</v>
      </c>
      <c r="CR12" s="7">
        <v>4.814662528730166E-2</v>
      </c>
      <c r="CS12" s="7">
        <v>-9.7857359485265666E-4</v>
      </c>
      <c r="CT12" s="7">
        <v>9.3290632299768764E-3</v>
      </c>
      <c r="CU12" s="7">
        <v>7.4779529281356727E-2</v>
      </c>
      <c r="CV12" s="7">
        <v>-6.5033306495688795E-2</v>
      </c>
      <c r="CW12" s="7">
        <v>5.5479247445322649E-3</v>
      </c>
      <c r="CX12" s="7">
        <v>-3.0752638267462981E-2</v>
      </c>
      <c r="CY12" s="7">
        <v>1.6420596247805602E-2</v>
      </c>
      <c r="CZ12" s="7">
        <v>1.2324262059916619E-2</v>
      </c>
      <c r="DA12" s="7">
        <v>5.6037840703605252E-3</v>
      </c>
      <c r="DB12" s="7">
        <v>-3.5585282643903433E-2</v>
      </c>
      <c r="DC12" s="7">
        <v>4.5013637925414574E-3</v>
      </c>
      <c r="DD12" s="7">
        <v>-6.9960545734343321E-2</v>
      </c>
      <c r="DE12" s="7">
        <v>2.473764441509502E-2</v>
      </c>
      <c r="DF12" s="7">
        <v>5.5485734082072982E-2</v>
      </c>
      <c r="DG12" s="7">
        <v>4.7394421629824317E-2</v>
      </c>
      <c r="DH12" s="7">
        <v>-3.080315518685656E-2</v>
      </c>
      <c r="DI12" s="7">
        <v>-2.9979254557499689E-2</v>
      </c>
      <c r="DJ12" s="7">
        <v>4.1378042935671558E-2</v>
      </c>
      <c r="DK12" s="7">
        <v>-1.0711986285806619E-3</v>
      </c>
      <c r="DL12" s="7">
        <v>-1.8669833333803058E-2</v>
      </c>
      <c r="DM12" s="7">
        <v>9.143493333529153E-3</v>
      </c>
      <c r="DN12" s="7">
        <v>-1.854144345861243E-2</v>
      </c>
      <c r="DO12" s="7">
        <v>-1.9030728267897829E-2</v>
      </c>
      <c r="DP12" s="7">
        <v>-5.9408694556660431E-2</v>
      </c>
      <c r="DQ12" s="7">
        <v>7.454064748047276E-2</v>
      </c>
      <c r="DR12" s="7">
        <v>1.8778943279386909E-2</v>
      </c>
      <c r="DS12" s="7">
        <v>-4.6024279005124763E-2</v>
      </c>
      <c r="DT12" s="7">
        <v>2.481384156258671E-2</v>
      </c>
      <c r="DU12" s="7">
        <v>4.5787141974466997E-2</v>
      </c>
      <c r="DV12" s="7">
        <v>-1.6751441513820589E-2</v>
      </c>
      <c r="DW12" s="7">
        <v>2.0762117126153991E-3</v>
      </c>
      <c r="DX12" s="7">
        <v>1.8099136778333389E-2</v>
      </c>
      <c r="DY12" s="7">
        <v>-6.2728222094769928E-2</v>
      </c>
      <c r="DZ12" s="7">
        <v>2.0038890123589111E-2</v>
      </c>
      <c r="EA12" s="7">
        <v>0.113127041749137</v>
      </c>
      <c r="EB12" s="7">
        <v>3.052577681784165E-2</v>
      </c>
      <c r="EC12" s="7">
        <v>2.6651509579665299E-2</v>
      </c>
      <c r="ED12" s="7">
        <v>-6.050815280848415E-2</v>
      </c>
      <c r="EE12" s="7">
        <v>-2.821628026780338E-2</v>
      </c>
      <c r="EF12" s="8">
        <v>-3.1810858274230483E-2</v>
      </c>
    </row>
    <row r="13" spans="1:137" x14ac:dyDescent="0.3">
      <c r="A13" s="1">
        <v>20</v>
      </c>
      <c r="B13" s="1">
        <v>48</v>
      </c>
      <c r="C13" s="7">
        <v>-7.4773642018864783E-3</v>
      </c>
      <c r="D13" s="7">
        <v>-5.4568599887918068E-3</v>
      </c>
      <c r="E13" s="7">
        <v>-5.52362670328634E-3</v>
      </c>
      <c r="F13" s="7">
        <v>5.9986526692922967E-2</v>
      </c>
      <c r="G13" s="7">
        <v>-1.2047404300105931E-2</v>
      </c>
      <c r="H13" s="7">
        <v>1.7388387027498991E-2</v>
      </c>
      <c r="I13" s="7">
        <v>-3.2285991683865867E-2</v>
      </c>
      <c r="J13" s="7">
        <v>-2.3000408652571691E-2</v>
      </c>
      <c r="K13" s="7">
        <v>-6.0326139227570137E-2</v>
      </c>
      <c r="L13" s="7">
        <v>2.1980470378722781E-2</v>
      </c>
      <c r="M13" s="7">
        <v>-3.2797582260047169E-3</v>
      </c>
      <c r="N13" s="7">
        <v>-4.3392417465696789E-2</v>
      </c>
      <c r="O13" s="7">
        <v>1.7422698810949939E-2</v>
      </c>
      <c r="P13" s="7">
        <v>-6.2776476607329448E-3</v>
      </c>
      <c r="Q13" s="7">
        <v>-1.7456384496362699E-2</v>
      </c>
      <c r="R13" s="7">
        <v>-1.6510711082829949E-2</v>
      </c>
      <c r="S13" s="7">
        <v>-6.0138030070422746E-3</v>
      </c>
      <c r="T13" s="7">
        <v>-7.4234081511722602E-2</v>
      </c>
      <c r="U13" s="7">
        <v>2.8761330590554329E-2</v>
      </c>
      <c r="V13" s="7">
        <v>2.216639903053957E-3</v>
      </c>
      <c r="W13" s="7">
        <v>-3.096890407148287E-2</v>
      </c>
      <c r="X13" s="7">
        <v>0.1211277708527381</v>
      </c>
      <c r="Y13" s="7">
        <v>6.6833587265454353E-3</v>
      </c>
      <c r="Z13" s="7">
        <v>-8.125140212123555E-2</v>
      </c>
      <c r="AA13" s="7">
        <v>-4.7712648450258188E-2</v>
      </c>
      <c r="AB13" s="7">
        <v>1.5001573328978489E-2</v>
      </c>
      <c r="AC13" s="7">
        <v>6.6771700381929838E-2</v>
      </c>
      <c r="AD13" s="7">
        <v>-2.0440228373792429E-2</v>
      </c>
      <c r="AE13" s="7">
        <v>-4.2517211455791168E-2</v>
      </c>
      <c r="AF13" s="7">
        <v>-7.3281160828311181E-2</v>
      </c>
      <c r="AG13" s="7">
        <v>-9.9052077270740842E-3</v>
      </c>
      <c r="AH13" s="7">
        <v>-2.4955206549866871E-2</v>
      </c>
      <c r="AI13" s="7">
        <v>1.8646046379966041E-2</v>
      </c>
      <c r="AJ13" s="7">
        <v>1.707450838618965E-3</v>
      </c>
      <c r="AK13" s="7">
        <v>3.8359390282872087E-2</v>
      </c>
      <c r="AL13" s="7">
        <v>-4.9258884794550067E-2</v>
      </c>
      <c r="AM13" s="7">
        <v>1.4434106114089009E-2</v>
      </c>
      <c r="AN13" s="7">
        <v>-2.9977660519922351E-2</v>
      </c>
      <c r="AO13" s="7">
        <v>-1.7088466886353789E-3</v>
      </c>
      <c r="AP13" s="7">
        <v>-2.1107071267262652E-3</v>
      </c>
      <c r="AQ13" s="7">
        <v>-2.3400741595164692E-3</v>
      </c>
      <c r="AR13" s="7">
        <v>2.0848043794723811E-2</v>
      </c>
      <c r="AS13" s="7">
        <v>-2.340496354159733E-2</v>
      </c>
      <c r="AT13" s="7">
        <v>-8.6422914727599456E-2</v>
      </c>
      <c r="AU13" s="7">
        <v>-1.5695418426472509E-2</v>
      </c>
      <c r="AV13" s="7">
        <v>-7.9665975648470139E-2</v>
      </c>
      <c r="AW13" s="7">
        <v>-2.682123797038095E-2</v>
      </c>
      <c r="AX13" s="7">
        <v>-3.2799832135855793E-2</v>
      </c>
      <c r="AY13" s="7">
        <v>-1.42622039071387E-2</v>
      </c>
      <c r="AZ13" s="7">
        <v>-3.1220536093770089E-2</v>
      </c>
      <c r="BA13" s="7">
        <v>-2.618827405064264E-2</v>
      </c>
      <c r="BB13" s="7">
        <v>2.2547400974778999E-2</v>
      </c>
      <c r="BC13" s="7">
        <v>1.9110867274842121E-2</v>
      </c>
      <c r="BD13" s="7">
        <v>1.0962313176339699E-2</v>
      </c>
      <c r="BE13" s="7">
        <v>-4.3773789385783142E-2</v>
      </c>
      <c r="BF13" s="7">
        <v>8.3929415307496771E-2</v>
      </c>
      <c r="BG13" s="7">
        <v>4.6566462338711673E-2</v>
      </c>
      <c r="BH13" s="7">
        <v>-3.3944254587363332E-2</v>
      </c>
      <c r="BI13" s="7">
        <v>2.1601559102932929E-2</v>
      </c>
      <c r="BJ13" s="7">
        <v>-2.4266087613108871E-2</v>
      </c>
      <c r="BK13" s="7">
        <v>-8.8783959160913702E-3</v>
      </c>
      <c r="BL13" s="7">
        <v>-3.4460040448450822E-2</v>
      </c>
      <c r="BM13" s="7">
        <v>-5.3371768695190711E-2</v>
      </c>
      <c r="BN13" s="7">
        <v>-3.5552713412407247E-2</v>
      </c>
      <c r="BO13" s="7">
        <v>-4.4924049969956581E-3</v>
      </c>
      <c r="BP13" s="7">
        <v>-7.9511464177745989E-3</v>
      </c>
      <c r="BQ13" s="7">
        <v>1.1508192254020789E-3</v>
      </c>
      <c r="BR13" s="7">
        <v>-7.9831456823332952E-2</v>
      </c>
      <c r="BS13" s="7">
        <v>-4.0180514361416918E-2</v>
      </c>
      <c r="BT13" s="7">
        <v>5.2107167580298965E-4</v>
      </c>
      <c r="BU13" s="7">
        <v>1.7706555036553769E-2</v>
      </c>
      <c r="BV13" s="7">
        <v>7.9930834101057502E-2</v>
      </c>
      <c r="BW13" s="7">
        <v>7.5714005636679529E-2</v>
      </c>
      <c r="BX13" s="7">
        <v>7.4563880601007104E-4</v>
      </c>
      <c r="BY13" s="7">
        <v>3.9201956575141389E-2</v>
      </c>
      <c r="BZ13" s="7">
        <v>-6.5976729925343203E-2</v>
      </c>
      <c r="CA13" s="7">
        <v>1.1020985390851621E-2</v>
      </c>
      <c r="CB13" s="7">
        <v>-2.6017379522694919E-2</v>
      </c>
      <c r="CC13" s="7">
        <v>-1.2530912212633369E-2</v>
      </c>
      <c r="CD13" s="7">
        <v>0.1050858328923274</v>
      </c>
      <c r="CE13" s="7">
        <v>-7.9437869787202575E-2</v>
      </c>
      <c r="CF13" s="7">
        <v>1.2043667015059319E-2</v>
      </c>
      <c r="CG13" s="7">
        <v>-5.8014967807239318E-2</v>
      </c>
      <c r="CH13" s="7">
        <v>4.0295060582103241E-3</v>
      </c>
      <c r="CI13" s="7">
        <v>1.4533303233279799E-2</v>
      </c>
      <c r="CJ13" s="7">
        <v>-5.481018067884004E-2</v>
      </c>
      <c r="CK13" s="7">
        <v>-6.568712626679736E-2</v>
      </c>
      <c r="CL13" s="7">
        <v>-7.2724175153218551E-2</v>
      </c>
      <c r="CM13" s="7">
        <v>1.4010734772878621E-2</v>
      </c>
      <c r="CN13" s="7">
        <v>0.1009941666481943</v>
      </c>
      <c r="CO13" s="7">
        <v>-3.5334344080657359E-2</v>
      </c>
      <c r="CP13" s="7">
        <v>2.0576995740129469E-2</v>
      </c>
      <c r="CQ13" s="7">
        <v>7.1178864968403879E-2</v>
      </c>
      <c r="CR13" s="7">
        <v>6.4380648737412241E-2</v>
      </c>
      <c r="CS13" s="7">
        <v>-9.5676536651352929E-3</v>
      </c>
      <c r="CT13" s="7">
        <v>-4.0854011561625853E-4</v>
      </c>
      <c r="CU13" s="7">
        <v>0.1070909617136373</v>
      </c>
      <c r="CV13" s="7">
        <v>-7.7656051256972655E-2</v>
      </c>
      <c r="CW13" s="7">
        <v>5.97703085624611E-3</v>
      </c>
      <c r="CX13" s="7">
        <v>-3.0582841479689871E-2</v>
      </c>
      <c r="CY13" s="7">
        <v>4.1201751884096749E-2</v>
      </c>
      <c r="CZ13" s="7">
        <v>4.8982161600653051E-3</v>
      </c>
      <c r="DA13" s="7">
        <v>-5.583676925821391E-3</v>
      </c>
      <c r="DB13" s="7">
        <v>-6.135618523727146E-2</v>
      </c>
      <c r="DC13" s="7">
        <v>1.41498668272943E-2</v>
      </c>
      <c r="DD13" s="7">
        <v>-6.8977058924383453E-2</v>
      </c>
      <c r="DE13" s="7">
        <v>2.2441996429236069E-2</v>
      </c>
      <c r="DF13" s="7">
        <v>8.3122187068030415E-2</v>
      </c>
      <c r="DG13" s="7">
        <v>7.1335760214919608E-2</v>
      </c>
      <c r="DH13" s="7">
        <v>-3.8806516940288249E-2</v>
      </c>
      <c r="DI13" s="7">
        <v>-2.957041963442816E-2</v>
      </c>
      <c r="DJ13" s="7">
        <v>7.0211236155579941E-3</v>
      </c>
      <c r="DK13" s="7">
        <v>2.3400891895590289E-2</v>
      </c>
      <c r="DL13" s="7">
        <v>-2.2050690678088229E-2</v>
      </c>
      <c r="DM13" s="7">
        <v>-1.1655894415520189E-2</v>
      </c>
      <c r="DN13" s="7">
        <v>-1.277588948620326E-2</v>
      </c>
      <c r="DO13" s="7">
        <v>-4.4325139422202869E-2</v>
      </c>
      <c r="DP13" s="7">
        <v>-5.8032308890701628E-2</v>
      </c>
      <c r="DQ13" s="7">
        <v>8.712901139257051E-2</v>
      </c>
      <c r="DR13" s="7">
        <v>1.377120927231194E-2</v>
      </c>
      <c r="DS13" s="7">
        <v>-2.991519389132713E-2</v>
      </c>
      <c r="DT13" s="7">
        <v>2.9845809161003281E-2</v>
      </c>
      <c r="DU13" s="7">
        <v>2.369885378120147E-2</v>
      </c>
      <c r="DV13" s="7">
        <v>-9.8528047622480752E-3</v>
      </c>
      <c r="DW13" s="7">
        <v>1.3098229041975379E-2</v>
      </c>
      <c r="DX13" s="7">
        <v>2.3229609548966131E-2</v>
      </c>
      <c r="DY13" s="7">
        <v>-9.5046248038774313E-3</v>
      </c>
      <c r="DZ13" s="7">
        <v>3.028525147494129E-2</v>
      </c>
      <c r="EA13" s="7">
        <v>0.1244689581490709</v>
      </c>
      <c r="EB13" s="7">
        <v>5.7205292748389078E-2</v>
      </c>
      <c r="EC13" s="7">
        <v>4.1659753435228923E-2</v>
      </c>
      <c r="ED13" s="7">
        <v>-6.5682093659234955E-2</v>
      </c>
      <c r="EE13" s="7">
        <v>-3.58674799008201E-2</v>
      </c>
      <c r="EF13" s="8">
        <v>-4.7879265492308178E-2</v>
      </c>
    </row>
    <row r="14" spans="1:137" x14ac:dyDescent="0.3">
      <c r="A14" s="1">
        <v>50</v>
      </c>
      <c r="B14" s="1">
        <v>19</v>
      </c>
      <c r="C14" s="7">
        <v>-3.3228977675766179E-2</v>
      </c>
      <c r="D14" s="7">
        <v>-0.14164364875262561</v>
      </c>
      <c r="E14" s="7">
        <v>-4.7920746013269233E-2</v>
      </c>
      <c r="F14" s="7">
        <v>6.0341904906032563E-2</v>
      </c>
      <c r="G14" s="7">
        <v>-5.3656630442780677E-2</v>
      </c>
      <c r="H14" s="7">
        <v>-1.1508260862123591E-2</v>
      </c>
      <c r="I14" s="7">
        <v>-3.0100135286935441E-2</v>
      </c>
      <c r="J14" s="7">
        <v>-4.5231574032403382E-2</v>
      </c>
      <c r="K14" s="7">
        <v>-5.0827466260847963E-2</v>
      </c>
      <c r="L14" s="7">
        <v>5.6271084976235522E-2</v>
      </c>
      <c r="M14" s="7">
        <v>1.902171446498398E-2</v>
      </c>
      <c r="N14" s="7">
        <v>-5.7369426657022049E-2</v>
      </c>
      <c r="O14" s="7">
        <v>1.4944079385485289E-3</v>
      </c>
      <c r="P14" s="7">
        <v>6.5414209581504002E-3</v>
      </c>
      <c r="Q14" s="7">
        <v>-7.9297657581564457E-2</v>
      </c>
      <c r="R14" s="7">
        <v>1.776230862917853E-2</v>
      </c>
      <c r="S14" s="7">
        <v>-2.480674609276777E-2</v>
      </c>
      <c r="T14" s="7">
        <v>-3.5019554834400057E-2</v>
      </c>
      <c r="U14" s="7">
        <v>3.0556169330400691E-2</v>
      </c>
      <c r="V14" s="7">
        <v>-5.2421300158885083E-2</v>
      </c>
      <c r="W14" s="7">
        <v>-4.779500273352006E-2</v>
      </c>
      <c r="X14" s="7">
        <v>0.1866856956103469</v>
      </c>
      <c r="Y14" s="7">
        <v>5.5190991412221717E-2</v>
      </c>
      <c r="Z14" s="7">
        <v>-0.1167040316714288</v>
      </c>
      <c r="AA14" s="7">
        <v>-9.9905879497324754E-2</v>
      </c>
      <c r="AB14" s="7">
        <v>2.7335978605554132E-2</v>
      </c>
      <c r="AC14" s="7">
        <v>-3.086562338789272E-3</v>
      </c>
      <c r="AD14" s="7">
        <v>-6.9874591735142114E-2</v>
      </c>
      <c r="AE14" s="7">
        <v>-0.1064120722476776</v>
      </c>
      <c r="AF14" s="7">
        <v>-9.6080095456633624E-2</v>
      </c>
      <c r="AG14" s="7">
        <v>-2.5329295010953049E-2</v>
      </c>
      <c r="AH14" s="7">
        <v>-8.0952184423801643E-2</v>
      </c>
      <c r="AI14" s="7">
        <v>-3.5462643898611923E-2</v>
      </c>
      <c r="AJ14" s="7">
        <v>-2.4505575101084909E-2</v>
      </c>
      <c r="AK14" s="7">
        <v>7.7475339022454029E-2</v>
      </c>
      <c r="AL14" s="7">
        <v>-5.1230182968129499E-2</v>
      </c>
      <c r="AM14" s="7">
        <v>4.2463855937373812E-2</v>
      </c>
      <c r="AN14" s="7">
        <v>-1.9132523225286621E-2</v>
      </c>
      <c r="AO14" s="7">
        <v>-3.804435254206133E-2</v>
      </c>
      <c r="AP14" s="7">
        <v>8.3517816301222261E-3</v>
      </c>
      <c r="AQ14" s="7">
        <v>2.973338049727765E-2</v>
      </c>
      <c r="AR14" s="7">
        <v>7.5826916674388654E-3</v>
      </c>
      <c r="AS14" s="7">
        <v>6.6693383896894304E-3</v>
      </c>
      <c r="AT14" s="7">
        <v>-7.9403479710638047E-2</v>
      </c>
      <c r="AU14" s="7">
        <v>-5.7421613114133872E-2</v>
      </c>
      <c r="AV14" s="7">
        <v>-6.6258749216258558E-2</v>
      </c>
      <c r="AW14" s="7">
        <v>-5.3928681229427317E-2</v>
      </c>
      <c r="AX14" s="7">
        <v>-1.9370213375490559E-2</v>
      </c>
      <c r="AY14" s="7">
        <v>-1.6905718250070641E-3</v>
      </c>
      <c r="AZ14" s="7">
        <v>-6.107058048123927E-2</v>
      </c>
      <c r="BA14" s="7">
        <v>-6.6889831562848612E-2</v>
      </c>
      <c r="BB14" s="7">
        <v>0.1103112489011205</v>
      </c>
      <c r="BC14" s="7">
        <v>-2.8505683499306111E-2</v>
      </c>
      <c r="BD14" s="7">
        <v>5.4089652686273221E-2</v>
      </c>
      <c r="BE14" s="7">
        <v>-7.0081770149328954E-2</v>
      </c>
      <c r="BF14" s="7">
        <v>4.0770521545689782E-2</v>
      </c>
      <c r="BG14" s="7">
        <v>4.1374264073932777E-2</v>
      </c>
      <c r="BH14" s="7">
        <v>-9.3750084239722239E-2</v>
      </c>
      <c r="BI14" s="7">
        <v>-4.1031067933231892E-2</v>
      </c>
      <c r="BJ14" s="7">
        <v>-6.8604195602302687E-2</v>
      </c>
      <c r="BK14" s="7">
        <v>-3.3691419870768569E-2</v>
      </c>
      <c r="BL14" s="7">
        <v>-5.9996895527440267E-2</v>
      </c>
      <c r="BM14" s="7">
        <v>-4.6278325003000387E-2</v>
      </c>
      <c r="BN14" s="7">
        <v>-2.6087960275579629E-2</v>
      </c>
      <c r="BO14" s="7">
        <v>-1.3238241054867209E-2</v>
      </c>
      <c r="BP14" s="7">
        <v>5.0332283327745371E-2</v>
      </c>
      <c r="BQ14" s="7">
        <v>5.0884482194080573E-2</v>
      </c>
      <c r="BR14" s="7">
        <v>-0.10005242307538641</v>
      </c>
      <c r="BS14" s="7">
        <v>-3.033272398677064E-2</v>
      </c>
      <c r="BT14" s="7">
        <v>-3.0726476125764419E-2</v>
      </c>
      <c r="BU14" s="7">
        <v>-8.8548353580308568E-3</v>
      </c>
      <c r="BV14" s="7">
        <v>0.10798163319999469</v>
      </c>
      <c r="BW14" s="7">
        <v>0.13089750855718521</v>
      </c>
      <c r="BX14" s="7">
        <v>-1.4335295277300691E-2</v>
      </c>
      <c r="BY14" s="7">
        <v>-4.2604489653349287E-2</v>
      </c>
      <c r="BZ14" s="7">
        <v>-9.3374678248999574E-2</v>
      </c>
      <c r="CA14" s="7">
        <v>9.6516324581383234E-2</v>
      </c>
      <c r="CB14" s="7">
        <v>-5.9477060293539823E-2</v>
      </c>
      <c r="CC14" s="7">
        <v>-1.2794080785178611E-2</v>
      </c>
      <c r="CD14" s="7">
        <v>9.8016709932197757E-2</v>
      </c>
      <c r="CE14" s="7">
        <v>-0.1143531086270947</v>
      </c>
      <c r="CF14" s="7">
        <v>4.2877410075316917E-2</v>
      </c>
      <c r="CG14" s="7">
        <v>-5.7320663667820577E-2</v>
      </c>
      <c r="CH14" s="7">
        <v>4.8879670456065782E-2</v>
      </c>
      <c r="CI14" s="7">
        <v>1.470161201144274E-2</v>
      </c>
      <c r="CJ14" s="7">
        <v>-1.7796116349141359E-2</v>
      </c>
      <c r="CK14" s="7">
        <v>-5.3792086513992962E-2</v>
      </c>
      <c r="CL14" s="7">
        <v>-0.13734357045347451</v>
      </c>
      <c r="CM14" s="7">
        <v>-5.0971068777473094E-3</v>
      </c>
      <c r="CN14" s="7">
        <v>0.17459567468505729</v>
      </c>
      <c r="CO14" s="7">
        <v>-7.8763758718324112E-2</v>
      </c>
      <c r="CP14" s="7">
        <v>9.3659357741041893E-2</v>
      </c>
      <c r="CQ14" s="7">
        <v>3.2227899887387702E-2</v>
      </c>
      <c r="CR14" s="7">
        <v>6.2640655376448015E-2</v>
      </c>
      <c r="CS14" s="7">
        <v>4.4126335332496502E-3</v>
      </c>
      <c r="CT14" s="7">
        <v>9.6618862820552417E-3</v>
      </c>
      <c r="CU14" s="7">
        <v>0.1015449999567145</v>
      </c>
      <c r="CV14" s="7">
        <v>-0.1513968411576333</v>
      </c>
      <c r="CW14" s="7">
        <v>-3.3983824634707719E-3</v>
      </c>
      <c r="CX14" s="7">
        <v>-9.0639227349923676E-2</v>
      </c>
      <c r="CY14" s="7">
        <v>9.6361130127283909E-2</v>
      </c>
      <c r="CZ14" s="7">
        <v>1.030139965842336E-2</v>
      </c>
      <c r="DA14" s="7">
        <v>-2.4304289170584491E-2</v>
      </c>
      <c r="DB14" s="7">
        <v>-9.0239013556801195E-2</v>
      </c>
      <c r="DC14" s="7">
        <v>4.2998541980200089E-2</v>
      </c>
      <c r="DD14" s="7">
        <v>-7.920535184818453E-2</v>
      </c>
      <c r="DE14" s="7">
        <v>6.2526924006459011E-2</v>
      </c>
      <c r="DF14" s="7">
        <v>0.20156283946711201</v>
      </c>
      <c r="DG14" s="7">
        <v>8.7324805758533047E-2</v>
      </c>
      <c r="DH14" s="7">
        <v>-8.4132403676702716E-3</v>
      </c>
      <c r="DI14" s="7">
        <v>-4.0659134635571623E-2</v>
      </c>
      <c r="DJ14" s="7">
        <v>8.7940293873207658E-3</v>
      </c>
      <c r="DK14" s="7">
        <v>7.7413284290136219E-2</v>
      </c>
      <c r="DL14" s="7">
        <v>-4.0754871831899041E-2</v>
      </c>
      <c r="DM14" s="7">
        <v>-3.2421916741778967E-2</v>
      </c>
      <c r="DN14" s="7">
        <v>4.4935740608495638E-2</v>
      </c>
      <c r="DO14" s="7">
        <v>-7.0288548944531612E-2</v>
      </c>
      <c r="DP14" s="7">
        <v>-6.2914808070300282E-2</v>
      </c>
      <c r="DQ14" s="7">
        <v>7.1172564581132955E-2</v>
      </c>
      <c r="DR14" s="7">
        <v>5.2622519458999567E-2</v>
      </c>
      <c r="DS14" s="7">
        <v>-8.9437754388967186E-2</v>
      </c>
      <c r="DT14" s="7">
        <v>7.7542903390828534E-3</v>
      </c>
      <c r="DU14" s="7">
        <v>0.11891758656757311</v>
      </c>
      <c r="DV14" s="7">
        <v>-4.5153223904483022E-2</v>
      </c>
      <c r="DW14" s="7">
        <v>3.1091969408043079E-2</v>
      </c>
      <c r="DX14" s="7">
        <v>2.7689697360398641E-2</v>
      </c>
      <c r="DY14" s="7">
        <v>-4.7660986602341179E-2</v>
      </c>
      <c r="DZ14" s="7">
        <v>2.1697589256116791E-2</v>
      </c>
      <c r="EA14" s="7">
        <v>6.2912684572741601E-2</v>
      </c>
      <c r="EB14" s="7">
        <v>7.8179830700263173E-2</v>
      </c>
      <c r="EC14" s="7">
        <v>6.0793821481329897E-3</v>
      </c>
      <c r="ED14" s="7">
        <v>-0.102629709186187</v>
      </c>
      <c r="EE14" s="7">
        <v>-4.2505739301358231E-2</v>
      </c>
      <c r="EF14" s="8">
        <v>-8.4951384476466593E-2</v>
      </c>
    </row>
    <row r="15" spans="1:137" x14ac:dyDescent="0.3">
      <c r="A15" s="1">
        <v>100</v>
      </c>
      <c r="B15" s="1">
        <v>10</v>
      </c>
      <c r="C15" s="7">
        <v>-3.6350225217569622E-2</v>
      </c>
      <c r="D15" s="7">
        <v>-0.27303487269562599</v>
      </c>
      <c r="E15" s="7">
        <v>-9.5344605470970442E-2</v>
      </c>
      <c r="F15" s="7">
        <v>-3.4921436556697362E-2</v>
      </c>
      <c r="G15" s="7">
        <v>-3.4403920967036511E-2</v>
      </c>
      <c r="H15" s="7">
        <v>-1.2437260581051001E-3</v>
      </c>
      <c r="I15" s="7">
        <v>-7.929309065310064E-2</v>
      </c>
      <c r="J15" s="7">
        <v>-6.212120974997206E-2</v>
      </c>
      <c r="K15" s="7">
        <v>-9.4514797591930877E-2</v>
      </c>
      <c r="L15" s="7">
        <v>8.1171060568646272E-2</v>
      </c>
      <c r="M15" s="7">
        <v>2.1330164362876949E-3</v>
      </c>
      <c r="N15" s="7">
        <v>-0.10979619442513371</v>
      </c>
      <c r="O15" s="7">
        <v>-1.227079575915271E-2</v>
      </c>
      <c r="P15" s="7">
        <v>2.1896569845224052E-2</v>
      </c>
      <c r="Q15" s="7">
        <v>-4.5898731445931602E-2</v>
      </c>
      <c r="R15" s="7">
        <v>0.12669105870981379</v>
      </c>
      <c r="S15" s="7">
        <v>8.5487890205940886E-2</v>
      </c>
      <c r="T15" s="7">
        <v>-4.589107711718423E-2</v>
      </c>
      <c r="U15" s="7">
        <v>7.8199390437812863E-2</v>
      </c>
      <c r="V15" s="7">
        <v>-0.1101270063308359</v>
      </c>
      <c r="W15" s="7">
        <v>-5.0671424244990583E-2</v>
      </c>
      <c r="X15" s="7">
        <v>0.2111863273303817</v>
      </c>
      <c r="Y15" s="7">
        <v>5.202879805714216E-2</v>
      </c>
      <c r="Z15" s="7">
        <v>-6.2704119328443941E-2</v>
      </c>
      <c r="AA15" s="7">
        <v>-0.16085038421306441</v>
      </c>
      <c r="AB15" s="7">
        <v>2.2166400740933071E-2</v>
      </c>
      <c r="AC15" s="7">
        <v>4.3176688480551298E-3</v>
      </c>
      <c r="AD15" s="7">
        <v>-8.171337488818238E-2</v>
      </c>
      <c r="AE15" s="7">
        <v>-9.7797684008951086E-2</v>
      </c>
      <c r="AF15" s="7">
        <v>-0.13772628717765439</v>
      </c>
      <c r="AG15" s="7">
        <v>-4.4324544215075819E-2</v>
      </c>
      <c r="AH15" s="7">
        <v>-0.13296736500972281</v>
      </c>
      <c r="AI15" s="7">
        <v>-2.4849257132530979E-2</v>
      </c>
      <c r="AJ15" s="7">
        <v>-3.3717922119173148E-2</v>
      </c>
      <c r="AK15" s="7">
        <v>6.9361451191916404E-2</v>
      </c>
      <c r="AL15" s="7">
        <v>-3.2360173796661423E-2</v>
      </c>
      <c r="AM15" s="7">
        <v>6.863120708961859E-2</v>
      </c>
      <c r="AN15" s="7">
        <v>-3.5500460265201823E-2</v>
      </c>
      <c r="AO15" s="7">
        <v>-5.1384520239967417E-2</v>
      </c>
      <c r="AP15" s="7">
        <v>9.0555375037428207E-2</v>
      </c>
      <c r="AQ15" s="7">
        <v>3.6453319420235192E-2</v>
      </c>
      <c r="AR15" s="7">
        <v>1.773382575923934E-2</v>
      </c>
      <c r="AS15" s="7">
        <v>4.8733221354101797E-2</v>
      </c>
      <c r="AT15" s="7">
        <v>-7.098981260370496E-2</v>
      </c>
      <c r="AU15" s="7">
        <v>-7.7174077249961781E-2</v>
      </c>
      <c r="AV15" s="7">
        <v>-3.7297928699110451E-2</v>
      </c>
      <c r="AW15" s="7">
        <v>-9.1727472793350737E-2</v>
      </c>
      <c r="AX15" s="7">
        <v>-8.1360565954768135E-2</v>
      </c>
      <c r="AY15" s="7">
        <v>-2.9005659300491791E-2</v>
      </c>
      <c r="AZ15" s="7">
        <v>-6.7846329118650434E-2</v>
      </c>
      <c r="BA15" s="7">
        <v>1.5151738493797209E-2</v>
      </c>
      <c r="BB15" s="7">
        <v>0.1977131495043408</v>
      </c>
      <c r="BC15" s="7">
        <v>-3.0936691622350049E-2</v>
      </c>
      <c r="BD15" s="7">
        <v>9.6474811402217191E-3</v>
      </c>
      <c r="BE15" s="7">
        <v>-4.1397970696908107E-2</v>
      </c>
      <c r="BF15" s="7">
        <v>4.7662979456752137E-2</v>
      </c>
      <c r="BG15" s="7">
        <v>2.489538734565238E-3</v>
      </c>
      <c r="BH15" s="7">
        <v>-5.4709226157740029E-2</v>
      </c>
      <c r="BI15" s="7">
        <v>-2.115911440673959E-2</v>
      </c>
      <c r="BJ15" s="7">
        <v>-0.13011025503616941</v>
      </c>
      <c r="BK15" s="7">
        <v>4.5604932300413459E-2</v>
      </c>
      <c r="BL15" s="7">
        <v>-5.9755420974320878E-2</v>
      </c>
      <c r="BM15" s="7">
        <v>-4.8219004487744091E-2</v>
      </c>
      <c r="BN15" s="7">
        <v>-6.3720727411011702E-2</v>
      </c>
      <c r="BO15" s="7">
        <v>6.9555614014369105E-2</v>
      </c>
      <c r="BP15" s="7">
        <v>5.1616854472064641E-2</v>
      </c>
      <c r="BQ15" s="7">
        <v>4.3431253492895713E-2</v>
      </c>
      <c r="BR15" s="7">
        <v>-0.1237621364364551</v>
      </c>
      <c r="BS15" s="7">
        <v>-1.1865910908611719E-2</v>
      </c>
      <c r="BT15" s="7">
        <v>-5.9850936091850722E-2</v>
      </c>
      <c r="BU15" s="7">
        <v>1.9476419795793471E-2</v>
      </c>
      <c r="BV15" s="7">
        <v>0.1046400442936901</v>
      </c>
      <c r="BW15" s="7">
        <v>0.29887898957592779</v>
      </c>
      <c r="BX15" s="7">
        <v>-5.385156894446378E-2</v>
      </c>
      <c r="BY15" s="7">
        <v>-0.12602357357708691</v>
      </c>
      <c r="BZ15" s="7">
        <v>-0.2047200181996052</v>
      </c>
      <c r="CA15" s="7">
        <v>9.2920533808793823E-2</v>
      </c>
      <c r="CB15" s="7">
        <v>-9.268410552323747E-2</v>
      </c>
      <c r="CC15" s="7">
        <v>-0.15231826505416149</v>
      </c>
      <c r="CD15" s="7">
        <v>0.1201520839630844</v>
      </c>
      <c r="CE15" s="7">
        <v>-9.7490745145434682E-2</v>
      </c>
      <c r="CF15" s="7">
        <v>4.1349429867967538E-2</v>
      </c>
      <c r="CG15" s="7">
        <v>-8.5886021530163809E-2</v>
      </c>
      <c r="CH15" s="7">
        <v>8.1342607983328249E-2</v>
      </c>
      <c r="CI15" s="7">
        <v>-2.5109387803323689E-3</v>
      </c>
      <c r="CJ15" s="7">
        <v>-4.0671716947061162E-2</v>
      </c>
      <c r="CK15" s="7">
        <v>-9.5640748172705348E-2</v>
      </c>
      <c r="CL15" s="7">
        <v>-0.16165447304317659</v>
      </c>
      <c r="CM15" s="7">
        <v>-4.6626535792598657E-2</v>
      </c>
      <c r="CN15" s="7">
        <v>0.14314981697124041</v>
      </c>
      <c r="CO15" s="7">
        <v>-0.1069792441995681</v>
      </c>
      <c r="CP15" s="7">
        <v>0.13009874767373969</v>
      </c>
      <c r="CQ15" s="7">
        <v>-2.49633604564388E-2</v>
      </c>
      <c r="CR15" s="7">
        <v>2.4374318697755349E-2</v>
      </c>
      <c r="CS15" s="7">
        <v>-6.4830510990456294E-3</v>
      </c>
      <c r="CT15" s="7">
        <v>-4.9416703656119249E-3</v>
      </c>
      <c r="CU15" s="7">
        <v>0.12404993141386809</v>
      </c>
      <c r="CV15" s="7">
        <v>-0.18261154771691629</v>
      </c>
      <c r="CW15" s="7">
        <v>-1.248466018044017E-2</v>
      </c>
      <c r="CX15" s="7">
        <v>-0.15238777889156799</v>
      </c>
      <c r="CY15" s="7">
        <v>9.2947904335357948E-2</v>
      </c>
      <c r="CZ15" s="7">
        <v>2.3763335140482119E-2</v>
      </c>
      <c r="DA15" s="7">
        <v>-2.6375835441876511E-2</v>
      </c>
      <c r="DB15" s="7">
        <v>-0.20966340207921569</v>
      </c>
      <c r="DC15" s="7">
        <v>6.7692431945125919E-2</v>
      </c>
      <c r="DD15" s="7">
        <v>-1.450672613144627E-2</v>
      </c>
      <c r="DE15" s="7">
        <v>5.7163634731252508E-2</v>
      </c>
      <c r="DF15" s="7">
        <v>0.30272044964278222</v>
      </c>
      <c r="DG15" s="7">
        <v>0.11309156284035971</v>
      </c>
      <c r="DH15" s="7">
        <v>9.3841476708658028E-4</v>
      </c>
      <c r="DI15" s="7">
        <v>-5.4108318657130297E-2</v>
      </c>
      <c r="DJ15" s="7">
        <v>6.0023776691057282E-2</v>
      </c>
      <c r="DK15" s="7">
        <v>7.2188597805797533E-2</v>
      </c>
      <c r="DL15" s="7">
        <v>3.0399320282783332E-4</v>
      </c>
      <c r="DM15" s="7">
        <v>-3.9052116693665768E-2</v>
      </c>
      <c r="DN15" s="7">
        <v>8.1730712251129128E-2</v>
      </c>
      <c r="DO15" s="7">
        <v>-3.4104415749097068E-2</v>
      </c>
      <c r="DP15" s="7">
        <v>-0.1343049473653663</v>
      </c>
      <c r="DQ15" s="7">
        <v>3.7038688952197418E-2</v>
      </c>
      <c r="DR15" s="7">
        <v>7.0010566617938433E-2</v>
      </c>
      <c r="DS15" s="7">
        <v>-9.5715424587646258E-3</v>
      </c>
      <c r="DT15" s="7">
        <v>5.271878998906962E-2</v>
      </c>
      <c r="DU15" s="7">
        <v>0.18864064490238791</v>
      </c>
      <c r="DV15" s="7">
        <v>-4.6727729353239662E-2</v>
      </c>
      <c r="DW15" s="7">
        <v>5.0448236582947052E-2</v>
      </c>
      <c r="DX15" s="7">
        <v>2.1545670320480031E-2</v>
      </c>
      <c r="DY15" s="7">
        <v>8.3673634692538773E-2</v>
      </c>
      <c r="DZ15" s="7">
        <v>3.6596497763803963E-2</v>
      </c>
      <c r="EA15" s="7">
        <v>4.3451220280325303E-2</v>
      </c>
      <c r="EB15" s="7">
        <v>8.8087449527254891E-2</v>
      </c>
      <c r="EC15" s="7">
        <v>6.6081856047946447E-2</v>
      </c>
      <c r="ED15" s="7">
        <v>-0.1133570559353114</v>
      </c>
      <c r="EE15" s="7">
        <v>-4.9344179940159598E-2</v>
      </c>
      <c r="EF15" s="8">
        <v>-0.1596834391229664</v>
      </c>
    </row>
    <row r="16" spans="1:137" x14ac:dyDescent="0.3">
      <c r="A16" s="1">
        <v>107</v>
      </c>
      <c r="B16" s="1">
        <v>9</v>
      </c>
      <c r="C16" s="7">
        <v>-3.9435389831589431E-2</v>
      </c>
      <c r="D16" s="7">
        <v>-0.23433797695998909</v>
      </c>
      <c r="E16" s="7">
        <v>-8.6704171428553314E-2</v>
      </c>
      <c r="F16" s="7">
        <v>-7.871547190433098E-2</v>
      </c>
      <c r="G16" s="7">
        <v>-8.1465506589492725E-3</v>
      </c>
      <c r="H16" s="7">
        <v>-6.4934945682303775E-4</v>
      </c>
      <c r="I16" s="7">
        <v>-0.10921796333624501</v>
      </c>
      <c r="J16" s="7">
        <v>-7.3104639142384409E-2</v>
      </c>
      <c r="K16" s="7">
        <v>-8.642089158239058E-2</v>
      </c>
      <c r="L16" s="7">
        <v>8.5161604114211434E-2</v>
      </c>
      <c r="M16" s="7">
        <v>1.3987435861917089E-2</v>
      </c>
      <c r="N16" s="7">
        <v>-0.1202424982791967</v>
      </c>
      <c r="O16" s="7">
        <v>-2.8587076878979191E-2</v>
      </c>
      <c r="P16" s="7">
        <v>8.1881795143319731E-3</v>
      </c>
      <c r="Q16" s="7">
        <v>-8.1478643305993262E-2</v>
      </c>
      <c r="R16" s="7">
        <v>0.1031096938877092</v>
      </c>
      <c r="S16" s="7">
        <v>0.1098590443348066</v>
      </c>
      <c r="T16" s="7">
        <v>-3.8406673293611998E-2</v>
      </c>
      <c r="U16" s="7">
        <v>9.147193495076697E-2</v>
      </c>
      <c r="V16" s="7">
        <v>-7.5571486108906974E-2</v>
      </c>
      <c r="W16" s="7">
        <v>-0.1016313571311754</v>
      </c>
      <c r="X16" s="7">
        <v>0.24053196162716611</v>
      </c>
      <c r="Y16" s="7">
        <v>5.0278834461062571E-2</v>
      </c>
      <c r="Z16" s="7">
        <v>-4.3010058183760941E-2</v>
      </c>
      <c r="AA16" s="7">
        <v>-0.16615889129731709</v>
      </c>
      <c r="AB16" s="7">
        <v>3.2295414434067762E-2</v>
      </c>
      <c r="AC16" s="7">
        <v>-1.27654480354167E-2</v>
      </c>
      <c r="AD16" s="7">
        <v>-5.3136055547856789E-2</v>
      </c>
      <c r="AE16" s="7">
        <v>-9.6502360488605665E-2</v>
      </c>
      <c r="AF16" s="7">
        <v>-0.14791561026442651</v>
      </c>
      <c r="AG16" s="7">
        <v>-4.3776159735772403E-2</v>
      </c>
      <c r="AH16" s="7">
        <v>-0.1484016251671525</v>
      </c>
      <c r="AI16" s="7">
        <v>-3.3383255671647301E-2</v>
      </c>
      <c r="AJ16" s="7">
        <v>-4.812047853633028E-2</v>
      </c>
      <c r="AK16" s="7">
        <v>3.7433452981487869E-2</v>
      </c>
      <c r="AL16" s="7">
        <v>-5.4397026306529771E-3</v>
      </c>
      <c r="AM16" s="7">
        <v>5.2145732480091148E-2</v>
      </c>
      <c r="AN16" s="7">
        <v>-2.2032517942514079E-2</v>
      </c>
      <c r="AO16" s="7">
        <v>-4.1090153361741252E-2</v>
      </c>
      <c r="AP16" s="7">
        <v>9.4724682567194671E-2</v>
      </c>
      <c r="AQ16" s="7">
        <v>5.4497752943883322E-2</v>
      </c>
      <c r="AR16" s="7">
        <v>3.4371979060270931E-2</v>
      </c>
      <c r="AS16" s="7">
        <v>5.2642718238233757E-2</v>
      </c>
      <c r="AT16" s="7">
        <v>-0.1225640433502848</v>
      </c>
      <c r="AU16" s="7">
        <v>-8.2090271843001925E-2</v>
      </c>
      <c r="AV16" s="7">
        <v>-5.2080835436737513E-2</v>
      </c>
      <c r="AW16" s="7">
        <v>-0.10898493864152869</v>
      </c>
      <c r="AX16" s="7">
        <v>-0.1006213291014028</v>
      </c>
      <c r="AY16" s="7">
        <v>-1.9601853599139189E-2</v>
      </c>
      <c r="AZ16" s="7">
        <v>-8.8150181520572649E-2</v>
      </c>
      <c r="BA16" s="7">
        <v>-3.3911561984698517E-2</v>
      </c>
      <c r="BB16" s="7">
        <v>0.22547356307573951</v>
      </c>
      <c r="BC16" s="7">
        <v>-3.8999391922231702E-2</v>
      </c>
      <c r="BD16" s="7">
        <v>-1.6936217924359391E-2</v>
      </c>
      <c r="BE16" s="7">
        <v>-6.1197643926459287E-2</v>
      </c>
      <c r="BF16" s="7">
        <v>6.4268054319718215E-2</v>
      </c>
      <c r="BG16" s="7">
        <v>1.347328204795663E-2</v>
      </c>
      <c r="BH16" s="7">
        <v>-6.204002555156761E-2</v>
      </c>
      <c r="BI16" s="7">
        <v>-4.8989940432910987E-2</v>
      </c>
      <c r="BJ16" s="7">
        <v>-9.6566803525538036E-2</v>
      </c>
      <c r="BK16" s="7">
        <v>5.137162452601142E-2</v>
      </c>
      <c r="BL16" s="7">
        <v>-6.1173599484470167E-2</v>
      </c>
      <c r="BM16" s="7">
        <v>-3.9497985491106162E-2</v>
      </c>
      <c r="BN16" s="7">
        <v>-6.1304749909884763E-2</v>
      </c>
      <c r="BO16" s="7">
        <v>7.4216862157002059E-2</v>
      </c>
      <c r="BP16" s="7">
        <v>5.7750060680455823E-2</v>
      </c>
      <c r="BQ16" s="7">
        <v>2.3690718667247399E-2</v>
      </c>
      <c r="BR16" s="7">
        <v>-0.13058296822502161</v>
      </c>
      <c r="BS16" s="7">
        <v>-3.2006987192883168E-2</v>
      </c>
      <c r="BT16" s="7">
        <v>-4.6660882493518303E-2</v>
      </c>
      <c r="BU16" s="7">
        <v>5.7765110184800447E-2</v>
      </c>
      <c r="BV16" s="7">
        <v>3.658563792374666E-2</v>
      </c>
      <c r="BW16" s="7">
        <v>0.31797083453836722</v>
      </c>
      <c r="BX16" s="7">
        <v>-6.6559519118082902E-2</v>
      </c>
      <c r="BY16" s="7">
        <v>-0.13255840925737919</v>
      </c>
      <c r="BZ16" s="7">
        <v>-0.13158184889065511</v>
      </c>
      <c r="CA16" s="7">
        <v>0.13046988383823571</v>
      </c>
      <c r="CB16" s="7">
        <v>-0.1158655489891553</v>
      </c>
      <c r="CC16" s="7">
        <v>-0.15907251448393439</v>
      </c>
      <c r="CD16" s="7">
        <v>0.15507127162636181</v>
      </c>
      <c r="CE16" s="7">
        <v>-0.12131041340196019</v>
      </c>
      <c r="CF16" s="7">
        <v>5.280008433528089E-2</v>
      </c>
      <c r="CG16" s="7">
        <v>-6.1727878146666561E-2</v>
      </c>
      <c r="CH16" s="7">
        <v>5.0448724703996098E-2</v>
      </c>
      <c r="CI16" s="7">
        <v>-4.2406681121506702E-3</v>
      </c>
      <c r="CJ16" s="7">
        <v>-2.970338549376331E-2</v>
      </c>
      <c r="CK16" s="7">
        <v>-8.8422689781607638E-2</v>
      </c>
      <c r="CL16" s="7">
        <v>-0.19674043815921369</v>
      </c>
      <c r="CM16" s="7">
        <v>-6.9997267456522183E-3</v>
      </c>
      <c r="CN16" s="7">
        <v>0.16035991631652741</v>
      </c>
      <c r="CO16" s="7">
        <v>-0.13464020879390531</v>
      </c>
      <c r="CP16" s="7">
        <v>0.1111514502016443</v>
      </c>
      <c r="CQ16" s="7">
        <v>-2.0333779820360921E-2</v>
      </c>
      <c r="CR16" s="7">
        <v>2.5228656512159529E-2</v>
      </c>
      <c r="CS16" s="7">
        <v>-4.0852187594743329E-2</v>
      </c>
      <c r="CT16" s="7">
        <v>-2.5557377960834651E-2</v>
      </c>
      <c r="CU16" s="7">
        <v>0.1354717008642061</v>
      </c>
      <c r="CV16" s="7">
        <v>-0.17225152263848631</v>
      </c>
      <c r="CW16" s="7">
        <v>-9.1941595326216954E-3</v>
      </c>
      <c r="CX16" s="7">
        <v>-0.16226597530261619</v>
      </c>
      <c r="CY16" s="7">
        <v>8.1280637874214245E-2</v>
      </c>
      <c r="CZ16" s="7">
        <v>3.2724822242144208E-2</v>
      </c>
      <c r="DA16" s="7">
        <v>-2.9804793967235531E-2</v>
      </c>
      <c r="DB16" s="7">
        <v>-0.23166534590164389</v>
      </c>
      <c r="DC16" s="7">
        <v>8.3264051622984642E-2</v>
      </c>
      <c r="DD16" s="7">
        <v>-3.1743710487280023E-2</v>
      </c>
      <c r="DE16" s="7">
        <v>3.4552400358790022E-2</v>
      </c>
      <c r="DF16" s="7">
        <v>0.32557955091715263</v>
      </c>
      <c r="DG16" s="7">
        <v>0.12637191985047269</v>
      </c>
      <c r="DH16" s="7">
        <v>-3.9788319645553197E-3</v>
      </c>
      <c r="DI16" s="7">
        <v>-4.5399497901261208E-2</v>
      </c>
      <c r="DJ16" s="7">
        <v>7.0955052436885546E-2</v>
      </c>
      <c r="DK16" s="7">
        <v>5.7685769347259337E-2</v>
      </c>
      <c r="DL16" s="7">
        <v>2.187287424977424E-2</v>
      </c>
      <c r="DM16" s="7">
        <v>-1.8910374168543239E-2</v>
      </c>
      <c r="DN16" s="7">
        <v>0.1158867317449916</v>
      </c>
      <c r="DO16" s="7">
        <v>-4.656386647977797E-2</v>
      </c>
      <c r="DP16" s="7">
        <v>-0.16033399447581251</v>
      </c>
      <c r="DQ16" s="7">
        <v>4.7070156004531787E-2</v>
      </c>
      <c r="DR16" s="7">
        <v>5.5191251649515209E-2</v>
      </c>
      <c r="DS16" s="7">
        <v>1.042302437651493E-2</v>
      </c>
      <c r="DT16" s="7">
        <v>5.9112975078185963E-2</v>
      </c>
      <c r="DU16" s="7">
        <v>0.1901082424459184</v>
      </c>
      <c r="DV16" s="7">
        <v>-4.5728317172487008E-2</v>
      </c>
      <c r="DW16" s="7">
        <v>3.0139111989815032E-2</v>
      </c>
      <c r="DX16" s="7">
        <v>2.1947727776040898E-2</v>
      </c>
      <c r="DY16" s="7">
        <v>9.4984864221236961E-2</v>
      </c>
      <c r="DZ16" s="7">
        <v>1.264917158578936E-2</v>
      </c>
      <c r="EA16" s="7">
        <v>4.205152402439738E-4</v>
      </c>
      <c r="EB16" s="7">
        <v>0.1006791006772017</v>
      </c>
      <c r="EC16" s="7">
        <v>6.3532066634569728E-2</v>
      </c>
      <c r="ED16" s="7">
        <v>-0.1154167474989211</v>
      </c>
      <c r="EE16" s="7">
        <v>-5.9240996655185861E-2</v>
      </c>
      <c r="EF16" s="8">
        <v>-0.15799174927001061</v>
      </c>
    </row>
    <row r="17" spans="1:136" x14ac:dyDescent="0.3">
      <c r="A17" s="1">
        <v>120</v>
      </c>
      <c r="B17" s="1">
        <v>8</v>
      </c>
      <c r="C17" s="7">
        <v>-3.8913468982799751E-2</v>
      </c>
      <c r="D17" s="7">
        <v>-0.16854736185977429</v>
      </c>
      <c r="E17" s="7">
        <v>-9.6671109192610821E-2</v>
      </c>
      <c r="F17" s="7">
        <v>-8.0752164152319103E-2</v>
      </c>
      <c r="G17" s="7">
        <v>-0.10538707466373071</v>
      </c>
      <c r="H17" s="7">
        <v>7.9428568480016878E-3</v>
      </c>
      <c r="I17" s="7">
        <v>-0.11307752437344649</v>
      </c>
      <c r="J17" s="7">
        <v>-4.82869479607657E-2</v>
      </c>
      <c r="K17" s="7">
        <v>-0.1015600797223099</v>
      </c>
      <c r="L17" s="7">
        <v>4.2234791145342128E-2</v>
      </c>
      <c r="M17" s="7">
        <v>-1.4659142090288421E-2</v>
      </c>
      <c r="N17" s="7">
        <v>-0.1092778268298058</v>
      </c>
      <c r="O17" s="7">
        <v>-1.1306676064132231E-2</v>
      </c>
      <c r="P17" s="7">
        <v>1.338294674336832E-2</v>
      </c>
      <c r="Q17" s="7">
        <v>-0.10026682830356801</v>
      </c>
      <c r="R17" s="7">
        <v>0.13642644520024619</v>
      </c>
      <c r="S17" s="7">
        <v>0.1190543893253307</v>
      </c>
      <c r="T17" s="7">
        <v>-2.3342585510940761E-2</v>
      </c>
      <c r="U17" s="7">
        <v>6.2405901699897098E-2</v>
      </c>
      <c r="V17" s="7">
        <v>-9.7259655852603044E-2</v>
      </c>
      <c r="W17" s="7">
        <v>-0.1286672543576686</v>
      </c>
      <c r="X17" s="7">
        <v>0.2379894313203148</v>
      </c>
      <c r="Y17" s="7">
        <v>7.3623131490407626E-2</v>
      </c>
      <c r="Z17" s="7">
        <v>-4.832567357165625E-2</v>
      </c>
      <c r="AA17" s="7">
        <v>-0.19128343691540939</v>
      </c>
      <c r="AB17" s="7">
        <v>4.4538303269439639E-2</v>
      </c>
      <c r="AC17" s="7">
        <v>-2.008625473802152E-2</v>
      </c>
      <c r="AD17" s="7">
        <v>-4.9777375460754107E-2</v>
      </c>
      <c r="AE17" s="7">
        <v>-0.127158422447225</v>
      </c>
      <c r="AF17" s="7">
        <v>-0.1202863246558465</v>
      </c>
      <c r="AG17" s="7">
        <v>-6.2640141571138702E-2</v>
      </c>
      <c r="AH17" s="7">
        <v>-0.14702488925580459</v>
      </c>
      <c r="AI17" s="7">
        <v>-5.7037975655486538E-2</v>
      </c>
      <c r="AJ17" s="7">
        <v>-6.1612618608742321E-2</v>
      </c>
      <c r="AK17" s="7">
        <v>2.937588960957525E-2</v>
      </c>
      <c r="AL17" s="7">
        <v>-2.701818216868862E-2</v>
      </c>
      <c r="AM17" s="7">
        <v>9.3351710026530269E-2</v>
      </c>
      <c r="AN17" s="7">
        <v>6.4561353732883603E-3</v>
      </c>
      <c r="AO17" s="7">
        <v>-7.6694527622622979E-2</v>
      </c>
      <c r="AP17" s="7">
        <v>9.3417580080561446E-2</v>
      </c>
      <c r="AQ17" s="7">
        <v>6.1277252118221971E-2</v>
      </c>
      <c r="AR17" s="7">
        <v>4.5802625557302828E-2</v>
      </c>
      <c r="AS17" s="7">
        <v>5.8802956944234333E-2</v>
      </c>
      <c r="AT17" s="7">
        <v>-0.1270717931072517</v>
      </c>
      <c r="AU17" s="7">
        <v>-0.11569960953410489</v>
      </c>
      <c r="AV17" s="7">
        <v>-5.8529449334631382E-2</v>
      </c>
      <c r="AW17" s="7">
        <v>-7.6189610229816601E-2</v>
      </c>
      <c r="AX17" s="7">
        <v>-9.7619105117607935E-2</v>
      </c>
      <c r="AY17" s="7">
        <v>-1.547804570524644E-2</v>
      </c>
      <c r="AZ17" s="7">
        <v>-7.0494230916434586E-2</v>
      </c>
      <c r="BA17" s="7">
        <v>-3.8771615247690558E-2</v>
      </c>
      <c r="BB17" s="7">
        <v>0.2304420449478701</v>
      </c>
      <c r="BC17" s="7">
        <v>-2.729282438048998E-2</v>
      </c>
      <c r="BD17" s="7">
        <v>1.347482982462418E-2</v>
      </c>
      <c r="BE17" s="7">
        <v>-4.4110253344838493E-2</v>
      </c>
      <c r="BF17" s="7">
        <v>5.5197496608953713E-2</v>
      </c>
      <c r="BG17" s="7">
        <v>-3.5394236088037288E-2</v>
      </c>
      <c r="BH17" s="7">
        <v>-4.8737994244788217E-2</v>
      </c>
      <c r="BI17" s="7">
        <v>-8.073839955835159E-2</v>
      </c>
      <c r="BJ17" s="7">
        <v>-9.7868244368423979E-2</v>
      </c>
      <c r="BK17" s="7">
        <v>1.67513267503808E-2</v>
      </c>
      <c r="BL17" s="7">
        <v>-3.4152447324294427E-2</v>
      </c>
      <c r="BM17" s="7">
        <v>-2.905901115235426E-2</v>
      </c>
      <c r="BN17" s="7">
        <v>-5.3470180947152127E-2</v>
      </c>
      <c r="BO17" s="7">
        <v>8.5087297749688803E-2</v>
      </c>
      <c r="BP17" s="7">
        <v>6.0638146909917152E-2</v>
      </c>
      <c r="BQ17" s="7">
        <v>2.5601715515448219E-2</v>
      </c>
      <c r="BR17" s="7">
        <v>-0.1150223530257518</v>
      </c>
      <c r="BS17" s="7">
        <v>-2.0906018213695501E-2</v>
      </c>
      <c r="BT17" s="7">
        <v>-5.2650160261977733E-2</v>
      </c>
      <c r="BU17" s="7">
        <v>7.1127818750752414E-2</v>
      </c>
      <c r="BV17" s="7">
        <v>3.8240956502194168E-2</v>
      </c>
      <c r="BW17" s="7">
        <v>0.2083368255173885</v>
      </c>
      <c r="BX17" s="7">
        <v>-8.2640989537648424E-2</v>
      </c>
      <c r="BY17" s="7">
        <v>-0.14247737512646691</v>
      </c>
      <c r="BZ17" s="7">
        <v>-6.6857530609106181E-2</v>
      </c>
      <c r="CA17" s="7">
        <v>0.13087784777597389</v>
      </c>
      <c r="CB17" s="7">
        <v>-0.10916583702074401</v>
      </c>
      <c r="CC17" s="7">
        <v>-0.17495797398968091</v>
      </c>
      <c r="CD17" s="7">
        <v>0.17295974121914859</v>
      </c>
      <c r="CE17" s="7">
        <v>-0.1124945912954069</v>
      </c>
      <c r="CF17" s="7">
        <v>5.8238796594696537E-2</v>
      </c>
      <c r="CG17" s="7">
        <v>-7.4714988628731105E-2</v>
      </c>
      <c r="CH17" s="7">
        <v>3.296907217045305E-2</v>
      </c>
      <c r="CI17" s="7">
        <v>-3.7017833748845611E-3</v>
      </c>
      <c r="CJ17" s="7">
        <v>-2.0950827481348411E-2</v>
      </c>
      <c r="CK17" s="7">
        <v>-8.3955848259630761E-2</v>
      </c>
      <c r="CL17" s="7">
        <v>-0.13683909896473681</v>
      </c>
      <c r="CM17" s="7">
        <v>1.669972893353411E-3</v>
      </c>
      <c r="CN17" s="7">
        <v>0.1765312785813869</v>
      </c>
      <c r="CO17" s="7">
        <v>-0.13741287532952509</v>
      </c>
      <c r="CP17" s="7">
        <v>0.108221383508889</v>
      </c>
      <c r="CQ17" s="7">
        <v>5.1907103341726511E-2</v>
      </c>
      <c r="CR17" s="7">
        <v>2.3005829537998311E-2</v>
      </c>
      <c r="CS17" s="7">
        <v>-3.1345818395718227E-2</v>
      </c>
      <c r="CT17" s="7">
        <v>-1.7339280405090751E-2</v>
      </c>
      <c r="CU17" s="7">
        <v>0.15535189279975939</v>
      </c>
      <c r="CV17" s="7">
        <v>-0.15147138486135439</v>
      </c>
      <c r="CW17" s="7">
        <v>-1.976185390935294E-2</v>
      </c>
      <c r="CX17" s="7">
        <v>-0.1250098553997174</v>
      </c>
      <c r="CY17" s="7">
        <v>7.5608913409805675E-2</v>
      </c>
      <c r="CZ17" s="7">
        <v>3.1592684380340692E-2</v>
      </c>
      <c r="DA17" s="7">
        <v>-4.3895859145134192E-2</v>
      </c>
      <c r="DB17" s="7">
        <v>-0.22431697129508249</v>
      </c>
      <c r="DC17" s="7">
        <v>9.8849392549809512E-2</v>
      </c>
      <c r="DD17" s="7">
        <v>-2.9155420882880739E-2</v>
      </c>
      <c r="DE17" s="7">
        <v>2.4124863346722019E-2</v>
      </c>
      <c r="DF17" s="7">
        <v>0.35222555427147212</v>
      </c>
      <c r="DG17" s="7">
        <v>0.12321246613063939</v>
      </c>
      <c r="DH17" s="7">
        <v>-1.2653894662512769E-2</v>
      </c>
      <c r="DI17" s="7">
        <v>-3.5044536065945063E-2</v>
      </c>
      <c r="DJ17" s="7">
        <v>0.12892505978600949</v>
      </c>
      <c r="DK17" s="7">
        <v>6.8118111488885122E-2</v>
      </c>
      <c r="DL17" s="7">
        <v>3.929731691128693E-3</v>
      </c>
      <c r="DM17" s="7">
        <v>-3.7227475515992328E-2</v>
      </c>
      <c r="DN17" s="7">
        <v>0.1064799626072864</v>
      </c>
      <c r="DO17" s="7">
        <v>-6.5250544351453679E-2</v>
      </c>
      <c r="DP17" s="7">
        <v>-0.14203415825063481</v>
      </c>
      <c r="DQ17" s="7">
        <v>7.2654005106024863E-2</v>
      </c>
      <c r="DR17" s="7">
        <v>5.5884814876328279E-2</v>
      </c>
      <c r="DS17" s="7">
        <v>6.5055362314722226E-3</v>
      </c>
      <c r="DT17" s="7">
        <v>5.9811935234976271E-2</v>
      </c>
      <c r="DU17" s="7">
        <v>0.15955509947844379</v>
      </c>
      <c r="DV17" s="7">
        <v>-4.5148836149058763E-2</v>
      </c>
      <c r="DW17" s="7">
        <v>4.8235392969461138E-2</v>
      </c>
      <c r="DX17" s="7">
        <v>-2.3035180169188669E-2</v>
      </c>
      <c r="DY17" s="7">
        <v>0.12601053790105471</v>
      </c>
      <c r="DZ17" s="7">
        <v>-4.7910532459885732E-3</v>
      </c>
      <c r="EA17" s="7">
        <v>-4.6325242167246112E-3</v>
      </c>
      <c r="EB17" s="7">
        <v>0.1072853267537575</v>
      </c>
      <c r="EC17" s="7">
        <v>1.6425217216060651E-2</v>
      </c>
      <c r="ED17" s="7">
        <v>-0.12832444392891271</v>
      </c>
      <c r="EE17" s="7">
        <v>-6.4278699968889033E-2</v>
      </c>
      <c r="EF17" s="8">
        <v>-0.13981484782620349</v>
      </c>
    </row>
    <row r="18" spans="1:136" x14ac:dyDescent="0.3">
      <c r="A18" s="1">
        <v>137</v>
      </c>
      <c r="B18" s="1">
        <v>7</v>
      </c>
      <c r="C18" s="7">
        <v>-5.9146797802220617E-2</v>
      </c>
      <c r="D18" s="7">
        <v>-0.18401888940316621</v>
      </c>
      <c r="E18" s="7">
        <v>-0.10047562300309219</v>
      </c>
      <c r="F18" s="7">
        <v>-0.11938296010218979</v>
      </c>
      <c r="G18" s="7">
        <v>-0.10831637328507999</v>
      </c>
      <c r="H18" s="7">
        <v>8.6222277544443261E-3</v>
      </c>
      <c r="I18" s="7">
        <v>-0.1286265558355405</v>
      </c>
      <c r="J18" s="7">
        <v>-9.1173231687568024E-2</v>
      </c>
      <c r="K18" s="7">
        <v>-0.13564788877763229</v>
      </c>
      <c r="L18" s="7">
        <v>5.0758207106719029E-2</v>
      </c>
      <c r="M18" s="7">
        <v>-2.9051464376457319E-2</v>
      </c>
      <c r="N18" s="7">
        <v>-0.14120748849629611</v>
      </c>
      <c r="O18" s="7">
        <v>3.1737941097498189E-2</v>
      </c>
      <c r="P18" s="7">
        <v>8.3280858539089599E-3</v>
      </c>
      <c r="Q18" s="7">
        <v>-9.3059589912906207E-2</v>
      </c>
      <c r="R18" s="7">
        <v>0.1541891887340214</v>
      </c>
      <c r="S18" s="7">
        <v>0.14380522729889919</v>
      </c>
      <c r="T18" s="7">
        <v>-5.2309697550730873E-2</v>
      </c>
      <c r="U18" s="7">
        <v>5.5150343051564729E-2</v>
      </c>
      <c r="V18" s="7">
        <v>-0.1213914614259257</v>
      </c>
      <c r="W18" s="7">
        <v>-0.16613482926929909</v>
      </c>
      <c r="X18" s="7">
        <v>0.21512105739995169</v>
      </c>
      <c r="Y18" s="7">
        <v>0.1038792439088113</v>
      </c>
      <c r="Z18" s="7">
        <v>-5.1469725750839503E-2</v>
      </c>
      <c r="AA18" s="7">
        <v>-0.17257065753452869</v>
      </c>
      <c r="AB18" s="7">
        <v>6.2644805262660919E-2</v>
      </c>
      <c r="AC18" s="7">
        <v>1.3654204768322529E-3</v>
      </c>
      <c r="AD18" s="7">
        <v>-7.2443789088531399E-2</v>
      </c>
      <c r="AE18" s="7">
        <v>-0.1435292414290745</v>
      </c>
      <c r="AF18" s="7">
        <v>-0.1505436398240734</v>
      </c>
      <c r="AG18" s="7">
        <v>-8.1719979892753619E-2</v>
      </c>
      <c r="AH18" s="7">
        <v>-0.16306850482484961</v>
      </c>
      <c r="AI18" s="7">
        <v>-8.1423750051169697E-2</v>
      </c>
      <c r="AJ18" s="7">
        <v>-7.0867217661602505E-2</v>
      </c>
      <c r="AK18" s="7">
        <v>2.283288536199644E-2</v>
      </c>
      <c r="AL18" s="7">
        <v>-3.2812811779609451E-2</v>
      </c>
      <c r="AM18" s="7">
        <v>9.6053029136818027E-2</v>
      </c>
      <c r="AN18" s="7">
        <v>-2.7944177599378839E-3</v>
      </c>
      <c r="AO18" s="7">
        <v>2.4584280444806969E-2</v>
      </c>
      <c r="AP18" s="7">
        <v>9.5545792915504746E-2</v>
      </c>
      <c r="AQ18" s="7">
        <v>6.4154973663518397E-2</v>
      </c>
      <c r="AR18" s="7">
        <v>3.9002474062764268E-2</v>
      </c>
      <c r="AS18" s="7">
        <v>8.3253127889185943E-2</v>
      </c>
      <c r="AT18" s="7">
        <v>-0.16638580942405889</v>
      </c>
      <c r="AU18" s="7">
        <v>-0.13889821464621971</v>
      </c>
      <c r="AV18" s="7">
        <v>-6.0235664706469842E-2</v>
      </c>
      <c r="AW18" s="7">
        <v>-9.7766861821235188E-2</v>
      </c>
      <c r="AX18" s="7">
        <v>-0.12606433742612741</v>
      </c>
      <c r="AY18" s="7">
        <v>-3.0189358728490181E-2</v>
      </c>
      <c r="AZ18" s="7">
        <v>-5.1646327393508343E-2</v>
      </c>
      <c r="BA18" s="7">
        <v>-3.5302240006763339E-2</v>
      </c>
      <c r="BB18" s="7">
        <v>0.31745742566411261</v>
      </c>
      <c r="BC18" s="7">
        <v>2.7942050701969749E-2</v>
      </c>
      <c r="BD18" s="7">
        <v>3.857350279129606E-3</v>
      </c>
      <c r="BE18" s="7">
        <v>-9.117285285592254E-2</v>
      </c>
      <c r="BF18" s="7">
        <v>4.5884536299578838E-2</v>
      </c>
      <c r="BG18" s="7">
        <v>-1.680624122620418E-2</v>
      </c>
      <c r="BH18" s="7">
        <v>-6.2935383825294358E-2</v>
      </c>
      <c r="BI18" s="7">
        <v>-7.5991093740458621E-2</v>
      </c>
      <c r="BJ18" s="7">
        <v>-9.8533856685421792E-2</v>
      </c>
      <c r="BK18" s="7">
        <v>9.810839031169187E-4</v>
      </c>
      <c r="BL18" s="7">
        <v>-5.5787880861779937E-2</v>
      </c>
      <c r="BM18" s="7">
        <v>-2.8081356373095352E-2</v>
      </c>
      <c r="BN18" s="7">
        <v>-4.2191588804803559E-2</v>
      </c>
      <c r="BO18" s="7">
        <v>6.2169081467210827E-2</v>
      </c>
      <c r="BP18" s="7">
        <v>6.2463432036451667E-2</v>
      </c>
      <c r="BQ18" s="7">
        <v>8.6459690912229228E-2</v>
      </c>
      <c r="BR18" s="7">
        <v>-0.1209618178824758</v>
      </c>
      <c r="BS18" s="7">
        <v>-3.2873256576031823E-2</v>
      </c>
      <c r="BT18" s="7">
        <v>-6.1545322892704799E-2</v>
      </c>
      <c r="BU18" s="7">
        <v>8.0677444040040805E-2</v>
      </c>
      <c r="BV18" s="7">
        <v>3.96244261241478E-2</v>
      </c>
      <c r="BW18" s="7">
        <v>0.21837549913098869</v>
      </c>
      <c r="BX18" s="7">
        <v>-7.4580863414598103E-2</v>
      </c>
      <c r="BY18" s="7">
        <v>-8.7465268272101659E-2</v>
      </c>
      <c r="BZ18" s="7">
        <v>-3.5347652520937987E-2</v>
      </c>
      <c r="CA18" s="7">
        <v>0.1143259869520892</v>
      </c>
      <c r="CB18" s="7">
        <v>-9.7387282979409254E-2</v>
      </c>
      <c r="CC18" s="7">
        <v>-2.817344401940013E-2</v>
      </c>
      <c r="CD18" s="7">
        <v>0.19371681864683071</v>
      </c>
      <c r="CE18" s="7">
        <v>-0.13007558561724719</v>
      </c>
      <c r="CF18" s="7">
        <v>-4.3957743386608697E-2</v>
      </c>
      <c r="CG18" s="7">
        <v>-9.1609255563919342E-2</v>
      </c>
      <c r="CH18" s="7">
        <v>4.5365648959158789E-2</v>
      </c>
      <c r="CI18" s="7">
        <v>0.1150593108091785</v>
      </c>
      <c r="CJ18" s="7">
        <v>3.772366500397611E-3</v>
      </c>
      <c r="CK18" s="7">
        <v>-9.6058031665523097E-2</v>
      </c>
      <c r="CL18" s="7">
        <v>-0.15291394380948509</v>
      </c>
      <c r="CM18" s="7">
        <v>1.554875034200344E-2</v>
      </c>
      <c r="CN18" s="7">
        <v>0.1209431335415747</v>
      </c>
      <c r="CO18" s="7">
        <v>-0.1505975096222473</v>
      </c>
      <c r="CP18" s="7">
        <v>0.1162703198079334</v>
      </c>
      <c r="CQ18" s="7">
        <v>3.8242675594942703E-2</v>
      </c>
      <c r="CR18" s="7">
        <v>3.3743302271192592E-2</v>
      </c>
      <c r="CS18" s="7">
        <v>-5.7690648651415453E-2</v>
      </c>
      <c r="CT18" s="7">
        <v>1.6272494200008831E-2</v>
      </c>
      <c r="CU18" s="7">
        <v>0.14456482117613489</v>
      </c>
      <c r="CV18" s="7">
        <v>-0.1270222681330069</v>
      </c>
      <c r="CW18" s="7">
        <v>-8.4560855645258066E-3</v>
      </c>
      <c r="CX18" s="7">
        <v>-0.1530756896091533</v>
      </c>
      <c r="CY18" s="7">
        <v>9.3178383907907517E-2</v>
      </c>
      <c r="CZ18" s="7">
        <v>9.1459213412702536E-2</v>
      </c>
      <c r="DA18" s="7">
        <v>-4.7380939518693557E-2</v>
      </c>
      <c r="DB18" s="7">
        <v>-0.2223821125233825</v>
      </c>
      <c r="DC18" s="7">
        <v>8.2819707211162524E-2</v>
      </c>
      <c r="DD18" s="7">
        <v>-4.1014187319333921E-2</v>
      </c>
      <c r="DE18" s="7">
        <v>3.8420587486450893E-2</v>
      </c>
      <c r="DF18" s="7">
        <v>0.36669200961401482</v>
      </c>
      <c r="DG18" s="7">
        <v>0.11821709327359541</v>
      </c>
      <c r="DH18" s="7">
        <v>-1.305003261692848E-2</v>
      </c>
      <c r="DI18" s="7">
        <v>-1.8613248030418191E-2</v>
      </c>
      <c r="DJ18" s="7">
        <v>0.14619607609941229</v>
      </c>
      <c r="DK18" s="7">
        <v>5.7250589986626008E-2</v>
      </c>
      <c r="DL18" s="7">
        <v>3.830274067592157E-3</v>
      </c>
      <c r="DM18" s="7">
        <v>-5.250678742263995E-3</v>
      </c>
      <c r="DN18" s="7">
        <v>0.1251086832695307</v>
      </c>
      <c r="DO18" s="7">
        <v>-3.019901746158983E-2</v>
      </c>
      <c r="DP18" s="7">
        <v>-0.13348647227708049</v>
      </c>
      <c r="DQ18" s="7">
        <v>6.5749458183898837E-2</v>
      </c>
      <c r="DR18" s="7">
        <v>7.6840654771961045E-2</v>
      </c>
      <c r="DS18" s="7">
        <v>2.5385651257138282E-2</v>
      </c>
      <c r="DT18" s="7">
        <v>2.2601034841107401E-2</v>
      </c>
      <c r="DU18" s="7">
        <v>0.16258878442425009</v>
      </c>
      <c r="DV18" s="7">
        <v>-7.0527692506077544E-2</v>
      </c>
      <c r="DW18" s="7">
        <v>5.7977380330111863E-2</v>
      </c>
      <c r="DX18" s="7">
        <v>-6.8177293521735294E-2</v>
      </c>
      <c r="DY18" s="7">
        <v>0.16576310466200311</v>
      </c>
      <c r="DZ18" s="7">
        <v>-4.3227854869441883E-2</v>
      </c>
      <c r="EA18" s="7">
        <v>-4.7382972382447363E-3</v>
      </c>
      <c r="EB18" s="7">
        <v>0.1099643544501954</v>
      </c>
      <c r="EC18" s="7">
        <v>2.764115425371385E-3</v>
      </c>
      <c r="ED18" s="7">
        <v>-0.11047802186576559</v>
      </c>
      <c r="EE18" s="7">
        <v>-5.3015040315364213E-2</v>
      </c>
      <c r="EF18" s="8">
        <v>-0.15493610268974681</v>
      </c>
    </row>
    <row r="19" spans="1:136" x14ac:dyDescent="0.3">
      <c r="A19" s="1">
        <v>160</v>
      </c>
      <c r="B19" s="1">
        <v>6</v>
      </c>
      <c r="C19" s="7">
        <v>-7.386192988077088E-2</v>
      </c>
      <c r="D19" s="7">
        <v>-0.21954286838228931</v>
      </c>
      <c r="E19" s="7">
        <v>-0.1405836765913312</v>
      </c>
      <c r="F19" s="7">
        <v>-0.1776886618055605</v>
      </c>
      <c r="G19" s="7">
        <v>-9.6065971857177412E-2</v>
      </c>
      <c r="H19" s="7">
        <v>-1.2068788462484921E-2</v>
      </c>
      <c r="I19" s="7">
        <v>-0.13411217848757939</v>
      </c>
      <c r="J19" s="7">
        <v>-0.11143724417215239</v>
      </c>
      <c r="K19" s="7">
        <v>-0.23878941472391671</v>
      </c>
      <c r="L19" s="7">
        <v>2.032664964034506E-2</v>
      </c>
      <c r="M19" s="7">
        <v>4.3690236156307287E-2</v>
      </c>
      <c r="N19" s="7">
        <v>-0.15184358114798011</v>
      </c>
      <c r="O19" s="7">
        <v>3.1561874488915911E-2</v>
      </c>
      <c r="P19" s="7">
        <v>2.3513160824520051E-2</v>
      </c>
      <c r="Q19" s="7">
        <v>-8.1866112736540833E-2</v>
      </c>
      <c r="R19" s="7">
        <v>0.14558327280221009</v>
      </c>
      <c r="S19" s="7">
        <v>0.1226918763357415</v>
      </c>
      <c r="T19" s="7">
        <v>-5.1464717245309592E-2</v>
      </c>
      <c r="U19" s="7">
        <v>6.7250001618483032E-2</v>
      </c>
      <c r="V19" s="7">
        <v>-9.2688319725313148E-2</v>
      </c>
      <c r="W19" s="7">
        <v>-0.1747347633022315</v>
      </c>
      <c r="X19" s="7">
        <v>0.14939987335272731</v>
      </c>
      <c r="Y19" s="7">
        <v>0.10313023893043829</v>
      </c>
      <c r="Z19" s="7">
        <v>-5.7888725378699338E-2</v>
      </c>
      <c r="AA19" s="7">
        <v>-0.131832899481091</v>
      </c>
      <c r="AB19" s="7">
        <v>5.1718752810757287E-2</v>
      </c>
      <c r="AC19" s="7">
        <v>1.4141542708609799E-2</v>
      </c>
      <c r="AD19" s="7">
        <v>-2.399745726106059E-2</v>
      </c>
      <c r="AE19" s="7">
        <v>-0.1694160609977898</v>
      </c>
      <c r="AF19" s="7">
        <v>-0.1688305807080431</v>
      </c>
      <c r="AG19" s="7">
        <v>-4.1487103444311647E-2</v>
      </c>
      <c r="AH19" s="7">
        <v>-0.20415628716520959</v>
      </c>
      <c r="AI19" s="7">
        <v>-4.7766352759796363E-2</v>
      </c>
      <c r="AJ19" s="7">
        <v>-7.720270964457146E-2</v>
      </c>
      <c r="AK19" s="7">
        <v>4.0581523113162987E-2</v>
      </c>
      <c r="AL19" s="7">
        <v>-1.491460752979841E-2</v>
      </c>
      <c r="AM19" s="7">
        <v>6.112413105384671E-2</v>
      </c>
      <c r="AN19" s="7">
        <v>1.023954826971317E-2</v>
      </c>
      <c r="AO19" s="7">
        <v>5.5890126129114689E-2</v>
      </c>
      <c r="AP19" s="7">
        <v>0.1248282508070169</v>
      </c>
      <c r="AQ19" s="7">
        <v>4.2375665159203019E-2</v>
      </c>
      <c r="AR19" s="7">
        <v>-4.1144514895575801E-2</v>
      </c>
      <c r="AS19" s="7">
        <v>0.1091988760530663</v>
      </c>
      <c r="AT19" s="7">
        <v>-0.18459366381005801</v>
      </c>
      <c r="AU19" s="7">
        <v>-0.1530146264742607</v>
      </c>
      <c r="AV19" s="7">
        <v>3.0326096026080519E-3</v>
      </c>
      <c r="AW19" s="7">
        <v>-0.13669339712891271</v>
      </c>
      <c r="AX19" s="7">
        <v>-0.2241237953008561</v>
      </c>
      <c r="AY19" s="7">
        <v>-6.6273242712472244E-2</v>
      </c>
      <c r="AZ19" s="7">
        <v>-0.11561152836942371</v>
      </c>
      <c r="BA19" s="7">
        <v>-1.509016555835047E-3</v>
      </c>
      <c r="BB19" s="7">
        <v>0.36416093179321912</v>
      </c>
      <c r="BC19" s="7">
        <v>0.18457178940642721</v>
      </c>
      <c r="BD19" s="7">
        <v>-1.4320046775842719E-2</v>
      </c>
      <c r="BE19" s="7">
        <v>-8.948072176037114E-2</v>
      </c>
      <c r="BF19" s="7">
        <v>1.3570974149138619E-2</v>
      </c>
      <c r="BG19" s="7">
        <v>-1.6343658332842171E-2</v>
      </c>
      <c r="BH19" s="7">
        <v>-5.7134461326532562E-2</v>
      </c>
      <c r="BI19" s="7">
        <v>-0.1012842299592162</v>
      </c>
      <c r="BJ19" s="7">
        <v>-5.8912217172455733E-2</v>
      </c>
      <c r="BK19" s="7">
        <v>-6.9519036629441727E-2</v>
      </c>
      <c r="BL19" s="7">
        <v>-6.3164533747019302E-2</v>
      </c>
      <c r="BM19" s="7">
        <v>-3.1786264869145278E-2</v>
      </c>
      <c r="BN19" s="7">
        <v>-7.2185099722501103E-2</v>
      </c>
      <c r="BO19" s="7">
        <v>0.1055646786767309</v>
      </c>
      <c r="BP19" s="7">
        <v>1.2410341277600779E-2</v>
      </c>
      <c r="BQ19" s="7">
        <v>0.10965313493305689</v>
      </c>
      <c r="BR19" s="7">
        <v>-0.1368392355431455</v>
      </c>
      <c r="BS19" s="7">
        <v>3.4999319396389061E-3</v>
      </c>
      <c r="BT19" s="7">
        <v>-8.2323403677311308E-2</v>
      </c>
      <c r="BU19" s="7">
        <v>7.5936251234238056E-2</v>
      </c>
      <c r="BV19" s="7">
        <v>3.0350791965897218E-2</v>
      </c>
      <c r="BW19" s="7">
        <v>0.30745300680973342</v>
      </c>
      <c r="BX19" s="7">
        <v>-5.4830281560316878E-2</v>
      </c>
      <c r="BY19" s="7">
        <v>-7.9866927068945853E-2</v>
      </c>
      <c r="BZ19" s="7">
        <v>-3.4250281744717319E-3</v>
      </c>
      <c r="CA19" s="7">
        <v>5.6215143833243067E-2</v>
      </c>
      <c r="CB19" s="7">
        <v>-7.8976807618525546E-2</v>
      </c>
      <c r="CC19" s="7">
        <v>-2.4723252765827462E-2</v>
      </c>
      <c r="CD19" s="7">
        <v>0.21561919809371791</v>
      </c>
      <c r="CE19" s="7">
        <v>-0.11441435951313331</v>
      </c>
      <c r="CF19" s="7">
        <v>-7.9051524970814385E-2</v>
      </c>
      <c r="CG19" s="7">
        <v>-5.7117624866957151E-2</v>
      </c>
      <c r="CH19" s="7">
        <v>4.271504374273416E-2</v>
      </c>
      <c r="CI19" s="7">
        <v>0.11073420775370441</v>
      </c>
      <c r="CJ19" s="7">
        <v>1.1811922761994231E-2</v>
      </c>
      <c r="CK19" s="7">
        <v>-0.1187972629573345</v>
      </c>
      <c r="CL19" s="7">
        <v>-0.1153477816387375</v>
      </c>
      <c r="CM19" s="7">
        <v>7.558187099799421E-2</v>
      </c>
      <c r="CN19" s="7">
        <v>0.14319321046953429</v>
      </c>
      <c r="CO19" s="7">
        <v>-0.16614655777528059</v>
      </c>
      <c r="CP19" s="7">
        <v>0.13741472475783589</v>
      </c>
      <c r="CQ19" s="7">
        <v>3.2394607516418629E-2</v>
      </c>
      <c r="CR19" s="7">
        <v>2.4299202463726639E-2</v>
      </c>
      <c r="CS19" s="7">
        <v>-5.4250449548333517E-2</v>
      </c>
      <c r="CT19" s="7">
        <v>2.794063718499688E-2</v>
      </c>
      <c r="CU19" s="7">
        <v>0.146607543260939</v>
      </c>
      <c r="CV19" s="7">
        <v>-9.4553007971378916E-2</v>
      </c>
      <c r="CW19" s="7">
        <v>-2.190180778189859E-2</v>
      </c>
      <c r="CX19" s="7">
        <v>-0.1481502908045049</v>
      </c>
      <c r="CY19" s="7">
        <v>0.107892119457191</v>
      </c>
      <c r="CZ19" s="7">
        <v>5.7499263088511957E-2</v>
      </c>
      <c r="DA19" s="7">
        <v>-5.8223876703236761E-2</v>
      </c>
      <c r="DB19" s="7">
        <v>-0.28613845390130638</v>
      </c>
      <c r="DC19" s="7">
        <v>6.5587584737896831E-2</v>
      </c>
      <c r="DD19" s="7">
        <v>-6.2011252548289514E-3</v>
      </c>
      <c r="DE19" s="7">
        <v>3.3018414655792E-2</v>
      </c>
      <c r="DF19" s="7">
        <v>0.20550174559429629</v>
      </c>
      <c r="DG19" s="7">
        <v>0.12649079783752129</v>
      </c>
      <c r="DH19" s="7">
        <v>-4.3220605483251413E-2</v>
      </c>
      <c r="DI19" s="7">
        <v>-5.8647033011268501E-2</v>
      </c>
      <c r="DJ19" s="7">
        <v>0.16525046895907189</v>
      </c>
      <c r="DK19" s="7">
        <v>1.598428957466394E-2</v>
      </c>
      <c r="DL19" s="7">
        <v>1.198278590897381E-2</v>
      </c>
      <c r="DM19" s="7">
        <v>4.6097902485627673E-2</v>
      </c>
      <c r="DN19" s="7">
        <v>0.17392830172854831</v>
      </c>
      <c r="DO19" s="7">
        <v>-4.8705519860593828E-2</v>
      </c>
      <c r="DP19" s="7">
        <v>-0.17026813067996199</v>
      </c>
      <c r="DQ19" s="7">
        <v>8.0374171838075048E-2</v>
      </c>
      <c r="DR19" s="7">
        <v>7.5962353325048193E-2</v>
      </c>
      <c r="DS19" s="7">
        <v>4.4918963151879987E-2</v>
      </c>
      <c r="DT19" s="7">
        <v>5.0332465201051654E-3</v>
      </c>
      <c r="DU19" s="7">
        <v>0.1945194394629792</v>
      </c>
      <c r="DV19" s="7">
        <v>-7.1593386597402109E-2</v>
      </c>
      <c r="DW19" s="7">
        <v>5.6843988321460988E-2</v>
      </c>
      <c r="DX19" s="7">
        <v>-9.4614193357537776E-2</v>
      </c>
      <c r="DY19" s="7">
        <v>0.15211940960448689</v>
      </c>
      <c r="DZ19" s="7">
        <v>-7.9643568138435011E-2</v>
      </c>
      <c r="EA19" s="7">
        <v>3.2919727195015271E-2</v>
      </c>
      <c r="EB19" s="7">
        <v>0.1087535096382525</v>
      </c>
      <c r="EC19" s="7">
        <v>-1.2190043223702179E-2</v>
      </c>
      <c r="ED19" s="7">
        <v>-0.15093531699015689</v>
      </c>
      <c r="EE19" s="7">
        <v>-2.2815885843912861E-2</v>
      </c>
      <c r="EF19" s="8">
        <v>-0.16823693539735851</v>
      </c>
    </row>
    <row r="20" spans="1:136" x14ac:dyDescent="0.3">
      <c r="A20" s="1">
        <v>192</v>
      </c>
      <c r="B20" s="1">
        <v>5</v>
      </c>
      <c r="C20" s="7">
        <v>1.1241331728202891E-2</v>
      </c>
      <c r="D20" s="7">
        <v>-0.22258639368877581</v>
      </c>
      <c r="E20" s="7">
        <v>-0.1461249052642459</v>
      </c>
      <c r="F20" s="7">
        <v>-0.2055312643331742</v>
      </c>
      <c r="G20" s="7">
        <v>-0.1171831412889391</v>
      </c>
      <c r="H20" s="7">
        <v>1.158302607857771E-2</v>
      </c>
      <c r="I20" s="7">
        <v>-0.1858631754766964</v>
      </c>
      <c r="J20" s="7">
        <v>-0.1472881321566023</v>
      </c>
      <c r="K20" s="7">
        <v>-0.21472450376108179</v>
      </c>
      <c r="L20" s="7">
        <v>8.9997713411883729E-3</v>
      </c>
      <c r="M20" s="7">
        <v>7.7718228291273506E-2</v>
      </c>
      <c r="N20" s="7">
        <v>-0.16814358818954389</v>
      </c>
      <c r="O20" s="7">
        <v>4.9864886069274132E-2</v>
      </c>
      <c r="P20" s="7">
        <v>4.3138678888527522E-2</v>
      </c>
      <c r="Q20" s="7">
        <v>-0.10704532145072811</v>
      </c>
      <c r="R20" s="7">
        <v>0.19094246698951389</v>
      </c>
      <c r="S20" s="7">
        <v>8.2562610707287917E-2</v>
      </c>
      <c r="T20" s="7">
        <v>-8.5465455737815402E-2</v>
      </c>
      <c r="U20" s="7">
        <v>1.3720364707177321E-2</v>
      </c>
      <c r="V20" s="7">
        <v>-0.1035176032046175</v>
      </c>
      <c r="W20" s="7">
        <v>-0.22644366208310149</v>
      </c>
      <c r="X20" s="7">
        <v>0.21038641292278501</v>
      </c>
      <c r="Y20" s="7">
        <v>0.12896503888237379</v>
      </c>
      <c r="Z20" s="7">
        <v>-7.4027168257954579E-2</v>
      </c>
      <c r="AA20" s="7">
        <v>-0.13048336848064571</v>
      </c>
      <c r="AB20" s="7">
        <v>3.2898545320226208E-2</v>
      </c>
      <c r="AC20" s="7">
        <v>4.7248262727967477E-2</v>
      </c>
      <c r="AD20" s="7">
        <v>-2.698730357067794E-2</v>
      </c>
      <c r="AE20" s="7">
        <v>-0.1992928643390979</v>
      </c>
      <c r="AF20" s="7">
        <v>-0.22349781963637269</v>
      </c>
      <c r="AG20" s="7">
        <v>-3.216324888167648E-2</v>
      </c>
      <c r="AH20" s="7">
        <v>-0.21664245264836079</v>
      </c>
      <c r="AI20" s="7">
        <v>-8.3279353750723401E-2</v>
      </c>
      <c r="AJ20" s="7">
        <v>-6.0725684660784138E-2</v>
      </c>
      <c r="AK20" s="7">
        <v>8.2485150626129544E-3</v>
      </c>
      <c r="AL20" s="7">
        <v>-2.0780265108594719E-2</v>
      </c>
      <c r="AM20" s="7">
        <v>6.7529859788327179E-2</v>
      </c>
      <c r="AN20" s="7">
        <v>-3.4444518988845471E-2</v>
      </c>
      <c r="AO20" s="7">
        <v>4.9108294639399641E-2</v>
      </c>
      <c r="AP20" s="7">
        <v>0.13972025823966011</v>
      </c>
      <c r="AQ20" s="7">
        <v>3.3308231095544441E-2</v>
      </c>
      <c r="AR20" s="7">
        <v>-2.9738999850300981E-2</v>
      </c>
      <c r="AS20" s="7">
        <v>4.2291716448975919E-2</v>
      </c>
      <c r="AT20" s="7">
        <v>-0.23912374744507051</v>
      </c>
      <c r="AU20" s="7">
        <v>-0.14307264092716551</v>
      </c>
      <c r="AV20" s="7">
        <v>3.2246612786763357E-2</v>
      </c>
      <c r="AW20" s="7">
        <v>-0.2249978407783445</v>
      </c>
      <c r="AX20" s="7">
        <v>-0.20433921996054669</v>
      </c>
      <c r="AY20" s="7">
        <v>8.2057636017566535E-2</v>
      </c>
      <c r="AZ20" s="7">
        <v>-0.15627400770666389</v>
      </c>
      <c r="BA20" s="7">
        <v>-0.1020775703207792</v>
      </c>
      <c r="BB20" s="7">
        <v>0.3784467853093445</v>
      </c>
      <c r="BC20" s="7">
        <v>0.24014067499041369</v>
      </c>
      <c r="BD20" s="7">
        <v>-1.1308295386238161E-2</v>
      </c>
      <c r="BE20" s="7">
        <v>-9.8278374734355731E-2</v>
      </c>
      <c r="BF20" s="7">
        <v>5.6885823313286886E-3</v>
      </c>
      <c r="BG20" s="7">
        <v>-6.9261427086933884E-3</v>
      </c>
      <c r="BH20" s="7">
        <v>-5.1899277325599007E-2</v>
      </c>
      <c r="BI20" s="7">
        <v>-0.1142556657345235</v>
      </c>
      <c r="BJ20" s="7">
        <v>-4.9139783811273992E-2</v>
      </c>
      <c r="BK20" s="7">
        <v>-0.1025982841544454</v>
      </c>
      <c r="BL20" s="7">
        <v>-6.9859441937220601E-2</v>
      </c>
      <c r="BM20" s="7">
        <v>-4.7468551464188873E-2</v>
      </c>
      <c r="BN20" s="7">
        <v>-8.5664631441180417E-2</v>
      </c>
      <c r="BO20" s="7">
        <v>0.13121844038885841</v>
      </c>
      <c r="BP20" s="7">
        <v>-7.2822475063245764E-3</v>
      </c>
      <c r="BQ20" s="7">
        <v>0.1086002675592522</v>
      </c>
      <c r="BR20" s="7">
        <v>-0.18112708147166159</v>
      </c>
      <c r="BS20" s="7">
        <v>3.2536197724856143E-2</v>
      </c>
      <c r="BT20" s="7">
        <v>-9.6530501214455888E-2</v>
      </c>
      <c r="BU20" s="7">
        <v>9.8754949367706665E-2</v>
      </c>
      <c r="BV20" s="7">
        <v>-8.154344176059905E-2</v>
      </c>
      <c r="BW20" s="7">
        <v>0.35182955004840472</v>
      </c>
      <c r="BX20" s="7">
        <v>-5.7988018276030777E-2</v>
      </c>
      <c r="BY20" s="7">
        <v>-4.6393591496685094E-3</v>
      </c>
      <c r="BZ20" s="7">
        <v>-5.7200581216984223E-3</v>
      </c>
      <c r="CA20" s="7">
        <v>-2.4248534739425901E-2</v>
      </c>
      <c r="CB20" s="7">
        <v>1.077551010283638E-4</v>
      </c>
      <c r="CC20" s="7">
        <v>-2.6043033783065061E-2</v>
      </c>
      <c r="CD20" s="7">
        <v>0.1810274974905971</v>
      </c>
      <c r="CE20" s="7">
        <v>-0.1137684736196253</v>
      </c>
      <c r="CF20" s="7">
        <v>-0.1057848892760917</v>
      </c>
      <c r="CG20" s="7">
        <v>-7.597024074310807E-2</v>
      </c>
      <c r="CH20" s="7">
        <v>2.219522902413288E-2</v>
      </c>
      <c r="CI20" s="7">
        <v>8.5208202435075389E-2</v>
      </c>
      <c r="CJ20" s="7">
        <v>4.1509984783928693E-2</v>
      </c>
      <c r="CK20" s="7">
        <v>-8.0589623940621552E-2</v>
      </c>
      <c r="CL20" s="7">
        <v>-0.14931315063025169</v>
      </c>
      <c r="CM20" s="7">
        <v>7.9454727181336005E-2</v>
      </c>
      <c r="CN20" s="7">
        <v>0.20489183364110261</v>
      </c>
      <c r="CO20" s="7">
        <v>-0.22851820318154101</v>
      </c>
      <c r="CP20" s="7">
        <v>0.15666075519518291</v>
      </c>
      <c r="CQ20" s="7">
        <v>2.3118045300283038E-2</v>
      </c>
      <c r="CR20" s="7">
        <v>2.5362552774013961E-2</v>
      </c>
      <c r="CS20" s="7">
        <v>-9.7137098734322067E-2</v>
      </c>
      <c r="CT20" s="7">
        <v>1.807671077983496E-2</v>
      </c>
      <c r="CU20" s="7">
        <v>0.14672800907162681</v>
      </c>
      <c r="CV20" s="7">
        <v>-0.11921412821268471</v>
      </c>
      <c r="CW20" s="7">
        <v>9.9530629212826391E-3</v>
      </c>
      <c r="CX20" s="7">
        <v>-0.14515418799986671</v>
      </c>
      <c r="CY20" s="7">
        <v>0.1009666571118235</v>
      </c>
      <c r="CZ20" s="7">
        <v>1.306263386233056E-2</v>
      </c>
      <c r="DA20" s="7">
        <v>-4.7471893155177573E-2</v>
      </c>
      <c r="DB20" s="7">
        <v>-0.38248992026639161</v>
      </c>
      <c r="DC20" s="7">
        <v>3.7332311138400742E-2</v>
      </c>
      <c r="DD20" s="7">
        <v>-3.597184756950339E-3</v>
      </c>
      <c r="DE20" s="7">
        <v>1.0418721606852799E-2</v>
      </c>
      <c r="DF20" s="7">
        <v>0.24557420527758439</v>
      </c>
      <c r="DG20" s="7">
        <v>0.1240733079841211</v>
      </c>
      <c r="DH20" s="7">
        <v>-4.8058412185503073E-2</v>
      </c>
      <c r="DI20" s="7">
        <v>-7.4248335592093345E-2</v>
      </c>
      <c r="DJ20" s="7">
        <v>0.1365580924326974</v>
      </c>
      <c r="DK20" s="7">
        <v>2.0765658487994779E-2</v>
      </c>
      <c r="DL20" s="7">
        <v>1.9465373333619789E-2</v>
      </c>
      <c r="DM20" s="7">
        <v>-4.2864774108345972E-2</v>
      </c>
      <c r="DN20" s="7">
        <v>0.18323473362116879</v>
      </c>
      <c r="DO20" s="7">
        <v>-4.9820854676895968E-2</v>
      </c>
      <c r="DP20" s="7">
        <v>-0.20015543475438921</v>
      </c>
      <c r="DQ20" s="7">
        <v>5.7460181624700082E-2</v>
      </c>
      <c r="DR20" s="7">
        <v>7.8512660028290493E-2</v>
      </c>
      <c r="DS20" s="7">
        <v>-6.9792757898282515E-2</v>
      </c>
      <c r="DT20" s="7">
        <v>-2.968533879884255E-2</v>
      </c>
      <c r="DU20" s="7">
        <v>0.27264432784194559</v>
      </c>
      <c r="DV20" s="7">
        <v>-0.10204218118247529</v>
      </c>
      <c r="DW20" s="7">
        <v>6.2285391912211358E-2</v>
      </c>
      <c r="DX20" s="7">
        <v>-9.7851218204725254E-2</v>
      </c>
      <c r="DY20" s="7">
        <v>0.1874018300391932</v>
      </c>
      <c r="DZ20" s="7">
        <v>1.8115126512382701E-2</v>
      </c>
      <c r="EA20" s="7">
        <v>-5.9255992733342772E-3</v>
      </c>
      <c r="EB20" s="7">
        <v>8.2407142444419712E-2</v>
      </c>
      <c r="EC20" s="7">
        <v>3.4049581413941779E-2</v>
      </c>
      <c r="ED20" s="7">
        <v>-0.17691886106701021</v>
      </c>
      <c r="EE20" s="7">
        <v>-2.0017587297018819E-2</v>
      </c>
      <c r="EF20" s="8">
        <v>-0.2095417424669202</v>
      </c>
    </row>
    <row r="21" spans="1:136" x14ac:dyDescent="0.3">
      <c r="A21" s="1">
        <v>241</v>
      </c>
      <c r="B21" s="1">
        <v>4</v>
      </c>
      <c r="C21" s="7">
        <v>1.038483447742689E-2</v>
      </c>
      <c r="D21" s="7">
        <v>-0.32500828164220219</v>
      </c>
      <c r="E21" s="7">
        <v>-4.3717554879721017E-2</v>
      </c>
      <c r="F21" s="7">
        <v>-0.18403858160612999</v>
      </c>
      <c r="G21" s="7">
        <v>-0.14384215111256449</v>
      </c>
      <c r="H21" s="7">
        <v>-3.7844077028292407E-2</v>
      </c>
      <c r="I21" s="7">
        <v>-0.23932306217775401</v>
      </c>
      <c r="J21" s="7">
        <v>-9.0566639244446828E-2</v>
      </c>
      <c r="K21" s="7">
        <v>-0.2068800260033955</v>
      </c>
      <c r="L21" s="7">
        <v>5.7226166864944403E-2</v>
      </c>
      <c r="M21" s="7">
        <v>9.9684593408211258E-2</v>
      </c>
      <c r="N21" s="7">
        <v>-0.13905067586079981</v>
      </c>
      <c r="O21" s="7">
        <v>3.4351989460690638E-2</v>
      </c>
      <c r="P21" s="7">
        <v>3.9891722860102737E-2</v>
      </c>
      <c r="Q21" s="7">
        <v>-8.1195369015973365E-2</v>
      </c>
      <c r="R21" s="7">
        <v>0.14269209072332131</v>
      </c>
      <c r="S21" s="7">
        <v>0.2091594754749645</v>
      </c>
      <c r="T21" s="7">
        <v>-9.846167275679743E-2</v>
      </c>
      <c r="U21" s="7">
        <v>-8.0215735806459076E-2</v>
      </c>
      <c r="V21" s="7">
        <v>-0.10537077038935461</v>
      </c>
      <c r="W21" s="7">
        <v>-0.32292054868818693</v>
      </c>
      <c r="X21" s="7">
        <v>0.21363094220511639</v>
      </c>
      <c r="Y21" s="7">
        <v>9.2729223946204448E-2</v>
      </c>
      <c r="Z21" s="7">
        <v>-0.1093802011477636</v>
      </c>
      <c r="AA21" s="7">
        <v>-0.1106359070024788</v>
      </c>
      <c r="AB21" s="7">
        <v>2.1955943889134161E-2</v>
      </c>
      <c r="AC21" s="7">
        <v>1.882773670680014E-2</v>
      </c>
      <c r="AD21" s="7">
        <v>2.593327599743489E-2</v>
      </c>
      <c r="AE21" s="7">
        <v>-0.24045611049318669</v>
      </c>
      <c r="AF21" s="7">
        <v>-0.29514425808336342</v>
      </c>
      <c r="AG21" s="7">
        <v>-1.10465721064439E-2</v>
      </c>
      <c r="AH21" s="7">
        <v>-0.2403512556587668</v>
      </c>
      <c r="AI21" s="7">
        <v>-6.7729680595151026E-2</v>
      </c>
      <c r="AJ21" s="7">
        <v>-7.8941164011699164E-2</v>
      </c>
      <c r="AK21" s="7">
        <v>-1.8318368909312599E-2</v>
      </c>
      <c r="AL21" s="7">
        <v>-3.7391486134754182E-2</v>
      </c>
      <c r="AM21" s="7">
        <v>-6.312571800748347E-2</v>
      </c>
      <c r="AN21" s="7">
        <v>-2.1789029545820651E-2</v>
      </c>
      <c r="AO21" s="7">
        <v>8.5567774913887312E-2</v>
      </c>
      <c r="AP21" s="7">
        <v>0.188101205770319</v>
      </c>
      <c r="AQ21" s="7">
        <v>3.7036188450574832E-2</v>
      </c>
      <c r="AR21" s="7">
        <v>-3.4197900630824132E-2</v>
      </c>
      <c r="AS21" s="7">
        <v>4.5406682060008141E-2</v>
      </c>
      <c r="AT21" s="7">
        <v>-0.26483825754799722</v>
      </c>
      <c r="AU21" s="7">
        <v>-6.3455329613280029E-2</v>
      </c>
      <c r="AV21" s="7">
        <v>6.871391269647964E-2</v>
      </c>
      <c r="AW21" s="7">
        <v>-0.26325491637381482</v>
      </c>
      <c r="AX21" s="7">
        <v>-0.21771830251703739</v>
      </c>
      <c r="AY21" s="7">
        <v>6.5722294732506903E-2</v>
      </c>
      <c r="AZ21" s="7">
        <v>-9.3059394128593209E-2</v>
      </c>
      <c r="BA21" s="7">
        <v>-1.9293207635707351E-2</v>
      </c>
      <c r="BB21" s="7">
        <v>0.40443142813314931</v>
      </c>
      <c r="BC21" s="7">
        <v>0.1644605319288267</v>
      </c>
      <c r="BD21" s="7">
        <v>-3.0287979307913451E-2</v>
      </c>
      <c r="BE21" s="7">
        <v>-0.13674535590796441</v>
      </c>
      <c r="BF21" s="7">
        <v>3.5771001804346838E-3</v>
      </c>
      <c r="BG21" s="7">
        <v>3.6635189216812601E-2</v>
      </c>
      <c r="BH21" s="7">
        <v>-6.7916730562062572E-2</v>
      </c>
      <c r="BI21" s="7">
        <v>-0.15387464609225671</v>
      </c>
      <c r="BJ21" s="7">
        <v>-3.1982514410992063E-2</v>
      </c>
      <c r="BK21" s="7">
        <v>-8.2973161890065844E-2</v>
      </c>
      <c r="BL21" s="7">
        <v>-8.7340790467698257E-2</v>
      </c>
      <c r="BM21" s="7">
        <v>-4.0795286028720637E-2</v>
      </c>
      <c r="BN21" s="7">
        <v>-0.18824750259238801</v>
      </c>
      <c r="BO21" s="7">
        <v>0.17006876928433959</v>
      </c>
      <c r="BP21" s="7">
        <v>4.1808023315929119E-3</v>
      </c>
      <c r="BQ21" s="7">
        <v>7.2890743034343203E-2</v>
      </c>
      <c r="BR21" s="7">
        <v>-0.14206145591009539</v>
      </c>
      <c r="BS21" s="7">
        <v>6.5741820960347419E-2</v>
      </c>
      <c r="BT21" s="7">
        <v>-9.2952203348257254E-2</v>
      </c>
      <c r="BU21" s="7">
        <v>0.1354964621985692</v>
      </c>
      <c r="BV21" s="7">
        <v>-4.4339980041273437E-2</v>
      </c>
      <c r="BW21" s="7">
        <v>0.18446067072040909</v>
      </c>
      <c r="BX21" s="7">
        <v>-8.8379334787638542E-2</v>
      </c>
      <c r="BY21" s="7">
        <v>-5.5666292242237493E-2</v>
      </c>
      <c r="BZ21" s="7">
        <v>5.1498204014449961E-2</v>
      </c>
      <c r="CA21" s="7">
        <v>-3.8078939475266402E-2</v>
      </c>
      <c r="CB21" s="7">
        <v>-7.3466099404929153E-2</v>
      </c>
      <c r="CC21" s="7">
        <v>-4.6693549468963022E-2</v>
      </c>
      <c r="CD21" s="7">
        <v>0.28805606436247322</v>
      </c>
      <c r="CE21" s="7">
        <v>-0.14537496044398809</v>
      </c>
      <c r="CF21" s="7">
        <v>-0.1145261576111684</v>
      </c>
      <c r="CG21" s="7">
        <v>-8.508533547413108E-2</v>
      </c>
      <c r="CH21" s="7">
        <v>0.15662644062696859</v>
      </c>
      <c r="CI21" s="7">
        <v>7.3182727074998788E-2</v>
      </c>
      <c r="CJ21" s="7">
        <v>5.5140848561157058E-2</v>
      </c>
      <c r="CK21" s="7">
        <v>-6.7159630296855705E-2</v>
      </c>
      <c r="CL21" s="7">
        <v>-0.18743312154072689</v>
      </c>
      <c r="CM21" s="7">
        <v>6.2994332860424385E-2</v>
      </c>
      <c r="CN21" s="7">
        <v>8.0851508829433677E-2</v>
      </c>
      <c r="CO21" s="7">
        <v>-0.23779198113939251</v>
      </c>
      <c r="CP21" s="7">
        <v>9.8307306124050364E-2</v>
      </c>
      <c r="CQ21" s="7">
        <v>2.2912194169496192E-2</v>
      </c>
      <c r="CR21" s="7">
        <v>1.161578886010306E-2</v>
      </c>
      <c r="CS21" s="7">
        <v>-6.1269036219330789E-2</v>
      </c>
      <c r="CT21" s="7">
        <v>8.6072556871396061E-2</v>
      </c>
      <c r="CU21" s="7">
        <v>0.1589166223174501</v>
      </c>
      <c r="CV21" s="7">
        <v>-0.1543318447745724</v>
      </c>
      <c r="CW21" s="7">
        <v>6.5005417280988659E-2</v>
      </c>
      <c r="CX21" s="7">
        <v>-0.15696884691161159</v>
      </c>
      <c r="CY21" s="7">
        <v>0.15245230624531919</v>
      </c>
      <c r="CZ21" s="7">
        <v>1.3847206411700621E-2</v>
      </c>
      <c r="DA21" s="7">
        <v>1.192256456731756E-3</v>
      </c>
      <c r="DB21" s="7">
        <v>-0.47235073547067691</v>
      </c>
      <c r="DC21" s="7">
        <v>0.1539047953697186</v>
      </c>
      <c r="DD21" s="7">
        <v>-2.8187943910707451E-3</v>
      </c>
      <c r="DE21" s="7">
        <v>2.897773706032665E-2</v>
      </c>
      <c r="DF21" s="7">
        <v>0.30115021168204381</v>
      </c>
      <c r="DG21" s="7">
        <v>0.14818493113172959</v>
      </c>
      <c r="DH21" s="7">
        <v>1.0355571501857411E-2</v>
      </c>
      <c r="DI21" s="7">
        <v>-9.0149202717820648E-2</v>
      </c>
      <c r="DJ21" s="7">
        <v>0.1566057184636416</v>
      </c>
      <c r="DK21" s="7">
        <v>2.0966062152018541E-2</v>
      </c>
      <c r="DL21" s="7">
        <v>1.273699150101321E-2</v>
      </c>
      <c r="DM21" s="7">
        <v>4.2545640208855387E-3</v>
      </c>
      <c r="DN21" s="7">
        <v>0.22029564086452741</v>
      </c>
      <c r="DO21" s="7">
        <v>1.8558809057787451E-2</v>
      </c>
      <c r="DP21" s="7">
        <v>-0.22901988968023471</v>
      </c>
      <c r="DQ21" s="7">
        <v>7.0422698808183373E-2</v>
      </c>
      <c r="DR21" s="7">
        <v>5.0170859037080733E-2</v>
      </c>
      <c r="DS21" s="7">
        <v>-8.4605433605535907E-2</v>
      </c>
      <c r="DT21" s="7">
        <v>-5.2151903466792276E-3</v>
      </c>
      <c r="DU21" s="7">
        <v>0.3398066388575679</v>
      </c>
      <c r="DV21" s="7">
        <v>-0.15489825112990471</v>
      </c>
      <c r="DW21" s="7">
        <v>0.12266433094633469</v>
      </c>
      <c r="DX21" s="7">
        <v>-0.1168288898747825</v>
      </c>
      <c r="DY21" s="7">
        <v>0.22566188118798919</v>
      </c>
      <c r="DZ21" s="7">
        <v>0.17989102172490029</v>
      </c>
      <c r="EA21" s="7">
        <v>-3.5066457185236648E-2</v>
      </c>
      <c r="EB21" s="7">
        <v>2.6302193998533951E-2</v>
      </c>
      <c r="EC21" s="7">
        <v>1.403705509804205E-2</v>
      </c>
      <c r="ED21" s="7">
        <v>-5.4498856348180663E-2</v>
      </c>
      <c r="EE21" s="7">
        <v>1.095594540687448E-2</v>
      </c>
      <c r="EF21" s="8">
        <v>-0.17865427963298861</v>
      </c>
    </row>
    <row r="22" spans="1:136" x14ac:dyDescent="0.3">
      <c r="A22" s="1">
        <v>321</v>
      </c>
      <c r="B22" s="1">
        <v>3</v>
      </c>
      <c r="C22" s="7">
        <v>2.5922326608526759E-2</v>
      </c>
      <c r="D22" s="7">
        <v>-0.41742192464002892</v>
      </c>
      <c r="E22" s="7">
        <v>-2.2230412259238129E-2</v>
      </c>
      <c r="F22" s="7">
        <v>-6.7831060921277567E-2</v>
      </c>
      <c r="G22" s="7">
        <v>-0.1038843632903341</v>
      </c>
      <c r="H22" s="7">
        <v>-0.22980554449140059</v>
      </c>
      <c r="I22" s="7">
        <v>-0.25443290291045001</v>
      </c>
      <c r="J22" s="7">
        <v>-0.1183782811822881</v>
      </c>
      <c r="K22" s="7">
        <v>-0.2453659126827557</v>
      </c>
      <c r="L22" s="7">
        <v>0.1074871686512418</v>
      </c>
      <c r="M22" s="7">
        <v>7.4100058770572547E-2</v>
      </c>
      <c r="N22" s="7">
        <v>-9.8030860807632764E-2</v>
      </c>
      <c r="O22" s="7">
        <v>-6.7158783113674958E-3</v>
      </c>
      <c r="P22" s="7">
        <v>4.28584885189899E-2</v>
      </c>
      <c r="Q22" s="7">
        <v>-8.9282518103847214E-2</v>
      </c>
      <c r="R22" s="7">
        <v>0.18067973019128461</v>
      </c>
      <c r="S22" s="7">
        <v>0.24705662952972959</v>
      </c>
      <c r="T22" s="7">
        <v>-0.1288124219831229</v>
      </c>
      <c r="U22" s="7">
        <v>-0.15202918277454339</v>
      </c>
      <c r="V22" s="7">
        <v>-5.7024134634289667E-2</v>
      </c>
      <c r="W22" s="7">
        <v>-0.34619348529924859</v>
      </c>
      <c r="X22" s="7">
        <v>0.22178675903387041</v>
      </c>
      <c r="Y22" s="7">
        <v>4.7938332179768291E-2</v>
      </c>
      <c r="Z22" s="7">
        <v>-0.1501501099195742</v>
      </c>
      <c r="AA22" s="7">
        <v>-8.2524425578113014E-2</v>
      </c>
      <c r="AB22" s="7">
        <v>-3.8652301253394171E-3</v>
      </c>
      <c r="AC22" s="7">
        <v>8.5776460715432462E-2</v>
      </c>
      <c r="AD22" s="7">
        <v>1.859374921466125E-2</v>
      </c>
      <c r="AE22" s="7">
        <v>-0.22862111160637419</v>
      </c>
      <c r="AF22" s="7">
        <v>-0.42991676804861201</v>
      </c>
      <c r="AG22" s="7">
        <v>-1.0812100566842311E-2</v>
      </c>
      <c r="AH22" s="7">
        <v>-0.24762224616340131</v>
      </c>
      <c r="AI22" s="7">
        <v>-6.7392901011186057E-2</v>
      </c>
      <c r="AJ22" s="7">
        <v>-4.586612949815471E-2</v>
      </c>
      <c r="AK22" s="7">
        <v>-7.8575768704914215E-2</v>
      </c>
      <c r="AL22" s="7">
        <v>-1.1447262237467839E-3</v>
      </c>
      <c r="AM22" s="7">
        <v>-5.6373754363627612E-2</v>
      </c>
      <c r="AN22" s="7">
        <v>-2.7860566885395861E-2</v>
      </c>
      <c r="AO22" s="7">
        <v>0.1581528752937269</v>
      </c>
      <c r="AP22" s="7">
        <v>0.25139505764836689</v>
      </c>
      <c r="AQ22" s="7">
        <v>-5.5126720724342937E-2</v>
      </c>
      <c r="AR22" s="7">
        <v>-0.10818370054823639</v>
      </c>
      <c r="AS22" s="7">
        <v>-7.3843702685833568E-2</v>
      </c>
      <c r="AT22" s="7">
        <v>-1.7728370994436651E-2</v>
      </c>
      <c r="AU22" s="7">
        <v>-0.1099145973181844</v>
      </c>
      <c r="AV22" s="7">
        <v>8.9753981871632596E-2</v>
      </c>
      <c r="AW22" s="7">
        <v>-0.37079927869117352</v>
      </c>
      <c r="AX22" s="7">
        <v>9.875186005693877E-3</v>
      </c>
      <c r="AY22" s="7">
        <v>9.8456276129363446E-2</v>
      </c>
      <c r="AZ22" s="7">
        <v>-0.2274854962334536</v>
      </c>
      <c r="BA22" s="7">
        <v>-4.9176939747220441E-2</v>
      </c>
      <c r="BB22" s="7">
        <v>0.51826404945003746</v>
      </c>
      <c r="BC22" s="7">
        <v>0.19562603535051759</v>
      </c>
      <c r="BD22" s="7">
        <v>-5.8336354641560839E-2</v>
      </c>
      <c r="BE22" s="7">
        <v>-0.12806788396565999</v>
      </c>
      <c r="BF22" s="7">
        <v>1.363881733831962E-2</v>
      </c>
      <c r="BG22" s="7">
        <v>4.6279512168386029E-2</v>
      </c>
      <c r="BH22" s="7">
        <v>-7.9934120635503092E-3</v>
      </c>
      <c r="BI22" s="7">
        <v>-8.731805917717568E-2</v>
      </c>
      <c r="BJ22" s="7">
        <v>1.023397544910358E-2</v>
      </c>
      <c r="BK22" s="7">
        <v>-2.085475532976656E-2</v>
      </c>
      <c r="BL22" s="7">
        <v>-0.13947139040086359</v>
      </c>
      <c r="BM22" s="7">
        <v>-2.4304832455331882E-3</v>
      </c>
      <c r="BN22" s="7">
        <v>2.851880646397522E-2</v>
      </c>
      <c r="BO22" s="7">
        <v>3.3751102292820363E-2</v>
      </c>
      <c r="BP22" s="7">
        <v>5.4100012453170681E-4</v>
      </c>
      <c r="BQ22" s="7">
        <v>9.1228191194409197E-2</v>
      </c>
      <c r="BR22" s="7">
        <v>-0.10656678196769021</v>
      </c>
      <c r="BS22" s="7">
        <v>9.7047589704545023E-2</v>
      </c>
      <c r="BT22" s="7">
        <v>6.7143215417725319E-2</v>
      </c>
      <c r="BU22" s="7">
        <v>0.21294876613801031</v>
      </c>
      <c r="BV22" s="7">
        <v>-4.8603534589078061E-2</v>
      </c>
      <c r="BW22" s="7">
        <v>0.1321717915357814</v>
      </c>
      <c r="BX22" s="7">
        <v>-0.15293737024999199</v>
      </c>
      <c r="BY22" s="7">
        <v>-5.5597049970371022E-2</v>
      </c>
      <c r="BZ22" s="7">
        <v>5.6322352260074017E-2</v>
      </c>
      <c r="CA22" s="7">
        <v>-6.3406764064362658E-2</v>
      </c>
      <c r="CB22" s="7">
        <v>-6.3604269539688812E-2</v>
      </c>
      <c r="CC22" s="7">
        <v>-1.498570343815637E-2</v>
      </c>
      <c r="CD22" s="7">
        <v>0.33387803671272293</v>
      </c>
      <c r="CE22" s="7">
        <v>-0.13394243105119161</v>
      </c>
      <c r="CF22" s="7">
        <v>-0.1007703570340648</v>
      </c>
      <c r="CG22" s="7">
        <v>-0.207085332633513</v>
      </c>
      <c r="CH22" s="7">
        <v>0.1536062848095433</v>
      </c>
      <c r="CI22" s="7">
        <v>6.4617322810374245E-2</v>
      </c>
      <c r="CJ22" s="7">
        <v>0.12632535927858729</v>
      </c>
      <c r="CK22" s="7">
        <v>-0.1109235402867822</v>
      </c>
      <c r="CL22" s="7">
        <v>-9.499701202354538E-2</v>
      </c>
      <c r="CM22" s="7">
        <v>4.64412789746977E-2</v>
      </c>
      <c r="CN22" s="7">
        <v>0.15280391681020719</v>
      </c>
      <c r="CO22" s="7">
        <v>-0.18528575790522681</v>
      </c>
      <c r="CP22" s="7">
        <v>0.17184373314239881</v>
      </c>
      <c r="CQ22" s="7">
        <v>1.7159615519123799E-2</v>
      </c>
      <c r="CR22" s="7">
        <v>-2.8422205079160712E-2</v>
      </c>
      <c r="CS22" s="7">
        <v>-8.4781935884364376E-2</v>
      </c>
      <c r="CT22" s="7">
        <v>0.1260913781887717</v>
      </c>
      <c r="CU22" s="7">
        <v>0.16735391118636819</v>
      </c>
      <c r="CV22" s="7">
        <v>-0.16622267868955429</v>
      </c>
      <c r="CW22" s="7">
        <v>3.6451253326165209E-2</v>
      </c>
      <c r="CX22" s="7">
        <v>-5.4293295473803682E-2</v>
      </c>
      <c r="CY22" s="7">
        <v>0.16243986871344671</v>
      </c>
      <c r="CZ22" s="7">
        <v>7.58724644113902E-3</v>
      </c>
      <c r="DA22" s="7">
        <v>-3.9917538819241108E-3</v>
      </c>
      <c r="DB22" s="7">
        <v>-0.59337517172623166</v>
      </c>
      <c r="DC22" s="7">
        <v>0.14116723571930959</v>
      </c>
      <c r="DD22" s="7">
        <v>-3.1710169125825367E-2</v>
      </c>
      <c r="DE22" s="7">
        <v>-1.7756503501932811E-2</v>
      </c>
      <c r="DF22" s="7">
        <v>0.38966763369412349</v>
      </c>
      <c r="DG22" s="7">
        <v>8.8121410503063616E-2</v>
      </c>
      <c r="DH22" s="7">
        <v>-3.4688752429190083E-2</v>
      </c>
      <c r="DI22" s="7">
        <v>-8.1105543840270106E-2</v>
      </c>
      <c r="DJ22" s="7">
        <v>0.15369976283032971</v>
      </c>
      <c r="DK22" s="7">
        <v>2.3346176632961561E-2</v>
      </c>
      <c r="DL22" s="7">
        <v>3.213330743138731E-3</v>
      </c>
      <c r="DM22" s="7">
        <v>4.2676549116040817E-2</v>
      </c>
      <c r="DN22" s="7">
        <v>0.30537502827220309</v>
      </c>
      <c r="DO22" s="7">
        <v>-2.3768668287448849E-2</v>
      </c>
      <c r="DP22" s="7">
        <v>-0.16956243214073041</v>
      </c>
      <c r="DQ22" s="7">
        <v>0.16540416654463991</v>
      </c>
      <c r="DR22" s="7">
        <v>-6.0925526153180337E-3</v>
      </c>
      <c r="DS22" s="7">
        <v>-0.12952383936920511</v>
      </c>
      <c r="DT22" s="7">
        <v>2.712875397817005E-2</v>
      </c>
      <c r="DU22" s="7">
        <v>0.37526887234197209</v>
      </c>
      <c r="DV22" s="7">
        <v>-0.15706236954975081</v>
      </c>
      <c r="DW22" s="7">
        <v>-2.1072617557145461E-3</v>
      </c>
      <c r="DX22" s="7">
        <v>-0.1643521240415392</v>
      </c>
      <c r="DY22" s="7">
        <v>0.31775437236448251</v>
      </c>
      <c r="DZ22" s="7">
        <v>0.16562624622575561</v>
      </c>
      <c r="EA22" s="7">
        <v>-3.4191242409873077E-2</v>
      </c>
      <c r="EB22" s="7">
        <v>0.12976595030606911</v>
      </c>
      <c r="EC22" s="7">
        <v>2.1495101575638179E-2</v>
      </c>
      <c r="ED22" s="7">
        <v>-7.7413567057607463E-2</v>
      </c>
      <c r="EE22" s="7">
        <v>3.5899357196068807E-2</v>
      </c>
      <c r="EF22" s="8">
        <v>-0.1611462010182779</v>
      </c>
    </row>
    <row r="23" spans="1:136" x14ac:dyDescent="0.3">
      <c r="A23" s="1">
        <v>482</v>
      </c>
      <c r="B23" s="1">
        <v>2</v>
      </c>
      <c r="C23" s="7">
        <v>3.1325684581971477E-2</v>
      </c>
      <c r="D23" s="7">
        <v>8.8966622734356765E-2</v>
      </c>
      <c r="E23" s="7">
        <v>-1.5061587686965401E-2</v>
      </c>
      <c r="F23" s="7">
        <v>-0.1823960753208787</v>
      </c>
      <c r="G23" s="7">
        <v>2.6971568524368019E-2</v>
      </c>
      <c r="H23" s="7">
        <v>-0.2628102412014528</v>
      </c>
      <c r="I23" s="7">
        <v>-0.25570287206557712</v>
      </c>
      <c r="J23" s="7">
        <v>-0.15529381690298319</v>
      </c>
      <c r="K23" s="7">
        <v>-0.14260757512465491</v>
      </c>
      <c r="L23" s="7">
        <v>0.23244436104246219</v>
      </c>
      <c r="M23" s="7">
        <v>0.2584499163586424</v>
      </c>
      <c r="N23" s="7">
        <v>-0.12680001369232849</v>
      </c>
      <c r="O23" s="7">
        <v>-1.9407711266769139E-2</v>
      </c>
      <c r="P23" s="7">
        <v>1.068350475974675E-2</v>
      </c>
      <c r="Q23" s="7">
        <v>-0.25084967690080678</v>
      </c>
      <c r="R23" s="7">
        <v>8.9628003041144669E-2</v>
      </c>
      <c r="S23" s="7">
        <v>0.16929499991324401</v>
      </c>
      <c r="T23" s="7">
        <v>-0.15460269332742849</v>
      </c>
      <c r="U23" s="7">
        <v>-0.21298177286802589</v>
      </c>
      <c r="V23" s="7">
        <v>6.3357010979066042E-2</v>
      </c>
      <c r="W23" s="7">
        <v>-0.50391933118531074</v>
      </c>
      <c r="X23" s="7">
        <v>0.1817811857978229</v>
      </c>
      <c r="Y23" s="7">
        <v>7.588763428678244E-3</v>
      </c>
      <c r="Z23" s="7">
        <v>-0.14764040944327361</v>
      </c>
      <c r="AA23" s="7">
        <v>5.6748445960110291E-2</v>
      </c>
      <c r="AB23" s="7">
        <v>-3.09913850559921E-2</v>
      </c>
      <c r="AC23" s="7">
        <v>0.1687547996369127</v>
      </c>
      <c r="AD23" s="7">
        <v>2.9952915704841848E-3</v>
      </c>
      <c r="AE23" s="7">
        <v>-0.33234424861252548</v>
      </c>
      <c r="AF23" s="7">
        <v>-0.32465932564021122</v>
      </c>
      <c r="AG23" s="7">
        <v>0.145893892939672</v>
      </c>
      <c r="AH23" s="7">
        <v>0.1356489203506672</v>
      </c>
      <c r="AI23" s="7">
        <v>-7.5450169739462281E-2</v>
      </c>
      <c r="AJ23" s="7">
        <v>1.6962455385149559E-2</v>
      </c>
      <c r="AK23" s="7">
        <v>-9.1199224275259672E-2</v>
      </c>
      <c r="AL23" s="7">
        <v>-5.1310311182486829E-2</v>
      </c>
      <c r="AM23" s="7">
        <v>2.0470543302086051E-2</v>
      </c>
      <c r="AN23" s="7">
        <v>-0.16052014076233129</v>
      </c>
      <c r="AO23" s="7">
        <v>9.078247952961746E-2</v>
      </c>
      <c r="AP23" s="7">
        <v>-1.044782144754966E-2</v>
      </c>
      <c r="AQ23" s="7">
        <v>0.17571220858300701</v>
      </c>
      <c r="AR23" s="7">
        <v>-0.25346079578034408</v>
      </c>
      <c r="AS23" s="7">
        <v>-8.1663620780570226E-2</v>
      </c>
      <c r="AT23" s="7">
        <v>-0.1095059029649002</v>
      </c>
      <c r="AU23" s="7">
        <v>-0.20359589118158589</v>
      </c>
      <c r="AV23" s="7">
        <v>4.9150066629292007E-2</v>
      </c>
      <c r="AW23" s="7">
        <v>-0.58225997417421493</v>
      </c>
      <c r="AX23" s="7">
        <v>1.4812779008540821E-2</v>
      </c>
      <c r="AY23" s="7">
        <v>5.8139600106789993E-2</v>
      </c>
      <c r="AZ23" s="7">
        <v>-0.31598452125580129</v>
      </c>
      <c r="BA23" s="7">
        <v>0.1720809093757327</v>
      </c>
      <c r="BB23" s="7">
        <v>0.68602332967973401</v>
      </c>
      <c r="BC23" s="7">
        <v>0.25286918189993951</v>
      </c>
      <c r="BD23" s="7">
        <v>-1.535066922443418E-2</v>
      </c>
      <c r="BE23" s="7">
        <v>-0.1242921430258994</v>
      </c>
      <c r="BF23" s="7">
        <v>-2.284699060468626E-2</v>
      </c>
      <c r="BG23" s="7">
        <v>7.4761471196752541E-2</v>
      </c>
      <c r="BH23" s="7">
        <v>5.3596863934990302E-2</v>
      </c>
      <c r="BI23" s="7">
        <v>-0.13821955522644711</v>
      </c>
      <c r="BJ23" s="7">
        <v>-5.8020213544642429E-2</v>
      </c>
      <c r="BK23" s="7">
        <v>-5.0098634745350491E-3</v>
      </c>
      <c r="BL23" s="7">
        <v>-0.11436629014166901</v>
      </c>
      <c r="BM23" s="7">
        <v>6.9495462024450616E-2</v>
      </c>
      <c r="BN23" s="7">
        <v>2.660347002197758E-2</v>
      </c>
      <c r="BO23" s="7">
        <v>-5.1495895136431241E-3</v>
      </c>
      <c r="BP23" s="7">
        <v>2.2475721392681891E-2</v>
      </c>
      <c r="BQ23" s="7">
        <v>5.9356424860417777E-2</v>
      </c>
      <c r="BR23" s="7">
        <v>-0.1028225901803507</v>
      </c>
      <c r="BS23" s="7">
        <v>0.2205670944023907</v>
      </c>
      <c r="BT23" s="7">
        <v>7.018926416463693E-2</v>
      </c>
      <c r="BU23" s="7">
        <v>0.20568773584594591</v>
      </c>
      <c r="BV23" s="7">
        <v>-5.326905055788838E-2</v>
      </c>
      <c r="BW23" s="7">
        <v>1.536251504309036E-2</v>
      </c>
      <c r="BX23" s="7">
        <v>-0.1242195235446351</v>
      </c>
      <c r="BY23" s="7">
        <v>0.1182492339269558</v>
      </c>
      <c r="BZ23" s="7">
        <v>0.20232497867358359</v>
      </c>
      <c r="CA23" s="7">
        <v>3.4283619845346558E-2</v>
      </c>
      <c r="CB23" s="7">
        <v>4.1664988378588452E-2</v>
      </c>
      <c r="CC23" s="7">
        <v>0.2249586274956801</v>
      </c>
      <c r="CD23" s="7">
        <v>0.19167645501478511</v>
      </c>
      <c r="CE23" s="7">
        <v>-0.2045907215024447</v>
      </c>
      <c r="CF23" s="7">
        <v>-1.616083543008176E-2</v>
      </c>
      <c r="CG23" s="7">
        <v>-0.21663724162720299</v>
      </c>
      <c r="CH23" s="7">
        <v>0.16212257431707061</v>
      </c>
      <c r="CI23" s="7">
        <v>0.13522219665147919</v>
      </c>
      <c r="CJ23" s="7">
        <v>0.15651589641790081</v>
      </c>
      <c r="CK23" s="7">
        <v>-7.1856390536544607E-2</v>
      </c>
      <c r="CL23" s="7">
        <v>-0.1640494591789142</v>
      </c>
      <c r="CM23" s="7">
        <v>6.9750090132210951E-3</v>
      </c>
      <c r="CN23" s="7">
        <v>0.27710426195606819</v>
      </c>
      <c r="CO23" s="7">
        <v>-0.26845097690314912</v>
      </c>
      <c r="CP23" s="7">
        <v>0.24610177245621889</v>
      </c>
      <c r="CQ23" s="7">
        <v>-2.4702270079380868E-2</v>
      </c>
      <c r="CR23" s="7">
        <v>-3.8232839171219918E-2</v>
      </c>
      <c r="CS23" s="7">
        <v>-6.5159884293212025E-2</v>
      </c>
      <c r="CT23" s="7">
        <v>3.2850224006144763E-2</v>
      </c>
      <c r="CU23" s="7">
        <v>0.20210388498715681</v>
      </c>
      <c r="CV23" s="7">
        <v>-0.15333096827157461</v>
      </c>
      <c r="CW23" s="7">
        <v>0.1009013318024186</v>
      </c>
      <c r="CX23" s="7">
        <v>-6.1859993147280662E-2</v>
      </c>
      <c r="CY23" s="7">
        <v>0.28171082747401988</v>
      </c>
      <c r="CZ23" s="7">
        <v>-6.1281100514640897E-2</v>
      </c>
      <c r="DA23" s="7">
        <v>-3.0982136225910391E-2</v>
      </c>
      <c r="DB23" s="7">
        <v>-0.86457557459721113</v>
      </c>
      <c r="DC23" s="7">
        <v>0.15794889931825309</v>
      </c>
      <c r="DD23" s="7">
        <v>-9.2798674677153081E-2</v>
      </c>
      <c r="DE23" s="7">
        <v>-6.0085947510171572E-2</v>
      </c>
      <c r="DF23" s="7">
        <v>0.40879492056092032</v>
      </c>
      <c r="DG23" s="7">
        <v>0.15297665429505281</v>
      </c>
      <c r="DH23" s="7">
        <v>-0.1095821983620974</v>
      </c>
      <c r="DI23" s="7">
        <v>-0.18491271354810521</v>
      </c>
      <c r="DJ23" s="7">
        <v>0.1200325818239187</v>
      </c>
      <c r="DK23" s="7">
        <v>4.7749797048578922E-2</v>
      </c>
      <c r="DL23" s="7">
        <v>-2.6242652104624471E-2</v>
      </c>
      <c r="DM23" s="7">
        <v>-1.071033430682497E-2</v>
      </c>
      <c r="DN23" s="7">
        <v>0.26497485648399138</v>
      </c>
      <c r="DO23" s="7">
        <v>8.4670827807182117E-2</v>
      </c>
      <c r="DP23" s="7">
        <v>-0.17683961848490651</v>
      </c>
      <c r="DQ23" s="7">
        <v>0.24594610755878629</v>
      </c>
      <c r="DR23" s="7">
        <v>-8.9886002731306744E-2</v>
      </c>
      <c r="DS23" s="7">
        <v>-0.24719455144246849</v>
      </c>
      <c r="DT23" s="7">
        <v>-2.2296457069757209E-2</v>
      </c>
      <c r="DU23" s="7">
        <v>0.52524170665309988</v>
      </c>
      <c r="DV23" s="7">
        <v>-0.19274140121789701</v>
      </c>
      <c r="DW23" s="7">
        <v>-0.26698913297007831</v>
      </c>
      <c r="DX23" s="7">
        <v>-0.1710027869684545</v>
      </c>
      <c r="DY23" s="7">
        <v>0.26822192937212391</v>
      </c>
      <c r="DZ23" s="7">
        <v>0.12933301555171881</v>
      </c>
      <c r="EA23" s="7">
        <v>-9.3362079468968795E-2</v>
      </c>
      <c r="EB23" s="7">
        <v>0.24428465812392219</v>
      </c>
      <c r="EC23" s="7">
        <v>-3.6584316325813361E-2</v>
      </c>
      <c r="ED23" s="7">
        <v>-9.1425904619781034E-2</v>
      </c>
      <c r="EE23" s="7">
        <v>6.9545558094986554E-2</v>
      </c>
      <c r="EF23" s="8">
        <v>-8.3271776749482732E-2</v>
      </c>
    </row>
    <row r="24" spans="1:136" x14ac:dyDescent="0.3">
      <c r="A24" s="1">
        <v>964</v>
      </c>
      <c r="B24" s="1">
        <v>1</v>
      </c>
      <c r="C24" s="7">
        <v>2.776696731044102E-2</v>
      </c>
      <c r="D24" s="7">
        <v>8.1988379169623898E-2</v>
      </c>
      <c r="E24" s="7">
        <v>8.1880334610397495E-2</v>
      </c>
      <c r="F24" s="7">
        <v>-0.20154571887164621</v>
      </c>
      <c r="G24" s="7">
        <v>2.2622388562617651E-2</v>
      </c>
      <c r="H24" s="7">
        <v>-0.35082219133103881</v>
      </c>
      <c r="I24" s="7">
        <v>-0.2403862447709158</v>
      </c>
      <c r="J24" s="7">
        <v>-4.0357249392596467E-3</v>
      </c>
      <c r="K24" s="7">
        <v>-5.0444335993488708E-2</v>
      </c>
      <c r="L24" s="7">
        <v>0.33375944447564659</v>
      </c>
      <c r="M24" s="7">
        <v>0.14681933889950849</v>
      </c>
      <c r="N24" s="7">
        <v>-0.1051917107958454</v>
      </c>
      <c r="O24" s="7">
        <v>3.6648790739543732E-2</v>
      </c>
      <c r="P24" s="7">
        <v>7.7736485854057236E-2</v>
      </c>
      <c r="Q24" s="7">
        <v>9.0144948798662944E-2</v>
      </c>
      <c r="R24" s="7">
        <v>0.1083654949121912</v>
      </c>
      <c r="S24" s="7">
        <v>0.13988379956700059</v>
      </c>
      <c r="T24" s="7">
        <v>0.27048671467401741</v>
      </c>
      <c r="U24" s="7">
        <v>-0.39296188484865302</v>
      </c>
      <c r="V24" s="7">
        <v>0.11654031671685081</v>
      </c>
      <c r="W24" s="7">
        <v>-0.64293352860565944</v>
      </c>
      <c r="X24" s="7">
        <v>-3.6157896361251968E-2</v>
      </c>
      <c r="Y24" s="7">
        <v>2.9398839580432611E-2</v>
      </c>
      <c r="Z24" s="7">
        <v>-0.15040992568878969</v>
      </c>
      <c r="AA24" s="7">
        <v>-0.21854457969115479</v>
      </c>
      <c r="AB24" s="7">
        <v>-0.30039379355698248</v>
      </c>
      <c r="AC24" s="7">
        <v>0.4017473338469546</v>
      </c>
      <c r="AD24" s="7">
        <v>5.9922146810819088E-2</v>
      </c>
      <c r="AE24" s="7">
        <v>-0.54125812124628125</v>
      </c>
      <c r="AF24" s="7">
        <v>-0.49538941280416188</v>
      </c>
      <c r="AG24" s="7">
        <v>0.38005539258279603</v>
      </c>
      <c r="AH24" s="7">
        <v>0.30212275660657528</v>
      </c>
      <c r="AI24" s="7">
        <v>-0.15191167478339729</v>
      </c>
      <c r="AJ24" s="7">
        <v>2.011236537319892E-2</v>
      </c>
      <c r="AK24" s="7">
        <v>-0.11317916377562411</v>
      </c>
      <c r="AL24" s="7">
        <v>-0.1074544263057416</v>
      </c>
      <c r="AM24" s="7">
        <v>-1.4966545334123929E-2</v>
      </c>
      <c r="AN24" s="7">
        <v>-0.1106607719355505</v>
      </c>
      <c r="AO24" s="7">
        <v>0.1029057025777895</v>
      </c>
      <c r="AP24" s="7">
        <v>-0.41640853388971072</v>
      </c>
      <c r="AQ24" s="7">
        <v>0.35649193169751819</v>
      </c>
      <c r="AR24" s="7">
        <v>-2.0350844492814421E-2</v>
      </c>
      <c r="AS24" s="7">
        <v>-3.2867737066227462E-3</v>
      </c>
      <c r="AT24" s="7">
        <v>-0.15076897992568081</v>
      </c>
      <c r="AU24" s="7">
        <v>-0.22984101567941989</v>
      </c>
      <c r="AV24" s="7">
        <v>-0.24768466023032751</v>
      </c>
      <c r="AW24" s="7">
        <v>0.14871095653144009</v>
      </c>
      <c r="AX24" s="7">
        <v>-0.1114913369162155</v>
      </c>
      <c r="AY24" s="7">
        <v>0.26743574468647008</v>
      </c>
      <c r="AZ24" s="7">
        <v>-0.60989956018477687</v>
      </c>
      <c r="BA24" s="7">
        <v>0.1017826943099424</v>
      </c>
      <c r="BB24" s="7">
        <v>0.87270314910649027</v>
      </c>
      <c r="BC24" s="7">
        <v>-4.366869614383373E-3</v>
      </c>
      <c r="BD24" s="7">
        <v>0.17257013871334029</v>
      </c>
      <c r="BE24" s="7">
        <v>5.7380537985080138E-2</v>
      </c>
      <c r="BF24" s="7">
        <v>8.765133605409231E-2</v>
      </c>
      <c r="BG24" s="7">
        <v>2.6835965866310919E-2</v>
      </c>
      <c r="BH24" s="7">
        <v>9.5694510161506985E-3</v>
      </c>
      <c r="BI24" s="7">
        <v>2.8151632148178202E-2</v>
      </c>
      <c r="BJ24" s="7">
        <v>6.0567254322459393E-2</v>
      </c>
      <c r="BK24" s="7">
        <v>-1.00197269490701E-2</v>
      </c>
      <c r="BL24" s="7">
        <v>-0.1061069201511666</v>
      </c>
      <c r="BM24" s="7">
        <v>-8.4782939838988242E-2</v>
      </c>
      <c r="BN24" s="7">
        <v>1.989015847921969E-2</v>
      </c>
      <c r="BO24" s="7">
        <v>0.20807633223112251</v>
      </c>
      <c r="BP24" s="7">
        <v>-3.1794104329889807E-2</v>
      </c>
      <c r="BQ24" s="7">
        <v>-1.385746642413632E-2</v>
      </c>
      <c r="BR24" s="7">
        <v>-9.8920889185241626E-2</v>
      </c>
      <c r="BS24" s="7">
        <v>0.1216210365296066</v>
      </c>
      <c r="BT24" s="7">
        <v>5.5799256308256592E-2</v>
      </c>
      <c r="BU24" s="7">
        <v>0.22832663155994071</v>
      </c>
      <c r="BV24" s="7">
        <v>-4.625870574066291E-2</v>
      </c>
      <c r="BW24" s="7">
        <v>0.15102744542241939</v>
      </c>
      <c r="BX24" s="7">
        <v>-5.8043369649915091E-2</v>
      </c>
      <c r="BY24" s="7">
        <v>0.11840823105030179</v>
      </c>
      <c r="BZ24" s="7">
        <v>0.32032942725755759</v>
      </c>
      <c r="CA24" s="7">
        <v>8.5352138787233134E-2</v>
      </c>
      <c r="CB24" s="7">
        <v>-6.4127083156042083E-2</v>
      </c>
      <c r="CC24" s="7">
        <v>0.43985451226693362</v>
      </c>
      <c r="CD24" s="7">
        <v>0.14430631074219491</v>
      </c>
      <c r="CE24" s="7">
        <v>-0.17930378386651619</v>
      </c>
      <c r="CF24" s="7">
        <v>4.3964633996731547E-2</v>
      </c>
      <c r="CG24" s="7">
        <v>-0.51996896607392207</v>
      </c>
      <c r="CH24" s="7">
        <v>0.2129728840293183</v>
      </c>
      <c r="CI24" s="7">
        <v>0.29359964364968388</v>
      </c>
      <c r="CJ24" s="7">
        <v>0.3001868935902553</v>
      </c>
      <c r="CK24" s="7">
        <v>-0.32305926532838408</v>
      </c>
      <c r="CL24" s="7">
        <v>-1.5683747889366519E-2</v>
      </c>
      <c r="CM24" s="7">
        <v>4.4688538323931992E-2</v>
      </c>
      <c r="CN24" s="7">
        <v>0.60967719726707426</v>
      </c>
      <c r="CO24" s="7">
        <v>-0.57240960973467503</v>
      </c>
      <c r="CP24" s="7">
        <v>0.19806734554709299</v>
      </c>
      <c r="CQ24" s="7">
        <v>-0.1601896466275006</v>
      </c>
      <c r="CR24" s="7">
        <v>-9.681790719133844E-2</v>
      </c>
      <c r="CS24" s="7">
        <v>-0.1079742359390275</v>
      </c>
      <c r="CT24" s="7">
        <v>-0.1828965872921165</v>
      </c>
      <c r="CU24" s="7">
        <v>5.2729044813654813E-2</v>
      </c>
      <c r="CV24" s="7">
        <v>-0.182864094907223</v>
      </c>
      <c r="CW24" s="7">
        <v>0.17511716607200739</v>
      </c>
      <c r="CX24" s="7">
        <v>-0.14669462567028749</v>
      </c>
      <c r="CY24" s="7">
        <v>0.36022804676873771</v>
      </c>
      <c r="CZ24" s="7">
        <v>-0.16210690987816029</v>
      </c>
      <c r="DA24" s="7">
        <v>2.451120416275485E-2</v>
      </c>
      <c r="DB24" s="7">
        <v>-0.94810958937996914</v>
      </c>
      <c r="DC24" s="7">
        <v>0.28272977872851818</v>
      </c>
      <c r="DD24" s="7">
        <v>0.19584472218244131</v>
      </c>
      <c r="DE24" s="7">
        <v>0.13158559129553279</v>
      </c>
      <c r="DF24" s="7">
        <v>0.52558500614449799</v>
      </c>
      <c r="DG24" s="7">
        <v>0.24858898273322999</v>
      </c>
      <c r="DH24" s="7">
        <v>-0.1028328439815145</v>
      </c>
      <c r="DI24" s="7">
        <v>-0.42309879972833903</v>
      </c>
      <c r="DJ24" s="7">
        <v>0.2293698745310894</v>
      </c>
      <c r="DK24" s="7">
        <v>0.16602172835425</v>
      </c>
      <c r="DL24" s="7">
        <v>-6.1360513215416877E-2</v>
      </c>
      <c r="DM24" s="7">
        <v>-0.10831609512618499</v>
      </c>
      <c r="DN24" s="7">
        <v>0.51684793899753223</v>
      </c>
      <c r="DO24" s="7">
        <v>8.3114289590005733E-2</v>
      </c>
      <c r="DP24" s="7">
        <v>-0.22357182348369681</v>
      </c>
      <c r="DQ24" s="7">
        <v>0.35907130209664839</v>
      </c>
      <c r="DR24" s="7">
        <v>-2.0515630212029241E-2</v>
      </c>
      <c r="DS24" s="7">
        <v>-0.14400697483881431</v>
      </c>
      <c r="DT24" s="7">
        <v>-2.9435726388863388E-2</v>
      </c>
      <c r="DU24" s="7">
        <v>0.7705433077559587</v>
      </c>
      <c r="DV24" s="7">
        <v>-0.75045654918922122</v>
      </c>
      <c r="DW24" s="7">
        <v>-0.38336324094520591</v>
      </c>
      <c r="DX24" s="7">
        <v>-0.17373733044807921</v>
      </c>
      <c r="DY24" s="7">
        <v>3.2066535729951551E-2</v>
      </c>
      <c r="DZ24" s="7">
        <v>-4.8904664258799802E-2</v>
      </c>
      <c r="EA24" s="7">
        <v>-2.3171501846674901E-2</v>
      </c>
      <c r="EB24" s="7">
        <v>0.58969791699909047</v>
      </c>
      <c r="EC24" s="7">
        <v>-1.4309918770678909E-2</v>
      </c>
      <c r="ED24" s="7">
        <v>-5.6172845298362112E-2</v>
      </c>
      <c r="EE24" s="7">
        <v>-3.5663982870964749E-2</v>
      </c>
      <c r="EF24" s="8">
        <v>-0.12895777307843831</v>
      </c>
    </row>
    <row r="25" spans="1:136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25"/>
  <sheetViews>
    <sheetView topLeftCell="DX6" workbookViewId="0">
      <selection activeCell="EJ10" sqref="EJ10"/>
    </sheetView>
  </sheetViews>
  <sheetFormatPr defaultRowHeight="15" x14ac:dyDescent="0.3"/>
  <sheetData>
    <row r="1" spans="1:138" x14ac:dyDescent="0.3">
      <c r="A1" t="s">
        <v>0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8" x14ac:dyDescent="0.3">
      <c r="B3" s="1" t="s">
        <v>137</v>
      </c>
      <c r="C3" s="7">
        <v>4.0547288954257972E-2</v>
      </c>
      <c r="D3" s="7">
        <v>1.474617514759302E-2</v>
      </c>
      <c r="E3" s="7">
        <v>-5.1652342081069953E-2</v>
      </c>
      <c r="F3" s="7">
        <v>-5.4286114871501923E-2</v>
      </c>
      <c r="G3" s="7">
        <v>-5.7552006095647812E-2</v>
      </c>
      <c r="H3" s="7">
        <v>-7.6259449124336243E-2</v>
      </c>
      <c r="I3" s="7">
        <v>-0.107886478304863</v>
      </c>
      <c r="J3" s="7">
        <v>1.373711228370667E-2</v>
      </c>
      <c r="K3" s="7">
        <v>-5.9229228645563133E-2</v>
      </c>
      <c r="L3" s="7">
        <v>-0.1078036949038506</v>
      </c>
      <c r="M3" s="7">
        <v>2.4141319096088409E-2</v>
      </c>
      <c r="N3" s="7">
        <v>-0.1346741318702698</v>
      </c>
      <c r="O3" s="7">
        <v>-7.92685616761446E-3</v>
      </c>
      <c r="P3" s="7">
        <v>-7.5651742517948151E-2</v>
      </c>
      <c r="Q3" s="7">
        <v>-8.6447760462760925E-2</v>
      </c>
      <c r="R3" s="7">
        <v>-3.0133344698697329E-3</v>
      </c>
      <c r="S3" s="7">
        <v>-4.0853243321180337E-2</v>
      </c>
      <c r="T3" s="7">
        <v>-3.2101776450872421E-2</v>
      </c>
      <c r="U3" s="7">
        <v>-0.10543976724147799</v>
      </c>
      <c r="V3" s="7">
        <v>-4.5746464282274253E-2</v>
      </c>
      <c r="W3" s="7">
        <v>-6.8120560608804226E-3</v>
      </c>
      <c r="X3" s="7">
        <v>9.7701430320739746E-2</v>
      </c>
      <c r="Y3" s="7">
        <v>6.1205495148897171E-2</v>
      </c>
      <c r="Z3" s="7">
        <v>1.6075653955340389E-2</v>
      </c>
      <c r="AA3" s="7">
        <v>-1.270355191081762E-2</v>
      </c>
      <c r="AB3" s="7">
        <v>-1.026225462555885E-2</v>
      </c>
      <c r="AC3" s="7">
        <v>2.934014052152634E-2</v>
      </c>
      <c r="AD3" s="7">
        <v>-5.8081243187189102E-3</v>
      </c>
      <c r="AE3" s="7">
        <v>1.1994774453341959E-2</v>
      </c>
      <c r="AF3" s="7">
        <v>3.9971381425857537E-2</v>
      </c>
      <c r="AG3" s="7">
        <v>-1.210324652493E-2</v>
      </c>
      <c r="AH3" s="7">
        <v>2.2090664133429531E-2</v>
      </c>
      <c r="AI3" s="7">
        <v>2.1936081349849701E-2</v>
      </c>
      <c r="AJ3" s="7">
        <v>2.584474720060825E-2</v>
      </c>
      <c r="AK3" s="7">
        <v>-2.3109074681997299E-3</v>
      </c>
      <c r="AL3" s="7">
        <v>-2.0252099260687832E-2</v>
      </c>
      <c r="AM3" s="7">
        <v>2.2393656894564629E-2</v>
      </c>
      <c r="AN3" s="7">
        <v>-3.5141657572239642E-3</v>
      </c>
      <c r="AO3" s="7">
        <v>-2.9745671898126599E-2</v>
      </c>
      <c r="AP3" s="7">
        <v>-2.683783695101738E-2</v>
      </c>
      <c r="AQ3" s="7">
        <v>-2.169711887836456E-2</v>
      </c>
      <c r="AR3" s="7">
        <v>2.3448716849088669E-2</v>
      </c>
      <c r="AS3" s="7">
        <v>1.5802856534719471E-2</v>
      </c>
      <c r="AT3" s="7">
        <v>6.6039755940437317E-2</v>
      </c>
      <c r="AU3" s="7">
        <v>6.2266789376735687E-2</v>
      </c>
      <c r="AV3" s="7">
        <v>5.7940512895584113E-2</v>
      </c>
      <c r="AW3" s="7">
        <v>0.1063941121101379</v>
      </c>
      <c r="AX3" s="7">
        <v>-5.7518132962286472E-3</v>
      </c>
      <c r="AY3" s="7">
        <v>3.4562649670988321E-3</v>
      </c>
      <c r="AZ3" s="7">
        <v>8.6036309599876404E-2</v>
      </c>
      <c r="BA3" s="7">
        <v>0.10234846919775011</v>
      </c>
      <c r="BB3" s="7">
        <v>6.3502728939056396E-2</v>
      </c>
      <c r="BC3" s="7">
        <v>4.844263568520546E-2</v>
      </c>
      <c r="BD3" s="7">
        <v>7.7497914433479309E-2</v>
      </c>
      <c r="BE3" s="7">
        <v>2.7031764388084412E-2</v>
      </c>
      <c r="BF3" s="7">
        <v>2.1175272762775421E-2</v>
      </c>
      <c r="BG3" s="7">
        <v>-1.226798165589571E-2</v>
      </c>
      <c r="BH3" s="7">
        <v>5.1240973174571991E-2</v>
      </c>
      <c r="BI3" s="7">
        <v>5.5158428847789757E-2</v>
      </c>
      <c r="BJ3" s="7">
        <v>8.664897084236145E-2</v>
      </c>
      <c r="BK3" s="7">
        <v>8.1092678010463715E-2</v>
      </c>
      <c r="BL3" s="7">
        <v>5.7930886745452881E-2</v>
      </c>
      <c r="BM3" s="7">
        <v>1.4249543659389021E-2</v>
      </c>
      <c r="BN3" s="7">
        <v>-4.6854224056005478E-3</v>
      </c>
      <c r="BO3" s="7">
        <v>4.5861139893531799E-2</v>
      </c>
      <c r="BP3" s="7">
        <v>8.6037963628768921E-2</v>
      </c>
      <c r="BQ3" s="7">
        <v>0.144142210483551</v>
      </c>
      <c r="BR3" s="7">
        <v>3.7985831499099731E-2</v>
      </c>
      <c r="BS3" s="7">
        <v>8.1880234181880951E-2</v>
      </c>
      <c r="BT3" s="7">
        <v>4.3688308447599411E-2</v>
      </c>
      <c r="BU3" s="7">
        <v>0.10545723885297779</v>
      </c>
      <c r="BV3" s="7">
        <v>0.1175376549363136</v>
      </c>
      <c r="BW3" s="7">
        <v>9.2942401766777039E-2</v>
      </c>
      <c r="BX3" s="7">
        <v>3.5637497901916497E-2</v>
      </c>
      <c r="BY3" s="7">
        <v>4.2925089597702033E-2</v>
      </c>
      <c r="BZ3" s="7">
        <v>9.8455093801021576E-2</v>
      </c>
      <c r="CA3" s="7">
        <v>1.8217885866761211E-2</v>
      </c>
      <c r="CB3" s="7">
        <v>1.9438756629824638E-2</v>
      </c>
      <c r="CC3" s="7">
        <v>-5.0573386251926422E-3</v>
      </c>
      <c r="CD3" s="7">
        <v>-5.7951014488935471E-2</v>
      </c>
      <c r="CE3" s="7">
        <v>-1.193848438560963E-2</v>
      </c>
      <c r="CF3" s="7">
        <v>6.4156758598983288E-3</v>
      </c>
      <c r="CG3" s="7">
        <v>5.6247138418257236E-3</v>
      </c>
      <c r="CH3" s="7">
        <v>5.8184977620840073E-2</v>
      </c>
      <c r="CI3" s="7">
        <v>1.276898570358753E-2</v>
      </c>
      <c r="CJ3" s="7">
        <v>-8.0891326069831848E-2</v>
      </c>
      <c r="CK3" s="7">
        <v>7.3738843202590942E-2</v>
      </c>
      <c r="CL3" s="7">
        <v>6.7692369222640991E-2</v>
      </c>
      <c r="CM3" s="7">
        <v>-1.829254254698753E-2</v>
      </c>
      <c r="CN3" s="7">
        <v>4.6888105571269989E-3</v>
      </c>
      <c r="CO3" s="7">
        <v>-1.2873713858425621E-2</v>
      </c>
      <c r="CP3" s="7">
        <v>-5.2108332514762878E-2</v>
      </c>
      <c r="CQ3" s="7">
        <v>-7.2693914175033569E-2</v>
      </c>
      <c r="CR3" s="7">
        <v>-6.0804408043622971E-2</v>
      </c>
      <c r="CS3" s="7">
        <v>1.5148262493312361E-2</v>
      </c>
      <c r="CT3" s="7">
        <v>-6.339031457901001E-2</v>
      </c>
      <c r="CU3" s="7">
        <v>-6.1079829931259162E-2</v>
      </c>
      <c r="CV3" s="7">
        <v>-2.170033194124699E-2</v>
      </c>
      <c r="CW3" s="7">
        <v>-6.0720678418874741E-2</v>
      </c>
      <c r="CX3" s="7">
        <v>-4.0655191987752907E-2</v>
      </c>
      <c r="CY3" s="7">
        <v>-4.5480586588382721E-2</v>
      </c>
      <c r="CZ3" s="7">
        <v>-6.9138072431087494E-2</v>
      </c>
      <c r="DA3" s="7">
        <v>-8.9778468012809753E-2</v>
      </c>
      <c r="DB3" s="7">
        <v>-6.527487188577652E-2</v>
      </c>
      <c r="DC3" s="7">
        <v>-1.3747443445026869E-2</v>
      </c>
      <c r="DD3" s="7">
        <v>-5.9340178966522217E-2</v>
      </c>
      <c r="DE3" s="7">
        <v>-2.9697688296437259E-3</v>
      </c>
      <c r="DF3" s="7">
        <v>2.9266869649291039E-2</v>
      </c>
      <c r="DG3" s="7">
        <v>-2.4713881313800808E-2</v>
      </c>
      <c r="DH3" s="7">
        <v>-3.5376153886318207E-2</v>
      </c>
      <c r="DI3" s="7">
        <v>-2.7640743181109428E-2</v>
      </c>
      <c r="DJ3" s="7">
        <v>-5.7575446553528309E-3</v>
      </c>
      <c r="DK3" s="7">
        <v>-4.8771854490041733E-2</v>
      </c>
      <c r="DL3" s="7">
        <v>-1.13038681447506E-2</v>
      </c>
      <c r="DM3" s="7">
        <v>-4.967803880572319E-2</v>
      </c>
      <c r="DN3" s="7">
        <v>-1.280778273940086E-2</v>
      </c>
      <c r="DO3" s="7">
        <v>-1.587224006652832E-2</v>
      </c>
      <c r="DP3" s="7">
        <v>-7.589586079120636E-3</v>
      </c>
      <c r="DQ3" s="7">
        <v>4.0078632533550262E-2</v>
      </c>
      <c r="DR3" s="7">
        <v>-1.5922309830784801E-2</v>
      </c>
      <c r="DS3" s="7">
        <v>2.3432238027453419E-2</v>
      </c>
      <c r="DT3" s="7">
        <v>-5.3663063794374473E-2</v>
      </c>
      <c r="DU3" s="7">
        <v>-4.4161681085824973E-2</v>
      </c>
      <c r="DV3" s="7">
        <v>-2.3813089355826381E-2</v>
      </c>
      <c r="DW3" s="7">
        <v>2.5176366791129109E-2</v>
      </c>
      <c r="DX3" s="7">
        <v>-3.2621368765830987E-2</v>
      </c>
      <c r="DY3" s="7">
        <v>1.3060665689408779E-2</v>
      </c>
      <c r="DZ3" s="7">
        <v>-4.7912493348121643E-2</v>
      </c>
      <c r="EA3" s="7">
        <v>1.4760352671146389E-2</v>
      </c>
      <c r="EB3" s="7">
        <v>-2.9227724298834801E-2</v>
      </c>
      <c r="EC3" s="7">
        <v>-3.5695001482963562E-2</v>
      </c>
      <c r="ED3" s="7">
        <v>-5.2812475711107247E-2</v>
      </c>
      <c r="EE3" s="7">
        <v>-1.3054582290351391E-2</v>
      </c>
      <c r="EF3" s="7">
        <v>-6.9071874022483826E-2</v>
      </c>
      <c r="EG3" s="1"/>
    </row>
    <row r="4" spans="1:138" x14ac:dyDescent="0.3">
      <c r="B4" s="1" t="s">
        <v>138</v>
      </c>
      <c r="C4" s="7">
        <v>-1.8580827862024311E-2</v>
      </c>
      <c r="D4" s="7">
        <v>-4.8252779990434647E-2</v>
      </c>
      <c r="E4" s="7">
        <v>7.8275678679347038E-3</v>
      </c>
      <c r="F4" s="7">
        <v>-2.6776634156703949E-2</v>
      </c>
      <c r="G4" s="7">
        <v>1.6258874908089641E-2</v>
      </c>
      <c r="H4" s="7">
        <v>-8.7667405605316162E-3</v>
      </c>
      <c r="I4" s="7">
        <v>-7.0548905059695244E-3</v>
      </c>
      <c r="J4" s="7">
        <v>-3.2917611300945282E-2</v>
      </c>
      <c r="K4" s="7">
        <v>7.3888557963073254E-3</v>
      </c>
      <c r="L4" s="7">
        <v>3.5096999257802963E-2</v>
      </c>
      <c r="M4" s="7">
        <v>-1.934842579066753E-2</v>
      </c>
      <c r="N4" s="7">
        <v>-1.2498205527663229E-2</v>
      </c>
      <c r="O4" s="7">
        <v>-6.7216232419013977E-2</v>
      </c>
      <c r="P4" s="7">
        <v>-2.768821083009243E-2</v>
      </c>
      <c r="Q4" s="7">
        <v>-5.9864789247512817E-2</v>
      </c>
      <c r="R4" s="7">
        <v>-7.7407129108905792E-2</v>
      </c>
      <c r="S4" s="7">
        <v>-8.372652530670166E-2</v>
      </c>
      <c r="T4" s="7">
        <v>-5.9324655681848533E-2</v>
      </c>
      <c r="U4" s="7">
        <v>-2.3863557726144791E-3</v>
      </c>
      <c r="V4" s="7">
        <v>4.6488689258694649E-3</v>
      </c>
      <c r="W4" s="7">
        <v>-7.4044972658157349E-2</v>
      </c>
      <c r="X4" s="7">
        <v>-9.8803862929344177E-2</v>
      </c>
      <c r="Y4" s="7">
        <v>-9.1002114117145538E-2</v>
      </c>
      <c r="Z4" s="7">
        <v>-6.800408661365509E-2</v>
      </c>
      <c r="AA4" s="7">
        <v>-8.6181230843067169E-2</v>
      </c>
      <c r="AB4" s="7">
        <v>-8.889392763376236E-2</v>
      </c>
      <c r="AC4" s="7">
        <v>-1.6588440164923671E-2</v>
      </c>
      <c r="AD4" s="7">
        <v>6.3448823988437653E-2</v>
      </c>
      <c r="AE4" s="7">
        <v>-5.9580553323030472E-2</v>
      </c>
      <c r="AF4" s="7">
        <v>1.096150139346719E-3</v>
      </c>
      <c r="AG4" s="7">
        <v>2.8850741684436802E-2</v>
      </c>
      <c r="AH4" s="7">
        <v>2.907080203294754E-2</v>
      </c>
      <c r="AI4" s="7">
        <v>-1.015707012265921E-2</v>
      </c>
      <c r="AJ4" s="7">
        <v>4.4545106589794159E-2</v>
      </c>
      <c r="AK4" s="7">
        <v>-1.327527966350317E-2</v>
      </c>
      <c r="AL4" s="7">
        <v>1.4735002070665359E-2</v>
      </c>
      <c r="AM4" s="7">
        <v>5.2847121842205516E-3</v>
      </c>
      <c r="AN4" s="7">
        <v>4.7137059271335602E-2</v>
      </c>
      <c r="AO4" s="7">
        <v>7.4655739590525627E-3</v>
      </c>
      <c r="AP4" s="7">
        <v>4.6993391588330269E-3</v>
      </c>
      <c r="AQ4" s="7">
        <v>2.0851189270615581E-2</v>
      </c>
      <c r="AR4" s="7">
        <v>5.4104723036289222E-2</v>
      </c>
      <c r="AS4" s="7">
        <v>-5.646181758493185E-3</v>
      </c>
      <c r="AT4" s="7">
        <v>4.0453299880027771E-3</v>
      </c>
      <c r="AU4" s="7">
        <v>2.0628450438380241E-2</v>
      </c>
      <c r="AV4" s="7">
        <v>2.111388556659222E-2</v>
      </c>
      <c r="AW4" s="7">
        <v>-4.1878089308738708E-2</v>
      </c>
      <c r="AX4" s="7">
        <v>1.5781458467245098E-2</v>
      </c>
      <c r="AY4" s="7">
        <v>-2.299829013645649E-2</v>
      </c>
      <c r="AZ4" s="7">
        <v>5.878029391169548E-3</v>
      </c>
      <c r="BA4" s="7">
        <v>-2.1811418235301971E-2</v>
      </c>
      <c r="BB4" s="7">
        <v>-7.6676465570926666E-2</v>
      </c>
      <c r="BC4" s="7">
        <v>1.004549115896225E-2</v>
      </c>
      <c r="BD4" s="7">
        <v>-4.7882307320833213E-2</v>
      </c>
      <c r="BE4" s="7">
        <v>-6.8554230034351349E-2</v>
      </c>
      <c r="BF4" s="7">
        <v>-8.2745306193828583E-2</v>
      </c>
      <c r="BG4" s="7">
        <v>-0.1204242408275604</v>
      </c>
      <c r="BH4" s="7">
        <v>-0.10103762894868849</v>
      </c>
      <c r="BI4" s="7">
        <v>-3.9490096271038062E-2</v>
      </c>
      <c r="BJ4" s="7">
        <v>-6.4256303012371063E-2</v>
      </c>
      <c r="BK4" s="7">
        <v>-0.14447127282619479</v>
      </c>
      <c r="BL4" s="7">
        <v>-0.1120113208889961</v>
      </c>
      <c r="BM4" s="7">
        <v>-3.4826010465621948E-2</v>
      </c>
      <c r="BN4" s="7">
        <v>-8.5986465215682983E-2</v>
      </c>
      <c r="BO4" s="7">
        <v>-7.0973977446556091E-2</v>
      </c>
      <c r="BP4" s="7">
        <v>-3.4846525639295578E-2</v>
      </c>
      <c r="BQ4" s="7">
        <v>-2.0351750776171681E-2</v>
      </c>
      <c r="BR4" s="7">
        <v>-2.315560914576054E-2</v>
      </c>
      <c r="BS4" s="7">
        <v>-3.2191596925258643E-2</v>
      </c>
      <c r="BT4" s="7">
        <v>-6.8826571106910706E-2</v>
      </c>
      <c r="BU4" s="7">
        <v>-9.2764981091022491E-2</v>
      </c>
      <c r="BV4" s="7">
        <v>-8.1678107380867004E-2</v>
      </c>
      <c r="BW4" s="7">
        <v>-6.8563610315322876E-2</v>
      </c>
      <c r="BX4" s="7">
        <v>-1.983198523521423E-2</v>
      </c>
      <c r="BY4" s="7">
        <v>-6.1186797916889191E-2</v>
      </c>
      <c r="BZ4" s="7">
        <v>-7.0581048727035522E-2</v>
      </c>
      <c r="CA4" s="7">
        <v>-7.2609454393386841E-2</v>
      </c>
      <c r="CB4" s="7">
        <v>-8.8862821459770203E-2</v>
      </c>
      <c r="CC4" s="7">
        <v>-6.5672166645526886E-2</v>
      </c>
      <c r="CD4" s="7">
        <v>-7.0492014288902283E-2</v>
      </c>
      <c r="CE4" s="7">
        <v>-8.9266888797283173E-2</v>
      </c>
      <c r="CF4" s="7">
        <v>-1.9554028287529949E-2</v>
      </c>
      <c r="CG4" s="7">
        <v>-3.8807325065135963E-2</v>
      </c>
      <c r="CH4" s="7">
        <v>-2.6853706687688831E-2</v>
      </c>
      <c r="CI4" s="7">
        <v>-2.3996761068701741E-2</v>
      </c>
      <c r="CJ4" s="7">
        <v>-6.9834161549806586E-3</v>
      </c>
      <c r="CK4" s="7">
        <v>-1.185638178139925E-2</v>
      </c>
      <c r="CL4" s="7">
        <v>-1.1220706626772881E-2</v>
      </c>
      <c r="CM4" s="7">
        <v>-1.975167170166969E-2</v>
      </c>
      <c r="CN4" s="7">
        <v>-1.7389096319675449E-2</v>
      </c>
      <c r="CO4" s="7">
        <v>9.1980240540578961E-4</v>
      </c>
      <c r="CP4" s="7">
        <v>-2.7678526937961578E-2</v>
      </c>
      <c r="CQ4" s="7">
        <v>-2.722612768411636E-2</v>
      </c>
      <c r="CR4" s="7">
        <v>-3.4191105514764793E-2</v>
      </c>
      <c r="CS4" s="7">
        <v>-3.7506073713302612E-2</v>
      </c>
      <c r="CT4" s="7">
        <v>-4.9283858388662338E-2</v>
      </c>
      <c r="CU4" s="7">
        <v>-2.3866469040513039E-2</v>
      </c>
      <c r="CV4" s="7">
        <v>-2.7314594481140379E-3</v>
      </c>
      <c r="CW4" s="7">
        <v>2.5829777121543881E-2</v>
      </c>
      <c r="CX4" s="7">
        <v>-7.7818602323532104E-2</v>
      </c>
      <c r="CY4" s="7">
        <v>-1.714335381984711E-2</v>
      </c>
      <c r="CZ4" s="7">
        <v>6.4833508804440498E-3</v>
      </c>
      <c r="DA4" s="7">
        <v>2.1121479570865631E-2</v>
      </c>
      <c r="DB4" s="7">
        <v>1.6250079497694969E-3</v>
      </c>
      <c r="DC4" s="7">
        <v>1.4495826326310629E-2</v>
      </c>
      <c r="DD4" s="7">
        <v>3.7542592734098428E-2</v>
      </c>
      <c r="DE4" s="7">
        <v>-4.7325566411018372E-2</v>
      </c>
      <c r="DF4" s="7">
        <v>3.3347133547067642E-2</v>
      </c>
      <c r="DG4" s="7">
        <v>-1.8042853102087971E-2</v>
      </c>
      <c r="DH4" s="7">
        <v>-1.2872833758592611E-2</v>
      </c>
      <c r="DI4" s="7">
        <v>2.5734813883900639E-2</v>
      </c>
      <c r="DJ4" s="7">
        <v>1.416372787207365E-2</v>
      </c>
      <c r="DK4" s="7">
        <v>-3.316790983080864E-2</v>
      </c>
      <c r="DL4" s="7">
        <v>-2.1062262356281281E-2</v>
      </c>
      <c r="DM4" s="7">
        <v>1.4148561283946041E-2</v>
      </c>
      <c r="DN4" s="7">
        <v>-1.9859654828906059E-2</v>
      </c>
      <c r="DO4" s="7">
        <v>-3.856055811047554E-2</v>
      </c>
      <c r="DP4" s="7">
        <v>5.259593203663826E-2</v>
      </c>
      <c r="DQ4" s="7">
        <v>5.0834372639656067E-2</v>
      </c>
      <c r="DR4" s="7">
        <v>3.4424390643835068E-2</v>
      </c>
      <c r="DS4" s="7">
        <v>2.6739172637462619E-2</v>
      </c>
      <c r="DT4" s="7">
        <v>-2.2692034021019939E-2</v>
      </c>
      <c r="DU4" s="7">
        <v>2.356254868209362E-2</v>
      </c>
      <c r="DV4" s="7">
        <v>1.1204046197235581E-2</v>
      </c>
      <c r="DW4" s="7">
        <v>9.7593218088150024E-3</v>
      </c>
      <c r="DX4" s="7">
        <v>-1.200891844928265E-2</v>
      </c>
      <c r="DY4" s="7">
        <v>-1.29100177437067E-2</v>
      </c>
      <c r="DZ4" s="7">
        <v>1.4516728930175299E-2</v>
      </c>
      <c r="EA4" s="7">
        <v>2.0058911293745041E-2</v>
      </c>
      <c r="EB4" s="7">
        <v>5.2505847066640847E-2</v>
      </c>
      <c r="EC4" s="7">
        <v>3.2138381153345108E-2</v>
      </c>
      <c r="ED4" s="7">
        <v>-9.5858694985508919E-3</v>
      </c>
      <c r="EE4" s="7">
        <v>1.6591379418969151E-2</v>
      </c>
      <c r="EF4" s="7">
        <v>2.4656090885400769E-2</v>
      </c>
      <c r="EG4" s="1"/>
    </row>
    <row r="5" spans="1:138" x14ac:dyDescent="0.3">
      <c r="B5" s="1" t="s">
        <v>139</v>
      </c>
      <c r="C5" s="7">
        <v>-1.9821943715214729E-2</v>
      </c>
      <c r="D5" s="7">
        <v>-2.4067563936114311E-2</v>
      </c>
      <c r="E5" s="7">
        <v>-7.5782481580972672E-3</v>
      </c>
      <c r="F5" s="7">
        <v>3.8560427725315087E-2</v>
      </c>
      <c r="G5" s="7">
        <v>-7.0930332876741886E-3</v>
      </c>
      <c r="H5" s="7">
        <v>-2.8790984302759171E-2</v>
      </c>
      <c r="I5" s="7">
        <v>-5.0696283578872681E-2</v>
      </c>
      <c r="J5" s="7">
        <v>-1.75021740142256E-3</v>
      </c>
      <c r="K5" s="7">
        <v>-4.8410315066576004E-3</v>
      </c>
      <c r="L5" s="7">
        <v>-2.5085138157010078E-2</v>
      </c>
      <c r="M5" s="7">
        <v>3.4981705248355872E-2</v>
      </c>
      <c r="N5" s="7">
        <v>7.1464717388153076E-2</v>
      </c>
      <c r="O5" s="7">
        <v>4.9568243324756622E-2</v>
      </c>
      <c r="P5" s="7">
        <v>9.211605042219162E-2</v>
      </c>
      <c r="Q5" s="7">
        <v>7.458747923374176E-2</v>
      </c>
      <c r="R5" s="7">
        <v>3.6225240677595139E-2</v>
      </c>
      <c r="S5" s="7">
        <v>6.8880669772624969E-2</v>
      </c>
      <c r="T5" s="7">
        <v>5.0580024719238281E-2</v>
      </c>
      <c r="U5" s="7">
        <v>5.0022769719362259E-2</v>
      </c>
      <c r="V5" s="7">
        <v>6.5072879195213318E-2</v>
      </c>
      <c r="W5" s="7">
        <v>8.2305394113063812E-2</v>
      </c>
      <c r="X5" s="7">
        <v>4.979049414396286E-2</v>
      </c>
      <c r="Y5" s="7">
        <v>0.16213490068912509</v>
      </c>
      <c r="Z5" s="7">
        <v>4.9829393625259399E-2</v>
      </c>
      <c r="AA5" s="7">
        <v>-9.6141993999481201E-3</v>
      </c>
      <c r="AB5" s="7">
        <v>-9.4462800770998001E-3</v>
      </c>
      <c r="AC5" s="7">
        <v>-1.5571466647088529E-2</v>
      </c>
      <c r="AD5" s="7">
        <v>-5.6024580262601384E-3</v>
      </c>
      <c r="AE5" s="7">
        <v>2.4225909262895581E-2</v>
      </c>
      <c r="AF5" s="7">
        <v>6.4355872571468353E-2</v>
      </c>
      <c r="AG5" s="7">
        <v>6.0781430453062057E-2</v>
      </c>
      <c r="AH5" s="7">
        <v>2.877256274223328E-2</v>
      </c>
      <c r="AI5" s="7">
        <v>4.2393732815980911E-2</v>
      </c>
      <c r="AJ5" s="7">
        <v>1.3549104332923889E-2</v>
      </c>
      <c r="AK5" s="7">
        <v>0.104340173304081</v>
      </c>
      <c r="AL5" s="7">
        <v>2.3477694019675251E-2</v>
      </c>
      <c r="AM5" s="7">
        <v>4.9679871648550027E-2</v>
      </c>
      <c r="AN5" s="7">
        <v>-1.9429741427302361E-2</v>
      </c>
      <c r="AO5" s="7">
        <v>-9.9202198907732964E-3</v>
      </c>
      <c r="AP5" s="7">
        <v>1.375884562730789E-2</v>
      </c>
      <c r="AQ5" s="7">
        <v>-4.9647921696305266E-3</v>
      </c>
      <c r="AR5" s="7">
        <v>-1.355784293264151E-2</v>
      </c>
      <c r="AS5" s="7">
        <v>-2.6926254853606221E-2</v>
      </c>
      <c r="AT5" s="7">
        <v>-7.0274341851472846E-3</v>
      </c>
      <c r="AU5" s="7">
        <v>9.5545966178178787E-3</v>
      </c>
      <c r="AV5" s="7">
        <v>3.9484385401010513E-2</v>
      </c>
      <c r="AW5" s="7">
        <v>1.0149263776838779E-2</v>
      </c>
      <c r="AX5" s="7">
        <v>2.7402361854910851E-2</v>
      </c>
      <c r="AY5" s="7">
        <v>3.636043518781662E-2</v>
      </c>
      <c r="AZ5" s="7">
        <v>-1.262158527970314E-2</v>
      </c>
      <c r="BA5" s="7">
        <v>5.0261570140719414E-3</v>
      </c>
      <c r="BB5" s="7">
        <v>3.7919752299785607E-2</v>
      </c>
      <c r="BC5" s="7">
        <v>5.3017329424619668E-2</v>
      </c>
      <c r="BD5" s="7">
        <v>-5.6791070848703377E-2</v>
      </c>
      <c r="BE5" s="7">
        <v>-1.0663941502571109E-2</v>
      </c>
      <c r="BF5" s="7">
        <v>-4.5907318592071533E-2</v>
      </c>
      <c r="BG5" s="7">
        <v>-4.1811093688011169E-2</v>
      </c>
      <c r="BH5" s="7">
        <v>-8.6124790832400322E-3</v>
      </c>
      <c r="BI5" s="7">
        <v>5.799414124339819E-3</v>
      </c>
      <c r="BJ5" s="7">
        <v>-1.243619527667761E-2</v>
      </c>
      <c r="BK5" s="7">
        <v>2.8031732887029651E-2</v>
      </c>
      <c r="BL5" s="7">
        <v>1.237457524985075E-2</v>
      </c>
      <c r="BM5" s="7">
        <v>3.3071968704462051E-2</v>
      </c>
      <c r="BN5" s="7">
        <v>5.3148314356803887E-2</v>
      </c>
      <c r="BO5" s="7">
        <v>-2.6408641133457422E-4</v>
      </c>
      <c r="BP5" s="7">
        <v>2.5249753147363659E-2</v>
      </c>
      <c r="BQ5" s="7">
        <v>1.6997437924146649E-2</v>
      </c>
      <c r="BR5" s="7">
        <v>3.9869185537099838E-2</v>
      </c>
      <c r="BS5" s="7">
        <v>1.4649398624897E-2</v>
      </c>
      <c r="BT5" s="7">
        <v>-1.352826133370399E-3</v>
      </c>
      <c r="BU5" s="7">
        <v>-1.624243147671223E-2</v>
      </c>
      <c r="BV5" s="7">
        <v>-1.9686918705701831E-2</v>
      </c>
      <c r="BW5" s="7">
        <v>1.865353994071484E-2</v>
      </c>
      <c r="BX5" s="7">
        <v>1.243885513395071E-2</v>
      </c>
      <c r="BY5" s="7">
        <v>1.172025687992573E-2</v>
      </c>
      <c r="BZ5" s="7">
        <v>2.6449056342244152E-2</v>
      </c>
      <c r="CA5" s="7">
        <v>2.04578060656786E-2</v>
      </c>
      <c r="CB5" s="7">
        <v>-1.0790687054395681E-2</v>
      </c>
      <c r="CC5" s="7">
        <v>2.7279853820800781E-2</v>
      </c>
      <c r="CD5" s="7">
        <v>-2.825878094881773E-3</v>
      </c>
      <c r="CE5" s="7">
        <v>-3.9107587188482278E-2</v>
      </c>
      <c r="CF5" s="7">
        <v>2.643934823572636E-2</v>
      </c>
      <c r="CG5" s="7">
        <v>-1.353815849870443E-2</v>
      </c>
      <c r="CH5" s="7">
        <v>3.3741135150194168E-2</v>
      </c>
      <c r="CI5" s="7">
        <v>-1.802918687462807E-2</v>
      </c>
      <c r="CJ5" s="7">
        <v>7.7282674610614777E-3</v>
      </c>
      <c r="CK5" s="7">
        <v>4.5171476900577552E-2</v>
      </c>
      <c r="CL5" s="7">
        <v>-1.4336470048874621E-3</v>
      </c>
      <c r="CM5" s="7">
        <v>-4.3408293277025223E-2</v>
      </c>
      <c r="CN5" s="7">
        <v>-4.8494711518287659E-2</v>
      </c>
      <c r="CO5" s="7">
        <v>-3.4412361681461327E-2</v>
      </c>
      <c r="CP5" s="7">
        <v>-3.1831637024879463E-2</v>
      </c>
      <c r="CQ5" s="7">
        <v>-2.954593114554882E-2</v>
      </c>
      <c r="CR5" s="7">
        <v>-4.6193767338991172E-2</v>
      </c>
      <c r="CS5" s="7">
        <v>-2.2423639893531799E-2</v>
      </c>
      <c r="CT5" s="7">
        <v>2.7818739414215091E-2</v>
      </c>
      <c r="CU5" s="7">
        <v>3.4685932099819183E-2</v>
      </c>
      <c r="CV5" s="7">
        <v>2.074115909636021E-2</v>
      </c>
      <c r="CW5" s="7">
        <v>3.9250623434782028E-2</v>
      </c>
      <c r="CX5" s="7">
        <v>2.3623250424861911E-2</v>
      </c>
      <c r="CY5" s="7">
        <v>2.0947696641087529E-2</v>
      </c>
      <c r="CZ5" s="7">
        <v>2.7976941782981162E-3</v>
      </c>
      <c r="DA5" s="7">
        <v>3.1392037868499763E-2</v>
      </c>
      <c r="DB5" s="7">
        <v>2.502433024346828E-3</v>
      </c>
      <c r="DC5" s="7">
        <v>4.6531397849321372E-2</v>
      </c>
      <c r="DD5" s="7">
        <v>3.7525448948144913E-2</v>
      </c>
      <c r="DE5" s="7">
        <v>6.0277972370386117E-2</v>
      </c>
      <c r="DF5" s="7">
        <v>-1.6737030819058418E-2</v>
      </c>
      <c r="DG5" s="7">
        <v>-9.5816031098365784E-3</v>
      </c>
      <c r="DH5" s="7">
        <v>2.3357640951871868E-2</v>
      </c>
      <c r="DI5" s="7">
        <v>-4.1918892413377762E-2</v>
      </c>
      <c r="DJ5" s="7">
        <v>-1.131146331317723E-3</v>
      </c>
      <c r="DK5" s="7">
        <v>4.1163764894008643E-2</v>
      </c>
      <c r="DL5" s="7">
        <v>2.8391024097800251E-2</v>
      </c>
      <c r="DM5" s="7">
        <v>-2.8915755450725559E-2</v>
      </c>
      <c r="DN5" s="7">
        <v>-1.6116663813591E-2</v>
      </c>
      <c r="DO5" s="7">
        <v>-4.4103553518652916E-3</v>
      </c>
      <c r="DP5" s="7">
        <v>-2.803636156022549E-2</v>
      </c>
      <c r="DQ5" s="7">
        <v>3.730235388502479E-3</v>
      </c>
      <c r="DR5" s="7">
        <v>4.8961839638650417E-3</v>
      </c>
      <c r="DS5" s="7">
        <v>1.518423017114401E-2</v>
      </c>
      <c r="DT5" s="7">
        <v>-2.709389291703701E-2</v>
      </c>
      <c r="DU5" s="7">
        <v>2.157741412520409E-2</v>
      </c>
      <c r="DV5" s="7">
        <v>-1.6142900567501779E-3</v>
      </c>
      <c r="DW5" s="7">
        <v>-4.1363826021552086E-3</v>
      </c>
      <c r="DX5" s="7">
        <v>-4.4376425445079803E-2</v>
      </c>
      <c r="DY5" s="7">
        <v>-3.3609867095947273E-2</v>
      </c>
      <c r="DZ5" s="7">
        <v>-4.8759568482637412E-2</v>
      </c>
      <c r="EA5" s="7">
        <v>5.7486207224428654E-3</v>
      </c>
      <c r="EB5" s="7">
        <v>5.8685941621661186E-3</v>
      </c>
      <c r="EC5" s="7">
        <v>4.229099303483963E-2</v>
      </c>
      <c r="ED5" s="7">
        <v>2.5345668196678162E-2</v>
      </c>
      <c r="EE5" s="7">
        <v>7.0743728429079056E-3</v>
      </c>
      <c r="EF5" s="7">
        <v>3.71592678129673E-2</v>
      </c>
      <c r="EG5" s="1"/>
    </row>
    <row r="6" spans="1:138" x14ac:dyDescent="0.3">
      <c r="A6" s="13" t="s">
        <v>140</v>
      </c>
      <c r="B6" s="14"/>
      <c r="C6" s="7">
        <f t="array" ref="C6">MATCH(MAX(ABS(C3:C5)), ABS(C3:C5), 0)</f>
        <v>1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2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3</v>
      </c>
      <c r="N6" s="7">
        <f t="array" ref="N6">MATCH(MAX(ABS(N3:N5)), ABS(N3:N5), 0)</f>
        <v>1</v>
      </c>
      <c r="O6" s="7">
        <f t="array" ref="O6">MATCH(MAX(ABS(O3:O5)), ABS(O3:O5), 0)</f>
        <v>2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2</v>
      </c>
      <c r="AC6" s="7">
        <f t="array" ref="AC6">MATCH(MAX(ABS(AC3:AC5)), ABS(AC3:AC5), 0)</f>
        <v>1</v>
      </c>
      <c r="AD6" s="7">
        <f t="array" ref="AD6">MATCH(MAX(ABS(AD3:AD5)), ABS(AD3:AD5), 0)</f>
        <v>2</v>
      </c>
      <c r="AE6" s="7">
        <f t="array" ref="AE6">MATCH(MAX(ABS(AE3:AE5)), ABS(AE3:AE5), 0)</f>
        <v>2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2</v>
      </c>
      <c r="AI6" s="7">
        <f t="array" ref="AI6">MATCH(MAX(ABS(AI3:AI5)), ABS(AI3:AI5), 0)</f>
        <v>3</v>
      </c>
      <c r="AJ6" s="7">
        <f t="array" ref="AJ6">MATCH(MAX(ABS(AJ3:AJ5)), ABS(AJ3:AJ5), 0)</f>
        <v>2</v>
      </c>
      <c r="AK6" s="7">
        <f t="array" ref="AK6">MATCH(MAX(ABS(AK3:AK5)), ABS(AK3:AK5), 0)</f>
        <v>3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2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3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3</v>
      </c>
      <c r="BD6" s="7">
        <f t="array" ref="BD6">MATCH(MAX(ABS(BD3:BD5)), ABS(BD3:BD5), 0)</f>
        <v>1</v>
      </c>
      <c r="BE6" s="7">
        <f t="array" ref="BE6">MATCH(MAX(ABS(BE3:BE5)), ABS(BE3:BE5), 0)</f>
        <v>2</v>
      </c>
      <c r="BF6" s="7">
        <f t="array" ref="BF6">MATCH(MAX(ABS(BF3:BF5)), ABS(BF3:BF5), 0)</f>
        <v>2</v>
      </c>
      <c r="BG6" s="7">
        <f t="array" ref="BG6">MATCH(MAX(ABS(BG3:BG5)), ABS(BG3:BG5), 0)</f>
        <v>2</v>
      </c>
      <c r="BH6" s="7">
        <f t="array" ref="BH6">MATCH(MAX(ABS(BH3:BH5)), ABS(BH3:BH5), 0)</f>
        <v>2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2</v>
      </c>
      <c r="BL6" s="7">
        <f t="array" ref="BL6">MATCH(MAX(ABS(BL3:BL5)), ABS(BL3:BL5), 0)</f>
        <v>2</v>
      </c>
      <c r="BM6" s="7">
        <f t="array" ref="BM6">MATCH(MAX(ABS(BM3:BM5)), ABS(BM3:BM5), 0)</f>
        <v>2</v>
      </c>
      <c r="BN6" s="7">
        <f t="array" ref="BN6">MATCH(MAX(ABS(BN3:BN5)), ABS(BN3:BN5), 0)</f>
        <v>2</v>
      </c>
      <c r="BO6" s="7">
        <f t="array" ref="BO6">MATCH(MAX(ABS(BO3:BO5)), ABS(BO3:BO5), 0)</f>
        <v>2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3</v>
      </c>
      <c r="BS6" s="7">
        <f t="array" ref="BS6">MATCH(MAX(ABS(BS3:BS5)), ABS(BS3:BS5), 0)</f>
        <v>1</v>
      </c>
      <c r="BT6" s="7">
        <f t="array" ref="BT6">MATCH(MAX(ABS(BT3:BT5)), ABS(BT3:BT5), 0)</f>
        <v>2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3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2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3</v>
      </c>
      <c r="CN6" s="7">
        <f t="array" ref="CN6">MATCH(MAX(ABS(CN3:CN5)), ABS(CN3:CN5), 0)</f>
        <v>3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2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3</v>
      </c>
      <c r="DD6" s="7">
        <f t="array" ref="DD6">MATCH(MAX(ABS(DD3:DD5)), ABS(DD3:DD5), 0)</f>
        <v>1</v>
      </c>
      <c r="DE6" s="7">
        <f t="array" ref="DE6">MATCH(MAX(ABS(DE3:DE5)), ABS(DE3:DE5), 0)</f>
        <v>3</v>
      </c>
      <c r="DF6" s="7">
        <f t="array" ref="DF6">MATCH(MAX(ABS(DF3:DF5)), ABS(DF3:DF5), 0)</f>
        <v>2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3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3</v>
      </c>
      <c r="DM6" s="7">
        <f t="array" ref="DM6">MATCH(MAX(ABS(DM3:DM5)), ABS(DM3:DM5), 0)</f>
        <v>1</v>
      </c>
      <c r="DN6" s="7">
        <f t="array" ref="DN6">MATCH(MAX(ABS(DN3:DN5)), ABS(DN3:DN5), 0)</f>
        <v>2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2</v>
      </c>
      <c r="DS6" s="7">
        <f t="array" ref="DS6">MATCH(MAX(ABS(DS3:DS5)), ABS(DS3:DS5), 0)</f>
        <v>2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1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8" x14ac:dyDescent="0.3">
      <c r="C7" s="7" t="str">
        <f t="shared" ref="C7:AH7" si="0">IF(C6=1,"bm",IF(C6=2,"size",IF(C6=3,"mom")))</f>
        <v>bm</v>
      </c>
      <c r="D7" s="7" t="str">
        <f t="shared" si="0"/>
        <v>size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size</v>
      </c>
      <c r="K7" s="7" t="str">
        <f t="shared" si="0"/>
        <v>bm</v>
      </c>
      <c r="L7" s="7" t="str">
        <f t="shared" si="0"/>
        <v>bm</v>
      </c>
      <c r="M7" s="7" t="str">
        <f t="shared" si="0"/>
        <v>mom</v>
      </c>
      <c r="N7" s="7" t="str">
        <f t="shared" si="0"/>
        <v>bm</v>
      </c>
      <c r="O7" s="7" t="str">
        <f t="shared" si="0"/>
        <v>size</v>
      </c>
      <c r="P7" s="7" t="str">
        <f t="shared" si="0"/>
        <v>mom</v>
      </c>
      <c r="Q7" s="7" t="str">
        <f t="shared" si="0"/>
        <v>bm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size</v>
      </c>
      <c r="AA7" s="7" t="str">
        <f t="shared" si="0"/>
        <v>size</v>
      </c>
      <c r="AB7" s="7" t="str">
        <f t="shared" si="0"/>
        <v>size</v>
      </c>
      <c r="AC7" s="7" t="str">
        <f t="shared" si="0"/>
        <v>bm</v>
      </c>
      <c r="AD7" s="7" t="str">
        <f t="shared" si="0"/>
        <v>size</v>
      </c>
      <c r="AE7" s="7" t="str">
        <f t="shared" si="0"/>
        <v>size</v>
      </c>
      <c r="AF7" s="7" t="str">
        <f t="shared" si="0"/>
        <v>mom</v>
      </c>
      <c r="AG7" s="7" t="str">
        <f t="shared" si="0"/>
        <v>mom</v>
      </c>
      <c r="AH7" s="7" t="str">
        <f t="shared" si="0"/>
        <v>size</v>
      </c>
      <c r="AI7" s="7" t="str">
        <f t="shared" ref="AI7:BN7" si="1">IF(AI6=1,"bm",IF(AI6=2,"size",IF(AI6=3,"mom")))</f>
        <v>mom</v>
      </c>
      <c r="AJ7" s="7" t="str">
        <f t="shared" si="1"/>
        <v>size</v>
      </c>
      <c r="AK7" s="7" t="str">
        <f t="shared" si="1"/>
        <v>mom</v>
      </c>
      <c r="AL7" s="7" t="str">
        <f t="shared" si="1"/>
        <v>mom</v>
      </c>
      <c r="AM7" s="7" t="str">
        <f t="shared" si="1"/>
        <v>mom</v>
      </c>
      <c r="AN7" s="7" t="str">
        <f t="shared" si="1"/>
        <v>size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size</v>
      </c>
      <c r="AS7" s="7" t="str">
        <f t="shared" si="1"/>
        <v>mom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bm</v>
      </c>
      <c r="BA7" s="7" t="str">
        <f t="shared" si="1"/>
        <v>bm</v>
      </c>
      <c r="BB7" s="7" t="str">
        <f t="shared" si="1"/>
        <v>size</v>
      </c>
      <c r="BC7" s="7" t="str">
        <f t="shared" si="1"/>
        <v>mom</v>
      </c>
      <c r="BD7" s="7" t="str">
        <f t="shared" si="1"/>
        <v>bm</v>
      </c>
      <c r="BE7" s="7" t="str">
        <f t="shared" si="1"/>
        <v>size</v>
      </c>
      <c r="BF7" s="7" t="str">
        <f t="shared" si="1"/>
        <v>size</v>
      </c>
      <c r="BG7" s="7" t="str">
        <f t="shared" si="1"/>
        <v>size</v>
      </c>
      <c r="BH7" s="7" t="str">
        <f t="shared" si="1"/>
        <v>size</v>
      </c>
      <c r="BI7" s="7" t="str">
        <f t="shared" si="1"/>
        <v>bm</v>
      </c>
      <c r="BJ7" s="7" t="str">
        <f t="shared" si="1"/>
        <v>bm</v>
      </c>
      <c r="BK7" s="7" t="str">
        <f t="shared" si="1"/>
        <v>size</v>
      </c>
      <c r="BL7" s="7" t="str">
        <f t="shared" si="1"/>
        <v>size</v>
      </c>
      <c r="BM7" s="7" t="str">
        <f t="shared" si="1"/>
        <v>size</v>
      </c>
      <c r="BN7" s="7" t="str">
        <f t="shared" si="1"/>
        <v>size</v>
      </c>
      <c r="BO7" s="7" t="str">
        <f t="shared" ref="BO7:CT7" si="2">IF(BO6=1,"bm",IF(BO6=2,"size",IF(BO6=3,"mom")))</f>
        <v>size</v>
      </c>
      <c r="BP7" s="7" t="str">
        <f t="shared" si="2"/>
        <v>bm</v>
      </c>
      <c r="BQ7" s="7" t="str">
        <f t="shared" si="2"/>
        <v>bm</v>
      </c>
      <c r="BR7" s="7" t="str">
        <f t="shared" si="2"/>
        <v>mom</v>
      </c>
      <c r="BS7" s="7" t="str">
        <f t="shared" si="2"/>
        <v>bm</v>
      </c>
      <c r="BT7" s="7" t="str">
        <f t="shared" si="2"/>
        <v>size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size</v>
      </c>
      <c r="BZ7" s="7" t="str">
        <f t="shared" si="2"/>
        <v>bm</v>
      </c>
      <c r="CA7" s="7" t="str">
        <f t="shared" si="2"/>
        <v>size</v>
      </c>
      <c r="CB7" s="7" t="str">
        <f t="shared" si="2"/>
        <v>size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mom</v>
      </c>
      <c r="CG7" s="7" t="str">
        <f t="shared" si="2"/>
        <v>size</v>
      </c>
      <c r="CH7" s="7" t="str">
        <f t="shared" si="2"/>
        <v>bm</v>
      </c>
      <c r="CI7" s="7" t="str">
        <f t="shared" si="2"/>
        <v>size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mom</v>
      </c>
      <c r="CN7" s="7" t="str">
        <f t="shared" si="2"/>
        <v>mom</v>
      </c>
      <c r="CO7" s="7" t="str">
        <f t="shared" si="2"/>
        <v>mom</v>
      </c>
      <c r="CP7" s="7" t="str">
        <f t="shared" si="2"/>
        <v>bm</v>
      </c>
      <c r="CQ7" s="7" t="str">
        <f t="shared" si="2"/>
        <v>bm</v>
      </c>
      <c r="CR7" s="7" t="str">
        <f t="shared" si="2"/>
        <v>bm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size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bm</v>
      </c>
      <c r="DC7" s="7" t="str">
        <f t="shared" si="3"/>
        <v>mom</v>
      </c>
      <c r="DD7" s="7" t="str">
        <f t="shared" si="3"/>
        <v>bm</v>
      </c>
      <c r="DE7" s="7" t="str">
        <f t="shared" si="3"/>
        <v>mom</v>
      </c>
      <c r="DF7" s="7" t="str">
        <f t="shared" si="3"/>
        <v>size</v>
      </c>
      <c r="DG7" s="7" t="str">
        <f t="shared" si="3"/>
        <v>bm</v>
      </c>
      <c r="DH7" s="7" t="str">
        <f t="shared" si="3"/>
        <v>bm</v>
      </c>
      <c r="DI7" s="7" t="str">
        <f t="shared" si="3"/>
        <v>mom</v>
      </c>
      <c r="DJ7" s="7" t="str">
        <f t="shared" si="3"/>
        <v>size</v>
      </c>
      <c r="DK7" s="7" t="str">
        <f t="shared" si="3"/>
        <v>bm</v>
      </c>
      <c r="DL7" s="7" t="str">
        <f t="shared" si="3"/>
        <v>mom</v>
      </c>
      <c r="DM7" s="7" t="str">
        <f t="shared" si="3"/>
        <v>bm</v>
      </c>
      <c r="DN7" s="7" t="str">
        <f t="shared" si="3"/>
        <v>size</v>
      </c>
      <c r="DO7" s="7" t="str">
        <f t="shared" si="3"/>
        <v>size</v>
      </c>
      <c r="DP7" s="7" t="str">
        <f t="shared" si="3"/>
        <v>size</v>
      </c>
      <c r="DQ7" s="7" t="str">
        <f t="shared" si="3"/>
        <v>size</v>
      </c>
      <c r="DR7" s="7" t="str">
        <f t="shared" si="3"/>
        <v>size</v>
      </c>
      <c r="DS7" s="7" t="str">
        <f t="shared" si="3"/>
        <v>size</v>
      </c>
      <c r="DT7" s="7" t="str">
        <f t="shared" si="3"/>
        <v>bm</v>
      </c>
      <c r="DU7" s="7" t="str">
        <f t="shared" si="3"/>
        <v>bm</v>
      </c>
      <c r="DV7" s="7" t="str">
        <f t="shared" si="3"/>
        <v>bm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size</v>
      </c>
      <c r="EC7" s="7" t="str">
        <f t="shared" si="4"/>
        <v>mom</v>
      </c>
      <c r="ED7" s="7" t="str">
        <f t="shared" si="4"/>
        <v>bm</v>
      </c>
      <c r="EE7" s="7" t="str">
        <f t="shared" si="4"/>
        <v>size</v>
      </c>
      <c r="EF7" s="7" t="str">
        <f t="shared" si="4"/>
        <v>bm</v>
      </c>
      <c r="EG7" s="1" t="str">
        <f t="shared" si="4"/>
        <v>bm</v>
      </c>
    </row>
    <row r="8" spans="1:138" x14ac:dyDescent="0.3">
      <c r="C8" s="7">
        <f t="shared" ref="C8:AH8" si="5">IF(C6=1,C3,IF(C6=2,C4,IF(C6=3,C5)))</f>
        <v>4.0547288954257972E-2</v>
      </c>
      <c r="D8" s="7">
        <f t="shared" si="5"/>
        <v>-4.8252779990434647E-2</v>
      </c>
      <c r="E8" s="7">
        <f t="shared" si="5"/>
        <v>-5.1652342081069953E-2</v>
      </c>
      <c r="F8" s="7">
        <f t="shared" si="5"/>
        <v>-5.4286114871501923E-2</v>
      </c>
      <c r="G8" s="7">
        <f t="shared" si="5"/>
        <v>-5.7552006095647812E-2</v>
      </c>
      <c r="H8" s="7">
        <f t="shared" si="5"/>
        <v>-7.6259449124336243E-2</v>
      </c>
      <c r="I8" s="7">
        <f t="shared" si="5"/>
        <v>-0.107886478304863</v>
      </c>
      <c r="J8" s="7">
        <f t="shared" si="5"/>
        <v>-3.2917611300945282E-2</v>
      </c>
      <c r="K8" s="7">
        <f t="shared" si="5"/>
        <v>-5.9229228645563133E-2</v>
      </c>
      <c r="L8" s="7">
        <f t="shared" si="5"/>
        <v>-0.1078036949038506</v>
      </c>
      <c r="M8" s="7">
        <f t="shared" si="5"/>
        <v>3.4981705248355872E-2</v>
      </c>
      <c r="N8" s="7">
        <f t="shared" si="5"/>
        <v>-0.1346741318702698</v>
      </c>
      <c r="O8" s="7">
        <f t="shared" si="5"/>
        <v>-6.7216232419013977E-2</v>
      </c>
      <c r="P8" s="7">
        <f t="shared" si="5"/>
        <v>9.211605042219162E-2</v>
      </c>
      <c r="Q8" s="7">
        <f t="shared" si="5"/>
        <v>-8.6447760462760925E-2</v>
      </c>
      <c r="R8" s="7">
        <f t="shared" si="5"/>
        <v>-7.7407129108905792E-2</v>
      </c>
      <c r="S8" s="7">
        <f t="shared" si="5"/>
        <v>-8.372652530670166E-2</v>
      </c>
      <c r="T8" s="7">
        <f t="shared" si="5"/>
        <v>-5.9324655681848533E-2</v>
      </c>
      <c r="U8" s="7">
        <f t="shared" si="5"/>
        <v>-0.10543976724147799</v>
      </c>
      <c r="V8" s="7">
        <f t="shared" si="5"/>
        <v>6.5072879195213318E-2</v>
      </c>
      <c r="W8" s="7">
        <f t="shared" si="5"/>
        <v>8.2305394113063812E-2</v>
      </c>
      <c r="X8" s="7">
        <f t="shared" si="5"/>
        <v>-9.8803862929344177E-2</v>
      </c>
      <c r="Y8" s="7">
        <f t="shared" si="5"/>
        <v>0.16213490068912509</v>
      </c>
      <c r="Z8" s="7">
        <f t="shared" si="5"/>
        <v>-6.800408661365509E-2</v>
      </c>
      <c r="AA8" s="7">
        <f t="shared" si="5"/>
        <v>-8.6181230843067169E-2</v>
      </c>
      <c r="AB8" s="7">
        <f t="shared" si="5"/>
        <v>-8.889392763376236E-2</v>
      </c>
      <c r="AC8" s="7">
        <f t="shared" si="5"/>
        <v>2.934014052152634E-2</v>
      </c>
      <c r="AD8" s="7">
        <f t="shared" si="5"/>
        <v>6.3448823988437653E-2</v>
      </c>
      <c r="AE8" s="7">
        <f t="shared" si="5"/>
        <v>-5.9580553323030472E-2</v>
      </c>
      <c r="AF8" s="7">
        <f t="shared" si="5"/>
        <v>6.4355872571468353E-2</v>
      </c>
      <c r="AG8" s="7">
        <f t="shared" si="5"/>
        <v>6.0781430453062057E-2</v>
      </c>
      <c r="AH8" s="7">
        <f t="shared" si="5"/>
        <v>2.907080203294754E-2</v>
      </c>
      <c r="AI8" s="7">
        <f t="shared" ref="AI8:BN8" si="6">IF(AI6=1,AI3,IF(AI6=2,AI4,IF(AI6=3,AI5)))</f>
        <v>4.2393732815980911E-2</v>
      </c>
      <c r="AJ8" s="7">
        <f t="shared" si="6"/>
        <v>4.4545106589794159E-2</v>
      </c>
      <c r="AK8" s="7">
        <f t="shared" si="6"/>
        <v>0.104340173304081</v>
      </c>
      <c r="AL8" s="7">
        <f t="shared" si="6"/>
        <v>2.3477694019675251E-2</v>
      </c>
      <c r="AM8" s="7">
        <f t="shared" si="6"/>
        <v>4.9679871648550027E-2</v>
      </c>
      <c r="AN8" s="7">
        <f t="shared" si="6"/>
        <v>4.7137059271335602E-2</v>
      </c>
      <c r="AO8" s="7">
        <f t="shared" si="6"/>
        <v>-2.9745671898126599E-2</v>
      </c>
      <c r="AP8" s="7">
        <f t="shared" si="6"/>
        <v>-2.683783695101738E-2</v>
      </c>
      <c r="AQ8" s="7">
        <f t="shared" si="6"/>
        <v>-2.169711887836456E-2</v>
      </c>
      <c r="AR8" s="7">
        <f t="shared" si="6"/>
        <v>5.4104723036289222E-2</v>
      </c>
      <c r="AS8" s="7">
        <f t="shared" si="6"/>
        <v>-2.6926254853606221E-2</v>
      </c>
      <c r="AT8" s="7">
        <f t="shared" si="6"/>
        <v>6.6039755940437317E-2</v>
      </c>
      <c r="AU8" s="7">
        <f t="shared" si="6"/>
        <v>6.2266789376735687E-2</v>
      </c>
      <c r="AV8" s="7">
        <f t="shared" si="6"/>
        <v>5.7940512895584113E-2</v>
      </c>
      <c r="AW8" s="7">
        <f t="shared" si="6"/>
        <v>0.1063941121101379</v>
      </c>
      <c r="AX8" s="7">
        <f t="shared" si="6"/>
        <v>2.7402361854910851E-2</v>
      </c>
      <c r="AY8" s="7">
        <f t="shared" si="6"/>
        <v>3.636043518781662E-2</v>
      </c>
      <c r="AZ8" s="7">
        <f t="shared" si="6"/>
        <v>8.6036309599876404E-2</v>
      </c>
      <c r="BA8" s="7">
        <f t="shared" si="6"/>
        <v>0.10234846919775011</v>
      </c>
      <c r="BB8" s="7">
        <f t="shared" si="6"/>
        <v>-7.6676465570926666E-2</v>
      </c>
      <c r="BC8" s="7">
        <f t="shared" si="6"/>
        <v>5.3017329424619668E-2</v>
      </c>
      <c r="BD8" s="7">
        <f t="shared" si="6"/>
        <v>7.7497914433479309E-2</v>
      </c>
      <c r="BE8" s="7">
        <f t="shared" si="6"/>
        <v>-6.8554230034351349E-2</v>
      </c>
      <c r="BF8" s="7">
        <f t="shared" si="6"/>
        <v>-8.2745306193828583E-2</v>
      </c>
      <c r="BG8" s="7">
        <f t="shared" si="6"/>
        <v>-0.1204242408275604</v>
      </c>
      <c r="BH8" s="7">
        <f t="shared" si="6"/>
        <v>-0.10103762894868849</v>
      </c>
      <c r="BI8" s="7">
        <f t="shared" si="6"/>
        <v>5.5158428847789757E-2</v>
      </c>
      <c r="BJ8" s="7">
        <f t="shared" si="6"/>
        <v>8.664897084236145E-2</v>
      </c>
      <c r="BK8" s="7">
        <f t="shared" si="6"/>
        <v>-0.14447127282619479</v>
      </c>
      <c r="BL8" s="7">
        <f t="shared" si="6"/>
        <v>-0.1120113208889961</v>
      </c>
      <c r="BM8" s="7">
        <f t="shared" si="6"/>
        <v>-3.4826010465621948E-2</v>
      </c>
      <c r="BN8" s="7">
        <f t="shared" si="6"/>
        <v>-8.5986465215682983E-2</v>
      </c>
      <c r="BO8" s="7">
        <f t="shared" ref="BO8:CT8" si="7">IF(BO6=1,BO3,IF(BO6=2,BO4,IF(BO6=3,BO5)))</f>
        <v>-7.0973977446556091E-2</v>
      </c>
      <c r="BP8" s="7">
        <f t="shared" si="7"/>
        <v>8.6037963628768921E-2</v>
      </c>
      <c r="BQ8" s="7">
        <f t="shared" si="7"/>
        <v>0.144142210483551</v>
      </c>
      <c r="BR8" s="7">
        <f t="shared" si="7"/>
        <v>3.9869185537099838E-2</v>
      </c>
      <c r="BS8" s="7">
        <f t="shared" si="7"/>
        <v>8.1880234181880951E-2</v>
      </c>
      <c r="BT8" s="7">
        <f t="shared" si="7"/>
        <v>-6.8826571106910706E-2</v>
      </c>
      <c r="BU8" s="7">
        <f t="shared" si="7"/>
        <v>0.10545723885297779</v>
      </c>
      <c r="BV8" s="7">
        <f t="shared" si="7"/>
        <v>0.1175376549363136</v>
      </c>
      <c r="BW8" s="7">
        <f t="shared" si="7"/>
        <v>9.2942401766777039E-2</v>
      </c>
      <c r="BX8" s="7">
        <f t="shared" si="7"/>
        <v>3.5637497901916497E-2</v>
      </c>
      <c r="BY8" s="7">
        <f t="shared" si="7"/>
        <v>-6.1186797916889191E-2</v>
      </c>
      <c r="BZ8" s="7">
        <f t="shared" si="7"/>
        <v>9.8455093801021576E-2</v>
      </c>
      <c r="CA8" s="7">
        <f t="shared" si="7"/>
        <v>-7.2609454393386841E-2</v>
      </c>
      <c r="CB8" s="7">
        <f t="shared" si="7"/>
        <v>-8.8862821459770203E-2</v>
      </c>
      <c r="CC8" s="7">
        <f t="shared" si="7"/>
        <v>-6.5672166645526886E-2</v>
      </c>
      <c r="CD8" s="7">
        <f t="shared" si="7"/>
        <v>-7.0492014288902283E-2</v>
      </c>
      <c r="CE8" s="7">
        <f t="shared" si="7"/>
        <v>-8.9266888797283173E-2</v>
      </c>
      <c r="CF8" s="7">
        <f t="shared" si="7"/>
        <v>2.643934823572636E-2</v>
      </c>
      <c r="CG8" s="7">
        <f t="shared" si="7"/>
        <v>-3.8807325065135963E-2</v>
      </c>
      <c r="CH8" s="7">
        <f t="shared" si="7"/>
        <v>5.8184977620840073E-2</v>
      </c>
      <c r="CI8" s="7">
        <f t="shared" si="7"/>
        <v>-2.3996761068701741E-2</v>
      </c>
      <c r="CJ8" s="7">
        <f t="shared" si="7"/>
        <v>-8.0891326069831848E-2</v>
      </c>
      <c r="CK8" s="7">
        <f t="shared" si="7"/>
        <v>7.3738843202590942E-2</v>
      </c>
      <c r="CL8" s="7">
        <f t="shared" si="7"/>
        <v>6.7692369222640991E-2</v>
      </c>
      <c r="CM8" s="7">
        <f t="shared" si="7"/>
        <v>-4.3408293277025223E-2</v>
      </c>
      <c r="CN8" s="7">
        <f t="shared" si="7"/>
        <v>-4.8494711518287659E-2</v>
      </c>
      <c r="CO8" s="7">
        <f t="shared" si="7"/>
        <v>-3.4412361681461327E-2</v>
      </c>
      <c r="CP8" s="7">
        <f t="shared" si="7"/>
        <v>-5.2108332514762878E-2</v>
      </c>
      <c r="CQ8" s="7">
        <f t="shared" si="7"/>
        <v>-7.2693914175033569E-2</v>
      </c>
      <c r="CR8" s="7">
        <f t="shared" si="7"/>
        <v>-6.0804408043622971E-2</v>
      </c>
      <c r="CS8" s="7">
        <f t="shared" si="7"/>
        <v>-3.7506073713302612E-2</v>
      </c>
      <c r="CT8" s="7">
        <f t="shared" si="7"/>
        <v>-6.339031457901001E-2</v>
      </c>
      <c r="CU8" s="7">
        <f t="shared" ref="CU8:DZ8" si="8">IF(CU6=1,CU3,IF(CU6=2,CU4,IF(CU6=3,CU5)))</f>
        <v>-6.1079829931259162E-2</v>
      </c>
      <c r="CV8" s="7">
        <f t="shared" si="8"/>
        <v>-2.170033194124699E-2</v>
      </c>
      <c r="CW8" s="7">
        <f t="shared" si="8"/>
        <v>-6.0720678418874741E-2</v>
      </c>
      <c r="CX8" s="7">
        <f t="shared" si="8"/>
        <v>-7.7818602323532104E-2</v>
      </c>
      <c r="CY8" s="7">
        <f t="shared" si="8"/>
        <v>-4.5480586588382721E-2</v>
      </c>
      <c r="CZ8" s="7">
        <f t="shared" si="8"/>
        <v>-6.9138072431087494E-2</v>
      </c>
      <c r="DA8" s="7">
        <f t="shared" si="8"/>
        <v>-8.9778468012809753E-2</v>
      </c>
      <c r="DB8" s="7">
        <f t="shared" si="8"/>
        <v>-6.527487188577652E-2</v>
      </c>
      <c r="DC8" s="7">
        <f t="shared" si="8"/>
        <v>4.6531397849321372E-2</v>
      </c>
      <c r="DD8" s="7">
        <f t="shared" si="8"/>
        <v>-5.9340178966522217E-2</v>
      </c>
      <c r="DE8" s="7">
        <f t="shared" si="8"/>
        <v>6.0277972370386117E-2</v>
      </c>
      <c r="DF8" s="7">
        <f t="shared" si="8"/>
        <v>3.3347133547067642E-2</v>
      </c>
      <c r="DG8" s="7">
        <f t="shared" si="8"/>
        <v>-2.4713881313800808E-2</v>
      </c>
      <c r="DH8" s="7">
        <f t="shared" si="8"/>
        <v>-3.5376153886318207E-2</v>
      </c>
      <c r="DI8" s="7">
        <f t="shared" si="8"/>
        <v>-4.1918892413377762E-2</v>
      </c>
      <c r="DJ8" s="7">
        <f t="shared" si="8"/>
        <v>1.416372787207365E-2</v>
      </c>
      <c r="DK8" s="7">
        <f t="shared" si="8"/>
        <v>-4.8771854490041733E-2</v>
      </c>
      <c r="DL8" s="7">
        <f t="shared" si="8"/>
        <v>2.8391024097800251E-2</v>
      </c>
      <c r="DM8" s="7">
        <f t="shared" si="8"/>
        <v>-4.967803880572319E-2</v>
      </c>
      <c r="DN8" s="7">
        <f t="shared" si="8"/>
        <v>-1.9859654828906059E-2</v>
      </c>
      <c r="DO8" s="7">
        <f t="shared" si="8"/>
        <v>-3.856055811047554E-2</v>
      </c>
      <c r="DP8" s="7">
        <f t="shared" si="8"/>
        <v>5.259593203663826E-2</v>
      </c>
      <c r="DQ8" s="7">
        <f t="shared" si="8"/>
        <v>5.0834372639656067E-2</v>
      </c>
      <c r="DR8" s="7">
        <f t="shared" si="8"/>
        <v>3.4424390643835068E-2</v>
      </c>
      <c r="DS8" s="7">
        <f t="shared" si="8"/>
        <v>2.6739172637462619E-2</v>
      </c>
      <c r="DT8" s="7">
        <f t="shared" si="8"/>
        <v>-5.3663063794374473E-2</v>
      </c>
      <c r="DU8" s="7">
        <f t="shared" si="8"/>
        <v>-4.4161681085824973E-2</v>
      </c>
      <c r="DV8" s="7">
        <f t="shared" si="8"/>
        <v>-2.3813089355826381E-2</v>
      </c>
      <c r="DW8" s="7">
        <f t="shared" si="8"/>
        <v>2.5176366791129109E-2</v>
      </c>
      <c r="DX8" s="7">
        <f t="shared" si="8"/>
        <v>-4.4376425445079803E-2</v>
      </c>
      <c r="DY8" s="7">
        <f t="shared" si="8"/>
        <v>-3.3609867095947273E-2</v>
      </c>
      <c r="DZ8" s="7">
        <f t="shared" si="8"/>
        <v>-4.8759568482637412E-2</v>
      </c>
      <c r="EA8" s="7">
        <f t="shared" ref="EA8:EG8" si="9">IF(EA6=1,EA3,IF(EA6=2,EA4,IF(EA6=3,EA5)))</f>
        <v>2.0058911293745041E-2</v>
      </c>
      <c r="EB8" s="7">
        <f t="shared" si="9"/>
        <v>5.2505847066640847E-2</v>
      </c>
      <c r="EC8" s="7">
        <f t="shared" si="9"/>
        <v>4.229099303483963E-2</v>
      </c>
      <c r="ED8" s="7">
        <f t="shared" si="9"/>
        <v>-5.2812475711107247E-2</v>
      </c>
      <c r="EE8" s="7">
        <f t="shared" si="9"/>
        <v>1.6591379418969151E-2</v>
      </c>
      <c r="EF8" s="7">
        <f t="shared" si="9"/>
        <v>-6.9071874022483826E-2</v>
      </c>
      <c r="EG8" s="1">
        <f t="shared" si="9"/>
        <v>0</v>
      </c>
    </row>
    <row r="10" spans="1:138" x14ac:dyDescent="0.3">
      <c r="A10" s="13" t="s">
        <v>141</v>
      </c>
      <c r="B10" s="14"/>
      <c r="C10" s="1" t="s">
        <v>142</v>
      </c>
      <c r="D10" s="2">
        <v>964</v>
      </c>
    </row>
    <row r="11" spans="1:138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t="s">
        <v>147</v>
      </c>
      <c r="EH11" t="s">
        <v>148</v>
      </c>
    </row>
    <row r="12" spans="1:138" x14ac:dyDescent="0.3">
      <c r="A12" s="1">
        <v>10</v>
      </c>
      <c r="B12" s="1">
        <v>96</v>
      </c>
      <c r="C12" s="7">
        <f>IF(預測IC!C12&gt;預測IC!C$25,1,0)</f>
        <v>1</v>
      </c>
      <c r="D12" s="7">
        <f>IF(預測IC!D12&gt;預測IC!D$25,1,0)</f>
        <v>0</v>
      </c>
      <c r="E12" s="7">
        <f>IF(預測IC!E12&gt;預測IC!E$25,1,0)</f>
        <v>0</v>
      </c>
      <c r="F12" s="7">
        <f>IF(預測IC!F12&gt;預測IC!F$25,1,0)</f>
        <v>1</v>
      </c>
      <c r="G12" s="7">
        <f>IF(預測IC!G12&gt;預測IC!G$25,1,0)</f>
        <v>0</v>
      </c>
      <c r="H12" s="7">
        <f>IF(預測IC!H12&gt;預測IC!H$25,1,0)</f>
        <v>0</v>
      </c>
      <c r="I12" s="7">
        <f>IF(預測IC!I12&gt;預測IC!I$25,1,0)</f>
        <v>1</v>
      </c>
      <c r="J12" s="7">
        <f>IF(預測IC!J12&gt;預測IC!J$25,1,0)</f>
        <v>0</v>
      </c>
      <c r="K12" s="7">
        <f>IF(預測IC!K12&gt;預測IC!K$25,1,0)</f>
        <v>1</v>
      </c>
      <c r="L12" s="7">
        <f>IF(預測IC!L12&gt;預測IC!L$25,1,0)</f>
        <v>1</v>
      </c>
      <c r="M12" s="7">
        <f>IF(預測IC!M12&gt;預測IC!M$25,1,0)</f>
        <v>0</v>
      </c>
      <c r="N12" s="7">
        <f>IF(預測IC!N12&gt;預測IC!N$25,1,0)</f>
        <v>0</v>
      </c>
      <c r="O12" s="7">
        <f>IF(預測IC!O12&gt;預測IC!O$25,1,0)</f>
        <v>1</v>
      </c>
      <c r="P12" s="7">
        <f>IF(預測IC!P12&gt;預測IC!P$25,1,0)</f>
        <v>0</v>
      </c>
      <c r="Q12" s="7">
        <f>IF(預測IC!Q12&gt;預測IC!Q$25,1,0)</f>
        <v>1</v>
      </c>
      <c r="R12" s="7">
        <f>IF(預測IC!R12&gt;預測IC!R$25,1,0)</f>
        <v>0</v>
      </c>
      <c r="S12" s="7">
        <f>IF(預測IC!S12&gt;預測IC!S$25,1,0)</f>
        <v>1</v>
      </c>
      <c r="T12" s="7">
        <f>IF(預測IC!T12&gt;預測IC!T$25,1,0)</f>
        <v>0</v>
      </c>
      <c r="U12" s="7">
        <f>IF(預測IC!U12&gt;預測IC!U$25,1,0)</f>
        <v>1</v>
      </c>
      <c r="V12" s="7">
        <f>IF(預測IC!V12&gt;預測IC!V$25,1,0)</f>
        <v>1</v>
      </c>
      <c r="W12" s="7">
        <f>IF(預測IC!W12&gt;預測IC!W$25,1,0)</f>
        <v>0</v>
      </c>
      <c r="X12" s="7">
        <f>IF(預測IC!X12&gt;預測IC!X$25,1,0)</f>
        <v>1</v>
      </c>
      <c r="Y12" s="7">
        <f>IF(預測IC!Y12&gt;預測IC!Y$25,1,0)</f>
        <v>1</v>
      </c>
      <c r="Z12" s="7">
        <f>IF(預測IC!Z12&gt;預測IC!Z$25,1,0)</f>
        <v>0</v>
      </c>
      <c r="AA12" s="7">
        <f>IF(預測IC!AA12&gt;預測IC!AA$25,1,0)</f>
        <v>0</v>
      </c>
      <c r="AB12" s="7">
        <f>IF(預測IC!AB12&gt;預測IC!AB$25,1,0)</f>
        <v>0</v>
      </c>
      <c r="AC12" s="7">
        <f>IF(預測IC!AC12&gt;預測IC!AC$25,1,0)</f>
        <v>1</v>
      </c>
      <c r="AD12" s="7">
        <f>IF(預測IC!AD12&gt;預測IC!AD$25,1,0)</f>
        <v>1</v>
      </c>
      <c r="AE12" s="7">
        <f>IF(預測IC!AE12&gt;預測IC!AE$25,1,0)</f>
        <v>0</v>
      </c>
      <c r="AF12" s="7">
        <f>IF(預測IC!AF12&gt;預測IC!AF$25,1,0)</f>
        <v>0</v>
      </c>
      <c r="AG12" s="7">
        <f>IF(預測IC!AG12&gt;預測IC!AG$25,1,0)</f>
        <v>0</v>
      </c>
      <c r="AH12" s="7">
        <f>IF(預測IC!AH12&gt;預測IC!AH$25,1,0)</f>
        <v>0</v>
      </c>
      <c r="AI12" s="7">
        <f>IF(預測IC!AI12&gt;預測IC!AI$25,1,0)</f>
        <v>0</v>
      </c>
      <c r="AJ12" s="7">
        <f>IF(預測IC!AJ12&gt;預測IC!AJ$25,1,0)</f>
        <v>1</v>
      </c>
      <c r="AK12" s="7">
        <f>IF(預測IC!AK12&gt;預測IC!AK$25,1,0)</f>
        <v>1</v>
      </c>
      <c r="AL12" s="7">
        <f>IF(預測IC!AL12&gt;預測IC!AL$25,1,0)</f>
        <v>0</v>
      </c>
      <c r="AM12" s="7">
        <f>IF(預測IC!AM12&gt;預測IC!AM$25,1,0)</f>
        <v>0</v>
      </c>
      <c r="AN12" s="7">
        <f>IF(預測IC!AN12&gt;預測IC!AN$25,1,0)</f>
        <v>0</v>
      </c>
      <c r="AO12" s="7">
        <f>IF(預測IC!AO12&gt;預測IC!AO$25,1,0)</f>
        <v>1</v>
      </c>
      <c r="AP12" s="7">
        <f>IF(預測IC!AP12&gt;預測IC!AP$25,1,0)</f>
        <v>1</v>
      </c>
      <c r="AQ12" s="7">
        <f>IF(預測IC!AQ12&gt;預測IC!AQ$25,1,0)</f>
        <v>0</v>
      </c>
      <c r="AR12" s="7">
        <f>IF(預測IC!AR12&gt;預測IC!AR$25,1,0)</f>
        <v>0</v>
      </c>
      <c r="AS12" s="7">
        <f>IF(預測IC!AS12&gt;預測IC!AS$25,1,0)</f>
        <v>0</v>
      </c>
      <c r="AT12" s="7">
        <f>IF(預測IC!AT12&gt;預測IC!AT$25,1,0)</f>
        <v>0</v>
      </c>
      <c r="AU12" s="7">
        <f>IF(預測IC!AU12&gt;預測IC!AU$25,1,0)</f>
        <v>1</v>
      </c>
      <c r="AV12" s="7">
        <f>IF(預測IC!AV12&gt;預測IC!AV$25,1,0)</f>
        <v>0</v>
      </c>
      <c r="AW12" s="7">
        <f>IF(預測IC!AW12&gt;預測IC!AW$25,1,0)</f>
        <v>1</v>
      </c>
      <c r="AX12" s="7">
        <f>IF(預測IC!AX12&gt;預測IC!AX$25,1,0)</f>
        <v>0</v>
      </c>
      <c r="AY12" s="7">
        <f>IF(預測IC!AY12&gt;預測IC!AY$25,1,0)</f>
        <v>0</v>
      </c>
      <c r="AZ12" s="7">
        <f>IF(預測IC!AZ12&gt;預測IC!AZ$25,1,0)</f>
        <v>1</v>
      </c>
      <c r="BA12" s="7">
        <f>IF(預測IC!BA12&gt;預測IC!BA$25,1,0)</f>
        <v>0</v>
      </c>
      <c r="BB12" s="7">
        <f>IF(預測IC!BB12&gt;預測IC!BB$25,1,0)</f>
        <v>1</v>
      </c>
      <c r="BC12" s="7">
        <f>IF(預測IC!BC12&gt;預測IC!BC$25,1,0)</f>
        <v>1</v>
      </c>
      <c r="BD12" s="7">
        <f>IF(預測IC!BD12&gt;預測IC!BD$25,1,0)</f>
        <v>1</v>
      </c>
      <c r="BE12" s="7">
        <f>IF(預測IC!BE12&gt;預測IC!BE$25,1,0)</f>
        <v>0</v>
      </c>
      <c r="BF12" s="7">
        <f>IF(預測IC!BF12&gt;預測IC!BF$25,1,0)</f>
        <v>1</v>
      </c>
      <c r="BG12" s="7">
        <f>IF(預測IC!BG12&gt;預測IC!BG$25,1,0)</f>
        <v>1</v>
      </c>
      <c r="BH12" s="7">
        <f>IF(預測IC!BH12&gt;預測IC!BH$25,1,0)</f>
        <v>1</v>
      </c>
      <c r="BI12" s="7">
        <f>IF(預測IC!BI12&gt;預測IC!BI$25,1,0)</f>
        <v>1</v>
      </c>
      <c r="BJ12" s="7">
        <f>IF(預測IC!BJ12&gt;預測IC!BJ$25,1,0)</f>
        <v>0</v>
      </c>
      <c r="BK12" s="7">
        <f>IF(預測IC!BK12&gt;預測IC!BK$25,1,0)</f>
        <v>0</v>
      </c>
      <c r="BL12" s="7">
        <f>IF(預測IC!BL12&gt;預測IC!BL$25,1,0)</f>
        <v>0</v>
      </c>
      <c r="BM12" s="7">
        <f>IF(預測IC!BM12&gt;預測IC!BM$25,1,0)</f>
        <v>0</v>
      </c>
      <c r="BN12" s="7">
        <f>IF(預測IC!BN12&gt;預測IC!BN$25,1,0)</f>
        <v>0</v>
      </c>
      <c r="BO12" s="7">
        <f>IF(預測IC!BO12&gt;預測IC!BO$25,1,0)</f>
        <v>1</v>
      </c>
      <c r="BP12" s="7">
        <f>IF(預測IC!BP12&gt;預測IC!BP$25,1,0)</f>
        <v>0</v>
      </c>
      <c r="BQ12" s="7">
        <f>IF(預測IC!BQ12&gt;預測IC!BQ$25,1,0)</f>
        <v>0</v>
      </c>
      <c r="BR12" s="7">
        <f>IF(預測IC!BR12&gt;預測IC!BR$25,1,0)</f>
        <v>0</v>
      </c>
      <c r="BS12" s="7">
        <f>IF(預測IC!BS12&gt;預測IC!BS$25,1,0)</f>
        <v>0</v>
      </c>
      <c r="BT12" s="7">
        <f>IF(預測IC!BT12&gt;預測IC!BT$25,1,0)</f>
        <v>0</v>
      </c>
      <c r="BU12" s="7">
        <f>IF(預測IC!BU12&gt;預測IC!BU$25,1,0)</f>
        <v>0</v>
      </c>
      <c r="BV12" s="7">
        <f>IF(預測IC!BV12&gt;預測IC!BV$25,1,0)</f>
        <v>0</v>
      </c>
      <c r="BW12" s="7">
        <f>IF(預測IC!BW12&gt;預測IC!BW$25,1,0)</f>
        <v>1</v>
      </c>
      <c r="BX12" s="7">
        <f>IF(預測IC!BX12&gt;預測IC!BX$25,1,0)</f>
        <v>1</v>
      </c>
      <c r="BY12" s="7">
        <f>IF(預測IC!BY12&gt;預測IC!BY$25,1,0)</f>
        <v>1</v>
      </c>
      <c r="BZ12" s="7">
        <f>IF(預測IC!BZ12&gt;預測IC!BZ$25,1,0)</f>
        <v>0</v>
      </c>
      <c r="CA12" s="7">
        <f>IF(預測IC!CA12&gt;預測IC!CA$25,1,0)</f>
        <v>1</v>
      </c>
      <c r="CB12" s="7">
        <f>IF(預測IC!CB12&gt;預測IC!CB$25,1,0)</f>
        <v>0</v>
      </c>
      <c r="CC12" s="7">
        <f>IF(預測IC!CC12&gt;預測IC!CC$25,1,0)</f>
        <v>0</v>
      </c>
      <c r="CD12" s="7">
        <f>IF(預測IC!CD12&gt;預測IC!CD$25,1,0)</f>
        <v>1</v>
      </c>
      <c r="CE12" s="7">
        <f>IF(預測IC!CE12&gt;預測IC!CE$25,1,0)</f>
        <v>0</v>
      </c>
      <c r="CF12" s="7">
        <f>IF(預測IC!CF12&gt;預測IC!CF$25,1,0)</f>
        <v>0</v>
      </c>
      <c r="CG12" s="7">
        <f>IF(預測IC!CG12&gt;預測IC!CG$25,1,0)</f>
        <v>0</v>
      </c>
      <c r="CH12" s="7">
        <f>IF(預測IC!CH12&gt;預測IC!CH$25,1,0)</f>
        <v>0</v>
      </c>
      <c r="CI12" s="7">
        <f>IF(預測IC!CI12&gt;預測IC!CI$25,1,0)</f>
        <v>1</v>
      </c>
      <c r="CJ12" s="7">
        <f>IF(預測IC!CJ12&gt;預測IC!CJ$25,1,0)</f>
        <v>0</v>
      </c>
      <c r="CK12" s="7">
        <f>IF(預測IC!CK12&gt;預測IC!CK$25,1,0)</f>
        <v>0</v>
      </c>
      <c r="CL12" s="7">
        <f>IF(預測IC!CL12&gt;預測IC!CL$25,1,0)</f>
        <v>0</v>
      </c>
      <c r="CM12" s="7">
        <f>IF(預測IC!CM12&gt;預測IC!CM$25,1,0)</f>
        <v>1</v>
      </c>
      <c r="CN12" s="7">
        <f>IF(預測IC!CN12&gt;預測IC!CN$25,1,0)</f>
        <v>1</v>
      </c>
      <c r="CO12" s="7">
        <f>IF(預測IC!CO12&gt;預測IC!CO$25,1,0)</f>
        <v>1</v>
      </c>
      <c r="CP12" s="7">
        <f>IF(預測IC!CP12&gt;預測IC!CP$25,1,0)</f>
        <v>0</v>
      </c>
      <c r="CQ12" s="7">
        <f>IF(預測IC!CQ12&gt;預測IC!CQ$25,1,0)</f>
        <v>1</v>
      </c>
      <c r="CR12" s="7">
        <f>IF(預測IC!CR12&gt;預測IC!CR$25,1,0)</f>
        <v>1</v>
      </c>
      <c r="CS12" s="7">
        <f>IF(預測IC!CS12&gt;預測IC!CS$25,1,0)</f>
        <v>0</v>
      </c>
      <c r="CT12" s="7">
        <f>IF(預測IC!CT12&gt;預測IC!CT$25,1,0)</f>
        <v>0</v>
      </c>
      <c r="CU12" s="7">
        <f>IF(預測IC!CU12&gt;預測IC!CU$25,1,0)</f>
        <v>1</v>
      </c>
      <c r="CV12" s="7">
        <f>IF(預測IC!CV12&gt;預測IC!CV$25,1,0)</f>
        <v>0</v>
      </c>
      <c r="CW12" s="7">
        <f>IF(預測IC!CW12&gt;預測IC!CW$25,1,0)</f>
        <v>1</v>
      </c>
      <c r="CX12" s="7">
        <f>IF(預測IC!CX12&gt;預測IC!CX$25,1,0)</f>
        <v>1</v>
      </c>
      <c r="CY12" s="7">
        <f>IF(預測IC!CY12&gt;預測IC!CY$25,1,0)</f>
        <v>1</v>
      </c>
      <c r="CZ12" s="7">
        <f>IF(預測IC!CZ12&gt;預測IC!CZ$25,1,0)</f>
        <v>1</v>
      </c>
      <c r="DA12" s="7">
        <f>IF(預測IC!DA12&gt;預測IC!DA$25,1,0)</f>
        <v>0</v>
      </c>
      <c r="DB12" s="7">
        <f>IF(預測IC!DB12&gt;預測IC!DB$25,1,0)</f>
        <v>0</v>
      </c>
      <c r="DC12" s="7">
        <f>IF(預測IC!DC12&gt;預測IC!DC$25,1,0)</f>
        <v>1</v>
      </c>
      <c r="DD12" s="7">
        <f>IF(預測IC!DD12&gt;預測IC!DD$25,1,0)</f>
        <v>0</v>
      </c>
      <c r="DE12" s="7">
        <f>IF(預測IC!DE12&gt;預測IC!DE$25,1,0)</f>
        <v>0</v>
      </c>
      <c r="DF12" s="7">
        <f>IF(預測IC!DF12&gt;預測IC!DF$25,1,0)</f>
        <v>1</v>
      </c>
      <c r="DG12" s="7">
        <f>IF(預測IC!DG12&gt;預測IC!DG$25,1,0)</f>
        <v>0</v>
      </c>
      <c r="DH12" s="7">
        <f>IF(預測IC!DH12&gt;預測IC!DH$25,1,0)</f>
        <v>0</v>
      </c>
      <c r="DI12" s="7">
        <f>IF(預測IC!DI12&gt;預測IC!DI$25,1,0)</f>
        <v>0</v>
      </c>
      <c r="DJ12" s="7">
        <f>IF(預測IC!DJ12&gt;預測IC!DJ$25,1,0)</f>
        <v>1</v>
      </c>
      <c r="DK12" s="7">
        <f>IF(預測IC!DK12&gt;預測IC!DK$25,1,0)</f>
        <v>0</v>
      </c>
      <c r="DL12" s="7">
        <f>IF(預測IC!DL12&gt;預測IC!DL$25,1,0)</f>
        <v>0</v>
      </c>
      <c r="DM12" s="7">
        <f>IF(預測IC!DM12&gt;預測IC!DM$25,1,0)</f>
        <v>0</v>
      </c>
      <c r="DN12" s="7">
        <f>IF(預測IC!DN12&gt;預測IC!DN$25,1,0)</f>
        <v>1</v>
      </c>
      <c r="DO12" s="7">
        <f>IF(預測IC!DO12&gt;預測IC!DO$25,1,0)</f>
        <v>0</v>
      </c>
      <c r="DP12" s="7">
        <f>IF(預測IC!DP12&gt;預測IC!DP$25,1,0)</f>
        <v>0</v>
      </c>
      <c r="DQ12" s="7">
        <f>IF(預測IC!DQ12&gt;預測IC!DQ$25,1,0)</f>
        <v>0</v>
      </c>
      <c r="DR12" s="7">
        <f>IF(預測IC!DR12&gt;預測IC!DR$25,1,0)</f>
        <v>0</v>
      </c>
      <c r="DS12" s="7">
        <f>IF(預測IC!DS12&gt;預測IC!DS$25,1,0)</f>
        <v>0</v>
      </c>
      <c r="DT12" s="7">
        <f>IF(預測IC!DT12&gt;預測IC!DT$25,1,0)</f>
        <v>0</v>
      </c>
      <c r="DU12" s="7">
        <f>IF(預測IC!DU12&gt;預測IC!DU$25,1,0)</f>
        <v>0</v>
      </c>
      <c r="DV12" s="7">
        <f>IF(預測IC!DV12&gt;預測IC!DV$25,1,0)</f>
        <v>0</v>
      </c>
      <c r="DW12" s="7">
        <f>IF(預測IC!DW12&gt;預測IC!DW$25,1,0)</f>
        <v>0</v>
      </c>
      <c r="DX12" s="7">
        <f>IF(預測IC!DX12&gt;預測IC!DX$25,1,0)</f>
        <v>0</v>
      </c>
      <c r="DY12" s="7">
        <f>IF(預測IC!DY12&gt;預測IC!DY$25,1,0)</f>
        <v>0</v>
      </c>
      <c r="DZ12" s="7">
        <f>IF(預測IC!DZ12&gt;預測IC!DZ$25,1,0)</f>
        <v>1</v>
      </c>
      <c r="EA12" s="7">
        <f>IF(預測IC!EA12&gt;預測IC!EA$25,1,0)</f>
        <v>1</v>
      </c>
      <c r="EB12" s="7">
        <f>IF(預測IC!EB12&gt;預測IC!EB$25,1,0)</f>
        <v>1</v>
      </c>
      <c r="EC12" s="7">
        <f>IF(預測IC!EC12&gt;預測IC!EC$25,1,0)</f>
        <v>1</v>
      </c>
      <c r="ED12" s="7">
        <f>IF(預測IC!ED12&gt;預測IC!ED$25,1,0)</f>
        <v>0</v>
      </c>
      <c r="EE12" s="7">
        <f>IF(預測IC!EE12&gt;預測IC!EE$25,1,0)</f>
        <v>0</v>
      </c>
      <c r="EF12" s="7">
        <f>IF(預測IC!EF12&gt;預測IC!EF$25,1,0)</f>
        <v>0</v>
      </c>
      <c r="EG12">
        <f t="shared" ref="EG12:EG24" si="10">SUM(C12:EF12)</f>
        <v>53</v>
      </c>
      <c r="EH12" s="9">
        <f t="shared" ref="EH12:EH24" si="11">SUM(C12:EE12)/134</f>
        <v>0.39552238805970147</v>
      </c>
    </row>
    <row r="13" spans="1:138" x14ac:dyDescent="0.3">
      <c r="A13" s="1">
        <v>20</v>
      </c>
      <c r="B13" s="1">
        <v>48</v>
      </c>
      <c r="C13" s="7">
        <f>IF(預測IC!C13&gt;預測IC!C$25,1,0)</f>
        <v>1</v>
      </c>
      <c r="D13" s="7">
        <f>IF(預測IC!D13&gt;預測IC!D$25,1,0)</f>
        <v>0</v>
      </c>
      <c r="E13" s="7">
        <f>IF(預測IC!E13&gt;預測IC!E$25,1,0)</f>
        <v>0</v>
      </c>
      <c r="F13" s="7">
        <f>IF(預測IC!F13&gt;預測IC!F$25,1,0)</f>
        <v>1</v>
      </c>
      <c r="G13" s="7">
        <f>IF(預測IC!G13&gt;預測IC!G$25,1,0)</f>
        <v>0</v>
      </c>
      <c r="H13" s="7">
        <f>IF(預測IC!H13&gt;預測IC!H$25,1,0)</f>
        <v>0</v>
      </c>
      <c r="I13" s="7">
        <f>IF(預測IC!I13&gt;預測IC!I$25,1,0)</f>
        <v>0</v>
      </c>
      <c r="J13" s="7">
        <f>IF(預測IC!J13&gt;預測IC!J$25,1,0)</f>
        <v>0</v>
      </c>
      <c r="K13" s="7">
        <f>IF(預測IC!K13&gt;預測IC!K$25,1,0)</f>
        <v>0</v>
      </c>
      <c r="L13" s="7">
        <f>IF(預測IC!L13&gt;預測IC!L$25,1,0)</f>
        <v>1</v>
      </c>
      <c r="M13" s="7">
        <f>IF(預測IC!M13&gt;預測IC!M$25,1,0)</f>
        <v>0</v>
      </c>
      <c r="N13" s="7">
        <f>IF(預測IC!N13&gt;預測IC!N$25,1,0)</f>
        <v>0</v>
      </c>
      <c r="O13" s="7">
        <f>IF(預測IC!O13&gt;預測IC!O$25,1,0)</f>
        <v>1</v>
      </c>
      <c r="P13" s="7">
        <f>IF(預測IC!P13&gt;預測IC!P$25,1,0)</f>
        <v>0</v>
      </c>
      <c r="Q13" s="7">
        <f>IF(預測IC!Q13&gt;預測IC!Q$25,1,0)</f>
        <v>0</v>
      </c>
      <c r="R13" s="7">
        <f>IF(預測IC!R13&gt;預測IC!R$25,1,0)</f>
        <v>0</v>
      </c>
      <c r="S13" s="7">
        <f>IF(預測IC!S13&gt;預測IC!S$25,1,0)</f>
        <v>1</v>
      </c>
      <c r="T13" s="7">
        <f>IF(預測IC!T13&gt;預測IC!T$25,1,0)</f>
        <v>0</v>
      </c>
      <c r="U13" s="7">
        <f>IF(預測IC!U13&gt;預測IC!U$25,1,0)</f>
        <v>1</v>
      </c>
      <c r="V13" s="7">
        <f>IF(預測IC!V13&gt;預測IC!V$25,1,0)</f>
        <v>1</v>
      </c>
      <c r="W13" s="7">
        <f>IF(預測IC!W13&gt;預測IC!W$25,1,0)</f>
        <v>0</v>
      </c>
      <c r="X13" s="7">
        <f>IF(預測IC!X13&gt;預測IC!X$25,1,0)</f>
        <v>1</v>
      </c>
      <c r="Y13" s="7">
        <f>IF(預測IC!Y13&gt;預測IC!Y$25,1,0)</f>
        <v>1</v>
      </c>
      <c r="Z13" s="7">
        <f>IF(預測IC!Z13&gt;預測IC!Z$25,1,0)</f>
        <v>0</v>
      </c>
      <c r="AA13" s="7">
        <f>IF(預測IC!AA13&gt;預測IC!AA$25,1,0)</f>
        <v>0</v>
      </c>
      <c r="AB13" s="7">
        <f>IF(預測IC!AB13&gt;預測IC!AB$25,1,0)</f>
        <v>0</v>
      </c>
      <c r="AC13" s="7">
        <f>IF(預測IC!AC13&gt;預測IC!AC$25,1,0)</f>
        <v>1</v>
      </c>
      <c r="AD13" s="7">
        <f>IF(預測IC!AD13&gt;預測IC!AD$25,1,0)</f>
        <v>1</v>
      </c>
      <c r="AE13" s="7">
        <f>IF(預測IC!AE13&gt;預測IC!AE$25,1,0)</f>
        <v>0</v>
      </c>
      <c r="AF13" s="7">
        <f>IF(預測IC!AF13&gt;預測IC!AF$25,1,0)</f>
        <v>0</v>
      </c>
      <c r="AG13" s="7">
        <f>IF(預測IC!AG13&gt;預測IC!AG$25,1,0)</f>
        <v>0</v>
      </c>
      <c r="AH13" s="7">
        <f>IF(預測IC!AH13&gt;預測IC!AH$25,1,0)</f>
        <v>0</v>
      </c>
      <c r="AI13" s="7">
        <f>IF(預測IC!AI13&gt;預測IC!AI$25,1,0)</f>
        <v>1</v>
      </c>
      <c r="AJ13" s="7">
        <f>IF(預測IC!AJ13&gt;預測IC!AJ$25,1,0)</f>
        <v>0</v>
      </c>
      <c r="AK13" s="7">
        <f>IF(預測IC!AK13&gt;預測IC!AK$25,1,0)</f>
        <v>1</v>
      </c>
      <c r="AL13" s="7">
        <f>IF(預測IC!AL13&gt;預測IC!AL$25,1,0)</f>
        <v>0</v>
      </c>
      <c r="AM13" s="7">
        <f>IF(預測IC!AM13&gt;預測IC!AM$25,1,0)</f>
        <v>0</v>
      </c>
      <c r="AN13" s="7">
        <f>IF(預測IC!AN13&gt;預測IC!AN$25,1,0)</f>
        <v>0</v>
      </c>
      <c r="AO13" s="7">
        <f>IF(預測IC!AO13&gt;預測IC!AO$25,1,0)</f>
        <v>0</v>
      </c>
      <c r="AP13" s="7">
        <f>IF(預測IC!AP13&gt;預測IC!AP$25,1,0)</f>
        <v>0</v>
      </c>
      <c r="AQ13" s="7">
        <f>IF(預測IC!AQ13&gt;預測IC!AQ$25,1,0)</f>
        <v>0</v>
      </c>
      <c r="AR13" s="7">
        <f>IF(預測IC!AR13&gt;預測IC!AR$25,1,0)</f>
        <v>0</v>
      </c>
      <c r="AS13" s="7">
        <f>IF(預測IC!AS13&gt;預測IC!AS$25,1,0)</f>
        <v>0</v>
      </c>
      <c r="AT13" s="7">
        <f>IF(預測IC!AT13&gt;預測IC!AT$25,1,0)</f>
        <v>0</v>
      </c>
      <c r="AU13" s="7">
        <f>IF(預測IC!AU13&gt;預測IC!AU$25,1,0)</f>
        <v>1</v>
      </c>
      <c r="AV13" s="7">
        <f>IF(預測IC!AV13&gt;預測IC!AV$25,1,0)</f>
        <v>0</v>
      </c>
      <c r="AW13" s="7">
        <f>IF(預測IC!AW13&gt;預測IC!AW$25,1,0)</f>
        <v>0</v>
      </c>
      <c r="AX13" s="7">
        <f>IF(預測IC!AX13&gt;預測IC!AX$25,1,0)</f>
        <v>0</v>
      </c>
      <c r="AY13" s="7">
        <f>IF(預測IC!AY13&gt;預測IC!AY$25,1,0)</f>
        <v>0</v>
      </c>
      <c r="AZ13" s="7">
        <f>IF(預測IC!AZ13&gt;預測IC!AZ$25,1,0)</f>
        <v>0</v>
      </c>
      <c r="BA13" s="7">
        <f>IF(預測IC!BA13&gt;預測IC!BA$25,1,0)</f>
        <v>0</v>
      </c>
      <c r="BB13" s="7">
        <f>IF(預測IC!BB13&gt;預測IC!BB$25,1,0)</f>
        <v>1</v>
      </c>
      <c r="BC13" s="7">
        <f>IF(預測IC!BC13&gt;預測IC!BC$25,1,0)</f>
        <v>0</v>
      </c>
      <c r="BD13" s="7">
        <f>IF(預測IC!BD13&gt;預測IC!BD$25,1,0)</f>
        <v>1</v>
      </c>
      <c r="BE13" s="7">
        <f>IF(預測IC!BE13&gt;預測IC!BE$25,1,0)</f>
        <v>0</v>
      </c>
      <c r="BF13" s="7">
        <f>IF(預測IC!BF13&gt;預測IC!BF$25,1,0)</f>
        <v>1</v>
      </c>
      <c r="BG13" s="7">
        <f>IF(預測IC!BG13&gt;預測IC!BG$25,1,0)</f>
        <v>1</v>
      </c>
      <c r="BH13" s="7">
        <f>IF(預測IC!BH13&gt;預測IC!BH$25,1,0)</f>
        <v>1</v>
      </c>
      <c r="BI13" s="7">
        <f>IF(預測IC!BI13&gt;預測IC!BI$25,1,0)</f>
        <v>1</v>
      </c>
      <c r="BJ13" s="7">
        <f>IF(預測IC!BJ13&gt;預測IC!BJ$25,1,0)</f>
        <v>0</v>
      </c>
      <c r="BK13" s="7">
        <f>IF(預測IC!BK13&gt;預測IC!BK$25,1,0)</f>
        <v>0</v>
      </c>
      <c r="BL13" s="7">
        <f>IF(預測IC!BL13&gt;預測IC!BL$25,1,0)</f>
        <v>0</v>
      </c>
      <c r="BM13" s="7">
        <f>IF(預測IC!BM13&gt;預測IC!BM$25,1,0)</f>
        <v>0</v>
      </c>
      <c r="BN13" s="7">
        <f>IF(預測IC!BN13&gt;預測IC!BN$25,1,0)</f>
        <v>0</v>
      </c>
      <c r="BO13" s="7">
        <f>IF(預測IC!BO13&gt;預測IC!BO$25,1,0)</f>
        <v>1</v>
      </c>
      <c r="BP13" s="7">
        <f>IF(預測IC!BP13&gt;預測IC!BP$25,1,0)</f>
        <v>0</v>
      </c>
      <c r="BQ13" s="7">
        <f>IF(預測IC!BQ13&gt;預測IC!BQ$25,1,0)</f>
        <v>0</v>
      </c>
      <c r="BR13" s="7">
        <f>IF(預測IC!BR13&gt;預測IC!BR$25,1,0)</f>
        <v>0</v>
      </c>
      <c r="BS13" s="7">
        <f>IF(預測IC!BS13&gt;預測IC!BS$25,1,0)</f>
        <v>0</v>
      </c>
      <c r="BT13" s="7">
        <f>IF(預測IC!BT13&gt;預測IC!BT$25,1,0)</f>
        <v>0</v>
      </c>
      <c r="BU13" s="7">
        <f>IF(預測IC!BU13&gt;預測IC!BU$25,1,0)</f>
        <v>1</v>
      </c>
      <c r="BV13" s="7">
        <f>IF(預測IC!BV13&gt;預測IC!BV$25,1,0)</f>
        <v>1</v>
      </c>
      <c r="BW13" s="7">
        <f>IF(預測IC!BW13&gt;預測IC!BW$25,1,0)</f>
        <v>1</v>
      </c>
      <c r="BX13" s="7">
        <f>IF(預測IC!BX13&gt;預測IC!BX$25,1,0)</f>
        <v>1</v>
      </c>
      <c r="BY13" s="7">
        <f>IF(預測IC!BY13&gt;預測IC!BY$25,1,0)</f>
        <v>1</v>
      </c>
      <c r="BZ13" s="7">
        <f>IF(預測IC!BZ13&gt;預測IC!BZ$25,1,0)</f>
        <v>0</v>
      </c>
      <c r="CA13" s="7">
        <f>IF(預測IC!CA13&gt;預測IC!CA$25,1,0)</f>
        <v>1</v>
      </c>
      <c r="CB13" s="7">
        <f>IF(預測IC!CB13&gt;預測IC!CB$25,1,0)</f>
        <v>0</v>
      </c>
      <c r="CC13" s="7">
        <f>IF(預測IC!CC13&gt;預測IC!CC$25,1,0)</f>
        <v>0</v>
      </c>
      <c r="CD13" s="7">
        <f>IF(預測IC!CD13&gt;預測IC!CD$25,1,0)</f>
        <v>1</v>
      </c>
      <c r="CE13" s="7">
        <f>IF(預測IC!CE13&gt;預測IC!CE$25,1,0)</f>
        <v>0</v>
      </c>
      <c r="CF13" s="7">
        <f>IF(預測IC!CF13&gt;預測IC!CF$25,1,0)</f>
        <v>1</v>
      </c>
      <c r="CG13" s="7">
        <f>IF(預測IC!CG13&gt;預測IC!CG$25,1,0)</f>
        <v>0</v>
      </c>
      <c r="CH13" s="7">
        <f>IF(預測IC!CH13&gt;預測IC!CH$25,1,0)</f>
        <v>0</v>
      </c>
      <c r="CI13" s="7">
        <f>IF(預測IC!CI13&gt;預測IC!CI$25,1,0)</f>
        <v>0</v>
      </c>
      <c r="CJ13" s="7">
        <f>IF(預測IC!CJ13&gt;預測IC!CJ$25,1,0)</f>
        <v>0</v>
      </c>
      <c r="CK13" s="7">
        <f>IF(預測IC!CK13&gt;預測IC!CK$25,1,0)</f>
        <v>0</v>
      </c>
      <c r="CL13" s="7">
        <f>IF(預測IC!CL13&gt;預測IC!CL$25,1,0)</f>
        <v>0</v>
      </c>
      <c r="CM13" s="7">
        <f>IF(預測IC!CM13&gt;預測IC!CM$25,1,0)</f>
        <v>1</v>
      </c>
      <c r="CN13" s="7">
        <f>IF(預測IC!CN13&gt;預測IC!CN$25,1,0)</f>
        <v>1</v>
      </c>
      <c r="CO13" s="7">
        <f>IF(預測IC!CO13&gt;預測IC!CO$25,1,0)</f>
        <v>0</v>
      </c>
      <c r="CP13" s="7">
        <f>IF(預測IC!CP13&gt;預測IC!CP$25,1,0)</f>
        <v>1</v>
      </c>
      <c r="CQ13" s="7">
        <f>IF(預測IC!CQ13&gt;預測IC!CQ$25,1,0)</f>
        <v>1</v>
      </c>
      <c r="CR13" s="7">
        <f>IF(預測IC!CR13&gt;預測IC!CR$25,1,0)</f>
        <v>1</v>
      </c>
      <c r="CS13" s="7">
        <f>IF(預測IC!CS13&gt;預測IC!CS$25,1,0)</f>
        <v>0</v>
      </c>
      <c r="CT13" s="7">
        <f>IF(預測IC!CT13&gt;預測IC!CT$25,1,0)</f>
        <v>0</v>
      </c>
      <c r="CU13" s="7">
        <f>IF(預測IC!CU13&gt;預測IC!CU$25,1,0)</f>
        <v>1</v>
      </c>
      <c r="CV13" s="7">
        <f>IF(預測IC!CV13&gt;預測IC!CV$25,1,0)</f>
        <v>0</v>
      </c>
      <c r="CW13" s="7">
        <f>IF(預測IC!CW13&gt;預測IC!CW$25,1,0)</f>
        <v>1</v>
      </c>
      <c r="CX13" s="7">
        <f>IF(預測IC!CX13&gt;預測IC!CX$25,1,0)</f>
        <v>1</v>
      </c>
      <c r="CY13" s="7">
        <f>IF(預測IC!CY13&gt;預測IC!CY$25,1,0)</f>
        <v>1</v>
      </c>
      <c r="CZ13" s="7">
        <f>IF(預測IC!CZ13&gt;預測IC!CZ$25,1,0)</f>
        <v>1</v>
      </c>
      <c r="DA13" s="7">
        <f>IF(預測IC!DA13&gt;預測IC!DA$25,1,0)</f>
        <v>0</v>
      </c>
      <c r="DB13" s="7">
        <f>IF(預測IC!DB13&gt;預測IC!DB$25,1,0)</f>
        <v>0</v>
      </c>
      <c r="DC13" s="7">
        <f>IF(預測IC!DC13&gt;預測IC!DC$25,1,0)</f>
        <v>1</v>
      </c>
      <c r="DD13" s="7">
        <f>IF(預測IC!DD13&gt;預測IC!DD$25,1,0)</f>
        <v>0</v>
      </c>
      <c r="DE13" s="7">
        <f>IF(預測IC!DE13&gt;預測IC!DE$25,1,0)</f>
        <v>0</v>
      </c>
      <c r="DF13" s="7">
        <f>IF(預測IC!DF13&gt;預測IC!DF$25,1,0)</f>
        <v>1</v>
      </c>
      <c r="DG13" s="7">
        <f>IF(預測IC!DG13&gt;預測IC!DG$25,1,0)</f>
        <v>0</v>
      </c>
      <c r="DH13" s="7">
        <f>IF(預測IC!DH13&gt;預測IC!DH$25,1,0)</f>
        <v>0</v>
      </c>
      <c r="DI13" s="7">
        <f>IF(預測IC!DI13&gt;預測IC!DI$25,1,0)</f>
        <v>0</v>
      </c>
      <c r="DJ13" s="7">
        <f>IF(預測IC!DJ13&gt;預測IC!DJ$25,1,0)</f>
        <v>1</v>
      </c>
      <c r="DK13" s="7">
        <f>IF(預測IC!DK13&gt;預測IC!DK$25,1,0)</f>
        <v>0</v>
      </c>
      <c r="DL13" s="7">
        <f>IF(預測IC!DL13&gt;預測IC!DL$25,1,0)</f>
        <v>0</v>
      </c>
      <c r="DM13" s="7">
        <f>IF(預測IC!DM13&gt;預測IC!DM$25,1,0)</f>
        <v>0</v>
      </c>
      <c r="DN13" s="7">
        <f>IF(預測IC!DN13&gt;預測IC!DN$25,1,0)</f>
        <v>1</v>
      </c>
      <c r="DO13" s="7">
        <f>IF(預測IC!DO13&gt;預測IC!DO$25,1,0)</f>
        <v>0</v>
      </c>
      <c r="DP13" s="7">
        <f>IF(預測IC!DP13&gt;預測IC!DP$25,1,0)</f>
        <v>0</v>
      </c>
      <c r="DQ13" s="7">
        <f>IF(預測IC!DQ13&gt;預測IC!DQ$25,1,0)</f>
        <v>1</v>
      </c>
      <c r="DR13" s="7">
        <f>IF(預測IC!DR13&gt;預測IC!DR$25,1,0)</f>
        <v>0</v>
      </c>
      <c r="DS13" s="7">
        <f>IF(預測IC!DS13&gt;預測IC!DS$25,1,0)</f>
        <v>0</v>
      </c>
      <c r="DT13" s="7">
        <f>IF(預測IC!DT13&gt;預測IC!DT$25,1,0)</f>
        <v>0</v>
      </c>
      <c r="DU13" s="7">
        <f>IF(預測IC!DU13&gt;預測IC!DU$25,1,0)</f>
        <v>0</v>
      </c>
      <c r="DV13" s="7">
        <f>IF(預測IC!DV13&gt;預測IC!DV$25,1,0)</f>
        <v>0</v>
      </c>
      <c r="DW13" s="7">
        <f>IF(預測IC!DW13&gt;預測IC!DW$25,1,0)</f>
        <v>0</v>
      </c>
      <c r="DX13" s="7">
        <f>IF(預測IC!DX13&gt;預測IC!DX$25,1,0)</f>
        <v>0</v>
      </c>
      <c r="DY13" s="7">
        <f>IF(預測IC!DY13&gt;預測IC!DY$25,1,0)</f>
        <v>1</v>
      </c>
      <c r="DZ13" s="7">
        <f>IF(預測IC!DZ13&gt;預測IC!DZ$25,1,0)</f>
        <v>1</v>
      </c>
      <c r="EA13" s="7">
        <f>IF(預測IC!EA13&gt;預測IC!EA$25,1,0)</f>
        <v>1</v>
      </c>
      <c r="EB13" s="7">
        <f>IF(預測IC!EB13&gt;預測IC!EB$25,1,0)</f>
        <v>1</v>
      </c>
      <c r="EC13" s="7">
        <f>IF(預測IC!EC13&gt;預測IC!EC$25,1,0)</f>
        <v>1</v>
      </c>
      <c r="ED13" s="7">
        <f>IF(預測IC!ED13&gt;預測IC!ED$25,1,0)</f>
        <v>0</v>
      </c>
      <c r="EE13" s="7">
        <f>IF(預測IC!EE13&gt;預測IC!EE$25,1,0)</f>
        <v>0</v>
      </c>
      <c r="EF13" s="7">
        <f>IF(預測IC!EF13&gt;預測IC!EF$25,1,0)</f>
        <v>0</v>
      </c>
      <c r="EG13">
        <f t="shared" si="10"/>
        <v>49</v>
      </c>
      <c r="EH13" s="9">
        <f t="shared" si="11"/>
        <v>0.36567164179104478</v>
      </c>
    </row>
    <row r="14" spans="1:138" x14ac:dyDescent="0.3">
      <c r="A14" s="1">
        <v>50</v>
      </c>
      <c r="B14" s="1">
        <v>19</v>
      </c>
      <c r="C14" s="7">
        <f>IF(預測IC!C14&gt;預測IC!C$25,1,0)</f>
        <v>0</v>
      </c>
      <c r="D14" s="7">
        <f>IF(預測IC!D14&gt;預測IC!D$25,1,0)</f>
        <v>0</v>
      </c>
      <c r="E14" s="7">
        <f>IF(預測IC!E14&gt;預測IC!E$25,1,0)</f>
        <v>0</v>
      </c>
      <c r="F14" s="7">
        <f>IF(預測IC!F14&gt;預測IC!F$25,1,0)</f>
        <v>1</v>
      </c>
      <c r="G14" s="7">
        <f>IF(預測IC!G14&gt;預測IC!G$25,1,0)</f>
        <v>0</v>
      </c>
      <c r="H14" s="7">
        <f>IF(預測IC!H14&gt;預測IC!H$25,1,0)</f>
        <v>0</v>
      </c>
      <c r="I14" s="7">
        <f>IF(預測IC!I14&gt;預測IC!I$25,1,0)</f>
        <v>0</v>
      </c>
      <c r="J14" s="7">
        <f>IF(預測IC!J14&gt;預測IC!J$25,1,0)</f>
        <v>0</v>
      </c>
      <c r="K14" s="7">
        <f>IF(預測IC!K14&gt;預測IC!K$25,1,0)</f>
        <v>1</v>
      </c>
      <c r="L14" s="7">
        <f>IF(預測IC!L14&gt;預測IC!L$25,1,0)</f>
        <v>1</v>
      </c>
      <c r="M14" s="7">
        <f>IF(預測IC!M14&gt;預測IC!M$25,1,0)</f>
        <v>0</v>
      </c>
      <c r="N14" s="7">
        <f>IF(預測IC!N14&gt;預測IC!N$25,1,0)</f>
        <v>0</v>
      </c>
      <c r="O14" s="7">
        <f>IF(預測IC!O14&gt;預測IC!O$25,1,0)</f>
        <v>0</v>
      </c>
      <c r="P14" s="7">
        <f>IF(預測IC!P14&gt;預測IC!P$25,1,0)</f>
        <v>0</v>
      </c>
      <c r="Q14" s="7">
        <f>IF(預測IC!Q14&gt;預測IC!Q$25,1,0)</f>
        <v>0</v>
      </c>
      <c r="R14" s="7">
        <f>IF(預測IC!R14&gt;預測IC!R$25,1,0)</f>
        <v>0</v>
      </c>
      <c r="S14" s="7">
        <f>IF(預測IC!S14&gt;預測IC!S$25,1,0)</f>
        <v>0</v>
      </c>
      <c r="T14" s="7">
        <f>IF(預測IC!T14&gt;預測IC!T$25,1,0)</f>
        <v>1</v>
      </c>
      <c r="U14" s="7">
        <f>IF(預測IC!U14&gt;預測IC!U$25,1,0)</f>
        <v>1</v>
      </c>
      <c r="V14" s="7">
        <f>IF(預測IC!V14&gt;預測IC!V$25,1,0)</f>
        <v>1</v>
      </c>
      <c r="W14" s="7">
        <f>IF(預測IC!W14&gt;預測IC!W$25,1,0)</f>
        <v>0</v>
      </c>
      <c r="X14" s="7">
        <f>IF(預測IC!X14&gt;預測IC!X$25,1,0)</f>
        <v>1</v>
      </c>
      <c r="Y14" s="7">
        <f>IF(預測IC!Y14&gt;預測IC!Y$25,1,0)</f>
        <v>1</v>
      </c>
      <c r="Z14" s="7">
        <f>IF(預測IC!Z14&gt;預測IC!Z$25,1,0)</f>
        <v>0</v>
      </c>
      <c r="AA14" s="7">
        <f>IF(預測IC!AA14&gt;預測IC!AA$25,1,0)</f>
        <v>0</v>
      </c>
      <c r="AB14" s="7">
        <f>IF(預測IC!AB14&gt;預測IC!AB$25,1,0)</f>
        <v>0</v>
      </c>
      <c r="AC14" s="7">
        <f>IF(預測IC!AC14&gt;預測IC!AC$25,1,0)</f>
        <v>0</v>
      </c>
      <c r="AD14" s="7">
        <f>IF(預測IC!AD14&gt;預測IC!AD$25,1,0)</f>
        <v>0</v>
      </c>
      <c r="AE14" s="7">
        <f>IF(預測IC!AE14&gt;預測IC!AE$25,1,0)</f>
        <v>0</v>
      </c>
      <c r="AF14" s="7">
        <f>IF(預測IC!AF14&gt;預測IC!AF$25,1,0)</f>
        <v>0</v>
      </c>
      <c r="AG14" s="7">
        <f>IF(預測IC!AG14&gt;預測IC!AG$25,1,0)</f>
        <v>0</v>
      </c>
      <c r="AH14" s="7">
        <f>IF(預測IC!AH14&gt;預測IC!AH$25,1,0)</f>
        <v>0</v>
      </c>
      <c r="AI14" s="7">
        <f>IF(預測IC!AI14&gt;預測IC!AI$25,1,0)</f>
        <v>0</v>
      </c>
      <c r="AJ14" s="7">
        <f>IF(預測IC!AJ14&gt;預測IC!AJ$25,1,0)</f>
        <v>0</v>
      </c>
      <c r="AK14" s="7">
        <f>IF(預測IC!AK14&gt;預測IC!AK$25,1,0)</f>
        <v>1</v>
      </c>
      <c r="AL14" s="7">
        <f>IF(預測IC!AL14&gt;預測IC!AL$25,1,0)</f>
        <v>0</v>
      </c>
      <c r="AM14" s="7">
        <f>IF(預測IC!AM14&gt;預測IC!AM$25,1,0)</f>
        <v>1</v>
      </c>
      <c r="AN14" s="7">
        <f>IF(預測IC!AN14&gt;預測IC!AN$25,1,0)</f>
        <v>0</v>
      </c>
      <c r="AO14" s="7">
        <f>IF(預測IC!AO14&gt;預測IC!AO$25,1,0)</f>
        <v>0</v>
      </c>
      <c r="AP14" s="7">
        <f>IF(預測IC!AP14&gt;預測IC!AP$25,1,0)</f>
        <v>1</v>
      </c>
      <c r="AQ14" s="7">
        <f>IF(預測IC!AQ14&gt;預測IC!AQ$25,1,0)</f>
        <v>1</v>
      </c>
      <c r="AR14" s="7">
        <f>IF(預測IC!AR14&gt;預測IC!AR$25,1,0)</f>
        <v>0</v>
      </c>
      <c r="AS14" s="7">
        <f>IF(預測IC!AS14&gt;預測IC!AS$25,1,0)</f>
        <v>1</v>
      </c>
      <c r="AT14" s="7">
        <f>IF(預測IC!AT14&gt;預測IC!AT$25,1,0)</f>
        <v>0</v>
      </c>
      <c r="AU14" s="7">
        <f>IF(預測IC!AU14&gt;預測IC!AU$25,1,0)</f>
        <v>0</v>
      </c>
      <c r="AV14" s="7">
        <f>IF(預測IC!AV14&gt;預測IC!AV$25,1,0)</f>
        <v>0</v>
      </c>
      <c r="AW14" s="7">
        <f>IF(預測IC!AW14&gt;預測IC!AW$25,1,0)</f>
        <v>0</v>
      </c>
      <c r="AX14" s="7">
        <f>IF(預測IC!AX14&gt;預測IC!AX$25,1,0)</f>
        <v>0</v>
      </c>
      <c r="AY14" s="7">
        <f>IF(預測IC!AY14&gt;預測IC!AY$25,1,0)</f>
        <v>0</v>
      </c>
      <c r="AZ14" s="7">
        <f>IF(預測IC!AZ14&gt;預測IC!AZ$25,1,0)</f>
        <v>0</v>
      </c>
      <c r="BA14" s="7">
        <f>IF(預測IC!BA14&gt;預測IC!BA$25,1,0)</f>
        <v>0</v>
      </c>
      <c r="BB14" s="7">
        <f>IF(預測IC!BB14&gt;預測IC!BB$25,1,0)</f>
        <v>1</v>
      </c>
      <c r="BC14" s="7">
        <f>IF(預測IC!BC14&gt;預測IC!BC$25,1,0)</f>
        <v>0</v>
      </c>
      <c r="BD14" s="7">
        <f>IF(預測IC!BD14&gt;預測IC!BD$25,1,0)</f>
        <v>1</v>
      </c>
      <c r="BE14" s="7">
        <f>IF(預測IC!BE14&gt;預測IC!BE$25,1,0)</f>
        <v>0</v>
      </c>
      <c r="BF14" s="7">
        <f>IF(預測IC!BF14&gt;預測IC!BF$25,1,0)</f>
        <v>1</v>
      </c>
      <c r="BG14" s="7">
        <f>IF(預測IC!BG14&gt;預測IC!BG$25,1,0)</f>
        <v>1</v>
      </c>
      <c r="BH14" s="7">
        <f>IF(預測IC!BH14&gt;預測IC!BH$25,1,0)</f>
        <v>1</v>
      </c>
      <c r="BI14" s="7">
        <f>IF(預測IC!BI14&gt;預測IC!BI$25,1,0)</f>
        <v>0</v>
      </c>
      <c r="BJ14" s="7">
        <f>IF(預測IC!BJ14&gt;預測IC!BJ$25,1,0)</f>
        <v>0</v>
      </c>
      <c r="BK14" s="7">
        <f>IF(預測IC!BK14&gt;預測IC!BK$25,1,0)</f>
        <v>0</v>
      </c>
      <c r="BL14" s="7">
        <f>IF(預測IC!BL14&gt;預測IC!BL$25,1,0)</f>
        <v>0</v>
      </c>
      <c r="BM14" s="7">
        <f>IF(預測IC!BM14&gt;預測IC!BM$25,1,0)</f>
        <v>0</v>
      </c>
      <c r="BN14" s="7">
        <f>IF(預測IC!BN14&gt;預測IC!BN$25,1,0)</f>
        <v>0</v>
      </c>
      <c r="BO14" s="7">
        <f>IF(預測IC!BO14&gt;預測IC!BO$25,1,0)</f>
        <v>1</v>
      </c>
      <c r="BP14" s="7">
        <f>IF(預測IC!BP14&gt;預測IC!BP$25,1,0)</f>
        <v>1</v>
      </c>
      <c r="BQ14" s="7">
        <f>IF(預測IC!BQ14&gt;預測IC!BQ$25,1,0)</f>
        <v>1</v>
      </c>
      <c r="BR14" s="7">
        <f>IF(預測IC!BR14&gt;預測IC!BR$25,1,0)</f>
        <v>0</v>
      </c>
      <c r="BS14" s="7">
        <f>IF(預測IC!BS14&gt;預測IC!BS$25,1,0)</f>
        <v>0</v>
      </c>
      <c r="BT14" s="7">
        <f>IF(預測IC!BT14&gt;預測IC!BT$25,1,0)</f>
        <v>0</v>
      </c>
      <c r="BU14" s="7">
        <f>IF(預測IC!BU14&gt;預測IC!BU$25,1,0)</f>
        <v>0</v>
      </c>
      <c r="BV14" s="7">
        <f>IF(預測IC!BV14&gt;預測IC!BV$25,1,0)</f>
        <v>1</v>
      </c>
      <c r="BW14" s="7">
        <f>IF(預測IC!BW14&gt;預測IC!BW$25,1,0)</f>
        <v>1</v>
      </c>
      <c r="BX14" s="7">
        <f>IF(預測IC!BX14&gt;預測IC!BX$25,1,0)</f>
        <v>1</v>
      </c>
      <c r="BY14" s="7">
        <f>IF(預測IC!BY14&gt;預測IC!BY$25,1,0)</f>
        <v>1</v>
      </c>
      <c r="BZ14" s="7">
        <f>IF(預測IC!BZ14&gt;預測IC!BZ$25,1,0)</f>
        <v>0</v>
      </c>
      <c r="CA14" s="7">
        <f>IF(預測IC!CA14&gt;預測IC!CA$25,1,0)</f>
        <v>1</v>
      </c>
      <c r="CB14" s="7">
        <f>IF(預測IC!CB14&gt;預測IC!CB$25,1,0)</f>
        <v>0</v>
      </c>
      <c r="CC14" s="7">
        <f>IF(預測IC!CC14&gt;預測IC!CC$25,1,0)</f>
        <v>0</v>
      </c>
      <c r="CD14" s="7">
        <f>IF(預測IC!CD14&gt;預測IC!CD$25,1,0)</f>
        <v>1</v>
      </c>
      <c r="CE14" s="7">
        <f>IF(預測IC!CE14&gt;預測IC!CE$25,1,0)</f>
        <v>0</v>
      </c>
      <c r="CF14" s="7">
        <f>IF(預測IC!CF14&gt;預測IC!CF$25,1,0)</f>
        <v>1</v>
      </c>
      <c r="CG14" s="7">
        <f>IF(預測IC!CG14&gt;預測IC!CG$25,1,0)</f>
        <v>0</v>
      </c>
      <c r="CH14" s="7">
        <f>IF(預測IC!CH14&gt;預測IC!CH$25,1,0)</f>
        <v>0</v>
      </c>
      <c r="CI14" s="7">
        <f>IF(預測IC!CI14&gt;預測IC!CI$25,1,0)</f>
        <v>0</v>
      </c>
      <c r="CJ14" s="7">
        <f>IF(預測IC!CJ14&gt;預測IC!CJ$25,1,0)</f>
        <v>0</v>
      </c>
      <c r="CK14" s="7">
        <f>IF(預測IC!CK14&gt;預測IC!CK$25,1,0)</f>
        <v>0</v>
      </c>
      <c r="CL14" s="7">
        <f>IF(預測IC!CL14&gt;預測IC!CL$25,1,0)</f>
        <v>0</v>
      </c>
      <c r="CM14" s="7">
        <f>IF(預測IC!CM14&gt;預測IC!CM$25,1,0)</f>
        <v>1</v>
      </c>
      <c r="CN14" s="7">
        <f>IF(預測IC!CN14&gt;預測IC!CN$25,1,0)</f>
        <v>1</v>
      </c>
      <c r="CO14" s="7">
        <f>IF(預測IC!CO14&gt;預測IC!CO$25,1,0)</f>
        <v>0</v>
      </c>
      <c r="CP14" s="7">
        <f>IF(預測IC!CP14&gt;預測IC!CP$25,1,0)</f>
        <v>1</v>
      </c>
      <c r="CQ14" s="7">
        <f>IF(預測IC!CQ14&gt;預測IC!CQ$25,1,0)</f>
        <v>1</v>
      </c>
      <c r="CR14" s="7">
        <f>IF(預測IC!CR14&gt;預測IC!CR$25,1,0)</f>
        <v>1</v>
      </c>
      <c r="CS14" s="7">
        <f>IF(預測IC!CS14&gt;預測IC!CS$25,1,0)</f>
        <v>0</v>
      </c>
      <c r="CT14" s="7">
        <f>IF(預測IC!CT14&gt;預測IC!CT$25,1,0)</f>
        <v>0</v>
      </c>
      <c r="CU14" s="7">
        <f>IF(預測IC!CU14&gt;預測IC!CU$25,1,0)</f>
        <v>1</v>
      </c>
      <c r="CV14" s="7">
        <f>IF(預測IC!CV14&gt;預測IC!CV$25,1,0)</f>
        <v>0</v>
      </c>
      <c r="CW14" s="7">
        <f>IF(預測IC!CW14&gt;預測IC!CW$25,1,0)</f>
        <v>0</v>
      </c>
      <c r="CX14" s="7">
        <f>IF(預測IC!CX14&gt;預測IC!CX$25,1,0)</f>
        <v>0</v>
      </c>
      <c r="CY14" s="7">
        <f>IF(預測IC!CY14&gt;預測IC!CY$25,1,0)</f>
        <v>1</v>
      </c>
      <c r="CZ14" s="7">
        <f>IF(預測IC!CZ14&gt;預測IC!CZ$25,1,0)</f>
        <v>1</v>
      </c>
      <c r="DA14" s="7">
        <f>IF(預測IC!DA14&gt;預測IC!DA$25,1,0)</f>
        <v>0</v>
      </c>
      <c r="DB14" s="7">
        <f>IF(預測IC!DB14&gt;預測IC!DB$25,1,0)</f>
        <v>0</v>
      </c>
      <c r="DC14" s="7">
        <f>IF(預測IC!DC14&gt;預測IC!DC$25,1,0)</f>
        <v>1</v>
      </c>
      <c r="DD14" s="7">
        <f>IF(預測IC!DD14&gt;預測IC!DD$25,1,0)</f>
        <v>0</v>
      </c>
      <c r="DE14" s="7">
        <f>IF(預測IC!DE14&gt;預測IC!DE$25,1,0)</f>
        <v>0</v>
      </c>
      <c r="DF14" s="7">
        <f>IF(預測IC!DF14&gt;預測IC!DF$25,1,0)</f>
        <v>1</v>
      </c>
      <c r="DG14" s="7">
        <f>IF(預測IC!DG14&gt;預測IC!DG$25,1,0)</f>
        <v>1</v>
      </c>
      <c r="DH14" s="7">
        <f>IF(預測IC!DH14&gt;預測IC!DH$25,1,0)</f>
        <v>0</v>
      </c>
      <c r="DI14" s="7">
        <f>IF(預測IC!DI14&gt;預測IC!DI$25,1,0)</f>
        <v>0</v>
      </c>
      <c r="DJ14" s="7">
        <f>IF(預測IC!DJ14&gt;預測IC!DJ$25,1,0)</f>
        <v>1</v>
      </c>
      <c r="DK14" s="7">
        <f>IF(預測IC!DK14&gt;預測IC!DK$25,1,0)</f>
        <v>1</v>
      </c>
      <c r="DL14" s="7">
        <f>IF(預測IC!DL14&gt;預測IC!DL$25,1,0)</f>
        <v>0</v>
      </c>
      <c r="DM14" s="7">
        <f>IF(預測IC!DM14&gt;預測IC!DM$25,1,0)</f>
        <v>0</v>
      </c>
      <c r="DN14" s="7">
        <f>IF(預測IC!DN14&gt;預測IC!DN$25,1,0)</f>
        <v>1</v>
      </c>
      <c r="DO14" s="7">
        <f>IF(預測IC!DO14&gt;預測IC!DO$25,1,0)</f>
        <v>0</v>
      </c>
      <c r="DP14" s="7">
        <f>IF(預測IC!DP14&gt;預測IC!DP$25,1,0)</f>
        <v>0</v>
      </c>
      <c r="DQ14" s="7">
        <f>IF(預測IC!DQ14&gt;預測IC!DQ$25,1,0)</f>
        <v>0</v>
      </c>
      <c r="DR14" s="7">
        <f>IF(預測IC!DR14&gt;預測IC!DR$25,1,0)</f>
        <v>1</v>
      </c>
      <c r="DS14" s="7">
        <f>IF(預測IC!DS14&gt;預測IC!DS$25,1,0)</f>
        <v>0</v>
      </c>
      <c r="DT14" s="7">
        <f>IF(預測IC!DT14&gt;預測IC!DT$25,1,0)</f>
        <v>0</v>
      </c>
      <c r="DU14" s="7">
        <f>IF(預測IC!DU14&gt;預測IC!DU$25,1,0)</f>
        <v>1</v>
      </c>
      <c r="DV14" s="7">
        <f>IF(預測IC!DV14&gt;預測IC!DV$25,1,0)</f>
        <v>0</v>
      </c>
      <c r="DW14" s="7">
        <f>IF(預測IC!DW14&gt;預測IC!DW$25,1,0)</f>
        <v>0</v>
      </c>
      <c r="DX14" s="7">
        <f>IF(預測IC!DX14&gt;預測IC!DX$25,1,0)</f>
        <v>0</v>
      </c>
      <c r="DY14" s="7">
        <f>IF(預測IC!DY14&gt;預測IC!DY$25,1,0)</f>
        <v>0</v>
      </c>
      <c r="DZ14" s="7">
        <f>IF(預測IC!DZ14&gt;預測IC!DZ$25,1,0)</f>
        <v>1</v>
      </c>
      <c r="EA14" s="7">
        <f>IF(預測IC!EA14&gt;預測IC!EA$25,1,0)</f>
        <v>1</v>
      </c>
      <c r="EB14" s="7">
        <f>IF(預測IC!EB14&gt;預測IC!EB$25,1,0)</f>
        <v>1</v>
      </c>
      <c r="EC14" s="7">
        <f>IF(預測IC!EC14&gt;預測IC!EC$25,1,0)</f>
        <v>1</v>
      </c>
      <c r="ED14" s="7">
        <f>IF(預測IC!ED14&gt;預測IC!ED$25,1,0)</f>
        <v>0</v>
      </c>
      <c r="EE14" s="7">
        <f>IF(預測IC!EE14&gt;預測IC!EE$25,1,0)</f>
        <v>0</v>
      </c>
      <c r="EF14" s="7">
        <f>IF(預測IC!EF14&gt;預測IC!EF$25,1,0)</f>
        <v>0</v>
      </c>
      <c r="EG14">
        <f t="shared" si="10"/>
        <v>48</v>
      </c>
      <c r="EH14" s="9">
        <f t="shared" si="11"/>
        <v>0.35820895522388058</v>
      </c>
    </row>
    <row r="15" spans="1:138" x14ac:dyDescent="0.3">
      <c r="A15" s="1">
        <v>100</v>
      </c>
      <c r="B15" s="1">
        <v>10</v>
      </c>
      <c r="C15" s="7">
        <f>IF(預測IC!C15&gt;預測IC!C$25,1,0)</f>
        <v>0</v>
      </c>
      <c r="D15" s="7">
        <f>IF(預測IC!D15&gt;預測IC!D$25,1,0)</f>
        <v>0</v>
      </c>
      <c r="E15" s="7">
        <f>IF(預測IC!E15&gt;預測IC!E$25,1,0)</f>
        <v>0</v>
      </c>
      <c r="F15" s="7">
        <f>IF(預測IC!F15&gt;預測IC!F$25,1,0)</f>
        <v>0</v>
      </c>
      <c r="G15" s="7">
        <f>IF(預測IC!G15&gt;預測IC!G$25,1,0)</f>
        <v>0</v>
      </c>
      <c r="H15" s="7">
        <f>IF(預測IC!H15&gt;預測IC!H$25,1,0)</f>
        <v>0</v>
      </c>
      <c r="I15" s="7">
        <f>IF(預測IC!I15&gt;預測IC!I$25,1,0)</f>
        <v>0</v>
      </c>
      <c r="J15" s="7">
        <f>IF(預測IC!J15&gt;預測IC!J$25,1,0)</f>
        <v>0</v>
      </c>
      <c r="K15" s="7">
        <f>IF(預測IC!K15&gt;預測IC!K$25,1,0)</f>
        <v>0</v>
      </c>
      <c r="L15" s="7">
        <f>IF(預測IC!L15&gt;預測IC!L$25,1,0)</f>
        <v>1</v>
      </c>
      <c r="M15" s="7">
        <f>IF(預測IC!M15&gt;預測IC!M$25,1,0)</f>
        <v>0</v>
      </c>
      <c r="N15" s="7">
        <f>IF(預測IC!N15&gt;預測IC!N$25,1,0)</f>
        <v>0</v>
      </c>
      <c r="O15" s="7">
        <f>IF(預測IC!O15&gt;預測IC!O$25,1,0)</f>
        <v>0</v>
      </c>
      <c r="P15" s="7">
        <f>IF(預測IC!P15&gt;預測IC!P$25,1,0)</f>
        <v>0</v>
      </c>
      <c r="Q15" s="7">
        <f>IF(預測IC!Q15&gt;預測IC!Q$25,1,0)</f>
        <v>0</v>
      </c>
      <c r="R15" s="7">
        <f>IF(預測IC!R15&gt;預測IC!R$25,1,0)</f>
        <v>1</v>
      </c>
      <c r="S15" s="7">
        <f>IF(預測IC!S15&gt;預測IC!S$25,1,0)</f>
        <v>1</v>
      </c>
      <c r="T15" s="7">
        <f>IF(預測IC!T15&gt;預測IC!T$25,1,0)</f>
        <v>0</v>
      </c>
      <c r="U15" s="7">
        <f>IF(預測IC!U15&gt;預測IC!U$25,1,0)</f>
        <v>1</v>
      </c>
      <c r="V15" s="7">
        <f>IF(預測IC!V15&gt;預測IC!V$25,1,0)</f>
        <v>0</v>
      </c>
      <c r="W15" s="7">
        <f>IF(預測IC!W15&gt;預測IC!W$25,1,0)</f>
        <v>0</v>
      </c>
      <c r="X15" s="7">
        <f>IF(預測IC!X15&gt;預測IC!X$25,1,0)</f>
        <v>1</v>
      </c>
      <c r="Y15" s="7">
        <f>IF(預測IC!Y15&gt;預測IC!Y$25,1,0)</f>
        <v>1</v>
      </c>
      <c r="Z15" s="7">
        <f>IF(預測IC!Z15&gt;預測IC!Z$25,1,0)</f>
        <v>0</v>
      </c>
      <c r="AA15" s="7">
        <f>IF(預測IC!AA15&gt;預測IC!AA$25,1,0)</f>
        <v>0</v>
      </c>
      <c r="AB15" s="7">
        <f>IF(預測IC!AB15&gt;預測IC!AB$25,1,0)</f>
        <v>0</v>
      </c>
      <c r="AC15" s="7">
        <f>IF(預測IC!AC15&gt;預測IC!AC$25,1,0)</f>
        <v>0</v>
      </c>
      <c r="AD15" s="7">
        <f>IF(預測IC!AD15&gt;預測IC!AD$25,1,0)</f>
        <v>0</v>
      </c>
      <c r="AE15" s="7">
        <f>IF(預測IC!AE15&gt;預測IC!AE$25,1,0)</f>
        <v>0</v>
      </c>
      <c r="AF15" s="7">
        <f>IF(預測IC!AF15&gt;預測IC!AF$25,1,0)</f>
        <v>0</v>
      </c>
      <c r="AG15" s="7">
        <f>IF(預測IC!AG15&gt;預測IC!AG$25,1,0)</f>
        <v>0</v>
      </c>
      <c r="AH15" s="7">
        <f>IF(預測IC!AH15&gt;預測IC!AH$25,1,0)</f>
        <v>0</v>
      </c>
      <c r="AI15" s="7">
        <f>IF(預測IC!AI15&gt;預測IC!AI$25,1,0)</f>
        <v>0</v>
      </c>
      <c r="AJ15" s="7">
        <f>IF(預測IC!AJ15&gt;預測IC!AJ$25,1,0)</f>
        <v>0</v>
      </c>
      <c r="AK15" s="7">
        <f>IF(預測IC!AK15&gt;預測IC!AK$25,1,0)</f>
        <v>1</v>
      </c>
      <c r="AL15" s="7">
        <f>IF(預測IC!AL15&gt;預測IC!AL$25,1,0)</f>
        <v>0</v>
      </c>
      <c r="AM15" s="7">
        <f>IF(預測IC!AM15&gt;預測IC!AM$25,1,0)</f>
        <v>1</v>
      </c>
      <c r="AN15" s="7">
        <f>IF(預測IC!AN15&gt;預測IC!AN$25,1,0)</f>
        <v>0</v>
      </c>
      <c r="AO15" s="7">
        <f>IF(預測IC!AO15&gt;預測IC!AO$25,1,0)</f>
        <v>0</v>
      </c>
      <c r="AP15" s="7">
        <f>IF(預測IC!AP15&gt;預測IC!AP$25,1,0)</f>
        <v>1</v>
      </c>
      <c r="AQ15" s="7">
        <f>IF(預測IC!AQ15&gt;預測IC!AQ$25,1,0)</f>
        <v>1</v>
      </c>
      <c r="AR15" s="7">
        <f>IF(預測IC!AR15&gt;預測IC!AR$25,1,0)</f>
        <v>0</v>
      </c>
      <c r="AS15" s="7">
        <f>IF(預測IC!AS15&gt;預測IC!AS$25,1,0)</f>
        <v>1</v>
      </c>
      <c r="AT15" s="7">
        <f>IF(預測IC!AT15&gt;預測IC!AT$25,1,0)</f>
        <v>0</v>
      </c>
      <c r="AU15" s="7">
        <f>IF(預測IC!AU15&gt;預測IC!AU$25,1,0)</f>
        <v>0</v>
      </c>
      <c r="AV15" s="7">
        <f>IF(預測IC!AV15&gt;預測IC!AV$25,1,0)</f>
        <v>0</v>
      </c>
      <c r="AW15" s="7">
        <f>IF(預測IC!AW15&gt;預測IC!AW$25,1,0)</f>
        <v>0</v>
      </c>
      <c r="AX15" s="7">
        <f>IF(預測IC!AX15&gt;預測IC!AX$25,1,0)</f>
        <v>0</v>
      </c>
      <c r="AY15" s="7">
        <f>IF(預測IC!AY15&gt;預測IC!AY$25,1,0)</f>
        <v>0</v>
      </c>
      <c r="AZ15" s="7">
        <f>IF(預測IC!AZ15&gt;預測IC!AZ$25,1,0)</f>
        <v>0</v>
      </c>
      <c r="BA15" s="7">
        <f>IF(預測IC!BA15&gt;預測IC!BA$25,1,0)</f>
        <v>1</v>
      </c>
      <c r="BB15" s="7">
        <f>IF(預測IC!BB15&gt;預測IC!BB$25,1,0)</f>
        <v>1</v>
      </c>
      <c r="BC15" s="7">
        <f>IF(預測IC!BC15&gt;預測IC!BC$25,1,0)</f>
        <v>0</v>
      </c>
      <c r="BD15" s="7">
        <f>IF(預測IC!BD15&gt;預測IC!BD$25,1,0)</f>
        <v>1</v>
      </c>
      <c r="BE15" s="7">
        <f>IF(預測IC!BE15&gt;預測IC!BE$25,1,0)</f>
        <v>0</v>
      </c>
      <c r="BF15" s="7">
        <f>IF(預測IC!BF15&gt;預測IC!BF$25,1,0)</f>
        <v>1</v>
      </c>
      <c r="BG15" s="7">
        <f>IF(預測IC!BG15&gt;預測IC!BG$25,1,0)</f>
        <v>1</v>
      </c>
      <c r="BH15" s="7">
        <f>IF(預測IC!BH15&gt;預測IC!BH$25,1,0)</f>
        <v>1</v>
      </c>
      <c r="BI15" s="7">
        <f>IF(預測IC!BI15&gt;預測IC!BI$25,1,0)</f>
        <v>0</v>
      </c>
      <c r="BJ15" s="7">
        <f>IF(預測IC!BJ15&gt;預測IC!BJ$25,1,0)</f>
        <v>0</v>
      </c>
      <c r="BK15" s="7">
        <f>IF(預測IC!BK15&gt;預測IC!BK$25,1,0)</f>
        <v>1</v>
      </c>
      <c r="BL15" s="7">
        <f>IF(預測IC!BL15&gt;預測IC!BL$25,1,0)</f>
        <v>0</v>
      </c>
      <c r="BM15" s="7">
        <f>IF(預測IC!BM15&gt;預測IC!BM$25,1,0)</f>
        <v>0</v>
      </c>
      <c r="BN15" s="7">
        <f>IF(預測IC!BN15&gt;預測IC!BN$25,1,0)</f>
        <v>0</v>
      </c>
      <c r="BO15" s="7">
        <f>IF(預測IC!BO15&gt;預測IC!BO$25,1,0)</f>
        <v>1</v>
      </c>
      <c r="BP15" s="7">
        <f>IF(預測IC!BP15&gt;預測IC!BP$25,1,0)</f>
        <v>1</v>
      </c>
      <c r="BQ15" s="7">
        <f>IF(預測IC!BQ15&gt;預測IC!BQ$25,1,0)</f>
        <v>1</v>
      </c>
      <c r="BR15" s="7">
        <f>IF(預測IC!BR15&gt;預測IC!BR$25,1,0)</f>
        <v>0</v>
      </c>
      <c r="BS15" s="7">
        <f>IF(預測IC!BS15&gt;預測IC!BS$25,1,0)</f>
        <v>0</v>
      </c>
      <c r="BT15" s="7">
        <f>IF(預測IC!BT15&gt;預測IC!BT$25,1,0)</f>
        <v>0</v>
      </c>
      <c r="BU15" s="7">
        <f>IF(預測IC!BU15&gt;預測IC!BU$25,1,0)</f>
        <v>1</v>
      </c>
      <c r="BV15" s="7">
        <f>IF(預測IC!BV15&gt;預測IC!BV$25,1,0)</f>
        <v>1</v>
      </c>
      <c r="BW15" s="7">
        <f>IF(預測IC!BW15&gt;預測IC!BW$25,1,0)</f>
        <v>1</v>
      </c>
      <c r="BX15" s="7">
        <f>IF(預測IC!BX15&gt;預測IC!BX$25,1,0)</f>
        <v>0</v>
      </c>
      <c r="BY15" s="7">
        <f>IF(預測IC!BY15&gt;預測IC!BY$25,1,0)</f>
        <v>1</v>
      </c>
      <c r="BZ15" s="7">
        <f>IF(預測IC!BZ15&gt;預測IC!BZ$25,1,0)</f>
        <v>0</v>
      </c>
      <c r="CA15" s="7">
        <f>IF(預測IC!CA15&gt;預測IC!CA$25,1,0)</f>
        <v>1</v>
      </c>
      <c r="CB15" s="7">
        <f>IF(預測IC!CB15&gt;預測IC!CB$25,1,0)</f>
        <v>0</v>
      </c>
      <c r="CC15" s="7">
        <f>IF(預測IC!CC15&gt;預測IC!CC$25,1,0)</f>
        <v>0</v>
      </c>
      <c r="CD15" s="7">
        <f>IF(預測IC!CD15&gt;預測IC!CD$25,1,0)</f>
        <v>1</v>
      </c>
      <c r="CE15" s="7">
        <f>IF(預測IC!CE15&gt;預測IC!CE$25,1,0)</f>
        <v>0</v>
      </c>
      <c r="CF15" s="7">
        <f>IF(預測IC!CF15&gt;預測IC!CF$25,1,0)</f>
        <v>1</v>
      </c>
      <c r="CG15" s="7">
        <f>IF(預測IC!CG15&gt;預測IC!CG$25,1,0)</f>
        <v>0</v>
      </c>
      <c r="CH15" s="7">
        <f>IF(預測IC!CH15&gt;預測IC!CH$25,1,0)</f>
        <v>1</v>
      </c>
      <c r="CI15" s="7">
        <f>IF(預測IC!CI15&gt;預測IC!CI$25,1,0)</f>
        <v>0</v>
      </c>
      <c r="CJ15" s="7">
        <f>IF(預測IC!CJ15&gt;預測IC!CJ$25,1,0)</f>
        <v>0</v>
      </c>
      <c r="CK15" s="7">
        <f>IF(預測IC!CK15&gt;預測IC!CK$25,1,0)</f>
        <v>0</v>
      </c>
      <c r="CL15" s="7">
        <f>IF(預測IC!CL15&gt;預測IC!CL$25,1,0)</f>
        <v>0</v>
      </c>
      <c r="CM15" s="7">
        <f>IF(預測IC!CM15&gt;預測IC!CM$25,1,0)</f>
        <v>0</v>
      </c>
      <c r="CN15" s="7">
        <f>IF(預測IC!CN15&gt;預測IC!CN$25,1,0)</f>
        <v>1</v>
      </c>
      <c r="CO15" s="7">
        <f>IF(預測IC!CO15&gt;預測IC!CO$25,1,0)</f>
        <v>0</v>
      </c>
      <c r="CP15" s="7">
        <f>IF(預測IC!CP15&gt;預測IC!CP$25,1,0)</f>
        <v>1</v>
      </c>
      <c r="CQ15" s="7">
        <f>IF(預測IC!CQ15&gt;預測IC!CQ$25,1,0)</f>
        <v>1</v>
      </c>
      <c r="CR15" s="7">
        <f>IF(預測IC!CR15&gt;預測IC!CR$25,1,0)</f>
        <v>1</v>
      </c>
      <c r="CS15" s="7">
        <f>IF(預測IC!CS15&gt;預測IC!CS$25,1,0)</f>
        <v>0</v>
      </c>
      <c r="CT15" s="7">
        <f>IF(預測IC!CT15&gt;預測IC!CT$25,1,0)</f>
        <v>0</v>
      </c>
      <c r="CU15" s="7">
        <f>IF(預測IC!CU15&gt;預測IC!CU$25,1,0)</f>
        <v>1</v>
      </c>
      <c r="CV15" s="7">
        <f>IF(預測IC!CV15&gt;預測IC!CV$25,1,0)</f>
        <v>0</v>
      </c>
      <c r="CW15" s="7">
        <f>IF(預測IC!CW15&gt;預測IC!CW$25,1,0)</f>
        <v>0</v>
      </c>
      <c r="CX15" s="7">
        <f>IF(預測IC!CX15&gt;預測IC!CX$25,1,0)</f>
        <v>0</v>
      </c>
      <c r="CY15" s="7">
        <f>IF(預測IC!CY15&gt;預測IC!CY$25,1,0)</f>
        <v>1</v>
      </c>
      <c r="CZ15" s="7">
        <f>IF(預測IC!CZ15&gt;預測IC!CZ$25,1,0)</f>
        <v>1</v>
      </c>
      <c r="DA15" s="7">
        <f>IF(預測IC!DA15&gt;預測IC!DA$25,1,0)</f>
        <v>0</v>
      </c>
      <c r="DB15" s="7">
        <f>IF(預測IC!DB15&gt;預測IC!DB$25,1,0)</f>
        <v>0</v>
      </c>
      <c r="DC15" s="7">
        <f>IF(預測IC!DC15&gt;預測IC!DC$25,1,0)</f>
        <v>1</v>
      </c>
      <c r="DD15" s="7">
        <f>IF(預測IC!DD15&gt;預測IC!DD$25,1,0)</f>
        <v>1</v>
      </c>
      <c r="DE15" s="7">
        <f>IF(預測IC!DE15&gt;預測IC!DE$25,1,0)</f>
        <v>0</v>
      </c>
      <c r="DF15" s="7">
        <f>IF(預測IC!DF15&gt;預測IC!DF$25,1,0)</f>
        <v>1</v>
      </c>
      <c r="DG15" s="7">
        <f>IF(預測IC!DG15&gt;預測IC!DG$25,1,0)</f>
        <v>1</v>
      </c>
      <c r="DH15" s="7">
        <f>IF(預測IC!DH15&gt;預測IC!DH$25,1,0)</f>
        <v>0</v>
      </c>
      <c r="DI15" s="7">
        <f>IF(預測IC!DI15&gt;預測IC!DI$25,1,0)</f>
        <v>0</v>
      </c>
      <c r="DJ15" s="7">
        <f>IF(預測IC!DJ15&gt;預測IC!DJ$25,1,0)</f>
        <v>1</v>
      </c>
      <c r="DK15" s="7">
        <f>IF(預測IC!DK15&gt;預測IC!DK$25,1,0)</f>
        <v>1</v>
      </c>
      <c r="DL15" s="7">
        <f>IF(預測IC!DL15&gt;預測IC!DL$25,1,0)</f>
        <v>0</v>
      </c>
      <c r="DM15" s="7">
        <f>IF(預測IC!DM15&gt;預測IC!DM$25,1,0)</f>
        <v>0</v>
      </c>
      <c r="DN15" s="7">
        <f>IF(預測IC!DN15&gt;預測IC!DN$25,1,0)</f>
        <v>1</v>
      </c>
      <c r="DO15" s="7">
        <f>IF(預測IC!DO15&gt;預測IC!DO$25,1,0)</f>
        <v>0</v>
      </c>
      <c r="DP15" s="7">
        <f>IF(預測IC!DP15&gt;預測IC!DP$25,1,0)</f>
        <v>0</v>
      </c>
      <c r="DQ15" s="7">
        <f>IF(預測IC!DQ15&gt;預測IC!DQ$25,1,0)</f>
        <v>0</v>
      </c>
      <c r="DR15" s="7">
        <f>IF(預測IC!DR15&gt;預測IC!DR$25,1,0)</f>
        <v>1</v>
      </c>
      <c r="DS15" s="7">
        <f>IF(預測IC!DS15&gt;預測IC!DS$25,1,0)</f>
        <v>0</v>
      </c>
      <c r="DT15" s="7">
        <f>IF(預測IC!DT15&gt;預測IC!DT$25,1,0)</f>
        <v>0</v>
      </c>
      <c r="DU15" s="7">
        <f>IF(預測IC!DU15&gt;預測IC!DU$25,1,0)</f>
        <v>1</v>
      </c>
      <c r="DV15" s="7">
        <f>IF(預測IC!DV15&gt;預測IC!DV$25,1,0)</f>
        <v>0</v>
      </c>
      <c r="DW15" s="7">
        <f>IF(預測IC!DW15&gt;預測IC!DW$25,1,0)</f>
        <v>1</v>
      </c>
      <c r="DX15" s="7">
        <f>IF(預測IC!DX15&gt;預測IC!DX$25,1,0)</f>
        <v>0</v>
      </c>
      <c r="DY15" s="7">
        <f>IF(預測IC!DY15&gt;預測IC!DY$25,1,0)</f>
        <v>1</v>
      </c>
      <c r="DZ15" s="7">
        <f>IF(預測IC!DZ15&gt;預測IC!DZ$25,1,0)</f>
        <v>1</v>
      </c>
      <c r="EA15" s="7">
        <f>IF(預測IC!EA15&gt;預測IC!EA$25,1,0)</f>
        <v>1</v>
      </c>
      <c r="EB15" s="7">
        <f>IF(預測IC!EB15&gt;預測IC!EB$25,1,0)</f>
        <v>1</v>
      </c>
      <c r="EC15" s="7">
        <f>IF(預測IC!EC15&gt;預測IC!EC$25,1,0)</f>
        <v>1</v>
      </c>
      <c r="ED15" s="7">
        <f>IF(預測IC!ED15&gt;預測IC!ED$25,1,0)</f>
        <v>0</v>
      </c>
      <c r="EE15" s="7">
        <f>IF(預測IC!EE15&gt;預測IC!EE$25,1,0)</f>
        <v>0</v>
      </c>
      <c r="EF15" s="7">
        <f>IF(預測IC!EF15&gt;預測IC!EF$25,1,0)</f>
        <v>0</v>
      </c>
      <c r="EG15">
        <f t="shared" si="10"/>
        <v>51</v>
      </c>
      <c r="EH15" s="9">
        <f t="shared" si="11"/>
        <v>0.38059701492537312</v>
      </c>
    </row>
    <row r="16" spans="1:138" x14ac:dyDescent="0.3">
      <c r="A16" s="1">
        <v>107</v>
      </c>
      <c r="B16" s="1">
        <v>9</v>
      </c>
      <c r="C16" s="7">
        <f>IF(預測IC!C16&gt;預測IC!C$25,1,0)</f>
        <v>0</v>
      </c>
      <c r="D16" s="7">
        <f>IF(預測IC!D16&gt;預測IC!D$25,1,0)</f>
        <v>0</v>
      </c>
      <c r="E16" s="7">
        <f>IF(預測IC!E16&gt;預測IC!E$25,1,0)</f>
        <v>0</v>
      </c>
      <c r="F16" s="7">
        <f>IF(預測IC!F16&gt;預測IC!F$25,1,0)</f>
        <v>0</v>
      </c>
      <c r="G16" s="7">
        <f>IF(預測IC!G16&gt;預測IC!G$25,1,0)</f>
        <v>0</v>
      </c>
      <c r="H16" s="7">
        <f>IF(預測IC!H16&gt;預測IC!H$25,1,0)</f>
        <v>0</v>
      </c>
      <c r="I16" s="7">
        <f>IF(預測IC!I16&gt;預測IC!I$25,1,0)</f>
        <v>0</v>
      </c>
      <c r="J16" s="7">
        <f>IF(預測IC!J16&gt;預測IC!J$25,1,0)</f>
        <v>0</v>
      </c>
      <c r="K16" s="7">
        <f>IF(預測IC!K16&gt;預測IC!K$25,1,0)</f>
        <v>0</v>
      </c>
      <c r="L16" s="7">
        <f>IF(預測IC!L16&gt;預測IC!L$25,1,0)</f>
        <v>1</v>
      </c>
      <c r="M16" s="7">
        <f>IF(預測IC!M16&gt;預測IC!M$25,1,0)</f>
        <v>0</v>
      </c>
      <c r="N16" s="7">
        <f>IF(預測IC!N16&gt;預測IC!N$25,1,0)</f>
        <v>0</v>
      </c>
      <c r="O16" s="7">
        <f>IF(預測IC!O16&gt;預測IC!O$25,1,0)</f>
        <v>0</v>
      </c>
      <c r="P16" s="7">
        <f>IF(預測IC!P16&gt;預測IC!P$25,1,0)</f>
        <v>0</v>
      </c>
      <c r="Q16" s="7">
        <f>IF(預測IC!Q16&gt;預測IC!Q$25,1,0)</f>
        <v>0</v>
      </c>
      <c r="R16" s="7">
        <f>IF(預測IC!R16&gt;預測IC!R$25,1,0)</f>
        <v>1</v>
      </c>
      <c r="S16" s="7">
        <f>IF(預測IC!S16&gt;預測IC!S$25,1,0)</f>
        <v>1</v>
      </c>
      <c r="T16" s="7">
        <f>IF(預測IC!T16&gt;預測IC!T$25,1,0)</f>
        <v>1</v>
      </c>
      <c r="U16" s="7">
        <f>IF(預測IC!U16&gt;預測IC!U$25,1,0)</f>
        <v>1</v>
      </c>
      <c r="V16" s="7">
        <f>IF(預測IC!V16&gt;預測IC!V$25,1,0)</f>
        <v>0</v>
      </c>
      <c r="W16" s="7">
        <f>IF(預測IC!W16&gt;預測IC!W$25,1,0)</f>
        <v>0</v>
      </c>
      <c r="X16" s="7">
        <f>IF(預測IC!X16&gt;預測IC!X$25,1,0)</f>
        <v>1</v>
      </c>
      <c r="Y16" s="7">
        <f>IF(預測IC!Y16&gt;預測IC!Y$25,1,0)</f>
        <v>1</v>
      </c>
      <c r="Z16" s="7">
        <f>IF(預測IC!Z16&gt;預測IC!Z$25,1,0)</f>
        <v>0</v>
      </c>
      <c r="AA16" s="7">
        <f>IF(預測IC!AA16&gt;預測IC!AA$25,1,0)</f>
        <v>0</v>
      </c>
      <c r="AB16" s="7">
        <f>IF(預測IC!AB16&gt;預測IC!AB$25,1,0)</f>
        <v>1</v>
      </c>
      <c r="AC16" s="7">
        <f>IF(預測IC!AC16&gt;預測IC!AC$25,1,0)</f>
        <v>0</v>
      </c>
      <c r="AD16" s="7">
        <f>IF(預測IC!AD16&gt;預測IC!AD$25,1,0)</f>
        <v>0</v>
      </c>
      <c r="AE16" s="7">
        <f>IF(預測IC!AE16&gt;預測IC!AE$25,1,0)</f>
        <v>0</v>
      </c>
      <c r="AF16" s="7">
        <f>IF(預測IC!AF16&gt;預測IC!AF$25,1,0)</f>
        <v>0</v>
      </c>
      <c r="AG16" s="7">
        <f>IF(預測IC!AG16&gt;預測IC!AG$25,1,0)</f>
        <v>0</v>
      </c>
      <c r="AH16" s="7">
        <f>IF(預測IC!AH16&gt;預測IC!AH$25,1,0)</f>
        <v>0</v>
      </c>
      <c r="AI16" s="7">
        <f>IF(預測IC!AI16&gt;預測IC!AI$25,1,0)</f>
        <v>0</v>
      </c>
      <c r="AJ16" s="7">
        <f>IF(預測IC!AJ16&gt;預測IC!AJ$25,1,0)</f>
        <v>0</v>
      </c>
      <c r="AK16" s="7">
        <f>IF(預測IC!AK16&gt;預測IC!AK$25,1,0)</f>
        <v>1</v>
      </c>
      <c r="AL16" s="7">
        <f>IF(預測IC!AL16&gt;預測IC!AL$25,1,0)</f>
        <v>0</v>
      </c>
      <c r="AM16" s="7">
        <f>IF(預測IC!AM16&gt;預測IC!AM$25,1,0)</f>
        <v>1</v>
      </c>
      <c r="AN16" s="7">
        <f>IF(預測IC!AN16&gt;預測IC!AN$25,1,0)</f>
        <v>0</v>
      </c>
      <c r="AO16" s="7">
        <f>IF(預測IC!AO16&gt;預測IC!AO$25,1,0)</f>
        <v>0</v>
      </c>
      <c r="AP16" s="7">
        <f>IF(預測IC!AP16&gt;預測IC!AP$25,1,0)</f>
        <v>1</v>
      </c>
      <c r="AQ16" s="7">
        <f>IF(預測IC!AQ16&gt;預測IC!AQ$25,1,0)</f>
        <v>1</v>
      </c>
      <c r="AR16" s="7">
        <f>IF(預測IC!AR16&gt;預測IC!AR$25,1,0)</f>
        <v>0</v>
      </c>
      <c r="AS16" s="7">
        <f>IF(預測IC!AS16&gt;預測IC!AS$25,1,0)</f>
        <v>1</v>
      </c>
      <c r="AT16" s="7">
        <f>IF(預測IC!AT16&gt;預測IC!AT$25,1,0)</f>
        <v>0</v>
      </c>
      <c r="AU16" s="7">
        <f>IF(預測IC!AU16&gt;預測IC!AU$25,1,0)</f>
        <v>0</v>
      </c>
      <c r="AV16" s="7">
        <f>IF(預測IC!AV16&gt;預測IC!AV$25,1,0)</f>
        <v>0</v>
      </c>
      <c r="AW16" s="7">
        <f>IF(預測IC!AW16&gt;預測IC!AW$25,1,0)</f>
        <v>0</v>
      </c>
      <c r="AX16" s="7">
        <f>IF(預測IC!AX16&gt;預測IC!AX$25,1,0)</f>
        <v>0</v>
      </c>
      <c r="AY16" s="7">
        <f>IF(預測IC!AY16&gt;預測IC!AY$25,1,0)</f>
        <v>0</v>
      </c>
      <c r="AZ16" s="7">
        <f>IF(預測IC!AZ16&gt;預測IC!AZ$25,1,0)</f>
        <v>0</v>
      </c>
      <c r="BA16" s="7">
        <f>IF(預測IC!BA16&gt;預測IC!BA$25,1,0)</f>
        <v>0</v>
      </c>
      <c r="BB16" s="7">
        <f>IF(預測IC!BB16&gt;預測IC!BB$25,1,0)</f>
        <v>1</v>
      </c>
      <c r="BC16" s="7">
        <f>IF(預測IC!BC16&gt;預測IC!BC$25,1,0)</f>
        <v>0</v>
      </c>
      <c r="BD16" s="7">
        <f>IF(預測IC!BD16&gt;預測IC!BD$25,1,0)</f>
        <v>0</v>
      </c>
      <c r="BE16" s="7">
        <f>IF(預測IC!BE16&gt;預測IC!BE$25,1,0)</f>
        <v>0</v>
      </c>
      <c r="BF16" s="7">
        <f>IF(預測IC!BF16&gt;預測IC!BF$25,1,0)</f>
        <v>1</v>
      </c>
      <c r="BG16" s="7">
        <f>IF(預測IC!BG16&gt;預測IC!BG$25,1,0)</f>
        <v>1</v>
      </c>
      <c r="BH16" s="7">
        <f>IF(預測IC!BH16&gt;預測IC!BH$25,1,0)</f>
        <v>1</v>
      </c>
      <c r="BI16" s="7">
        <f>IF(預測IC!BI16&gt;預測IC!BI$25,1,0)</f>
        <v>0</v>
      </c>
      <c r="BJ16" s="7">
        <f>IF(預測IC!BJ16&gt;預測IC!BJ$25,1,0)</f>
        <v>0</v>
      </c>
      <c r="BK16" s="7">
        <f>IF(預測IC!BK16&gt;預測IC!BK$25,1,0)</f>
        <v>1</v>
      </c>
      <c r="BL16" s="7">
        <f>IF(預測IC!BL16&gt;預測IC!BL$25,1,0)</f>
        <v>0</v>
      </c>
      <c r="BM16" s="7">
        <f>IF(預測IC!BM16&gt;預測IC!BM$25,1,0)</f>
        <v>0</v>
      </c>
      <c r="BN16" s="7">
        <f>IF(預測IC!BN16&gt;預測IC!BN$25,1,0)</f>
        <v>0</v>
      </c>
      <c r="BO16" s="7">
        <f>IF(預測IC!BO16&gt;預測IC!BO$25,1,0)</f>
        <v>1</v>
      </c>
      <c r="BP16" s="7">
        <f>IF(預測IC!BP16&gt;預測IC!BP$25,1,0)</f>
        <v>1</v>
      </c>
      <c r="BQ16" s="7">
        <f>IF(預測IC!BQ16&gt;預測IC!BQ$25,1,0)</f>
        <v>1</v>
      </c>
      <c r="BR16" s="7">
        <f>IF(預測IC!BR16&gt;預測IC!BR$25,1,0)</f>
        <v>0</v>
      </c>
      <c r="BS16" s="7">
        <f>IF(預測IC!BS16&gt;預測IC!BS$25,1,0)</f>
        <v>0</v>
      </c>
      <c r="BT16" s="7">
        <f>IF(預測IC!BT16&gt;預測IC!BT$25,1,0)</f>
        <v>0</v>
      </c>
      <c r="BU16" s="7">
        <f>IF(預測IC!BU16&gt;預測IC!BU$25,1,0)</f>
        <v>1</v>
      </c>
      <c r="BV16" s="7">
        <f>IF(預測IC!BV16&gt;預測IC!BV$25,1,0)</f>
        <v>0</v>
      </c>
      <c r="BW16" s="7">
        <f>IF(預測IC!BW16&gt;預測IC!BW$25,1,0)</f>
        <v>1</v>
      </c>
      <c r="BX16" s="7">
        <f>IF(預測IC!BX16&gt;預測IC!BX$25,1,0)</f>
        <v>0</v>
      </c>
      <c r="BY16" s="7">
        <f>IF(預測IC!BY16&gt;預測IC!BY$25,1,0)</f>
        <v>1</v>
      </c>
      <c r="BZ16" s="7">
        <f>IF(預測IC!BZ16&gt;預測IC!BZ$25,1,0)</f>
        <v>0</v>
      </c>
      <c r="CA16" s="7">
        <f>IF(預測IC!CA16&gt;預測IC!CA$25,1,0)</f>
        <v>1</v>
      </c>
      <c r="CB16" s="7">
        <f>IF(預測IC!CB16&gt;預測IC!CB$25,1,0)</f>
        <v>0</v>
      </c>
      <c r="CC16" s="7">
        <f>IF(預測IC!CC16&gt;預測IC!CC$25,1,0)</f>
        <v>0</v>
      </c>
      <c r="CD16" s="7">
        <f>IF(預測IC!CD16&gt;預測IC!CD$25,1,0)</f>
        <v>1</v>
      </c>
      <c r="CE16" s="7">
        <f>IF(預測IC!CE16&gt;預測IC!CE$25,1,0)</f>
        <v>0</v>
      </c>
      <c r="CF16" s="7">
        <f>IF(預測IC!CF16&gt;預測IC!CF$25,1,0)</f>
        <v>1</v>
      </c>
      <c r="CG16" s="7">
        <f>IF(預測IC!CG16&gt;預測IC!CG$25,1,0)</f>
        <v>0</v>
      </c>
      <c r="CH16" s="7">
        <f>IF(預測IC!CH16&gt;預測IC!CH$25,1,0)</f>
        <v>0</v>
      </c>
      <c r="CI16" s="7">
        <f>IF(預測IC!CI16&gt;預測IC!CI$25,1,0)</f>
        <v>0</v>
      </c>
      <c r="CJ16" s="7">
        <f>IF(預測IC!CJ16&gt;預測IC!CJ$25,1,0)</f>
        <v>0</v>
      </c>
      <c r="CK16" s="7">
        <f>IF(預測IC!CK16&gt;預測IC!CK$25,1,0)</f>
        <v>0</v>
      </c>
      <c r="CL16" s="7">
        <f>IF(預測IC!CL16&gt;預測IC!CL$25,1,0)</f>
        <v>0</v>
      </c>
      <c r="CM16" s="7">
        <f>IF(預測IC!CM16&gt;預測IC!CM$25,1,0)</f>
        <v>1</v>
      </c>
      <c r="CN16" s="7">
        <f>IF(預測IC!CN16&gt;預測IC!CN$25,1,0)</f>
        <v>1</v>
      </c>
      <c r="CO16" s="7">
        <f>IF(預測IC!CO16&gt;預測IC!CO$25,1,0)</f>
        <v>0</v>
      </c>
      <c r="CP16" s="7">
        <f>IF(預測IC!CP16&gt;預測IC!CP$25,1,0)</f>
        <v>1</v>
      </c>
      <c r="CQ16" s="7">
        <f>IF(預測IC!CQ16&gt;預測IC!CQ$25,1,0)</f>
        <v>1</v>
      </c>
      <c r="CR16" s="7">
        <f>IF(預測IC!CR16&gt;預測IC!CR$25,1,0)</f>
        <v>1</v>
      </c>
      <c r="CS16" s="7">
        <f>IF(預測IC!CS16&gt;預測IC!CS$25,1,0)</f>
        <v>0</v>
      </c>
      <c r="CT16" s="7">
        <f>IF(預測IC!CT16&gt;預測IC!CT$25,1,0)</f>
        <v>0</v>
      </c>
      <c r="CU16" s="7">
        <f>IF(預測IC!CU16&gt;預測IC!CU$25,1,0)</f>
        <v>1</v>
      </c>
      <c r="CV16" s="7">
        <f>IF(預測IC!CV16&gt;預測IC!CV$25,1,0)</f>
        <v>0</v>
      </c>
      <c r="CW16" s="7">
        <f>IF(預測IC!CW16&gt;預測IC!CW$25,1,0)</f>
        <v>0</v>
      </c>
      <c r="CX16" s="7">
        <f>IF(預測IC!CX16&gt;預測IC!CX$25,1,0)</f>
        <v>0</v>
      </c>
      <c r="CY16" s="7">
        <f>IF(預測IC!CY16&gt;預測IC!CY$25,1,0)</f>
        <v>1</v>
      </c>
      <c r="CZ16" s="7">
        <f>IF(預測IC!CZ16&gt;預測IC!CZ$25,1,0)</f>
        <v>1</v>
      </c>
      <c r="DA16" s="7">
        <f>IF(預測IC!DA16&gt;預測IC!DA$25,1,0)</f>
        <v>0</v>
      </c>
      <c r="DB16" s="7">
        <f>IF(預測IC!DB16&gt;預測IC!DB$25,1,0)</f>
        <v>0</v>
      </c>
      <c r="DC16" s="7">
        <f>IF(預測IC!DC16&gt;預測IC!DC$25,1,0)</f>
        <v>1</v>
      </c>
      <c r="DD16" s="7">
        <f>IF(預測IC!DD16&gt;預測IC!DD$25,1,0)</f>
        <v>1</v>
      </c>
      <c r="DE16" s="7">
        <f>IF(預測IC!DE16&gt;預測IC!DE$25,1,0)</f>
        <v>0</v>
      </c>
      <c r="DF16" s="7">
        <f>IF(預測IC!DF16&gt;預測IC!DF$25,1,0)</f>
        <v>1</v>
      </c>
      <c r="DG16" s="7">
        <f>IF(預測IC!DG16&gt;預測IC!DG$25,1,0)</f>
        <v>1</v>
      </c>
      <c r="DH16" s="7">
        <f>IF(預測IC!DH16&gt;預測IC!DH$25,1,0)</f>
        <v>0</v>
      </c>
      <c r="DI16" s="7">
        <f>IF(預測IC!DI16&gt;預測IC!DI$25,1,0)</f>
        <v>0</v>
      </c>
      <c r="DJ16" s="7">
        <f>IF(預測IC!DJ16&gt;預測IC!DJ$25,1,0)</f>
        <v>1</v>
      </c>
      <c r="DK16" s="7">
        <f>IF(預測IC!DK16&gt;預測IC!DK$25,1,0)</f>
        <v>0</v>
      </c>
      <c r="DL16" s="7">
        <f>IF(預測IC!DL16&gt;預測IC!DL$25,1,0)</f>
        <v>1</v>
      </c>
      <c r="DM16" s="7">
        <f>IF(預測IC!DM16&gt;預測IC!DM$25,1,0)</f>
        <v>0</v>
      </c>
      <c r="DN16" s="7">
        <f>IF(預測IC!DN16&gt;預測IC!DN$25,1,0)</f>
        <v>1</v>
      </c>
      <c r="DO16" s="7">
        <f>IF(預測IC!DO16&gt;預測IC!DO$25,1,0)</f>
        <v>0</v>
      </c>
      <c r="DP16" s="7">
        <f>IF(預測IC!DP16&gt;預測IC!DP$25,1,0)</f>
        <v>0</v>
      </c>
      <c r="DQ16" s="7">
        <f>IF(預測IC!DQ16&gt;預測IC!DQ$25,1,0)</f>
        <v>0</v>
      </c>
      <c r="DR16" s="7">
        <f>IF(預測IC!DR16&gt;預測IC!DR$25,1,0)</f>
        <v>1</v>
      </c>
      <c r="DS16" s="7">
        <f>IF(預測IC!DS16&gt;預測IC!DS$25,1,0)</f>
        <v>1</v>
      </c>
      <c r="DT16" s="7">
        <f>IF(預測IC!DT16&gt;預測IC!DT$25,1,0)</f>
        <v>1</v>
      </c>
      <c r="DU16" s="7">
        <f>IF(預測IC!DU16&gt;預測IC!DU$25,1,0)</f>
        <v>1</v>
      </c>
      <c r="DV16" s="7">
        <f>IF(預測IC!DV16&gt;預測IC!DV$25,1,0)</f>
        <v>0</v>
      </c>
      <c r="DW16" s="7">
        <f>IF(預測IC!DW16&gt;預測IC!DW$25,1,0)</f>
        <v>0</v>
      </c>
      <c r="DX16" s="7">
        <f>IF(預測IC!DX16&gt;預測IC!DX$25,1,0)</f>
        <v>0</v>
      </c>
      <c r="DY16" s="7">
        <f>IF(預測IC!DY16&gt;預測IC!DY$25,1,0)</f>
        <v>1</v>
      </c>
      <c r="DZ16" s="7">
        <f>IF(預測IC!DZ16&gt;預測IC!DZ$25,1,0)</f>
        <v>1</v>
      </c>
      <c r="EA16" s="7">
        <f>IF(預測IC!EA16&gt;預測IC!EA$25,1,0)</f>
        <v>1</v>
      </c>
      <c r="EB16" s="7">
        <f>IF(預測IC!EB16&gt;預測IC!EB$25,1,0)</f>
        <v>1</v>
      </c>
      <c r="EC16" s="7">
        <f>IF(預測IC!EC16&gt;預測IC!EC$25,1,0)</f>
        <v>1</v>
      </c>
      <c r="ED16" s="7">
        <f>IF(預測IC!ED16&gt;預測IC!ED$25,1,0)</f>
        <v>0</v>
      </c>
      <c r="EE16" s="7">
        <f>IF(預測IC!EE16&gt;預測IC!EE$25,1,0)</f>
        <v>0</v>
      </c>
      <c r="EF16" s="7">
        <f>IF(預測IC!EF16&gt;預測IC!EF$25,1,0)</f>
        <v>0</v>
      </c>
      <c r="EG16">
        <f t="shared" si="10"/>
        <v>51</v>
      </c>
      <c r="EH16" s="9">
        <f t="shared" si="11"/>
        <v>0.38059701492537312</v>
      </c>
    </row>
    <row r="17" spans="1:138" x14ac:dyDescent="0.3">
      <c r="A17" s="1">
        <v>120</v>
      </c>
      <c r="B17" s="1">
        <v>8</v>
      </c>
      <c r="C17" s="7">
        <f>IF(預測IC!C17&gt;預測IC!C$25,1,0)</f>
        <v>0</v>
      </c>
      <c r="D17" s="7">
        <f>IF(預測IC!D17&gt;預測IC!D$25,1,0)</f>
        <v>0</v>
      </c>
      <c r="E17" s="7">
        <f>IF(預測IC!E17&gt;預測IC!E$25,1,0)</f>
        <v>0</v>
      </c>
      <c r="F17" s="7">
        <f>IF(預測IC!F17&gt;預測IC!F$25,1,0)</f>
        <v>0</v>
      </c>
      <c r="G17" s="7">
        <f>IF(預測IC!G17&gt;預測IC!G$25,1,0)</f>
        <v>0</v>
      </c>
      <c r="H17" s="7">
        <f>IF(預測IC!H17&gt;預測IC!H$25,1,0)</f>
        <v>0</v>
      </c>
      <c r="I17" s="7">
        <f>IF(預測IC!I17&gt;預測IC!I$25,1,0)</f>
        <v>0</v>
      </c>
      <c r="J17" s="7">
        <f>IF(預測IC!J17&gt;預測IC!J$25,1,0)</f>
        <v>0</v>
      </c>
      <c r="K17" s="7">
        <f>IF(預測IC!K17&gt;預測IC!K$25,1,0)</f>
        <v>0</v>
      </c>
      <c r="L17" s="7">
        <f>IF(預測IC!L17&gt;預測IC!L$25,1,0)</f>
        <v>1</v>
      </c>
      <c r="M17" s="7">
        <f>IF(預測IC!M17&gt;預測IC!M$25,1,0)</f>
        <v>0</v>
      </c>
      <c r="N17" s="7">
        <f>IF(預測IC!N17&gt;預測IC!N$25,1,0)</f>
        <v>0</v>
      </c>
      <c r="O17" s="7">
        <f>IF(預測IC!O17&gt;預測IC!O$25,1,0)</f>
        <v>0</v>
      </c>
      <c r="P17" s="7">
        <f>IF(預測IC!P17&gt;預測IC!P$25,1,0)</f>
        <v>0</v>
      </c>
      <c r="Q17" s="7">
        <f>IF(預測IC!Q17&gt;預測IC!Q$25,1,0)</f>
        <v>0</v>
      </c>
      <c r="R17" s="7">
        <f>IF(預測IC!R17&gt;預測IC!R$25,1,0)</f>
        <v>1</v>
      </c>
      <c r="S17" s="7">
        <f>IF(預測IC!S17&gt;預測IC!S$25,1,0)</f>
        <v>1</v>
      </c>
      <c r="T17" s="7">
        <f>IF(預測IC!T17&gt;預測IC!T$25,1,0)</f>
        <v>1</v>
      </c>
      <c r="U17" s="7">
        <f>IF(預測IC!U17&gt;預測IC!U$25,1,0)</f>
        <v>1</v>
      </c>
      <c r="V17" s="7">
        <f>IF(預測IC!V17&gt;預測IC!V$25,1,0)</f>
        <v>0</v>
      </c>
      <c r="W17" s="7">
        <f>IF(預測IC!W17&gt;預測IC!W$25,1,0)</f>
        <v>0</v>
      </c>
      <c r="X17" s="7">
        <f>IF(預測IC!X17&gt;預測IC!X$25,1,0)</f>
        <v>1</v>
      </c>
      <c r="Y17" s="7">
        <f>IF(預測IC!Y17&gt;預測IC!Y$25,1,0)</f>
        <v>1</v>
      </c>
      <c r="Z17" s="7">
        <f>IF(預測IC!Z17&gt;預測IC!Z$25,1,0)</f>
        <v>0</v>
      </c>
      <c r="AA17" s="7">
        <f>IF(預測IC!AA17&gt;預測IC!AA$25,1,0)</f>
        <v>0</v>
      </c>
      <c r="AB17" s="7">
        <f>IF(預測IC!AB17&gt;預測IC!AB$25,1,0)</f>
        <v>1</v>
      </c>
      <c r="AC17" s="7">
        <f>IF(預測IC!AC17&gt;預測IC!AC$25,1,0)</f>
        <v>0</v>
      </c>
      <c r="AD17" s="7">
        <f>IF(預測IC!AD17&gt;預測IC!AD$25,1,0)</f>
        <v>0</v>
      </c>
      <c r="AE17" s="7">
        <f>IF(預測IC!AE17&gt;預測IC!AE$25,1,0)</f>
        <v>0</v>
      </c>
      <c r="AF17" s="7">
        <f>IF(預測IC!AF17&gt;預測IC!AF$25,1,0)</f>
        <v>0</v>
      </c>
      <c r="AG17" s="7">
        <f>IF(預測IC!AG17&gt;預測IC!AG$25,1,0)</f>
        <v>0</v>
      </c>
      <c r="AH17" s="7">
        <f>IF(預測IC!AH17&gt;預測IC!AH$25,1,0)</f>
        <v>0</v>
      </c>
      <c r="AI17" s="7">
        <f>IF(預測IC!AI17&gt;預測IC!AI$25,1,0)</f>
        <v>0</v>
      </c>
      <c r="AJ17" s="7">
        <f>IF(預測IC!AJ17&gt;預測IC!AJ$25,1,0)</f>
        <v>0</v>
      </c>
      <c r="AK17" s="7">
        <f>IF(預測IC!AK17&gt;預測IC!AK$25,1,0)</f>
        <v>1</v>
      </c>
      <c r="AL17" s="7">
        <f>IF(預測IC!AL17&gt;預測IC!AL$25,1,0)</f>
        <v>0</v>
      </c>
      <c r="AM17" s="7">
        <f>IF(預測IC!AM17&gt;預測IC!AM$25,1,0)</f>
        <v>1</v>
      </c>
      <c r="AN17" s="7">
        <f>IF(預測IC!AN17&gt;預測IC!AN$25,1,0)</f>
        <v>0</v>
      </c>
      <c r="AO17" s="7">
        <f>IF(預測IC!AO17&gt;預測IC!AO$25,1,0)</f>
        <v>0</v>
      </c>
      <c r="AP17" s="7">
        <f>IF(預測IC!AP17&gt;預測IC!AP$25,1,0)</f>
        <v>1</v>
      </c>
      <c r="AQ17" s="7">
        <f>IF(預測IC!AQ17&gt;預測IC!AQ$25,1,0)</f>
        <v>1</v>
      </c>
      <c r="AR17" s="7">
        <f>IF(預測IC!AR17&gt;預測IC!AR$25,1,0)</f>
        <v>1</v>
      </c>
      <c r="AS17" s="7">
        <f>IF(預測IC!AS17&gt;預測IC!AS$25,1,0)</f>
        <v>1</v>
      </c>
      <c r="AT17" s="7">
        <f>IF(預測IC!AT17&gt;預測IC!AT$25,1,0)</f>
        <v>0</v>
      </c>
      <c r="AU17" s="7">
        <f>IF(預測IC!AU17&gt;預測IC!AU$25,1,0)</f>
        <v>0</v>
      </c>
      <c r="AV17" s="7">
        <f>IF(預測IC!AV17&gt;預測IC!AV$25,1,0)</f>
        <v>0</v>
      </c>
      <c r="AW17" s="7">
        <f>IF(預測IC!AW17&gt;預測IC!AW$25,1,0)</f>
        <v>0</v>
      </c>
      <c r="AX17" s="7">
        <f>IF(預測IC!AX17&gt;預測IC!AX$25,1,0)</f>
        <v>0</v>
      </c>
      <c r="AY17" s="7">
        <f>IF(預測IC!AY17&gt;預測IC!AY$25,1,0)</f>
        <v>0</v>
      </c>
      <c r="AZ17" s="7">
        <f>IF(預測IC!AZ17&gt;預測IC!AZ$25,1,0)</f>
        <v>0</v>
      </c>
      <c r="BA17" s="7">
        <f>IF(預測IC!BA17&gt;預測IC!BA$25,1,0)</f>
        <v>0</v>
      </c>
      <c r="BB17" s="7">
        <f>IF(預測IC!BB17&gt;預測IC!BB$25,1,0)</f>
        <v>1</v>
      </c>
      <c r="BC17" s="7">
        <f>IF(預測IC!BC17&gt;預測IC!BC$25,1,0)</f>
        <v>0</v>
      </c>
      <c r="BD17" s="7">
        <f>IF(預測IC!BD17&gt;預測IC!BD$25,1,0)</f>
        <v>1</v>
      </c>
      <c r="BE17" s="7">
        <f>IF(預測IC!BE17&gt;預測IC!BE$25,1,0)</f>
        <v>0</v>
      </c>
      <c r="BF17" s="7">
        <f>IF(預測IC!BF17&gt;預測IC!BF$25,1,0)</f>
        <v>1</v>
      </c>
      <c r="BG17" s="7">
        <f>IF(預測IC!BG17&gt;預測IC!BG$25,1,0)</f>
        <v>0</v>
      </c>
      <c r="BH17" s="7">
        <f>IF(預測IC!BH17&gt;預測IC!BH$25,1,0)</f>
        <v>1</v>
      </c>
      <c r="BI17" s="7">
        <f>IF(預測IC!BI17&gt;預測IC!BI$25,1,0)</f>
        <v>0</v>
      </c>
      <c r="BJ17" s="7">
        <f>IF(預測IC!BJ17&gt;預測IC!BJ$25,1,0)</f>
        <v>0</v>
      </c>
      <c r="BK17" s="7">
        <f>IF(預測IC!BK17&gt;預測IC!BK$25,1,0)</f>
        <v>0</v>
      </c>
      <c r="BL17" s="7">
        <f>IF(預測IC!BL17&gt;預測IC!BL$25,1,0)</f>
        <v>0</v>
      </c>
      <c r="BM17" s="7">
        <f>IF(預測IC!BM17&gt;預測IC!BM$25,1,0)</f>
        <v>0</v>
      </c>
      <c r="BN17" s="7">
        <f>IF(預測IC!BN17&gt;預測IC!BN$25,1,0)</f>
        <v>0</v>
      </c>
      <c r="BO17" s="7">
        <f>IF(預測IC!BO17&gt;預測IC!BO$25,1,0)</f>
        <v>1</v>
      </c>
      <c r="BP17" s="7">
        <f>IF(預測IC!BP17&gt;預測IC!BP$25,1,0)</f>
        <v>1</v>
      </c>
      <c r="BQ17" s="7">
        <f>IF(預測IC!BQ17&gt;預測IC!BQ$25,1,0)</f>
        <v>1</v>
      </c>
      <c r="BR17" s="7">
        <f>IF(預測IC!BR17&gt;預測IC!BR$25,1,0)</f>
        <v>0</v>
      </c>
      <c r="BS17" s="7">
        <f>IF(預測IC!BS17&gt;預測IC!BS$25,1,0)</f>
        <v>0</v>
      </c>
      <c r="BT17" s="7">
        <f>IF(預測IC!BT17&gt;預測IC!BT$25,1,0)</f>
        <v>0</v>
      </c>
      <c r="BU17" s="7">
        <f>IF(預測IC!BU17&gt;預測IC!BU$25,1,0)</f>
        <v>1</v>
      </c>
      <c r="BV17" s="7">
        <f>IF(預測IC!BV17&gt;預測IC!BV$25,1,0)</f>
        <v>0</v>
      </c>
      <c r="BW17" s="7">
        <f>IF(預測IC!BW17&gt;預測IC!BW$25,1,0)</f>
        <v>1</v>
      </c>
      <c r="BX17" s="7">
        <f>IF(預測IC!BX17&gt;預測IC!BX$25,1,0)</f>
        <v>0</v>
      </c>
      <c r="BY17" s="7">
        <f>IF(預測IC!BY17&gt;預測IC!BY$25,1,0)</f>
        <v>1</v>
      </c>
      <c r="BZ17" s="7">
        <f>IF(預測IC!BZ17&gt;預測IC!BZ$25,1,0)</f>
        <v>0</v>
      </c>
      <c r="CA17" s="7">
        <f>IF(預測IC!CA17&gt;預測IC!CA$25,1,0)</f>
        <v>1</v>
      </c>
      <c r="CB17" s="7">
        <f>IF(預測IC!CB17&gt;預測IC!CB$25,1,0)</f>
        <v>0</v>
      </c>
      <c r="CC17" s="7">
        <f>IF(預測IC!CC17&gt;預測IC!CC$25,1,0)</f>
        <v>0</v>
      </c>
      <c r="CD17" s="7">
        <f>IF(預測IC!CD17&gt;預測IC!CD$25,1,0)</f>
        <v>1</v>
      </c>
      <c r="CE17" s="7">
        <f>IF(預測IC!CE17&gt;預測IC!CE$25,1,0)</f>
        <v>0</v>
      </c>
      <c r="CF17" s="7">
        <f>IF(預測IC!CF17&gt;預測IC!CF$25,1,0)</f>
        <v>1</v>
      </c>
      <c r="CG17" s="7">
        <f>IF(預測IC!CG17&gt;預測IC!CG$25,1,0)</f>
        <v>0</v>
      </c>
      <c r="CH17" s="7">
        <f>IF(預測IC!CH17&gt;預測IC!CH$25,1,0)</f>
        <v>0</v>
      </c>
      <c r="CI17" s="7">
        <f>IF(預測IC!CI17&gt;預測IC!CI$25,1,0)</f>
        <v>0</v>
      </c>
      <c r="CJ17" s="7">
        <f>IF(預測IC!CJ17&gt;預測IC!CJ$25,1,0)</f>
        <v>0</v>
      </c>
      <c r="CK17" s="7">
        <f>IF(預測IC!CK17&gt;預測IC!CK$25,1,0)</f>
        <v>0</v>
      </c>
      <c r="CL17" s="7">
        <f>IF(預測IC!CL17&gt;預測IC!CL$25,1,0)</f>
        <v>0</v>
      </c>
      <c r="CM17" s="7">
        <f>IF(預測IC!CM17&gt;預測IC!CM$25,1,0)</f>
        <v>1</v>
      </c>
      <c r="CN17" s="7">
        <f>IF(預測IC!CN17&gt;預測IC!CN$25,1,0)</f>
        <v>1</v>
      </c>
      <c r="CO17" s="7">
        <f>IF(預測IC!CO17&gt;預測IC!CO$25,1,0)</f>
        <v>0</v>
      </c>
      <c r="CP17" s="7">
        <f>IF(預測IC!CP17&gt;預測IC!CP$25,1,0)</f>
        <v>1</v>
      </c>
      <c r="CQ17" s="7">
        <f>IF(預測IC!CQ17&gt;預測IC!CQ$25,1,0)</f>
        <v>1</v>
      </c>
      <c r="CR17" s="7">
        <f>IF(預測IC!CR17&gt;預測IC!CR$25,1,0)</f>
        <v>1</v>
      </c>
      <c r="CS17" s="7">
        <f>IF(預測IC!CS17&gt;預測IC!CS$25,1,0)</f>
        <v>0</v>
      </c>
      <c r="CT17" s="7">
        <f>IF(預測IC!CT17&gt;預測IC!CT$25,1,0)</f>
        <v>0</v>
      </c>
      <c r="CU17" s="7">
        <f>IF(預測IC!CU17&gt;預測IC!CU$25,1,0)</f>
        <v>1</v>
      </c>
      <c r="CV17" s="7">
        <f>IF(預測IC!CV17&gt;預測IC!CV$25,1,0)</f>
        <v>0</v>
      </c>
      <c r="CW17" s="7">
        <f>IF(預測IC!CW17&gt;預測IC!CW$25,1,0)</f>
        <v>0</v>
      </c>
      <c r="CX17" s="7">
        <f>IF(預測IC!CX17&gt;預測IC!CX$25,1,0)</f>
        <v>0</v>
      </c>
      <c r="CY17" s="7">
        <f>IF(預測IC!CY17&gt;預測IC!CY$25,1,0)</f>
        <v>1</v>
      </c>
      <c r="CZ17" s="7">
        <f>IF(預測IC!CZ17&gt;預測IC!CZ$25,1,0)</f>
        <v>1</v>
      </c>
      <c r="DA17" s="7">
        <f>IF(預測IC!DA17&gt;預測IC!DA$25,1,0)</f>
        <v>0</v>
      </c>
      <c r="DB17" s="7">
        <f>IF(預測IC!DB17&gt;預測IC!DB$25,1,0)</f>
        <v>0</v>
      </c>
      <c r="DC17" s="7">
        <f>IF(預測IC!DC17&gt;預測IC!DC$25,1,0)</f>
        <v>1</v>
      </c>
      <c r="DD17" s="7">
        <f>IF(預測IC!DD17&gt;預測IC!DD$25,1,0)</f>
        <v>1</v>
      </c>
      <c r="DE17" s="7">
        <f>IF(預測IC!DE17&gt;預測IC!DE$25,1,0)</f>
        <v>0</v>
      </c>
      <c r="DF17" s="7">
        <f>IF(預測IC!DF17&gt;預測IC!DF$25,1,0)</f>
        <v>1</v>
      </c>
      <c r="DG17" s="7">
        <f>IF(預測IC!DG17&gt;預測IC!DG$25,1,0)</f>
        <v>1</v>
      </c>
      <c r="DH17" s="7">
        <f>IF(預測IC!DH17&gt;預測IC!DH$25,1,0)</f>
        <v>0</v>
      </c>
      <c r="DI17" s="7">
        <f>IF(預測IC!DI17&gt;預測IC!DI$25,1,0)</f>
        <v>0</v>
      </c>
      <c r="DJ17" s="7">
        <f>IF(預測IC!DJ17&gt;預測IC!DJ$25,1,0)</f>
        <v>1</v>
      </c>
      <c r="DK17" s="7">
        <f>IF(預測IC!DK17&gt;預測IC!DK$25,1,0)</f>
        <v>1</v>
      </c>
      <c r="DL17" s="7">
        <f>IF(預測IC!DL17&gt;預測IC!DL$25,1,0)</f>
        <v>0</v>
      </c>
      <c r="DM17" s="7">
        <f>IF(預測IC!DM17&gt;預測IC!DM$25,1,0)</f>
        <v>0</v>
      </c>
      <c r="DN17" s="7">
        <f>IF(預測IC!DN17&gt;預測IC!DN$25,1,0)</f>
        <v>1</v>
      </c>
      <c r="DO17" s="7">
        <f>IF(預測IC!DO17&gt;預測IC!DO$25,1,0)</f>
        <v>0</v>
      </c>
      <c r="DP17" s="7">
        <f>IF(預測IC!DP17&gt;預測IC!DP$25,1,0)</f>
        <v>0</v>
      </c>
      <c r="DQ17" s="7">
        <f>IF(預測IC!DQ17&gt;預測IC!DQ$25,1,0)</f>
        <v>0</v>
      </c>
      <c r="DR17" s="7">
        <f>IF(預測IC!DR17&gt;預測IC!DR$25,1,0)</f>
        <v>1</v>
      </c>
      <c r="DS17" s="7">
        <f>IF(預測IC!DS17&gt;預測IC!DS$25,1,0)</f>
        <v>1</v>
      </c>
      <c r="DT17" s="7">
        <f>IF(預測IC!DT17&gt;預測IC!DT$25,1,0)</f>
        <v>1</v>
      </c>
      <c r="DU17" s="7">
        <f>IF(預測IC!DU17&gt;預測IC!DU$25,1,0)</f>
        <v>1</v>
      </c>
      <c r="DV17" s="7">
        <f>IF(預測IC!DV17&gt;預測IC!DV$25,1,0)</f>
        <v>0</v>
      </c>
      <c r="DW17" s="7">
        <f>IF(預測IC!DW17&gt;預測IC!DW$25,1,0)</f>
        <v>1</v>
      </c>
      <c r="DX17" s="7">
        <f>IF(預測IC!DX17&gt;預測IC!DX$25,1,0)</f>
        <v>0</v>
      </c>
      <c r="DY17" s="7">
        <f>IF(預測IC!DY17&gt;預測IC!DY$25,1,0)</f>
        <v>1</v>
      </c>
      <c r="DZ17" s="7">
        <f>IF(預測IC!DZ17&gt;預測IC!DZ$25,1,0)</f>
        <v>0</v>
      </c>
      <c r="EA17" s="7">
        <f>IF(預測IC!EA17&gt;預測IC!EA$25,1,0)</f>
        <v>0</v>
      </c>
      <c r="EB17" s="7">
        <f>IF(預測IC!EB17&gt;預測IC!EB$25,1,0)</f>
        <v>1</v>
      </c>
      <c r="EC17" s="7">
        <f>IF(預測IC!EC17&gt;預測IC!EC$25,1,0)</f>
        <v>1</v>
      </c>
      <c r="ED17" s="7">
        <f>IF(預測IC!ED17&gt;預測IC!ED$25,1,0)</f>
        <v>0</v>
      </c>
      <c r="EE17" s="7">
        <f>IF(預測IC!EE17&gt;預測IC!EE$25,1,0)</f>
        <v>0</v>
      </c>
      <c r="EF17" s="7">
        <f>IF(預測IC!EF17&gt;預測IC!EF$25,1,0)</f>
        <v>0</v>
      </c>
      <c r="EG17">
        <f t="shared" si="10"/>
        <v>50</v>
      </c>
      <c r="EH17" s="9">
        <f t="shared" si="11"/>
        <v>0.37313432835820898</v>
      </c>
    </row>
    <row r="18" spans="1:138" x14ac:dyDescent="0.3">
      <c r="A18" s="1">
        <v>137</v>
      </c>
      <c r="B18" s="1">
        <v>7</v>
      </c>
      <c r="C18" s="7">
        <f>IF(預測IC!C18&gt;預測IC!C$25,1,0)</f>
        <v>0</v>
      </c>
      <c r="D18" s="7">
        <f>IF(預測IC!D18&gt;預測IC!D$25,1,0)</f>
        <v>0</v>
      </c>
      <c r="E18" s="7">
        <f>IF(預測IC!E18&gt;預測IC!E$25,1,0)</f>
        <v>0</v>
      </c>
      <c r="F18" s="7">
        <f>IF(預測IC!F18&gt;預測IC!F$25,1,0)</f>
        <v>0</v>
      </c>
      <c r="G18" s="7">
        <f>IF(預測IC!G18&gt;預測IC!G$25,1,0)</f>
        <v>0</v>
      </c>
      <c r="H18" s="7">
        <f>IF(預測IC!H18&gt;預測IC!H$25,1,0)</f>
        <v>0</v>
      </c>
      <c r="I18" s="7">
        <f>IF(預測IC!I18&gt;預測IC!I$25,1,0)</f>
        <v>0</v>
      </c>
      <c r="J18" s="7">
        <f>IF(預測IC!J18&gt;預測IC!J$25,1,0)</f>
        <v>0</v>
      </c>
      <c r="K18" s="7">
        <f>IF(預測IC!K18&gt;預測IC!K$25,1,0)</f>
        <v>0</v>
      </c>
      <c r="L18" s="7">
        <f>IF(預測IC!L18&gt;預測IC!L$25,1,0)</f>
        <v>1</v>
      </c>
      <c r="M18" s="7">
        <f>IF(預測IC!M18&gt;預測IC!M$25,1,0)</f>
        <v>0</v>
      </c>
      <c r="N18" s="7">
        <f>IF(預測IC!N18&gt;預測IC!N$25,1,0)</f>
        <v>0</v>
      </c>
      <c r="O18" s="7">
        <f>IF(預測IC!O18&gt;預測IC!O$25,1,0)</f>
        <v>1</v>
      </c>
      <c r="P18" s="7">
        <f>IF(預測IC!P18&gt;預測IC!P$25,1,0)</f>
        <v>0</v>
      </c>
      <c r="Q18" s="7">
        <f>IF(預測IC!Q18&gt;預測IC!Q$25,1,0)</f>
        <v>0</v>
      </c>
      <c r="R18" s="7">
        <f>IF(預測IC!R18&gt;預測IC!R$25,1,0)</f>
        <v>1</v>
      </c>
      <c r="S18" s="7">
        <f>IF(預測IC!S18&gt;預測IC!S$25,1,0)</f>
        <v>1</v>
      </c>
      <c r="T18" s="7">
        <f>IF(預測IC!T18&gt;預測IC!T$25,1,0)</f>
        <v>0</v>
      </c>
      <c r="U18" s="7">
        <f>IF(預測IC!U18&gt;預測IC!U$25,1,0)</f>
        <v>1</v>
      </c>
      <c r="V18" s="7">
        <f>IF(預測IC!V18&gt;預測IC!V$25,1,0)</f>
        <v>0</v>
      </c>
      <c r="W18" s="7">
        <f>IF(預測IC!W18&gt;預測IC!W$25,1,0)</f>
        <v>0</v>
      </c>
      <c r="X18" s="7">
        <f>IF(預測IC!X18&gt;預測IC!X$25,1,0)</f>
        <v>1</v>
      </c>
      <c r="Y18" s="7">
        <f>IF(預測IC!Y18&gt;預測IC!Y$25,1,0)</f>
        <v>1</v>
      </c>
      <c r="Z18" s="7">
        <f>IF(預測IC!Z18&gt;預測IC!Z$25,1,0)</f>
        <v>0</v>
      </c>
      <c r="AA18" s="7">
        <f>IF(預測IC!AA18&gt;預測IC!AA$25,1,0)</f>
        <v>0</v>
      </c>
      <c r="AB18" s="7">
        <f>IF(預測IC!AB18&gt;預測IC!AB$25,1,0)</f>
        <v>1</v>
      </c>
      <c r="AC18" s="7">
        <f>IF(預測IC!AC18&gt;預測IC!AC$25,1,0)</f>
        <v>0</v>
      </c>
      <c r="AD18" s="7">
        <f>IF(預測IC!AD18&gt;預測IC!AD$25,1,0)</f>
        <v>0</v>
      </c>
      <c r="AE18" s="7">
        <f>IF(預測IC!AE18&gt;預測IC!AE$25,1,0)</f>
        <v>0</v>
      </c>
      <c r="AF18" s="7">
        <f>IF(預測IC!AF18&gt;預測IC!AF$25,1,0)</f>
        <v>0</v>
      </c>
      <c r="AG18" s="7">
        <f>IF(預測IC!AG18&gt;預測IC!AG$25,1,0)</f>
        <v>0</v>
      </c>
      <c r="AH18" s="7">
        <f>IF(預測IC!AH18&gt;預測IC!AH$25,1,0)</f>
        <v>0</v>
      </c>
      <c r="AI18" s="7">
        <f>IF(預測IC!AI18&gt;預測IC!AI$25,1,0)</f>
        <v>0</v>
      </c>
      <c r="AJ18" s="7">
        <f>IF(預測IC!AJ18&gt;預測IC!AJ$25,1,0)</f>
        <v>0</v>
      </c>
      <c r="AK18" s="7">
        <f>IF(預測IC!AK18&gt;預測IC!AK$25,1,0)</f>
        <v>1</v>
      </c>
      <c r="AL18" s="7">
        <f>IF(預測IC!AL18&gt;預測IC!AL$25,1,0)</f>
        <v>0</v>
      </c>
      <c r="AM18" s="7">
        <f>IF(預測IC!AM18&gt;預測IC!AM$25,1,0)</f>
        <v>1</v>
      </c>
      <c r="AN18" s="7">
        <f>IF(預測IC!AN18&gt;預測IC!AN$25,1,0)</f>
        <v>0</v>
      </c>
      <c r="AO18" s="7">
        <f>IF(預測IC!AO18&gt;預測IC!AO$25,1,0)</f>
        <v>1</v>
      </c>
      <c r="AP18" s="7">
        <f>IF(預測IC!AP18&gt;預測IC!AP$25,1,0)</f>
        <v>1</v>
      </c>
      <c r="AQ18" s="7">
        <f>IF(預測IC!AQ18&gt;預測IC!AQ$25,1,0)</f>
        <v>1</v>
      </c>
      <c r="AR18" s="7">
        <f>IF(預測IC!AR18&gt;預測IC!AR$25,1,0)</f>
        <v>1</v>
      </c>
      <c r="AS18" s="7">
        <f>IF(預測IC!AS18&gt;預測IC!AS$25,1,0)</f>
        <v>1</v>
      </c>
      <c r="AT18" s="7">
        <f>IF(預測IC!AT18&gt;預測IC!AT$25,1,0)</f>
        <v>0</v>
      </c>
      <c r="AU18" s="7">
        <f>IF(預測IC!AU18&gt;預測IC!AU$25,1,0)</f>
        <v>0</v>
      </c>
      <c r="AV18" s="7">
        <f>IF(預測IC!AV18&gt;預測IC!AV$25,1,0)</f>
        <v>0</v>
      </c>
      <c r="AW18" s="7">
        <f>IF(預測IC!AW18&gt;預測IC!AW$25,1,0)</f>
        <v>0</v>
      </c>
      <c r="AX18" s="7">
        <f>IF(預測IC!AX18&gt;預測IC!AX$25,1,0)</f>
        <v>0</v>
      </c>
      <c r="AY18" s="7">
        <f>IF(預測IC!AY18&gt;預測IC!AY$25,1,0)</f>
        <v>0</v>
      </c>
      <c r="AZ18" s="7">
        <f>IF(預測IC!AZ18&gt;預測IC!AZ$25,1,0)</f>
        <v>0</v>
      </c>
      <c r="BA18" s="7">
        <f>IF(預測IC!BA18&gt;預測IC!BA$25,1,0)</f>
        <v>0</v>
      </c>
      <c r="BB18" s="7">
        <f>IF(預測IC!BB18&gt;預測IC!BB$25,1,0)</f>
        <v>1</v>
      </c>
      <c r="BC18" s="7">
        <f>IF(預測IC!BC18&gt;預測IC!BC$25,1,0)</f>
        <v>1</v>
      </c>
      <c r="BD18" s="7">
        <f>IF(預測IC!BD18&gt;預測IC!BD$25,1,0)</f>
        <v>1</v>
      </c>
      <c r="BE18" s="7">
        <f>IF(預測IC!BE18&gt;預測IC!BE$25,1,0)</f>
        <v>0</v>
      </c>
      <c r="BF18" s="7">
        <f>IF(預測IC!BF18&gt;預測IC!BF$25,1,0)</f>
        <v>1</v>
      </c>
      <c r="BG18" s="7">
        <f>IF(預測IC!BG18&gt;預測IC!BG$25,1,0)</f>
        <v>0</v>
      </c>
      <c r="BH18" s="7">
        <f>IF(預測IC!BH18&gt;預測IC!BH$25,1,0)</f>
        <v>1</v>
      </c>
      <c r="BI18" s="7">
        <f>IF(預測IC!BI18&gt;預測IC!BI$25,1,0)</f>
        <v>0</v>
      </c>
      <c r="BJ18" s="7">
        <f>IF(預測IC!BJ18&gt;預測IC!BJ$25,1,0)</f>
        <v>0</v>
      </c>
      <c r="BK18" s="7">
        <f>IF(預測IC!BK18&gt;預測IC!BK$25,1,0)</f>
        <v>0</v>
      </c>
      <c r="BL18" s="7">
        <f>IF(預測IC!BL18&gt;預測IC!BL$25,1,0)</f>
        <v>0</v>
      </c>
      <c r="BM18" s="7">
        <f>IF(預測IC!BM18&gt;預測IC!BM$25,1,0)</f>
        <v>0</v>
      </c>
      <c r="BN18" s="7">
        <f>IF(預測IC!BN18&gt;預測IC!BN$25,1,0)</f>
        <v>0</v>
      </c>
      <c r="BO18" s="7">
        <f>IF(預測IC!BO18&gt;預測IC!BO$25,1,0)</f>
        <v>1</v>
      </c>
      <c r="BP18" s="7">
        <f>IF(預測IC!BP18&gt;預測IC!BP$25,1,0)</f>
        <v>1</v>
      </c>
      <c r="BQ18" s="7">
        <f>IF(預測IC!BQ18&gt;預測IC!BQ$25,1,0)</f>
        <v>1</v>
      </c>
      <c r="BR18" s="7">
        <f>IF(預測IC!BR18&gt;預測IC!BR$25,1,0)</f>
        <v>0</v>
      </c>
      <c r="BS18" s="7">
        <f>IF(預測IC!BS18&gt;預測IC!BS$25,1,0)</f>
        <v>0</v>
      </c>
      <c r="BT18" s="7">
        <f>IF(預測IC!BT18&gt;預測IC!BT$25,1,0)</f>
        <v>0</v>
      </c>
      <c r="BU18" s="7">
        <f>IF(預測IC!BU18&gt;預測IC!BU$25,1,0)</f>
        <v>1</v>
      </c>
      <c r="BV18" s="7">
        <f>IF(預測IC!BV18&gt;預測IC!BV$25,1,0)</f>
        <v>0</v>
      </c>
      <c r="BW18" s="7">
        <f>IF(預測IC!BW18&gt;預測IC!BW$25,1,0)</f>
        <v>1</v>
      </c>
      <c r="BX18" s="7">
        <f>IF(預測IC!BX18&gt;預測IC!BX$25,1,0)</f>
        <v>0</v>
      </c>
      <c r="BY18" s="7">
        <f>IF(預測IC!BY18&gt;預測IC!BY$25,1,0)</f>
        <v>1</v>
      </c>
      <c r="BZ18" s="7">
        <f>IF(預測IC!BZ18&gt;預測IC!BZ$25,1,0)</f>
        <v>0</v>
      </c>
      <c r="CA18" s="7">
        <f>IF(預測IC!CA18&gt;預測IC!CA$25,1,0)</f>
        <v>1</v>
      </c>
      <c r="CB18" s="7">
        <f>IF(預測IC!CB18&gt;預測IC!CB$25,1,0)</f>
        <v>0</v>
      </c>
      <c r="CC18" s="7">
        <f>IF(預測IC!CC18&gt;預測IC!CC$25,1,0)</f>
        <v>0</v>
      </c>
      <c r="CD18" s="7">
        <f>IF(預測IC!CD18&gt;預測IC!CD$25,1,0)</f>
        <v>1</v>
      </c>
      <c r="CE18" s="7">
        <f>IF(預測IC!CE18&gt;預測IC!CE$25,1,0)</f>
        <v>0</v>
      </c>
      <c r="CF18" s="7">
        <f>IF(預測IC!CF18&gt;預測IC!CF$25,1,0)</f>
        <v>0</v>
      </c>
      <c r="CG18" s="7">
        <f>IF(預測IC!CG18&gt;預測IC!CG$25,1,0)</f>
        <v>0</v>
      </c>
      <c r="CH18" s="7">
        <f>IF(預測IC!CH18&gt;預測IC!CH$25,1,0)</f>
        <v>0</v>
      </c>
      <c r="CI18" s="7">
        <f>IF(預測IC!CI18&gt;預測IC!CI$25,1,0)</f>
        <v>1</v>
      </c>
      <c r="CJ18" s="7">
        <f>IF(預測IC!CJ18&gt;預測IC!CJ$25,1,0)</f>
        <v>0</v>
      </c>
      <c r="CK18" s="7">
        <f>IF(預測IC!CK18&gt;預測IC!CK$25,1,0)</f>
        <v>0</v>
      </c>
      <c r="CL18" s="7">
        <f>IF(預測IC!CL18&gt;預測IC!CL$25,1,0)</f>
        <v>0</v>
      </c>
      <c r="CM18" s="7">
        <f>IF(預測IC!CM18&gt;預測IC!CM$25,1,0)</f>
        <v>1</v>
      </c>
      <c r="CN18" s="7">
        <f>IF(預測IC!CN18&gt;預測IC!CN$25,1,0)</f>
        <v>1</v>
      </c>
      <c r="CO18" s="7">
        <f>IF(預測IC!CO18&gt;預測IC!CO$25,1,0)</f>
        <v>0</v>
      </c>
      <c r="CP18" s="7">
        <f>IF(預測IC!CP18&gt;預測IC!CP$25,1,0)</f>
        <v>1</v>
      </c>
      <c r="CQ18" s="7">
        <f>IF(預測IC!CQ18&gt;預測IC!CQ$25,1,0)</f>
        <v>1</v>
      </c>
      <c r="CR18" s="7">
        <f>IF(預測IC!CR18&gt;預測IC!CR$25,1,0)</f>
        <v>1</v>
      </c>
      <c r="CS18" s="7">
        <f>IF(預測IC!CS18&gt;預測IC!CS$25,1,0)</f>
        <v>0</v>
      </c>
      <c r="CT18" s="7">
        <f>IF(預測IC!CT18&gt;預測IC!CT$25,1,0)</f>
        <v>0</v>
      </c>
      <c r="CU18" s="7">
        <f>IF(預測IC!CU18&gt;預測IC!CU$25,1,0)</f>
        <v>1</v>
      </c>
      <c r="CV18" s="7">
        <f>IF(預測IC!CV18&gt;預測IC!CV$25,1,0)</f>
        <v>0</v>
      </c>
      <c r="CW18" s="7">
        <f>IF(預測IC!CW18&gt;預測IC!CW$25,1,0)</f>
        <v>0</v>
      </c>
      <c r="CX18" s="7">
        <f>IF(預測IC!CX18&gt;預測IC!CX$25,1,0)</f>
        <v>0</v>
      </c>
      <c r="CY18" s="7">
        <f>IF(預測IC!CY18&gt;預測IC!CY$25,1,0)</f>
        <v>1</v>
      </c>
      <c r="CZ18" s="7">
        <f>IF(預測IC!CZ18&gt;預測IC!CZ$25,1,0)</f>
        <v>1</v>
      </c>
      <c r="DA18" s="7">
        <f>IF(預測IC!DA18&gt;預測IC!DA$25,1,0)</f>
        <v>0</v>
      </c>
      <c r="DB18" s="7">
        <f>IF(預測IC!DB18&gt;預測IC!DB$25,1,0)</f>
        <v>0</v>
      </c>
      <c r="DC18" s="7">
        <f>IF(預測IC!DC18&gt;預測IC!DC$25,1,0)</f>
        <v>1</v>
      </c>
      <c r="DD18" s="7">
        <f>IF(預測IC!DD18&gt;預測IC!DD$25,1,0)</f>
        <v>0</v>
      </c>
      <c r="DE18" s="7">
        <f>IF(預測IC!DE18&gt;預測IC!DE$25,1,0)</f>
        <v>0</v>
      </c>
      <c r="DF18" s="7">
        <f>IF(預測IC!DF18&gt;預測IC!DF$25,1,0)</f>
        <v>1</v>
      </c>
      <c r="DG18" s="7">
        <f>IF(預測IC!DG18&gt;預測IC!DG$25,1,0)</f>
        <v>1</v>
      </c>
      <c r="DH18" s="7">
        <f>IF(預測IC!DH18&gt;預測IC!DH$25,1,0)</f>
        <v>0</v>
      </c>
      <c r="DI18" s="7">
        <f>IF(預測IC!DI18&gt;預測IC!DI$25,1,0)</f>
        <v>0</v>
      </c>
      <c r="DJ18" s="7">
        <f>IF(預測IC!DJ18&gt;預測IC!DJ$25,1,0)</f>
        <v>1</v>
      </c>
      <c r="DK18" s="7">
        <f>IF(預測IC!DK18&gt;預測IC!DK$25,1,0)</f>
        <v>0</v>
      </c>
      <c r="DL18" s="7">
        <f>IF(預測IC!DL18&gt;預測IC!DL$25,1,0)</f>
        <v>0</v>
      </c>
      <c r="DM18" s="7">
        <f>IF(預測IC!DM18&gt;預測IC!DM$25,1,0)</f>
        <v>0</v>
      </c>
      <c r="DN18" s="7">
        <f>IF(預測IC!DN18&gt;預測IC!DN$25,1,0)</f>
        <v>1</v>
      </c>
      <c r="DO18" s="7">
        <f>IF(預測IC!DO18&gt;預測IC!DO$25,1,0)</f>
        <v>0</v>
      </c>
      <c r="DP18" s="7">
        <f>IF(預測IC!DP18&gt;預測IC!DP$25,1,0)</f>
        <v>0</v>
      </c>
      <c r="DQ18" s="7">
        <f>IF(預測IC!DQ18&gt;預測IC!DQ$25,1,0)</f>
        <v>0</v>
      </c>
      <c r="DR18" s="7">
        <f>IF(預測IC!DR18&gt;預測IC!DR$25,1,0)</f>
        <v>1</v>
      </c>
      <c r="DS18" s="7">
        <f>IF(預測IC!DS18&gt;預測IC!DS$25,1,0)</f>
        <v>1</v>
      </c>
      <c r="DT18" s="7">
        <f>IF(預測IC!DT18&gt;預測IC!DT$25,1,0)</f>
        <v>0</v>
      </c>
      <c r="DU18" s="7">
        <f>IF(預測IC!DU18&gt;預測IC!DU$25,1,0)</f>
        <v>1</v>
      </c>
      <c r="DV18" s="7">
        <f>IF(預測IC!DV18&gt;預測IC!DV$25,1,0)</f>
        <v>0</v>
      </c>
      <c r="DW18" s="7">
        <f>IF(預測IC!DW18&gt;預測IC!DW$25,1,0)</f>
        <v>1</v>
      </c>
      <c r="DX18" s="7">
        <f>IF(預測IC!DX18&gt;預測IC!DX$25,1,0)</f>
        <v>0</v>
      </c>
      <c r="DY18" s="7">
        <f>IF(預測IC!DY18&gt;預測IC!DY$25,1,0)</f>
        <v>1</v>
      </c>
      <c r="DZ18" s="7">
        <f>IF(預測IC!DZ18&gt;預測IC!DZ$25,1,0)</f>
        <v>0</v>
      </c>
      <c r="EA18" s="7">
        <f>IF(預測IC!EA18&gt;預測IC!EA$25,1,0)</f>
        <v>0</v>
      </c>
      <c r="EB18" s="7">
        <f>IF(預測IC!EB18&gt;預測IC!EB$25,1,0)</f>
        <v>1</v>
      </c>
      <c r="EC18" s="7">
        <f>IF(預測IC!EC18&gt;預測IC!EC$25,1,0)</f>
        <v>1</v>
      </c>
      <c r="ED18" s="7">
        <f>IF(預測IC!ED18&gt;預測IC!ED$25,1,0)</f>
        <v>0</v>
      </c>
      <c r="EE18" s="7">
        <f>IF(預測IC!EE18&gt;預測IC!EE$25,1,0)</f>
        <v>0</v>
      </c>
      <c r="EF18" s="7">
        <f>IF(預測IC!EF18&gt;預測IC!EF$25,1,0)</f>
        <v>0</v>
      </c>
      <c r="EG18">
        <f t="shared" si="10"/>
        <v>49</v>
      </c>
      <c r="EH18" s="9">
        <f t="shared" si="11"/>
        <v>0.36567164179104478</v>
      </c>
    </row>
    <row r="19" spans="1:138" x14ac:dyDescent="0.3">
      <c r="A19" s="1">
        <v>160</v>
      </c>
      <c r="B19" s="1">
        <v>6</v>
      </c>
      <c r="C19" s="7">
        <f>IF(預測IC!C19&gt;預測IC!C$25,1,0)</f>
        <v>0</v>
      </c>
      <c r="D19" s="7">
        <f>IF(預測IC!D19&gt;預測IC!D$25,1,0)</f>
        <v>0</v>
      </c>
      <c r="E19" s="7">
        <f>IF(預測IC!E19&gt;預測IC!E$25,1,0)</f>
        <v>0</v>
      </c>
      <c r="F19" s="7">
        <f>IF(預測IC!F19&gt;預測IC!F$25,1,0)</f>
        <v>0</v>
      </c>
      <c r="G19" s="7">
        <f>IF(預測IC!G19&gt;預測IC!G$25,1,0)</f>
        <v>0</v>
      </c>
      <c r="H19" s="7">
        <f>IF(預測IC!H19&gt;預測IC!H$25,1,0)</f>
        <v>0</v>
      </c>
      <c r="I19" s="7">
        <f>IF(預測IC!I19&gt;預測IC!I$25,1,0)</f>
        <v>0</v>
      </c>
      <c r="J19" s="7">
        <f>IF(預測IC!J19&gt;預測IC!J$25,1,0)</f>
        <v>0</v>
      </c>
      <c r="K19" s="7">
        <f>IF(預測IC!K19&gt;預測IC!K$25,1,0)</f>
        <v>0</v>
      </c>
      <c r="L19" s="7">
        <f>IF(預測IC!L19&gt;預測IC!L$25,1,0)</f>
        <v>1</v>
      </c>
      <c r="M19" s="7">
        <f>IF(預測IC!M19&gt;預測IC!M$25,1,0)</f>
        <v>1</v>
      </c>
      <c r="N19" s="7">
        <f>IF(預測IC!N19&gt;預測IC!N$25,1,0)</f>
        <v>0</v>
      </c>
      <c r="O19" s="7">
        <f>IF(預測IC!O19&gt;預測IC!O$25,1,0)</f>
        <v>1</v>
      </c>
      <c r="P19" s="7">
        <f>IF(預測IC!P19&gt;預測IC!P$25,1,0)</f>
        <v>0</v>
      </c>
      <c r="Q19" s="7">
        <f>IF(預測IC!Q19&gt;預測IC!Q$25,1,0)</f>
        <v>0</v>
      </c>
      <c r="R19" s="7">
        <f>IF(預測IC!R19&gt;預測IC!R$25,1,0)</f>
        <v>1</v>
      </c>
      <c r="S19" s="7">
        <f>IF(預測IC!S19&gt;預測IC!S$25,1,0)</f>
        <v>1</v>
      </c>
      <c r="T19" s="7">
        <f>IF(預測IC!T19&gt;預測IC!T$25,1,0)</f>
        <v>0</v>
      </c>
      <c r="U19" s="7">
        <f>IF(預測IC!U19&gt;預測IC!U$25,1,0)</f>
        <v>1</v>
      </c>
      <c r="V19" s="7">
        <f>IF(預測IC!V19&gt;預測IC!V$25,1,0)</f>
        <v>0</v>
      </c>
      <c r="W19" s="7">
        <f>IF(預測IC!W19&gt;預測IC!W$25,1,0)</f>
        <v>0</v>
      </c>
      <c r="X19" s="7">
        <f>IF(預測IC!X19&gt;預測IC!X$25,1,0)</f>
        <v>1</v>
      </c>
      <c r="Y19" s="7">
        <f>IF(預測IC!Y19&gt;預測IC!Y$25,1,0)</f>
        <v>1</v>
      </c>
      <c r="Z19" s="7">
        <f>IF(預測IC!Z19&gt;預測IC!Z$25,1,0)</f>
        <v>0</v>
      </c>
      <c r="AA19" s="7">
        <f>IF(預測IC!AA19&gt;預測IC!AA$25,1,0)</f>
        <v>0</v>
      </c>
      <c r="AB19" s="7">
        <f>IF(預測IC!AB19&gt;預測IC!AB$25,1,0)</f>
        <v>1</v>
      </c>
      <c r="AC19" s="7">
        <f>IF(預測IC!AC19&gt;預測IC!AC$25,1,0)</f>
        <v>0</v>
      </c>
      <c r="AD19" s="7">
        <f>IF(預測IC!AD19&gt;預測IC!AD$25,1,0)</f>
        <v>1</v>
      </c>
      <c r="AE19" s="7">
        <f>IF(預測IC!AE19&gt;預測IC!AE$25,1,0)</f>
        <v>0</v>
      </c>
      <c r="AF19" s="7">
        <f>IF(預測IC!AF19&gt;預測IC!AF$25,1,0)</f>
        <v>0</v>
      </c>
      <c r="AG19" s="7">
        <f>IF(預測IC!AG19&gt;預測IC!AG$25,1,0)</f>
        <v>0</v>
      </c>
      <c r="AH19" s="7">
        <f>IF(預測IC!AH19&gt;預測IC!AH$25,1,0)</f>
        <v>0</v>
      </c>
      <c r="AI19" s="7">
        <f>IF(預測IC!AI19&gt;預測IC!AI$25,1,0)</f>
        <v>0</v>
      </c>
      <c r="AJ19" s="7">
        <f>IF(預測IC!AJ19&gt;預測IC!AJ$25,1,0)</f>
        <v>0</v>
      </c>
      <c r="AK19" s="7">
        <f>IF(預測IC!AK19&gt;預測IC!AK$25,1,0)</f>
        <v>1</v>
      </c>
      <c r="AL19" s="7">
        <f>IF(預測IC!AL19&gt;預測IC!AL$25,1,0)</f>
        <v>0</v>
      </c>
      <c r="AM19" s="7">
        <f>IF(預測IC!AM19&gt;預測IC!AM$25,1,0)</f>
        <v>1</v>
      </c>
      <c r="AN19" s="7">
        <f>IF(預測IC!AN19&gt;預測IC!AN$25,1,0)</f>
        <v>0</v>
      </c>
      <c r="AO19" s="7">
        <f>IF(預測IC!AO19&gt;預測IC!AO$25,1,0)</f>
        <v>1</v>
      </c>
      <c r="AP19" s="7">
        <f>IF(預測IC!AP19&gt;預測IC!AP$25,1,0)</f>
        <v>1</v>
      </c>
      <c r="AQ19" s="7">
        <f>IF(預測IC!AQ19&gt;預測IC!AQ$25,1,0)</f>
        <v>1</v>
      </c>
      <c r="AR19" s="7">
        <f>IF(預測IC!AR19&gt;預測IC!AR$25,1,0)</f>
        <v>0</v>
      </c>
      <c r="AS19" s="7">
        <f>IF(預測IC!AS19&gt;預測IC!AS$25,1,0)</f>
        <v>1</v>
      </c>
      <c r="AT19" s="7">
        <f>IF(預測IC!AT19&gt;預測IC!AT$25,1,0)</f>
        <v>0</v>
      </c>
      <c r="AU19" s="7">
        <f>IF(預測IC!AU19&gt;預測IC!AU$25,1,0)</f>
        <v>0</v>
      </c>
      <c r="AV19" s="7">
        <f>IF(預測IC!AV19&gt;預測IC!AV$25,1,0)</f>
        <v>0</v>
      </c>
      <c r="AW19" s="7">
        <f>IF(預測IC!AW19&gt;預測IC!AW$25,1,0)</f>
        <v>0</v>
      </c>
      <c r="AX19" s="7">
        <f>IF(預測IC!AX19&gt;預測IC!AX$25,1,0)</f>
        <v>0</v>
      </c>
      <c r="AY19" s="7">
        <f>IF(預測IC!AY19&gt;預測IC!AY$25,1,0)</f>
        <v>0</v>
      </c>
      <c r="AZ19" s="7">
        <f>IF(預測IC!AZ19&gt;預測IC!AZ$25,1,0)</f>
        <v>0</v>
      </c>
      <c r="BA19" s="7">
        <f>IF(預測IC!BA19&gt;預測IC!BA$25,1,0)</f>
        <v>0</v>
      </c>
      <c r="BB19" s="7">
        <f>IF(預測IC!BB19&gt;預測IC!BB$25,1,0)</f>
        <v>1</v>
      </c>
      <c r="BC19" s="7">
        <f>IF(預測IC!BC19&gt;預測IC!BC$25,1,0)</f>
        <v>1</v>
      </c>
      <c r="BD19" s="7">
        <f>IF(預測IC!BD19&gt;預測IC!BD$25,1,0)</f>
        <v>0</v>
      </c>
      <c r="BE19" s="7">
        <f>IF(預測IC!BE19&gt;預測IC!BE$25,1,0)</f>
        <v>0</v>
      </c>
      <c r="BF19" s="7">
        <f>IF(預測IC!BF19&gt;預測IC!BF$25,1,0)</f>
        <v>1</v>
      </c>
      <c r="BG19" s="7">
        <f>IF(預測IC!BG19&gt;預測IC!BG$25,1,0)</f>
        <v>0</v>
      </c>
      <c r="BH19" s="7">
        <f>IF(預測IC!BH19&gt;預測IC!BH$25,1,0)</f>
        <v>1</v>
      </c>
      <c r="BI19" s="7">
        <f>IF(預測IC!BI19&gt;預測IC!BI$25,1,0)</f>
        <v>0</v>
      </c>
      <c r="BJ19" s="7">
        <f>IF(預測IC!BJ19&gt;預測IC!BJ$25,1,0)</f>
        <v>0</v>
      </c>
      <c r="BK19" s="7">
        <f>IF(預測IC!BK19&gt;預測IC!BK$25,1,0)</f>
        <v>0</v>
      </c>
      <c r="BL19" s="7">
        <f>IF(預測IC!BL19&gt;預測IC!BL$25,1,0)</f>
        <v>0</v>
      </c>
      <c r="BM19" s="7">
        <f>IF(預測IC!BM19&gt;預測IC!BM$25,1,0)</f>
        <v>0</v>
      </c>
      <c r="BN19" s="7">
        <f>IF(預測IC!BN19&gt;預測IC!BN$25,1,0)</f>
        <v>0</v>
      </c>
      <c r="BO19" s="7">
        <f>IF(預測IC!BO19&gt;預測IC!BO$25,1,0)</f>
        <v>1</v>
      </c>
      <c r="BP19" s="7">
        <f>IF(預測IC!BP19&gt;預測IC!BP$25,1,0)</f>
        <v>0</v>
      </c>
      <c r="BQ19" s="7">
        <f>IF(預測IC!BQ19&gt;預測IC!BQ$25,1,0)</f>
        <v>1</v>
      </c>
      <c r="BR19" s="7">
        <f>IF(預測IC!BR19&gt;預測IC!BR$25,1,0)</f>
        <v>0</v>
      </c>
      <c r="BS19" s="7">
        <f>IF(預測IC!BS19&gt;預測IC!BS$25,1,0)</f>
        <v>0</v>
      </c>
      <c r="BT19" s="7">
        <f>IF(預測IC!BT19&gt;預測IC!BT$25,1,0)</f>
        <v>0</v>
      </c>
      <c r="BU19" s="7">
        <f>IF(預測IC!BU19&gt;預測IC!BU$25,1,0)</f>
        <v>1</v>
      </c>
      <c r="BV19" s="7">
        <f>IF(預測IC!BV19&gt;預測IC!BV$25,1,0)</f>
        <v>0</v>
      </c>
      <c r="BW19" s="7">
        <f>IF(預測IC!BW19&gt;預測IC!BW$25,1,0)</f>
        <v>1</v>
      </c>
      <c r="BX19" s="7">
        <f>IF(預測IC!BX19&gt;預測IC!BX$25,1,0)</f>
        <v>0</v>
      </c>
      <c r="BY19" s="7">
        <f>IF(預測IC!BY19&gt;預測IC!BY$25,1,0)</f>
        <v>1</v>
      </c>
      <c r="BZ19" s="7">
        <f>IF(預測IC!BZ19&gt;預測IC!BZ$25,1,0)</f>
        <v>0</v>
      </c>
      <c r="CA19" s="7">
        <f>IF(預測IC!CA19&gt;預測IC!CA$25,1,0)</f>
        <v>1</v>
      </c>
      <c r="CB19" s="7">
        <f>IF(預測IC!CB19&gt;預測IC!CB$25,1,0)</f>
        <v>0</v>
      </c>
      <c r="CC19" s="7">
        <f>IF(預測IC!CC19&gt;預測IC!CC$25,1,0)</f>
        <v>0</v>
      </c>
      <c r="CD19" s="7">
        <f>IF(預測IC!CD19&gt;預測IC!CD$25,1,0)</f>
        <v>1</v>
      </c>
      <c r="CE19" s="7">
        <f>IF(預測IC!CE19&gt;預測IC!CE$25,1,0)</f>
        <v>0</v>
      </c>
      <c r="CF19" s="7">
        <f>IF(預測IC!CF19&gt;預測IC!CF$25,1,0)</f>
        <v>0</v>
      </c>
      <c r="CG19" s="7">
        <f>IF(預測IC!CG19&gt;預測IC!CG$25,1,0)</f>
        <v>0</v>
      </c>
      <c r="CH19" s="7">
        <f>IF(預測IC!CH19&gt;預測IC!CH$25,1,0)</f>
        <v>0</v>
      </c>
      <c r="CI19" s="7">
        <f>IF(預測IC!CI19&gt;預測IC!CI$25,1,0)</f>
        <v>1</v>
      </c>
      <c r="CJ19" s="7">
        <f>IF(預測IC!CJ19&gt;預測IC!CJ$25,1,0)</f>
        <v>0</v>
      </c>
      <c r="CK19" s="7">
        <f>IF(預測IC!CK19&gt;預測IC!CK$25,1,0)</f>
        <v>0</v>
      </c>
      <c r="CL19" s="7">
        <f>IF(預測IC!CL19&gt;預測IC!CL$25,1,0)</f>
        <v>0</v>
      </c>
      <c r="CM19" s="7">
        <f>IF(預測IC!CM19&gt;預測IC!CM$25,1,0)</f>
        <v>1</v>
      </c>
      <c r="CN19" s="7">
        <f>IF(預測IC!CN19&gt;預測IC!CN$25,1,0)</f>
        <v>1</v>
      </c>
      <c r="CO19" s="7">
        <f>IF(預測IC!CO19&gt;預測IC!CO$25,1,0)</f>
        <v>0</v>
      </c>
      <c r="CP19" s="7">
        <f>IF(預測IC!CP19&gt;預測IC!CP$25,1,0)</f>
        <v>1</v>
      </c>
      <c r="CQ19" s="7">
        <f>IF(預測IC!CQ19&gt;預測IC!CQ$25,1,0)</f>
        <v>1</v>
      </c>
      <c r="CR19" s="7">
        <f>IF(預測IC!CR19&gt;預測IC!CR$25,1,0)</f>
        <v>1</v>
      </c>
      <c r="CS19" s="7">
        <f>IF(預測IC!CS19&gt;預測IC!CS$25,1,0)</f>
        <v>0</v>
      </c>
      <c r="CT19" s="7">
        <f>IF(預測IC!CT19&gt;預測IC!CT$25,1,0)</f>
        <v>0</v>
      </c>
      <c r="CU19" s="7">
        <f>IF(預測IC!CU19&gt;預測IC!CU$25,1,0)</f>
        <v>1</v>
      </c>
      <c r="CV19" s="7">
        <f>IF(預測IC!CV19&gt;預測IC!CV$25,1,0)</f>
        <v>0</v>
      </c>
      <c r="CW19" s="7">
        <f>IF(預測IC!CW19&gt;預測IC!CW$25,1,0)</f>
        <v>0</v>
      </c>
      <c r="CX19" s="7">
        <f>IF(預測IC!CX19&gt;預測IC!CX$25,1,0)</f>
        <v>0</v>
      </c>
      <c r="CY19" s="7">
        <f>IF(預測IC!CY19&gt;預測IC!CY$25,1,0)</f>
        <v>1</v>
      </c>
      <c r="CZ19" s="7">
        <f>IF(預測IC!CZ19&gt;預測IC!CZ$25,1,0)</f>
        <v>1</v>
      </c>
      <c r="DA19" s="7">
        <f>IF(預測IC!DA19&gt;預測IC!DA$25,1,0)</f>
        <v>0</v>
      </c>
      <c r="DB19" s="7">
        <f>IF(預測IC!DB19&gt;預測IC!DB$25,1,0)</f>
        <v>0</v>
      </c>
      <c r="DC19" s="7">
        <f>IF(預測IC!DC19&gt;預測IC!DC$25,1,0)</f>
        <v>1</v>
      </c>
      <c r="DD19" s="7">
        <f>IF(預測IC!DD19&gt;預測IC!DD$25,1,0)</f>
        <v>1</v>
      </c>
      <c r="DE19" s="7">
        <f>IF(預測IC!DE19&gt;預測IC!DE$25,1,0)</f>
        <v>0</v>
      </c>
      <c r="DF19" s="7">
        <f>IF(預測IC!DF19&gt;預測IC!DF$25,1,0)</f>
        <v>1</v>
      </c>
      <c r="DG19" s="7">
        <f>IF(預測IC!DG19&gt;預測IC!DG$25,1,0)</f>
        <v>1</v>
      </c>
      <c r="DH19" s="7">
        <f>IF(預測IC!DH19&gt;預測IC!DH$25,1,0)</f>
        <v>0</v>
      </c>
      <c r="DI19" s="7">
        <f>IF(預測IC!DI19&gt;預測IC!DI$25,1,0)</f>
        <v>0</v>
      </c>
      <c r="DJ19" s="7">
        <f>IF(預測IC!DJ19&gt;預測IC!DJ$25,1,0)</f>
        <v>1</v>
      </c>
      <c r="DK19" s="7">
        <f>IF(預測IC!DK19&gt;預測IC!DK$25,1,0)</f>
        <v>0</v>
      </c>
      <c r="DL19" s="7">
        <f>IF(預測IC!DL19&gt;預測IC!DL$25,1,0)</f>
        <v>0</v>
      </c>
      <c r="DM19" s="7">
        <f>IF(預測IC!DM19&gt;預測IC!DM$25,1,0)</f>
        <v>1</v>
      </c>
      <c r="DN19" s="7">
        <f>IF(預測IC!DN19&gt;預測IC!DN$25,1,0)</f>
        <v>1</v>
      </c>
      <c r="DO19" s="7">
        <f>IF(預測IC!DO19&gt;預測IC!DO$25,1,0)</f>
        <v>0</v>
      </c>
      <c r="DP19" s="7">
        <f>IF(預測IC!DP19&gt;預測IC!DP$25,1,0)</f>
        <v>0</v>
      </c>
      <c r="DQ19" s="7">
        <f>IF(預測IC!DQ19&gt;預測IC!DQ$25,1,0)</f>
        <v>0</v>
      </c>
      <c r="DR19" s="7">
        <f>IF(預測IC!DR19&gt;預測IC!DR$25,1,0)</f>
        <v>1</v>
      </c>
      <c r="DS19" s="7">
        <f>IF(預測IC!DS19&gt;預測IC!DS$25,1,0)</f>
        <v>1</v>
      </c>
      <c r="DT19" s="7">
        <f>IF(預測IC!DT19&gt;預測IC!DT$25,1,0)</f>
        <v>0</v>
      </c>
      <c r="DU19" s="7">
        <f>IF(預測IC!DU19&gt;預測IC!DU$25,1,0)</f>
        <v>1</v>
      </c>
      <c r="DV19" s="7">
        <f>IF(預測IC!DV19&gt;預測IC!DV$25,1,0)</f>
        <v>0</v>
      </c>
      <c r="DW19" s="7">
        <f>IF(預測IC!DW19&gt;預測IC!DW$25,1,0)</f>
        <v>1</v>
      </c>
      <c r="DX19" s="7">
        <f>IF(預測IC!DX19&gt;預測IC!DX$25,1,0)</f>
        <v>0</v>
      </c>
      <c r="DY19" s="7">
        <f>IF(預測IC!DY19&gt;預測IC!DY$25,1,0)</f>
        <v>1</v>
      </c>
      <c r="DZ19" s="7">
        <f>IF(預測IC!DZ19&gt;預測IC!DZ$25,1,0)</f>
        <v>0</v>
      </c>
      <c r="EA19" s="7">
        <f>IF(預測IC!EA19&gt;預測IC!EA$25,1,0)</f>
        <v>1</v>
      </c>
      <c r="EB19" s="7">
        <f>IF(預測IC!EB19&gt;預測IC!EB$25,1,0)</f>
        <v>1</v>
      </c>
      <c r="EC19" s="7">
        <f>IF(預測IC!EC19&gt;預測IC!EC$25,1,0)</f>
        <v>1</v>
      </c>
      <c r="ED19" s="7">
        <f>IF(預測IC!ED19&gt;預測IC!ED$25,1,0)</f>
        <v>0</v>
      </c>
      <c r="EE19" s="7">
        <f>IF(預測IC!EE19&gt;預測IC!EE$25,1,0)</f>
        <v>0</v>
      </c>
      <c r="EF19" s="7">
        <f>IF(預測IC!EF19&gt;預測IC!EF$25,1,0)</f>
        <v>0</v>
      </c>
      <c r="EG19">
        <f t="shared" si="10"/>
        <v>51</v>
      </c>
      <c r="EH19" s="9">
        <f t="shared" si="11"/>
        <v>0.38059701492537312</v>
      </c>
    </row>
    <row r="20" spans="1:138" x14ac:dyDescent="0.3">
      <c r="A20" s="1">
        <v>192</v>
      </c>
      <c r="B20" s="1">
        <v>5</v>
      </c>
      <c r="C20" s="7">
        <f>IF(預測IC!C20&gt;預測IC!C$25,1,0)</f>
        <v>1</v>
      </c>
      <c r="D20" s="7">
        <f>IF(預測IC!D20&gt;預測IC!D$25,1,0)</f>
        <v>0</v>
      </c>
      <c r="E20" s="7">
        <f>IF(預測IC!E20&gt;預測IC!E$25,1,0)</f>
        <v>0</v>
      </c>
      <c r="F20" s="7">
        <f>IF(預測IC!F20&gt;預測IC!F$25,1,0)</f>
        <v>0</v>
      </c>
      <c r="G20" s="7">
        <f>IF(預測IC!G20&gt;預測IC!G$25,1,0)</f>
        <v>0</v>
      </c>
      <c r="H20" s="7">
        <f>IF(預測IC!H20&gt;預測IC!H$25,1,0)</f>
        <v>0</v>
      </c>
      <c r="I20" s="7">
        <f>IF(預測IC!I20&gt;預測IC!I$25,1,0)</f>
        <v>0</v>
      </c>
      <c r="J20" s="7">
        <f>IF(預測IC!J20&gt;預測IC!J$25,1,0)</f>
        <v>0</v>
      </c>
      <c r="K20" s="7">
        <f>IF(預測IC!K20&gt;預測IC!K$25,1,0)</f>
        <v>0</v>
      </c>
      <c r="L20" s="7">
        <f>IF(預測IC!L20&gt;預測IC!L$25,1,0)</f>
        <v>1</v>
      </c>
      <c r="M20" s="7">
        <f>IF(預測IC!M20&gt;預測IC!M$25,1,0)</f>
        <v>1</v>
      </c>
      <c r="N20" s="7">
        <f>IF(預測IC!N20&gt;預測IC!N$25,1,0)</f>
        <v>0</v>
      </c>
      <c r="O20" s="7">
        <f>IF(預測IC!O20&gt;預測IC!O$25,1,0)</f>
        <v>1</v>
      </c>
      <c r="P20" s="7">
        <f>IF(預測IC!P20&gt;預測IC!P$25,1,0)</f>
        <v>1</v>
      </c>
      <c r="Q20" s="7">
        <f>IF(預測IC!Q20&gt;預測IC!Q$25,1,0)</f>
        <v>0</v>
      </c>
      <c r="R20" s="7">
        <f>IF(預測IC!R20&gt;預測IC!R$25,1,0)</f>
        <v>1</v>
      </c>
      <c r="S20" s="7">
        <f>IF(預測IC!S20&gt;預測IC!S$25,1,0)</f>
        <v>1</v>
      </c>
      <c r="T20" s="7">
        <f>IF(預測IC!T20&gt;預測IC!T$25,1,0)</f>
        <v>0</v>
      </c>
      <c r="U20" s="7">
        <f>IF(預測IC!U20&gt;預測IC!U$25,1,0)</f>
        <v>1</v>
      </c>
      <c r="V20" s="7">
        <f>IF(預測IC!V20&gt;預測IC!V$25,1,0)</f>
        <v>0</v>
      </c>
      <c r="W20" s="7">
        <f>IF(預測IC!W20&gt;預測IC!W$25,1,0)</f>
        <v>0</v>
      </c>
      <c r="X20" s="7">
        <f>IF(預測IC!X20&gt;預測IC!X$25,1,0)</f>
        <v>1</v>
      </c>
      <c r="Y20" s="7">
        <f>IF(預測IC!Y20&gt;預測IC!Y$25,1,0)</f>
        <v>1</v>
      </c>
      <c r="Z20" s="7">
        <f>IF(預測IC!Z20&gt;預測IC!Z$25,1,0)</f>
        <v>0</v>
      </c>
      <c r="AA20" s="7">
        <f>IF(預測IC!AA20&gt;預測IC!AA$25,1,0)</f>
        <v>0</v>
      </c>
      <c r="AB20" s="7">
        <f>IF(預測IC!AB20&gt;預測IC!AB$25,1,0)</f>
        <v>1</v>
      </c>
      <c r="AC20" s="7">
        <f>IF(預測IC!AC20&gt;預測IC!AC$25,1,0)</f>
        <v>1</v>
      </c>
      <c r="AD20" s="7">
        <f>IF(預測IC!AD20&gt;預測IC!AD$25,1,0)</f>
        <v>1</v>
      </c>
      <c r="AE20" s="7">
        <f>IF(預測IC!AE20&gt;預測IC!AE$25,1,0)</f>
        <v>0</v>
      </c>
      <c r="AF20" s="7">
        <f>IF(預測IC!AF20&gt;預測IC!AF$25,1,0)</f>
        <v>0</v>
      </c>
      <c r="AG20" s="7">
        <f>IF(預測IC!AG20&gt;預測IC!AG$25,1,0)</f>
        <v>0</v>
      </c>
      <c r="AH20" s="7">
        <f>IF(預測IC!AH20&gt;預測IC!AH$25,1,0)</f>
        <v>0</v>
      </c>
      <c r="AI20" s="7">
        <f>IF(預測IC!AI20&gt;預測IC!AI$25,1,0)</f>
        <v>0</v>
      </c>
      <c r="AJ20" s="7">
        <f>IF(預測IC!AJ20&gt;預測IC!AJ$25,1,0)</f>
        <v>0</v>
      </c>
      <c r="AK20" s="7">
        <f>IF(預測IC!AK20&gt;預測IC!AK$25,1,0)</f>
        <v>1</v>
      </c>
      <c r="AL20" s="7">
        <f>IF(預測IC!AL20&gt;預測IC!AL$25,1,0)</f>
        <v>0</v>
      </c>
      <c r="AM20" s="7">
        <f>IF(預測IC!AM20&gt;預測IC!AM$25,1,0)</f>
        <v>1</v>
      </c>
      <c r="AN20" s="7">
        <f>IF(預測IC!AN20&gt;預測IC!AN$25,1,0)</f>
        <v>0</v>
      </c>
      <c r="AO20" s="7">
        <f>IF(預測IC!AO20&gt;預測IC!AO$25,1,0)</f>
        <v>1</v>
      </c>
      <c r="AP20" s="7">
        <f>IF(預測IC!AP20&gt;預測IC!AP$25,1,0)</f>
        <v>1</v>
      </c>
      <c r="AQ20" s="7">
        <f>IF(預測IC!AQ20&gt;預測IC!AQ$25,1,0)</f>
        <v>1</v>
      </c>
      <c r="AR20" s="7">
        <f>IF(預測IC!AR20&gt;預測IC!AR$25,1,0)</f>
        <v>0</v>
      </c>
      <c r="AS20" s="7">
        <f>IF(預測IC!AS20&gt;預測IC!AS$25,1,0)</f>
        <v>1</v>
      </c>
      <c r="AT20" s="7">
        <f>IF(預測IC!AT20&gt;預測IC!AT$25,1,0)</f>
        <v>0</v>
      </c>
      <c r="AU20" s="7">
        <f>IF(預測IC!AU20&gt;預測IC!AU$25,1,0)</f>
        <v>0</v>
      </c>
      <c r="AV20" s="7">
        <f>IF(預測IC!AV20&gt;預測IC!AV$25,1,0)</f>
        <v>0</v>
      </c>
      <c r="AW20" s="7">
        <f>IF(預測IC!AW20&gt;預測IC!AW$25,1,0)</f>
        <v>0</v>
      </c>
      <c r="AX20" s="7">
        <f>IF(預測IC!AX20&gt;預測IC!AX$25,1,0)</f>
        <v>0</v>
      </c>
      <c r="AY20" s="7">
        <f>IF(預測IC!AY20&gt;預測IC!AY$25,1,0)</f>
        <v>1</v>
      </c>
      <c r="AZ20" s="7">
        <f>IF(預測IC!AZ20&gt;預測IC!AZ$25,1,0)</f>
        <v>0</v>
      </c>
      <c r="BA20" s="7">
        <f>IF(預測IC!BA20&gt;預測IC!BA$25,1,0)</f>
        <v>0</v>
      </c>
      <c r="BB20" s="7">
        <f>IF(預測IC!BB20&gt;預測IC!BB$25,1,0)</f>
        <v>1</v>
      </c>
      <c r="BC20" s="7">
        <f>IF(預測IC!BC20&gt;預測IC!BC$25,1,0)</f>
        <v>1</v>
      </c>
      <c r="BD20" s="7">
        <f>IF(預測IC!BD20&gt;預測IC!BD$25,1,0)</f>
        <v>0</v>
      </c>
      <c r="BE20" s="7">
        <f>IF(預測IC!BE20&gt;預測IC!BE$25,1,0)</f>
        <v>0</v>
      </c>
      <c r="BF20" s="7">
        <f>IF(預測IC!BF20&gt;預測IC!BF$25,1,0)</f>
        <v>1</v>
      </c>
      <c r="BG20" s="7">
        <f>IF(預測IC!BG20&gt;預測IC!BG$25,1,0)</f>
        <v>0</v>
      </c>
      <c r="BH20" s="7">
        <f>IF(預測IC!BH20&gt;預測IC!BH$25,1,0)</f>
        <v>1</v>
      </c>
      <c r="BI20" s="7">
        <f>IF(預測IC!BI20&gt;預測IC!BI$25,1,0)</f>
        <v>0</v>
      </c>
      <c r="BJ20" s="7">
        <f>IF(預測IC!BJ20&gt;預測IC!BJ$25,1,0)</f>
        <v>0</v>
      </c>
      <c r="BK20" s="7">
        <f>IF(預測IC!BK20&gt;預測IC!BK$25,1,0)</f>
        <v>0</v>
      </c>
      <c r="BL20" s="7">
        <f>IF(預測IC!BL20&gt;預測IC!BL$25,1,0)</f>
        <v>0</v>
      </c>
      <c r="BM20" s="7">
        <f>IF(預測IC!BM20&gt;預測IC!BM$25,1,0)</f>
        <v>0</v>
      </c>
      <c r="BN20" s="7">
        <f>IF(預測IC!BN20&gt;預測IC!BN$25,1,0)</f>
        <v>0</v>
      </c>
      <c r="BO20" s="7">
        <f>IF(預測IC!BO20&gt;預測IC!BO$25,1,0)</f>
        <v>1</v>
      </c>
      <c r="BP20" s="7">
        <f>IF(預測IC!BP20&gt;預測IC!BP$25,1,0)</f>
        <v>0</v>
      </c>
      <c r="BQ20" s="7">
        <f>IF(預測IC!BQ20&gt;預測IC!BQ$25,1,0)</f>
        <v>1</v>
      </c>
      <c r="BR20" s="7">
        <f>IF(預測IC!BR20&gt;預測IC!BR$25,1,0)</f>
        <v>0</v>
      </c>
      <c r="BS20" s="7">
        <f>IF(預測IC!BS20&gt;預測IC!BS$25,1,0)</f>
        <v>1</v>
      </c>
      <c r="BT20" s="7">
        <f>IF(預測IC!BT20&gt;預測IC!BT$25,1,0)</f>
        <v>0</v>
      </c>
      <c r="BU20" s="7">
        <f>IF(預測IC!BU20&gt;預測IC!BU$25,1,0)</f>
        <v>1</v>
      </c>
      <c r="BV20" s="7">
        <f>IF(預測IC!BV20&gt;預測IC!BV$25,1,0)</f>
        <v>0</v>
      </c>
      <c r="BW20" s="7">
        <f>IF(預測IC!BW20&gt;預測IC!BW$25,1,0)</f>
        <v>1</v>
      </c>
      <c r="BX20" s="7">
        <f>IF(預測IC!BX20&gt;預測IC!BX$25,1,0)</f>
        <v>0</v>
      </c>
      <c r="BY20" s="7">
        <f>IF(預測IC!BY20&gt;預測IC!BY$25,1,0)</f>
        <v>1</v>
      </c>
      <c r="BZ20" s="7">
        <f>IF(預測IC!BZ20&gt;預測IC!BZ$25,1,0)</f>
        <v>0</v>
      </c>
      <c r="CA20" s="7">
        <f>IF(預測IC!CA20&gt;預測IC!CA$25,1,0)</f>
        <v>0</v>
      </c>
      <c r="CB20" s="7">
        <f>IF(預測IC!CB20&gt;預測IC!CB$25,1,0)</f>
        <v>0</v>
      </c>
      <c r="CC20" s="7">
        <f>IF(預測IC!CC20&gt;預測IC!CC$25,1,0)</f>
        <v>0</v>
      </c>
      <c r="CD20" s="7">
        <f>IF(預測IC!CD20&gt;預測IC!CD$25,1,0)</f>
        <v>1</v>
      </c>
      <c r="CE20" s="7">
        <f>IF(預測IC!CE20&gt;預測IC!CE$25,1,0)</f>
        <v>0</v>
      </c>
      <c r="CF20" s="7">
        <f>IF(預測IC!CF20&gt;預測IC!CF$25,1,0)</f>
        <v>0</v>
      </c>
      <c r="CG20" s="7">
        <f>IF(預測IC!CG20&gt;預測IC!CG$25,1,0)</f>
        <v>0</v>
      </c>
      <c r="CH20" s="7">
        <f>IF(預測IC!CH20&gt;預測IC!CH$25,1,0)</f>
        <v>0</v>
      </c>
      <c r="CI20" s="7">
        <f>IF(預測IC!CI20&gt;預測IC!CI$25,1,0)</f>
        <v>1</v>
      </c>
      <c r="CJ20" s="7">
        <f>IF(預測IC!CJ20&gt;預測IC!CJ$25,1,0)</f>
        <v>0</v>
      </c>
      <c r="CK20" s="7">
        <f>IF(預測IC!CK20&gt;預測IC!CK$25,1,0)</f>
        <v>0</v>
      </c>
      <c r="CL20" s="7">
        <f>IF(預測IC!CL20&gt;預測IC!CL$25,1,0)</f>
        <v>0</v>
      </c>
      <c r="CM20" s="7">
        <f>IF(預測IC!CM20&gt;預測IC!CM$25,1,0)</f>
        <v>1</v>
      </c>
      <c r="CN20" s="7">
        <f>IF(預測IC!CN20&gt;預測IC!CN$25,1,0)</f>
        <v>1</v>
      </c>
      <c r="CO20" s="7">
        <f>IF(預測IC!CO20&gt;預測IC!CO$25,1,0)</f>
        <v>0</v>
      </c>
      <c r="CP20" s="7">
        <f>IF(預測IC!CP20&gt;預測IC!CP$25,1,0)</f>
        <v>1</v>
      </c>
      <c r="CQ20" s="7">
        <f>IF(預測IC!CQ20&gt;預測IC!CQ$25,1,0)</f>
        <v>1</v>
      </c>
      <c r="CR20" s="7">
        <f>IF(預測IC!CR20&gt;預測IC!CR$25,1,0)</f>
        <v>1</v>
      </c>
      <c r="CS20" s="7">
        <f>IF(預測IC!CS20&gt;預測IC!CS$25,1,0)</f>
        <v>0</v>
      </c>
      <c r="CT20" s="7">
        <f>IF(預測IC!CT20&gt;預測IC!CT$25,1,0)</f>
        <v>0</v>
      </c>
      <c r="CU20" s="7">
        <f>IF(預測IC!CU20&gt;預測IC!CU$25,1,0)</f>
        <v>1</v>
      </c>
      <c r="CV20" s="7">
        <f>IF(預測IC!CV20&gt;預測IC!CV$25,1,0)</f>
        <v>0</v>
      </c>
      <c r="CW20" s="7">
        <f>IF(預測IC!CW20&gt;預測IC!CW$25,1,0)</f>
        <v>1</v>
      </c>
      <c r="CX20" s="7">
        <f>IF(預測IC!CX20&gt;預測IC!CX$25,1,0)</f>
        <v>0</v>
      </c>
      <c r="CY20" s="7">
        <f>IF(預測IC!CY20&gt;預測IC!CY$25,1,0)</f>
        <v>1</v>
      </c>
      <c r="CZ20" s="7">
        <f>IF(預測IC!CZ20&gt;預測IC!CZ$25,1,0)</f>
        <v>1</v>
      </c>
      <c r="DA20" s="7">
        <f>IF(預測IC!DA20&gt;預測IC!DA$25,1,0)</f>
        <v>0</v>
      </c>
      <c r="DB20" s="7">
        <f>IF(預測IC!DB20&gt;預測IC!DB$25,1,0)</f>
        <v>0</v>
      </c>
      <c r="DC20" s="7">
        <f>IF(預測IC!DC20&gt;預測IC!DC$25,1,0)</f>
        <v>1</v>
      </c>
      <c r="DD20" s="7">
        <f>IF(預測IC!DD20&gt;預測IC!DD$25,1,0)</f>
        <v>1</v>
      </c>
      <c r="DE20" s="7">
        <f>IF(預測IC!DE20&gt;預測IC!DE$25,1,0)</f>
        <v>0</v>
      </c>
      <c r="DF20" s="7">
        <f>IF(預測IC!DF20&gt;預測IC!DF$25,1,0)</f>
        <v>1</v>
      </c>
      <c r="DG20" s="7">
        <f>IF(預測IC!DG20&gt;預測IC!DG$25,1,0)</f>
        <v>1</v>
      </c>
      <c r="DH20" s="7">
        <f>IF(預測IC!DH20&gt;預測IC!DH$25,1,0)</f>
        <v>0</v>
      </c>
      <c r="DI20" s="7">
        <f>IF(預測IC!DI20&gt;預測IC!DI$25,1,0)</f>
        <v>0</v>
      </c>
      <c r="DJ20" s="7">
        <f>IF(預測IC!DJ20&gt;預測IC!DJ$25,1,0)</f>
        <v>1</v>
      </c>
      <c r="DK20" s="7">
        <f>IF(預測IC!DK20&gt;預測IC!DK$25,1,0)</f>
        <v>0</v>
      </c>
      <c r="DL20" s="7">
        <f>IF(預測IC!DL20&gt;預測IC!DL$25,1,0)</f>
        <v>0</v>
      </c>
      <c r="DM20" s="7">
        <f>IF(預測IC!DM20&gt;預測IC!DM$25,1,0)</f>
        <v>0</v>
      </c>
      <c r="DN20" s="7">
        <f>IF(預測IC!DN20&gt;預測IC!DN$25,1,0)</f>
        <v>1</v>
      </c>
      <c r="DO20" s="7">
        <f>IF(預測IC!DO20&gt;預測IC!DO$25,1,0)</f>
        <v>0</v>
      </c>
      <c r="DP20" s="7">
        <f>IF(預測IC!DP20&gt;預測IC!DP$25,1,0)</f>
        <v>0</v>
      </c>
      <c r="DQ20" s="7">
        <f>IF(預測IC!DQ20&gt;預測IC!DQ$25,1,0)</f>
        <v>0</v>
      </c>
      <c r="DR20" s="7">
        <f>IF(預測IC!DR20&gt;預測IC!DR$25,1,0)</f>
        <v>1</v>
      </c>
      <c r="DS20" s="7">
        <f>IF(預測IC!DS20&gt;預測IC!DS$25,1,0)</f>
        <v>0</v>
      </c>
      <c r="DT20" s="7">
        <f>IF(預測IC!DT20&gt;預測IC!DT$25,1,0)</f>
        <v>0</v>
      </c>
      <c r="DU20" s="7">
        <f>IF(預測IC!DU20&gt;預測IC!DU$25,1,0)</f>
        <v>1</v>
      </c>
      <c r="DV20" s="7">
        <f>IF(預測IC!DV20&gt;預測IC!DV$25,1,0)</f>
        <v>0</v>
      </c>
      <c r="DW20" s="7">
        <f>IF(預測IC!DW20&gt;預測IC!DW$25,1,0)</f>
        <v>1</v>
      </c>
      <c r="DX20" s="7">
        <f>IF(預測IC!DX20&gt;預測IC!DX$25,1,0)</f>
        <v>0</v>
      </c>
      <c r="DY20" s="7">
        <f>IF(預測IC!DY20&gt;預測IC!DY$25,1,0)</f>
        <v>1</v>
      </c>
      <c r="DZ20" s="7">
        <f>IF(預測IC!DZ20&gt;預測IC!DZ$25,1,0)</f>
        <v>1</v>
      </c>
      <c r="EA20" s="7">
        <f>IF(預測IC!EA20&gt;預測IC!EA$25,1,0)</f>
        <v>0</v>
      </c>
      <c r="EB20" s="7">
        <f>IF(預測IC!EB20&gt;預測IC!EB$25,1,0)</f>
        <v>1</v>
      </c>
      <c r="EC20" s="7">
        <f>IF(預測IC!EC20&gt;預測IC!EC$25,1,0)</f>
        <v>1</v>
      </c>
      <c r="ED20" s="7">
        <f>IF(預測IC!ED20&gt;預測IC!ED$25,1,0)</f>
        <v>0</v>
      </c>
      <c r="EE20" s="7">
        <f>IF(預測IC!EE20&gt;預測IC!EE$25,1,0)</f>
        <v>0</v>
      </c>
      <c r="EF20" s="7">
        <f>IF(預測IC!EF20&gt;預測IC!EF$25,1,0)</f>
        <v>0</v>
      </c>
      <c r="EG20">
        <f t="shared" si="10"/>
        <v>54</v>
      </c>
      <c r="EH20" s="9">
        <f t="shared" si="11"/>
        <v>0.40298507462686567</v>
      </c>
    </row>
    <row r="21" spans="1:138" x14ac:dyDescent="0.3">
      <c r="A21" s="1">
        <v>241</v>
      </c>
      <c r="B21" s="1">
        <v>4</v>
      </c>
      <c r="C21" s="7">
        <f>IF(預測IC!C21&gt;預測IC!C$25,1,0)</f>
        <v>1</v>
      </c>
      <c r="D21" s="7">
        <f>IF(預測IC!D21&gt;預測IC!D$25,1,0)</f>
        <v>0</v>
      </c>
      <c r="E21" s="7">
        <f>IF(預測IC!E21&gt;預測IC!E$25,1,0)</f>
        <v>0</v>
      </c>
      <c r="F21" s="7">
        <f>IF(預測IC!F21&gt;預測IC!F$25,1,0)</f>
        <v>0</v>
      </c>
      <c r="G21" s="7">
        <f>IF(預測IC!G21&gt;預測IC!G$25,1,0)</f>
        <v>0</v>
      </c>
      <c r="H21" s="7">
        <f>IF(預測IC!H21&gt;預測IC!H$25,1,0)</f>
        <v>0</v>
      </c>
      <c r="I21" s="7">
        <f>IF(預測IC!I21&gt;預測IC!I$25,1,0)</f>
        <v>0</v>
      </c>
      <c r="J21" s="7">
        <f>IF(預測IC!J21&gt;預測IC!J$25,1,0)</f>
        <v>0</v>
      </c>
      <c r="K21" s="7">
        <f>IF(預測IC!K21&gt;預測IC!K$25,1,0)</f>
        <v>0</v>
      </c>
      <c r="L21" s="7">
        <f>IF(預測IC!L21&gt;預測IC!L$25,1,0)</f>
        <v>1</v>
      </c>
      <c r="M21" s="7">
        <f>IF(預測IC!M21&gt;預測IC!M$25,1,0)</f>
        <v>1</v>
      </c>
      <c r="N21" s="7">
        <f>IF(預測IC!N21&gt;預測IC!N$25,1,0)</f>
        <v>0</v>
      </c>
      <c r="O21" s="7">
        <f>IF(預測IC!O21&gt;預測IC!O$25,1,0)</f>
        <v>1</v>
      </c>
      <c r="P21" s="7">
        <f>IF(預測IC!P21&gt;預測IC!P$25,1,0)</f>
        <v>1</v>
      </c>
      <c r="Q21" s="7">
        <f>IF(預測IC!Q21&gt;預測IC!Q$25,1,0)</f>
        <v>0</v>
      </c>
      <c r="R21" s="7">
        <f>IF(預測IC!R21&gt;預測IC!R$25,1,0)</f>
        <v>1</v>
      </c>
      <c r="S21" s="7">
        <f>IF(預測IC!S21&gt;預測IC!S$25,1,0)</f>
        <v>1</v>
      </c>
      <c r="T21" s="7">
        <f>IF(預測IC!T21&gt;預測IC!T$25,1,0)</f>
        <v>0</v>
      </c>
      <c r="U21" s="7">
        <f>IF(預測IC!U21&gt;預測IC!U$25,1,0)</f>
        <v>0</v>
      </c>
      <c r="V21" s="7">
        <f>IF(預測IC!V21&gt;預測IC!V$25,1,0)</f>
        <v>0</v>
      </c>
      <c r="W21" s="7">
        <f>IF(預測IC!W21&gt;預測IC!W$25,1,0)</f>
        <v>0</v>
      </c>
      <c r="X21" s="7">
        <f>IF(預測IC!X21&gt;預測IC!X$25,1,0)</f>
        <v>1</v>
      </c>
      <c r="Y21" s="7">
        <f>IF(預測IC!Y21&gt;預測IC!Y$25,1,0)</f>
        <v>1</v>
      </c>
      <c r="Z21" s="7">
        <f>IF(預測IC!Z21&gt;預測IC!Z$25,1,0)</f>
        <v>0</v>
      </c>
      <c r="AA21" s="7">
        <f>IF(預測IC!AA21&gt;預測IC!AA$25,1,0)</f>
        <v>0</v>
      </c>
      <c r="AB21" s="7">
        <f>IF(預測IC!AB21&gt;預測IC!AB$25,1,0)</f>
        <v>0</v>
      </c>
      <c r="AC21" s="7">
        <f>IF(預測IC!AC21&gt;預測IC!AC$25,1,0)</f>
        <v>0</v>
      </c>
      <c r="AD21" s="7">
        <f>IF(預測IC!AD21&gt;預測IC!AD$25,1,0)</f>
        <v>1</v>
      </c>
      <c r="AE21" s="7">
        <f>IF(預測IC!AE21&gt;預測IC!AE$25,1,0)</f>
        <v>0</v>
      </c>
      <c r="AF21" s="7">
        <f>IF(預測IC!AF21&gt;預測IC!AF$25,1,0)</f>
        <v>0</v>
      </c>
      <c r="AG21" s="7">
        <f>IF(預測IC!AG21&gt;預測IC!AG$25,1,0)</f>
        <v>0</v>
      </c>
      <c r="AH21" s="7">
        <f>IF(預測IC!AH21&gt;預測IC!AH$25,1,0)</f>
        <v>0</v>
      </c>
      <c r="AI21" s="7">
        <f>IF(預測IC!AI21&gt;預測IC!AI$25,1,0)</f>
        <v>0</v>
      </c>
      <c r="AJ21" s="7">
        <f>IF(預測IC!AJ21&gt;預測IC!AJ$25,1,0)</f>
        <v>0</v>
      </c>
      <c r="AK21" s="7">
        <f>IF(預測IC!AK21&gt;預測IC!AK$25,1,0)</f>
        <v>0</v>
      </c>
      <c r="AL21" s="7">
        <f>IF(預測IC!AL21&gt;預測IC!AL$25,1,0)</f>
        <v>0</v>
      </c>
      <c r="AM21" s="7">
        <f>IF(預測IC!AM21&gt;預測IC!AM$25,1,0)</f>
        <v>0</v>
      </c>
      <c r="AN21" s="7">
        <f>IF(預測IC!AN21&gt;預測IC!AN$25,1,0)</f>
        <v>0</v>
      </c>
      <c r="AO21" s="7">
        <f>IF(預測IC!AO21&gt;預測IC!AO$25,1,0)</f>
        <v>1</v>
      </c>
      <c r="AP21" s="7">
        <f>IF(預測IC!AP21&gt;預測IC!AP$25,1,0)</f>
        <v>1</v>
      </c>
      <c r="AQ21" s="7">
        <f>IF(預測IC!AQ21&gt;預測IC!AQ$25,1,0)</f>
        <v>1</v>
      </c>
      <c r="AR21" s="7">
        <f>IF(預測IC!AR21&gt;預測IC!AR$25,1,0)</f>
        <v>0</v>
      </c>
      <c r="AS21" s="7">
        <f>IF(預測IC!AS21&gt;預測IC!AS$25,1,0)</f>
        <v>1</v>
      </c>
      <c r="AT21" s="7">
        <f>IF(預測IC!AT21&gt;預測IC!AT$25,1,0)</f>
        <v>0</v>
      </c>
      <c r="AU21" s="7">
        <f>IF(預測IC!AU21&gt;預測IC!AU$25,1,0)</f>
        <v>0</v>
      </c>
      <c r="AV21" s="7">
        <f>IF(預測IC!AV21&gt;預測IC!AV$25,1,0)</f>
        <v>1</v>
      </c>
      <c r="AW21" s="7">
        <f>IF(預測IC!AW21&gt;預測IC!AW$25,1,0)</f>
        <v>0</v>
      </c>
      <c r="AX21" s="7">
        <f>IF(預測IC!AX21&gt;預測IC!AX$25,1,0)</f>
        <v>0</v>
      </c>
      <c r="AY21" s="7">
        <f>IF(預測IC!AY21&gt;預測IC!AY$25,1,0)</f>
        <v>1</v>
      </c>
      <c r="AZ21" s="7">
        <f>IF(預測IC!AZ21&gt;預測IC!AZ$25,1,0)</f>
        <v>0</v>
      </c>
      <c r="BA21" s="7">
        <f>IF(預測IC!BA21&gt;預測IC!BA$25,1,0)</f>
        <v>0</v>
      </c>
      <c r="BB21" s="7">
        <f>IF(預測IC!BB21&gt;預測IC!BB$25,1,0)</f>
        <v>1</v>
      </c>
      <c r="BC21" s="7">
        <f>IF(預測IC!BC21&gt;預測IC!BC$25,1,0)</f>
        <v>1</v>
      </c>
      <c r="BD21" s="7">
        <f>IF(預測IC!BD21&gt;預測IC!BD$25,1,0)</f>
        <v>0</v>
      </c>
      <c r="BE21" s="7">
        <f>IF(預測IC!BE21&gt;預測IC!BE$25,1,0)</f>
        <v>0</v>
      </c>
      <c r="BF21" s="7">
        <f>IF(預測IC!BF21&gt;預測IC!BF$25,1,0)</f>
        <v>1</v>
      </c>
      <c r="BG21" s="7">
        <f>IF(預測IC!BG21&gt;預測IC!BG$25,1,0)</f>
        <v>1</v>
      </c>
      <c r="BH21" s="7">
        <f>IF(預測IC!BH21&gt;預測IC!BH$25,1,0)</f>
        <v>1</v>
      </c>
      <c r="BI21" s="7">
        <f>IF(預測IC!BI21&gt;預測IC!BI$25,1,0)</f>
        <v>0</v>
      </c>
      <c r="BJ21" s="7">
        <f>IF(預測IC!BJ21&gt;預測IC!BJ$25,1,0)</f>
        <v>0</v>
      </c>
      <c r="BK21" s="7">
        <f>IF(預測IC!BK21&gt;預測IC!BK$25,1,0)</f>
        <v>0</v>
      </c>
      <c r="BL21" s="7">
        <f>IF(預測IC!BL21&gt;預測IC!BL$25,1,0)</f>
        <v>0</v>
      </c>
      <c r="BM21" s="7">
        <f>IF(預測IC!BM21&gt;預測IC!BM$25,1,0)</f>
        <v>0</v>
      </c>
      <c r="BN21" s="7">
        <f>IF(預測IC!BN21&gt;預測IC!BN$25,1,0)</f>
        <v>0</v>
      </c>
      <c r="BO21" s="7">
        <f>IF(預測IC!BO21&gt;預測IC!BO$25,1,0)</f>
        <v>1</v>
      </c>
      <c r="BP21" s="7">
        <f>IF(預測IC!BP21&gt;預測IC!BP$25,1,0)</f>
        <v>0</v>
      </c>
      <c r="BQ21" s="7">
        <f>IF(預測IC!BQ21&gt;預測IC!BQ$25,1,0)</f>
        <v>1</v>
      </c>
      <c r="BR21" s="7">
        <f>IF(預測IC!BR21&gt;預測IC!BR$25,1,0)</f>
        <v>0</v>
      </c>
      <c r="BS21" s="7">
        <f>IF(預測IC!BS21&gt;預測IC!BS$25,1,0)</f>
        <v>1</v>
      </c>
      <c r="BT21" s="7">
        <f>IF(預測IC!BT21&gt;預測IC!BT$25,1,0)</f>
        <v>0</v>
      </c>
      <c r="BU21" s="7">
        <f>IF(預測IC!BU21&gt;預測IC!BU$25,1,0)</f>
        <v>1</v>
      </c>
      <c r="BV21" s="7">
        <f>IF(預測IC!BV21&gt;預測IC!BV$25,1,0)</f>
        <v>0</v>
      </c>
      <c r="BW21" s="7">
        <f>IF(預測IC!BW21&gt;預測IC!BW$25,1,0)</f>
        <v>1</v>
      </c>
      <c r="BX21" s="7">
        <f>IF(預測IC!BX21&gt;預測IC!BX$25,1,0)</f>
        <v>0</v>
      </c>
      <c r="BY21" s="7">
        <f>IF(預測IC!BY21&gt;預測IC!BY$25,1,0)</f>
        <v>1</v>
      </c>
      <c r="BZ21" s="7">
        <f>IF(預測IC!BZ21&gt;預測IC!BZ$25,1,0)</f>
        <v>0</v>
      </c>
      <c r="CA21" s="7">
        <f>IF(預測IC!CA21&gt;預測IC!CA$25,1,0)</f>
        <v>0</v>
      </c>
      <c r="CB21" s="7">
        <f>IF(預測IC!CB21&gt;預測IC!CB$25,1,0)</f>
        <v>0</v>
      </c>
      <c r="CC21" s="7">
        <f>IF(預測IC!CC21&gt;預測IC!CC$25,1,0)</f>
        <v>0</v>
      </c>
      <c r="CD21" s="7">
        <f>IF(預測IC!CD21&gt;預測IC!CD$25,1,0)</f>
        <v>1</v>
      </c>
      <c r="CE21" s="7">
        <f>IF(預測IC!CE21&gt;預測IC!CE$25,1,0)</f>
        <v>0</v>
      </c>
      <c r="CF21" s="7">
        <f>IF(預測IC!CF21&gt;預測IC!CF$25,1,0)</f>
        <v>0</v>
      </c>
      <c r="CG21" s="7">
        <f>IF(預測IC!CG21&gt;預測IC!CG$25,1,0)</f>
        <v>0</v>
      </c>
      <c r="CH21" s="7">
        <f>IF(預測IC!CH21&gt;預測IC!CH$25,1,0)</f>
        <v>1</v>
      </c>
      <c r="CI21" s="7">
        <f>IF(預測IC!CI21&gt;預測IC!CI$25,1,0)</f>
        <v>1</v>
      </c>
      <c r="CJ21" s="7">
        <f>IF(預測IC!CJ21&gt;預測IC!CJ$25,1,0)</f>
        <v>1</v>
      </c>
      <c r="CK21" s="7">
        <f>IF(預測IC!CK21&gt;預測IC!CK$25,1,0)</f>
        <v>0</v>
      </c>
      <c r="CL21" s="7">
        <f>IF(預測IC!CL21&gt;預測IC!CL$25,1,0)</f>
        <v>0</v>
      </c>
      <c r="CM21" s="7">
        <f>IF(預測IC!CM21&gt;預測IC!CM$25,1,0)</f>
        <v>1</v>
      </c>
      <c r="CN21" s="7">
        <f>IF(預測IC!CN21&gt;預測IC!CN$25,1,0)</f>
        <v>1</v>
      </c>
      <c r="CO21" s="7">
        <f>IF(預測IC!CO21&gt;預測IC!CO$25,1,0)</f>
        <v>0</v>
      </c>
      <c r="CP21" s="7">
        <f>IF(預測IC!CP21&gt;預測IC!CP$25,1,0)</f>
        <v>1</v>
      </c>
      <c r="CQ21" s="7">
        <f>IF(預測IC!CQ21&gt;預測IC!CQ$25,1,0)</f>
        <v>1</v>
      </c>
      <c r="CR21" s="7">
        <f>IF(預測IC!CR21&gt;預測IC!CR$25,1,0)</f>
        <v>1</v>
      </c>
      <c r="CS21" s="7">
        <f>IF(預測IC!CS21&gt;預測IC!CS$25,1,0)</f>
        <v>0</v>
      </c>
      <c r="CT21" s="7">
        <f>IF(預測IC!CT21&gt;預測IC!CT$25,1,0)</f>
        <v>1</v>
      </c>
      <c r="CU21" s="7">
        <f>IF(預測IC!CU21&gt;預測IC!CU$25,1,0)</f>
        <v>1</v>
      </c>
      <c r="CV21" s="7">
        <f>IF(預測IC!CV21&gt;預測IC!CV$25,1,0)</f>
        <v>0</v>
      </c>
      <c r="CW21" s="7">
        <f>IF(預測IC!CW21&gt;預測IC!CW$25,1,0)</f>
        <v>1</v>
      </c>
      <c r="CX21" s="7">
        <f>IF(預測IC!CX21&gt;預測IC!CX$25,1,0)</f>
        <v>0</v>
      </c>
      <c r="CY21" s="7">
        <f>IF(預測IC!CY21&gt;預測IC!CY$25,1,0)</f>
        <v>1</v>
      </c>
      <c r="CZ21" s="7">
        <f>IF(預測IC!CZ21&gt;預測IC!CZ$25,1,0)</f>
        <v>1</v>
      </c>
      <c r="DA21" s="7">
        <f>IF(預測IC!DA21&gt;預測IC!DA$25,1,0)</f>
        <v>0</v>
      </c>
      <c r="DB21" s="7">
        <f>IF(預測IC!DB21&gt;預測IC!DB$25,1,0)</f>
        <v>0</v>
      </c>
      <c r="DC21" s="7">
        <f>IF(預測IC!DC21&gt;預測IC!DC$25,1,0)</f>
        <v>1</v>
      </c>
      <c r="DD21" s="7">
        <f>IF(預測IC!DD21&gt;預測IC!DD$25,1,0)</f>
        <v>1</v>
      </c>
      <c r="DE21" s="7">
        <f>IF(預測IC!DE21&gt;預測IC!DE$25,1,0)</f>
        <v>0</v>
      </c>
      <c r="DF21" s="7">
        <f>IF(預測IC!DF21&gt;預測IC!DF$25,1,0)</f>
        <v>1</v>
      </c>
      <c r="DG21" s="7">
        <f>IF(預測IC!DG21&gt;預測IC!DG$25,1,0)</f>
        <v>1</v>
      </c>
      <c r="DH21" s="7">
        <f>IF(預測IC!DH21&gt;預測IC!DH$25,1,0)</f>
        <v>0</v>
      </c>
      <c r="DI21" s="7">
        <f>IF(預測IC!DI21&gt;預測IC!DI$25,1,0)</f>
        <v>0</v>
      </c>
      <c r="DJ21" s="7">
        <f>IF(預測IC!DJ21&gt;預測IC!DJ$25,1,0)</f>
        <v>1</v>
      </c>
      <c r="DK21" s="7">
        <f>IF(預測IC!DK21&gt;預測IC!DK$25,1,0)</f>
        <v>0</v>
      </c>
      <c r="DL21" s="7">
        <f>IF(預測IC!DL21&gt;預測IC!DL$25,1,0)</f>
        <v>0</v>
      </c>
      <c r="DM21" s="7">
        <f>IF(預測IC!DM21&gt;預測IC!DM$25,1,0)</f>
        <v>0</v>
      </c>
      <c r="DN21" s="7">
        <f>IF(預測IC!DN21&gt;預測IC!DN$25,1,0)</f>
        <v>1</v>
      </c>
      <c r="DO21" s="7">
        <f>IF(預測IC!DO21&gt;預測IC!DO$25,1,0)</f>
        <v>1</v>
      </c>
      <c r="DP21" s="7">
        <f>IF(預測IC!DP21&gt;預測IC!DP$25,1,0)</f>
        <v>0</v>
      </c>
      <c r="DQ21" s="7">
        <f>IF(預測IC!DQ21&gt;預測IC!DQ$25,1,0)</f>
        <v>0</v>
      </c>
      <c r="DR21" s="7">
        <f>IF(預測IC!DR21&gt;預測IC!DR$25,1,0)</f>
        <v>1</v>
      </c>
      <c r="DS21" s="7">
        <f>IF(預測IC!DS21&gt;預測IC!DS$25,1,0)</f>
        <v>0</v>
      </c>
      <c r="DT21" s="7">
        <f>IF(預測IC!DT21&gt;預測IC!DT$25,1,0)</f>
        <v>0</v>
      </c>
      <c r="DU21" s="7">
        <f>IF(預測IC!DU21&gt;預測IC!DU$25,1,0)</f>
        <v>1</v>
      </c>
      <c r="DV21" s="7">
        <f>IF(預測IC!DV21&gt;預測IC!DV$25,1,0)</f>
        <v>0</v>
      </c>
      <c r="DW21" s="7">
        <f>IF(預測IC!DW21&gt;預測IC!DW$25,1,0)</f>
        <v>1</v>
      </c>
      <c r="DX21" s="7">
        <f>IF(預測IC!DX21&gt;預測IC!DX$25,1,0)</f>
        <v>0</v>
      </c>
      <c r="DY21" s="7">
        <f>IF(預測IC!DY21&gt;預測IC!DY$25,1,0)</f>
        <v>1</v>
      </c>
      <c r="DZ21" s="7">
        <f>IF(預測IC!DZ21&gt;預測IC!DZ$25,1,0)</f>
        <v>1</v>
      </c>
      <c r="EA21" s="7">
        <f>IF(預測IC!EA21&gt;預測IC!EA$25,1,0)</f>
        <v>0</v>
      </c>
      <c r="EB21" s="7">
        <f>IF(預測IC!EB21&gt;預測IC!EB$25,1,0)</f>
        <v>0</v>
      </c>
      <c r="EC21" s="7">
        <f>IF(預測IC!EC21&gt;預測IC!EC$25,1,0)</f>
        <v>1</v>
      </c>
      <c r="ED21" s="7">
        <f>IF(預測IC!ED21&gt;預測IC!ED$25,1,0)</f>
        <v>0</v>
      </c>
      <c r="EE21" s="7">
        <f>IF(預測IC!EE21&gt;預測IC!EE$25,1,0)</f>
        <v>0</v>
      </c>
      <c r="EF21" s="7">
        <f>IF(預測IC!EF21&gt;預測IC!EF$25,1,0)</f>
        <v>0</v>
      </c>
      <c r="EG21">
        <f t="shared" si="10"/>
        <v>54</v>
      </c>
      <c r="EH21" s="9">
        <f t="shared" si="11"/>
        <v>0.40298507462686567</v>
      </c>
    </row>
    <row r="22" spans="1:138" x14ac:dyDescent="0.3">
      <c r="A22" s="1">
        <v>321</v>
      </c>
      <c r="B22" s="1">
        <v>3</v>
      </c>
      <c r="C22" s="7">
        <f>IF(預測IC!C22&gt;預測IC!C$25,1,0)</f>
        <v>1</v>
      </c>
      <c r="D22" s="7">
        <f>IF(預測IC!D22&gt;預測IC!D$25,1,0)</f>
        <v>0</v>
      </c>
      <c r="E22" s="7">
        <f>IF(預測IC!E22&gt;預測IC!E$25,1,0)</f>
        <v>0</v>
      </c>
      <c r="F22" s="7">
        <f>IF(預測IC!F22&gt;預測IC!F$25,1,0)</f>
        <v>0</v>
      </c>
      <c r="G22" s="7">
        <f>IF(預測IC!G22&gt;預測IC!G$25,1,0)</f>
        <v>0</v>
      </c>
      <c r="H22" s="7">
        <f>IF(預測IC!H22&gt;預測IC!H$25,1,0)</f>
        <v>0</v>
      </c>
      <c r="I22" s="7">
        <f>IF(預測IC!I22&gt;預測IC!I$25,1,0)</f>
        <v>0</v>
      </c>
      <c r="J22" s="7">
        <f>IF(預測IC!J22&gt;預測IC!J$25,1,0)</f>
        <v>0</v>
      </c>
      <c r="K22" s="7">
        <f>IF(預測IC!K22&gt;預測IC!K$25,1,0)</f>
        <v>0</v>
      </c>
      <c r="L22" s="7">
        <f>IF(預測IC!L22&gt;預測IC!L$25,1,0)</f>
        <v>1</v>
      </c>
      <c r="M22" s="7">
        <f>IF(預測IC!M22&gt;預測IC!M$25,1,0)</f>
        <v>1</v>
      </c>
      <c r="N22" s="7">
        <f>IF(預測IC!N22&gt;預測IC!N$25,1,0)</f>
        <v>0</v>
      </c>
      <c r="O22" s="7">
        <f>IF(預測IC!O22&gt;預測IC!O$25,1,0)</f>
        <v>0</v>
      </c>
      <c r="P22" s="7">
        <f>IF(預測IC!P22&gt;預測IC!P$25,1,0)</f>
        <v>1</v>
      </c>
      <c r="Q22" s="7">
        <f>IF(預測IC!Q22&gt;預測IC!Q$25,1,0)</f>
        <v>0</v>
      </c>
      <c r="R22" s="7">
        <f>IF(預測IC!R22&gt;預測IC!R$25,1,0)</f>
        <v>1</v>
      </c>
      <c r="S22" s="7">
        <f>IF(預測IC!S22&gt;預測IC!S$25,1,0)</f>
        <v>1</v>
      </c>
      <c r="T22" s="7">
        <f>IF(預測IC!T22&gt;預測IC!T$25,1,0)</f>
        <v>0</v>
      </c>
      <c r="U22" s="7">
        <f>IF(預測IC!U22&gt;預測IC!U$25,1,0)</f>
        <v>0</v>
      </c>
      <c r="V22" s="7">
        <f>IF(預測IC!V22&gt;預測IC!V$25,1,0)</f>
        <v>1</v>
      </c>
      <c r="W22" s="7">
        <f>IF(預測IC!W22&gt;預測IC!W$25,1,0)</f>
        <v>0</v>
      </c>
      <c r="X22" s="7">
        <f>IF(預測IC!X22&gt;預測IC!X$25,1,0)</f>
        <v>1</v>
      </c>
      <c r="Y22" s="7">
        <f>IF(預測IC!Y22&gt;預測IC!Y$25,1,0)</f>
        <v>1</v>
      </c>
      <c r="Z22" s="7">
        <f>IF(預測IC!Z22&gt;預測IC!Z$25,1,0)</f>
        <v>0</v>
      </c>
      <c r="AA22" s="7">
        <f>IF(預測IC!AA22&gt;預測IC!AA$25,1,0)</f>
        <v>0</v>
      </c>
      <c r="AB22" s="7">
        <f>IF(預測IC!AB22&gt;預測IC!AB$25,1,0)</f>
        <v>0</v>
      </c>
      <c r="AC22" s="7">
        <f>IF(預測IC!AC22&gt;預測IC!AC$25,1,0)</f>
        <v>1</v>
      </c>
      <c r="AD22" s="7">
        <f>IF(預測IC!AD22&gt;預測IC!AD$25,1,0)</f>
        <v>1</v>
      </c>
      <c r="AE22" s="7">
        <f>IF(預測IC!AE22&gt;預測IC!AE$25,1,0)</f>
        <v>0</v>
      </c>
      <c r="AF22" s="7">
        <f>IF(預測IC!AF22&gt;預測IC!AF$25,1,0)</f>
        <v>0</v>
      </c>
      <c r="AG22" s="7">
        <f>IF(預測IC!AG22&gt;預測IC!AG$25,1,0)</f>
        <v>0</v>
      </c>
      <c r="AH22" s="7">
        <f>IF(預測IC!AH22&gt;預測IC!AH$25,1,0)</f>
        <v>0</v>
      </c>
      <c r="AI22" s="7">
        <f>IF(預測IC!AI22&gt;預測IC!AI$25,1,0)</f>
        <v>0</v>
      </c>
      <c r="AJ22" s="7">
        <f>IF(預測IC!AJ22&gt;預測IC!AJ$25,1,0)</f>
        <v>0</v>
      </c>
      <c r="AK22" s="7">
        <f>IF(預測IC!AK22&gt;預測IC!AK$25,1,0)</f>
        <v>0</v>
      </c>
      <c r="AL22" s="7">
        <f>IF(預測IC!AL22&gt;預測IC!AL$25,1,0)</f>
        <v>0</v>
      </c>
      <c r="AM22" s="7">
        <f>IF(預測IC!AM22&gt;預測IC!AM$25,1,0)</f>
        <v>0</v>
      </c>
      <c r="AN22" s="7">
        <f>IF(預測IC!AN22&gt;預測IC!AN$25,1,0)</f>
        <v>0</v>
      </c>
      <c r="AO22" s="7">
        <f>IF(預測IC!AO22&gt;預測IC!AO$25,1,0)</f>
        <v>1</v>
      </c>
      <c r="AP22" s="7">
        <f>IF(預測IC!AP22&gt;預測IC!AP$25,1,0)</f>
        <v>1</v>
      </c>
      <c r="AQ22" s="7">
        <f>IF(預測IC!AQ22&gt;預測IC!AQ$25,1,0)</f>
        <v>0</v>
      </c>
      <c r="AR22" s="7">
        <f>IF(預測IC!AR22&gt;預測IC!AR$25,1,0)</f>
        <v>0</v>
      </c>
      <c r="AS22" s="7">
        <f>IF(預測IC!AS22&gt;預測IC!AS$25,1,0)</f>
        <v>0</v>
      </c>
      <c r="AT22" s="7">
        <f>IF(預測IC!AT22&gt;預測IC!AT$25,1,0)</f>
        <v>0</v>
      </c>
      <c r="AU22" s="7">
        <f>IF(預測IC!AU22&gt;預測IC!AU$25,1,0)</f>
        <v>0</v>
      </c>
      <c r="AV22" s="7">
        <f>IF(預測IC!AV22&gt;預測IC!AV$25,1,0)</f>
        <v>1</v>
      </c>
      <c r="AW22" s="7">
        <f>IF(預測IC!AW22&gt;預測IC!AW$25,1,0)</f>
        <v>0</v>
      </c>
      <c r="AX22" s="7">
        <f>IF(預測IC!AX22&gt;預測IC!AX$25,1,0)</f>
        <v>1</v>
      </c>
      <c r="AY22" s="7">
        <f>IF(預測IC!AY22&gt;預測IC!AY$25,1,0)</f>
        <v>1</v>
      </c>
      <c r="AZ22" s="7">
        <f>IF(預測IC!AZ22&gt;預測IC!AZ$25,1,0)</f>
        <v>0</v>
      </c>
      <c r="BA22" s="7">
        <f>IF(預測IC!BA22&gt;預測IC!BA$25,1,0)</f>
        <v>0</v>
      </c>
      <c r="BB22" s="7">
        <f>IF(預測IC!BB22&gt;預測IC!BB$25,1,0)</f>
        <v>1</v>
      </c>
      <c r="BC22" s="7">
        <f>IF(預測IC!BC22&gt;預測IC!BC$25,1,0)</f>
        <v>1</v>
      </c>
      <c r="BD22" s="7">
        <f>IF(預測IC!BD22&gt;預測IC!BD$25,1,0)</f>
        <v>0</v>
      </c>
      <c r="BE22" s="7">
        <f>IF(預測IC!BE22&gt;預測IC!BE$25,1,0)</f>
        <v>0</v>
      </c>
      <c r="BF22" s="7">
        <f>IF(預測IC!BF22&gt;預測IC!BF$25,1,0)</f>
        <v>1</v>
      </c>
      <c r="BG22" s="7">
        <f>IF(預測IC!BG22&gt;預測IC!BG$25,1,0)</f>
        <v>1</v>
      </c>
      <c r="BH22" s="7">
        <f>IF(預測IC!BH22&gt;預測IC!BH$25,1,0)</f>
        <v>1</v>
      </c>
      <c r="BI22" s="7">
        <f>IF(預測IC!BI22&gt;預測IC!BI$25,1,0)</f>
        <v>0</v>
      </c>
      <c r="BJ22" s="7">
        <f>IF(預測IC!BJ22&gt;預測IC!BJ$25,1,0)</f>
        <v>1</v>
      </c>
      <c r="BK22" s="7">
        <f>IF(預測IC!BK22&gt;預測IC!BK$25,1,0)</f>
        <v>0</v>
      </c>
      <c r="BL22" s="7">
        <f>IF(預測IC!BL22&gt;預測IC!BL$25,1,0)</f>
        <v>0</v>
      </c>
      <c r="BM22" s="7">
        <f>IF(預測IC!BM22&gt;預測IC!BM$25,1,0)</f>
        <v>0</v>
      </c>
      <c r="BN22" s="7">
        <f>IF(預測IC!BN22&gt;預測IC!BN$25,1,0)</f>
        <v>0</v>
      </c>
      <c r="BO22" s="7">
        <f>IF(預測IC!BO22&gt;預測IC!BO$25,1,0)</f>
        <v>1</v>
      </c>
      <c r="BP22" s="7">
        <f>IF(預測IC!BP22&gt;預測IC!BP$25,1,0)</f>
        <v>0</v>
      </c>
      <c r="BQ22" s="7">
        <f>IF(預測IC!BQ22&gt;預測IC!BQ$25,1,0)</f>
        <v>1</v>
      </c>
      <c r="BR22" s="7">
        <f>IF(預測IC!BR22&gt;預測IC!BR$25,1,0)</f>
        <v>0</v>
      </c>
      <c r="BS22" s="7">
        <f>IF(預測IC!BS22&gt;預測IC!BS$25,1,0)</f>
        <v>1</v>
      </c>
      <c r="BT22" s="7">
        <f>IF(預測IC!BT22&gt;預測IC!BT$25,1,0)</f>
        <v>1</v>
      </c>
      <c r="BU22" s="7">
        <f>IF(預測IC!BU22&gt;預測IC!BU$25,1,0)</f>
        <v>1</v>
      </c>
      <c r="BV22" s="7">
        <f>IF(預測IC!BV22&gt;預測IC!BV$25,1,0)</f>
        <v>0</v>
      </c>
      <c r="BW22" s="7">
        <f>IF(預測IC!BW22&gt;預測IC!BW$25,1,0)</f>
        <v>1</v>
      </c>
      <c r="BX22" s="7">
        <f>IF(預測IC!BX22&gt;預測IC!BX$25,1,0)</f>
        <v>0</v>
      </c>
      <c r="BY22" s="7">
        <f>IF(預測IC!BY22&gt;預測IC!BY$25,1,0)</f>
        <v>1</v>
      </c>
      <c r="BZ22" s="7">
        <f>IF(預測IC!BZ22&gt;預測IC!BZ$25,1,0)</f>
        <v>0</v>
      </c>
      <c r="CA22" s="7">
        <f>IF(預測IC!CA22&gt;預測IC!CA$25,1,0)</f>
        <v>0</v>
      </c>
      <c r="CB22" s="7">
        <f>IF(預測IC!CB22&gt;預測IC!CB$25,1,0)</f>
        <v>0</v>
      </c>
      <c r="CC22" s="7">
        <f>IF(預測IC!CC22&gt;預測IC!CC$25,1,0)</f>
        <v>0</v>
      </c>
      <c r="CD22" s="7">
        <f>IF(預測IC!CD22&gt;預測IC!CD$25,1,0)</f>
        <v>1</v>
      </c>
      <c r="CE22" s="7">
        <f>IF(預測IC!CE22&gt;預測IC!CE$25,1,0)</f>
        <v>0</v>
      </c>
      <c r="CF22" s="7">
        <f>IF(預測IC!CF22&gt;預測IC!CF$25,1,0)</f>
        <v>0</v>
      </c>
      <c r="CG22" s="7">
        <f>IF(預測IC!CG22&gt;預測IC!CG$25,1,0)</f>
        <v>0</v>
      </c>
      <c r="CH22" s="7">
        <f>IF(預測IC!CH22&gt;預測IC!CH$25,1,0)</f>
        <v>1</v>
      </c>
      <c r="CI22" s="7">
        <f>IF(預測IC!CI22&gt;預測IC!CI$25,1,0)</f>
        <v>1</v>
      </c>
      <c r="CJ22" s="7">
        <f>IF(預測IC!CJ22&gt;預測IC!CJ$25,1,0)</f>
        <v>1</v>
      </c>
      <c r="CK22" s="7">
        <f>IF(預測IC!CK22&gt;預測IC!CK$25,1,0)</f>
        <v>0</v>
      </c>
      <c r="CL22" s="7">
        <f>IF(預測IC!CL22&gt;預測IC!CL$25,1,0)</f>
        <v>0</v>
      </c>
      <c r="CM22" s="7">
        <f>IF(預測IC!CM22&gt;預測IC!CM$25,1,0)</f>
        <v>1</v>
      </c>
      <c r="CN22" s="7">
        <f>IF(預測IC!CN22&gt;預測IC!CN$25,1,0)</f>
        <v>1</v>
      </c>
      <c r="CO22" s="7">
        <f>IF(預測IC!CO22&gt;預測IC!CO$25,1,0)</f>
        <v>0</v>
      </c>
      <c r="CP22" s="7">
        <f>IF(預測IC!CP22&gt;預測IC!CP$25,1,0)</f>
        <v>1</v>
      </c>
      <c r="CQ22" s="7">
        <f>IF(預測IC!CQ22&gt;預測IC!CQ$25,1,0)</f>
        <v>1</v>
      </c>
      <c r="CR22" s="7">
        <f>IF(預測IC!CR22&gt;預測IC!CR$25,1,0)</f>
        <v>0</v>
      </c>
      <c r="CS22" s="7">
        <f>IF(預測IC!CS22&gt;預測IC!CS$25,1,0)</f>
        <v>0</v>
      </c>
      <c r="CT22" s="7">
        <f>IF(預測IC!CT22&gt;預測IC!CT$25,1,0)</f>
        <v>1</v>
      </c>
      <c r="CU22" s="7">
        <f>IF(預測IC!CU22&gt;預測IC!CU$25,1,0)</f>
        <v>1</v>
      </c>
      <c r="CV22" s="7">
        <f>IF(預測IC!CV22&gt;預測IC!CV$25,1,0)</f>
        <v>0</v>
      </c>
      <c r="CW22" s="7">
        <f>IF(預測IC!CW22&gt;預測IC!CW$25,1,0)</f>
        <v>1</v>
      </c>
      <c r="CX22" s="7">
        <f>IF(預測IC!CX22&gt;預測IC!CX$25,1,0)</f>
        <v>1</v>
      </c>
      <c r="CY22" s="7">
        <f>IF(預測IC!CY22&gt;預測IC!CY$25,1,0)</f>
        <v>1</v>
      </c>
      <c r="CZ22" s="7">
        <f>IF(預測IC!CZ22&gt;預測IC!CZ$25,1,0)</f>
        <v>1</v>
      </c>
      <c r="DA22" s="7">
        <f>IF(預測IC!DA22&gt;預測IC!DA$25,1,0)</f>
        <v>0</v>
      </c>
      <c r="DB22" s="7">
        <f>IF(預測IC!DB22&gt;預測IC!DB$25,1,0)</f>
        <v>0</v>
      </c>
      <c r="DC22" s="7">
        <f>IF(預測IC!DC22&gt;預測IC!DC$25,1,0)</f>
        <v>1</v>
      </c>
      <c r="DD22" s="7">
        <f>IF(預測IC!DD22&gt;預測IC!DD$25,1,0)</f>
        <v>1</v>
      </c>
      <c r="DE22" s="7">
        <f>IF(預測IC!DE22&gt;預測IC!DE$25,1,0)</f>
        <v>0</v>
      </c>
      <c r="DF22" s="7">
        <f>IF(預測IC!DF22&gt;預測IC!DF$25,1,0)</f>
        <v>1</v>
      </c>
      <c r="DG22" s="7">
        <f>IF(預測IC!DG22&gt;預測IC!DG$25,1,0)</f>
        <v>1</v>
      </c>
      <c r="DH22" s="7">
        <f>IF(預測IC!DH22&gt;預測IC!DH$25,1,0)</f>
        <v>0</v>
      </c>
      <c r="DI22" s="7">
        <f>IF(預測IC!DI22&gt;預測IC!DI$25,1,0)</f>
        <v>0</v>
      </c>
      <c r="DJ22" s="7">
        <f>IF(預測IC!DJ22&gt;預測IC!DJ$25,1,0)</f>
        <v>1</v>
      </c>
      <c r="DK22" s="7">
        <f>IF(預測IC!DK22&gt;預測IC!DK$25,1,0)</f>
        <v>0</v>
      </c>
      <c r="DL22" s="7">
        <f>IF(預測IC!DL22&gt;預測IC!DL$25,1,0)</f>
        <v>0</v>
      </c>
      <c r="DM22" s="7">
        <f>IF(預測IC!DM22&gt;預測IC!DM$25,1,0)</f>
        <v>1</v>
      </c>
      <c r="DN22" s="7">
        <f>IF(預測IC!DN22&gt;預測IC!DN$25,1,0)</f>
        <v>1</v>
      </c>
      <c r="DO22" s="7">
        <f>IF(預測IC!DO22&gt;預測IC!DO$25,1,0)</f>
        <v>0</v>
      </c>
      <c r="DP22" s="7">
        <f>IF(預測IC!DP22&gt;預測IC!DP$25,1,0)</f>
        <v>0</v>
      </c>
      <c r="DQ22" s="7">
        <f>IF(預測IC!DQ22&gt;預測IC!DQ$25,1,0)</f>
        <v>1</v>
      </c>
      <c r="DR22" s="7">
        <f>IF(預測IC!DR22&gt;預測IC!DR$25,1,0)</f>
        <v>0</v>
      </c>
      <c r="DS22" s="7">
        <f>IF(預測IC!DS22&gt;預測IC!DS$25,1,0)</f>
        <v>0</v>
      </c>
      <c r="DT22" s="7">
        <f>IF(預測IC!DT22&gt;預測IC!DT$25,1,0)</f>
        <v>0</v>
      </c>
      <c r="DU22" s="7">
        <f>IF(預測IC!DU22&gt;預測IC!DU$25,1,0)</f>
        <v>1</v>
      </c>
      <c r="DV22" s="7">
        <f>IF(預測IC!DV22&gt;預測IC!DV$25,1,0)</f>
        <v>0</v>
      </c>
      <c r="DW22" s="7">
        <f>IF(預測IC!DW22&gt;預測IC!DW$25,1,0)</f>
        <v>0</v>
      </c>
      <c r="DX22" s="7">
        <f>IF(預測IC!DX22&gt;預測IC!DX$25,1,0)</f>
        <v>0</v>
      </c>
      <c r="DY22" s="7">
        <f>IF(預測IC!DY22&gt;預測IC!DY$25,1,0)</f>
        <v>1</v>
      </c>
      <c r="DZ22" s="7">
        <f>IF(預測IC!DZ22&gt;預測IC!DZ$25,1,0)</f>
        <v>1</v>
      </c>
      <c r="EA22" s="7">
        <f>IF(預測IC!EA22&gt;預測IC!EA$25,1,0)</f>
        <v>0</v>
      </c>
      <c r="EB22" s="7">
        <f>IF(預測IC!EB22&gt;預測IC!EB$25,1,0)</f>
        <v>1</v>
      </c>
      <c r="EC22" s="7">
        <f>IF(預測IC!EC22&gt;預測IC!EC$25,1,0)</f>
        <v>1</v>
      </c>
      <c r="ED22" s="7">
        <f>IF(預測IC!ED22&gt;預測IC!ED$25,1,0)</f>
        <v>0</v>
      </c>
      <c r="EE22" s="7">
        <f>IF(預測IC!EE22&gt;預測IC!EE$25,1,0)</f>
        <v>1</v>
      </c>
      <c r="EF22" s="7">
        <f>IF(預測IC!EF22&gt;預測IC!EF$25,1,0)</f>
        <v>0</v>
      </c>
      <c r="EG22">
        <f t="shared" si="10"/>
        <v>57</v>
      </c>
      <c r="EH22" s="9">
        <f t="shared" si="11"/>
        <v>0.42537313432835822</v>
      </c>
    </row>
    <row r="23" spans="1:138" x14ac:dyDescent="0.3">
      <c r="A23" s="1">
        <v>482</v>
      </c>
      <c r="B23" s="1">
        <v>2</v>
      </c>
      <c r="C23" s="7">
        <f>IF(預測IC!C23&gt;預測IC!C$25,1,0)</f>
        <v>1</v>
      </c>
      <c r="D23" s="7">
        <f>IF(預測IC!D23&gt;預測IC!D$25,1,0)</f>
        <v>1</v>
      </c>
      <c r="E23" s="7">
        <f>IF(預測IC!E23&gt;預測IC!E$25,1,0)</f>
        <v>0</v>
      </c>
      <c r="F23" s="7">
        <f>IF(預測IC!F23&gt;預測IC!F$25,1,0)</f>
        <v>0</v>
      </c>
      <c r="G23" s="7">
        <f>IF(預測IC!G23&gt;預測IC!G$25,1,0)</f>
        <v>0</v>
      </c>
      <c r="H23" s="7">
        <f>IF(預測IC!H23&gt;預測IC!H$25,1,0)</f>
        <v>0</v>
      </c>
      <c r="I23" s="7">
        <f>IF(預測IC!I23&gt;預測IC!I$25,1,0)</f>
        <v>0</v>
      </c>
      <c r="J23" s="7">
        <f>IF(預測IC!J23&gt;預測IC!J$25,1,0)</f>
        <v>0</v>
      </c>
      <c r="K23" s="7">
        <f>IF(預測IC!K23&gt;預測IC!K$25,1,0)</f>
        <v>0</v>
      </c>
      <c r="L23" s="7">
        <f>IF(預測IC!L23&gt;預測IC!L$25,1,0)</f>
        <v>1</v>
      </c>
      <c r="M23" s="7">
        <f>IF(預測IC!M23&gt;預測IC!M$25,1,0)</f>
        <v>1</v>
      </c>
      <c r="N23" s="7">
        <f>IF(預測IC!N23&gt;預測IC!N$25,1,0)</f>
        <v>0</v>
      </c>
      <c r="O23" s="7">
        <f>IF(預測IC!O23&gt;預測IC!O$25,1,0)</f>
        <v>0</v>
      </c>
      <c r="P23" s="7">
        <f>IF(預測IC!P23&gt;預測IC!P$25,1,0)</f>
        <v>0</v>
      </c>
      <c r="Q23" s="7">
        <f>IF(預測IC!Q23&gt;預測IC!Q$25,1,0)</f>
        <v>0</v>
      </c>
      <c r="R23" s="7">
        <f>IF(預測IC!R23&gt;預測IC!R$25,1,0)</f>
        <v>1</v>
      </c>
      <c r="S23" s="7">
        <f>IF(預測IC!S23&gt;預測IC!S$25,1,0)</f>
        <v>1</v>
      </c>
      <c r="T23" s="7">
        <f>IF(預測IC!T23&gt;預測IC!T$25,1,0)</f>
        <v>0</v>
      </c>
      <c r="U23" s="7">
        <f>IF(預測IC!U23&gt;預測IC!U$25,1,0)</f>
        <v>0</v>
      </c>
      <c r="V23" s="7">
        <f>IF(預測IC!V23&gt;預測IC!V$25,1,0)</f>
        <v>1</v>
      </c>
      <c r="W23" s="7">
        <f>IF(預測IC!W23&gt;預測IC!W$25,1,0)</f>
        <v>0</v>
      </c>
      <c r="X23" s="7">
        <f>IF(預測IC!X23&gt;預測IC!X$25,1,0)</f>
        <v>1</v>
      </c>
      <c r="Y23" s="7">
        <f>IF(預測IC!Y23&gt;預測IC!Y$25,1,0)</f>
        <v>1</v>
      </c>
      <c r="Z23" s="7">
        <f>IF(預測IC!Z23&gt;預測IC!Z$25,1,0)</f>
        <v>0</v>
      </c>
      <c r="AA23" s="7">
        <f>IF(預測IC!AA23&gt;預測IC!AA$25,1,0)</f>
        <v>1</v>
      </c>
      <c r="AB23" s="7">
        <f>IF(預測IC!AB23&gt;預測IC!AB$25,1,0)</f>
        <v>0</v>
      </c>
      <c r="AC23" s="7">
        <f>IF(預測IC!AC23&gt;預測IC!AC$25,1,0)</f>
        <v>1</v>
      </c>
      <c r="AD23" s="7">
        <f>IF(預測IC!AD23&gt;預測IC!AD$25,1,0)</f>
        <v>1</v>
      </c>
      <c r="AE23" s="7">
        <f>IF(預測IC!AE23&gt;預測IC!AE$25,1,0)</f>
        <v>0</v>
      </c>
      <c r="AF23" s="7">
        <f>IF(預測IC!AF23&gt;預測IC!AF$25,1,0)</f>
        <v>0</v>
      </c>
      <c r="AG23" s="7">
        <f>IF(預測IC!AG23&gt;預測IC!AG$25,1,0)</f>
        <v>1</v>
      </c>
      <c r="AH23" s="7">
        <f>IF(預測IC!AH23&gt;預測IC!AH$25,1,0)</f>
        <v>1</v>
      </c>
      <c r="AI23" s="7">
        <f>IF(預測IC!AI23&gt;預測IC!AI$25,1,0)</f>
        <v>0</v>
      </c>
      <c r="AJ23" s="7">
        <f>IF(預測IC!AJ23&gt;預測IC!AJ$25,1,0)</f>
        <v>1</v>
      </c>
      <c r="AK23" s="7">
        <f>IF(預測IC!AK23&gt;預測IC!AK$25,1,0)</f>
        <v>0</v>
      </c>
      <c r="AL23" s="7">
        <f>IF(預測IC!AL23&gt;預測IC!AL$25,1,0)</f>
        <v>0</v>
      </c>
      <c r="AM23" s="7">
        <f>IF(預測IC!AM23&gt;預測IC!AM$25,1,0)</f>
        <v>0</v>
      </c>
      <c r="AN23" s="7">
        <f>IF(預測IC!AN23&gt;預測IC!AN$25,1,0)</f>
        <v>0</v>
      </c>
      <c r="AO23" s="7">
        <f>IF(預測IC!AO23&gt;預測IC!AO$25,1,0)</f>
        <v>1</v>
      </c>
      <c r="AP23" s="7">
        <f>IF(預測IC!AP23&gt;預測IC!AP$25,1,0)</f>
        <v>0</v>
      </c>
      <c r="AQ23" s="7">
        <f>IF(預測IC!AQ23&gt;預測IC!AQ$25,1,0)</f>
        <v>1</v>
      </c>
      <c r="AR23" s="7">
        <f>IF(預測IC!AR23&gt;預測IC!AR$25,1,0)</f>
        <v>0</v>
      </c>
      <c r="AS23" s="7">
        <f>IF(預測IC!AS23&gt;預測IC!AS$25,1,0)</f>
        <v>0</v>
      </c>
      <c r="AT23" s="7">
        <f>IF(預測IC!AT23&gt;預測IC!AT$25,1,0)</f>
        <v>0</v>
      </c>
      <c r="AU23" s="7">
        <f>IF(預測IC!AU23&gt;預測IC!AU$25,1,0)</f>
        <v>0</v>
      </c>
      <c r="AV23" s="7">
        <f>IF(預測IC!AV23&gt;預測IC!AV$25,1,0)</f>
        <v>1</v>
      </c>
      <c r="AW23" s="7">
        <f>IF(預測IC!AW23&gt;預測IC!AW$25,1,0)</f>
        <v>0</v>
      </c>
      <c r="AX23" s="7">
        <f>IF(預測IC!AX23&gt;預測IC!AX$25,1,0)</f>
        <v>1</v>
      </c>
      <c r="AY23" s="7">
        <f>IF(預測IC!AY23&gt;預測IC!AY$25,1,0)</f>
        <v>1</v>
      </c>
      <c r="AZ23" s="7">
        <f>IF(預測IC!AZ23&gt;預測IC!AZ$25,1,0)</f>
        <v>0</v>
      </c>
      <c r="BA23" s="7">
        <f>IF(預測IC!BA23&gt;預測IC!BA$25,1,0)</f>
        <v>1</v>
      </c>
      <c r="BB23" s="7">
        <f>IF(預測IC!BB23&gt;預測IC!BB$25,1,0)</f>
        <v>1</v>
      </c>
      <c r="BC23" s="7">
        <f>IF(預測IC!BC23&gt;預測IC!BC$25,1,0)</f>
        <v>1</v>
      </c>
      <c r="BD23" s="7">
        <f>IF(預測IC!BD23&gt;預測IC!BD$25,1,0)</f>
        <v>0</v>
      </c>
      <c r="BE23" s="7">
        <f>IF(預測IC!BE23&gt;預測IC!BE$25,1,0)</f>
        <v>0</v>
      </c>
      <c r="BF23" s="7">
        <f>IF(預測IC!BF23&gt;預測IC!BF$25,1,0)</f>
        <v>0</v>
      </c>
      <c r="BG23" s="7">
        <f>IF(預測IC!BG23&gt;預測IC!BG$25,1,0)</f>
        <v>1</v>
      </c>
      <c r="BH23" s="7">
        <f>IF(預測IC!BH23&gt;預測IC!BH$25,1,0)</f>
        <v>1</v>
      </c>
      <c r="BI23" s="7">
        <f>IF(預測IC!BI23&gt;預測IC!BI$25,1,0)</f>
        <v>0</v>
      </c>
      <c r="BJ23" s="7">
        <f>IF(預測IC!BJ23&gt;預測IC!BJ$25,1,0)</f>
        <v>0</v>
      </c>
      <c r="BK23" s="7">
        <f>IF(預測IC!BK23&gt;預測IC!BK$25,1,0)</f>
        <v>0</v>
      </c>
      <c r="BL23" s="7">
        <f>IF(預測IC!BL23&gt;預測IC!BL$25,1,0)</f>
        <v>0</v>
      </c>
      <c r="BM23" s="7">
        <f>IF(預測IC!BM23&gt;預測IC!BM$25,1,0)</f>
        <v>1</v>
      </c>
      <c r="BN23" s="7">
        <f>IF(預測IC!BN23&gt;預測IC!BN$25,1,0)</f>
        <v>0</v>
      </c>
      <c r="BO23" s="7">
        <f>IF(預測IC!BO23&gt;預測IC!BO$25,1,0)</f>
        <v>1</v>
      </c>
      <c r="BP23" s="7">
        <f>IF(預測IC!BP23&gt;預測IC!BP$25,1,0)</f>
        <v>1</v>
      </c>
      <c r="BQ23" s="7">
        <f>IF(預測IC!BQ23&gt;預測IC!BQ$25,1,0)</f>
        <v>1</v>
      </c>
      <c r="BR23" s="7">
        <f>IF(預測IC!BR23&gt;預測IC!BR$25,1,0)</f>
        <v>0</v>
      </c>
      <c r="BS23" s="7">
        <f>IF(預測IC!BS23&gt;預測IC!BS$25,1,0)</f>
        <v>1</v>
      </c>
      <c r="BT23" s="7">
        <f>IF(預測IC!BT23&gt;預測IC!BT$25,1,0)</f>
        <v>1</v>
      </c>
      <c r="BU23" s="7">
        <f>IF(預測IC!BU23&gt;預測IC!BU$25,1,0)</f>
        <v>1</v>
      </c>
      <c r="BV23" s="7">
        <f>IF(預測IC!BV23&gt;預測IC!BV$25,1,0)</f>
        <v>0</v>
      </c>
      <c r="BW23" s="7">
        <f>IF(預測IC!BW23&gt;預測IC!BW$25,1,0)</f>
        <v>1</v>
      </c>
      <c r="BX23" s="7">
        <f>IF(預測IC!BX23&gt;預測IC!BX$25,1,0)</f>
        <v>0</v>
      </c>
      <c r="BY23" s="7">
        <f>IF(預測IC!BY23&gt;預測IC!BY$25,1,0)</f>
        <v>1</v>
      </c>
      <c r="BZ23" s="7">
        <f>IF(預測IC!BZ23&gt;預測IC!BZ$25,1,0)</f>
        <v>1</v>
      </c>
      <c r="CA23" s="7">
        <f>IF(預測IC!CA23&gt;預測IC!CA$25,1,0)</f>
        <v>1</v>
      </c>
      <c r="CB23" s="7">
        <f>IF(預測IC!CB23&gt;預測IC!CB$25,1,0)</f>
        <v>0</v>
      </c>
      <c r="CC23" s="7">
        <f>IF(預測IC!CC23&gt;預測IC!CC$25,1,0)</f>
        <v>1</v>
      </c>
      <c r="CD23" s="7">
        <f>IF(預測IC!CD23&gt;預測IC!CD$25,1,0)</f>
        <v>1</v>
      </c>
      <c r="CE23" s="7">
        <f>IF(預測IC!CE23&gt;預測IC!CE$25,1,0)</f>
        <v>0</v>
      </c>
      <c r="CF23" s="7">
        <f>IF(預測IC!CF23&gt;預測IC!CF$25,1,0)</f>
        <v>0</v>
      </c>
      <c r="CG23" s="7">
        <f>IF(預測IC!CG23&gt;預測IC!CG$25,1,0)</f>
        <v>0</v>
      </c>
      <c r="CH23" s="7">
        <f>IF(預測IC!CH23&gt;預測IC!CH$25,1,0)</f>
        <v>1</v>
      </c>
      <c r="CI23" s="7">
        <f>IF(預測IC!CI23&gt;預測IC!CI$25,1,0)</f>
        <v>1</v>
      </c>
      <c r="CJ23" s="7">
        <f>IF(預測IC!CJ23&gt;預測IC!CJ$25,1,0)</f>
        <v>1</v>
      </c>
      <c r="CK23" s="7">
        <f>IF(預測IC!CK23&gt;預測IC!CK$25,1,0)</f>
        <v>0</v>
      </c>
      <c r="CL23" s="7">
        <f>IF(預測IC!CL23&gt;預測IC!CL$25,1,0)</f>
        <v>0</v>
      </c>
      <c r="CM23" s="7">
        <f>IF(預測IC!CM23&gt;預測IC!CM$25,1,0)</f>
        <v>1</v>
      </c>
      <c r="CN23" s="7">
        <f>IF(預測IC!CN23&gt;預測IC!CN$25,1,0)</f>
        <v>1</v>
      </c>
      <c r="CO23" s="7">
        <f>IF(預測IC!CO23&gt;預測IC!CO$25,1,0)</f>
        <v>0</v>
      </c>
      <c r="CP23" s="7">
        <f>IF(預測IC!CP23&gt;預測IC!CP$25,1,0)</f>
        <v>1</v>
      </c>
      <c r="CQ23" s="7">
        <f>IF(預測IC!CQ23&gt;預測IC!CQ$25,1,0)</f>
        <v>1</v>
      </c>
      <c r="CR23" s="7">
        <f>IF(預測IC!CR23&gt;預測IC!CR$25,1,0)</f>
        <v>0</v>
      </c>
      <c r="CS23" s="7">
        <f>IF(預測IC!CS23&gt;預測IC!CS$25,1,0)</f>
        <v>0</v>
      </c>
      <c r="CT23" s="7">
        <f>IF(預測IC!CT23&gt;預測IC!CT$25,1,0)</f>
        <v>0</v>
      </c>
      <c r="CU23" s="7">
        <f>IF(預測IC!CU23&gt;預測IC!CU$25,1,0)</f>
        <v>1</v>
      </c>
      <c r="CV23" s="7">
        <f>IF(預測IC!CV23&gt;預測IC!CV$25,1,0)</f>
        <v>0</v>
      </c>
      <c r="CW23" s="7">
        <f>IF(預測IC!CW23&gt;預測IC!CW$25,1,0)</f>
        <v>1</v>
      </c>
      <c r="CX23" s="7">
        <f>IF(預測IC!CX23&gt;預測IC!CX$25,1,0)</f>
        <v>1</v>
      </c>
      <c r="CY23" s="7">
        <f>IF(預測IC!CY23&gt;預測IC!CY$25,1,0)</f>
        <v>1</v>
      </c>
      <c r="CZ23" s="7">
        <f>IF(預測IC!CZ23&gt;預測IC!CZ$25,1,0)</f>
        <v>1</v>
      </c>
      <c r="DA23" s="7">
        <f>IF(預測IC!DA23&gt;預測IC!DA$25,1,0)</f>
        <v>0</v>
      </c>
      <c r="DB23" s="7">
        <f>IF(預測IC!DB23&gt;預測IC!DB$25,1,0)</f>
        <v>0</v>
      </c>
      <c r="DC23" s="7">
        <f>IF(預測IC!DC23&gt;預測IC!DC$25,1,0)</f>
        <v>1</v>
      </c>
      <c r="DD23" s="7">
        <f>IF(預測IC!DD23&gt;預測IC!DD$25,1,0)</f>
        <v>0</v>
      </c>
      <c r="DE23" s="7">
        <f>IF(預測IC!DE23&gt;預測IC!DE$25,1,0)</f>
        <v>0</v>
      </c>
      <c r="DF23" s="7">
        <f>IF(預測IC!DF23&gt;預測IC!DF$25,1,0)</f>
        <v>1</v>
      </c>
      <c r="DG23" s="7">
        <f>IF(預測IC!DG23&gt;預測IC!DG$25,1,0)</f>
        <v>1</v>
      </c>
      <c r="DH23" s="7">
        <f>IF(預測IC!DH23&gt;預測IC!DH$25,1,0)</f>
        <v>0</v>
      </c>
      <c r="DI23" s="7">
        <f>IF(預測IC!DI23&gt;預測IC!DI$25,1,0)</f>
        <v>0</v>
      </c>
      <c r="DJ23" s="7">
        <f>IF(預測IC!DJ23&gt;預測IC!DJ$25,1,0)</f>
        <v>1</v>
      </c>
      <c r="DK23" s="7">
        <f>IF(預測IC!DK23&gt;預測IC!DK$25,1,0)</f>
        <v>0</v>
      </c>
      <c r="DL23" s="7">
        <f>IF(預測IC!DL23&gt;預測IC!DL$25,1,0)</f>
        <v>0</v>
      </c>
      <c r="DM23" s="7">
        <f>IF(預測IC!DM23&gt;預測IC!DM$25,1,0)</f>
        <v>0</v>
      </c>
      <c r="DN23" s="7">
        <f>IF(預測IC!DN23&gt;預測IC!DN$25,1,0)</f>
        <v>1</v>
      </c>
      <c r="DO23" s="7">
        <f>IF(預測IC!DO23&gt;預測IC!DO$25,1,0)</f>
        <v>1</v>
      </c>
      <c r="DP23" s="7">
        <f>IF(預測IC!DP23&gt;預測IC!DP$25,1,0)</f>
        <v>0</v>
      </c>
      <c r="DQ23" s="7">
        <f>IF(預測IC!DQ23&gt;預測IC!DQ$25,1,0)</f>
        <v>1</v>
      </c>
      <c r="DR23" s="7">
        <f>IF(預測IC!DR23&gt;預測IC!DR$25,1,0)</f>
        <v>0</v>
      </c>
      <c r="DS23" s="7">
        <f>IF(預測IC!DS23&gt;預測IC!DS$25,1,0)</f>
        <v>0</v>
      </c>
      <c r="DT23" s="7">
        <f>IF(預測IC!DT23&gt;預測IC!DT$25,1,0)</f>
        <v>0</v>
      </c>
      <c r="DU23" s="7">
        <f>IF(預測IC!DU23&gt;預測IC!DU$25,1,0)</f>
        <v>1</v>
      </c>
      <c r="DV23" s="7">
        <f>IF(預測IC!DV23&gt;預測IC!DV$25,1,0)</f>
        <v>0</v>
      </c>
      <c r="DW23" s="7">
        <f>IF(預測IC!DW23&gt;預測IC!DW$25,1,0)</f>
        <v>0</v>
      </c>
      <c r="DX23" s="7">
        <f>IF(預測IC!DX23&gt;預測IC!DX$25,1,0)</f>
        <v>0</v>
      </c>
      <c r="DY23" s="7">
        <f>IF(預測IC!DY23&gt;預測IC!DY$25,1,0)</f>
        <v>1</v>
      </c>
      <c r="DZ23" s="7">
        <f>IF(預測IC!DZ23&gt;預測IC!DZ$25,1,0)</f>
        <v>1</v>
      </c>
      <c r="EA23" s="7">
        <f>IF(預測IC!EA23&gt;預測IC!EA$25,1,0)</f>
        <v>0</v>
      </c>
      <c r="EB23" s="7">
        <f>IF(預測IC!EB23&gt;預測IC!EB$25,1,0)</f>
        <v>1</v>
      </c>
      <c r="EC23" s="7">
        <f>IF(預測IC!EC23&gt;預測IC!EC$25,1,0)</f>
        <v>0</v>
      </c>
      <c r="ED23" s="7">
        <f>IF(預測IC!ED23&gt;預測IC!ED$25,1,0)</f>
        <v>0</v>
      </c>
      <c r="EE23" s="7">
        <f>IF(預測IC!EE23&gt;預測IC!EE$25,1,0)</f>
        <v>1</v>
      </c>
      <c r="EF23" s="7">
        <f>IF(預測IC!EF23&gt;預測IC!EF$25,1,0)</f>
        <v>0</v>
      </c>
      <c r="EG23">
        <f t="shared" si="10"/>
        <v>62</v>
      </c>
      <c r="EH23" s="9">
        <f t="shared" si="11"/>
        <v>0.46268656716417911</v>
      </c>
    </row>
    <row r="24" spans="1:138" x14ac:dyDescent="0.3">
      <c r="A24" s="1">
        <v>964</v>
      </c>
      <c r="B24" s="1">
        <v>1</v>
      </c>
      <c r="C24" s="7">
        <f>IF(預測IC!C24&gt;預測IC!C$25,1,0)</f>
        <v>1</v>
      </c>
      <c r="D24" s="7">
        <f>IF(預測IC!D24&gt;預測IC!D$25,1,0)</f>
        <v>1</v>
      </c>
      <c r="E24" s="7">
        <f>IF(預測IC!E24&gt;預測IC!E$25,1,0)</f>
        <v>1</v>
      </c>
      <c r="F24" s="7">
        <f>IF(預測IC!F24&gt;預測IC!F$25,1,0)</f>
        <v>0</v>
      </c>
      <c r="G24" s="7">
        <f>IF(預測IC!G24&gt;預測IC!G$25,1,0)</f>
        <v>0</v>
      </c>
      <c r="H24" s="7">
        <f>IF(預測IC!H24&gt;預測IC!H$25,1,0)</f>
        <v>0</v>
      </c>
      <c r="I24" s="7">
        <f>IF(預測IC!I24&gt;預測IC!I$25,1,0)</f>
        <v>0</v>
      </c>
      <c r="J24" s="7">
        <f>IF(預測IC!J24&gt;預測IC!J$25,1,0)</f>
        <v>0</v>
      </c>
      <c r="K24" s="7">
        <f>IF(預測IC!K24&gt;預測IC!K$25,1,0)</f>
        <v>1</v>
      </c>
      <c r="L24" s="7">
        <f>IF(預測IC!L24&gt;預測IC!L$25,1,0)</f>
        <v>1</v>
      </c>
      <c r="M24" s="7">
        <f>IF(預測IC!M24&gt;預測IC!M$25,1,0)</f>
        <v>1</v>
      </c>
      <c r="N24" s="7">
        <f>IF(預測IC!N24&gt;預測IC!N$25,1,0)</f>
        <v>0</v>
      </c>
      <c r="O24" s="7">
        <f>IF(預測IC!O24&gt;預測IC!O$25,1,0)</f>
        <v>1</v>
      </c>
      <c r="P24" s="7">
        <f>IF(預測IC!P24&gt;預測IC!P$25,1,0)</f>
        <v>1</v>
      </c>
      <c r="Q24" s="7">
        <f>IF(預測IC!Q24&gt;預測IC!Q$25,1,0)</f>
        <v>1</v>
      </c>
      <c r="R24" s="7">
        <f>IF(預測IC!R24&gt;預測IC!R$25,1,0)</f>
        <v>1</v>
      </c>
      <c r="S24" s="7">
        <f>IF(預測IC!S24&gt;預測IC!S$25,1,0)</f>
        <v>1</v>
      </c>
      <c r="T24" s="7">
        <f>IF(預測IC!T24&gt;預測IC!T$25,1,0)</f>
        <v>1</v>
      </c>
      <c r="U24" s="7">
        <f>IF(預測IC!U24&gt;預測IC!U$25,1,0)</f>
        <v>0</v>
      </c>
      <c r="V24" s="7">
        <f>IF(預測IC!V24&gt;預測IC!V$25,1,0)</f>
        <v>1</v>
      </c>
      <c r="W24" s="7">
        <f>IF(預測IC!W24&gt;預測IC!W$25,1,0)</f>
        <v>0</v>
      </c>
      <c r="X24" s="7">
        <f>IF(預測IC!X24&gt;預測IC!X$25,1,0)</f>
        <v>0</v>
      </c>
      <c r="Y24" s="7">
        <f>IF(預測IC!Y24&gt;預測IC!Y$25,1,0)</f>
        <v>1</v>
      </c>
      <c r="Z24" s="7">
        <f>IF(預測IC!Z24&gt;預測IC!Z$25,1,0)</f>
        <v>0</v>
      </c>
      <c r="AA24" s="7">
        <f>IF(預測IC!AA24&gt;預測IC!AA$25,1,0)</f>
        <v>0</v>
      </c>
      <c r="AB24" s="7">
        <f>IF(預測IC!AB24&gt;預測IC!AB$25,1,0)</f>
        <v>0</v>
      </c>
      <c r="AC24" s="7">
        <f>IF(預測IC!AC24&gt;預測IC!AC$25,1,0)</f>
        <v>1</v>
      </c>
      <c r="AD24" s="7">
        <f>IF(預測IC!AD24&gt;預測IC!AD$25,1,0)</f>
        <v>1</v>
      </c>
      <c r="AE24" s="7">
        <f>IF(預測IC!AE24&gt;預測IC!AE$25,1,0)</f>
        <v>0</v>
      </c>
      <c r="AF24" s="7">
        <f>IF(預測IC!AF24&gt;預測IC!AF$25,1,0)</f>
        <v>0</v>
      </c>
      <c r="AG24" s="7">
        <f>IF(預測IC!AG24&gt;預測IC!AG$25,1,0)</f>
        <v>1</v>
      </c>
      <c r="AH24" s="7">
        <f>IF(預測IC!AH24&gt;預測IC!AH$25,1,0)</f>
        <v>1</v>
      </c>
      <c r="AI24" s="7">
        <f>IF(預測IC!AI24&gt;預測IC!AI$25,1,0)</f>
        <v>0</v>
      </c>
      <c r="AJ24" s="7">
        <f>IF(預測IC!AJ24&gt;預測IC!AJ$25,1,0)</f>
        <v>1</v>
      </c>
      <c r="AK24" s="7">
        <f>IF(預測IC!AK24&gt;預測IC!AK$25,1,0)</f>
        <v>0</v>
      </c>
      <c r="AL24" s="7">
        <f>IF(預測IC!AL24&gt;預測IC!AL$25,1,0)</f>
        <v>0</v>
      </c>
      <c r="AM24" s="7">
        <f>IF(預測IC!AM24&gt;預測IC!AM$25,1,0)</f>
        <v>0</v>
      </c>
      <c r="AN24" s="7">
        <f>IF(預測IC!AN24&gt;預測IC!AN$25,1,0)</f>
        <v>0</v>
      </c>
      <c r="AO24" s="7">
        <f>IF(預測IC!AO24&gt;預測IC!AO$25,1,0)</f>
        <v>1</v>
      </c>
      <c r="AP24" s="7">
        <f>IF(預測IC!AP24&gt;預測IC!AP$25,1,0)</f>
        <v>0</v>
      </c>
      <c r="AQ24" s="7">
        <f>IF(預測IC!AQ24&gt;預測IC!AQ$25,1,0)</f>
        <v>1</v>
      </c>
      <c r="AR24" s="7">
        <f>IF(預測IC!AR24&gt;預測IC!AR$25,1,0)</f>
        <v>0</v>
      </c>
      <c r="AS24" s="7">
        <f>IF(預測IC!AS24&gt;預測IC!AS$25,1,0)</f>
        <v>0</v>
      </c>
      <c r="AT24" s="7">
        <f>IF(預測IC!AT24&gt;預測IC!AT$25,1,0)</f>
        <v>0</v>
      </c>
      <c r="AU24" s="7">
        <f>IF(預測IC!AU24&gt;預測IC!AU$25,1,0)</f>
        <v>0</v>
      </c>
      <c r="AV24" s="7">
        <f>IF(預測IC!AV24&gt;預測IC!AV$25,1,0)</f>
        <v>0</v>
      </c>
      <c r="AW24" s="7">
        <f>IF(預測IC!AW24&gt;預測IC!AW$25,1,0)</f>
        <v>1</v>
      </c>
      <c r="AX24" s="7">
        <f>IF(預測IC!AX24&gt;預測IC!AX$25,1,0)</f>
        <v>0</v>
      </c>
      <c r="AY24" s="7">
        <f>IF(預測IC!AY24&gt;預測IC!AY$25,1,0)</f>
        <v>1</v>
      </c>
      <c r="AZ24" s="7">
        <f>IF(預測IC!AZ24&gt;預測IC!AZ$25,1,0)</f>
        <v>0</v>
      </c>
      <c r="BA24" s="7">
        <f>IF(預測IC!BA24&gt;預測IC!BA$25,1,0)</f>
        <v>1</v>
      </c>
      <c r="BB24" s="7">
        <f>IF(預測IC!BB24&gt;預測IC!BB$25,1,0)</f>
        <v>1</v>
      </c>
      <c r="BC24" s="7">
        <f>IF(預測IC!BC24&gt;預測IC!BC$25,1,0)</f>
        <v>0</v>
      </c>
      <c r="BD24" s="7">
        <f>IF(預測IC!BD24&gt;預測IC!BD$25,1,0)</f>
        <v>1</v>
      </c>
      <c r="BE24" s="7">
        <f>IF(預測IC!BE24&gt;預測IC!BE$25,1,0)</f>
        <v>1</v>
      </c>
      <c r="BF24" s="7">
        <f>IF(預測IC!BF24&gt;預測IC!BF$25,1,0)</f>
        <v>1</v>
      </c>
      <c r="BG24" s="7">
        <f>IF(預測IC!BG24&gt;預測IC!BG$25,1,0)</f>
        <v>1</v>
      </c>
      <c r="BH24" s="7">
        <f>IF(預測IC!BH24&gt;預測IC!BH$25,1,0)</f>
        <v>1</v>
      </c>
      <c r="BI24" s="7">
        <f>IF(預測IC!BI24&gt;預測IC!BI$25,1,0)</f>
        <v>1</v>
      </c>
      <c r="BJ24" s="7">
        <f>IF(預測IC!BJ24&gt;預測IC!BJ$25,1,0)</f>
        <v>1</v>
      </c>
      <c r="BK24" s="7">
        <f>IF(預測IC!BK24&gt;預測IC!BK$25,1,0)</f>
        <v>0</v>
      </c>
      <c r="BL24" s="7">
        <f>IF(預測IC!BL24&gt;預測IC!BL$25,1,0)</f>
        <v>0</v>
      </c>
      <c r="BM24" s="7">
        <f>IF(預測IC!BM24&gt;預測IC!BM$25,1,0)</f>
        <v>0</v>
      </c>
      <c r="BN24" s="7">
        <f>IF(預測IC!BN24&gt;預測IC!BN$25,1,0)</f>
        <v>0</v>
      </c>
      <c r="BO24" s="7">
        <f>IF(預測IC!BO24&gt;預測IC!BO$25,1,0)</f>
        <v>1</v>
      </c>
      <c r="BP24" s="7">
        <f>IF(預測IC!BP24&gt;預測IC!BP$25,1,0)</f>
        <v>0</v>
      </c>
      <c r="BQ24" s="7">
        <f>IF(預測IC!BQ24&gt;預測IC!BQ$25,1,0)</f>
        <v>0</v>
      </c>
      <c r="BR24" s="7">
        <f>IF(預測IC!BR24&gt;預測IC!BR$25,1,0)</f>
        <v>0</v>
      </c>
      <c r="BS24" s="7">
        <f>IF(預測IC!BS24&gt;預測IC!BS$25,1,0)</f>
        <v>1</v>
      </c>
      <c r="BT24" s="7">
        <f>IF(預測IC!BT24&gt;預測IC!BT$25,1,0)</f>
        <v>1</v>
      </c>
      <c r="BU24" s="7">
        <f>IF(預測IC!BU24&gt;預測IC!BU$25,1,0)</f>
        <v>1</v>
      </c>
      <c r="BV24" s="7">
        <f>IF(預測IC!BV24&gt;預測IC!BV$25,1,0)</f>
        <v>0</v>
      </c>
      <c r="BW24" s="7">
        <f>IF(預測IC!BW24&gt;預測IC!BW$25,1,0)</f>
        <v>1</v>
      </c>
      <c r="BX24" s="7">
        <f>IF(預測IC!BX24&gt;預測IC!BX$25,1,0)</f>
        <v>0</v>
      </c>
      <c r="BY24" s="7">
        <f>IF(預測IC!BY24&gt;預測IC!BY$25,1,0)</f>
        <v>1</v>
      </c>
      <c r="BZ24" s="7">
        <f>IF(預測IC!BZ24&gt;預測IC!BZ$25,1,0)</f>
        <v>1</v>
      </c>
      <c r="CA24" s="7">
        <f>IF(預測IC!CA24&gt;預測IC!CA$25,1,0)</f>
        <v>1</v>
      </c>
      <c r="CB24" s="7">
        <f>IF(預測IC!CB24&gt;預測IC!CB$25,1,0)</f>
        <v>0</v>
      </c>
      <c r="CC24" s="7">
        <f>IF(預測IC!CC24&gt;預測IC!CC$25,1,0)</f>
        <v>1</v>
      </c>
      <c r="CD24" s="7">
        <f>IF(預測IC!CD24&gt;預測IC!CD$25,1,0)</f>
        <v>1</v>
      </c>
      <c r="CE24" s="7">
        <f>IF(預測IC!CE24&gt;預測IC!CE$25,1,0)</f>
        <v>0</v>
      </c>
      <c r="CF24" s="7">
        <f>IF(預測IC!CF24&gt;預測IC!CF$25,1,0)</f>
        <v>1</v>
      </c>
      <c r="CG24" s="7">
        <f>IF(預測IC!CG24&gt;預測IC!CG$25,1,0)</f>
        <v>0</v>
      </c>
      <c r="CH24" s="7">
        <f>IF(預測IC!CH24&gt;預測IC!CH$25,1,0)</f>
        <v>1</v>
      </c>
      <c r="CI24" s="7">
        <f>IF(預測IC!CI24&gt;預測IC!CI$25,1,0)</f>
        <v>1</v>
      </c>
      <c r="CJ24" s="7">
        <f>IF(預測IC!CJ24&gt;預測IC!CJ$25,1,0)</f>
        <v>1</v>
      </c>
      <c r="CK24" s="7">
        <f>IF(預測IC!CK24&gt;預測IC!CK$25,1,0)</f>
        <v>0</v>
      </c>
      <c r="CL24" s="7">
        <f>IF(預測IC!CL24&gt;預測IC!CL$25,1,0)</f>
        <v>0</v>
      </c>
      <c r="CM24" s="7">
        <f>IF(預測IC!CM24&gt;預測IC!CM$25,1,0)</f>
        <v>1</v>
      </c>
      <c r="CN24" s="7">
        <f>IF(預測IC!CN24&gt;預測IC!CN$25,1,0)</f>
        <v>1</v>
      </c>
      <c r="CO24" s="7">
        <f>IF(預測IC!CO24&gt;預測IC!CO$25,1,0)</f>
        <v>0</v>
      </c>
      <c r="CP24" s="7">
        <f>IF(預測IC!CP24&gt;預測IC!CP$25,1,0)</f>
        <v>1</v>
      </c>
      <c r="CQ24" s="7">
        <f>IF(預測IC!CQ24&gt;預測IC!CQ$25,1,0)</f>
        <v>0</v>
      </c>
      <c r="CR24" s="7">
        <f>IF(預測IC!CR24&gt;預測IC!CR$25,1,0)</f>
        <v>0</v>
      </c>
      <c r="CS24" s="7">
        <f>IF(預測IC!CS24&gt;預測IC!CS$25,1,0)</f>
        <v>0</v>
      </c>
      <c r="CT24" s="7">
        <f>IF(預測IC!CT24&gt;預測IC!CT$25,1,0)</f>
        <v>0</v>
      </c>
      <c r="CU24" s="7">
        <f>IF(預測IC!CU24&gt;預測IC!CU$25,1,0)</f>
        <v>1</v>
      </c>
      <c r="CV24" s="7">
        <f>IF(預測IC!CV24&gt;預測IC!CV$25,1,0)</f>
        <v>0</v>
      </c>
      <c r="CW24" s="7">
        <f>IF(預測IC!CW24&gt;預測IC!CW$25,1,0)</f>
        <v>1</v>
      </c>
      <c r="CX24" s="7">
        <f>IF(預測IC!CX24&gt;預測IC!CX$25,1,0)</f>
        <v>0</v>
      </c>
      <c r="CY24" s="7">
        <f>IF(預測IC!CY24&gt;預測IC!CY$25,1,0)</f>
        <v>1</v>
      </c>
      <c r="CZ24" s="7">
        <f>IF(預測IC!CZ24&gt;預測IC!CZ$25,1,0)</f>
        <v>0</v>
      </c>
      <c r="DA24" s="7">
        <f>IF(預測IC!DA24&gt;預測IC!DA$25,1,0)</f>
        <v>1</v>
      </c>
      <c r="DB24" s="7">
        <f>IF(預測IC!DB24&gt;預測IC!DB$25,1,0)</f>
        <v>0</v>
      </c>
      <c r="DC24" s="7">
        <f>IF(預測IC!DC24&gt;預測IC!DC$25,1,0)</f>
        <v>1</v>
      </c>
      <c r="DD24" s="7">
        <f>IF(預測IC!DD24&gt;預測IC!DD$25,1,0)</f>
        <v>1</v>
      </c>
      <c r="DE24" s="7">
        <f>IF(預測IC!DE24&gt;預測IC!DE$25,1,0)</f>
        <v>0</v>
      </c>
      <c r="DF24" s="7">
        <f>IF(預測IC!DF24&gt;預測IC!DF$25,1,0)</f>
        <v>1</v>
      </c>
      <c r="DG24" s="7">
        <f>IF(預測IC!DG24&gt;預測IC!DG$25,1,0)</f>
        <v>1</v>
      </c>
      <c r="DH24" s="7">
        <f>IF(預測IC!DH24&gt;預測IC!DH$25,1,0)</f>
        <v>0</v>
      </c>
      <c r="DI24" s="7">
        <f>IF(預測IC!DI24&gt;預測IC!DI$25,1,0)</f>
        <v>0</v>
      </c>
      <c r="DJ24" s="7">
        <f>IF(預測IC!DJ24&gt;預測IC!DJ$25,1,0)</f>
        <v>1</v>
      </c>
      <c r="DK24" s="7">
        <f>IF(預測IC!DK24&gt;預測IC!DK$25,1,0)</f>
        <v>1</v>
      </c>
      <c r="DL24" s="7">
        <f>IF(預測IC!DL24&gt;預測IC!DL$25,1,0)</f>
        <v>0</v>
      </c>
      <c r="DM24" s="7">
        <f>IF(預測IC!DM24&gt;預測IC!DM$25,1,0)</f>
        <v>0</v>
      </c>
      <c r="DN24" s="7">
        <f>IF(預測IC!DN24&gt;預測IC!DN$25,1,0)</f>
        <v>1</v>
      </c>
      <c r="DO24" s="7">
        <f>IF(預測IC!DO24&gt;預測IC!DO$25,1,0)</f>
        <v>1</v>
      </c>
      <c r="DP24" s="7">
        <f>IF(預測IC!DP24&gt;預測IC!DP$25,1,0)</f>
        <v>0</v>
      </c>
      <c r="DQ24" s="7">
        <f>IF(預測IC!DQ24&gt;預測IC!DQ$25,1,0)</f>
        <v>1</v>
      </c>
      <c r="DR24" s="7">
        <f>IF(預測IC!DR24&gt;預測IC!DR$25,1,0)</f>
        <v>0</v>
      </c>
      <c r="DS24" s="7">
        <f>IF(預測IC!DS24&gt;預測IC!DS$25,1,0)</f>
        <v>0</v>
      </c>
      <c r="DT24" s="7">
        <f>IF(預測IC!DT24&gt;預測IC!DT$25,1,0)</f>
        <v>0</v>
      </c>
      <c r="DU24" s="7">
        <f>IF(預測IC!DU24&gt;預測IC!DU$25,1,0)</f>
        <v>1</v>
      </c>
      <c r="DV24" s="7">
        <f>IF(預測IC!DV24&gt;預測IC!DV$25,1,0)</f>
        <v>0</v>
      </c>
      <c r="DW24" s="7">
        <f>IF(預測IC!DW24&gt;預測IC!DW$25,1,0)</f>
        <v>0</v>
      </c>
      <c r="DX24" s="7">
        <f>IF(預測IC!DX24&gt;預測IC!DX$25,1,0)</f>
        <v>0</v>
      </c>
      <c r="DY24" s="7">
        <f>IF(預測IC!DY24&gt;預測IC!DY$25,1,0)</f>
        <v>1</v>
      </c>
      <c r="DZ24" s="7">
        <f>IF(預測IC!DZ24&gt;預測IC!DZ$25,1,0)</f>
        <v>0</v>
      </c>
      <c r="EA24" s="7">
        <f>IF(預測IC!EA24&gt;預測IC!EA$25,1,0)</f>
        <v>0</v>
      </c>
      <c r="EB24" s="7">
        <f>IF(預測IC!EB24&gt;預測IC!EB$25,1,0)</f>
        <v>1</v>
      </c>
      <c r="EC24" s="7">
        <f>IF(預測IC!EC24&gt;預測IC!EC$25,1,0)</f>
        <v>1</v>
      </c>
      <c r="ED24" s="7">
        <f>IF(預測IC!ED24&gt;預測IC!ED$25,1,0)</f>
        <v>0</v>
      </c>
      <c r="EE24" s="7">
        <f>IF(預測IC!EE24&gt;預測IC!EE$25,1,0)</f>
        <v>0</v>
      </c>
      <c r="EF24" s="7">
        <f>IF(預測IC!EF24&gt;預測IC!EF$25,1,0)</f>
        <v>0</v>
      </c>
      <c r="EG24">
        <f t="shared" si="10"/>
        <v>66</v>
      </c>
      <c r="EH24" s="9">
        <f t="shared" si="11"/>
        <v>0.4925373134328358</v>
      </c>
    </row>
    <row r="25" spans="1:138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G25"/>
  <sheetViews>
    <sheetView topLeftCell="DH25" zoomScale="85" zoomScaleNormal="85" workbookViewId="0"/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4.0547288954257972E-2</v>
      </c>
      <c r="D3" s="7">
        <v>1.474617514759302E-2</v>
      </c>
      <c r="E3" s="7">
        <v>-5.1652342081069953E-2</v>
      </c>
      <c r="F3" s="7">
        <v>-5.4286114871501923E-2</v>
      </c>
      <c r="G3" s="7">
        <v>-5.7552006095647812E-2</v>
      </c>
      <c r="H3" s="7">
        <v>-7.6259449124336243E-2</v>
      </c>
      <c r="I3" s="7">
        <v>-0.107886478304863</v>
      </c>
      <c r="J3" s="7">
        <v>1.373711228370667E-2</v>
      </c>
      <c r="K3" s="7">
        <v>-5.9229228645563133E-2</v>
      </c>
      <c r="L3" s="7">
        <v>-0.1078036949038506</v>
      </c>
      <c r="M3" s="7">
        <v>2.4141319096088409E-2</v>
      </c>
      <c r="N3" s="7">
        <v>-0.1346741318702698</v>
      </c>
      <c r="O3" s="7">
        <v>-7.92685616761446E-3</v>
      </c>
      <c r="P3" s="7">
        <v>-7.5651742517948151E-2</v>
      </c>
      <c r="Q3" s="7">
        <v>-8.6447760462760925E-2</v>
      </c>
      <c r="R3" s="7">
        <v>-3.0133344698697329E-3</v>
      </c>
      <c r="S3" s="7">
        <v>-4.0853243321180337E-2</v>
      </c>
      <c r="T3" s="7">
        <v>-3.2101776450872421E-2</v>
      </c>
      <c r="U3" s="7">
        <v>-0.10543976724147799</v>
      </c>
      <c r="V3" s="7">
        <v>-4.5746464282274253E-2</v>
      </c>
      <c r="W3" s="7">
        <v>-6.8120560608804226E-3</v>
      </c>
      <c r="X3" s="7">
        <v>9.7701430320739746E-2</v>
      </c>
      <c r="Y3" s="7">
        <v>6.1205495148897171E-2</v>
      </c>
      <c r="Z3" s="7">
        <v>1.6075653955340389E-2</v>
      </c>
      <c r="AA3" s="7">
        <v>-1.270355191081762E-2</v>
      </c>
      <c r="AB3" s="7">
        <v>-1.026225462555885E-2</v>
      </c>
      <c r="AC3" s="7">
        <v>2.934014052152634E-2</v>
      </c>
      <c r="AD3" s="7">
        <v>-5.8081243187189102E-3</v>
      </c>
      <c r="AE3" s="7">
        <v>1.1994774453341959E-2</v>
      </c>
      <c r="AF3" s="7">
        <v>3.9971381425857537E-2</v>
      </c>
      <c r="AG3" s="7">
        <v>-1.210324652493E-2</v>
      </c>
      <c r="AH3" s="7">
        <v>2.2090664133429531E-2</v>
      </c>
      <c r="AI3" s="7">
        <v>2.1936081349849701E-2</v>
      </c>
      <c r="AJ3" s="7">
        <v>2.584474720060825E-2</v>
      </c>
      <c r="AK3" s="7">
        <v>-2.3109074681997299E-3</v>
      </c>
      <c r="AL3" s="7">
        <v>-2.0252099260687832E-2</v>
      </c>
      <c r="AM3" s="7">
        <v>2.2393656894564629E-2</v>
      </c>
      <c r="AN3" s="7">
        <v>-3.5141657572239642E-3</v>
      </c>
      <c r="AO3" s="7">
        <v>-2.9745671898126599E-2</v>
      </c>
      <c r="AP3" s="7">
        <v>-2.683783695101738E-2</v>
      </c>
      <c r="AQ3" s="7">
        <v>-2.169711887836456E-2</v>
      </c>
      <c r="AR3" s="7">
        <v>2.3448716849088669E-2</v>
      </c>
      <c r="AS3" s="7">
        <v>1.5802856534719471E-2</v>
      </c>
      <c r="AT3" s="7">
        <v>6.6039755940437317E-2</v>
      </c>
      <c r="AU3" s="7">
        <v>6.2266789376735687E-2</v>
      </c>
      <c r="AV3" s="7">
        <v>5.7940512895584113E-2</v>
      </c>
      <c r="AW3" s="7">
        <v>0.1063941121101379</v>
      </c>
      <c r="AX3" s="7">
        <v>-5.7518132962286472E-3</v>
      </c>
      <c r="AY3" s="7">
        <v>3.4562649670988321E-3</v>
      </c>
      <c r="AZ3" s="7">
        <v>8.6036309599876404E-2</v>
      </c>
      <c r="BA3" s="7">
        <v>0.10234846919775011</v>
      </c>
      <c r="BB3" s="7">
        <v>6.3502728939056396E-2</v>
      </c>
      <c r="BC3" s="7">
        <v>4.844263568520546E-2</v>
      </c>
      <c r="BD3" s="7">
        <v>7.7497914433479309E-2</v>
      </c>
      <c r="BE3" s="7">
        <v>2.7031764388084412E-2</v>
      </c>
      <c r="BF3" s="7">
        <v>2.1175272762775421E-2</v>
      </c>
      <c r="BG3" s="7">
        <v>-1.226798165589571E-2</v>
      </c>
      <c r="BH3" s="7">
        <v>5.1240973174571991E-2</v>
      </c>
      <c r="BI3" s="7">
        <v>5.5158428847789757E-2</v>
      </c>
      <c r="BJ3" s="7">
        <v>8.664897084236145E-2</v>
      </c>
      <c r="BK3" s="7">
        <v>8.1092678010463715E-2</v>
      </c>
      <c r="BL3" s="7">
        <v>5.7930886745452881E-2</v>
      </c>
      <c r="BM3" s="7">
        <v>1.4249543659389021E-2</v>
      </c>
      <c r="BN3" s="7">
        <v>-4.6854224056005478E-3</v>
      </c>
      <c r="BO3" s="7">
        <v>4.5861139893531799E-2</v>
      </c>
      <c r="BP3" s="7">
        <v>8.6037963628768921E-2</v>
      </c>
      <c r="BQ3" s="7">
        <v>0.144142210483551</v>
      </c>
      <c r="BR3" s="7">
        <v>3.7985831499099731E-2</v>
      </c>
      <c r="BS3" s="7">
        <v>8.1880234181880951E-2</v>
      </c>
      <c r="BT3" s="7">
        <v>4.3688308447599411E-2</v>
      </c>
      <c r="BU3" s="7">
        <v>0.10545723885297779</v>
      </c>
      <c r="BV3" s="7">
        <v>0.1175376549363136</v>
      </c>
      <c r="BW3" s="7">
        <v>9.2942401766777039E-2</v>
      </c>
      <c r="BX3" s="7">
        <v>3.5637497901916497E-2</v>
      </c>
      <c r="BY3" s="7">
        <v>4.2925089597702033E-2</v>
      </c>
      <c r="BZ3" s="7">
        <v>9.8455093801021576E-2</v>
      </c>
      <c r="CA3" s="7">
        <v>1.8217885866761211E-2</v>
      </c>
      <c r="CB3" s="7">
        <v>1.9438756629824638E-2</v>
      </c>
      <c r="CC3" s="7">
        <v>-5.0573386251926422E-3</v>
      </c>
      <c r="CD3" s="7">
        <v>-5.7951014488935471E-2</v>
      </c>
      <c r="CE3" s="7">
        <v>-1.193848438560963E-2</v>
      </c>
      <c r="CF3" s="7">
        <v>6.4156758598983288E-3</v>
      </c>
      <c r="CG3" s="7">
        <v>5.6247138418257236E-3</v>
      </c>
      <c r="CH3" s="7">
        <v>5.8184977620840073E-2</v>
      </c>
      <c r="CI3" s="7">
        <v>1.276898570358753E-2</v>
      </c>
      <c r="CJ3" s="7">
        <v>-8.0891326069831848E-2</v>
      </c>
      <c r="CK3" s="7">
        <v>7.3738843202590942E-2</v>
      </c>
      <c r="CL3" s="7">
        <v>6.7692369222640991E-2</v>
      </c>
      <c r="CM3" s="7">
        <v>-1.829254254698753E-2</v>
      </c>
      <c r="CN3" s="7">
        <v>4.6888105571269989E-3</v>
      </c>
      <c r="CO3" s="7">
        <v>-1.2873713858425621E-2</v>
      </c>
      <c r="CP3" s="7">
        <v>-5.2108332514762878E-2</v>
      </c>
      <c r="CQ3" s="7">
        <v>-7.2693914175033569E-2</v>
      </c>
      <c r="CR3" s="7">
        <v>-6.0804408043622971E-2</v>
      </c>
      <c r="CS3" s="7">
        <v>1.5148262493312361E-2</v>
      </c>
      <c r="CT3" s="7">
        <v>-6.339031457901001E-2</v>
      </c>
      <c r="CU3" s="7">
        <v>-6.1079829931259162E-2</v>
      </c>
      <c r="CV3" s="7">
        <v>-2.170033194124699E-2</v>
      </c>
      <c r="CW3" s="7">
        <v>-6.0720678418874741E-2</v>
      </c>
      <c r="CX3" s="7">
        <v>-4.0655191987752907E-2</v>
      </c>
      <c r="CY3" s="7">
        <v>-4.5480586588382721E-2</v>
      </c>
      <c r="CZ3" s="7">
        <v>-6.9138072431087494E-2</v>
      </c>
      <c r="DA3" s="7">
        <v>-8.9778468012809753E-2</v>
      </c>
      <c r="DB3" s="7">
        <v>-6.527487188577652E-2</v>
      </c>
      <c r="DC3" s="7">
        <v>-1.3747443445026869E-2</v>
      </c>
      <c r="DD3" s="7">
        <v>-5.9340178966522217E-2</v>
      </c>
      <c r="DE3" s="7">
        <v>-2.9697688296437259E-3</v>
      </c>
      <c r="DF3" s="7">
        <v>2.9266869649291039E-2</v>
      </c>
      <c r="DG3" s="7">
        <v>-2.4713881313800808E-2</v>
      </c>
      <c r="DH3" s="7">
        <v>-3.5376153886318207E-2</v>
      </c>
      <c r="DI3" s="7">
        <v>-2.7640743181109428E-2</v>
      </c>
      <c r="DJ3" s="7">
        <v>-5.7575446553528309E-3</v>
      </c>
      <c r="DK3" s="7">
        <v>-4.8771854490041733E-2</v>
      </c>
      <c r="DL3" s="7">
        <v>-1.13038681447506E-2</v>
      </c>
      <c r="DM3" s="7">
        <v>-4.967803880572319E-2</v>
      </c>
      <c r="DN3" s="7">
        <v>-1.280778273940086E-2</v>
      </c>
      <c r="DO3" s="7">
        <v>-1.587224006652832E-2</v>
      </c>
      <c r="DP3" s="7">
        <v>-7.589586079120636E-3</v>
      </c>
      <c r="DQ3" s="7">
        <v>4.0078632533550262E-2</v>
      </c>
      <c r="DR3" s="7">
        <v>-1.5922309830784801E-2</v>
      </c>
      <c r="DS3" s="7">
        <v>2.3432238027453419E-2</v>
      </c>
      <c r="DT3" s="7">
        <v>-5.3663063794374473E-2</v>
      </c>
      <c r="DU3" s="7">
        <v>-4.4161681085824973E-2</v>
      </c>
      <c r="DV3" s="7">
        <v>-2.3813089355826381E-2</v>
      </c>
      <c r="DW3" s="7">
        <v>2.5176366791129109E-2</v>
      </c>
      <c r="DX3" s="7">
        <v>-3.2621368765830987E-2</v>
      </c>
      <c r="DY3" s="7">
        <v>1.3060665689408779E-2</v>
      </c>
      <c r="DZ3" s="7">
        <v>-4.7912493348121643E-2</v>
      </c>
      <c r="EA3" s="7">
        <v>1.4760352671146389E-2</v>
      </c>
      <c r="EB3" s="7">
        <v>-2.9227724298834801E-2</v>
      </c>
      <c r="EC3" s="7">
        <v>-3.5695001482963562E-2</v>
      </c>
      <c r="ED3" s="7">
        <v>-5.2812475711107247E-2</v>
      </c>
      <c r="EE3" s="7">
        <v>-1.3054582290351391E-2</v>
      </c>
      <c r="EF3" s="7">
        <v>-6.9071874022483826E-2</v>
      </c>
      <c r="EG3" s="1"/>
    </row>
    <row r="4" spans="1:137" x14ac:dyDescent="0.3">
      <c r="B4" s="1" t="s">
        <v>138</v>
      </c>
      <c r="C4" s="7">
        <v>-1.8580827862024311E-2</v>
      </c>
      <c r="D4" s="7">
        <v>-4.8252779990434647E-2</v>
      </c>
      <c r="E4" s="7">
        <v>7.8275678679347038E-3</v>
      </c>
      <c r="F4" s="7">
        <v>-2.6776634156703949E-2</v>
      </c>
      <c r="G4" s="7">
        <v>1.6258874908089641E-2</v>
      </c>
      <c r="H4" s="7">
        <v>-8.7667405605316162E-3</v>
      </c>
      <c r="I4" s="7">
        <v>-7.0548905059695244E-3</v>
      </c>
      <c r="J4" s="7">
        <v>-3.2917611300945282E-2</v>
      </c>
      <c r="K4" s="7">
        <v>7.3888557963073254E-3</v>
      </c>
      <c r="L4" s="7">
        <v>3.5096999257802963E-2</v>
      </c>
      <c r="M4" s="7">
        <v>-1.934842579066753E-2</v>
      </c>
      <c r="N4" s="7">
        <v>-1.2498205527663229E-2</v>
      </c>
      <c r="O4" s="7">
        <v>-6.7216232419013977E-2</v>
      </c>
      <c r="P4" s="7">
        <v>-2.768821083009243E-2</v>
      </c>
      <c r="Q4" s="7">
        <v>-5.9864789247512817E-2</v>
      </c>
      <c r="R4" s="7">
        <v>-7.7407129108905792E-2</v>
      </c>
      <c r="S4" s="7">
        <v>-8.372652530670166E-2</v>
      </c>
      <c r="T4" s="7">
        <v>-5.9324655681848533E-2</v>
      </c>
      <c r="U4" s="7">
        <v>-2.3863557726144791E-3</v>
      </c>
      <c r="V4" s="7">
        <v>4.6488689258694649E-3</v>
      </c>
      <c r="W4" s="7">
        <v>-7.4044972658157349E-2</v>
      </c>
      <c r="X4" s="7">
        <v>-9.8803862929344177E-2</v>
      </c>
      <c r="Y4" s="7">
        <v>-9.1002114117145538E-2</v>
      </c>
      <c r="Z4" s="7">
        <v>-6.800408661365509E-2</v>
      </c>
      <c r="AA4" s="7">
        <v>-8.6181230843067169E-2</v>
      </c>
      <c r="AB4" s="7">
        <v>-8.889392763376236E-2</v>
      </c>
      <c r="AC4" s="7">
        <v>-1.6588440164923671E-2</v>
      </c>
      <c r="AD4" s="7">
        <v>6.3448823988437653E-2</v>
      </c>
      <c r="AE4" s="7">
        <v>-5.9580553323030472E-2</v>
      </c>
      <c r="AF4" s="7">
        <v>1.096150139346719E-3</v>
      </c>
      <c r="AG4" s="7">
        <v>2.8850741684436802E-2</v>
      </c>
      <c r="AH4" s="7">
        <v>2.907080203294754E-2</v>
      </c>
      <c r="AI4" s="7">
        <v>-1.015707012265921E-2</v>
      </c>
      <c r="AJ4" s="7">
        <v>4.4545106589794159E-2</v>
      </c>
      <c r="AK4" s="7">
        <v>-1.327527966350317E-2</v>
      </c>
      <c r="AL4" s="7">
        <v>1.4735002070665359E-2</v>
      </c>
      <c r="AM4" s="7">
        <v>5.2847121842205516E-3</v>
      </c>
      <c r="AN4" s="7">
        <v>4.7137059271335602E-2</v>
      </c>
      <c r="AO4" s="7">
        <v>7.4655739590525627E-3</v>
      </c>
      <c r="AP4" s="7">
        <v>4.6993391588330269E-3</v>
      </c>
      <c r="AQ4" s="7">
        <v>2.0851189270615581E-2</v>
      </c>
      <c r="AR4" s="7">
        <v>5.4104723036289222E-2</v>
      </c>
      <c r="AS4" s="7">
        <v>-5.646181758493185E-3</v>
      </c>
      <c r="AT4" s="7">
        <v>4.0453299880027771E-3</v>
      </c>
      <c r="AU4" s="7">
        <v>2.0628450438380241E-2</v>
      </c>
      <c r="AV4" s="7">
        <v>2.111388556659222E-2</v>
      </c>
      <c r="AW4" s="7">
        <v>-4.1878089308738708E-2</v>
      </c>
      <c r="AX4" s="7">
        <v>1.5781458467245098E-2</v>
      </c>
      <c r="AY4" s="7">
        <v>-2.299829013645649E-2</v>
      </c>
      <c r="AZ4" s="7">
        <v>5.878029391169548E-3</v>
      </c>
      <c r="BA4" s="7">
        <v>-2.1811418235301971E-2</v>
      </c>
      <c r="BB4" s="7">
        <v>-7.6676465570926666E-2</v>
      </c>
      <c r="BC4" s="7">
        <v>1.004549115896225E-2</v>
      </c>
      <c r="BD4" s="7">
        <v>-4.7882307320833213E-2</v>
      </c>
      <c r="BE4" s="7">
        <v>-6.8554230034351349E-2</v>
      </c>
      <c r="BF4" s="7">
        <v>-8.2745306193828583E-2</v>
      </c>
      <c r="BG4" s="7">
        <v>-0.1204242408275604</v>
      </c>
      <c r="BH4" s="7">
        <v>-0.10103762894868849</v>
      </c>
      <c r="BI4" s="7">
        <v>-3.9490096271038062E-2</v>
      </c>
      <c r="BJ4" s="7">
        <v>-6.4256303012371063E-2</v>
      </c>
      <c r="BK4" s="7">
        <v>-0.14447127282619479</v>
      </c>
      <c r="BL4" s="7">
        <v>-0.1120113208889961</v>
      </c>
      <c r="BM4" s="7">
        <v>-3.4826010465621948E-2</v>
      </c>
      <c r="BN4" s="7">
        <v>-8.5986465215682983E-2</v>
      </c>
      <c r="BO4" s="7">
        <v>-7.0973977446556091E-2</v>
      </c>
      <c r="BP4" s="7">
        <v>-3.4846525639295578E-2</v>
      </c>
      <c r="BQ4" s="7">
        <v>-2.0351750776171681E-2</v>
      </c>
      <c r="BR4" s="7">
        <v>-2.315560914576054E-2</v>
      </c>
      <c r="BS4" s="7">
        <v>-3.2191596925258643E-2</v>
      </c>
      <c r="BT4" s="7">
        <v>-6.8826571106910706E-2</v>
      </c>
      <c r="BU4" s="7">
        <v>-9.2764981091022491E-2</v>
      </c>
      <c r="BV4" s="7">
        <v>-8.1678107380867004E-2</v>
      </c>
      <c r="BW4" s="7">
        <v>-6.8563610315322876E-2</v>
      </c>
      <c r="BX4" s="7">
        <v>-1.983198523521423E-2</v>
      </c>
      <c r="BY4" s="7">
        <v>-6.1186797916889191E-2</v>
      </c>
      <c r="BZ4" s="7">
        <v>-7.0581048727035522E-2</v>
      </c>
      <c r="CA4" s="7">
        <v>-7.2609454393386841E-2</v>
      </c>
      <c r="CB4" s="7">
        <v>-8.8862821459770203E-2</v>
      </c>
      <c r="CC4" s="7">
        <v>-6.5672166645526886E-2</v>
      </c>
      <c r="CD4" s="7">
        <v>-7.0492014288902283E-2</v>
      </c>
      <c r="CE4" s="7">
        <v>-8.9266888797283173E-2</v>
      </c>
      <c r="CF4" s="7">
        <v>-1.9554028287529949E-2</v>
      </c>
      <c r="CG4" s="7">
        <v>-3.8807325065135963E-2</v>
      </c>
      <c r="CH4" s="7">
        <v>-2.6853706687688831E-2</v>
      </c>
      <c r="CI4" s="7">
        <v>-2.3996761068701741E-2</v>
      </c>
      <c r="CJ4" s="7">
        <v>-6.9834161549806586E-3</v>
      </c>
      <c r="CK4" s="7">
        <v>-1.185638178139925E-2</v>
      </c>
      <c r="CL4" s="7">
        <v>-1.1220706626772881E-2</v>
      </c>
      <c r="CM4" s="7">
        <v>-1.975167170166969E-2</v>
      </c>
      <c r="CN4" s="7">
        <v>-1.7389096319675449E-2</v>
      </c>
      <c r="CO4" s="7">
        <v>9.1980240540578961E-4</v>
      </c>
      <c r="CP4" s="7">
        <v>-2.7678526937961578E-2</v>
      </c>
      <c r="CQ4" s="7">
        <v>-2.722612768411636E-2</v>
      </c>
      <c r="CR4" s="7">
        <v>-3.4191105514764793E-2</v>
      </c>
      <c r="CS4" s="7">
        <v>-3.7506073713302612E-2</v>
      </c>
      <c r="CT4" s="7">
        <v>-4.9283858388662338E-2</v>
      </c>
      <c r="CU4" s="7">
        <v>-2.3866469040513039E-2</v>
      </c>
      <c r="CV4" s="7">
        <v>-2.7314594481140379E-3</v>
      </c>
      <c r="CW4" s="7">
        <v>2.5829777121543881E-2</v>
      </c>
      <c r="CX4" s="7">
        <v>-7.7818602323532104E-2</v>
      </c>
      <c r="CY4" s="7">
        <v>-1.714335381984711E-2</v>
      </c>
      <c r="CZ4" s="7">
        <v>6.4833508804440498E-3</v>
      </c>
      <c r="DA4" s="7">
        <v>2.1121479570865631E-2</v>
      </c>
      <c r="DB4" s="7">
        <v>1.6250079497694969E-3</v>
      </c>
      <c r="DC4" s="7">
        <v>1.4495826326310629E-2</v>
      </c>
      <c r="DD4" s="7">
        <v>3.7542592734098428E-2</v>
      </c>
      <c r="DE4" s="7">
        <v>-4.7325566411018372E-2</v>
      </c>
      <c r="DF4" s="7">
        <v>3.3347133547067642E-2</v>
      </c>
      <c r="DG4" s="7">
        <v>-1.8042853102087971E-2</v>
      </c>
      <c r="DH4" s="7">
        <v>-1.2872833758592611E-2</v>
      </c>
      <c r="DI4" s="7">
        <v>2.5734813883900639E-2</v>
      </c>
      <c r="DJ4" s="7">
        <v>1.416372787207365E-2</v>
      </c>
      <c r="DK4" s="7">
        <v>-3.316790983080864E-2</v>
      </c>
      <c r="DL4" s="7">
        <v>-2.1062262356281281E-2</v>
      </c>
      <c r="DM4" s="7">
        <v>1.4148561283946041E-2</v>
      </c>
      <c r="DN4" s="7">
        <v>-1.9859654828906059E-2</v>
      </c>
      <c r="DO4" s="7">
        <v>-3.856055811047554E-2</v>
      </c>
      <c r="DP4" s="7">
        <v>5.259593203663826E-2</v>
      </c>
      <c r="DQ4" s="7">
        <v>5.0834372639656067E-2</v>
      </c>
      <c r="DR4" s="7">
        <v>3.4424390643835068E-2</v>
      </c>
      <c r="DS4" s="7">
        <v>2.6739172637462619E-2</v>
      </c>
      <c r="DT4" s="7">
        <v>-2.2692034021019939E-2</v>
      </c>
      <c r="DU4" s="7">
        <v>2.356254868209362E-2</v>
      </c>
      <c r="DV4" s="7">
        <v>1.1204046197235581E-2</v>
      </c>
      <c r="DW4" s="7">
        <v>9.7593218088150024E-3</v>
      </c>
      <c r="DX4" s="7">
        <v>-1.200891844928265E-2</v>
      </c>
      <c r="DY4" s="7">
        <v>-1.29100177437067E-2</v>
      </c>
      <c r="DZ4" s="7">
        <v>1.4516728930175299E-2</v>
      </c>
      <c r="EA4" s="7">
        <v>2.0058911293745041E-2</v>
      </c>
      <c r="EB4" s="7">
        <v>5.2505847066640847E-2</v>
      </c>
      <c r="EC4" s="7">
        <v>3.2138381153345108E-2</v>
      </c>
      <c r="ED4" s="7">
        <v>-9.5858694985508919E-3</v>
      </c>
      <c r="EE4" s="7">
        <v>1.6591379418969151E-2</v>
      </c>
      <c r="EF4" s="7">
        <v>2.4656090885400769E-2</v>
      </c>
      <c r="EG4" s="1"/>
    </row>
    <row r="5" spans="1:137" x14ac:dyDescent="0.3">
      <c r="B5" s="1" t="s">
        <v>139</v>
      </c>
      <c r="C5" s="7">
        <v>-1.9821943715214729E-2</v>
      </c>
      <c r="D5" s="7">
        <v>-2.4067563936114311E-2</v>
      </c>
      <c r="E5" s="7">
        <v>-7.5782481580972672E-3</v>
      </c>
      <c r="F5" s="7">
        <v>3.8560427725315087E-2</v>
      </c>
      <c r="G5" s="7">
        <v>-7.0930332876741886E-3</v>
      </c>
      <c r="H5" s="7">
        <v>-2.8790984302759171E-2</v>
      </c>
      <c r="I5" s="7">
        <v>-5.0696283578872681E-2</v>
      </c>
      <c r="J5" s="7">
        <v>-1.75021740142256E-3</v>
      </c>
      <c r="K5" s="7">
        <v>-4.8410315066576004E-3</v>
      </c>
      <c r="L5" s="7">
        <v>-2.5085138157010078E-2</v>
      </c>
      <c r="M5" s="7">
        <v>3.4981705248355872E-2</v>
      </c>
      <c r="N5" s="7">
        <v>7.1464717388153076E-2</v>
      </c>
      <c r="O5" s="7">
        <v>4.9568243324756622E-2</v>
      </c>
      <c r="P5" s="7">
        <v>9.211605042219162E-2</v>
      </c>
      <c r="Q5" s="7">
        <v>7.458747923374176E-2</v>
      </c>
      <c r="R5" s="7">
        <v>3.6225240677595139E-2</v>
      </c>
      <c r="S5" s="7">
        <v>6.8880669772624969E-2</v>
      </c>
      <c r="T5" s="7">
        <v>5.0580024719238281E-2</v>
      </c>
      <c r="U5" s="7">
        <v>5.0022769719362259E-2</v>
      </c>
      <c r="V5" s="7">
        <v>6.5072879195213318E-2</v>
      </c>
      <c r="W5" s="7">
        <v>8.2305394113063812E-2</v>
      </c>
      <c r="X5" s="7">
        <v>4.979049414396286E-2</v>
      </c>
      <c r="Y5" s="7">
        <v>0.16213490068912509</v>
      </c>
      <c r="Z5" s="7">
        <v>4.9829393625259399E-2</v>
      </c>
      <c r="AA5" s="7">
        <v>-9.6141993999481201E-3</v>
      </c>
      <c r="AB5" s="7">
        <v>-9.4462800770998001E-3</v>
      </c>
      <c r="AC5" s="7">
        <v>-1.5571466647088529E-2</v>
      </c>
      <c r="AD5" s="7">
        <v>-5.6024580262601384E-3</v>
      </c>
      <c r="AE5" s="7">
        <v>2.4225909262895581E-2</v>
      </c>
      <c r="AF5" s="7">
        <v>6.4355872571468353E-2</v>
      </c>
      <c r="AG5" s="7">
        <v>6.0781430453062057E-2</v>
      </c>
      <c r="AH5" s="7">
        <v>2.877256274223328E-2</v>
      </c>
      <c r="AI5" s="7">
        <v>4.2393732815980911E-2</v>
      </c>
      <c r="AJ5" s="7">
        <v>1.3549104332923889E-2</v>
      </c>
      <c r="AK5" s="7">
        <v>0.104340173304081</v>
      </c>
      <c r="AL5" s="7">
        <v>2.3477694019675251E-2</v>
      </c>
      <c r="AM5" s="7">
        <v>4.9679871648550027E-2</v>
      </c>
      <c r="AN5" s="7">
        <v>-1.9429741427302361E-2</v>
      </c>
      <c r="AO5" s="7">
        <v>-9.9202198907732964E-3</v>
      </c>
      <c r="AP5" s="7">
        <v>1.375884562730789E-2</v>
      </c>
      <c r="AQ5" s="7">
        <v>-4.9647921696305266E-3</v>
      </c>
      <c r="AR5" s="7">
        <v>-1.355784293264151E-2</v>
      </c>
      <c r="AS5" s="7">
        <v>-2.6926254853606221E-2</v>
      </c>
      <c r="AT5" s="7">
        <v>-7.0274341851472846E-3</v>
      </c>
      <c r="AU5" s="7">
        <v>9.5545966178178787E-3</v>
      </c>
      <c r="AV5" s="7">
        <v>3.9484385401010513E-2</v>
      </c>
      <c r="AW5" s="7">
        <v>1.0149263776838779E-2</v>
      </c>
      <c r="AX5" s="7">
        <v>2.7402361854910851E-2</v>
      </c>
      <c r="AY5" s="7">
        <v>3.636043518781662E-2</v>
      </c>
      <c r="AZ5" s="7">
        <v>-1.262158527970314E-2</v>
      </c>
      <c r="BA5" s="7">
        <v>5.0261570140719414E-3</v>
      </c>
      <c r="BB5" s="7">
        <v>3.7919752299785607E-2</v>
      </c>
      <c r="BC5" s="7">
        <v>5.3017329424619668E-2</v>
      </c>
      <c r="BD5" s="7">
        <v>-5.6791070848703377E-2</v>
      </c>
      <c r="BE5" s="7">
        <v>-1.0663941502571109E-2</v>
      </c>
      <c r="BF5" s="7">
        <v>-4.5907318592071533E-2</v>
      </c>
      <c r="BG5" s="7">
        <v>-4.1811093688011169E-2</v>
      </c>
      <c r="BH5" s="7">
        <v>-8.6124790832400322E-3</v>
      </c>
      <c r="BI5" s="7">
        <v>5.799414124339819E-3</v>
      </c>
      <c r="BJ5" s="7">
        <v>-1.243619527667761E-2</v>
      </c>
      <c r="BK5" s="7">
        <v>2.8031732887029651E-2</v>
      </c>
      <c r="BL5" s="7">
        <v>1.237457524985075E-2</v>
      </c>
      <c r="BM5" s="7">
        <v>3.3071968704462051E-2</v>
      </c>
      <c r="BN5" s="7">
        <v>5.3148314356803887E-2</v>
      </c>
      <c r="BO5" s="7">
        <v>-2.6408641133457422E-4</v>
      </c>
      <c r="BP5" s="7">
        <v>2.5249753147363659E-2</v>
      </c>
      <c r="BQ5" s="7">
        <v>1.6997437924146649E-2</v>
      </c>
      <c r="BR5" s="7">
        <v>3.9869185537099838E-2</v>
      </c>
      <c r="BS5" s="7">
        <v>1.4649398624897E-2</v>
      </c>
      <c r="BT5" s="7">
        <v>-1.352826133370399E-3</v>
      </c>
      <c r="BU5" s="7">
        <v>-1.624243147671223E-2</v>
      </c>
      <c r="BV5" s="7">
        <v>-1.9686918705701831E-2</v>
      </c>
      <c r="BW5" s="7">
        <v>1.865353994071484E-2</v>
      </c>
      <c r="BX5" s="7">
        <v>1.243885513395071E-2</v>
      </c>
      <c r="BY5" s="7">
        <v>1.172025687992573E-2</v>
      </c>
      <c r="BZ5" s="7">
        <v>2.6449056342244152E-2</v>
      </c>
      <c r="CA5" s="7">
        <v>2.04578060656786E-2</v>
      </c>
      <c r="CB5" s="7">
        <v>-1.0790687054395681E-2</v>
      </c>
      <c r="CC5" s="7">
        <v>2.7279853820800781E-2</v>
      </c>
      <c r="CD5" s="7">
        <v>-2.825878094881773E-3</v>
      </c>
      <c r="CE5" s="7">
        <v>-3.9107587188482278E-2</v>
      </c>
      <c r="CF5" s="7">
        <v>2.643934823572636E-2</v>
      </c>
      <c r="CG5" s="7">
        <v>-1.353815849870443E-2</v>
      </c>
      <c r="CH5" s="7">
        <v>3.3741135150194168E-2</v>
      </c>
      <c r="CI5" s="7">
        <v>-1.802918687462807E-2</v>
      </c>
      <c r="CJ5" s="7">
        <v>7.7282674610614777E-3</v>
      </c>
      <c r="CK5" s="7">
        <v>4.5171476900577552E-2</v>
      </c>
      <c r="CL5" s="7">
        <v>-1.4336470048874621E-3</v>
      </c>
      <c r="CM5" s="7">
        <v>-4.3408293277025223E-2</v>
      </c>
      <c r="CN5" s="7">
        <v>-4.8494711518287659E-2</v>
      </c>
      <c r="CO5" s="7">
        <v>-3.4412361681461327E-2</v>
      </c>
      <c r="CP5" s="7">
        <v>-3.1831637024879463E-2</v>
      </c>
      <c r="CQ5" s="7">
        <v>-2.954593114554882E-2</v>
      </c>
      <c r="CR5" s="7">
        <v>-4.6193767338991172E-2</v>
      </c>
      <c r="CS5" s="7">
        <v>-2.2423639893531799E-2</v>
      </c>
      <c r="CT5" s="7">
        <v>2.7818739414215091E-2</v>
      </c>
      <c r="CU5" s="7">
        <v>3.4685932099819183E-2</v>
      </c>
      <c r="CV5" s="7">
        <v>2.074115909636021E-2</v>
      </c>
      <c r="CW5" s="7">
        <v>3.9250623434782028E-2</v>
      </c>
      <c r="CX5" s="7">
        <v>2.3623250424861911E-2</v>
      </c>
      <c r="CY5" s="7">
        <v>2.0947696641087529E-2</v>
      </c>
      <c r="CZ5" s="7">
        <v>2.7976941782981162E-3</v>
      </c>
      <c r="DA5" s="7">
        <v>3.1392037868499763E-2</v>
      </c>
      <c r="DB5" s="7">
        <v>2.502433024346828E-3</v>
      </c>
      <c r="DC5" s="7">
        <v>4.6531397849321372E-2</v>
      </c>
      <c r="DD5" s="7">
        <v>3.7525448948144913E-2</v>
      </c>
      <c r="DE5" s="7">
        <v>6.0277972370386117E-2</v>
      </c>
      <c r="DF5" s="7">
        <v>-1.6737030819058418E-2</v>
      </c>
      <c r="DG5" s="7">
        <v>-9.5816031098365784E-3</v>
      </c>
      <c r="DH5" s="7">
        <v>2.3357640951871868E-2</v>
      </c>
      <c r="DI5" s="7">
        <v>-4.1918892413377762E-2</v>
      </c>
      <c r="DJ5" s="7">
        <v>-1.131146331317723E-3</v>
      </c>
      <c r="DK5" s="7">
        <v>4.1163764894008643E-2</v>
      </c>
      <c r="DL5" s="7">
        <v>2.8391024097800251E-2</v>
      </c>
      <c r="DM5" s="7">
        <v>-2.8915755450725559E-2</v>
      </c>
      <c r="DN5" s="7">
        <v>-1.6116663813591E-2</v>
      </c>
      <c r="DO5" s="7">
        <v>-4.4103553518652916E-3</v>
      </c>
      <c r="DP5" s="7">
        <v>-2.803636156022549E-2</v>
      </c>
      <c r="DQ5" s="7">
        <v>3.730235388502479E-3</v>
      </c>
      <c r="DR5" s="7">
        <v>4.8961839638650417E-3</v>
      </c>
      <c r="DS5" s="7">
        <v>1.518423017114401E-2</v>
      </c>
      <c r="DT5" s="7">
        <v>-2.709389291703701E-2</v>
      </c>
      <c r="DU5" s="7">
        <v>2.157741412520409E-2</v>
      </c>
      <c r="DV5" s="7">
        <v>-1.6142900567501779E-3</v>
      </c>
      <c r="DW5" s="7">
        <v>-4.1363826021552086E-3</v>
      </c>
      <c r="DX5" s="7">
        <v>-4.4376425445079803E-2</v>
      </c>
      <c r="DY5" s="7">
        <v>-3.3609867095947273E-2</v>
      </c>
      <c r="DZ5" s="7">
        <v>-4.8759568482637412E-2</v>
      </c>
      <c r="EA5" s="7">
        <v>5.7486207224428654E-3</v>
      </c>
      <c r="EB5" s="7">
        <v>5.8685941621661186E-3</v>
      </c>
      <c r="EC5" s="7">
        <v>4.229099303483963E-2</v>
      </c>
      <c r="ED5" s="7">
        <v>2.5345668196678162E-2</v>
      </c>
      <c r="EE5" s="7">
        <v>7.0743728429079056E-3</v>
      </c>
      <c r="EF5" s="7">
        <v>3.71592678129673E-2</v>
      </c>
      <c r="EG5" s="1"/>
    </row>
    <row r="6" spans="1:137" x14ac:dyDescent="0.3">
      <c r="A6" s="13" t="s">
        <v>140</v>
      </c>
      <c r="B6" s="14"/>
      <c r="C6" s="7">
        <f t="array" ref="C6">MATCH(MAX(ABS(C3:C5)), ABS(C3:C5), 0)</f>
        <v>1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2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3</v>
      </c>
      <c r="N6" s="7">
        <f t="array" ref="N6">MATCH(MAX(ABS(N3:N5)), ABS(N3:N5), 0)</f>
        <v>1</v>
      </c>
      <c r="O6" s="7">
        <f t="array" ref="O6">MATCH(MAX(ABS(O3:O5)), ABS(O3:O5), 0)</f>
        <v>2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2</v>
      </c>
      <c r="AC6" s="7">
        <f t="array" ref="AC6">MATCH(MAX(ABS(AC3:AC5)), ABS(AC3:AC5), 0)</f>
        <v>1</v>
      </c>
      <c r="AD6" s="7">
        <f t="array" ref="AD6">MATCH(MAX(ABS(AD3:AD5)), ABS(AD3:AD5), 0)</f>
        <v>2</v>
      </c>
      <c r="AE6" s="7">
        <f t="array" ref="AE6">MATCH(MAX(ABS(AE3:AE5)), ABS(AE3:AE5), 0)</f>
        <v>2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2</v>
      </c>
      <c r="AI6" s="7">
        <f t="array" ref="AI6">MATCH(MAX(ABS(AI3:AI5)), ABS(AI3:AI5), 0)</f>
        <v>3</v>
      </c>
      <c r="AJ6" s="7">
        <f t="array" ref="AJ6">MATCH(MAX(ABS(AJ3:AJ5)), ABS(AJ3:AJ5), 0)</f>
        <v>2</v>
      </c>
      <c r="AK6" s="7">
        <f t="array" ref="AK6">MATCH(MAX(ABS(AK3:AK5)), ABS(AK3:AK5), 0)</f>
        <v>3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2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3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3</v>
      </c>
      <c r="BD6" s="7">
        <f t="array" ref="BD6">MATCH(MAX(ABS(BD3:BD5)), ABS(BD3:BD5), 0)</f>
        <v>1</v>
      </c>
      <c r="BE6" s="7">
        <f t="array" ref="BE6">MATCH(MAX(ABS(BE3:BE5)), ABS(BE3:BE5), 0)</f>
        <v>2</v>
      </c>
      <c r="BF6" s="7">
        <f t="array" ref="BF6">MATCH(MAX(ABS(BF3:BF5)), ABS(BF3:BF5), 0)</f>
        <v>2</v>
      </c>
      <c r="BG6" s="7">
        <f t="array" ref="BG6">MATCH(MAX(ABS(BG3:BG5)), ABS(BG3:BG5), 0)</f>
        <v>2</v>
      </c>
      <c r="BH6" s="7">
        <f t="array" ref="BH6">MATCH(MAX(ABS(BH3:BH5)), ABS(BH3:BH5), 0)</f>
        <v>2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2</v>
      </c>
      <c r="BL6" s="7">
        <f t="array" ref="BL6">MATCH(MAX(ABS(BL3:BL5)), ABS(BL3:BL5), 0)</f>
        <v>2</v>
      </c>
      <c r="BM6" s="7">
        <f t="array" ref="BM6">MATCH(MAX(ABS(BM3:BM5)), ABS(BM3:BM5), 0)</f>
        <v>2</v>
      </c>
      <c r="BN6" s="7">
        <f t="array" ref="BN6">MATCH(MAX(ABS(BN3:BN5)), ABS(BN3:BN5), 0)</f>
        <v>2</v>
      </c>
      <c r="BO6" s="7">
        <f t="array" ref="BO6">MATCH(MAX(ABS(BO3:BO5)), ABS(BO3:BO5), 0)</f>
        <v>2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3</v>
      </c>
      <c r="BS6" s="7">
        <f t="array" ref="BS6">MATCH(MAX(ABS(BS3:BS5)), ABS(BS3:BS5), 0)</f>
        <v>1</v>
      </c>
      <c r="BT6" s="7">
        <f t="array" ref="BT6">MATCH(MAX(ABS(BT3:BT5)), ABS(BT3:BT5), 0)</f>
        <v>2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3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2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3</v>
      </c>
      <c r="CN6" s="7">
        <f t="array" ref="CN6">MATCH(MAX(ABS(CN3:CN5)), ABS(CN3:CN5), 0)</f>
        <v>3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2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3</v>
      </c>
      <c r="DD6" s="7">
        <f t="array" ref="DD6">MATCH(MAX(ABS(DD3:DD5)), ABS(DD3:DD5), 0)</f>
        <v>1</v>
      </c>
      <c r="DE6" s="7">
        <f t="array" ref="DE6">MATCH(MAX(ABS(DE3:DE5)), ABS(DE3:DE5), 0)</f>
        <v>3</v>
      </c>
      <c r="DF6" s="7">
        <f t="array" ref="DF6">MATCH(MAX(ABS(DF3:DF5)), ABS(DF3:DF5), 0)</f>
        <v>2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3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3</v>
      </c>
      <c r="DM6" s="7">
        <f t="array" ref="DM6">MATCH(MAX(ABS(DM3:DM5)), ABS(DM3:DM5), 0)</f>
        <v>1</v>
      </c>
      <c r="DN6" s="7">
        <f t="array" ref="DN6">MATCH(MAX(ABS(DN3:DN5)), ABS(DN3:DN5), 0)</f>
        <v>2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2</v>
      </c>
      <c r="DS6" s="7">
        <f t="array" ref="DS6">MATCH(MAX(ABS(DS3:DS5)), ABS(DS3:DS5), 0)</f>
        <v>2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1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bm</v>
      </c>
      <c r="D7" s="7" t="str">
        <f t="shared" si="0"/>
        <v>size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size</v>
      </c>
      <c r="K7" s="7" t="str">
        <f t="shared" si="0"/>
        <v>bm</v>
      </c>
      <c r="L7" s="7" t="str">
        <f t="shared" si="0"/>
        <v>bm</v>
      </c>
      <c r="M7" s="7" t="str">
        <f t="shared" si="0"/>
        <v>mom</v>
      </c>
      <c r="N7" s="7" t="str">
        <f t="shared" si="0"/>
        <v>bm</v>
      </c>
      <c r="O7" s="7" t="str">
        <f t="shared" si="0"/>
        <v>size</v>
      </c>
      <c r="P7" s="7" t="str">
        <f t="shared" si="0"/>
        <v>mom</v>
      </c>
      <c r="Q7" s="7" t="str">
        <f t="shared" si="0"/>
        <v>bm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size</v>
      </c>
      <c r="AA7" s="7" t="str">
        <f t="shared" si="0"/>
        <v>size</v>
      </c>
      <c r="AB7" s="7" t="str">
        <f t="shared" si="0"/>
        <v>size</v>
      </c>
      <c r="AC7" s="7" t="str">
        <f t="shared" si="0"/>
        <v>bm</v>
      </c>
      <c r="AD7" s="7" t="str">
        <f t="shared" si="0"/>
        <v>size</v>
      </c>
      <c r="AE7" s="7" t="str">
        <f t="shared" si="0"/>
        <v>size</v>
      </c>
      <c r="AF7" s="7" t="str">
        <f t="shared" si="0"/>
        <v>mom</v>
      </c>
      <c r="AG7" s="7" t="str">
        <f t="shared" si="0"/>
        <v>mom</v>
      </c>
      <c r="AH7" s="7" t="str">
        <f t="shared" si="0"/>
        <v>size</v>
      </c>
      <c r="AI7" s="7" t="str">
        <f t="shared" ref="AI7:BN7" si="1">IF(AI6=1,"bm",IF(AI6=2,"size",IF(AI6=3,"mom")))</f>
        <v>mom</v>
      </c>
      <c r="AJ7" s="7" t="str">
        <f t="shared" si="1"/>
        <v>size</v>
      </c>
      <c r="AK7" s="7" t="str">
        <f t="shared" si="1"/>
        <v>mom</v>
      </c>
      <c r="AL7" s="7" t="str">
        <f t="shared" si="1"/>
        <v>mom</v>
      </c>
      <c r="AM7" s="7" t="str">
        <f t="shared" si="1"/>
        <v>mom</v>
      </c>
      <c r="AN7" s="7" t="str">
        <f t="shared" si="1"/>
        <v>size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size</v>
      </c>
      <c r="AS7" s="7" t="str">
        <f t="shared" si="1"/>
        <v>mom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bm</v>
      </c>
      <c r="BA7" s="7" t="str">
        <f t="shared" si="1"/>
        <v>bm</v>
      </c>
      <c r="BB7" s="7" t="str">
        <f t="shared" si="1"/>
        <v>size</v>
      </c>
      <c r="BC7" s="7" t="str">
        <f t="shared" si="1"/>
        <v>mom</v>
      </c>
      <c r="BD7" s="7" t="str">
        <f t="shared" si="1"/>
        <v>bm</v>
      </c>
      <c r="BE7" s="7" t="str">
        <f t="shared" si="1"/>
        <v>size</v>
      </c>
      <c r="BF7" s="7" t="str">
        <f t="shared" si="1"/>
        <v>size</v>
      </c>
      <c r="BG7" s="7" t="str">
        <f t="shared" si="1"/>
        <v>size</v>
      </c>
      <c r="BH7" s="7" t="str">
        <f t="shared" si="1"/>
        <v>size</v>
      </c>
      <c r="BI7" s="7" t="str">
        <f t="shared" si="1"/>
        <v>bm</v>
      </c>
      <c r="BJ7" s="7" t="str">
        <f t="shared" si="1"/>
        <v>bm</v>
      </c>
      <c r="BK7" s="7" t="str">
        <f t="shared" si="1"/>
        <v>size</v>
      </c>
      <c r="BL7" s="7" t="str">
        <f t="shared" si="1"/>
        <v>size</v>
      </c>
      <c r="BM7" s="7" t="str">
        <f t="shared" si="1"/>
        <v>size</v>
      </c>
      <c r="BN7" s="7" t="str">
        <f t="shared" si="1"/>
        <v>size</v>
      </c>
      <c r="BO7" s="7" t="str">
        <f t="shared" ref="BO7:CT7" si="2">IF(BO6=1,"bm",IF(BO6=2,"size",IF(BO6=3,"mom")))</f>
        <v>size</v>
      </c>
      <c r="BP7" s="7" t="str">
        <f t="shared" si="2"/>
        <v>bm</v>
      </c>
      <c r="BQ7" s="7" t="str">
        <f t="shared" si="2"/>
        <v>bm</v>
      </c>
      <c r="BR7" s="7" t="str">
        <f t="shared" si="2"/>
        <v>mom</v>
      </c>
      <c r="BS7" s="7" t="str">
        <f t="shared" si="2"/>
        <v>bm</v>
      </c>
      <c r="BT7" s="7" t="str">
        <f t="shared" si="2"/>
        <v>size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size</v>
      </c>
      <c r="BZ7" s="7" t="str">
        <f t="shared" si="2"/>
        <v>bm</v>
      </c>
      <c r="CA7" s="7" t="str">
        <f t="shared" si="2"/>
        <v>size</v>
      </c>
      <c r="CB7" s="7" t="str">
        <f t="shared" si="2"/>
        <v>size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mom</v>
      </c>
      <c r="CG7" s="7" t="str">
        <f t="shared" si="2"/>
        <v>size</v>
      </c>
      <c r="CH7" s="7" t="str">
        <f t="shared" si="2"/>
        <v>bm</v>
      </c>
      <c r="CI7" s="7" t="str">
        <f t="shared" si="2"/>
        <v>size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mom</v>
      </c>
      <c r="CN7" s="7" t="str">
        <f t="shared" si="2"/>
        <v>mom</v>
      </c>
      <c r="CO7" s="7" t="str">
        <f t="shared" si="2"/>
        <v>mom</v>
      </c>
      <c r="CP7" s="7" t="str">
        <f t="shared" si="2"/>
        <v>bm</v>
      </c>
      <c r="CQ7" s="7" t="str">
        <f t="shared" si="2"/>
        <v>bm</v>
      </c>
      <c r="CR7" s="7" t="str">
        <f t="shared" si="2"/>
        <v>bm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size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bm</v>
      </c>
      <c r="DC7" s="7" t="str">
        <f t="shared" si="3"/>
        <v>mom</v>
      </c>
      <c r="DD7" s="7" t="str">
        <f t="shared" si="3"/>
        <v>bm</v>
      </c>
      <c r="DE7" s="7" t="str">
        <f t="shared" si="3"/>
        <v>mom</v>
      </c>
      <c r="DF7" s="7" t="str">
        <f t="shared" si="3"/>
        <v>size</v>
      </c>
      <c r="DG7" s="7" t="str">
        <f t="shared" si="3"/>
        <v>bm</v>
      </c>
      <c r="DH7" s="7" t="str">
        <f t="shared" si="3"/>
        <v>bm</v>
      </c>
      <c r="DI7" s="7" t="str">
        <f t="shared" si="3"/>
        <v>mom</v>
      </c>
      <c r="DJ7" s="7" t="str">
        <f t="shared" si="3"/>
        <v>size</v>
      </c>
      <c r="DK7" s="7" t="str">
        <f t="shared" si="3"/>
        <v>bm</v>
      </c>
      <c r="DL7" s="7" t="str">
        <f t="shared" si="3"/>
        <v>mom</v>
      </c>
      <c r="DM7" s="7" t="str">
        <f t="shared" si="3"/>
        <v>bm</v>
      </c>
      <c r="DN7" s="7" t="str">
        <f t="shared" si="3"/>
        <v>size</v>
      </c>
      <c r="DO7" s="7" t="str">
        <f t="shared" si="3"/>
        <v>size</v>
      </c>
      <c r="DP7" s="7" t="str">
        <f t="shared" si="3"/>
        <v>size</v>
      </c>
      <c r="DQ7" s="7" t="str">
        <f t="shared" si="3"/>
        <v>size</v>
      </c>
      <c r="DR7" s="7" t="str">
        <f t="shared" si="3"/>
        <v>size</v>
      </c>
      <c r="DS7" s="7" t="str">
        <f t="shared" si="3"/>
        <v>size</v>
      </c>
      <c r="DT7" s="7" t="str">
        <f t="shared" si="3"/>
        <v>bm</v>
      </c>
      <c r="DU7" s="7" t="str">
        <f t="shared" si="3"/>
        <v>bm</v>
      </c>
      <c r="DV7" s="7" t="str">
        <f t="shared" si="3"/>
        <v>bm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size</v>
      </c>
      <c r="EC7" s="7" t="str">
        <f t="shared" si="4"/>
        <v>mom</v>
      </c>
      <c r="ED7" s="7" t="str">
        <f t="shared" si="4"/>
        <v>bm</v>
      </c>
      <c r="EE7" s="7" t="str">
        <f t="shared" si="4"/>
        <v>size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4.0547288954257972E-2</v>
      </c>
      <c r="D8" s="7">
        <f t="shared" si="5"/>
        <v>-4.8252779990434647E-2</v>
      </c>
      <c r="E8" s="7">
        <f t="shared" si="5"/>
        <v>-5.1652342081069953E-2</v>
      </c>
      <c r="F8" s="7">
        <f t="shared" si="5"/>
        <v>-5.4286114871501923E-2</v>
      </c>
      <c r="G8" s="7">
        <f t="shared" si="5"/>
        <v>-5.7552006095647812E-2</v>
      </c>
      <c r="H8" s="7">
        <f t="shared" si="5"/>
        <v>-7.6259449124336243E-2</v>
      </c>
      <c r="I8" s="7">
        <f t="shared" si="5"/>
        <v>-0.107886478304863</v>
      </c>
      <c r="J8" s="7">
        <f t="shared" si="5"/>
        <v>-3.2917611300945282E-2</v>
      </c>
      <c r="K8" s="7">
        <f t="shared" si="5"/>
        <v>-5.9229228645563133E-2</v>
      </c>
      <c r="L8" s="7">
        <f t="shared" si="5"/>
        <v>-0.1078036949038506</v>
      </c>
      <c r="M8" s="7">
        <f t="shared" si="5"/>
        <v>3.4981705248355872E-2</v>
      </c>
      <c r="N8" s="7">
        <f t="shared" si="5"/>
        <v>-0.1346741318702698</v>
      </c>
      <c r="O8" s="7">
        <f t="shared" si="5"/>
        <v>-6.7216232419013977E-2</v>
      </c>
      <c r="P8" s="7">
        <f t="shared" si="5"/>
        <v>9.211605042219162E-2</v>
      </c>
      <c r="Q8" s="7">
        <f t="shared" si="5"/>
        <v>-8.6447760462760925E-2</v>
      </c>
      <c r="R8" s="7">
        <f t="shared" si="5"/>
        <v>-7.7407129108905792E-2</v>
      </c>
      <c r="S8" s="7">
        <f t="shared" si="5"/>
        <v>-8.372652530670166E-2</v>
      </c>
      <c r="T8" s="7">
        <f t="shared" si="5"/>
        <v>-5.9324655681848533E-2</v>
      </c>
      <c r="U8" s="7">
        <f t="shared" si="5"/>
        <v>-0.10543976724147799</v>
      </c>
      <c r="V8" s="7">
        <f t="shared" si="5"/>
        <v>6.5072879195213318E-2</v>
      </c>
      <c r="W8" s="7">
        <f t="shared" si="5"/>
        <v>8.2305394113063812E-2</v>
      </c>
      <c r="X8" s="7">
        <f t="shared" si="5"/>
        <v>-9.8803862929344177E-2</v>
      </c>
      <c r="Y8" s="7">
        <f t="shared" si="5"/>
        <v>0.16213490068912509</v>
      </c>
      <c r="Z8" s="7">
        <f t="shared" si="5"/>
        <v>-6.800408661365509E-2</v>
      </c>
      <c r="AA8" s="7">
        <f t="shared" si="5"/>
        <v>-8.6181230843067169E-2</v>
      </c>
      <c r="AB8" s="7">
        <f t="shared" si="5"/>
        <v>-8.889392763376236E-2</v>
      </c>
      <c r="AC8" s="7">
        <f t="shared" si="5"/>
        <v>2.934014052152634E-2</v>
      </c>
      <c r="AD8" s="7">
        <f t="shared" si="5"/>
        <v>6.3448823988437653E-2</v>
      </c>
      <c r="AE8" s="7">
        <f t="shared" si="5"/>
        <v>-5.9580553323030472E-2</v>
      </c>
      <c r="AF8" s="7">
        <f t="shared" si="5"/>
        <v>6.4355872571468353E-2</v>
      </c>
      <c r="AG8" s="7">
        <f t="shared" si="5"/>
        <v>6.0781430453062057E-2</v>
      </c>
      <c r="AH8" s="7">
        <f t="shared" si="5"/>
        <v>2.907080203294754E-2</v>
      </c>
      <c r="AI8" s="7">
        <f t="shared" ref="AI8:BN8" si="6">IF(AI6=1,AI3,IF(AI6=2,AI4,IF(AI6=3,AI5)))</f>
        <v>4.2393732815980911E-2</v>
      </c>
      <c r="AJ8" s="7">
        <f t="shared" si="6"/>
        <v>4.4545106589794159E-2</v>
      </c>
      <c r="AK8" s="7">
        <f t="shared" si="6"/>
        <v>0.104340173304081</v>
      </c>
      <c r="AL8" s="7">
        <f t="shared" si="6"/>
        <v>2.3477694019675251E-2</v>
      </c>
      <c r="AM8" s="7">
        <f t="shared" si="6"/>
        <v>4.9679871648550027E-2</v>
      </c>
      <c r="AN8" s="7">
        <f t="shared" si="6"/>
        <v>4.7137059271335602E-2</v>
      </c>
      <c r="AO8" s="7">
        <f t="shared" si="6"/>
        <v>-2.9745671898126599E-2</v>
      </c>
      <c r="AP8" s="7">
        <f t="shared" si="6"/>
        <v>-2.683783695101738E-2</v>
      </c>
      <c r="AQ8" s="7">
        <f t="shared" si="6"/>
        <v>-2.169711887836456E-2</v>
      </c>
      <c r="AR8" s="7">
        <f t="shared" si="6"/>
        <v>5.4104723036289222E-2</v>
      </c>
      <c r="AS8" s="7">
        <f t="shared" si="6"/>
        <v>-2.6926254853606221E-2</v>
      </c>
      <c r="AT8" s="7">
        <f t="shared" si="6"/>
        <v>6.6039755940437317E-2</v>
      </c>
      <c r="AU8" s="7">
        <f t="shared" si="6"/>
        <v>6.2266789376735687E-2</v>
      </c>
      <c r="AV8" s="7">
        <f t="shared" si="6"/>
        <v>5.7940512895584113E-2</v>
      </c>
      <c r="AW8" s="7">
        <f t="shared" si="6"/>
        <v>0.1063941121101379</v>
      </c>
      <c r="AX8" s="7">
        <f t="shared" si="6"/>
        <v>2.7402361854910851E-2</v>
      </c>
      <c r="AY8" s="7">
        <f t="shared" si="6"/>
        <v>3.636043518781662E-2</v>
      </c>
      <c r="AZ8" s="7">
        <f t="shared" si="6"/>
        <v>8.6036309599876404E-2</v>
      </c>
      <c r="BA8" s="7">
        <f t="shared" si="6"/>
        <v>0.10234846919775011</v>
      </c>
      <c r="BB8" s="7">
        <f t="shared" si="6"/>
        <v>-7.6676465570926666E-2</v>
      </c>
      <c r="BC8" s="7">
        <f t="shared" si="6"/>
        <v>5.3017329424619668E-2</v>
      </c>
      <c r="BD8" s="7">
        <f t="shared" si="6"/>
        <v>7.7497914433479309E-2</v>
      </c>
      <c r="BE8" s="7">
        <f t="shared" si="6"/>
        <v>-6.8554230034351349E-2</v>
      </c>
      <c r="BF8" s="7">
        <f t="shared" si="6"/>
        <v>-8.2745306193828583E-2</v>
      </c>
      <c r="BG8" s="7">
        <f t="shared" si="6"/>
        <v>-0.1204242408275604</v>
      </c>
      <c r="BH8" s="7">
        <f t="shared" si="6"/>
        <v>-0.10103762894868849</v>
      </c>
      <c r="BI8" s="7">
        <f t="shared" si="6"/>
        <v>5.5158428847789757E-2</v>
      </c>
      <c r="BJ8" s="7">
        <f t="shared" si="6"/>
        <v>8.664897084236145E-2</v>
      </c>
      <c r="BK8" s="7">
        <f t="shared" si="6"/>
        <v>-0.14447127282619479</v>
      </c>
      <c r="BL8" s="7">
        <f t="shared" si="6"/>
        <v>-0.1120113208889961</v>
      </c>
      <c r="BM8" s="7">
        <f t="shared" si="6"/>
        <v>-3.4826010465621948E-2</v>
      </c>
      <c r="BN8" s="7">
        <f t="shared" si="6"/>
        <v>-8.5986465215682983E-2</v>
      </c>
      <c r="BO8" s="7">
        <f t="shared" ref="BO8:CT8" si="7">IF(BO6=1,BO3,IF(BO6=2,BO4,IF(BO6=3,BO5)))</f>
        <v>-7.0973977446556091E-2</v>
      </c>
      <c r="BP8" s="7">
        <f t="shared" si="7"/>
        <v>8.6037963628768921E-2</v>
      </c>
      <c r="BQ8" s="7">
        <f t="shared" si="7"/>
        <v>0.144142210483551</v>
      </c>
      <c r="BR8" s="7">
        <f t="shared" si="7"/>
        <v>3.9869185537099838E-2</v>
      </c>
      <c r="BS8" s="7">
        <f t="shared" si="7"/>
        <v>8.1880234181880951E-2</v>
      </c>
      <c r="BT8" s="7">
        <f t="shared" si="7"/>
        <v>-6.8826571106910706E-2</v>
      </c>
      <c r="BU8" s="7">
        <f t="shared" si="7"/>
        <v>0.10545723885297779</v>
      </c>
      <c r="BV8" s="7">
        <f t="shared" si="7"/>
        <v>0.1175376549363136</v>
      </c>
      <c r="BW8" s="7">
        <f t="shared" si="7"/>
        <v>9.2942401766777039E-2</v>
      </c>
      <c r="BX8" s="7">
        <f t="shared" si="7"/>
        <v>3.5637497901916497E-2</v>
      </c>
      <c r="BY8" s="7">
        <f t="shared" si="7"/>
        <v>-6.1186797916889191E-2</v>
      </c>
      <c r="BZ8" s="7">
        <f t="shared" si="7"/>
        <v>9.8455093801021576E-2</v>
      </c>
      <c r="CA8" s="7">
        <f t="shared" si="7"/>
        <v>-7.2609454393386841E-2</v>
      </c>
      <c r="CB8" s="7">
        <f t="shared" si="7"/>
        <v>-8.8862821459770203E-2</v>
      </c>
      <c r="CC8" s="7">
        <f t="shared" si="7"/>
        <v>-6.5672166645526886E-2</v>
      </c>
      <c r="CD8" s="7">
        <f t="shared" si="7"/>
        <v>-7.0492014288902283E-2</v>
      </c>
      <c r="CE8" s="7">
        <f t="shared" si="7"/>
        <v>-8.9266888797283173E-2</v>
      </c>
      <c r="CF8" s="7">
        <f t="shared" si="7"/>
        <v>2.643934823572636E-2</v>
      </c>
      <c r="CG8" s="7">
        <f t="shared" si="7"/>
        <v>-3.8807325065135963E-2</v>
      </c>
      <c r="CH8" s="7">
        <f t="shared" si="7"/>
        <v>5.8184977620840073E-2</v>
      </c>
      <c r="CI8" s="7">
        <f t="shared" si="7"/>
        <v>-2.3996761068701741E-2</v>
      </c>
      <c r="CJ8" s="7">
        <f t="shared" si="7"/>
        <v>-8.0891326069831848E-2</v>
      </c>
      <c r="CK8" s="7">
        <f t="shared" si="7"/>
        <v>7.3738843202590942E-2</v>
      </c>
      <c r="CL8" s="7">
        <f t="shared" si="7"/>
        <v>6.7692369222640991E-2</v>
      </c>
      <c r="CM8" s="7">
        <f t="shared" si="7"/>
        <v>-4.3408293277025223E-2</v>
      </c>
      <c r="CN8" s="7">
        <f t="shared" si="7"/>
        <v>-4.8494711518287659E-2</v>
      </c>
      <c r="CO8" s="7">
        <f t="shared" si="7"/>
        <v>-3.4412361681461327E-2</v>
      </c>
      <c r="CP8" s="7">
        <f t="shared" si="7"/>
        <v>-5.2108332514762878E-2</v>
      </c>
      <c r="CQ8" s="7">
        <f t="shared" si="7"/>
        <v>-7.2693914175033569E-2</v>
      </c>
      <c r="CR8" s="7">
        <f t="shared" si="7"/>
        <v>-6.0804408043622971E-2</v>
      </c>
      <c r="CS8" s="7">
        <f t="shared" si="7"/>
        <v>-3.7506073713302612E-2</v>
      </c>
      <c r="CT8" s="7">
        <f t="shared" si="7"/>
        <v>-6.339031457901001E-2</v>
      </c>
      <c r="CU8" s="7">
        <f t="shared" ref="CU8:DZ8" si="8">IF(CU6=1,CU3,IF(CU6=2,CU4,IF(CU6=3,CU5)))</f>
        <v>-6.1079829931259162E-2</v>
      </c>
      <c r="CV8" s="7">
        <f t="shared" si="8"/>
        <v>-2.170033194124699E-2</v>
      </c>
      <c r="CW8" s="7">
        <f t="shared" si="8"/>
        <v>-6.0720678418874741E-2</v>
      </c>
      <c r="CX8" s="7">
        <f t="shared" si="8"/>
        <v>-7.7818602323532104E-2</v>
      </c>
      <c r="CY8" s="7">
        <f t="shared" si="8"/>
        <v>-4.5480586588382721E-2</v>
      </c>
      <c r="CZ8" s="7">
        <f t="shared" si="8"/>
        <v>-6.9138072431087494E-2</v>
      </c>
      <c r="DA8" s="7">
        <f t="shared" si="8"/>
        <v>-8.9778468012809753E-2</v>
      </c>
      <c r="DB8" s="7">
        <f t="shared" si="8"/>
        <v>-6.527487188577652E-2</v>
      </c>
      <c r="DC8" s="7">
        <f t="shared" si="8"/>
        <v>4.6531397849321372E-2</v>
      </c>
      <c r="DD8" s="7">
        <f t="shared" si="8"/>
        <v>-5.9340178966522217E-2</v>
      </c>
      <c r="DE8" s="7">
        <f t="shared" si="8"/>
        <v>6.0277972370386117E-2</v>
      </c>
      <c r="DF8" s="7">
        <f t="shared" si="8"/>
        <v>3.3347133547067642E-2</v>
      </c>
      <c r="DG8" s="7">
        <f t="shared" si="8"/>
        <v>-2.4713881313800808E-2</v>
      </c>
      <c r="DH8" s="7">
        <f t="shared" si="8"/>
        <v>-3.5376153886318207E-2</v>
      </c>
      <c r="DI8" s="7">
        <f t="shared" si="8"/>
        <v>-4.1918892413377762E-2</v>
      </c>
      <c r="DJ8" s="7">
        <f t="shared" si="8"/>
        <v>1.416372787207365E-2</v>
      </c>
      <c r="DK8" s="7">
        <f t="shared" si="8"/>
        <v>-4.8771854490041733E-2</v>
      </c>
      <c r="DL8" s="7">
        <f t="shared" si="8"/>
        <v>2.8391024097800251E-2</v>
      </c>
      <c r="DM8" s="7">
        <f t="shared" si="8"/>
        <v>-4.967803880572319E-2</v>
      </c>
      <c r="DN8" s="7">
        <f t="shared" si="8"/>
        <v>-1.9859654828906059E-2</v>
      </c>
      <c r="DO8" s="7">
        <f t="shared" si="8"/>
        <v>-3.856055811047554E-2</v>
      </c>
      <c r="DP8" s="7">
        <f t="shared" si="8"/>
        <v>5.259593203663826E-2</v>
      </c>
      <c r="DQ8" s="7">
        <f t="shared" si="8"/>
        <v>5.0834372639656067E-2</v>
      </c>
      <c r="DR8" s="7">
        <f t="shared" si="8"/>
        <v>3.4424390643835068E-2</v>
      </c>
      <c r="DS8" s="7">
        <f t="shared" si="8"/>
        <v>2.6739172637462619E-2</v>
      </c>
      <c r="DT8" s="7">
        <f t="shared" si="8"/>
        <v>-5.3663063794374473E-2</v>
      </c>
      <c r="DU8" s="7">
        <f t="shared" si="8"/>
        <v>-4.4161681085824973E-2</v>
      </c>
      <c r="DV8" s="7">
        <f t="shared" si="8"/>
        <v>-2.3813089355826381E-2</v>
      </c>
      <c r="DW8" s="7">
        <f t="shared" si="8"/>
        <v>2.5176366791129109E-2</v>
      </c>
      <c r="DX8" s="7">
        <f t="shared" si="8"/>
        <v>-4.4376425445079803E-2</v>
      </c>
      <c r="DY8" s="7">
        <f t="shared" si="8"/>
        <v>-3.3609867095947273E-2</v>
      </c>
      <c r="DZ8" s="7">
        <f t="shared" si="8"/>
        <v>-4.8759568482637412E-2</v>
      </c>
      <c r="EA8" s="7">
        <f t="shared" ref="EA8:EG8" si="9">IF(EA6=1,EA3,IF(EA6=2,EA4,IF(EA6=3,EA5)))</f>
        <v>2.0058911293745041E-2</v>
      </c>
      <c r="EB8" s="7">
        <f t="shared" si="9"/>
        <v>5.2505847066640847E-2</v>
      </c>
      <c r="EC8" s="7">
        <f t="shared" si="9"/>
        <v>4.229099303483963E-2</v>
      </c>
      <c r="ED8" s="7">
        <f t="shared" si="9"/>
        <v>-5.2812475711107247E-2</v>
      </c>
      <c r="EE8" s="7">
        <f t="shared" si="9"/>
        <v>1.6591379418969151E-2</v>
      </c>
      <c r="EF8" s="7">
        <f t="shared" si="9"/>
        <v>-6.9071874022483826E-2</v>
      </c>
      <c r="EG8" s="1">
        <f t="shared" si="9"/>
        <v>0</v>
      </c>
    </row>
    <row r="10" spans="1:137" x14ac:dyDescent="0.3">
      <c r="A10" s="13" t="s">
        <v>141</v>
      </c>
      <c r="B10" s="14"/>
      <c r="C10" s="1" t="s">
        <v>142</v>
      </c>
      <c r="D10" s="2">
        <v>964</v>
      </c>
    </row>
    <row r="11" spans="1:137" x14ac:dyDescent="0.3">
      <c r="A11" s="1" t="s">
        <v>149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96</v>
      </c>
      <c r="B12" s="1" t="s">
        <v>150</v>
      </c>
      <c r="C12" s="7">
        <v>4.7013508994228799E-2</v>
      </c>
      <c r="D12" s="7">
        <f>C12+預測IC!D12</f>
        <v>6.1692060492104871E-2</v>
      </c>
      <c r="E12" s="7">
        <f>D12+預測IC!E12</f>
        <v>6.0298335951238423E-2</v>
      </c>
      <c r="F12" s="7">
        <f>E12+預測IC!F12</f>
        <v>0.11625772073569715</v>
      </c>
      <c r="G12" s="7">
        <f>F12+預測IC!G12</f>
        <v>8.431027221706669E-2</v>
      </c>
      <c r="H12" s="7">
        <f>G12+預測IC!H12</f>
        <v>9.3909530573666272E-2</v>
      </c>
      <c r="I12" s="7">
        <f>H12+預測IC!I12</f>
        <v>0.10256768283701077</v>
      </c>
      <c r="J12" s="7">
        <f>I12+預測IC!J12</f>
        <v>9.517788918108197E-2</v>
      </c>
      <c r="K12" s="7">
        <f>J12+預測IC!K12</f>
        <v>6.5989891047382787E-2</v>
      </c>
      <c r="L12" s="7">
        <f>K12+預測IC!L12</f>
        <v>7.4748447011549021E-2</v>
      </c>
      <c r="M12" s="7">
        <f>L12+預測IC!M12</f>
        <v>4.7859273178342071E-2</v>
      </c>
      <c r="N12" s="7">
        <f>M12+預測IC!N12</f>
        <v>1.3155918934879253E-2</v>
      </c>
      <c r="O12" s="7">
        <f>N12+預測IC!O12</f>
        <v>4.1070678002119637E-2</v>
      </c>
      <c r="P12" s="7">
        <f>O12+預測IC!P12</f>
        <v>4.0816349893962524E-2</v>
      </c>
      <c r="Q12" s="7">
        <f>P12+預測IC!Q12</f>
        <v>4.5932033267926567E-2</v>
      </c>
      <c r="R12" s="7">
        <f>Q12+預測IC!R12</f>
        <v>3.277854460738798E-2</v>
      </c>
      <c r="S12" s="7">
        <f>R12+預測IC!S12</f>
        <v>4.3833574380727186E-2</v>
      </c>
      <c r="T12" s="7">
        <f>S12+預測IC!T12</f>
        <v>-4.0341419647975107E-3</v>
      </c>
      <c r="U12" s="7">
        <f>T12+預測IC!U12</f>
        <v>-5.3906650485784913E-3</v>
      </c>
      <c r="V12" s="7">
        <f>U12+預測IC!V12</f>
        <v>4.1202886050697302E-3</v>
      </c>
      <c r="W12" s="7">
        <f>V12+預測IC!W12</f>
        <v>-2.42973742530934E-2</v>
      </c>
      <c r="X12" s="7">
        <f>W12+預測IC!X12</f>
        <v>8.5343377094242001E-2</v>
      </c>
      <c r="Y12" s="7">
        <f>X12+預測IC!Y12</f>
        <v>6.4744983566550729E-2</v>
      </c>
      <c r="Z12" s="7">
        <f>Y12+預測IC!Z12</f>
        <v>1.1592896589689851E-2</v>
      </c>
      <c r="AA12" s="7">
        <f>Z12+預測IC!AA12</f>
        <v>-1.5325582831121769E-2</v>
      </c>
      <c r="AB12" s="7">
        <f>AA12+預測IC!AB12</f>
        <v>-4.5922532269829994E-3</v>
      </c>
      <c r="AC12" s="7">
        <f>AB12+預測IC!AC12</f>
        <v>4.218069239932825E-2</v>
      </c>
      <c r="AD12" s="7">
        <f>AC12+預測IC!AD12</f>
        <v>3.9650262568104729E-2</v>
      </c>
      <c r="AE12" s="7">
        <f>AD12+預測IC!AE12</f>
        <v>1.7526390358741581E-3</v>
      </c>
      <c r="AF12" s="7">
        <f>AE12+預測IC!AF12</f>
        <v>-5.0259463740893524E-2</v>
      </c>
      <c r="AG12" s="7">
        <f>AF12+預測IC!AG12</f>
        <v>-4.6444533320083678E-2</v>
      </c>
      <c r="AH12" s="7">
        <f>AG12+預測IC!AH12</f>
        <v>-6.215756708936454E-2</v>
      </c>
      <c r="AI12" s="7">
        <f>AH12+預測IC!AI12</f>
        <v>-5.3363774597102967E-2</v>
      </c>
      <c r="AJ12" s="7">
        <f>AI12+預測IC!AJ12</f>
        <v>-3.4640478264168766E-2</v>
      </c>
      <c r="AK12" s="7">
        <f>AJ12+預測IC!AK12</f>
        <v>-1.8165110040033086E-2</v>
      </c>
      <c r="AL12" s="7">
        <f>AK12+預測IC!AL12</f>
        <v>-6.596559999211038E-2</v>
      </c>
      <c r="AM12" s="7">
        <f>AL12+預測IC!AM12</f>
        <v>-8.2672351998397703E-2</v>
      </c>
      <c r="AN12" s="7">
        <f>AM12+預測IC!AN12</f>
        <v>-0.10931798080084232</v>
      </c>
      <c r="AO12" s="7">
        <f>AN12+預測IC!AO12</f>
        <v>-9.4322509957715003E-2</v>
      </c>
      <c r="AP12" s="7">
        <f>AO12+預測IC!AP12</f>
        <v>-8.7942140460816637E-2</v>
      </c>
      <c r="AQ12" s="7">
        <f>AP12+預測IC!AQ12</f>
        <v>-8.9639071038346077E-2</v>
      </c>
      <c r="AR12" s="7">
        <f>AQ12+預測IC!AR12</f>
        <v>-6.7416045050753909E-2</v>
      </c>
      <c r="AS12" s="7">
        <f>AR12+預測IC!AS12</f>
        <v>-8.7392317961125121E-2</v>
      </c>
      <c r="AT12" s="7">
        <f>AS12+預測IC!AT12</f>
        <v>-0.15958770031356023</v>
      </c>
      <c r="AU12" s="7">
        <f>AT12+預測IC!AU12</f>
        <v>-0.15587416387351563</v>
      </c>
      <c r="AV12" s="7">
        <f>AU12+預測IC!AV12</f>
        <v>-0.20958979453023535</v>
      </c>
      <c r="AW12" s="7">
        <f>AV12+預測IC!AW12</f>
        <v>-0.22675949929363842</v>
      </c>
      <c r="AX12" s="7">
        <f>AW12+預測IC!AX12</f>
        <v>-0.27145551126653628</v>
      </c>
      <c r="AY12" s="7">
        <f>AX12+預測IC!AY12</f>
        <v>-0.2889468329255438</v>
      </c>
      <c r="AZ12" s="7">
        <f>AY12+預測IC!AZ12</f>
        <v>-0.31256138609084444</v>
      </c>
      <c r="BA12" s="7">
        <f>AZ12+預測IC!BA12</f>
        <v>-0.33899571596790601</v>
      </c>
      <c r="BB12" s="7">
        <f>BA12+預測IC!BB12</f>
        <v>-0.30995906139826424</v>
      </c>
      <c r="BC12" s="7">
        <f>BB12+預測IC!BC12</f>
        <v>-0.28326809510592671</v>
      </c>
      <c r="BD12" s="7">
        <f>BC12+預測IC!BD12</f>
        <v>-0.27504651496446519</v>
      </c>
      <c r="BE12" s="7">
        <f>BD12+預測IC!BE12</f>
        <v>-0.31041506010698394</v>
      </c>
      <c r="BF12" s="7">
        <f>BE12+預測IC!BF12</f>
        <v>-0.24262270762378382</v>
      </c>
      <c r="BG12" s="7">
        <f>BF12+預測IC!BG12</f>
        <v>-0.20895184518252102</v>
      </c>
      <c r="BH12" s="7">
        <f>BG12+預測IC!BH12</f>
        <v>-0.23387399047139448</v>
      </c>
      <c r="BI12" s="7">
        <f>BH12+預測IC!BI12</f>
        <v>-0.19011792609154987</v>
      </c>
      <c r="BJ12" s="7">
        <f>BI12+預測IC!BJ12</f>
        <v>-0.21478105226666924</v>
      </c>
      <c r="BK12" s="7">
        <f>BJ12+預測IC!BK12</f>
        <v>-0.21543843576170382</v>
      </c>
      <c r="BL12" s="7">
        <f>BK12+預測IC!BL12</f>
        <v>-0.24756753406219795</v>
      </c>
      <c r="BM12" s="7">
        <f>BL12+預測IC!BM12</f>
        <v>-0.2978732185855224</v>
      </c>
      <c r="BN12" s="7">
        <f>BM12+預測IC!BN12</f>
        <v>-0.30944918575846303</v>
      </c>
      <c r="BO12" s="7">
        <f>BN12+預測IC!BO12</f>
        <v>-0.3119432221572746</v>
      </c>
      <c r="BP12" s="7">
        <f>BO12+預測IC!BP12</f>
        <v>-0.3383651794914419</v>
      </c>
      <c r="BQ12" s="7">
        <f>BP12+預測IC!BQ12</f>
        <v>-0.35708068839619622</v>
      </c>
      <c r="BR12" s="7">
        <f>BQ12+預測IC!BR12</f>
        <v>-0.42577430354330947</v>
      </c>
      <c r="BS12" s="7">
        <f>BR12+預測IC!BS12</f>
        <v>-0.45841715843170217</v>
      </c>
      <c r="BT12" s="7">
        <f>BS12+預測IC!BT12</f>
        <v>-0.44205237511727674</v>
      </c>
      <c r="BU12" s="7">
        <f>BT12+預測IC!BU12</f>
        <v>-0.43327085797718029</v>
      </c>
      <c r="BV12" s="7">
        <f>BU12+預測IC!BV12</f>
        <v>-0.39098846889125027</v>
      </c>
      <c r="BW12" s="7">
        <f>BV12+預測IC!BW12</f>
        <v>-0.34651146499960006</v>
      </c>
      <c r="BX12" s="7">
        <f>BW12+預測IC!BX12</f>
        <v>-0.33952631114146081</v>
      </c>
      <c r="BY12" s="7">
        <f>BX12+預測IC!BY12</f>
        <v>-0.28059639478389675</v>
      </c>
      <c r="BZ12" s="7">
        <f>BY12+預測IC!BZ12</f>
        <v>-0.31297512071638145</v>
      </c>
      <c r="CA12" s="7">
        <f>BZ12+預測IC!CA12</f>
        <v>-0.31237143228188219</v>
      </c>
      <c r="CB12" s="7">
        <f>CA12+預測IC!CB12</f>
        <v>-0.33954529507491388</v>
      </c>
      <c r="CC12" s="7">
        <f>CB12+預測IC!CC12</f>
        <v>-0.35631625946902412</v>
      </c>
      <c r="CD12" s="7">
        <f>CC12+預測IC!CD12</f>
        <v>-0.2453826258845716</v>
      </c>
      <c r="CE12" s="7">
        <f>CD12+預測IC!CE12</f>
        <v>-0.29619916491358927</v>
      </c>
      <c r="CF12" s="7">
        <f>CE12+預測IC!CF12</f>
        <v>-0.30422043942751931</v>
      </c>
      <c r="CG12" s="7">
        <f>CF12+預測IC!CG12</f>
        <v>-0.3534983993905999</v>
      </c>
      <c r="CH12" s="7">
        <f>CG12+預測IC!CH12</f>
        <v>-0.33703528701181407</v>
      </c>
      <c r="CI12" s="7">
        <f>CH12+預測IC!CI12</f>
        <v>-0.30143725611070826</v>
      </c>
      <c r="CJ12" s="7">
        <f>CI12+預測IC!CJ12</f>
        <v>-0.35555732302490328</v>
      </c>
      <c r="CK12" s="7">
        <f>CJ12+預測IC!CK12</f>
        <v>-0.41165876367269344</v>
      </c>
      <c r="CL12" s="7">
        <f>CK12+預測IC!CL12</f>
        <v>-0.49009904395871434</v>
      </c>
      <c r="CM12" s="7">
        <f>CL12+預測IC!CM12</f>
        <v>-0.46374509312054502</v>
      </c>
      <c r="CN12" s="7">
        <f>CM12+預測IC!CN12</f>
        <v>-0.38527988910973865</v>
      </c>
      <c r="CO12" s="7">
        <f>CN12+預測IC!CO12</f>
        <v>-0.41009967436495126</v>
      </c>
      <c r="CP12" s="7">
        <f>CO12+預測IC!CP12</f>
        <v>-0.41110469640064312</v>
      </c>
      <c r="CQ12" s="7">
        <f>CP12+預測IC!CQ12</f>
        <v>-0.34842034939706834</v>
      </c>
      <c r="CR12" s="7">
        <f>CQ12+預測IC!CR12</f>
        <v>-0.30027372410976666</v>
      </c>
      <c r="CS12" s="7">
        <f>CR12+預測IC!CS12</f>
        <v>-0.30125229770461931</v>
      </c>
      <c r="CT12" s="7">
        <f>CS12+預測IC!CT12</f>
        <v>-0.29192323447464241</v>
      </c>
      <c r="CU12" s="7">
        <f>CT12+預測IC!CU12</f>
        <v>-0.21714370519328569</v>
      </c>
      <c r="CV12" s="7">
        <f>CU12+預測IC!CV12</f>
        <v>-0.28217701168897447</v>
      </c>
      <c r="CW12" s="7">
        <f>CV12+預測IC!CW12</f>
        <v>-0.27662908694444222</v>
      </c>
      <c r="CX12" s="7">
        <f>CW12+預測IC!CX12</f>
        <v>-0.30738172521190521</v>
      </c>
      <c r="CY12" s="7">
        <f>CX12+預測IC!CY12</f>
        <v>-0.29096112896409959</v>
      </c>
      <c r="CZ12" s="7">
        <f>CY12+預測IC!CZ12</f>
        <v>-0.27863686690418299</v>
      </c>
      <c r="DA12" s="7">
        <f>CZ12+預測IC!DA12</f>
        <v>-0.27303308283382244</v>
      </c>
      <c r="DB12" s="7">
        <f>DA12+預測IC!DB12</f>
        <v>-0.30861836547772586</v>
      </c>
      <c r="DC12" s="7">
        <f>DB12+預測IC!DC12</f>
        <v>-0.30411700168518441</v>
      </c>
      <c r="DD12" s="7">
        <f>DC12+預測IC!DD12</f>
        <v>-0.3740775474195277</v>
      </c>
      <c r="DE12" s="7">
        <f>DD12+預測IC!DE12</f>
        <v>-0.34933990300443268</v>
      </c>
      <c r="DF12" s="7">
        <f>DE12+預測IC!DF12</f>
        <v>-0.29385416892235972</v>
      </c>
      <c r="DG12" s="7">
        <f>DF12+預測IC!DG12</f>
        <v>-0.24645974729253539</v>
      </c>
      <c r="DH12" s="7">
        <f>DG12+預測IC!DH12</f>
        <v>-0.27726290247939195</v>
      </c>
      <c r="DI12" s="7">
        <f>DH12+預測IC!DI12</f>
        <v>-0.30724215703689162</v>
      </c>
      <c r="DJ12" s="7">
        <f>DI12+預測IC!DJ12</f>
        <v>-0.26586411410122007</v>
      </c>
      <c r="DK12" s="7">
        <f>DJ12+預測IC!DK12</f>
        <v>-0.26693531272980076</v>
      </c>
      <c r="DL12" s="7">
        <f>DK12+預測IC!DL12</f>
        <v>-0.28560514606360382</v>
      </c>
      <c r="DM12" s="7">
        <f>DL12+預測IC!DM12</f>
        <v>-0.27646165273007467</v>
      </c>
      <c r="DN12" s="7">
        <f>DM12+預測IC!DN12</f>
        <v>-0.29500309618868709</v>
      </c>
      <c r="DO12" s="7">
        <f>DN12+預測IC!DO12</f>
        <v>-0.3140338244565849</v>
      </c>
      <c r="DP12" s="7">
        <f>DO12+預測IC!DP12</f>
        <v>-0.37344251901324532</v>
      </c>
      <c r="DQ12" s="7">
        <f>DP12+預測IC!DQ12</f>
        <v>-0.29890187153277259</v>
      </c>
      <c r="DR12" s="7">
        <f>DQ12+預測IC!DR12</f>
        <v>-0.28012292825338569</v>
      </c>
      <c r="DS12" s="7">
        <f>DR12+預測IC!DS12</f>
        <v>-0.32614720725851043</v>
      </c>
      <c r="DT12" s="7">
        <f>DS12+預測IC!DT12</f>
        <v>-0.30133336569592373</v>
      </c>
      <c r="DU12" s="7">
        <f>DT12+預測IC!DU12</f>
        <v>-0.25554622372145674</v>
      </c>
      <c r="DV12" s="7">
        <f>DU12+預測IC!DV12</f>
        <v>-0.27229766523527732</v>
      </c>
      <c r="DW12" s="7">
        <f>DV12+預測IC!DW12</f>
        <v>-0.27022145352266191</v>
      </c>
      <c r="DX12" s="7">
        <f>DW12+預測IC!DX12</f>
        <v>-0.2521223167443285</v>
      </c>
      <c r="DY12" s="7">
        <f>DX12+預測IC!DY12</f>
        <v>-0.31485053883909841</v>
      </c>
      <c r="DZ12" s="7">
        <f>DY12+預測IC!DZ12</f>
        <v>-0.2948116487155093</v>
      </c>
      <c r="EA12" s="7">
        <f>DZ12+預測IC!EA12</f>
        <v>-0.18168460696637229</v>
      </c>
      <c r="EB12" s="7">
        <f>EA12+預測IC!EB12</f>
        <v>-0.15115883014853063</v>
      </c>
      <c r="EC12" s="7">
        <f>EB12+預測IC!EC12</f>
        <v>-0.12450732056886532</v>
      </c>
      <c r="ED12" s="7">
        <f>EC12+預測IC!ED12</f>
        <v>-0.18501547337734947</v>
      </c>
      <c r="EE12" s="7">
        <f>ED12+預測IC!EE12</f>
        <v>-0.21323175364515284</v>
      </c>
      <c r="EF12" s="7">
        <f>EE12+預測IC!EF12</f>
        <v>-0.24504261191938331</v>
      </c>
    </row>
    <row r="13" spans="1:137" x14ac:dyDescent="0.3">
      <c r="A13" s="1">
        <v>48</v>
      </c>
      <c r="B13" s="1" t="s">
        <v>151</v>
      </c>
      <c r="C13" s="7">
        <v>4.2506117601795589E-2</v>
      </c>
      <c r="D13" s="7">
        <f>C13+預測IC!D13</f>
        <v>3.7049257613003782E-2</v>
      </c>
      <c r="E13" s="7">
        <f>D13+預測IC!E13</f>
        <v>3.1525630909717439E-2</v>
      </c>
      <c r="F13" s="7">
        <f>E13+預測IC!F13</f>
        <v>9.1512157602640407E-2</v>
      </c>
      <c r="G13" s="7">
        <f>F13+預測IC!G13</f>
        <v>7.9464753302534469E-2</v>
      </c>
      <c r="H13" s="7">
        <f>G13+預測IC!H13</f>
        <v>9.6853140330033463E-2</v>
      </c>
      <c r="I13" s="7">
        <f>H13+預測IC!I13</f>
        <v>6.4567148646167596E-2</v>
      </c>
      <c r="J13" s="7">
        <f>I13+預測IC!J13</f>
        <v>4.1566739993595905E-2</v>
      </c>
      <c r="K13" s="7">
        <f>J13+預測IC!K13</f>
        <v>-1.8759399233974232E-2</v>
      </c>
      <c r="L13" s="7">
        <f>K13+預測IC!L13</f>
        <v>3.2210711447485489E-3</v>
      </c>
      <c r="M13" s="7">
        <f>L13+預測IC!M13</f>
        <v>-5.8687081256168002E-5</v>
      </c>
      <c r="N13" s="7">
        <f>M13+預測IC!N13</f>
        <v>-4.3451104546952959E-2</v>
      </c>
      <c r="O13" s="7">
        <f>N13+預測IC!O13</f>
        <v>-2.602840573600302E-2</v>
      </c>
      <c r="P13" s="7">
        <f>O13+預測IC!P13</f>
        <v>-3.2306053396735965E-2</v>
      </c>
      <c r="Q13" s="7">
        <f>P13+預測IC!Q13</f>
        <v>-4.9762437893098664E-2</v>
      </c>
      <c r="R13" s="7">
        <f>Q13+預測IC!R13</f>
        <v>-6.627314897592862E-2</v>
      </c>
      <c r="S13" s="7">
        <f>R13+預測IC!S13</f>
        <v>-7.2286951982970887E-2</v>
      </c>
      <c r="T13" s="7">
        <f>S13+預測IC!T13</f>
        <v>-0.14652103349469348</v>
      </c>
      <c r="U13" s="7">
        <f>T13+預測IC!U13</f>
        <v>-0.11775970290413915</v>
      </c>
      <c r="V13" s="7">
        <f>U13+預測IC!V13</f>
        <v>-0.11554306300108519</v>
      </c>
      <c r="W13" s="7">
        <f>V13+預測IC!W13</f>
        <v>-0.14651196707256806</v>
      </c>
      <c r="X13" s="7">
        <f>W13+預測IC!X13</f>
        <v>-2.5384196219829958E-2</v>
      </c>
      <c r="Y13" s="7">
        <f>X13+預測IC!Y13</f>
        <v>-1.8700837493284522E-2</v>
      </c>
      <c r="Z13" s="7">
        <f>Y13+預測IC!Z13</f>
        <v>-9.9952239614520072E-2</v>
      </c>
      <c r="AA13" s="7">
        <f>Z13+預測IC!AA13</f>
        <v>-0.14766488806477826</v>
      </c>
      <c r="AB13" s="7">
        <f>AA13+預測IC!AB13</f>
        <v>-0.13266331473579976</v>
      </c>
      <c r="AC13" s="7">
        <f>AB13+預測IC!AC13</f>
        <v>-6.5891614353869921E-2</v>
      </c>
      <c r="AD13" s="7">
        <f>AC13+預測IC!AD13</f>
        <v>-8.6331842727662353E-2</v>
      </c>
      <c r="AE13" s="7">
        <f>AD13+預測IC!AE13</f>
        <v>-0.12884905418345352</v>
      </c>
      <c r="AF13" s="7">
        <f>AE13+預測IC!AF13</f>
        <v>-0.2021302150117647</v>
      </c>
      <c r="AG13" s="7">
        <f>AF13+預測IC!AG13</f>
        <v>-0.2120354227388388</v>
      </c>
      <c r="AH13" s="7">
        <f>AG13+預測IC!AH13</f>
        <v>-0.23699062928870568</v>
      </c>
      <c r="AI13" s="7">
        <f>AH13+預測IC!AI13</f>
        <v>-0.21834458290873965</v>
      </c>
      <c r="AJ13" s="7">
        <f>AI13+預測IC!AJ13</f>
        <v>-0.2166371320701207</v>
      </c>
      <c r="AK13" s="7">
        <f>AJ13+預測IC!AK13</f>
        <v>-0.17827774178724862</v>
      </c>
      <c r="AL13" s="7">
        <f>AK13+預測IC!AL13</f>
        <v>-0.22753662658179868</v>
      </c>
      <c r="AM13" s="7">
        <f>AL13+預測IC!AM13</f>
        <v>-0.21310252046770967</v>
      </c>
      <c r="AN13" s="7">
        <f>AM13+預測IC!AN13</f>
        <v>-0.24308018098763201</v>
      </c>
      <c r="AO13" s="7">
        <f>AN13+預測IC!AO13</f>
        <v>-0.2447890276762674</v>
      </c>
      <c r="AP13" s="7">
        <f>AO13+預測IC!AP13</f>
        <v>-0.24689973480299365</v>
      </c>
      <c r="AQ13" s="7">
        <f>AP13+預測IC!AQ13</f>
        <v>-0.24923980896251013</v>
      </c>
      <c r="AR13" s="7">
        <f>AQ13+預測IC!AR13</f>
        <v>-0.22839176516778631</v>
      </c>
      <c r="AS13" s="7">
        <f>AR13+預測IC!AS13</f>
        <v>-0.25179672870938363</v>
      </c>
      <c r="AT13" s="7">
        <f>AS13+預測IC!AT13</f>
        <v>-0.33821964343698308</v>
      </c>
      <c r="AU13" s="7">
        <f>AT13+預測IC!AU13</f>
        <v>-0.35391506186345556</v>
      </c>
      <c r="AV13" s="7">
        <f>AU13+預測IC!AV13</f>
        <v>-0.43358103751192567</v>
      </c>
      <c r="AW13" s="7">
        <f>AV13+預測IC!AW13</f>
        <v>-0.46040227548230661</v>
      </c>
      <c r="AX13" s="7">
        <f>AW13+預測IC!AX13</f>
        <v>-0.49320210761816241</v>
      </c>
      <c r="AY13" s="7">
        <f>AX13+預測IC!AY13</f>
        <v>-0.50746431152530114</v>
      </c>
      <c r="AZ13" s="7">
        <f>AY13+預測IC!AZ13</f>
        <v>-0.53868484761907121</v>
      </c>
      <c r="BA13" s="7">
        <f>AZ13+預測IC!BA13</f>
        <v>-0.56487312166971382</v>
      </c>
      <c r="BB13" s="7">
        <f>BA13+預測IC!BB13</f>
        <v>-0.54232572069493479</v>
      </c>
      <c r="BC13" s="7">
        <f>BB13+預測IC!BC13</f>
        <v>-0.52321485342009266</v>
      </c>
      <c r="BD13" s="7">
        <f>BC13+預測IC!BD13</f>
        <v>-0.512252540243753</v>
      </c>
      <c r="BE13" s="7">
        <f>BD13+預測IC!BE13</f>
        <v>-0.55602632962953613</v>
      </c>
      <c r="BF13" s="7">
        <f>BE13+預測IC!BF13</f>
        <v>-0.47209691432203937</v>
      </c>
      <c r="BG13" s="7">
        <f>BF13+預測IC!BG13</f>
        <v>-0.42553045198332773</v>
      </c>
      <c r="BH13" s="7">
        <f>BG13+預測IC!BH13</f>
        <v>-0.45947470657069106</v>
      </c>
      <c r="BI13" s="7">
        <f>BH13+預測IC!BI13</f>
        <v>-0.43787314746775813</v>
      </c>
      <c r="BJ13" s="7">
        <f>BI13+預測IC!BJ13</f>
        <v>-0.46213923508086702</v>
      </c>
      <c r="BK13" s="7">
        <f>BJ13+預測IC!BK13</f>
        <v>-0.47101763099695837</v>
      </c>
      <c r="BL13" s="7">
        <f>BK13+預測IC!BL13</f>
        <v>-0.50547767144540923</v>
      </c>
      <c r="BM13" s="7">
        <f>BL13+預測IC!BM13</f>
        <v>-0.5588494401405999</v>
      </c>
      <c r="BN13" s="7">
        <f>BM13+預測IC!BN13</f>
        <v>-0.59440215355300718</v>
      </c>
      <c r="BO13" s="7">
        <f>BN13+預測IC!BO13</f>
        <v>-0.59889455855000284</v>
      </c>
      <c r="BP13" s="7">
        <f>BO13+預測IC!BP13</f>
        <v>-0.60684570496777746</v>
      </c>
      <c r="BQ13" s="7">
        <f>BP13+預測IC!BQ13</f>
        <v>-0.6056948857423754</v>
      </c>
      <c r="BR13" s="7">
        <f>BQ13+預測IC!BR13</f>
        <v>-0.68552634256570832</v>
      </c>
      <c r="BS13" s="7">
        <f>BR13+預測IC!BS13</f>
        <v>-0.72570685692712522</v>
      </c>
      <c r="BT13" s="7">
        <f>BS13+預測IC!BT13</f>
        <v>-0.72518578525132227</v>
      </c>
      <c r="BU13" s="7">
        <f>BT13+預測IC!BU13</f>
        <v>-0.70747923021476855</v>
      </c>
      <c r="BV13" s="7">
        <f>BU13+預測IC!BV13</f>
        <v>-0.62754839611371105</v>
      </c>
      <c r="BW13" s="7">
        <f>BV13+預測IC!BW13</f>
        <v>-0.55183439047703153</v>
      </c>
      <c r="BX13" s="7">
        <f>BW13+預測IC!BX13</f>
        <v>-0.55108875167102145</v>
      </c>
      <c r="BY13" s="7">
        <f>BX13+預測IC!BY13</f>
        <v>-0.51188679509588009</v>
      </c>
      <c r="BZ13" s="7">
        <f>BY13+預測IC!BZ13</f>
        <v>-0.57786352502122329</v>
      </c>
      <c r="CA13" s="7">
        <f>BZ13+預測IC!CA13</f>
        <v>-0.56684253963037168</v>
      </c>
      <c r="CB13" s="7">
        <f>CA13+預測IC!CB13</f>
        <v>-0.59285991915306657</v>
      </c>
      <c r="CC13" s="7">
        <f>CB13+預測IC!CC13</f>
        <v>-0.60539083136569993</v>
      </c>
      <c r="CD13" s="7">
        <f>CC13+預測IC!CD13</f>
        <v>-0.50030499847337251</v>
      </c>
      <c r="CE13" s="7">
        <f>CD13+預測IC!CE13</f>
        <v>-0.57974286826057508</v>
      </c>
      <c r="CF13" s="7">
        <f>CE13+預測IC!CF13</f>
        <v>-0.56769920124551576</v>
      </c>
      <c r="CG13" s="7">
        <f>CF13+預測IC!CG13</f>
        <v>-0.62571416905275512</v>
      </c>
      <c r="CH13" s="7">
        <f>CG13+預測IC!CH13</f>
        <v>-0.62168466299454483</v>
      </c>
      <c r="CI13" s="7">
        <f>CH13+預測IC!CI13</f>
        <v>-0.607151359761265</v>
      </c>
      <c r="CJ13" s="7">
        <f>CI13+預測IC!CJ13</f>
        <v>-0.66196154044010502</v>
      </c>
      <c r="CK13" s="7">
        <f>CJ13+預測IC!CK13</f>
        <v>-0.72764866670690243</v>
      </c>
      <c r="CL13" s="7">
        <f>CK13+預測IC!CL13</f>
        <v>-0.80037284186012103</v>
      </c>
      <c r="CM13" s="7">
        <f>CL13+預測IC!CM13</f>
        <v>-0.78636210708724241</v>
      </c>
      <c r="CN13" s="7">
        <f>CM13+預測IC!CN13</f>
        <v>-0.68536794043904814</v>
      </c>
      <c r="CO13" s="7">
        <f>CN13+預測IC!CO13</f>
        <v>-0.72070228451970553</v>
      </c>
      <c r="CP13" s="7">
        <f>CO13+預測IC!CP13</f>
        <v>-0.70012528877957603</v>
      </c>
      <c r="CQ13" s="7">
        <f>CP13+預測IC!CQ13</f>
        <v>-0.62894642381117216</v>
      </c>
      <c r="CR13" s="7">
        <f>CQ13+預測IC!CR13</f>
        <v>-0.56456577507375993</v>
      </c>
      <c r="CS13" s="7">
        <f>CR13+預測IC!CS13</f>
        <v>-0.57413342873889528</v>
      </c>
      <c r="CT13" s="7">
        <f>CS13+預測IC!CT13</f>
        <v>-0.57454196885451159</v>
      </c>
      <c r="CU13" s="7">
        <f>CT13+預測IC!CU13</f>
        <v>-0.46745100714087429</v>
      </c>
      <c r="CV13" s="7">
        <f>CU13+預測IC!CV13</f>
        <v>-0.5451070583978469</v>
      </c>
      <c r="CW13" s="7">
        <f>CV13+預測IC!CW13</f>
        <v>-0.53913002754160078</v>
      </c>
      <c r="CX13" s="7">
        <f>CW13+預測IC!CX13</f>
        <v>-0.5697128690212907</v>
      </c>
      <c r="CY13" s="7">
        <f>CX13+預測IC!CY13</f>
        <v>-0.5285111171371939</v>
      </c>
      <c r="CZ13" s="7">
        <f>CY13+預測IC!CZ13</f>
        <v>-0.52361290097712865</v>
      </c>
      <c r="DA13" s="7">
        <f>CZ13+預測IC!DA13</f>
        <v>-0.52919657790295005</v>
      </c>
      <c r="DB13" s="7">
        <f>DA13+預測IC!DB13</f>
        <v>-0.59055276314022154</v>
      </c>
      <c r="DC13" s="7">
        <f>DB13+預測IC!DC13</f>
        <v>-0.57640289631292729</v>
      </c>
      <c r="DD13" s="7">
        <f>DC13+預測IC!DD13</f>
        <v>-0.64537995523731073</v>
      </c>
      <c r="DE13" s="7">
        <f>DD13+預測IC!DE13</f>
        <v>-0.62293795880807468</v>
      </c>
      <c r="DF13" s="7">
        <f>DE13+預測IC!DF13</f>
        <v>-0.53981577174004425</v>
      </c>
      <c r="DG13" s="7">
        <f>DF13+預測IC!DG13</f>
        <v>-0.46848001152512464</v>
      </c>
      <c r="DH13" s="7">
        <f>DG13+預測IC!DH13</f>
        <v>-0.50728652846541289</v>
      </c>
      <c r="DI13" s="7">
        <f>DH13+預測IC!DI13</f>
        <v>-0.53685694809984108</v>
      </c>
      <c r="DJ13" s="7">
        <f>DI13+預測IC!DJ13</f>
        <v>-0.52983582448428312</v>
      </c>
      <c r="DK13" s="7">
        <f>DJ13+預測IC!DK13</f>
        <v>-0.50643493258869288</v>
      </c>
      <c r="DL13" s="7">
        <f>DK13+預測IC!DL13</f>
        <v>-0.52848562326678106</v>
      </c>
      <c r="DM13" s="7">
        <f>DL13+預測IC!DM13</f>
        <v>-0.54014151768230123</v>
      </c>
      <c r="DN13" s="7">
        <f>DM13+預測IC!DN13</f>
        <v>-0.55291740716850446</v>
      </c>
      <c r="DO13" s="7">
        <f>DN13+預測IC!DO13</f>
        <v>-0.5972425465907073</v>
      </c>
      <c r="DP13" s="7">
        <f>DO13+預測IC!DP13</f>
        <v>-0.65527485548140896</v>
      </c>
      <c r="DQ13" s="7">
        <f>DP13+預測IC!DQ13</f>
        <v>-0.5681458440888385</v>
      </c>
      <c r="DR13" s="7">
        <f>DQ13+預測IC!DR13</f>
        <v>-0.5543746348165266</v>
      </c>
      <c r="DS13" s="7">
        <f>DR13+預測IC!DS13</f>
        <v>-0.58428982870785373</v>
      </c>
      <c r="DT13" s="7">
        <f>DS13+預測IC!DT13</f>
        <v>-0.55444401954685041</v>
      </c>
      <c r="DU13" s="7">
        <f>DT13+預測IC!DU13</f>
        <v>-0.5307451657656489</v>
      </c>
      <c r="DV13" s="7">
        <f>DU13+預測IC!DV13</f>
        <v>-0.54059797052789693</v>
      </c>
      <c r="DW13" s="7">
        <f>DV13+預測IC!DW13</f>
        <v>-0.5274997414859216</v>
      </c>
      <c r="DX13" s="7">
        <f>DW13+預測IC!DX13</f>
        <v>-0.50427013193695547</v>
      </c>
      <c r="DY13" s="7">
        <f>DX13+預測IC!DY13</f>
        <v>-0.51377475674083295</v>
      </c>
      <c r="DZ13" s="7">
        <f>DY13+預測IC!DZ13</f>
        <v>-0.48348950526589168</v>
      </c>
      <c r="EA13" s="7">
        <f>DZ13+預測IC!EA13</f>
        <v>-0.3590205471168208</v>
      </c>
      <c r="EB13" s="7">
        <f>EA13+預測IC!EB13</f>
        <v>-0.30181525436843171</v>
      </c>
      <c r="EC13" s="7">
        <f>EB13+預測IC!EC13</f>
        <v>-0.26015550093320278</v>
      </c>
      <c r="ED13" s="7">
        <f>EC13+預測IC!ED13</f>
        <v>-0.32583759459243772</v>
      </c>
      <c r="EE13" s="7">
        <f>ED13+預測IC!EE13</f>
        <v>-0.36170507449325784</v>
      </c>
      <c r="EF13" s="7">
        <f>EE13+預測IC!EF13</f>
        <v>-0.40958433998556604</v>
      </c>
    </row>
    <row r="14" spans="1:137" x14ac:dyDescent="0.3">
      <c r="A14" s="1">
        <v>19</v>
      </c>
      <c r="B14" s="1" t="s">
        <v>152</v>
      </c>
      <c r="C14" s="7">
        <v>-3.7017512404591897E-2</v>
      </c>
      <c r="D14" s="7">
        <f>C14+預測IC!D14</f>
        <v>-0.1786611611572175</v>
      </c>
      <c r="E14" s="7">
        <f>D14+預測IC!E14</f>
        <v>-0.22658190717048673</v>
      </c>
      <c r="F14" s="7">
        <f>E14+預測IC!F14</f>
        <v>-0.16624000226445418</v>
      </c>
      <c r="G14" s="7">
        <f>F14+預測IC!G14</f>
        <v>-0.21989663270723486</v>
      </c>
      <c r="H14" s="7">
        <f>G14+預測IC!H14</f>
        <v>-0.23140489356935845</v>
      </c>
      <c r="I14" s="7">
        <f>H14+預測IC!I14</f>
        <v>-0.2615050288562939</v>
      </c>
      <c r="J14" s="7">
        <f>I14+預測IC!J14</f>
        <v>-0.30673660288869731</v>
      </c>
      <c r="K14" s="7">
        <f>J14+預測IC!K14</f>
        <v>-0.35756406914954525</v>
      </c>
      <c r="L14" s="7">
        <f>K14+預測IC!L14</f>
        <v>-0.30129298417330974</v>
      </c>
      <c r="M14" s="7">
        <f>L14+預測IC!M14</f>
        <v>-0.28227126970832578</v>
      </c>
      <c r="N14" s="7">
        <f>M14+預測IC!N14</f>
        <v>-0.33964069636534783</v>
      </c>
      <c r="O14" s="7">
        <f>N14+預測IC!O14</f>
        <v>-0.33814628842679928</v>
      </c>
      <c r="P14" s="7">
        <f>O14+預測IC!P14</f>
        <v>-0.33160486746864887</v>
      </c>
      <c r="Q14" s="7">
        <f>P14+預測IC!Q14</f>
        <v>-0.4109025250502133</v>
      </c>
      <c r="R14" s="7">
        <f>Q14+預測IC!R14</f>
        <v>-0.39314021642103475</v>
      </c>
      <c r="S14" s="7">
        <f>R14+預測IC!S14</f>
        <v>-0.41794696251380253</v>
      </c>
      <c r="T14" s="7">
        <f>S14+預測IC!T14</f>
        <v>-0.45296651734820259</v>
      </c>
      <c r="U14" s="7">
        <f>T14+預測IC!U14</f>
        <v>-0.42241034801780192</v>
      </c>
      <c r="V14" s="7">
        <f>U14+預測IC!V14</f>
        <v>-0.47483164817668699</v>
      </c>
      <c r="W14" s="7">
        <f>V14+預測IC!W14</f>
        <v>-0.5226266509102071</v>
      </c>
      <c r="X14" s="7">
        <f>W14+預測IC!X14</f>
        <v>-0.33594095529986023</v>
      </c>
      <c r="Y14" s="7">
        <f>X14+預測IC!Y14</f>
        <v>-0.28074996388763851</v>
      </c>
      <c r="Z14" s="7">
        <f>Y14+預測IC!Z14</f>
        <v>-0.3974539955590673</v>
      </c>
      <c r="AA14" s="7">
        <f>Z14+預測IC!AA14</f>
        <v>-0.49735987505639206</v>
      </c>
      <c r="AB14" s="7">
        <f>AA14+預測IC!AB14</f>
        <v>-0.47002389645083792</v>
      </c>
      <c r="AC14" s="7">
        <f>AB14+預測IC!AC14</f>
        <v>-0.47311045878962721</v>
      </c>
      <c r="AD14" s="7">
        <f>AC14+預測IC!AD14</f>
        <v>-0.54298505052476931</v>
      </c>
      <c r="AE14" s="7">
        <f>AD14+預測IC!AE14</f>
        <v>-0.64939712277244688</v>
      </c>
      <c r="AF14" s="7">
        <f>AE14+預測IC!AF14</f>
        <v>-0.74547721822908053</v>
      </c>
      <c r="AG14" s="7">
        <f>AF14+預測IC!AG14</f>
        <v>-0.77080651324003358</v>
      </c>
      <c r="AH14" s="7">
        <f>AG14+預測IC!AH14</f>
        <v>-0.85175869766383516</v>
      </c>
      <c r="AI14" s="7">
        <f>AH14+預測IC!AI14</f>
        <v>-0.88722134156244703</v>
      </c>
      <c r="AJ14" s="7">
        <f>AI14+預測IC!AJ14</f>
        <v>-0.91172691666353189</v>
      </c>
      <c r="AK14" s="7">
        <f>AJ14+預測IC!AK14</f>
        <v>-0.83425157764107782</v>
      </c>
      <c r="AL14" s="7">
        <f>AK14+預測IC!AL14</f>
        <v>-0.88548176060920736</v>
      </c>
      <c r="AM14" s="7">
        <f>AL14+預測IC!AM14</f>
        <v>-0.84301790467183357</v>
      </c>
      <c r="AN14" s="7">
        <f>AM14+預測IC!AN14</f>
        <v>-0.86215042789712015</v>
      </c>
      <c r="AO14" s="7">
        <f>AN14+預測IC!AO14</f>
        <v>-0.90019478043918144</v>
      </c>
      <c r="AP14" s="7">
        <f>AO14+預測IC!AP14</f>
        <v>-0.89184299880905926</v>
      </c>
      <c r="AQ14" s="7">
        <f>AP14+預測IC!AQ14</f>
        <v>-0.86210961831178157</v>
      </c>
      <c r="AR14" s="7">
        <f>AQ14+預測IC!AR14</f>
        <v>-0.85452692664434271</v>
      </c>
      <c r="AS14" s="7">
        <f>AR14+預測IC!AS14</f>
        <v>-0.84785758825465329</v>
      </c>
      <c r="AT14" s="7">
        <f>AS14+預測IC!AT14</f>
        <v>-0.92726106796529129</v>
      </c>
      <c r="AU14" s="7">
        <f>AT14+預測IC!AU14</f>
        <v>-0.98468268107942514</v>
      </c>
      <c r="AV14" s="7">
        <f>AU14+預測IC!AV14</f>
        <v>-1.0509414302956837</v>
      </c>
      <c r="AW14" s="7">
        <f>AV14+預測IC!AW14</f>
        <v>-1.1048701115251109</v>
      </c>
      <c r="AX14" s="7">
        <f>AW14+預測IC!AX14</f>
        <v>-1.1242403249006014</v>
      </c>
      <c r="AY14" s="7">
        <f>AX14+預測IC!AY14</f>
        <v>-1.1259308967256085</v>
      </c>
      <c r="AZ14" s="7">
        <f>AY14+預測IC!AZ14</f>
        <v>-1.1870014772068478</v>
      </c>
      <c r="BA14" s="7">
        <f>AZ14+預測IC!BA14</f>
        <v>-1.2538913087696963</v>
      </c>
      <c r="BB14" s="7">
        <f>BA14+預測IC!BB14</f>
        <v>-1.1435800598685759</v>
      </c>
      <c r="BC14" s="7">
        <f>BB14+預測IC!BC14</f>
        <v>-1.172085743367882</v>
      </c>
      <c r="BD14" s="7">
        <f>BC14+預測IC!BD14</f>
        <v>-1.1179960906816087</v>
      </c>
      <c r="BE14" s="7">
        <f>BD14+預測IC!BE14</f>
        <v>-1.1880778608309377</v>
      </c>
      <c r="BF14" s="7">
        <f>BE14+預測IC!BF14</f>
        <v>-1.147307339285248</v>
      </c>
      <c r="BG14" s="7">
        <f>BF14+預測IC!BG14</f>
        <v>-1.1059330752113152</v>
      </c>
      <c r="BH14" s="7">
        <f>BG14+預測IC!BH14</f>
        <v>-1.1996831594510375</v>
      </c>
      <c r="BI14" s="7">
        <f>BH14+預測IC!BI14</f>
        <v>-1.2407142273842695</v>
      </c>
      <c r="BJ14" s="7">
        <f>BI14+預測IC!BJ14</f>
        <v>-1.3093184229865722</v>
      </c>
      <c r="BK14" s="7">
        <f>BJ14+預測IC!BK14</f>
        <v>-1.3430098428573407</v>
      </c>
      <c r="BL14" s="7">
        <f>BK14+預測IC!BL14</f>
        <v>-1.4030067383847811</v>
      </c>
      <c r="BM14" s="7">
        <f>BL14+預測IC!BM14</f>
        <v>-1.4492850633877814</v>
      </c>
      <c r="BN14" s="7">
        <f>BM14+預測IC!BN14</f>
        <v>-1.4753730236633611</v>
      </c>
      <c r="BO14" s="7">
        <f>BN14+預測IC!BO14</f>
        <v>-1.4886112647182284</v>
      </c>
      <c r="BP14" s="7">
        <f>BO14+預測IC!BP14</f>
        <v>-1.438278981390483</v>
      </c>
      <c r="BQ14" s="7">
        <f>BP14+預測IC!BQ14</f>
        <v>-1.3873944991964025</v>
      </c>
      <c r="BR14" s="7">
        <f>BQ14+預測IC!BR14</f>
        <v>-1.4874469222717888</v>
      </c>
      <c r="BS14" s="7">
        <f>BR14+預測IC!BS14</f>
        <v>-1.5177796462585593</v>
      </c>
      <c r="BT14" s="7">
        <f>BS14+預測IC!BT14</f>
        <v>-1.5485061223843237</v>
      </c>
      <c r="BU14" s="7">
        <f>BT14+預測IC!BU14</f>
        <v>-1.5573609577423546</v>
      </c>
      <c r="BV14" s="7">
        <f>BU14+預測IC!BV14</f>
        <v>-1.4493793245423598</v>
      </c>
      <c r="BW14" s="7">
        <f>BV14+預測IC!BW14</f>
        <v>-1.3184818159851746</v>
      </c>
      <c r="BX14" s="7">
        <f>BW14+預測IC!BX14</f>
        <v>-1.3328171112624752</v>
      </c>
      <c r="BY14" s="7">
        <f>BX14+預測IC!BY14</f>
        <v>-1.3754216009158244</v>
      </c>
      <c r="BZ14" s="7">
        <f>BY14+預測IC!BZ14</f>
        <v>-1.4687962791648239</v>
      </c>
      <c r="CA14" s="7">
        <f>BZ14+預測IC!CA14</f>
        <v>-1.3722799545834408</v>
      </c>
      <c r="CB14" s="7">
        <f>CA14+預測IC!CB14</f>
        <v>-1.4317570148769805</v>
      </c>
      <c r="CC14" s="7">
        <f>CB14+預測IC!CC14</f>
        <v>-1.444551095662159</v>
      </c>
      <c r="CD14" s="7">
        <f>CC14+預測IC!CD14</f>
        <v>-1.3465343857299612</v>
      </c>
      <c r="CE14" s="7">
        <f>CD14+預測IC!CE14</f>
        <v>-1.460887494357056</v>
      </c>
      <c r="CF14" s="7">
        <f>CE14+預測IC!CF14</f>
        <v>-1.4180100842817391</v>
      </c>
      <c r="CG14" s="7">
        <f>CF14+預測IC!CG14</f>
        <v>-1.4753307479495597</v>
      </c>
      <c r="CH14" s="7">
        <f>CG14+預測IC!CH14</f>
        <v>-1.426451077493494</v>
      </c>
      <c r="CI14" s="7">
        <f>CH14+預測IC!CI14</f>
        <v>-1.4117494654820513</v>
      </c>
      <c r="CJ14" s="7">
        <f>CI14+預測IC!CJ14</f>
        <v>-1.4295455818311926</v>
      </c>
      <c r="CK14" s="7">
        <f>CJ14+預測IC!CK14</f>
        <v>-1.4833376683451855</v>
      </c>
      <c r="CL14" s="7">
        <f>CK14+預測IC!CL14</f>
        <v>-1.62068123879866</v>
      </c>
      <c r="CM14" s="7">
        <f>CL14+預測IC!CM14</f>
        <v>-1.6257783456764072</v>
      </c>
      <c r="CN14" s="7">
        <f>CM14+預測IC!CN14</f>
        <v>-1.45118267099135</v>
      </c>
      <c r="CO14" s="7">
        <f>CN14+預測IC!CO14</f>
        <v>-1.5299464297096741</v>
      </c>
      <c r="CP14" s="7">
        <f>CO14+預測IC!CP14</f>
        <v>-1.4362870719686323</v>
      </c>
      <c r="CQ14" s="7">
        <f>CP14+預測IC!CQ14</f>
        <v>-1.4040591720812445</v>
      </c>
      <c r="CR14" s="7">
        <f>CQ14+預測IC!CR14</f>
        <v>-1.3414185167047965</v>
      </c>
      <c r="CS14" s="7">
        <f>CR14+預測IC!CS14</f>
        <v>-1.3370058831715468</v>
      </c>
      <c r="CT14" s="7">
        <f>CS14+預測IC!CT14</f>
        <v>-1.3273439968894916</v>
      </c>
      <c r="CU14" s="7">
        <f>CT14+預測IC!CU14</f>
        <v>-1.2257989969327772</v>
      </c>
      <c r="CV14" s="7">
        <f>CU14+預測IC!CV14</f>
        <v>-1.3771958380904104</v>
      </c>
      <c r="CW14" s="7">
        <f>CV14+預測IC!CW14</f>
        <v>-1.380594220553881</v>
      </c>
      <c r="CX14" s="7">
        <f>CW14+預測IC!CX14</f>
        <v>-1.4712334479038047</v>
      </c>
      <c r="CY14" s="7">
        <f>CX14+預測IC!CY14</f>
        <v>-1.3748723177765207</v>
      </c>
      <c r="CZ14" s="7">
        <f>CY14+預測IC!CZ14</f>
        <v>-1.3645709181180974</v>
      </c>
      <c r="DA14" s="7">
        <f>CZ14+預測IC!DA14</f>
        <v>-1.3888752072886819</v>
      </c>
      <c r="DB14" s="7">
        <f>DA14+預測IC!DB14</f>
        <v>-1.4791142208454831</v>
      </c>
      <c r="DC14" s="7">
        <f>DB14+預測IC!DC14</f>
        <v>-1.4361156788652829</v>
      </c>
      <c r="DD14" s="7">
        <f>DC14+預測IC!DD14</f>
        <v>-1.5153210307134675</v>
      </c>
      <c r="DE14" s="7">
        <f>DD14+預測IC!DE14</f>
        <v>-1.4527941067070085</v>
      </c>
      <c r="DF14" s="7">
        <f>DE14+預測IC!DF14</f>
        <v>-1.2512312672398964</v>
      </c>
      <c r="DG14" s="7">
        <f>DF14+預測IC!DG14</f>
        <v>-1.1639064614813635</v>
      </c>
      <c r="DH14" s="7">
        <f>DG14+預測IC!DH14</f>
        <v>-1.1723197018490337</v>
      </c>
      <c r="DI14" s="7">
        <f>DH14+預測IC!DI14</f>
        <v>-1.2129788364846052</v>
      </c>
      <c r="DJ14" s="7">
        <f>DI14+預測IC!DJ14</f>
        <v>-1.2041848070972845</v>
      </c>
      <c r="DK14" s="7">
        <f>DJ14+預測IC!DK14</f>
        <v>-1.1267715228071482</v>
      </c>
      <c r="DL14" s="7">
        <f>DK14+預測IC!DL14</f>
        <v>-1.1675263946390473</v>
      </c>
      <c r="DM14" s="7">
        <f>DL14+預測IC!DM14</f>
        <v>-1.1999483113808262</v>
      </c>
      <c r="DN14" s="7">
        <f>DM14+預測IC!DN14</f>
        <v>-1.1550125707723307</v>
      </c>
      <c r="DO14" s="7">
        <f>DN14+預測IC!DO14</f>
        <v>-1.2253011197168622</v>
      </c>
      <c r="DP14" s="7">
        <f>DO14+預測IC!DP14</f>
        <v>-1.2882159277871625</v>
      </c>
      <c r="DQ14" s="7">
        <f>DP14+預測IC!DQ14</f>
        <v>-1.2170433632060296</v>
      </c>
      <c r="DR14" s="7">
        <f>DQ14+預測IC!DR14</f>
        <v>-1.16442084374703</v>
      </c>
      <c r="DS14" s="7">
        <f>DR14+預測IC!DS14</f>
        <v>-1.2538585981359973</v>
      </c>
      <c r="DT14" s="7">
        <f>DS14+預測IC!DT14</f>
        <v>-1.2461043077969145</v>
      </c>
      <c r="DU14" s="7">
        <f>DT14+預測IC!DU14</f>
        <v>-1.1271867212293414</v>
      </c>
      <c r="DV14" s="7">
        <f>DU14+預測IC!DV14</f>
        <v>-1.1723399451338243</v>
      </c>
      <c r="DW14" s="7">
        <f>DV14+預測IC!DW14</f>
        <v>-1.1412479757257812</v>
      </c>
      <c r="DX14" s="7">
        <f>DW14+預測IC!DX14</f>
        <v>-1.1135582783653826</v>
      </c>
      <c r="DY14" s="7">
        <f>DX14+預測IC!DY14</f>
        <v>-1.1612192649677238</v>
      </c>
      <c r="DZ14" s="7">
        <f>DY14+預測IC!DZ14</f>
        <v>-1.1395216757116069</v>
      </c>
      <c r="EA14" s="7">
        <f>DZ14+預測IC!EA14</f>
        <v>-1.0766089911388652</v>
      </c>
      <c r="EB14" s="7">
        <f>EA14+預測IC!EB14</f>
        <v>-0.99842916043860208</v>
      </c>
      <c r="EC14" s="7">
        <f>EB14+預測IC!EC14</f>
        <v>-0.99234977829046911</v>
      </c>
      <c r="ED14" s="7">
        <f>EC14+預測IC!ED14</f>
        <v>-1.0949794874766561</v>
      </c>
      <c r="EE14" s="7">
        <f>ED14+預測IC!EE14</f>
        <v>-1.1374852267780142</v>
      </c>
      <c r="EF14" s="7">
        <f>EE14+預測IC!EF14</f>
        <v>-1.2224366112544809</v>
      </c>
    </row>
    <row r="15" spans="1:137" x14ac:dyDescent="0.3">
      <c r="A15" s="1">
        <v>10</v>
      </c>
      <c r="B15" s="1" t="s">
        <v>153</v>
      </c>
      <c r="C15" s="7">
        <v>-9.6503141994516081E-2</v>
      </c>
      <c r="D15" s="7">
        <f>C15+預測IC!D15</f>
        <v>-0.36953801469014208</v>
      </c>
      <c r="E15" s="7">
        <f>D15+預測IC!E15</f>
        <v>-0.46488262016111254</v>
      </c>
      <c r="F15" s="7">
        <f>E15+預測IC!F15</f>
        <v>-0.49980405671780992</v>
      </c>
      <c r="G15" s="7">
        <f>F15+預測IC!G15</f>
        <v>-0.5342079776848464</v>
      </c>
      <c r="H15" s="7">
        <f>G15+預測IC!H15</f>
        <v>-0.53545170374295148</v>
      </c>
      <c r="I15" s="7">
        <f>H15+預測IC!I15</f>
        <v>-0.61474479439605212</v>
      </c>
      <c r="J15" s="7">
        <f>I15+預測IC!J15</f>
        <v>-0.67686600414602416</v>
      </c>
      <c r="K15" s="7">
        <f>J15+預測IC!K15</f>
        <v>-0.77138080173795509</v>
      </c>
      <c r="L15" s="7">
        <f>K15+預測IC!L15</f>
        <v>-0.69020974116930878</v>
      </c>
      <c r="M15" s="7">
        <f>L15+預測IC!M15</f>
        <v>-0.68807672473302106</v>
      </c>
      <c r="N15" s="7">
        <f>M15+預測IC!N15</f>
        <v>-0.79787291915815473</v>
      </c>
      <c r="O15" s="7">
        <f>N15+預測IC!O15</f>
        <v>-0.81014371491730741</v>
      </c>
      <c r="P15" s="7">
        <f>O15+預測IC!P15</f>
        <v>-0.78824714507208338</v>
      </c>
      <c r="Q15" s="7">
        <f>P15+預測IC!Q15</f>
        <v>-0.83414587651801497</v>
      </c>
      <c r="R15" s="7">
        <f>Q15+預測IC!R15</f>
        <v>-0.70745481780820119</v>
      </c>
      <c r="S15" s="7">
        <f>R15+預測IC!S15</f>
        <v>-0.62196692760226036</v>
      </c>
      <c r="T15" s="7">
        <f>S15+預測IC!T15</f>
        <v>-0.66785800471944456</v>
      </c>
      <c r="U15" s="7">
        <f>T15+預測IC!U15</f>
        <v>-0.58965861428163169</v>
      </c>
      <c r="V15" s="7">
        <f>U15+預測IC!V15</f>
        <v>-0.69978562061246763</v>
      </c>
      <c r="W15" s="7">
        <f>V15+預測IC!W15</f>
        <v>-0.75045704485745823</v>
      </c>
      <c r="X15" s="7">
        <f>W15+預測IC!X15</f>
        <v>-0.53927071752707656</v>
      </c>
      <c r="Y15" s="7">
        <f>X15+預測IC!Y15</f>
        <v>-0.48724191946993439</v>
      </c>
      <c r="Z15" s="7">
        <f>Y15+預測IC!Z15</f>
        <v>-0.54994603879837833</v>
      </c>
      <c r="AA15" s="7">
        <f>Z15+預測IC!AA15</f>
        <v>-0.71079642301144275</v>
      </c>
      <c r="AB15" s="7">
        <f>AA15+預測IC!AB15</f>
        <v>-0.68863002227050962</v>
      </c>
      <c r="AC15" s="7">
        <f>AB15+預測IC!AC15</f>
        <v>-0.68431235342245444</v>
      </c>
      <c r="AD15" s="7">
        <f>AC15+預測IC!AD15</f>
        <v>-0.76602572831063687</v>
      </c>
      <c r="AE15" s="7">
        <f>AD15+預測IC!AE15</f>
        <v>-0.86382341231958792</v>
      </c>
      <c r="AF15" s="7">
        <f>AE15+預測IC!AF15</f>
        <v>-1.0015496994972424</v>
      </c>
      <c r="AG15" s="7">
        <f>AF15+預測IC!AG15</f>
        <v>-1.0458742437123183</v>
      </c>
      <c r="AH15" s="7">
        <f>AG15+預測IC!AH15</f>
        <v>-1.178841608722041</v>
      </c>
      <c r="AI15" s="7">
        <f>AH15+預測IC!AI15</f>
        <v>-1.203690865854572</v>
      </c>
      <c r="AJ15" s="7">
        <f>AI15+預測IC!AJ15</f>
        <v>-1.2374087879737452</v>
      </c>
      <c r="AK15" s="7">
        <f>AJ15+預測IC!AK15</f>
        <v>-1.1680473367818287</v>
      </c>
      <c r="AL15" s="7">
        <f>AK15+預測IC!AL15</f>
        <v>-1.2004075105784902</v>
      </c>
      <c r="AM15" s="7">
        <f>AL15+預測IC!AM15</f>
        <v>-1.1317763034888715</v>
      </c>
      <c r="AN15" s="7">
        <f>AM15+預測IC!AN15</f>
        <v>-1.1672767637540733</v>
      </c>
      <c r="AO15" s="7">
        <f>AN15+預測IC!AO15</f>
        <v>-1.2186612839940407</v>
      </c>
      <c r="AP15" s="7">
        <f>AO15+預測IC!AP15</f>
        <v>-1.1281059089566126</v>
      </c>
      <c r="AQ15" s="7">
        <f>AP15+預測IC!AQ15</f>
        <v>-1.0916525895363773</v>
      </c>
      <c r="AR15" s="7">
        <f>AQ15+預測IC!AR15</f>
        <v>-1.0739187637771379</v>
      </c>
      <c r="AS15" s="7">
        <f>AR15+預測IC!AS15</f>
        <v>-1.0251855424230361</v>
      </c>
      <c r="AT15" s="7">
        <f>AS15+預測IC!AT15</f>
        <v>-1.096175355026741</v>
      </c>
      <c r="AU15" s="7">
        <f>AT15+預測IC!AU15</f>
        <v>-1.1733494322767029</v>
      </c>
      <c r="AV15" s="7">
        <f>AU15+預測IC!AV15</f>
        <v>-1.2106473609758133</v>
      </c>
      <c r="AW15" s="7">
        <f>AV15+預測IC!AW15</f>
        <v>-1.3023748337691641</v>
      </c>
      <c r="AX15" s="7">
        <f>AW15+預測IC!AX15</f>
        <v>-1.3837353997239321</v>
      </c>
      <c r="AY15" s="7">
        <f>AX15+預測IC!AY15</f>
        <v>-1.4127410590244238</v>
      </c>
      <c r="AZ15" s="7">
        <f>AY15+預測IC!AZ15</f>
        <v>-1.4805873881430742</v>
      </c>
      <c r="BA15" s="7">
        <f>AZ15+預測IC!BA15</f>
        <v>-1.4654356496492771</v>
      </c>
      <c r="BB15" s="7">
        <f>BA15+預測IC!BB15</f>
        <v>-1.2677225001449364</v>
      </c>
      <c r="BC15" s="7">
        <f>BB15+預測IC!BC15</f>
        <v>-1.2986591917672865</v>
      </c>
      <c r="BD15" s="7">
        <f>BC15+預測IC!BD15</f>
        <v>-1.2890117106270649</v>
      </c>
      <c r="BE15" s="7">
        <f>BD15+預測IC!BE15</f>
        <v>-1.330409681323973</v>
      </c>
      <c r="BF15" s="7">
        <f>BE15+預測IC!BF15</f>
        <v>-1.2827467018672207</v>
      </c>
      <c r="BG15" s="7">
        <f>BF15+預測IC!BG15</f>
        <v>-1.2802571631326556</v>
      </c>
      <c r="BH15" s="7">
        <f>BG15+預測IC!BH15</f>
        <v>-1.3349663892903956</v>
      </c>
      <c r="BI15" s="7">
        <f>BH15+預測IC!BI15</f>
        <v>-1.3561255036971351</v>
      </c>
      <c r="BJ15" s="7">
        <f>BI15+預測IC!BJ15</f>
        <v>-1.4862357587333046</v>
      </c>
      <c r="BK15" s="7">
        <f>BJ15+預測IC!BK15</f>
        <v>-1.4406308264328911</v>
      </c>
      <c r="BL15" s="7">
        <f>BK15+預測IC!BL15</f>
        <v>-1.500386247407212</v>
      </c>
      <c r="BM15" s="7">
        <f>BL15+預測IC!BM15</f>
        <v>-1.5486052518949562</v>
      </c>
      <c r="BN15" s="7">
        <f>BM15+預測IC!BN15</f>
        <v>-1.6123259793059679</v>
      </c>
      <c r="BO15" s="7">
        <f>BN15+預測IC!BO15</f>
        <v>-1.5427703652915987</v>
      </c>
      <c r="BP15" s="7">
        <f>BO15+預測IC!BP15</f>
        <v>-1.4911535108195342</v>
      </c>
      <c r="BQ15" s="7">
        <f>BP15+預測IC!BQ15</f>
        <v>-1.4477222573266384</v>
      </c>
      <c r="BR15" s="7">
        <f>BQ15+預測IC!BR15</f>
        <v>-1.5714843937630936</v>
      </c>
      <c r="BS15" s="7">
        <f>BR15+預測IC!BS15</f>
        <v>-1.5833503046717052</v>
      </c>
      <c r="BT15" s="7">
        <f>BS15+預測IC!BT15</f>
        <v>-1.6432012407635559</v>
      </c>
      <c r="BU15" s="7">
        <f>BT15+預測IC!BU15</f>
        <v>-1.6237248209677624</v>
      </c>
      <c r="BV15" s="7">
        <f>BU15+預測IC!BV15</f>
        <v>-1.5190847766740723</v>
      </c>
      <c r="BW15" s="7">
        <f>BV15+預測IC!BW15</f>
        <v>-1.2202057870981444</v>
      </c>
      <c r="BX15" s="7">
        <f>BW15+預測IC!BX15</f>
        <v>-1.2740573560426083</v>
      </c>
      <c r="BY15" s="7">
        <f>BX15+預測IC!BY15</f>
        <v>-1.4000809296196952</v>
      </c>
      <c r="BZ15" s="7">
        <f>BY15+預測IC!BZ15</f>
        <v>-1.6048009478193004</v>
      </c>
      <c r="CA15" s="7">
        <f>BZ15+預測IC!CA15</f>
        <v>-1.5118804140105067</v>
      </c>
      <c r="CB15" s="7">
        <f>CA15+預測IC!CB15</f>
        <v>-1.6045645195337441</v>
      </c>
      <c r="CC15" s="7">
        <f>CB15+預測IC!CC15</f>
        <v>-1.7568827845879056</v>
      </c>
      <c r="CD15" s="7">
        <f>CC15+預測IC!CD15</f>
        <v>-1.6367307006248213</v>
      </c>
      <c r="CE15" s="7">
        <f>CD15+預測IC!CE15</f>
        <v>-1.7342214457702561</v>
      </c>
      <c r="CF15" s="7">
        <f>CE15+預測IC!CF15</f>
        <v>-1.6928720159022885</v>
      </c>
      <c r="CG15" s="7">
        <f>CF15+預測IC!CG15</f>
        <v>-1.7787580374324523</v>
      </c>
      <c r="CH15" s="7">
        <f>CG15+預測IC!CH15</f>
        <v>-1.6974154294491242</v>
      </c>
      <c r="CI15" s="7">
        <f>CH15+預測IC!CI15</f>
        <v>-1.6999263682294565</v>
      </c>
      <c r="CJ15" s="7">
        <f>CI15+預測IC!CJ15</f>
        <v>-1.7405980851765177</v>
      </c>
      <c r="CK15" s="7">
        <f>CJ15+預測IC!CK15</f>
        <v>-1.836238833349223</v>
      </c>
      <c r="CL15" s="7">
        <f>CK15+預測IC!CL15</f>
        <v>-1.9978933063923996</v>
      </c>
      <c r="CM15" s="7">
        <f>CL15+預測IC!CM15</f>
        <v>-2.0445198421849984</v>
      </c>
      <c r="CN15" s="7">
        <f>CM15+預測IC!CN15</f>
        <v>-1.901370025213758</v>
      </c>
      <c r="CO15" s="7">
        <f>CN15+預測IC!CO15</f>
        <v>-2.0083492694133263</v>
      </c>
      <c r="CP15" s="7">
        <f>CO15+預測IC!CP15</f>
        <v>-1.8782505217395866</v>
      </c>
      <c r="CQ15" s="7">
        <f>CP15+預測IC!CQ15</f>
        <v>-1.9032138821960254</v>
      </c>
      <c r="CR15" s="7">
        <f>CQ15+預測IC!CR15</f>
        <v>-1.87883956349827</v>
      </c>
      <c r="CS15" s="7">
        <f>CR15+預測IC!CS15</f>
        <v>-1.8853226145973156</v>
      </c>
      <c r="CT15" s="7">
        <f>CS15+預測IC!CT15</f>
        <v>-1.8902642849629276</v>
      </c>
      <c r="CU15" s="7">
        <f>CT15+預測IC!CU15</f>
        <v>-1.7662143535490595</v>
      </c>
      <c r="CV15" s="7">
        <f>CU15+預測IC!CV15</f>
        <v>-1.9488259012659759</v>
      </c>
      <c r="CW15" s="7">
        <f>CV15+預測IC!CW15</f>
        <v>-1.9613105614464161</v>
      </c>
      <c r="CX15" s="7">
        <f>CW15+預測IC!CX15</f>
        <v>-2.1136983403379843</v>
      </c>
      <c r="CY15" s="7">
        <f>CX15+預測IC!CY15</f>
        <v>-2.0207504360026265</v>
      </c>
      <c r="CZ15" s="7">
        <f>CY15+預測IC!CZ15</f>
        <v>-1.9969871008621445</v>
      </c>
      <c r="DA15" s="7">
        <f>CZ15+預測IC!DA15</f>
        <v>-2.0233629363040211</v>
      </c>
      <c r="DB15" s="7">
        <f>DA15+預測IC!DB15</f>
        <v>-2.2330263383832367</v>
      </c>
      <c r="DC15" s="7">
        <f>DB15+預測IC!DC15</f>
        <v>-2.1653339064381107</v>
      </c>
      <c r="DD15" s="7">
        <f>DC15+預測IC!DD15</f>
        <v>-2.1798406325695572</v>
      </c>
      <c r="DE15" s="7">
        <f>DD15+預測IC!DE15</f>
        <v>-2.1226769978383047</v>
      </c>
      <c r="DF15" s="7">
        <f>DE15+預測IC!DF15</f>
        <v>-1.8199565481955224</v>
      </c>
      <c r="DG15" s="7">
        <f>DF15+預測IC!DG15</f>
        <v>-1.7068649853551627</v>
      </c>
      <c r="DH15" s="7">
        <f>DG15+預測IC!DH15</f>
        <v>-1.7059265705880762</v>
      </c>
      <c r="DI15" s="7">
        <f>DH15+預測IC!DI15</f>
        <v>-1.7600348892452065</v>
      </c>
      <c r="DJ15" s="7">
        <f>DI15+預測IC!DJ15</f>
        <v>-1.7000111125541493</v>
      </c>
      <c r="DK15" s="7">
        <f>DJ15+預測IC!DK15</f>
        <v>-1.6278225147483518</v>
      </c>
      <c r="DL15" s="7">
        <f>DK15+預測IC!DL15</f>
        <v>-1.6275185215455239</v>
      </c>
      <c r="DM15" s="7">
        <f>DL15+預測IC!DM15</f>
        <v>-1.6665706382391896</v>
      </c>
      <c r="DN15" s="7">
        <f>DM15+預測IC!DN15</f>
        <v>-1.5848399259880606</v>
      </c>
      <c r="DO15" s="7">
        <f>DN15+預測IC!DO15</f>
        <v>-1.6189443417371576</v>
      </c>
      <c r="DP15" s="7">
        <f>DO15+預測IC!DP15</f>
        <v>-1.753249289102524</v>
      </c>
      <c r="DQ15" s="7">
        <f>DP15+預測IC!DQ15</f>
        <v>-1.7162106001503266</v>
      </c>
      <c r="DR15" s="7">
        <f>DQ15+預測IC!DR15</f>
        <v>-1.6462000335323881</v>
      </c>
      <c r="DS15" s="7">
        <f>DR15+預測IC!DS15</f>
        <v>-1.6557715759911527</v>
      </c>
      <c r="DT15" s="7">
        <f>DS15+預測IC!DT15</f>
        <v>-1.6030527860020831</v>
      </c>
      <c r="DU15" s="7">
        <f>DT15+預測IC!DU15</f>
        <v>-1.4144121410996953</v>
      </c>
      <c r="DV15" s="7">
        <f>DU15+預測IC!DV15</f>
        <v>-1.461139870452935</v>
      </c>
      <c r="DW15" s="7">
        <f>DV15+預測IC!DW15</f>
        <v>-1.410691633869988</v>
      </c>
      <c r="DX15" s="7">
        <f>DW15+預測IC!DX15</f>
        <v>-1.389145963549508</v>
      </c>
      <c r="DY15" s="7">
        <f>DX15+預測IC!DY15</f>
        <v>-1.3054723288569692</v>
      </c>
      <c r="DZ15" s="7">
        <f>DY15+預測IC!DZ15</f>
        <v>-1.2688758310931652</v>
      </c>
      <c r="EA15" s="7">
        <f>DZ15+預測IC!EA15</f>
        <v>-1.2254246108128399</v>
      </c>
      <c r="EB15" s="7">
        <f>EA15+預測IC!EB15</f>
        <v>-1.1373371612855849</v>
      </c>
      <c r="EC15" s="7">
        <f>EB15+預測IC!EC15</f>
        <v>-1.0712553052376386</v>
      </c>
      <c r="ED15" s="7">
        <f>EC15+預測IC!ED15</f>
        <v>-1.18461236117295</v>
      </c>
      <c r="EE15" s="7">
        <f>ED15+預測IC!EE15</f>
        <v>-1.2339565411131095</v>
      </c>
      <c r="EF15" s="7">
        <f>EE15+預測IC!EF15</f>
        <v>-1.3936399802360759</v>
      </c>
    </row>
    <row r="16" spans="1:137" x14ac:dyDescent="0.3">
      <c r="A16" s="1">
        <v>9</v>
      </c>
      <c r="B16" s="1" t="s">
        <v>154</v>
      </c>
      <c r="C16" s="7">
        <v>-2.7383644610379052E-2</v>
      </c>
      <c r="D16" s="7">
        <f>C16+預測IC!D16</f>
        <v>-0.26172162157036816</v>
      </c>
      <c r="E16" s="7">
        <f>D16+預測IC!E16</f>
        <v>-0.34842579299892146</v>
      </c>
      <c r="F16" s="7">
        <f>E16+預測IC!F16</f>
        <v>-0.42714126490325244</v>
      </c>
      <c r="G16" s="7">
        <f>F16+預測IC!G16</f>
        <v>-0.4352878155622017</v>
      </c>
      <c r="H16" s="7">
        <f>G16+預測IC!H16</f>
        <v>-0.43593716501902474</v>
      </c>
      <c r="I16" s="7">
        <f>H16+預測IC!I16</f>
        <v>-0.5451551283552698</v>
      </c>
      <c r="J16" s="7">
        <f>I16+預測IC!J16</f>
        <v>-0.61825976749765421</v>
      </c>
      <c r="K16" s="7">
        <f>J16+預測IC!K16</f>
        <v>-0.70468065908004474</v>
      </c>
      <c r="L16" s="7">
        <f>K16+預測IC!L16</f>
        <v>-0.61951905496583326</v>
      </c>
      <c r="M16" s="7">
        <f>L16+預測IC!M16</f>
        <v>-0.60553161910391617</v>
      </c>
      <c r="N16" s="7">
        <f>M16+預測IC!N16</f>
        <v>-0.72577411738311293</v>
      </c>
      <c r="O16" s="7">
        <f>N16+預測IC!O16</f>
        <v>-0.75436119426209214</v>
      </c>
      <c r="P16" s="7">
        <f>O16+預測IC!P16</f>
        <v>-0.74617301474776021</v>
      </c>
      <c r="Q16" s="7">
        <f>P16+預測IC!Q16</f>
        <v>-0.82765165805375351</v>
      </c>
      <c r="R16" s="7">
        <f>Q16+預測IC!R16</f>
        <v>-0.72454196416604433</v>
      </c>
      <c r="S16" s="7">
        <f>R16+預測IC!S16</f>
        <v>-0.61468291983123768</v>
      </c>
      <c r="T16" s="7">
        <f>S16+預測IC!T16</f>
        <v>-0.65308959312484971</v>
      </c>
      <c r="U16" s="7">
        <f>T16+預測IC!U16</f>
        <v>-0.56161765817408271</v>
      </c>
      <c r="V16" s="7">
        <f>U16+預測IC!V16</f>
        <v>-0.63718914428298967</v>
      </c>
      <c r="W16" s="7">
        <f>V16+預測IC!W16</f>
        <v>-0.73882050141416511</v>
      </c>
      <c r="X16" s="7">
        <f>W16+預測IC!X16</f>
        <v>-0.498288539786999</v>
      </c>
      <c r="Y16" s="7">
        <f>X16+預測IC!Y16</f>
        <v>-0.44800970532593642</v>
      </c>
      <c r="Z16" s="7">
        <f>Y16+預測IC!Z16</f>
        <v>-0.49101976350969734</v>
      </c>
      <c r="AA16" s="7">
        <f>Z16+預測IC!AA16</f>
        <v>-0.65717865480701443</v>
      </c>
      <c r="AB16" s="7">
        <f>AA16+預測IC!AB16</f>
        <v>-0.62488324037294662</v>
      </c>
      <c r="AC16" s="7">
        <f>AB16+預測IC!AC16</f>
        <v>-0.63764868840836331</v>
      </c>
      <c r="AD16" s="7">
        <f>AC16+預測IC!AD16</f>
        <v>-0.69078474395622014</v>
      </c>
      <c r="AE16" s="7">
        <f>AD16+預測IC!AE16</f>
        <v>-0.78728710444482575</v>
      </c>
      <c r="AF16" s="7">
        <f>AE16+預測IC!AF16</f>
        <v>-0.93520271470925231</v>
      </c>
      <c r="AG16" s="7">
        <f>AF16+預測IC!AG16</f>
        <v>-0.97897887444502474</v>
      </c>
      <c r="AH16" s="7">
        <f>AG16+預測IC!AH16</f>
        <v>-1.1273804996121772</v>
      </c>
      <c r="AI16" s="7">
        <f>AH16+預測IC!AI16</f>
        <v>-1.1607637552838246</v>
      </c>
      <c r="AJ16" s="7">
        <f>AI16+預測IC!AJ16</f>
        <v>-1.2088842338201549</v>
      </c>
      <c r="AK16" s="7">
        <f>AJ16+預測IC!AK16</f>
        <v>-1.1714507808386669</v>
      </c>
      <c r="AL16" s="7">
        <f>AK16+預測IC!AL16</f>
        <v>-1.1768904834693199</v>
      </c>
      <c r="AM16" s="7">
        <f>AL16+預測IC!AM16</f>
        <v>-1.1247447509892288</v>
      </c>
      <c r="AN16" s="7">
        <f>AM16+預測IC!AN16</f>
        <v>-1.1467772689317428</v>
      </c>
      <c r="AO16" s="7">
        <f>AN16+預測IC!AO16</f>
        <v>-1.187867422293484</v>
      </c>
      <c r="AP16" s="7">
        <f>AO16+預測IC!AP16</f>
        <v>-1.0931427397262894</v>
      </c>
      <c r="AQ16" s="7">
        <f>AP16+預測IC!AQ16</f>
        <v>-1.0386449867824061</v>
      </c>
      <c r="AR16" s="7">
        <f>AQ16+預測IC!AR16</f>
        <v>-1.0042730077221351</v>
      </c>
      <c r="AS16" s="7">
        <f>AR16+預測IC!AS16</f>
        <v>-0.95163028948390138</v>
      </c>
      <c r="AT16" s="7">
        <f>AS16+預測IC!AT16</f>
        <v>-1.0741943328341861</v>
      </c>
      <c r="AU16" s="7">
        <f>AT16+預測IC!AU16</f>
        <v>-1.156284604677188</v>
      </c>
      <c r="AV16" s="7">
        <f>AU16+預測IC!AV16</f>
        <v>-1.2083654401139254</v>
      </c>
      <c r="AW16" s="7">
        <f>AV16+預測IC!AW16</f>
        <v>-1.3173503787554541</v>
      </c>
      <c r="AX16" s="7">
        <f>AW16+預測IC!AX16</f>
        <v>-1.417971707856857</v>
      </c>
      <c r="AY16" s="7">
        <f>AX16+預測IC!AY16</f>
        <v>-1.4375735614559961</v>
      </c>
      <c r="AZ16" s="7">
        <f>AY16+預測IC!AZ16</f>
        <v>-1.5257237429765689</v>
      </c>
      <c r="BA16" s="7">
        <f>AZ16+預測IC!BA16</f>
        <v>-1.5596353049612675</v>
      </c>
      <c r="BB16" s="7">
        <f>BA16+預測IC!BB16</f>
        <v>-1.3341617418855281</v>
      </c>
      <c r="BC16" s="7">
        <f>BB16+預測IC!BC16</f>
        <v>-1.3731611338077598</v>
      </c>
      <c r="BD16" s="7">
        <f>BC16+預測IC!BD16</f>
        <v>-1.3900973517321191</v>
      </c>
      <c r="BE16" s="7">
        <f>BD16+預測IC!BE16</f>
        <v>-1.4512949956585783</v>
      </c>
      <c r="BF16" s="7">
        <f>BE16+預測IC!BF16</f>
        <v>-1.3870269413388601</v>
      </c>
      <c r="BG16" s="7">
        <f>BF16+預測IC!BG16</f>
        <v>-1.3735536592909035</v>
      </c>
      <c r="BH16" s="7">
        <f>BG16+預測IC!BH16</f>
        <v>-1.4355936848424711</v>
      </c>
      <c r="BI16" s="7">
        <f>BH16+預測IC!BI16</f>
        <v>-1.4845836252753821</v>
      </c>
      <c r="BJ16" s="7">
        <f>BI16+預測IC!BJ16</f>
        <v>-1.5811504288009202</v>
      </c>
      <c r="BK16" s="7">
        <f>BJ16+預測IC!BK16</f>
        <v>-1.5297788042749088</v>
      </c>
      <c r="BL16" s="7">
        <f>BK16+預測IC!BL16</f>
        <v>-1.590952403759379</v>
      </c>
      <c r="BM16" s="7">
        <f>BL16+預測IC!BM16</f>
        <v>-1.6304503892504851</v>
      </c>
      <c r="BN16" s="7">
        <f>BM16+預測IC!BN16</f>
        <v>-1.6917551391603698</v>
      </c>
      <c r="BO16" s="7">
        <f>BN16+預測IC!BO16</f>
        <v>-1.6175382770033677</v>
      </c>
      <c r="BP16" s="7">
        <f>BO16+預測IC!BP16</f>
        <v>-1.559788216322912</v>
      </c>
      <c r="BQ16" s="7">
        <f>BP16+預測IC!BQ16</f>
        <v>-1.5360974976556645</v>
      </c>
      <c r="BR16" s="7">
        <f>BQ16+預測IC!BR16</f>
        <v>-1.6666804658806862</v>
      </c>
      <c r="BS16" s="7">
        <f>BR16+預測IC!BS16</f>
        <v>-1.6986874530735694</v>
      </c>
      <c r="BT16" s="7">
        <f>BS16+預測IC!BT16</f>
        <v>-1.7453483355670878</v>
      </c>
      <c r="BU16" s="7">
        <f>BT16+預測IC!BU16</f>
        <v>-1.6875832253822873</v>
      </c>
      <c r="BV16" s="7">
        <f>BU16+預測IC!BV16</f>
        <v>-1.6509975874585407</v>
      </c>
      <c r="BW16" s="7">
        <f>BV16+預測IC!BW16</f>
        <v>-1.3330267529201736</v>
      </c>
      <c r="BX16" s="7">
        <f>BW16+預測IC!BX16</f>
        <v>-1.3995862720382566</v>
      </c>
      <c r="BY16" s="7">
        <f>BX16+預測IC!BY16</f>
        <v>-1.5321446812956359</v>
      </c>
      <c r="BZ16" s="7">
        <f>BY16+預測IC!BZ16</f>
        <v>-1.6637265301862909</v>
      </c>
      <c r="CA16" s="7">
        <f>BZ16+預測IC!CA16</f>
        <v>-1.5332566463480553</v>
      </c>
      <c r="CB16" s="7">
        <f>CA16+預測IC!CB16</f>
        <v>-1.6491221953372106</v>
      </c>
      <c r="CC16" s="7">
        <f>CB16+預測IC!CC16</f>
        <v>-1.8081947098211451</v>
      </c>
      <c r="CD16" s="7">
        <f>CC16+預測IC!CD16</f>
        <v>-1.6531234381947832</v>
      </c>
      <c r="CE16" s="7">
        <f>CD16+預測IC!CE16</f>
        <v>-1.7744338515967435</v>
      </c>
      <c r="CF16" s="7">
        <f>CE16+預測IC!CF16</f>
        <v>-1.7216337672614626</v>
      </c>
      <c r="CG16" s="7">
        <f>CF16+預測IC!CG16</f>
        <v>-1.7833616454081291</v>
      </c>
      <c r="CH16" s="7">
        <f>CG16+預測IC!CH16</f>
        <v>-1.7329129207041329</v>
      </c>
      <c r="CI16" s="7">
        <f>CH16+預測IC!CI16</f>
        <v>-1.7371535888162837</v>
      </c>
      <c r="CJ16" s="7">
        <f>CI16+預測IC!CJ16</f>
        <v>-1.7668569743100471</v>
      </c>
      <c r="CK16" s="7">
        <f>CJ16+預測IC!CK16</f>
        <v>-1.8552796640916547</v>
      </c>
      <c r="CL16" s="7">
        <f>CK16+預測IC!CL16</f>
        <v>-2.0520201022508684</v>
      </c>
      <c r="CM16" s="7">
        <f>CL16+預測IC!CM16</f>
        <v>-2.0590198289965205</v>
      </c>
      <c r="CN16" s="7">
        <f>CM16+預測IC!CN16</f>
        <v>-1.898659912679993</v>
      </c>
      <c r="CO16" s="7">
        <f>CN16+預測IC!CO16</f>
        <v>-2.0333001214738982</v>
      </c>
      <c r="CP16" s="7">
        <f>CO16+預測IC!CP16</f>
        <v>-1.9221486712722538</v>
      </c>
      <c r="CQ16" s="7">
        <f>CP16+預測IC!CQ16</f>
        <v>-1.9424824510926146</v>
      </c>
      <c r="CR16" s="7">
        <f>CQ16+預測IC!CR16</f>
        <v>-1.9172537945804551</v>
      </c>
      <c r="CS16" s="7">
        <f>CR16+預測IC!CS16</f>
        <v>-1.9581059821751985</v>
      </c>
      <c r="CT16" s="7">
        <f>CS16+預測IC!CT16</f>
        <v>-1.9836633601360332</v>
      </c>
      <c r="CU16" s="7">
        <f>CT16+預測IC!CU16</f>
        <v>-1.848191659271827</v>
      </c>
      <c r="CV16" s="7">
        <f>CU16+預測IC!CV16</f>
        <v>-2.0204431819103132</v>
      </c>
      <c r="CW16" s="7">
        <f>CV16+預測IC!CW16</f>
        <v>-2.029637341442935</v>
      </c>
      <c r="CX16" s="7">
        <f>CW16+預測IC!CX16</f>
        <v>-2.1919033167455511</v>
      </c>
      <c r="CY16" s="7">
        <f>CX16+預測IC!CY16</f>
        <v>-2.1106226788713367</v>
      </c>
      <c r="CZ16" s="7">
        <f>CY16+預測IC!CZ16</f>
        <v>-2.0778978566291926</v>
      </c>
      <c r="DA16" s="7">
        <f>CZ16+預測IC!DA16</f>
        <v>-2.107702650596428</v>
      </c>
      <c r="DB16" s="7">
        <f>DA16+預測IC!DB16</f>
        <v>-2.3393679964980718</v>
      </c>
      <c r="DC16" s="7">
        <f>DB16+預測IC!DC16</f>
        <v>-2.256103944875087</v>
      </c>
      <c r="DD16" s="7">
        <f>DC16+預測IC!DD16</f>
        <v>-2.2878476553623672</v>
      </c>
      <c r="DE16" s="7">
        <f>DD16+預測IC!DE16</f>
        <v>-2.2532952550035774</v>
      </c>
      <c r="DF16" s="7">
        <f>DE16+預測IC!DF16</f>
        <v>-1.9277157040864248</v>
      </c>
      <c r="DG16" s="7">
        <f>DF16+預測IC!DG16</f>
        <v>-1.8013437842359521</v>
      </c>
      <c r="DH16" s="7">
        <f>DG16+預測IC!DH16</f>
        <v>-1.8053226162005074</v>
      </c>
      <c r="DI16" s="7">
        <f>DH16+預測IC!DI16</f>
        <v>-1.8507221141017687</v>
      </c>
      <c r="DJ16" s="7">
        <f>DI16+預測IC!DJ16</f>
        <v>-1.7797670616648831</v>
      </c>
      <c r="DK16" s="7">
        <f>DJ16+預測IC!DK16</f>
        <v>-1.7220812923176236</v>
      </c>
      <c r="DL16" s="7">
        <f>DK16+預測IC!DL16</f>
        <v>-1.7002084180678494</v>
      </c>
      <c r="DM16" s="7">
        <f>DL16+預測IC!DM16</f>
        <v>-1.7191187922363926</v>
      </c>
      <c r="DN16" s="7">
        <f>DM16+預測IC!DN16</f>
        <v>-1.603232060491401</v>
      </c>
      <c r="DO16" s="7">
        <f>DN16+預測IC!DO16</f>
        <v>-1.649795926971179</v>
      </c>
      <c r="DP16" s="7">
        <f>DO16+預測IC!DP16</f>
        <v>-1.8101299214469915</v>
      </c>
      <c r="DQ16" s="7">
        <f>DP16+預測IC!DQ16</f>
        <v>-1.7630597654424598</v>
      </c>
      <c r="DR16" s="7">
        <f>DQ16+預測IC!DR16</f>
        <v>-1.7078685137929446</v>
      </c>
      <c r="DS16" s="7">
        <f>DR16+預測IC!DS16</f>
        <v>-1.6974454894164297</v>
      </c>
      <c r="DT16" s="7">
        <f>DS16+預測IC!DT16</f>
        <v>-1.6383325143382437</v>
      </c>
      <c r="DU16" s="7">
        <f>DT16+預測IC!DU16</f>
        <v>-1.4482242718923253</v>
      </c>
      <c r="DV16" s="7">
        <f>DU16+預測IC!DV16</f>
        <v>-1.4939525890648122</v>
      </c>
      <c r="DW16" s="7">
        <f>DV16+預測IC!DW16</f>
        <v>-1.4638134770749971</v>
      </c>
      <c r="DX16" s="7">
        <f>DW16+預測IC!DX16</f>
        <v>-1.4418657492989562</v>
      </c>
      <c r="DY16" s="7">
        <f>DX16+預測IC!DY16</f>
        <v>-1.3468808850777192</v>
      </c>
      <c r="DZ16" s="7">
        <f>DY16+預測IC!DZ16</f>
        <v>-1.3342317134919299</v>
      </c>
      <c r="EA16" s="7">
        <f>DZ16+預測IC!EA16</f>
        <v>-1.333811198251686</v>
      </c>
      <c r="EB16" s="7">
        <f>EA16+預測IC!EB16</f>
        <v>-1.2331320975744844</v>
      </c>
      <c r="EC16" s="7">
        <f>EB16+預測IC!EC16</f>
        <v>-1.1696000309399146</v>
      </c>
      <c r="ED16" s="7">
        <f>EC16+預測IC!ED16</f>
        <v>-1.2850167784388358</v>
      </c>
      <c r="EE16" s="7">
        <f>ED16+預測IC!EE16</f>
        <v>-1.3442577750940217</v>
      </c>
      <c r="EF16" s="7">
        <f>EE16+預測IC!EF16</f>
        <v>-1.5022495243640324</v>
      </c>
    </row>
    <row r="17" spans="1:136" x14ac:dyDescent="0.3">
      <c r="A17" s="1">
        <v>8</v>
      </c>
      <c r="B17" s="1" t="s">
        <v>155</v>
      </c>
      <c r="C17" s="7">
        <v>-4.1028984252961823E-2</v>
      </c>
      <c r="D17" s="7">
        <f>C17+預測IC!D17</f>
        <v>-0.20957634611273612</v>
      </c>
      <c r="E17" s="7">
        <f>D17+預測IC!E17</f>
        <v>-0.30624745530534692</v>
      </c>
      <c r="F17" s="7">
        <f>E17+預測IC!F17</f>
        <v>-0.38699961945766603</v>
      </c>
      <c r="G17" s="7">
        <f>F17+預測IC!G17</f>
        <v>-0.49238669412139674</v>
      </c>
      <c r="H17" s="7">
        <f>G17+預測IC!H17</f>
        <v>-0.48444383727339507</v>
      </c>
      <c r="I17" s="7">
        <f>H17+預測IC!I17</f>
        <v>-0.59752136164684155</v>
      </c>
      <c r="J17" s="7">
        <f>I17+預測IC!J17</f>
        <v>-0.64580830960760727</v>
      </c>
      <c r="K17" s="7">
        <f>J17+預測IC!K17</f>
        <v>-0.74736838932991723</v>
      </c>
      <c r="L17" s="7">
        <f>K17+預測IC!L17</f>
        <v>-0.70513359818457511</v>
      </c>
      <c r="M17" s="7">
        <f>L17+預測IC!M17</f>
        <v>-0.71979274027486351</v>
      </c>
      <c r="N17" s="7">
        <f>M17+預測IC!N17</f>
        <v>-0.82907056710466931</v>
      </c>
      <c r="O17" s="7">
        <f>N17+預測IC!O17</f>
        <v>-0.84037724316880158</v>
      </c>
      <c r="P17" s="7">
        <f>O17+預測IC!P17</f>
        <v>-0.82699429642543321</v>
      </c>
      <c r="Q17" s="7">
        <f>P17+預測IC!Q17</f>
        <v>-0.92726112472900124</v>
      </c>
      <c r="R17" s="7">
        <f>Q17+預測IC!R17</f>
        <v>-0.79083467952875508</v>
      </c>
      <c r="S17" s="7">
        <f>R17+預測IC!S17</f>
        <v>-0.67178029020342434</v>
      </c>
      <c r="T17" s="7">
        <f>S17+預測IC!T17</f>
        <v>-0.69512287571436504</v>
      </c>
      <c r="U17" s="7">
        <f>T17+預測IC!U17</f>
        <v>-0.63271697401446791</v>
      </c>
      <c r="V17" s="7">
        <f>U17+預測IC!V17</f>
        <v>-0.7299766298670709</v>
      </c>
      <c r="W17" s="7">
        <f>V17+預測IC!W17</f>
        <v>-0.85864388422473947</v>
      </c>
      <c r="X17" s="7">
        <f>W17+預測IC!X17</f>
        <v>-0.62065445290442467</v>
      </c>
      <c r="Y17" s="7">
        <f>X17+預測IC!Y17</f>
        <v>-0.547031321414017</v>
      </c>
      <c r="Z17" s="7">
        <f>Y17+預測IC!Z17</f>
        <v>-0.59535699498567329</v>
      </c>
      <c r="AA17" s="7">
        <f>Z17+預測IC!AA17</f>
        <v>-0.78664043190108268</v>
      </c>
      <c r="AB17" s="7">
        <f>AA17+預測IC!AB17</f>
        <v>-0.74210212863164304</v>
      </c>
      <c r="AC17" s="7">
        <f>AB17+預測IC!AC17</f>
        <v>-0.76218838336966455</v>
      </c>
      <c r="AD17" s="7">
        <f>AC17+預測IC!AD17</f>
        <v>-0.81196575883041866</v>
      </c>
      <c r="AE17" s="7">
        <f>AD17+預測IC!AE17</f>
        <v>-0.93912418127764363</v>
      </c>
      <c r="AF17" s="7">
        <f>AE17+預測IC!AF17</f>
        <v>-1.0594105059334902</v>
      </c>
      <c r="AG17" s="7">
        <f>AF17+預測IC!AG17</f>
        <v>-1.1220506475046288</v>
      </c>
      <c r="AH17" s="7">
        <f>AG17+預測IC!AH17</f>
        <v>-1.2690755367604334</v>
      </c>
      <c r="AI17" s="7">
        <f>AH17+預測IC!AI17</f>
        <v>-1.32611351241592</v>
      </c>
      <c r="AJ17" s="7">
        <f>AI17+預測IC!AJ17</f>
        <v>-1.3877261310246622</v>
      </c>
      <c r="AK17" s="7">
        <f>AJ17+預測IC!AK17</f>
        <v>-1.358350241415087</v>
      </c>
      <c r="AL17" s="7">
        <f>AK17+預測IC!AL17</f>
        <v>-1.3853684235837755</v>
      </c>
      <c r="AM17" s="7">
        <f>AL17+預測IC!AM17</f>
        <v>-1.2920167135572453</v>
      </c>
      <c r="AN17" s="7">
        <f>AM17+預測IC!AN17</f>
        <v>-1.285560578183957</v>
      </c>
      <c r="AO17" s="7">
        <f>AN17+預測IC!AO17</f>
        <v>-1.3622551058065799</v>
      </c>
      <c r="AP17" s="7">
        <f>AO17+預測IC!AP17</f>
        <v>-1.2688375257260185</v>
      </c>
      <c r="AQ17" s="7">
        <f>AP17+預測IC!AQ17</f>
        <v>-1.2075602736077966</v>
      </c>
      <c r="AR17" s="7">
        <f>AQ17+預測IC!AR17</f>
        <v>-1.1617576480504939</v>
      </c>
      <c r="AS17" s="7">
        <f>AR17+預測IC!AS17</f>
        <v>-1.1029546911062595</v>
      </c>
      <c r="AT17" s="7">
        <f>AS17+預測IC!AT17</f>
        <v>-1.2300264842135111</v>
      </c>
      <c r="AU17" s="7">
        <f>AT17+預測IC!AU17</f>
        <v>-1.3457260937476161</v>
      </c>
      <c r="AV17" s="7">
        <f>AU17+預測IC!AV17</f>
        <v>-1.4042555430822474</v>
      </c>
      <c r="AW17" s="7">
        <f>AV17+預測IC!AW17</f>
        <v>-1.4804451533120639</v>
      </c>
      <c r="AX17" s="7">
        <f>AW17+預測IC!AX17</f>
        <v>-1.5780642584296718</v>
      </c>
      <c r="AY17" s="7">
        <f>AX17+預測IC!AY17</f>
        <v>-1.5935423041349182</v>
      </c>
      <c r="AZ17" s="7">
        <f>AY17+預測IC!AZ17</f>
        <v>-1.6640365350513528</v>
      </c>
      <c r="BA17" s="7">
        <f>AZ17+預測IC!BA17</f>
        <v>-1.7028081502990433</v>
      </c>
      <c r="BB17" s="7">
        <f>BA17+預測IC!BB17</f>
        <v>-1.4723661053511732</v>
      </c>
      <c r="BC17" s="7">
        <f>BB17+預測IC!BC17</f>
        <v>-1.4996589297316631</v>
      </c>
      <c r="BD17" s="7">
        <f>BC17+預測IC!BD17</f>
        <v>-1.486184099907039</v>
      </c>
      <c r="BE17" s="7">
        <f>BD17+預測IC!BE17</f>
        <v>-1.5302943532518776</v>
      </c>
      <c r="BF17" s="7">
        <f>BE17+預測IC!BF17</f>
        <v>-1.4750968566429239</v>
      </c>
      <c r="BG17" s="7">
        <f>BF17+預測IC!BG17</f>
        <v>-1.5104910927309612</v>
      </c>
      <c r="BH17" s="7">
        <f>BG17+預測IC!BH17</f>
        <v>-1.5592290869757495</v>
      </c>
      <c r="BI17" s="7">
        <f>BH17+預測IC!BI17</f>
        <v>-1.639967486534101</v>
      </c>
      <c r="BJ17" s="7">
        <f>BI17+預測IC!BJ17</f>
        <v>-1.737835730902525</v>
      </c>
      <c r="BK17" s="7">
        <f>BJ17+預測IC!BK17</f>
        <v>-1.7210844041521443</v>
      </c>
      <c r="BL17" s="7">
        <f>BK17+預測IC!BL17</f>
        <v>-1.7552368514764387</v>
      </c>
      <c r="BM17" s="7">
        <f>BL17+預測IC!BM17</f>
        <v>-1.784295862628793</v>
      </c>
      <c r="BN17" s="7">
        <f>BM17+預測IC!BN17</f>
        <v>-1.8377660435759451</v>
      </c>
      <c r="BO17" s="7">
        <f>BN17+預測IC!BO17</f>
        <v>-1.7526787458262563</v>
      </c>
      <c r="BP17" s="7">
        <f>BO17+預測IC!BP17</f>
        <v>-1.6920405989163392</v>
      </c>
      <c r="BQ17" s="7">
        <f>BP17+預測IC!BQ17</f>
        <v>-1.666438883400891</v>
      </c>
      <c r="BR17" s="7">
        <f>BQ17+預測IC!BR17</f>
        <v>-1.7814612364266427</v>
      </c>
      <c r="BS17" s="7">
        <f>BR17+預測IC!BS17</f>
        <v>-1.8023672546403382</v>
      </c>
      <c r="BT17" s="7">
        <f>BS17+預測IC!BT17</f>
        <v>-1.855017414902316</v>
      </c>
      <c r="BU17" s="7">
        <f>BT17+預測IC!BU17</f>
        <v>-1.7838895961515635</v>
      </c>
      <c r="BV17" s="7">
        <f>BU17+預測IC!BV17</f>
        <v>-1.7456486396493693</v>
      </c>
      <c r="BW17" s="7">
        <f>BV17+預測IC!BW17</f>
        <v>-1.5373118141319808</v>
      </c>
      <c r="BX17" s="7">
        <f>BW17+預測IC!BX17</f>
        <v>-1.6199528036696291</v>
      </c>
      <c r="BY17" s="7">
        <f>BX17+預測IC!BY17</f>
        <v>-1.7624301787960961</v>
      </c>
      <c r="BZ17" s="7">
        <f>BY17+預測IC!BZ17</f>
        <v>-1.8292877094052022</v>
      </c>
      <c r="CA17" s="7">
        <f>BZ17+預測IC!CA17</f>
        <v>-1.6984098616292282</v>
      </c>
      <c r="CB17" s="7">
        <f>CA17+預測IC!CB17</f>
        <v>-1.8075756986499723</v>
      </c>
      <c r="CC17" s="7">
        <f>CB17+預測IC!CC17</f>
        <v>-1.9825336726396532</v>
      </c>
      <c r="CD17" s="7">
        <f>CC17+預測IC!CD17</f>
        <v>-1.8095739314205046</v>
      </c>
      <c r="CE17" s="7">
        <f>CD17+預測IC!CE17</f>
        <v>-1.9220685227159116</v>
      </c>
      <c r="CF17" s="7">
        <f>CE17+預測IC!CF17</f>
        <v>-1.8638297261212151</v>
      </c>
      <c r="CG17" s="7">
        <f>CF17+預測IC!CG17</f>
        <v>-1.9385447147499462</v>
      </c>
      <c r="CH17" s="7">
        <f>CG17+預測IC!CH17</f>
        <v>-1.9055756425794932</v>
      </c>
      <c r="CI17" s="7">
        <f>CH17+預測IC!CI17</f>
        <v>-1.9092774259543777</v>
      </c>
      <c r="CJ17" s="7">
        <f>CI17+預測IC!CJ17</f>
        <v>-1.930228253435726</v>
      </c>
      <c r="CK17" s="7">
        <f>CJ17+預測IC!CK17</f>
        <v>-2.0141841016953568</v>
      </c>
      <c r="CL17" s="7">
        <f>CK17+預測IC!CL17</f>
        <v>-2.1510232006600938</v>
      </c>
      <c r="CM17" s="7">
        <f>CL17+預測IC!CM17</f>
        <v>-2.1493532277667402</v>
      </c>
      <c r="CN17" s="7">
        <f>CM17+預測IC!CN17</f>
        <v>-1.9728219491853534</v>
      </c>
      <c r="CO17" s="7">
        <f>CN17+預測IC!CO17</f>
        <v>-2.1102348245148783</v>
      </c>
      <c r="CP17" s="7">
        <f>CO17+預測IC!CP17</f>
        <v>-2.0020134410059893</v>
      </c>
      <c r="CQ17" s="7">
        <f>CP17+預測IC!CQ17</f>
        <v>-1.9501063376642629</v>
      </c>
      <c r="CR17" s="7">
        <f>CQ17+預測IC!CR17</f>
        <v>-1.9271005081262647</v>
      </c>
      <c r="CS17" s="7">
        <f>CR17+預測IC!CS17</f>
        <v>-1.9584463265219829</v>
      </c>
      <c r="CT17" s="7">
        <f>CS17+預測IC!CT17</f>
        <v>-1.9757856069270736</v>
      </c>
      <c r="CU17" s="7">
        <f>CT17+預測IC!CU17</f>
        <v>-1.8204337141273141</v>
      </c>
      <c r="CV17" s="7">
        <f>CU17+預測IC!CV17</f>
        <v>-1.9719050989886686</v>
      </c>
      <c r="CW17" s="7">
        <f>CV17+預測IC!CW17</f>
        <v>-1.9916669528980215</v>
      </c>
      <c r="CX17" s="7">
        <f>CW17+預測IC!CX17</f>
        <v>-2.116676808297739</v>
      </c>
      <c r="CY17" s="7">
        <f>CX17+預測IC!CY17</f>
        <v>-2.0410678948879335</v>
      </c>
      <c r="CZ17" s="7">
        <f>CY17+預測IC!CZ17</f>
        <v>-2.0094752105075928</v>
      </c>
      <c r="DA17" s="7">
        <f>CZ17+預測IC!DA17</f>
        <v>-2.053371069652727</v>
      </c>
      <c r="DB17" s="7">
        <f>DA17+預測IC!DB17</f>
        <v>-2.2776880409478095</v>
      </c>
      <c r="DC17" s="7">
        <f>DB17+預測IC!DC17</f>
        <v>-2.178838648398</v>
      </c>
      <c r="DD17" s="7">
        <f>DC17+預測IC!DD17</f>
        <v>-2.2079940692808808</v>
      </c>
      <c r="DE17" s="7">
        <f>DD17+預測IC!DE17</f>
        <v>-2.1838692059341587</v>
      </c>
      <c r="DF17" s="7">
        <f>DE17+預測IC!DF17</f>
        <v>-1.8316436516626866</v>
      </c>
      <c r="DG17" s="7">
        <f>DF17+預測IC!DG17</f>
        <v>-1.7084311855320473</v>
      </c>
      <c r="DH17" s="7">
        <f>DG17+預測IC!DH17</f>
        <v>-1.7210850801945601</v>
      </c>
      <c r="DI17" s="7">
        <f>DH17+預測IC!DI17</f>
        <v>-1.7561296162605051</v>
      </c>
      <c r="DJ17" s="7">
        <f>DI17+預測IC!DJ17</f>
        <v>-1.6272045564744957</v>
      </c>
      <c r="DK17" s="7">
        <f>DJ17+預測IC!DK17</f>
        <v>-1.5590864449856106</v>
      </c>
      <c r="DL17" s="7">
        <f>DK17+預測IC!DL17</f>
        <v>-1.5551567132944819</v>
      </c>
      <c r="DM17" s="7">
        <f>DL17+預測IC!DM17</f>
        <v>-1.5923841888104742</v>
      </c>
      <c r="DN17" s="7">
        <f>DM17+預測IC!DN17</f>
        <v>-1.4859042262031879</v>
      </c>
      <c r="DO17" s="7">
        <f>DN17+預測IC!DO17</f>
        <v>-1.5511547705546416</v>
      </c>
      <c r="DP17" s="7">
        <f>DO17+預測IC!DP17</f>
        <v>-1.6931889288052764</v>
      </c>
      <c r="DQ17" s="7">
        <f>DP17+預測IC!DQ17</f>
        <v>-1.6205349236992515</v>
      </c>
      <c r="DR17" s="7">
        <f>DQ17+預測IC!DR17</f>
        <v>-1.5646501088229232</v>
      </c>
      <c r="DS17" s="7">
        <f>DR17+預測IC!DS17</f>
        <v>-1.5581445725914509</v>
      </c>
      <c r="DT17" s="7">
        <f>DS17+預測IC!DT17</f>
        <v>-1.4983326373564747</v>
      </c>
      <c r="DU17" s="7">
        <f>DT17+預測IC!DU17</f>
        <v>-1.3387775378780309</v>
      </c>
      <c r="DV17" s="7">
        <f>DU17+預測IC!DV17</f>
        <v>-1.3839263740270897</v>
      </c>
      <c r="DW17" s="7">
        <f>DV17+預測IC!DW17</f>
        <v>-1.3356909810576285</v>
      </c>
      <c r="DX17" s="7">
        <f>DW17+預測IC!DX17</f>
        <v>-1.3587261612268171</v>
      </c>
      <c r="DY17" s="7">
        <f>DX17+預測IC!DY17</f>
        <v>-1.2327156233257623</v>
      </c>
      <c r="DZ17" s="7">
        <f>DY17+預測IC!DZ17</f>
        <v>-1.2375066765717508</v>
      </c>
      <c r="EA17" s="7">
        <f>DZ17+預測IC!EA17</f>
        <v>-1.2421392007884755</v>
      </c>
      <c r="EB17" s="7">
        <f>EA17+預測IC!EB17</f>
        <v>-1.134853874034718</v>
      </c>
      <c r="EC17" s="7">
        <f>EB17+預測IC!EC17</f>
        <v>-1.1184286568186574</v>
      </c>
      <c r="ED17" s="7">
        <f>EC17+預測IC!ED17</f>
        <v>-1.2467531007475701</v>
      </c>
      <c r="EE17" s="7">
        <f>ED17+預測IC!EE17</f>
        <v>-1.3110318007164592</v>
      </c>
      <c r="EF17" s="7">
        <f>EE17+預測IC!EF17</f>
        <v>-1.4508466485426628</v>
      </c>
    </row>
    <row r="18" spans="1:136" x14ac:dyDescent="0.3">
      <c r="A18" s="1">
        <v>7</v>
      </c>
      <c r="B18" s="1" t="s">
        <v>156</v>
      </c>
      <c r="C18" s="7">
        <v>-5.3942228163147227E-2</v>
      </c>
      <c r="D18" s="7">
        <f>C18+預測IC!D18</f>
        <v>-0.23796111756631344</v>
      </c>
      <c r="E18" s="7">
        <f>D18+預測IC!E18</f>
        <v>-0.33843674056940565</v>
      </c>
      <c r="F18" s="7">
        <f>E18+預測IC!F18</f>
        <v>-0.45781970067159544</v>
      </c>
      <c r="G18" s="7">
        <f>F18+預測IC!G18</f>
        <v>-0.56613607395667542</v>
      </c>
      <c r="H18" s="7">
        <f>G18+預測IC!H18</f>
        <v>-0.5575138462022311</v>
      </c>
      <c r="I18" s="7">
        <f>H18+預測IC!I18</f>
        <v>-0.6861404020377716</v>
      </c>
      <c r="J18" s="7">
        <f>I18+預測IC!J18</f>
        <v>-0.77731363372533968</v>
      </c>
      <c r="K18" s="7">
        <f>J18+預測IC!K18</f>
        <v>-0.91296152250297191</v>
      </c>
      <c r="L18" s="7">
        <f>K18+預測IC!L18</f>
        <v>-0.86220331539625283</v>
      </c>
      <c r="M18" s="7">
        <f>L18+預測IC!M18</f>
        <v>-0.89125477977271017</v>
      </c>
      <c r="N18" s="7">
        <f>M18+預測IC!N18</f>
        <v>-1.0324622682690063</v>
      </c>
      <c r="O18" s="7">
        <f>N18+預測IC!O18</f>
        <v>-1.0007243271715081</v>
      </c>
      <c r="P18" s="7">
        <f>O18+預測IC!P18</f>
        <v>-0.99239624131759907</v>
      </c>
      <c r="Q18" s="7">
        <f>P18+預測IC!Q18</f>
        <v>-1.0854558312305054</v>
      </c>
      <c r="R18" s="7">
        <f>Q18+預測IC!R18</f>
        <v>-0.93126664249648394</v>
      </c>
      <c r="S18" s="7">
        <f>R18+預測IC!S18</f>
        <v>-0.78746141519758472</v>
      </c>
      <c r="T18" s="7">
        <f>S18+預測IC!T18</f>
        <v>-0.83977111274831562</v>
      </c>
      <c r="U18" s="7">
        <f>T18+預測IC!U18</f>
        <v>-0.78462076969675087</v>
      </c>
      <c r="V18" s="7">
        <f>U18+預測IC!V18</f>
        <v>-0.90601223112267659</v>
      </c>
      <c r="W18" s="7">
        <f>V18+預測IC!W18</f>
        <v>-1.0721470603919756</v>
      </c>
      <c r="X18" s="7">
        <f>W18+預測IC!X18</f>
        <v>-0.85702600299202392</v>
      </c>
      <c r="Y18" s="7">
        <f>X18+預測IC!Y18</f>
        <v>-0.7531467590832126</v>
      </c>
      <c r="Z18" s="7">
        <f>Y18+預測IC!Z18</f>
        <v>-0.80461648483405213</v>
      </c>
      <c r="AA18" s="7">
        <f>Z18+預測IC!AA18</f>
        <v>-0.97718714236858084</v>
      </c>
      <c r="AB18" s="7">
        <f>AA18+預測IC!AB18</f>
        <v>-0.91454233710591992</v>
      </c>
      <c r="AC18" s="7">
        <f>AB18+預測IC!AC18</f>
        <v>-0.91317691662908762</v>
      </c>
      <c r="AD18" s="7">
        <f>AC18+預測IC!AD18</f>
        <v>-0.98562070571761906</v>
      </c>
      <c r="AE18" s="7">
        <f>AD18+預測IC!AE18</f>
        <v>-1.1291499471466935</v>
      </c>
      <c r="AF18" s="7">
        <f>AE18+預測IC!AF18</f>
        <v>-1.2796935869707668</v>
      </c>
      <c r="AG18" s="7">
        <f>AF18+預測IC!AG18</f>
        <v>-1.3614135668635206</v>
      </c>
      <c r="AH18" s="7">
        <f>AG18+預測IC!AH18</f>
        <v>-1.5244820716883702</v>
      </c>
      <c r="AI18" s="7">
        <f>AH18+預測IC!AI18</f>
        <v>-1.6059058217395399</v>
      </c>
      <c r="AJ18" s="7">
        <f>AI18+預測IC!AJ18</f>
        <v>-1.6767730394011424</v>
      </c>
      <c r="AK18" s="7">
        <f>AJ18+預測IC!AK18</f>
        <v>-1.6539401540391461</v>
      </c>
      <c r="AL18" s="7">
        <f>AK18+預測IC!AL18</f>
        <v>-1.6867529658187554</v>
      </c>
      <c r="AM18" s="7">
        <f>AL18+預測IC!AM18</f>
        <v>-1.5906999366819374</v>
      </c>
      <c r="AN18" s="7">
        <f>AM18+預測IC!AN18</f>
        <v>-1.5934943544418754</v>
      </c>
      <c r="AO18" s="7">
        <f>AN18+預測IC!AO18</f>
        <v>-1.5689100739970685</v>
      </c>
      <c r="AP18" s="7">
        <f>AO18+預測IC!AP18</f>
        <v>-1.4733642810815637</v>
      </c>
      <c r="AQ18" s="7">
        <f>AP18+預測IC!AQ18</f>
        <v>-1.4092093074180454</v>
      </c>
      <c r="AR18" s="7">
        <f>AQ18+預測IC!AR18</f>
        <v>-1.370206833355281</v>
      </c>
      <c r="AS18" s="7">
        <f>AR18+預測IC!AS18</f>
        <v>-1.2869537054660951</v>
      </c>
      <c r="AT18" s="7">
        <f>AS18+預測IC!AT18</f>
        <v>-1.453339514890154</v>
      </c>
      <c r="AU18" s="7">
        <f>AT18+預測IC!AU18</f>
        <v>-1.5922377295363737</v>
      </c>
      <c r="AV18" s="7">
        <f>AU18+預測IC!AV18</f>
        <v>-1.6524733942428436</v>
      </c>
      <c r="AW18" s="7">
        <f>AV18+預測IC!AW18</f>
        <v>-1.7502402560640788</v>
      </c>
      <c r="AX18" s="7">
        <f>AW18+預測IC!AX18</f>
        <v>-1.8763045934902063</v>
      </c>
      <c r="AY18" s="7">
        <f>AX18+預測IC!AY18</f>
        <v>-1.9064939522186966</v>
      </c>
      <c r="AZ18" s="7">
        <f>AY18+預測IC!AZ18</f>
        <v>-1.9581402796122049</v>
      </c>
      <c r="BA18" s="7">
        <f>AZ18+預測IC!BA18</f>
        <v>-1.9934425196189682</v>
      </c>
      <c r="BB18" s="7">
        <f>BA18+預測IC!BB18</f>
        <v>-1.6759850939548557</v>
      </c>
      <c r="BC18" s="7">
        <f>BB18+預測IC!BC18</f>
        <v>-1.6480430432528861</v>
      </c>
      <c r="BD18" s="7">
        <f>BC18+預測IC!BD18</f>
        <v>-1.6441856929737564</v>
      </c>
      <c r="BE18" s="7">
        <f>BD18+預測IC!BE18</f>
        <v>-1.735358545829679</v>
      </c>
      <c r="BF18" s="7">
        <f>BE18+預測IC!BF18</f>
        <v>-1.6894740095301002</v>
      </c>
      <c r="BG18" s="7">
        <f>BF18+預測IC!BG18</f>
        <v>-1.7062802507563044</v>
      </c>
      <c r="BH18" s="7">
        <f>BG18+預測IC!BH18</f>
        <v>-1.7692156345815988</v>
      </c>
      <c r="BI18" s="7">
        <f>BH18+預測IC!BI18</f>
        <v>-1.8452067283220575</v>
      </c>
      <c r="BJ18" s="7">
        <f>BI18+預測IC!BJ18</f>
        <v>-1.9437405850074791</v>
      </c>
      <c r="BK18" s="7">
        <f>BJ18+預測IC!BK18</f>
        <v>-1.9427595011043621</v>
      </c>
      <c r="BL18" s="7">
        <f>BK18+預測IC!BL18</f>
        <v>-1.9985473819661421</v>
      </c>
      <c r="BM18" s="7">
        <f>BL18+預測IC!BM18</f>
        <v>-2.0266287383392374</v>
      </c>
      <c r="BN18" s="7">
        <f>BM18+預測IC!BN18</f>
        <v>-2.0688203271440408</v>
      </c>
      <c r="BO18" s="7">
        <f>BN18+預測IC!BO18</f>
        <v>-2.0066512456768302</v>
      </c>
      <c r="BP18" s="7">
        <f>BO18+預測IC!BP18</f>
        <v>-1.9441878136403785</v>
      </c>
      <c r="BQ18" s="7">
        <f>BP18+預測IC!BQ18</f>
        <v>-1.8577281227281492</v>
      </c>
      <c r="BR18" s="7">
        <f>BQ18+預測IC!BR18</f>
        <v>-1.9786899406106251</v>
      </c>
      <c r="BS18" s="7">
        <f>BR18+預測IC!BS18</f>
        <v>-2.011563197186657</v>
      </c>
      <c r="BT18" s="7">
        <f>BS18+預測IC!BT18</f>
        <v>-2.0731085200793617</v>
      </c>
      <c r="BU18" s="7">
        <f>BT18+預測IC!BU18</f>
        <v>-1.9924310760393209</v>
      </c>
      <c r="BV18" s="7">
        <f>BU18+預測IC!BV18</f>
        <v>-1.9528066499151731</v>
      </c>
      <c r="BW18" s="7">
        <f>BV18+預測IC!BW18</f>
        <v>-1.7344311507841843</v>
      </c>
      <c r="BX18" s="7">
        <f>BW18+預測IC!BX18</f>
        <v>-1.8090120141987824</v>
      </c>
      <c r="BY18" s="7">
        <f>BX18+預測IC!BY18</f>
        <v>-1.896477282470884</v>
      </c>
      <c r="BZ18" s="7">
        <f>BY18+預測IC!BZ18</f>
        <v>-1.931824934991822</v>
      </c>
      <c r="CA18" s="7">
        <f>BZ18+預測IC!CA18</f>
        <v>-1.8174989480397328</v>
      </c>
      <c r="CB18" s="7">
        <f>CA18+預測IC!CB18</f>
        <v>-1.9148862310191421</v>
      </c>
      <c r="CC18" s="7">
        <f>CB18+預測IC!CC18</f>
        <v>-1.9430596750385423</v>
      </c>
      <c r="CD18" s="7">
        <f>CC18+預測IC!CD18</f>
        <v>-1.7493428563917115</v>
      </c>
      <c r="CE18" s="7">
        <f>CD18+預測IC!CE18</f>
        <v>-1.8794184420089586</v>
      </c>
      <c r="CF18" s="7">
        <f>CE18+預測IC!CF18</f>
        <v>-1.9233761853955673</v>
      </c>
      <c r="CG18" s="7">
        <f>CF18+預測IC!CG18</f>
        <v>-2.0149854409594865</v>
      </c>
      <c r="CH18" s="7">
        <f>CG18+預測IC!CH18</f>
        <v>-1.9696197920003278</v>
      </c>
      <c r="CI18" s="7">
        <f>CH18+預測IC!CI18</f>
        <v>-1.8545604811911494</v>
      </c>
      <c r="CJ18" s="7">
        <f>CI18+預測IC!CJ18</f>
        <v>-1.8507881146907517</v>
      </c>
      <c r="CK18" s="7">
        <f>CJ18+預測IC!CK18</f>
        <v>-1.9468461463562747</v>
      </c>
      <c r="CL18" s="7">
        <f>CK18+預測IC!CL18</f>
        <v>-2.09976009016576</v>
      </c>
      <c r="CM18" s="7">
        <f>CL18+預測IC!CM18</f>
        <v>-2.0842113398237565</v>
      </c>
      <c r="CN18" s="7">
        <f>CM18+預測IC!CN18</f>
        <v>-1.9632682062821818</v>
      </c>
      <c r="CO18" s="7">
        <f>CN18+預測IC!CO18</f>
        <v>-2.1138657159044292</v>
      </c>
      <c r="CP18" s="7">
        <f>CO18+預測IC!CP18</f>
        <v>-1.9975953960964958</v>
      </c>
      <c r="CQ18" s="7">
        <f>CP18+預測IC!CQ18</f>
        <v>-1.9593527205015531</v>
      </c>
      <c r="CR18" s="7">
        <f>CQ18+預測IC!CR18</f>
        <v>-1.9256094182303605</v>
      </c>
      <c r="CS18" s="7">
        <f>CR18+預測IC!CS18</f>
        <v>-1.983300066881776</v>
      </c>
      <c r="CT18" s="7">
        <f>CS18+預測IC!CT18</f>
        <v>-1.9670275726817672</v>
      </c>
      <c r="CU18" s="7">
        <f>CT18+預測IC!CU18</f>
        <v>-1.8224627515056322</v>
      </c>
      <c r="CV18" s="7">
        <f>CU18+預測IC!CV18</f>
        <v>-1.9494850196386391</v>
      </c>
      <c r="CW18" s="7">
        <f>CV18+預測IC!CW18</f>
        <v>-1.9579411052031648</v>
      </c>
      <c r="CX18" s="7">
        <f>CW18+預測IC!CX18</f>
        <v>-2.111016794812318</v>
      </c>
      <c r="CY18" s="7">
        <f>CX18+預測IC!CY18</f>
        <v>-2.0178384109044103</v>
      </c>
      <c r="CZ18" s="7">
        <f>CY18+預測IC!CZ18</f>
        <v>-1.9263791974917077</v>
      </c>
      <c r="DA18" s="7">
        <f>CZ18+預測IC!DA18</f>
        <v>-1.9737601370104012</v>
      </c>
      <c r="DB18" s="7">
        <f>DA18+預測IC!DB18</f>
        <v>-2.1961422495337839</v>
      </c>
      <c r="DC18" s="7">
        <f>DB18+預測IC!DC18</f>
        <v>-2.1133225423226212</v>
      </c>
      <c r="DD18" s="7">
        <f>DC18+預測IC!DD18</f>
        <v>-2.1543367296419551</v>
      </c>
      <c r="DE18" s="7">
        <f>DD18+預測IC!DE18</f>
        <v>-2.1159161421555042</v>
      </c>
      <c r="DF18" s="7">
        <f>DE18+預測IC!DF18</f>
        <v>-1.7492241325414892</v>
      </c>
      <c r="DG18" s="7">
        <f>DF18+預測IC!DG18</f>
        <v>-1.6310070392678939</v>
      </c>
      <c r="DH18" s="7">
        <f>DG18+預測IC!DH18</f>
        <v>-1.6440570718848224</v>
      </c>
      <c r="DI18" s="7">
        <f>DH18+預測IC!DI18</f>
        <v>-1.6626703199152406</v>
      </c>
      <c r="DJ18" s="7">
        <f>DI18+預測IC!DJ18</f>
        <v>-1.5164742438158283</v>
      </c>
      <c r="DK18" s="7">
        <f>DJ18+預測IC!DK18</f>
        <v>-1.4592236538292023</v>
      </c>
      <c r="DL18" s="7">
        <f>DK18+預測IC!DL18</f>
        <v>-1.4553933797616101</v>
      </c>
      <c r="DM18" s="7">
        <f>DL18+預測IC!DM18</f>
        <v>-1.460644058503874</v>
      </c>
      <c r="DN18" s="7">
        <f>DM18+預測IC!DN18</f>
        <v>-1.3355353752343433</v>
      </c>
      <c r="DO18" s="7">
        <f>DN18+預測IC!DO18</f>
        <v>-1.3657343926959331</v>
      </c>
      <c r="DP18" s="7">
        <f>DO18+預測IC!DP18</f>
        <v>-1.4992208649730137</v>
      </c>
      <c r="DQ18" s="7">
        <f>DP18+預測IC!DQ18</f>
        <v>-1.4334714067891148</v>
      </c>
      <c r="DR18" s="7">
        <f>DQ18+預測IC!DR18</f>
        <v>-1.3566307520171537</v>
      </c>
      <c r="DS18" s="7">
        <f>DR18+預測IC!DS18</f>
        <v>-1.3312451007600155</v>
      </c>
      <c r="DT18" s="7">
        <f>DS18+預測IC!DT18</f>
        <v>-1.308644065918908</v>
      </c>
      <c r="DU18" s="7">
        <f>DT18+預測IC!DU18</f>
        <v>-1.1460552814946579</v>
      </c>
      <c r="DV18" s="7">
        <f>DU18+預測IC!DV18</f>
        <v>-1.2165829740007355</v>
      </c>
      <c r="DW18" s="7">
        <f>DV18+預測IC!DW18</f>
        <v>-1.1586055936706237</v>
      </c>
      <c r="DX18" s="7">
        <f>DW18+預測IC!DX18</f>
        <v>-1.226782887192359</v>
      </c>
      <c r="DY18" s="7">
        <f>DX18+預測IC!DY18</f>
        <v>-1.0610197825303558</v>
      </c>
      <c r="DZ18" s="7">
        <f>DY18+預測IC!DZ18</f>
        <v>-1.1042476373997976</v>
      </c>
      <c r="EA18" s="7">
        <f>DZ18+預測IC!EA18</f>
        <v>-1.1089859346380424</v>
      </c>
      <c r="EB18" s="7">
        <f>EA18+預測IC!EB18</f>
        <v>-0.99902158018784704</v>
      </c>
      <c r="EC18" s="7">
        <f>EB18+預測IC!EC18</f>
        <v>-0.99625746476247568</v>
      </c>
      <c r="ED18" s="7">
        <f>EC18+預測IC!ED18</f>
        <v>-1.1067354866282413</v>
      </c>
      <c r="EE18" s="7">
        <f>ED18+預測IC!EE18</f>
        <v>-1.1597505269436055</v>
      </c>
      <c r="EF18" s="7">
        <f>EE18+預測IC!EF18</f>
        <v>-1.3146866296333524</v>
      </c>
    </row>
    <row r="19" spans="1:136" x14ac:dyDescent="0.3">
      <c r="A19" s="1">
        <v>6</v>
      </c>
      <c r="B19" s="1" t="s">
        <v>157</v>
      </c>
      <c r="C19" s="7">
        <v>-7.7959416087486216E-2</v>
      </c>
      <c r="D19" s="7">
        <f>C19+預測IC!D19</f>
        <v>-0.29750228446977556</v>
      </c>
      <c r="E19" s="7">
        <f>D19+預測IC!E19</f>
        <v>-0.43808596106110675</v>
      </c>
      <c r="F19" s="7">
        <f>E19+預測IC!F19</f>
        <v>-0.61577462286666729</v>
      </c>
      <c r="G19" s="7">
        <f>F19+預測IC!G19</f>
        <v>-0.71184059472384464</v>
      </c>
      <c r="H19" s="7">
        <f>G19+預測IC!H19</f>
        <v>-0.72390938318632958</v>
      </c>
      <c r="I19" s="7">
        <f>H19+預測IC!I19</f>
        <v>-0.85802156167390897</v>
      </c>
      <c r="J19" s="7">
        <f>I19+預測IC!J19</f>
        <v>-0.96945880584606137</v>
      </c>
      <c r="K19" s="7">
        <f>J19+預測IC!K19</f>
        <v>-1.208248220569978</v>
      </c>
      <c r="L19" s="7">
        <f>K19+預測IC!L19</f>
        <v>-1.1879215709296329</v>
      </c>
      <c r="M19" s="7">
        <f>L19+預測IC!M19</f>
        <v>-1.1442313347733257</v>
      </c>
      <c r="N19" s="7">
        <f>M19+預測IC!N19</f>
        <v>-1.2960749159213059</v>
      </c>
      <c r="O19" s="7">
        <f>N19+預測IC!O19</f>
        <v>-1.26451304143239</v>
      </c>
      <c r="P19" s="7">
        <f>O19+預測IC!P19</f>
        <v>-1.2409998806078699</v>
      </c>
      <c r="Q19" s="7">
        <f>P19+預測IC!Q19</f>
        <v>-1.3228659933444107</v>
      </c>
      <c r="R19" s="7">
        <f>Q19+預測IC!R19</f>
        <v>-1.1772827205422005</v>
      </c>
      <c r="S19" s="7">
        <f>R19+預測IC!S19</f>
        <v>-1.0545908442064591</v>
      </c>
      <c r="T19" s="7">
        <f>S19+預測IC!T19</f>
        <v>-1.1060555614517686</v>
      </c>
      <c r="U19" s="7">
        <f>T19+預測IC!U19</f>
        <v>-1.0388055598332857</v>
      </c>
      <c r="V19" s="7">
        <f>U19+預測IC!V19</f>
        <v>-1.1314938795585989</v>
      </c>
      <c r="W19" s="7">
        <f>V19+預測IC!W19</f>
        <v>-1.3062286428608305</v>
      </c>
      <c r="X19" s="7">
        <f>W19+預測IC!X19</f>
        <v>-1.1568287695081032</v>
      </c>
      <c r="Y19" s="7">
        <f>X19+預測IC!Y19</f>
        <v>-1.0536985305776649</v>
      </c>
      <c r="Z19" s="7">
        <f>Y19+預測IC!Z19</f>
        <v>-1.1115872559563642</v>
      </c>
      <c r="AA19" s="7">
        <f>Z19+預測IC!AA19</f>
        <v>-1.2434201554374553</v>
      </c>
      <c r="AB19" s="7">
        <f>AA19+預測IC!AB19</f>
        <v>-1.1917014026266981</v>
      </c>
      <c r="AC19" s="7">
        <f>AB19+預測IC!AC19</f>
        <v>-1.1775598599180883</v>
      </c>
      <c r="AD19" s="7">
        <f>AC19+預測IC!AD19</f>
        <v>-1.2015573171791489</v>
      </c>
      <c r="AE19" s="7">
        <f>AD19+預測IC!AE19</f>
        <v>-1.3709733781769387</v>
      </c>
      <c r="AF19" s="7">
        <f>AE19+預測IC!AF19</f>
        <v>-1.5398039588849817</v>
      </c>
      <c r="AG19" s="7">
        <f>AF19+預測IC!AG19</f>
        <v>-1.5812910623292933</v>
      </c>
      <c r="AH19" s="7">
        <f>AG19+預測IC!AH19</f>
        <v>-1.7854473494945029</v>
      </c>
      <c r="AI19" s="7">
        <f>AH19+預測IC!AI19</f>
        <v>-1.8332137022542994</v>
      </c>
      <c r="AJ19" s="7">
        <f>AI19+預測IC!AJ19</f>
        <v>-1.9104164118988709</v>
      </c>
      <c r="AK19" s="7">
        <f>AJ19+預測IC!AK19</f>
        <v>-1.8698348887857079</v>
      </c>
      <c r="AL19" s="7">
        <f>AK19+預測IC!AL19</f>
        <v>-1.8847494963155063</v>
      </c>
      <c r="AM19" s="7">
        <f>AL19+預測IC!AM19</f>
        <v>-1.8236253652616596</v>
      </c>
      <c r="AN19" s="7">
        <f>AM19+預測IC!AN19</f>
        <v>-1.8133858169919466</v>
      </c>
      <c r="AO19" s="7">
        <f>AN19+預測IC!AO19</f>
        <v>-1.7574956908628319</v>
      </c>
      <c r="AP19" s="7">
        <f>AO19+預測IC!AP19</f>
        <v>-1.632667440055815</v>
      </c>
      <c r="AQ19" s="7">
        <f>AP19+預測IC!AQ19</f>
        <v>-1.5902917748966119</v>
      </c>
      <c r="AR19" s="7">
        <f>AQ19+預測IC!AR19</f>
        <v>-1.6314362897921877</v>
      </c>
      <c r="AS19" s="7">
        <f>AR19+預測IC!AS19</f>
        <v>-1.5222374137391215</v>
      </c>
      <c r="AT19" s="7">
        <f>AS19+預測IC!AT19</f>
        <v>-1.7068310775491795</v>
      </c>
      <c r="AU19" s="7">
        <f>AT19+預測IC!AU19</f>
        <v>-1.8598457040234402</v>
      </c>
      <c r="AV19" s="7">
        <f>AU19+預測IC!AV19</f>
        <v>-1.8568130944208321</v>
      </c>
      <c r="AW19" s="7">
        <f>AV19+預測IC!AW19</f>
        <v>-1.9935064915497449</v>
      </c>
      <c r="AX19" s="7">
        <f>AW19+預測IC!AX19</f>
        <v>-2.2176302868506008</v>
      </c>
      <c r="AY19" s="7">
        <f>AX19+預測IC!AY19</f>
        <v>-2.283903529563073</v>
      </c>
      <c r="AZ19" s="7">
        <f>AY19+預測IC!AZ19</f>
        <v>-2.3995150579324966</v>
      </c>
      <c r="BA19" s="7">
        <f>AZ19+預測IC!BA19</f>
        <v>-2.4010240744883316</v>
      </c>
      <c r="BB19" s="7">
        <f>BA19+預測IC!BB19</f>
        <v>-2.0368631426951125</v>
      </c>
      <c r="BC19" s="7">
        <f>BB19+預測IC!BC19</f>
        <v>-1.8522913532886853</v>
      </c>
      <c r="BD19" s="7">
        <f>BC19+預測IC!BD19</f>
        <v>-1.866611400064528</v>
      </c>
      <c r="BE19" s="7">
        <f>BD19+預測IC!BE19</f>
        <v>-1.956092121824899</v>
      </c>
      <c r="BF19" s="7">
        <f>BE19+預測IC!BF19</f>
        <v>-1.9425211476757605</v>
      </c>
      <c r="BG19" s="7">
        <f>BF19+預測IC!BG19</f>
        <v>-1.9588648060086027</v>
      </c>
      <c r="BH19" s="7">
        <f>BG19+預測IC!BH19</f>
        <v>-2.0159992673351352</v>
      </c>
      <c r="BI19" s="7">
        <f>BH19+預測IC!BI19</f>
        <v>-2.1172834972943515</v>
      </c>
      <c r="BJ19" s="7">
        <f>BI19+預測IC!BJ19</f>
        <v>-2.1761957144668074</v>
      </c>
      <c r="BK19" s="7">
        <f>BJ19+預測IC!BK19</f>
        <v>-2.2457147510962492</v>
      </c>
      <c r="BL19" s="7">
        <f>BK19+預測IC!BL19</f>
        <v>-2.3088792848432687</v>
      </c>
      <c r="BM19" s="7">
        <f>BL19+預測IC!BM19</f>
        <v>-2.3406655497124138</v>
      </c>
      <c r="BN19" s="7">
        <f>BM19+預測IC!BN19</f>
        <v>-2.4128506494349149</v>
      </c>
      <c r="BO19" s="7">
        <f>BN19+預測IC!BO19</f>
        <v>-2.3072859707581839</v>
      </c>
      <c r="BP19" s="7">
        <f>BO19+預測IC!BP19</f>
        <v>-2.294875629480583</v>
      </c>
      <c r="BQ19" s="7">
        <f>BP19+預測IC!BQ19</f>
        <v>-2.185222494547526</v>
      </c>
      <c r="BR19" s="7">
        <f>BQ19+預測IC!BR19</f>
        <v>-2.3220617300906716</v>
      </c>
      <c r="BS19" s="7">
        <f>BR19+預測IC!BS19</f>
        <v>-2.3185617981510327</v>
      </c>
      <c r="BT19" s="7">
        <f>BS19+預測IC!BT19</f>
        <v>-2.400885201828344</v>
      </c>
      <c r="BU19" s="7">
        <f>BT19+預測IC!BU19</f>
        <v>-2.3249489505941061</v>
      </c>
      <c r="BV19" s="7">
        <f>BU19+預測IC!BV19</f>
        <v>-2.2945981586282089</v>
      </c>
      <c r="BW19" s="7">
        <f>BV19+預測IC!BW19</f>
        <v>-1.9871451518184755</v>
      </c>
      <c r="BX19" s="7">
        <f>BW19+預測IC!BX19</f>
        <v>-2.0419754333787923</v>
      </c>
      <c r="BY19" s="7">
        <f>BX19+預測IC!BY19</f>
        <v>-2.1218423604477383</v>
      </c>
      <c r="BZ19" s="7">
        <f>BY19+預測IC!BZ19</f>
        <v>-2.12526738862221</v>
      </c>
      <c r="CA19" s="7">
        <f>BZ19+預測IC!CA19</f>
        <v>-2.069052244788967</v>
      </c>
      <c r="CB19" s="7">
        <f>CA19+預測IC!CB19</f>
        <v>-2.1480290524074928</v>
      </c>
      <c r="CC19" s="7">
        <f>CB19+預測IC!CC19</f>
        <v>-2.1727523051733204</v>
      </c>
      <c r="CD19" s="7">
        <f>CC19+預測IC!CD19</f>
        <v>-1.9571331070796025</v>
      </c>
      <c r="CE19" s="7">
        <f>CD19+預測IC!CE19</f>
        <v>-2.0715474665927358</v>
      </c>
      <c r="CF19" s="7">
        <f>CE19+預測IC!CF19</f>
        <v>-2.1505989915635504</v>
      </c>
      <c r="CG19" s="7">
        <f>CF19+預測IC!CG19</f>
        <v>-2.2077166164305075</v>
      </c>
      <c r="CH19" s="7">
        <f>CG19+預測IC!CH19</f>
        <v>-2.1650015726877734</v>
      </c>
      <c r="CI19" s="7">
        <f>CH19+預測IC!CI19</f>
        <v>-2.054267364934069</v>
      </c>
      <c r="CJ19" s="7">
        <f>CI19+預測IC!CJ19</f>
        <v>-2.0424554421720749</v>
      </c>
      <c r="CK19" s="7">
        <f>CJ19+預測IC!CK19</f>
        <v>-2.1612527051294093</v>
      </c>
      <c r="CL19" s="7">
        <f>CK19+預測IC!CL19</f>
        <v>-2.2766004867681469</v>
      </c>
      <c r="CM19" s="7">
        <f>CL19+預測IC!CM19</f>
        <v>-2.2010186157701526</v>
      </c>
      <c r="CN19" s="7">
        <f>CM19+預測IC!CN19</f>
        <v>-2.0578254053006182</v>
      </c>
      <c r="CO19" s="7">
        <f>CN19+預測IC!CO19</f>
        <v>-2.2239719630758987</v>
      </c>
      <c r="CP19" s="7">
        <f>CO19+預測IC!CP19</f>
        <v>-2.0865572383180631</v>
      </c>
      <c r="CQ19" s="7">
        <f>CP19+預測IC!CQ19</f>
        <v>-2.0541626308016445</v>
      </c>
      <c r="CR19" s="7">
        <f>CQ19+預測IC!CR19</f>
        <v>-2.0298634283379178</v>
      </c>
      <c r="CS19" s="7">
        <f>CR19+預測IC!CS19</f>
        <v>-2.0841138778862511</v>
      </c>
      <c r="CT19" s="7">
        <f>CS19+預測IC!CT19</f>
        <v>-2.0561732407012543</v>
      </c>
      <c r="CU19" s="7">
        <f>CT19+預測IC!CU19</f>
        <v>-1.9095656974403152</v>
      </c>
      <c r="CV19" s="7">
        <f>CU19+預測IC!CV19</f>
        <v>-2.004118705411694</v>
      </c>
      <c r="CW19" s="7">
        <f>CV19+預測IC!CW19</f>
        <v>-2.0260205131935924</v>
      </c>
      <c r="CX19" s="7">
        <f>CW19+預測IC!CX19</f>
        <v>-2.1741708039980971</v>
      </c>
      <c r="CY19" s="7">
        <f>CX19+預測IC!CY19</f>
        <v>-2.0662786845409062</v>
      </c>
      <c r="CZ19" s="7">
        <f>CY19+預測IC!CZ19</f>
        <v>-2.0087794214523944</v>
      </c>
      <c r="DA19" s="7">
        <f>CZ19+預測IC!DA19</f>
        <v>-2.067003298155631</v>
      </c>
      <c r="DB19" s="7">
        <f>DA19+預測IC!DB19</f>
        <v>-2.3531417520569375</v>
      </c>
      <c r="DC19" s="7">
        <f>DB19+預測IC!DC19</f>
        <v>-2.2875541673190405</v>
      </c>
      <c r="DD19" s="7">
        <f>DC19+預測IC!DD19</f>
        <v>-2.2937552925738696</v>
      </c>
      <c r="DE19" s="7">
        <f>DD19+預測IC!DE19</f>
        <v>-2.2607368779180774</v>
      </c>
      <c r="DF19" s="7">
        <f>DE19+預測IC!DF19</f>
        <v>-2.055235132323781</v>
      </c>
      <c r="DG19" s="7">
        <f>DF19+預測IC!DG19</f>
        <v>-1.9287443344862596</v>
      </c>
      <c r="DH19" s="7">
        <f>DG19+預測IC!DH19</f>
        <v>-1.9719649399695109</v>
      </c>
      <c r="DI19" s="7">
        <f>DH19+預測IC!DI19</f>
        <v>-2.0306119729807794</v>
      </c>
      <c r="DJ19" s="7">
        <f>DI19+預測IC!DJ19</f>
        <v>-1.8653615040217075</v>
      </c>
      <c r="DK19" s="7">
        <f>DJ19+預測IC!DK19</f>
        <v>-1.8493772144470435</v>
      </c>
      <c r="DL19" s="7">
        <f>DK19+預測IC!DL19</f>
        <v>-1.8373944285380697</v>
      </c>
      <c r="DM19" s="7">
        <f>DL19+預測IC!DM19</f>
        <v>-1.7912965260524421</v>
      </c>
      <c r="DN19" s="7">
        <f>DM19+預測IC!DN19</f>
        <v>-1.6173682243238938</v>
      </c>
      <c r="DO19" s="7">
        <f>DN19+預測IC!DO19</f>
        <v>-1.6660737441844877</v>
      </c>
      <c r="DP19" s="7">
        <f>DO19+預測IC!DP19</f>
        <v>-1.8363418748644498</v>
      </c>
      <c r="DQ19" s="7">
        <f>DP19+預測IC!DQ19</f>
        <v>-1.7559677030263747</v>
      </c>
      <c r="DR19" s="7">
        <f>DQ19+預測IC!DR19</f>
        <v>-1.6800053497013265</v>
      </c>
      <c r="DS19" s="7">
        <f>DR19+預測IC!DS19</f>
        <v>-1.6350863865494465</v>
      </c>
      <c r="DT19" s="7">
        <f>DS19+預測IC!DT19</f>
        <v>-1.6300531400293414</v>
      </c>
      <c r="DU19" s="7">
        <f>DT19+預測IC!DU19</f>
        <v>-1.4355337005663622</v>
      </c>
      <c r="DV19" s="7">
        <f>DU19+預測IC!DV19</f>
        <v>-1.5071270871637643</v>
      </c>
      <c r="DW19" s="7">
        <f>DV19+預測IC!DW19</f>
        <v>-1.4502830988423032</v>
      </c>
      <c r="DX19" s="7">
        <f>DW19+預測IC!DX19</f>
        <v>-1.544897292199841</v>
      </c>
      <c r="DY19" s="7">
        <f>DX19+預測IC!DY19</f>
        <v>-1.3927778825953541</v>
      </c>
      <c r="DZ19" s="7">
        <f>DY19+預測IC!DZ19</f>
        <v>-1.4724214507337892</v>
      </c>
      <c r="EA19" s="7">
        <f>DZ19+預測IC!EA19</f>
        <v>-1.4395017235387739</v>
      </c>
      <c r="EB19" s="7">
        <f>EA19+預測IC!EB19</f>
        <v>-1.3307482139005213</v>
      </c>
      <c r="EC19" s="7">
        <f>EB19+預測IC!EC19</f>
        <v>-1.3429382571242234</v>
      </c>
      <c r="ED19" s="7">
        <f>EC19+預測IC!ED19</f>
        <v>-1.4938735741143803</v>
      </c>
      <c r="EE19" s="7">
        <f>ED19+預測IC!EE19</f>
        <v>-1.5166894599582932</v>
      </c>
      <c r="EF19" s="7">
        <f>EE19+預測IC!EF19</f>
        <v>-1.6849263953556517</v>
      </c>
    </row>
    <row r="20" spans="1:136" x14ac:dyDescent="0.3">
      <c r="A20" s="1">
        <v>5</v>
      </c>
      <c r="B20" s="1" t="s">
        <v>158</v>
      </c>
      <c r="C20" s="7">
        <v>-0.13932460396499161</v>
      </c>
      <c r="D20" s="7">
        <f>C20+預測IC!D20</f>
        <v>-0.36191099765376744</v>
      </c>
      <c r="E20" s="7">
        <f>D20+預測IC!E20</f>
        <v>-0.50803590291801337</v>
      </c>
      <c r="F20" s="7">
        <f>E20+預測IC!F20</f>
        <v>-0.71356716725118763</v>
      </c>
      <c r="G20" s="7">
        <f>F20+預測IC!G20</f>
        <v>-0.83075030854012677</v>
      </c>
      <c r="H20" s="7">
        <f>G20+預測IC!H20</f>
        <v>-0.81916728246154902</v>
      </c>
      <c r="I20" s="7">
        <f>H20+預測IC!I20</f>
        <v>-1.0050304579382454</v>
      </c>
      <c r="J20" s="7">
        <f>I20+預測IC!J20</f>
        <v>-1.1523185900948478</v>
      </c>
      <c r="K20" s="7">
        <f>J20+預測IC!K20</f>
        <v>-1.3670430938559297</v>
      </c>
      <c r="L20" s="7">
        <f>K20+預測IC!L20</f>
        <v>-1.3580433225147412</v>
      </c>
      <c r="M20" s="7">
        <f>L20+預測IC!M20</f>
        <v>-1.2803250942234676</v>
      </c>
      <c r="N20" s="7">
        <f>M20+預測IC!N20</f>
        <v>-1.4484686824130115</v>
      </c>
      <c r="O20" s="7">
        <f>N20+預測IC!O20</f>
        <v>-1.3986037963437374</v>
      </c>
      <c r="P20" s="7">
        <f>O20+預測IC!P20</f>
        <v>-1.3554651174552099</v>
      </c>
      <c r="Q20" s="7">
        <f>P20+預測IC!Q20</f>
        <v>-1.462510438905938</v>
      </c>
      <c r="R20" s="7">
        <f>Q20+預測IC!R20</f>
        <v>-1.2715679719164241</v>
      </c>
      <c r="S20" s="7">
        <f>R20+預測IC!S20</f>
        <v>-1.1890053612091362</v>
      </c>
      <c r="T20" s="7">
        <f>S20+預測IC!T20</f>
        <v>-1.2744708169469516</v>
      </c>
      <c r="U20" s="7">
        <f>T20+預測IC!U20</f>
        <v>-1.2607504522397743</v>
      </c>
      <c r="V20" s="7">
        <f>U20+預測IC!V20</f>
        <v>-1.3642680554443918</v>
      </c>
      <c r="W20" s="7">
        <f>V20+預測IC!W20</f>
        <v>-1.5907117175274932</v>
      </c>
      <c r="X20" s="7">
        <f>W20+預測IC!X20</f>
        <v>-1.3803253046047081</v>
      </c>
      <c r="Y20" s="7">
        <f>X20+預測IC!Y20</f>
        <v>-1.2513602657223344</v>
      </c>
      <c r="Z20" s="7">
        <f>Y20+預測IC!Z20</f>
        <v>-1.3253874339802889</v>
      </c>
      <c r="AA20" s="7">
        <f>Z20+預測IC!AA20</f>
        <v>-1.4558708024609346</v>
      </c>
      <c r="AB20" s="7">
        <f>AA20+預測IC!AB20</f>
        <v>-1.4229722571407084</v>
      </c>
      <c r="AC20" s="7">
        <f>AB20+預測IC!AC20</f>
        <v>-1.3757239944127408</v>
      </c>
      <c r="AD20" s="7">
        <f>AC20+預測IC!AD20</f>
        <v>-1.4027112979834189</v>
      </c>
      <c r="AE20" s="7">
        <f>AD20+預測IC!AE20</f>
        <v>-1.6020041623225167</v>
      </c>
      <c r="AF20" s="7">
        <f>AE20+預測IC!AF20</f>
        <v>-1.8255019819588894</v>
      </c>
      <c r="AG20" s="7">
        <f>AF20+預測IC!AG20</f>
        <v>-1.8576652308405659</v>
      </c>
      <c r="AH20" s="7">
        <f>AG20+預測IC!AH20</f>
        <v>-2.0743076834889269</v>
      </c>
      <c r="AI20" s="7">
        <f>AH20+預測IC!AI20</f>
        <v>-2.1575870372396504</v>
      </c>
      <c r="AJ20" s="7">
        <f>AI20+預測IC!AJ20</f>
        <v>-2.2183127219004346</v>
      </c>
      <c r="AK20" s="7">
        <f>AJ20+預測IC!AK20</f>
        <v>-2.2100642068378216</v>
      </c>
      <c r="AL20" s="7">
        <f>AK20+預測IC!AL20</f>
        <v>-2.2308444719464164</v>
      </c>
      <c r="AM20" s="7">
        <f>AL20+預測IC!AM20</f>
        <v>-2.1633146121580893</v>
      </c>
      <c r="AN20" s="7">
        <f>AM20+預測IC!AN20</f>
        <v>-2.1977591311469347</v>
      </c>
      <c r="AO20" s="7">
        <f>AN20+預測IC!AO20</f>
        <v>-2.1486508365075352</v>
      </c>
      <c r="AP20" s="7">
        <f>AO20+預測IC!AP20</f>
        <v>-2.0089305782678752</v>
      </c>
      <c r="AQ20" s="7">
        <f>AP20+預測IC!AQ20</f>
        <v>-1.9756223471723309</v>
      </c>
      <c r="AR20" s="7">
        <f>AQ20+預測IC!AR20</f>
        <v>-2.0053613470226317</v>
      </c>
      <c r="AS20" s="7">
        <f>AR20+預測IC!AS20</f>
        <v>-1.9630696305736557</v>
      </c>
      <c r="AT20" s="7">
        <f>AS20+預測IC!AT20</f>
        <v>-2.2021933780187264</v>
      </c>
      <c r="AU20" s="7">
        <f>AT20+預測IC!AU20</f>
        <v>-2.345266018945892</v>
      </c>
      <c r="AV20" s="7">
        <f>AU20+預測IC!AV20</f>
        <v>-2.3130194061591287</v>
      </c>
      <c r="AW20" s="7">
        <f>AV20+預測IC!AW20</f>
        <v>-2.5380172469374731</v>
      </c>
      <c r="AX20" s="7">
        <f>AW20+預測IC!AX20</f>
        <v>-2.7423564668980198</v>
      </c>
      <c r="AY20" s="7">
        <f>AX20+預測IC!AY20</f>
        <v>-2.6602988308804534</v>
      </c>
      <c r="AZ20" s="7">
        <f>AY20+預測IC!AZ20</f>
        <v>-2.8165728385871174</v>
      </c>
      <c r="BA20" s="7">
        <f>AZ20+預測IC!BA20</f>
        <v>-2.9186504089078964</v>
      </c>
      <c r="BB20" s="7">
        <f>BA20+預測IC!BB20</f>
        <v>-2.5402036235985519</v>
      </c>
      <c r="BC20" s="7">
        <f>BB20+預測IC!BC20</f>
        <v>-2.3000629486081383</v>
      </c>
      <c r="BD20" s="7">
        <f>BC20+預測IC!BD20</f>
        <v>-2.3113712439943765</v>
      </c>
      <c r="BE20" s="7">
        <f>BD20+預測IC!BE20</f>
        <v>-2.4096496187287322</v>
      </c>
      <c r="BF20" s="7">
        <f>BE20+預測IC!BF20</f>
        <v>-2.4039610363974036</v>
      </c>
      <c r="BG20" s="7">
        <f>BF20+預測IC!BG20</f>
        <v>-2.4108871791060968</v>
      </c>
      <c r="BH20" s="7">
        <f>BG20+預測IC!BH20</f>
        <v>-2.4627864564316959</v>
      </c>
      <c r="BI20" s="7">
        <f>BH20+預測IC!BI20</f>
        <v>-2.5770421221662194</v>
      </c>
      <c r="BJ20" s="7">
        <f>BI20+預測IC!BJ20</f>
        <v>-2.6261819059774933</v>
      </c>
      <c r="BK20" s="7">
        <f>BJ20+預測IC!BK20</f>
        <v>-2.7287801901319386</v>
      </c>
      <c r="BL20" s="7">
        <f>BK20+預測IC!BL20</f>
        <v>-2.7986396320691593</v>
      </c>
      <c r="BM20" s="7">
        <f>BL20+預測IC!BM20</f>
        <v>-2.8461081835333482</v>
      </c>
      <c r="BN20" s="7">
        <f>BM20+預測IC!BN20</f>
        <v>-2.9317728149745284</v>
      </c>
      <c r="BO20" s="7">
        <f>BN20+預測IC!BO20</f>
        <v>-2.80055437458567</v>
      </c>
      <c r="BP20" s="7">
        <f>BO20+預測IC!BP20</f>
        <v>-2.8078366220919948</v>
      </c>
      <c r="BQ20" s="7">
        <f>BP20+預測IC!BQ20</f>
        <v>-2.6992363545327427</v>
      </c>
      <c r="BR20" s="7">
        <f>BQ20+預測IC!BR20</f>
        <v>-2.8803634360044041</v>
      </c>
      <c r="BS20" s="7">
        <f>BR20+預測IC!BS20</f>
        <v>-2.8478272382795482</v>
      </c>
      <c r="BT20" s="7">
        <f>BS20+預測IC!BT20</f>
        <v>-2.9443577394940039</v>
      </c>
      <c r="BU20" s="7">
        <f>BT20+預測IC!BU20</f>
        <v>-2.8456027901262972</v>
      </c>
      <c r="BV20" s="7">
        <f>BU20+預測IC!BV20</f>
        <v>-2.9271462318868964</v>
      </c>
      <c r="BW20" s="7">
        <f>BV20+預測IC!BW20</f>
        <v>-2.5753166818384918</v>
      </c>
      <c r="BX20" s="7">
        <f>BW20+預測IC!BX20</f>
        <v>-2.6333047001145227</v>
      </c>
      <c r="BY20" s="7">
        <f>BX20+預測IC!BY20</f>
        <v>-2.637944059264191</v>
      </c>
      <c r="BZ20" s="7">
        <f>BY20+預測IC!BZ20</f>
        <v>-2.6436641173858892</v>
      </c>
      <c r="CA20" s="7">
        <f>BZ20+預測IC!CA20</f>
        <v>-2.6679126521253154</v>
      </c>
      <c r="CB20" s="7">
        <f>CA20+預測IC!CB20</f>
        <v>-2.6678048970242871</v>
      </c>
      <c r="CC20" s="7">
        <f>CB20+預測IC!CC20</f>
        <v>-2.6938479308073524</v>
      </c>
      <c r="CD20" s="7">
        <f>CC20+預測IC!CD20</f>
        <v>-2.5128204333167554</v>
      </c>
      <c r="CE20" s="7">
        <f>CD20+預測IC!CE20</f>
        <v>-2.6265889069363806</v>
      </c>
      <c r="CF20" s="7">
        <f>CE20+預測IC!CF20</f>
        <v>-2.7323737962124723</v>
      </c>
      <c r="CG20" s="7">
        <f>CF20+預測IC!CG20</f>
        <v>-2.8083440369555803</v>
      </c>
      <c r="CH20" s="7">
        <f>CG20+預測IC!CH20</f>
        <v>-2.7861488079314474</v>
      </c>
      <c r="CI20" s="7">
        <f>CH20+預測IC!CI20</f>
        <v>-2.7009406054963718</v>
      </c>
      <c r="CJ20" s="7">
        <f>CI20+預測IC!CJ20</f>
        <v>-2.6594306207124432</v>
      </c>
      <c r="CK20" s="7">
        <f>CJ20+預測IC!CK20</f>
        <v>-2.7400202446530648</v>
      </c>
      <c r="CL20" s="7">
        <f>CK20+預測IC!CL20</f>
        <v>-2.8893333952833165</v>
      </c>
      <c r="CM20" s="7">
        <f>CL20+預測IC!CM20</f>
        <v>-2.8098786681019803</v>
      </c>
      <c r="CN20" s="7">
        <f>CM20+預測IC!CN20</f>
        <v>-2.6049868344608775</v>
      </c>
      <c r="CO20" s="7">
        <f>CN20+預測IC!CO20</f>
        <v>-2.8335050376424187</v>
      </c>
      <c r="CP20" s="7">
        <f>CO20+預測IC!CP20</f>
        <v>-2.6768442824472358</v>
      </c>
      <c r="CQ20" s="7">
        <f>CP20+預測IC!CQ20</f>
        <v>-2.653726237146953</v>
      </c>
      <c r="CR20" s="7">
        <f>CQ20+預測IC!CR20</f>
        <v>-2.628363684372939</v>
      </c>
      <c r="CS20" s="7">
        <f>CR20+預測IC!CS20</f>
        <v>-2.7255007831072611</v>
      </c>
      <c r="CT20" s="7">
        <f>CS20+預測IC!CT20</f>
        <v>-2.7074240723274263</v>
      </c>
      <c r="CU20" s="7">
        <f>CT20+預測IC!CU20</f>
        <v>-2.5606960632557993</v>
      </c>
      <c r="CV20" s="7">
        <f>CU20+預測IC!CV20</f>
        <v>-2.6799101914684842</v>
      </c>
      <c r="CW20" s="7">
        <f>CV20+預測IC!CW20</f>
        <v>-2.6699571285472015</v>
      </c>
      <c r="CX20" s="7">
        <f>CW20+預測IC!CX20</f>
        <v>-2.815111316547068</v>
      </c>
      <c r="CY20" s="7">
        <f>CX20+預測IC!CY20</f>
        <v>-2.7141446594352447</v>
      </c>
      <c r="CZ20" s="7">
        <f>CY20+預測IC!CZ20</f>
        <v>-2.701082025572914</v>
      </c>
      <c r="DA20" s="7">
        <f>CZ20+預測IC!DA20</f>
        <v>-2.7485539187280916</v>
      </c>
      <c r="DB20" s="7">
        <f>DA20+預測IC!DB20</f>
        <v>-3.1310438389944832</v>
      </c>
      <c r="DC20" s="7">
        <f>DB20+預測IC!DC20</f>
        <v>-3.0937115278560823</v>
      </c>
      <c r="DD20" s="7">
        <f>DC20+預測IC!DD20</f>
        <v>-3.0973087126130325</v>
      </c>
      <c r="DE20" s="7">
        <f>DD20+預測IC!DE20</f>
        <v>-3.0868899910061796</v>
      </c>
      <c r="DF20" s="7">
        <f>DE20+預測IC!DF20</f>
        <v>-2.8413157857285953</v>
      </c>
      <c r="DG20" s="7">
        <f>DF20+預測IC!DG20</f>
        <v>-2.7172424777444744</v>
      </c>
      <c r="DH20" s="7">
        <f>DG20+預測IC!DH20</f>
        <v>-2.7653008899299776</v>
      </c>
      <c r="DI20" s="7">
        <f>DH20+預測IC!DI20</f>
        <v>-2.8395492255220711</v>
      </c>
      <c r="DJ20" s="7">
        <f>DI20+預測IC!DJ20</f>
        <v>-2.7029911330893737</v>
      </c>
      <c r="DK20" s="7">
        <f>DJ20+預測IC!DK20</f>
        <v>-2.6822254746013789</v>
      </c>
      <c r="DL20" s="7">
        <f>DK20+預測IC!DL20</f>
        <v>-2.6627601012677591</v>
      </c>
      <c r="DM20" s="7">
        <f>DL20+預測IC!DM20</f>
        <v>-2.7056248753761052</v>
      </c>
      <c r="DN20" s="7">
        <f>DM20+預測IC!DN20</f>
        <v>-2.5223901417549364</v>
      </c>
      <c r="DO20" s="7">
        <f>DN20+預測IC!DO20</f>
        <v>-2.5722109964318323</v>
      </c>
      <c r="DP20" s="7">
        <f>DO20+預測IC!DP20</f>
        <v>-2.7723664311862213</v>
      </c>
      <c r="DQ20" s="7">
        <f>DP20+預測IC!DQ20</f>
        <v>-2.7149062495615213</v>
      </c>
      <c r="DR20" s="7">
        <f>DQ20+預測IC!DR20</f>
        <v>-2.6363935895332307</v>
      </c>
      <c r="DS20" s="7">
        <f>DR20+預測IC!DS20</f>
        <v>-2.7061863474315131</v>
      </c>
      <c r="DT20" s="7">
        <f>DS20+預測IC!DT20</f>
        <v>-2.7358716862303556</v>
      </c>
      <c r="DU20" s="7">
        <f>DT20+預測IC!DU20</f>
        <v>-2.4632273583884099</v>
      </c>
      <c r="DV20" s="7">
        <f>DU20+預測IC!DV20</f>
        <v>-2.5652695395708851</v>
      </c>
      <c r="DW20" s="7">
        <f>DV20+預測IC!DW20</f>
        <v>-2.5029841476586738</v>
      </c>
      <c r="DX20" s="7">
        <f>DW20+預測IC!DX20</f>
        <v>-2.6008353658633991</v>
      </c>
      <c r="DY20" s="7">
        <f>DX20+預測IC!DY20</f>
        <v>-2.4134335358242058</v>
      </c>
      <c r="DZ20" s="7">
        <f>DY20+預測IC!DZ20</f>
        <v>-2.3953184093118232</v>
      </c>
      <c r="EA20" s="7">
        <f>DZ20+預測IC!EA20</f>
        <v>-2.4012440085851576</v>
      </c>
      <c r="EB20" s="7">
        <f>EA20+預測IC!EB20</f>
        <v>-2.3188368661407379</v>
      </c>
      <c r="EC20" s="7">
        <f>EB20+預測IC!EC20</f>
        <v>-2.284787284726796</v>
      </c>
      <c r="ED20" s="7">
        <f>EC20+預測IC!ED20</f>
        <v>-2.4617061457938063</v>
      </c>
      <c r="EE20" s="7">
        <f>ED20+預測IC!EE20</f>
        <v>-2.4817237330908251</v>
      </c>
      <c r="EF20" s="7">
        <f>EE20+預測IC!EF20</f>
        <v>-2.6912654755577452</v>
      </c>
    </row>
    <row r="21" spans="1:136" x14ac:dyDescent="0.3">
      <c r="A21" s="1">
        <v>4</v>
      </c>
      <c r="B21" s="1" t="s">
        <v>159</v>
      </c>
      <c r="C21" s="7">
        <v>-0.19764916434148611</v>
      </c>
      <c r="D21" s="7">
        <f>C21+預測IC!D21</f>
        <v>-0.52265744598368835</v>
      </c>
      <c r="E21" s="7">
        <f>D21+預測IC!E21</f>
        <v>-0.56637500086340942</v>
      </c>
      <c r="F21" s="7">
        <f>E21+預測IC!F21</f>
        <v>-0.75041358246953938</v>
      </c>
      <c r="G21" s="7">
        <f>F21+預測IC!G21</f>
        <v>-0.89425573358210386</v>
      </c>
      <c r="H21" s="7">
        <f>G21+預測IC!H21</f>
        <v>-0.93209981061039626</v>
      </c>
      <c r="I21" s="7">
        <f>H21+預測IC!I21</f>
        <v>-1.1714228727881504</v>
      </c>
      <c r="J21" s="7">
        <f>I21+預測IC!J21</f>
        <v>-1.2619895120325972</v>
      </c>
      <c r="K21" s="7">
        <f>J21+預測IC!K21</f>
        <v>-1.4688695380359928</v>
      </c>
      <c r="L21" s="7">
        <f>K21+預測IC!L21</f>
        <v>-1.4116433711710485</v>
      </c>
      <c r="M21" s="7">
        <f>L21+預測IC!M21</f>
        <v>-1.3119587777628372</v>
      </c>
      <c r="N21" s="7">
        <f>M21+預測IC!N21</f>
        <v>-1.4510094536236371</v>
      </c>
      <c r="O21" s="7">
        <f>N21+預測IC!O21</f>
        <v>-1.4166574641629464</v>
      </c>
      <c r="P21" s="7">
        <f>O21+預測IC!P21</f>
        <v>-1.3767657413028436</v>
      </c>
      <c r="Q21" s="7">
        <f>P21+預測IC!Q21</f>
        <v>-1.457961110318817</v>
      </c>
      <c r="R21" s="7">
        <f>Q21+預測IC!R21</f>
        <v>-1.3152690195954957</v>
      </c>
      <c r="S21" s="7">
        <f>R21+預測IC!S21</f>
        <v>-1.1061095441205313</v>
      </c>
      <c r="T21" s="7">
        <f>S21+預測IC!T21</f>
        <v>-1.2045712168773288</v>
      </c>
      <c r="U21" s="7">
        <f>T21+預測IC!U21</f>
        <v>-1.2847869526837878</v>
      </c>
      <c r="V21" s="7">
        <f>U21+預測IC!V21</f>
        <v>-1.3901577230731426</v>
      </c>
      <c r="W21" s="7">
        <f>V21+預測IC!W21</f>
        <v>-1.7130782717613295</v>
      </c>
      <c r="X21" s="7">
        <f>W21+預測IC!X21</f>
        <v>-1.4994473295562132</v>
      </c>
      <c r="Y21" s="7">
        <f>X21+預測IC!Y21</f>
        <v>-1.4067181056100087</v>
      </c>
      <c r="Z21" s="7">
        <f>Y21+預測IC!Z21</f>
        <v>-1.5160983067577722</v>
      </c>
      <c r="AA21" s="7">
        <f>Z21+預測IC!AA21</f>
        <v>-1.626734213760251</v>
      </c>
      <c r="AB21" s="7">
        <f>AA21+預測IC!AB21</f>
        <v>-1.6047782698711168</v>
      </c>
      <c r="AC21" s="7">
        <f>AB21+預測IC!AC21</f>
        <v>-1.5859505331643167</v>
      </c>
      <c r="AD21" s="7">
        <f>AC21+預測IC!AD21</f>
        <v>-1.5600172571668818</v>
      </c>
      <c r="AE21" s="7">
        <f>AD21+預測IC!AE21</f>
        <v>-1.8004733676600684</v>
      </c>
      <c r="AF21" s="7">
        <f>AE21+預測IC!AF21</f>
        <v>-2.095617625743432</v>
      </c>
      <c r="AG21" s="7">
        <f>AF21+預測IC!AG21</f>
        <v>-2.1066641978498759</v>
      </c>
      <c r="AH21" s="7">
        <f>AG21+預測IC!AH21</f>
        <v>-2.3470154535086429</v>
      </c>
      <c r="AI21" s="7">
        <f>AH21+預測IC!AI21</f>
        <v>-2.4147451341037938</v>
      </c>
      <c r="AJ21" s="7">
        <f>AI21+預測IC!AJ21</f>
        <v>-2.493686298115493</v>
      </c>
      <c r="AK21" s="7">
        <f>AJ21+預測IC!AK21</f>
        <v>-2.5120046670248057</v>
      </c>
      <c r="AL21" s="7">
        <f>AK21+預測IC!AL21</f>
        <v>-2.5493961531595599</v>
      </c>
      <c r="AM21" s="7">
        <f>AL21+預測IC!AM21</f>
        <v>-2.6125218711670435</v>
      </c>
      <c r="AN21" s="7">
        <f>AM21+預測IC!AN21</f>
        <v>-2.634310900712864</v>
      </c>
      <c r="AO21" s="7">
        <f>AN21+預測IC!AO21</f>
        <v>-2.5487431257989765</v>
      </c>
      <c r="AP21" s="7">
        <f>AO21+預測IC!AP21</f>
        <v>-2.3606419200286575</v>
      </c>
      <c r="AQ21" s="7">
        <f>AP21+預測IC!AQ21</f>
        <v>-2.3236057315780827</v>
      </c>
      <c r="AR21" s="7">
        <f>AQ21+預測IC!AR21</f>
        <v>-2.3578036322089067</v>
      </c>
      <c r="AS21" s="7">
        <f>AR21+預測IC!AS21</f>
        <v>-2.3123969501488983</v>
      </c>
      <c r="AT21" s="7">
        <f>AS21+預測IC!AT21</f>
        <v>-2.5772352076968956</v>
      </c>
      <c r="AU21" s="7">
        <f>AT21+預測IC!AU21</f>
        <v>-2.6406905373101757</v>
      </c>
      <c r="AV21" s="7">
        <f>AU21+預測IC!AV21</f>
        <v>-2.5719766246136961</v>
      </c>
      <c r="AW21" s="7">
        <f>AV21+預測IC!AW21</f>
        <v>-2.8352315409875111</v>
      </c>
      <c r="AX21" s="7">
        <f>AW21+預測IC!AX21</f>
        <v>-3.0529498435045483</v>
      </c>
      <c r="AY21" s="7">
        <f>AX21+預測IC!AY21</f>
        <v>-2.9872275487720414</v>
      </c>
      <c r="AZ21" s="7">
        <f>AY21+預測IC!AZ21</f>
        <v>-3.0802869429006345</v>
      </c>
      <c r="BA21" s="7">
        <f>AZ21+預測IC!BA21</f>
        <v>-3.0995801505363421</v>
      </c>
      <c r="BB21" s="7">
        <f>BA21+預測IC!BB21</f>
        <v>-2.6951487224031929</v>
      </c>
      <c r="BC21" s="7">
        <f>BB21+預測IC!BC21</f>
        <v>-2.5306881904743661</v>
      </c>
      <c r="BD21" s="7">
        <f>BC21+預測IC!BD21</f>
        <v>-2.5609761697822795</v>
      </c>
      <c r="BE21" s="7">
        <f>BD21+預測IC!BE21</f>
        <v>-2.6977215256902438</v>
      </c>
      <c r="BF21" s="7">
        <f>BE21+預測IC!BF21</f>
        <v>-2.6941444255098093</v>
      </c>
      <c r="BG21" s="7">
        <f>BF21+預測IC!BG21</f>
        <v>-2.6575092362929968</v>
      </c>
      <c r="BH21" s="7">
        <f>BG21+預測IC!BH21</f>
        <v>-2.7254259668550596</v>
      </c>
      <c r="BI21" s="7">
        <f>BH21+預測IC!BI21</f>
        <v>-2.8793006129473162</v>
      </c>
      <c r="BJ21" s="7">
        <f>BI21+預測IC!BJ21</f>
        <v>-2.9112831273583084</v>
      </c>
      <c r="BK21" s="7">
        <f>BJ21+預測IC!BK21</f>
        <v>-2.9942562892483742</v>
      </c>
      <c r="BL21" s="7">
        <f>BK21+預測IC!BL21</f>
        <v>-3.0815970797160723</v>
      </c>
      <c r="BM21" s="7">
        <f>BL21+預測IC!BM21</f>
        <v>-3.1223923657447932</v>
      </c>
      <c r="BN21" s="7">
        <f>BM21+預測IC!BN21</f>
        <v>-3.3106398683371814</v>
      </c>
      <c r="BO21" s="7">
        <f>BN21+預測IC!BO21</f>
        <v>-3.1405710990528419</v>
      </c>
      <c r="BP21" s="7">
        <f>BO21+預測IC!BP21</f>
        <v>-3.1363902967212489</v>
      </c>
      <c r="BQ21" s="7">
        <f>BP21+預測IC!BQ21</f>
        <v>-3.0634995536869059</v>
      </c>
      <c r="BR21" s="7">
        <f>BQ21+預測IC!BR21</f>
        <v>-3.2055610095970013</v>
      </c>
      <c r="BS21" s="7">
        <f>BR21+預測IC!BS21</f>
        <v>-3.139819188636654</v>
      </c>
      <c r="BT21" s="7">
        <f>BS21+預測IC!BT21</f>
        <v>-3.2327713919849113</v>
      </c>
      <c r="BU21" s="7">
        <f>BT21+預測IC!BU21</f>
        <v>-3.0972749297863422</v>
      </c>
      <c r="BV21" s="7">
        <f>BU21+預測IC!BV21</f>
        <v>-3.1416149098276156</v>
      </c>
      <c r="BW21" s="7">
        <f>BV21+預測IC!BW21</f>
        <v>-2.9571542391072065</v>
      </c>
      <c r="BX21" s="7">
        <f>BW21+預測IC!BX21</f>
        <v>-3.0455335738948452</v>
      </c>
      <c r="BY21" s="7">
        <f>BX21+預測IC!BY21</f>
        <v>-3.1011998661370828</v>
      </c>
      <c r="BZ21" s="7">
        <f>BY21+預測IC!BZ21</f>
        <v>-3.0497016621226329</v>
      </c>
      <c r="CA21" s="7">
        <f>BZ21+預測IC!CA21</f>
        <v>-3.0877806015978995</v>
      </c>
      <c r="CB21" s="7">
        <f>CA21+預測IC!CB21</f>
        <v>-3.1612467010028285</v>
      </c>
      <c r="CC21" s="7">
        <f>CB21+預測IC!CC21</f>
        <v>-3.2079402504717915</v>
      </c>
      <c r="CD21" s="7">
        <f>CC21+預測IC!CD21</f>
        <v>-2.9198841861093183</v>
      </c>
      <c r="CE21" s="7">
        <f>CD21+預測IC!CE21</f>
        <v>-3.0652591465533066</v>
      </c>
      <c r="CF21" s="7">
        <f>CE21+預測IC!CF21</f>
        <v>-3.1797853041644748</v>
      </c>
      <c r="CG21" s="7">
        <f>CF21+預測IC!CG21</f>
        <v>-3.2648706396386058</v>
      </c>
      <c r="CH21" s="7">
        <f>CG21+預測IC!CH21</f>
        <v>-3.1082441990116374</v>
      </c>
      <c r="CI21" s="7">
        <f>CH21+預測IC!CI21</f>
        <v>-3.0350614719366384</v>
      </c>
      <c r="CJ21" s="7">
        <f>CI21+預測IC!CJ21</f>
        <v>-2.9799206233754814</v>
      </c>
      <c r="CK21" s="7">
        <f>CJ21+預測IC!CK21</f>
        <v>-3.0470802536723371</v>
      </c>
      <c r="CL21" s="7">
        <f>CK21+預測IC!CL21</f>
        <v>-3.2345133752130639</v>
      </c>
      <c r="CM21" s="7">
        <f>CL21+預測IC!CM21</f>
        <v>-3.1715190423526396</v>
      </c>
      <c r="CN21" s="7">
        <f>CM21+預測IC!CN21</f>
        <v>-3.0906675335232059</v>
      </c>
      <c r="CO21" s="7">
        <f>CN21+預測IC!CO21</f>
        <v>-3.3284595146625984</v>
      </c>
      <c r="CP21" s="7">
        <f>CO21+預測IC!CP21</f>
        <v>-3.2301522085385481</v>
      </c>
      <c r="CQ21" s="7">
        <f>CP21+預測IC!CQ21</f>
        <v>-3.2072400143690518</v>
      </c>
      <c r="CR21" s="7">
        <f>CQ21+預測IC!CR21</f>
        <v>-3.1956242255089489</v>
      </c>
      <c r="CS21" s="7">
        <f>CR21+預測IC!CS21</f>
        <v>-3.2568932617282798</v>
      </c>
      <c r="CT21" s="7">
        <f>CS21+預測IC!CT21</f>
        <v>-3.1708207048568835</v>
      </c>
      <c r="CU21" s="7">
        <f>CT21+預測IC!CU21</f>
        <v>-3.0119040825394334</v>
      </c>
      <c r="CV21" s="7">
        <f>CU21+預測IC!CV21</f>
        <v>-3.1662359273140059</v>
      </c>
      <c r="CW21" s="7">
        <f>CV21+預測IC!CW21</f>
        <v>-3.1012305100330173</v>
      </c>
      <c r="CX21" s="7">
        <f>CW21+預測IC!CX21</f>
        <v>-3.2581993569446288</v>
      </c>
      <c r="CY21" s="7">
        <f>CX21+預測IC!CY21</f>
        <v>-3.1057470506993097</v>
      </c>
      <c r="CZ21" s="7">
        <f>CY21+預測IC!CZ21</f>
        <v>-3.0918998442876089</v>
      </c>
      <c r="DA21" s="7">
        <f>CZ21+預測IC!DA21</f>
        <v>-3.090707587830877</v>
      </c>
      <c r="DB21" s="7">
        <f>DA21+預測IC!DB21</f>
        <v>-3.5630583233015538</v>
      </c>
      <c r="DC21" s="7">
        <f>DB21+預測IC!DC21</f>
        <v>-3.409153527931835</v>
      </c>
      <c r="DD21" s="7">
        <f>DC21+預測IC!DD21</f>
        <v>-3.4119723223229057</v>
      </c>
      <c r="DE21" s="7">
        <f>DD21+預測IC!DE21</f>
        <v>-3.3829945852625789</v>
      </c>
      <c r="DF21" s="7">
        <f>DE21+預測IC!DF21</f>
        <v>-3.0818443735805352</v>
      </c>
      <c r="DG21" s="7">
        <f>DF21+預測IC!DG21</f>
        <v>-2.9336594424488056</v>
      </c>
      <c r="DH21" s="7">
        <f>DG21+預測IC!DH21</f>
        <v>-2.9233038709469481</v>
      </c>
      <c r="DI21" s="7">
        <f>DH21+預測IC!DI21</f>
        <v>-3.0134530736647687</v>
      </c>
      <c r="DJ21" s="7">
        <f>DI21+預測IC!DJ21</f>
        <v>-2.8568473552011269</v>
      </c>
      <c r="DK21" s="7">
        <f>DJ21+預測IC!DK21</f>
        <v>-2.8358812930491082</v>
      </c>
      <c r="DL21" s="7">
        <f>DK21+預測IC!DL21</f>
        <v>-2.823144301548095</v>
      </c>
      <c r="DM21" s="7">
        <f>DL21+預測IC!DM21</f>
        <v>-2.8188897375272095</v>
      </c>
      <c r="DN21" s="7">
        <f>DM21+預測IC!DN21</f>
        <v>-2.5985940966626822</v>
      </c>
      <c r="DO21" s="7">
        <f>DN21+預測IC!DO21</f>
        <v>-2.5800352876048946</v>
      </c>
      <c r="DP21" s="7">
        <f>DO21+預測IC!DP21</f>
        <v>-2.8090551772851295</v>
      </c>
      <c r="DQ21" s="7">
        <f>DP21+預測IC!DQ21</f>
        <v>-2.738632478476946</v>
      </c>
      <c r="DR21" s="7">
        <f>DQ21+預測IC!DR21</f>
        <v>-2.6884616194398654</v>
      </c>
      <c r="DS21" s="7">
        <f>DR21+預測IC!DS21</f>
        <v>-2.7730670530454011</v>
      </c>
      <c r="DT21" s="7">
        <f>DS21+預測IC!DT21</f>
        <v>-2.7782822433920802</v>
      </c>
      <c r="DU21" s="7">
        <f>DT21+預測IC!DU21</f>
        <v>-2.4384756045345122</v>
      </c>
      <c r="DV21" s="7">
        <f>DU21+預測IC!DV21</f>
        <v>-2.5933738556644168</v>
      </c>
      <c r="DW21" s="7">
        <f>DV21+預測IC!DW21</f>
        <v>-2.4707095247180821</v>
      </c>
      <c r="DX21" s="7">
        <f>DW21+預測IC!DX21</f>
        <v>-2.5875384145928648</v>
      </c>
      <c r="DY21" s="7">
        <f>DX21+預測IC!DY21</f>
        <v>-2.3618765334048755</v>
      </c>
      <c r="DZ21" s="7">
        <f>DY21+預測IC!DZ21</f>
        <v>-2.1819855116799753</v>
      </c>
      <c r="EA21" s="7">
        <f>DZ21+預測IC!EA21</f>
        <v>-2.2170519688652122</v>
      </c>
      <c r="EB21" s="7">
        <f>EA21+預測IC!EB21</f>
        <v>-2.1907497748666782</v>
      </c>
      <c r="EC21" s="7">
        <f>EB21+預測IC!EC21</f>
        <v>-2.176712719768636</v>
      </c>
      <c r="ED21" s="7">
        <f>EC21+預測IC!ED21</f>
        <v>-2.2312115761168165</v>
      </c>
      <c r="EE21" s="7">
        <f>ED21+預測IC!EE21</f>
        <v>-2.2202556307099419</v>
      </c>
      <c r="EF21" s="7">
        <f>EE21+預測IC!EF21</f>
        <v>-2.3989099103429306</v>
      </c>
    </row>
    <row r="22" spans="1:136" x14ac:dyDescent="0.3">
      <c r="A22" s="1">
        <v>3</v>
      </c>
      <c r="B22" s="1" t="s">
        <v>160</v>
      </c>
      <c r="C22" s="7">
        <v>6.4235717628454689E-2</v>
      </c>
      <c r="D22" s="7">
        <f>C22+預測IC!D22</f>
        <v>-0.35318620701157422</v>
      </c>
      <c r="E22" s="7">
        <f>D22+預測IC!E22</f>
        <v>-0.37541661927081232</v>
      </c>
      <c r="F22" s="7">
        <f>E22+預測IC!F22</f>
        <v>-0.44324768019208988</v>
      </c>
      <c r="G22" s="7">
        <f>F22+預測IC!G22</f>
        <v>-0.54713204348242395</v>
      </c>
      <c r="H22" s="7">
        <f>G22+預測IC!H22</f>
        <v>-0.77693758797382451</v>
      </c>
      <c r="I22" s="7">
        <f>H22+預測IC!I22</f>
        <v>-1.0313704908842745</v>
      </c>
      <c r="J22" s="7">
        <f>I22+預測IC!J22</f>
        <v>-1.1497487720665625</v>
      </c>
      <c r="K22" s="7">
        <f>J22+預測IC!K22</f>
        <v>-1.3951146847493181</v>
      </c>
      <c r="L22" s="7">
        <f>K22+預測IC!L22</f>
        <v>-1.2876275160980764</v>
      </c>
      <c r="M22" s="7">
        <f>L22+預測IC!M22</f>
        <v>-1.2135274573275039</v>
      </c>
      <c r="N22" s="7">
        <f>M22+預測IC!N22</f>
        <v>-1.3115583181351367</v>
      </c>
      <c r="O22" s="7">
        <f>N22+預測IC!O22</f>
        <v>-1.3182741964465041</v>
      </c>
      <c r="P22" s="7">
        <f>O22+預測IC!P22</f>
        <v>-1.2754157079275141</v>
      </c>
      <c r="Q22" s="7">
        <f>P22+預測IC!Q22</f>
        <v>-1.3646982260313614</v>
      </c>
      <c r="R22" s="7">
        <f>Q22+預測IC!R22</f>
        <v>-1.1840184958400768</v>
      </c>
      <c r="S22" s="7">
        <f>R22+預測IC!S22</f>
        <v>-0.93696186631034717</v>
      </c>
      <c r="T22" s="7">
        <f>S22+預測IC!T22</f>
        <v>-1.06577428829347</v>
      </c>
      <c r="U22" s="7">
        <f>T22+預測IC!U22</f>
        <v>-1.2178034710680135</v>
      </c>
      <c r="V22" s="7">
        <f>U22+預測IC!V22</f>
        <v>-1.2748276057023031</v>
      </c>
      <c r="W22" s="7">
        <f>V22+預測IC!W22</f>
        <v>-1.6210210910015517</v>
      </c>
      <c r="X22" s="7">
        <f>W22+預測IC!X22</f>
        <v>-1.3992343319676812</v>
      </c>
      <c r="Y22" s="7">
        <f>X22+預測IC!Y22</f>
        <v>-1.3512959997879128</v>
      </c>
      <c r="Z22" s="7">
        <f>Y22+預測IC!Z22</f>
        <v>-1.5014461097074869</v>
      </c>
      <c r="AA22" s="7">
        <f>Z22+預測IC!AA22</f>
        <v>-1.5839705352855999</v>
      </c>
      <c r="AB22" s="7">
        <f>AA22+預測IC!AB22</f>
        <v>-1.5878357654109394</v>
      </c>
      <c r="AC22" s="7">
        <f>AB22+預測IC!AC22</f>
        <v>-1.5020593046955069</v>
      </c>
      <c r="AD22" s="7">
        <f>AC22+預測IC!AD22</f>
        <v>-1.4834655554808456</v>
      </c>
      <c r="AE22" s="7">
        <f>AD22+預測IC!AE22</f>
        <v>-1.7120866670872197</v>
      </c>
      <c r="AF22" s="7">
        <f>AE22+預測IC!AF22</f>
        <v>-2.1420034351358317</v>
      </c>
      <c r="AG22" s="7">
        <f>AF22+預測IC!AG22</f>
        <v>-2.1528155357026741</v>
      </c>
      <c r="AH22" s="7">
        <f>AG22+預測IC!AH22</f>
        <v>-2.4004377818660756</v>
      </c>
      <c r="AI22" s="7">
        <f>AH22+預測IC!AI22</f>
        <v>-2.4678306828772616</v>
      </c>
      <c r="AJ22" s="7">
        <f>AI22+預測IC!AJ22</f>
        <v>-2.5136968123754162</v>
      </c>
      <c r="AK22" s="7">
        <f>AJ22+預測IC!AK22</f>
        <v>-2.5922725810803304</v>
      </c>
      <c r="AL22" s="7">
        <f>AK22+預測IC!AL22</f>
        <v>-2.5934173073040774</v>
      </c>
      <c r="AM22" s="7">
        <f>AL22+預測IC!AM22</f>
        <v>-2.6497910616677052</v>
      </c>
      <c r="AN22" s="7">
        <f>AM22+預測IC!AN22</f>
        <v>-2.6776516285531011</v>
      </c>
      <c r="AO22" s="7">
        <f>AN22+預測IC!AO22</f>
        <v>-2.5194987532593744</v>
      </c>
      <c r="AP22" s="7">
        <f>AO22+預測IC!AP22</f>
        <v>-2.2681036956110074</v>
      </c>
      <c r="AQ22" s="7">
        <f>AP22+預測IC!AQ22</f>
        <v>-2.3232304163353503</v>
      </c>
      <c r="AR22" s="7">
        <f>AQ22+預測IC!AR22</f>
        <v>-2.4314141168835866</v>
      </c>
      <c r="AS22" s="7">
        <f>AR22+預測IC!AS22</f>
        <v>-2.5052578195694202</v>
      </c>
      <c r="AT22" s="7">
        <f>AS22+預測IC!AT22</f>
        <v>-2.5229861905638566</v>
      </c>
      <c r="AU22" s="7">
        <f>AT22+預測IC!AU22</f>
        <v>-2.6329007878820412</v>
      </c>
      <c r="AV22" s="7">
        <f>AU22+預測IC!AV22</f>
        <v>-2.5431468060104088</v>
      </c>
      <c r="AW22" s="7">
        <f>AV22+預測IC!AW22</f>
        <v>-2.9139460847015823</v>
      </c>
      <c r="AX22" s="7">
        <f>AW22+預測IC!AX22</f>
        <v>-2.9040708986958883</v>
      </c>
      <c r="AY22" s="7">
        <f>AX22+預測IC!AY22</f>
        <v>-2.8056146225665248</v>
      </c>
      <c r="AZ22" s="7">
        <f>AY22+預測IC!AZ22</f>
        <v>-3.0331001187999784</v>
      </c>
      <c r="BA22" s="7">
        <f>AZ22+預測IC!BA22</f>
        <v>-3.082277058547199</v>
      </c>
      <c r="BB22" s="7">
        <f>BA22+預測IC!BB22</f>
        <v>-2.5640130090971613</v>
      </c>
      <c r="BC22" s="7">
        <f>BB22+預測IC!BC22</f>
        <v>-2.3683869737466439</v>
      </c>
      <c r="BD22" s="7">
        <f>BC22+預測IC!BD22</f>
        <v>-2.4267233283882046</v>
      </c>
      <c r="BE22" s="7">
        <f>BD22+預測IC!BE22</f>
        <v>-2.5547912123538645</v>
      </c>
      <c r="BF22" s="7">
        <f>BE22+預測IC!BF22</f>
        <v>-2.541152395015545</v>
      </c>
      <c r="BG22" s="7">
        <f>BF22+預測IC!BG22</f>
        <v>-2.4948728828471589</v>
      </c>
      <c r="BH22" s="7">
        <f>BG22+預測IC!BH22</f>
        <v>-2.5028662949107092</v>
      </c>
      <c r="BI22" s="7">
        <f>BH22+預測IC!BI22</f>
        <v>-2.5901843540878851</v>
      </c>
      <c r="BJ22" s="7">
        <f>BI22+預測IC!BJ22</f>
        <v>-2.5799503786387814</v>
      </c>
      <c r="BK22" s="7">
        <f>BJ22+預測IC!BK22</f>
        <v>-2.6008051339685481</v>
      </c>
      <c r="BL22" s="7">
        <f>BK22+預測IC!BL22</f>
        <v>-2.7402765243694116</v>
      </c>
      <c r="BM22" s="7">
        <f>BL22+預測IC!BM22</f>
        <v>-2.7427070076149449</v>
      </c>
      <c r="BN22" s="7">
        <f>BM22+預測IC!BN22</f>
        <v>-2.7141882011509697</v>
      </c>
      <c r="BO22" s="7">
        <f>BN22+預測IC!BO22</f>
        <v>-2.6804370988581492</v>
      </c>
      <c r="BP22" s="7">
        <f>BO22+預測IC!BP22</f>
        <v>-2.6798960987336176</v>
      </c>
      <c r="BQ22" s="7">
        <f>BP22+預測IC!BQ22</f>
        <v>-2.5886679075392083</v>
      </c>
      <c r="BR22" s="7">
        <f>BQ22+預測IC!BR22</f>
        <v>-2.6952346895068984</v>
      </c>
      <c r="BS22" s="7">
        <f>BR22+預測IC!BS22</f>
        <v>-2.5981870998023533</v>
      </c>
      <c r="BT22" s="7">
        <f>BS22+預測IC!BT22</f>
        <v>-2.5310438843846281</v>
      </c>
      <c r="BU22" s="7">
        <f>BT22+預測IC!BU22</f>
        <v>-2.3180951182466178</v>
      </c>
      <c r="BV22" s="7">
        <f>BU22+預測IC!BV22</f>
        <v>-2.3666986528356957</v>
      </c>
      <c r="BW22" s="7">
        <f>BV22+預測IC!BW22</f>
        <v>-2.2345268612999143</v>
      </c>
      <c r="BX22" s="7">
        <f>BW22+預測IC!BX22</f>
        <v>-2.3874642315499064</v>
      </c>
      <c r="BY22" s="7">
        <f>BX22+預測IC!BY22</f>
        <v>-2.4430612815202775</v>
      </c>
      <c r="BZ22" s="7">
        <f>BY22+預測IC!BZ22</f>
        <v>-2.3867389292602033</v>
      </c>
      <c r="CA22" s="7">
        <f>BZ22+預測IC!CA22</f>
        <v>-2.4501456933245658</v>
      </c>
      <c r="CB22" s="7">
        <f>CA22+預測IC!CB22</f>
        <v>-2.5137499628642548</v>
      </c>
      <c r="CC22" s="7">
        <f>CB22+預測IC!CC22</f>
        <v>-2.5287356663024112</v>
      </c>
      <c r="CD22" s="7">
        <f>CC22+預測IC!CD22</f>
        <v>-2.1948576295896882</v>
      </c>
      <c r="CE22" s="7">
        <f>CD22+預測IC!CE22</f>
        <v>-2.3288000606408796</v>
      </c>
      <c r="CF22" s="7">
        <f>CE22+預測IC!CF22</f>
        <v>-2.4295704176749444</v>
      </c>
      <c r="CG22" s="7">
        <f>CF22+預測IC!CG22</f>
        <v>-2.6366557503084573</v>
      </c>
      <c r="CH22" s="7">
        <f>CG22+預測IC!CH22</f>
        <v>-2.4830494654989139</v>
      </c>
      <c r="CI22" s="7">
        <f>CH22+預測IC!CI22</f>
        <v>-2.4184321426885398</v>
      </c>
      <c r="CJ22" s="7">
        <f>CI22+預測IC!CJ22</f>
        <v>-2.2921067834099524</v>
      </c>
      <c r="CK22" s="7">
        <f>CJ22+預測IC!CK22</f>
        <v>-2.4030303236967345</v>
      </c>
      <c r="CL22" s="7">
        <f>CK22+預測IC!CL22</f>
        <v>-2.49802733572028</v>
      </c>
      <c r="CM22" s="7">
        <f>CL22+預測IC!CM22</f>
        <v>-2.4515860567455823</v>
      </c>
      <c r="CN22" s="7">
        <f>CM22+預測IC!CN22</f>
        <v>-2.2987821399353749</v>
      </c>
      <c r="CO22" s="7">
        <f>CN22+預測IC!CO22</f>
        <v>-2.4840678978406019</v>
      </c>
      <c r="CP22" s="7">
        <f>CO22+預測IC!CP22</f>
        <v>-2.3122241646982031</v>
      </c>
      <c r="CQ22" s="7">
        <f>CP22+預測IC!CQ22</f>
        <v>-2.2950645491790795</v>
      </c>
      <c r="CR22" s="7">
        <f>CQ22+預測IC!CR22</f>
        <v>-2.3234867542582402</v>
      </c>
      <c r="CS22" s="7">
        <f>CR22+預測IC!CS22</f>
        <v>-2.4082686901426045</v>
      </c>
      <c r="CT22" s="7">
        <f>CS22+預測IC!CT22</f>
        <v>-2.2821773119538329</v>
      </c>
      <c r="CU22" s="7">
        <f>CT22+預測IC!CU22</f>
        <v>-2.1148234007674649</v>
      </c>
      <c r="CV22" s="7">
        <f>CU22+預測IC!CV22</f>
        <v>-2.2810460794570191</v>
      </c>
      <c r="CW22" s="7">
        <f>CV22+預測IC!CW22</f>
        <v>-2.2445948261308537</v>
      </c>
      <c r="CX22" s="7">
        <f>CW22+預測IC!CX22</f>
        <v>-2.2988881216046573</v>
      </c>
      <c r="CY22" s="7">
        <f>CX22+預測IC!CY22</f>
        <v>-2.1364482528912108</v>
      </c>
      <c r="CZ22" s="7">
        <f>CY22+預測IC!CZ22</f>
        <v>-2.1288610064500717</v>
      </c>
      <c r="DA22" s="7">
        <f>CZ22+預測IC!DA22</f>
        <v>-2.1328527603319958</v>
      </c>
      <c r="DB22" s="7">
        <f>DA22+預測IC!DB22</f>
        <v>-2.7262279320582277</v>
      </c>
      <c r="DC22" s="7">
        <f>DB22+預測IC!DC22</f>
        <v>-2.585060696338918</v>
      </c>
      <c r="DD22" s="7">
        <f>DC22+預測IC!DD22</f>
        <v>-2.6167708654647432</v>
      </c>
      <c r="DE22" s="7">
        <f>DD22+預測IC!DE22</f>
        <v>-2.6345273689666762</v>
      </c>
      <c r="DF22" s="7">
        <f>DE22+預測IC!DF22</f>
        <v>-2.2448597352725526</v>
      </c>
      <c r="DG22" s="7">
        <f>DF22+預測IC!DG22</f>
        <v>-2.1567383247694889</v>
      </c>
      <c r="DH22" s="7">
        <f>DG22+預測IC!DH22</f>
        <v>-2.191427077198679</v>
      </c>
      <c r="DI22" s="7">
        <f>DH22+預測IC!DI22</f>
        <v>-2.2725326210389492</v>
      </c>
      <c r="DJ22" s="7">
        <f>DI22+預測IC!DJ22</f>
        <v>-2.1188328582086196</v>
      </c>
      <c r="DK22" s="7">
        <f>DJ22+預測IC!DK22</f>
        <v>-2.0954866815756579</v>
      </c>
      <c r="DL22" s="7">
        <f>DK22+預測IC!DL22</f>
        <v>-2.0922733508325191</v>
      </c>
      <c r="DM22" s="7">
        <f>DL22+預測IC!DM22</f>
        <v>-2.0495968017164783</v>
      </c>
      <c r="DN22" s="7">
        <f>DM22+預測IC!DN22</f>
        <v>-1.7442217734442753</v>
      </c>
      <c r="DO22" s="7">
        <f>DN22+預測IC!DO22</f>
        <v>-1.7679904417317243</v>
      </c>
      <c r="DP22" s="7">
        <f>DO22+預測IC!DP22</f>
        <v>-1.9375528738724546</v>
      </c>
      <c r="DQ22" s="7">
        <f>DP22+預測IC!DQ22</f>
        <v>-1.7721487073278146</v>
      </c>
      <c r="DR22" s="7">
        <f>DQ22+預測IC!DR22</f>
        <v>-1.7782412599431325</v>
      </c>
      <c r="DS22" s="7">
        <f>DR22+預測IC!DS22</f>
        <v>-1.9077650993123376</v>
      </c>
      <c r="DT22" s="7">
        <f>DS22+預測IC!DT22</f>
        <v>-1.8806363453341675</v>
      </c>
      <c r="DU22" s="7">
        <f>DT22+預測IC!DU22</f>
        <v>-1.5053674729921953</v>
      </c>
      <c r="DV22" s="7">
        <f>DU22+預測IC!DV22</f>
        <v>-1.6624298425419461</v>
      </c>
      <c r="DW22" s="7">
        <f>DV22+預測IC!DW22</f>
        <v>-1.6645371042976607</v>
      </c>
      <c r="DX22" s="7">
        <f>DW22+預測IC!DX22</f>
        <v>-1.8288892283391998</v>
      </c>
      <c r="DY22" s="7">
        <f>DX22+預測IC!DY22</f>
        <v>-1.5111348559747173</v>
      </c>
      <c r="DZ22" s="7">
        <f>DY22+預測IC!DZ22</f>
        <v>-1.3455086097489617</v>
      </c>
      <c r="EA22" s="7">
        <f>DZ22+預測IC!EA22</f>
        <v>-1.3796998521588348</v>
      </c>
      <c r="EB22" s="7">
        <f>EA22+預測IC!EB22</f>
        <v>-1.2499339018527658</v>
      </c>
      <c r="EC22" s="7">
        <f>EB22+預測IC!EC22</f>
        <v>-1.2284388002771276</v>
      </c>
      <c r="ED22" s="7">
        <f>EC22+預測IC!ED22</f>
        <v>-1.3058523673347351</v>
      </c>
      <c r="EE22" s="7">
        <f>ED22+預測IC!EE22</f>
        <v>-1.2699530101386662</v>
      </c>
      <c r="EF22" s="7">
        <f>EE22+預測IC!EF22</f>
        <v>-1.4310992111569441</v>
      </c>
    </row>
    <row r="23" spans="1:136" x14ac:dyDescent="0.3">
      <c r="A23" s="1">
        <v>2</v>
      </c>
      <c r="B23" s="1" t="s">
        <v>161</v>
      </c>
      <c r="C23" s="7">
        <v>-3.4987009286289193E-2</v>
      </c>
      <c r="D23" s="7">
        <f>C23+預測IC!D23</f>
        <v>5.3979613448067572E-2</v>
      </c>
      <c r="E23" s="7">
        <f>D23+預測IC!E23</f>
        <v>3.8918025761102169E-2</v>
      </c>
      <c r="F23" s="7">
        <f>E23+預測IC!F23</f>
        <v>-0.14347804955977653</v>
      </c>
      <c r="G23" s="7">
        <f>F23+預測IC!G23</f>
        <v>-0.1165064810354085</v>
      </c>
      <c r="H23" s="7">
        <f>G23+預測IC!H23</f>
        <v>-0.3793167222368613</v>
      </c>
      <c r="I23" s="7">
        <f>H23+預測IC!I23</f>
        <v>-0.63501959430243837</v>
      </c>
      <c r="J23" s="7">
        <f>I23+預測IC!J23</f>
        <v>-0.79031341120542153</v>
      </c>
      <c r="K23" s="7">
        <f>J23+預測IC!K23</f>
        <v>-0.93292098633007647</v>
      </c>
      <c r="L23" s="7">
        <f>K23+預測IC!L23</f>
        <v>-0.70047662528761423</v>
      </c>
      <c r="M23" s="7">
        <f>L23+預測IC!M23</f>
        <v>-0.44202670892897183</v>
      </c>
      <c r="N23" s="7">
        <f>M23+預測IC!N23</f>
        <v>-0.5688267226213003</v>
      </c>
      <c r="O23" s="7">
        <f>N23+預測IC!O23</f>
        <v>-0.5882344338880694</v>
      </c>
      <c r="P23" s="7">
        <f>O23+預測IC!P23</f>
        <v>-0.57755092912832262</v>
      </c>
      <c r="Q23" s="7">
        <f>P23+預測IC!Q23</f>
        <v>-0.82840060602912935</v>
      </c>
      <c r="R23" s="7">
        <f>Q23+預測IC!R23</f>
        <v>-0.73877260298798464</v>
      </c>
      <c r="S23" s="7">
        <f>R23+預測IC!S23</f>
        <v>-0.5694776030747406</v>
      </c>
      <c r="T23" s="7">
        <f>S23+預測IC!T23</f>
        <v>-0.72408029640216909</v>
      </c>
      <c r="U23" s="7">
        <f>T23+預測IC!U23</f>
        <v>-0.93706206927019497</v>
      </c>
      <c r="V23" s="7">
        <f>U23+預測IC!V23</f>
        <v>-0.87370505829112899</v>
      </c>
      <c r="W23" s="7">
        <f>V23+預測IC!W23</f>
        <v>-1.3776243894764397</v>
      </c>
      <c r="X23" s="7">
        <f>W23+預測IC!X23</f>
        <v>-1.1958432036786169</v>
      </c>
      <c r="Y23" s="7">
        <f>X23+預測IC!Y23</f>
        <v>-1.1882544402499386</v>
      </c>
      <c r="Z23" s="7">
        <f>Y23+預測IC!Z23</f>
        <v>-1.3358948496932124</v>
      </c>
      <c r="AA23" s="7">
        <f>Z23+預測IC!AA23</f>
        <v>-1.2791464037331022</v>
      </c>
      <c r="AB23" s="7">
        <f>AA23+預測IC!AB23</f>
        <v>-1.3101377887890944</v>
      </c>
      <c r="AC23" s="7">
        <f>AB23+預測IC!AC23</f>
        <v>-1.1413829891521816</v>
      </c>
      <c r="AD23" s="7">
        <f>AC23+預測IC!AD23</f>
        <v>-1.1383876975816973</v>
      </c>
      <c r="AE23" s="7">
        <f>AD23+預測IC!AE23</f>
        <v>-1.4707319461942228</v>
      </c>
      <c r="AF23" s="7">
        <f>AE23+預測IC!AF23</f>
        <v>-1.795391271834434</v>
      </c>
      <c r="AG23" s="7">
        <f>AF23+預測IC!AG23</f>
        <v>-1.649497378894762</v>
      </c>
      <c r="AH23" s="7">
        <f>AG23+預測IC!AH23</f>
        <v>-1.5138484585440948</v>
      </c>
      <c r="AI23" s="7">
        <f>AH23+預測IC!AI23</f>
        <v>-1.5892986282835571</v>
      </c>
      <c r="AJ23" s="7">
        <f>AI23+預測IC!AJ23</f>
        <v>-1.5723361728984075</v>
      </c>
      <c r="AK23" s="7">
        <f>AJ23+預測IC!AK23</f>
        <v>-1.6635353971736673</v>
      </c>
      <c r="AL23" s="7">
        <f>AK23+預測IC!AL23</f>
        <v>-1.7148457083561541</v>
      </c>
      <c r="AM23" s="7">
        <f>AL23+預測IC!AM23</f>
        <v>-1.6943751650540682</v>
      </c>
      <c r="AN23" s="7">
        <f>AM23+預測IC!AN23</f>
        <v>-1.8548953058163995</v>
      </c>
      <c r="AO23" s="7">
        <f>AN23+預測IC!AO23</f>
        <v>-1.764112826286782</v>
      </c>
      <c r="AP23" s="7">
        <f>AO23+預測IC!AP23</f>
        <v>-1.7745606477343316</v>
      </c>
      <c r="AQ23" s="7">
        <f>AP23+預測IC!AQ23</f>
        <v>-1.5988484391513247</v>
      </c>
      <c r="AR23" s="7">
        <f>AQ23+預測IC!AR23</f>
        <v>-1.8523092349316688</v>
      </c>
      <c r="AS23" s="7">
        <f>AR23+預測IC!AS23</f>
        <v>-1.9339728557122391</v>
      </c>
      <c r="AT23" s="7">
        <f>AS23+預測IC!AT23</f>
        <v>-2.0434787586771392</v>
      </c>
      <c r="AU23" s="7">
        <f>AT23+預測IC!AU23</f>
        <v>-2.2470746498587251</v>
      </c>
      <c r="AV23" s="7">
        <f>AU23+預測IC!AV23</f>
        <v>-2.1979245832294332</v>
      </c>
      <c r="AW23" s="7">
        <f>AV23+預測IC!AW23</f>
        <v>-2.7801845574036479</v>
      </c>
      <c r="AX23" s="7">
        <f>AW23+預測IC!AX23</f>
        <v>-2.7653717783951071</v>
      </c>
      <c r="AY23" s="7">
        <f>AX23+預測IC!AY23</f>
        <v>-2.7072321782883169</v>
      </c>
      <c r="AZ23" s="7">
        <f>AY23+預測IC!AZ23</f>
        <v>-3.0232166995441183</v>
      </c>
      <c r="BA23" s="7">
        <f>AZ23+預測IC!BA23</f>
        <v>-2.8511357901683856</v>
      </c>
      <c r="BB23" s="7">
        <f>BA23+預測IC!BB23</f>
        <v>-2.1651124604886514</v>
      </c>
      <c r="BC23" s="7">
        <f>BB23+預測IC!BC23</f>
        <v>-1.9122432785887118</v>
      </c>
      <c r="BD23" s="7">
        <f>BC23+預測IC!BD23</f>
        <v>-1.9275939478131461</v>
      </c>
      <c r="BE23" s="7">
        <f>BD23+預測IC!BE23</f>
        <v>-2.0518860908390453</v>
      </c>
      <c r="BF23" s="7">
        <f>BE23+預測IC!BF23</f>
        <v>-2.0747330814437315</v>
      </c>
      <c r="BG23" s="7">
        <f>BF23+預測IC!BG23</f>
        <v>-1.9999716102469789</v>
      </c>
      <c r="BH23" s="7">
        <f>BG23+預測IC!BH23</f>
        <v>-1.9463747463119887</v>
      </c>
      <c r="BI23" s="7">
        <f>BH23+預測IC!BI23</f>
        <v>-2.0845943015384356</v>
      </c>
      <c r="BJ23" s="7">
        <f>BI23+預測IC!BJ23</f>
        <v>-2.142614515083078</v>
      </c>
      <c r="BK23" s="7">
        <f>BJ23+預測IC!BK23</f>
        <v>-2.1476243785576132</v>
      </c>
      <c r="BL23" s="7">
        <f>BK23+預測IC!BL23</f>
        <v>-2.2619906686992821</v>
      </c>
      <c r="BM23" s="7">
        <f>BL23+預測IC!BM23</f>
        <v>-2.1924952066748316</v>
      </c>
      <c r="BN23" s="7">
        <f>BM23+預測IC!BN23</f>
        <v>-2.1658917366528541</v>
      </c>
      <c r="BO23" s="7">
        <f>BN23+預測IC!BO23</f>
        <v>-2.1710413261664971</v>
      </c>
      <c r="BP23" s="7">
        <f>BO23+預測IC!BP23</f>
        <v>-2.1485656047738151</v>
      </c>
      <c r="BQ23" s="7">
        <f>BP23+預測IC!BQ23</f>
        <v>-2.0892091799133974</v>
      </c>
      <c r="BR23" s="7">
        <f>BQ23+預測IC!BR23</f>
        <v>-2.1920317700937479</v>
      </c>
      <c r="BS23" s="7">
        <f>BR23+預測IC!BS23</f>
        <v>-1.9714646756913572</v>
      </c>
      <c r="BT23" s="7">
        <f>BS23+預測IC!BT23</f>
        <v>-1.9012754115267203</v>
      </c>
      <c r="BU23" s="7">
        <f>BT23+預測IC!BU23</f>
        <v>-1.6955876756807744</v>
      </c>
      <c r="BV23" s="7">
        <f>BU23+預測IC!BV23</f>
        <v>-1.7488567262386627</v>
      </c>
      <c r="BW23" s="7">
        <f>BV23+預測IC!BW23</f>
        <v>-1.7334942111955725</v>
      </c>
      <c r="BX23" s="7">
        <f>BW23+預測IC!BX23</f>
        <v>-1.8577137347402075</v>
      </c>
      <c r="BY23" s="7">
        <f>BX23+預測IC!BY23</f>
        <v>-1.7394645008132517</v>
      </c>
      <c r="BZ23" s="7">
        <f>BY23+預測IC!BZ23</f>
        <v>-1.537139522139668</v>
      </c>
      <c r="CA23" s="7">
        <f>BZ23+預測IC!CA23</f>
        <v>-1.5028559022943213</v>
      </c>
      <c r="CB23" s="7">
        <f>CA23+預測IC!CB23</f>
        <v>-1.4611909139157329</v>
      </c>
      <c r="CC23" s="7">
        <f>CB23+預測IC!CC23</f>
        <v>-1.2362322864200528</v>
      </c>
      <c r="CD23" s="7">
        <f>CC23+預測IC!CD23</f>
        <v>-1.0445558314052676</v>
      </c>
      <c r="CE23" s="7">
        <f>CD23+預測IC!CE23</f>
        <v>-1.2491465529077124</v>
      </c>
      <c r="CF23" s="7">
        <f>CE23+預測IC!CF23</f>
        <v>-1.2653073883377941</v>
      </c>
      <c r="CG23" s="7">
        <f>CF23+預測IC!CG23</f>
        <v>-1.481944629964997</v>
      </c>
      <c r="CH23" s="7">
        <f>CG23+預測IC!CH23</f>
        <v>-1.3198220556479263</v>
      </c>
      <c r="CI23" s="7">
        <f>CH23+預測IC!CI23</f>
        <v>-1.184599858996447</v>
      </c>
      <c r="CJ23" s="7">
        <f>CI23+預測IC!CJ23</f>
        <v>-1.0280839625785463</v>
      </c>
      <c r="CK23" s="7">
        <f>CJ23+預測IC!CK23</f>
        <v>-1.0999403531150909</v>
      </c>
      <c r="CL23" s="7">
        <f>CK23+預測IC!CL23</f>
        <v>-1.263989812294005</v>
      </c>
      <c r="CM23" s="7">
        <f>CL23+預測IC!CM23</f>
        <v>-1.257014803280784</v>
      </c>
      <c r="CN23" s="7">
        <f>CM23+預測IC!CN23</f>
        <v>-0.97991054132471578</v>
      </c>
      <c r="CO23" s="7">
        <f>CN23+預測IC!CO23</f>
        <v>-1.2483615182278649</v>
      </c>
      <c r="CP23" s="7">
        <f>CO23+預測IC!CP23</f>
        <v>-1.002259745771646</v>
      </c>
      <c r="CQ23" s="7">
        <f>CP23+預測IC!CQ23</f>
        <v>-1.0269620158510269</v>
      </c>
      <c r="CR23" s="7">
        <f>CQ23+預測IC!CR23</f>
        <v>-1.0651948550222468</v>
      </c>
      <c r="CS23" s="7">
        <f>CR23+預測IC!CS23</f>
        <v>-1.1303547393154587</v>
      </c>
      <c r="CT23" s="7">
        <f>CS23+預測IC!CT23</f>
        <v>-1.0975045153093139</v>
      </c>
      <c r="CU23" s="7">
        <f>CT23+預測IC!CU23</f>
        <v>-0.89540063032215711</v>
      </c>
      <c r="CV23" s="7">
        <f>CU23+預測IC!CV23</f>
        <v>-1.0487315985937318</v>
      </c>
      <c r="CW23" s="7">
        <f>CV23+預測IC!CW23</f>
        <v>-0.94783026679131321</v>
      </c>
      <c r="CX23" s="7">
        <f>CW23+預測IC!CX23</f>
        <v>-1.009690259938594</v>
      </c>
      <c r="CY23" s="7">
        <f>CX23+預測IC!CY23</f>
        <v>-0.72797943246457408</v>
      </c>
      <c r="CZ23" s="7">
        <f>CY23+預測IC!CZ23</f>
        <v>-0.78926053297921495</v>
      </c>
      <c r="DA23" s="7">
        <f>CZ23+預測IC!DA23</f>
        <v>-0.82024266920512534</v>
      </c>
      <c r="DB23" s="7">
        <f>DA23+預測IC!DB23</f>
        <v>-1.6848182438023365</v>
      </c>
      <c r="DC23" s="7">
        <f>DB23+預測IC!DC23</f>
        <v>-1.5268693444840833</v>
      </c>
      <c r="DD23" s="7">
        <f>DC23+預測IC!DD23</f>
        <v>-1.6196680191612365</v>
      </c>
      <c r="DE23" s="7">
        <f>DD23+預測IC!DE23</f>
        <v>-1.6797539666714081</v>
      </c>
      <c r="DF23" s="7">
        <f>DE23+預測IC!DF23</f>
        <v>-1.2709590461104878</v>
      </c>
      <c r="DG23" s="7">
        <f>DF23+預測IC!DG23</f>
        <v>-1.117982391815435</v>
      </c>
      <c r="DH23" s="7">
        <f>DG23+預測IC!DH23</f>
        <v>-1.2275645901775325</v>
      </c>
      <c r="DI23" s="7">
        <f>DH23+預測IC!DI23</f>
        <v>-1.4124773037256377</v>
      </c>
      <c r="DJ23" s="7">
        <f>DI23+預測IC!DJ23</f>
        <v>-1.292444721901719</v>
      </c>
      <c r="DK23" s="7">
        <f>DJ23+預測IC!DK23</f>
        <v>-1.24469492485314</v>
      </c>
      <c r="DL23" s="7">
        <f>DK23+預測IC!DL23</f>
        <v>-1.2709375769577644</v>
      </c>
      <c r="DM23" s="7">
        <f>DL23+預測IC!DM23</f>
        <v>-1.2816479112645893</v>
      </c>
      <c r="DN23" s="7">
        <f>DM23+預測IC!DN23</f>
        <v>-1.016673054780598</v>
      </c>
      <c r="DO23" s="7">
        <f>DN23+預測IC!DO23</f>
        <v>-0.93200222697341584</v>
      </c>
      <c r="DP23" s="7">
        <f>DO23+預測IC!DP23</f>
        <v>-1.1088418454583224</v>
      </c>
      <c r="DQ23" s="7">
        <f>DP23+預測IC!DQ23</f>
        <v>-0.86289573789953611</v>
      </c>
      <c r="DR23" s="7">
        <f>DQ23+預測IC!DR23</f>
        <v>-0.95278174063084287</v>
      </c>
      <c r="DS23" s="7">
        <f>DR23+預測IC!DS23</f>
        <v>-1.1999762920733112</v>
      </c>
      <c r="DT23" s="7">
        <f>DS23+預測IC!DT23</f>
        <v>-1.2222727491430685</v>
      </c>
      <c r="DU23" s="7">
        <f>DT23+預測IC!DU23</f>
        <v>-0.69703104248996861</v>
      </c>
      <c r="DV23" s="7">
        <f>DU23+預測IC!DV23</f>
        <v>-0.88977244370786557</v>
      </c>
      <c r="DW23" s="7">
        <f>DV23+預測IC!DW23</f>
        <v>-1.156761576677944</v>
      </c>
      <c r="DX23" s="7">
        <f>DW23+預測IC!DX23</f>
        <v>-1.3277643636463985</v>
      </c>
      <c r="DY23" s="7">
        <f>DX23+預測IC!DY23</f>
        <v>-1.0595424342742745</v>
      </c>
      <c r="DZ23" s="7">
        <f>DY23+預測IC!DZ23</f>
        <v>-0.93020941872255569</v>
      </c>
      <c r="EA23" s="7">
        <f>DZ23+預測IC!EA23</f>
        <v>-1.0235714981915245</v>
      </c>
      <c r="EB23" s="7">
        <f>EA23+預測IC!EB23</f>
        <v>-0.77928684006760229</v>
      </c>
      <c r="EC23" s="7">
        <f>EB23+預測IC!EC23</f>
        <v>-0.81587115639341568</v>
      </c>
      <c r="ED23" s="7">
        <f>EC23+預測IC!ED23</f>
        <v>-0.90729706101319674</v>
      </c>
      <c r="EE23" s="7">
        <f>ED23+預測IC!EE23</f>
        <v>-0.83775150291821021</v>
      </c>
      <c r="EF23" s="7">
        <f>EE23+預測IC!EF23</f>
        <v>-0.92102327966769293</v>
      </c>
    </row>
    <row r="24" spans="1:136" x14ac:dyDescent="0.3">
      <c r="A24" s="1">
        <v>1</v>
      </c>
      <c r="B24" s="1" t="s">
        <v>162</v>
      </c>
      <c r="C24" s="7">
        <v>0.162993136931085</v>
      </c>
      <c r="D24" s="7">
        <f>C24+預測IC!D24</f>
        <v>0.2449815161007089</v>
      </c>
      <c r="E24" s="7">
        <f>D24+預測IC!E24</f>
        <v>0.32686185071110641</v>
      </c>
      <c r="F24" s="7">
        <f>E24+預測IC!F24</f>
        <v>0.12531613183946019</v>
      </c>
      <c r="G24" s="7">
        <f>F24+預測IC!G24</f>
        <v>0.14793852040207783</v>
      </c>
      <c r="H24" s="7">
        <f>G24+預測IC!H24</f>
        <v>-0.20288367092896098</v>
      </c>
      <c r="I24" s="7">
        <f>H24+預測IC!I24</f>
        <v>-0.44326991569987678</v>
      </c>
      <c r="J24" s="7">
        <f>I24+預測IC!J24</f>
        <v>-0.44730564063913641</v>
      </c>
      <c r="K24" s="7">
        <f>J24+預測IC!K24</f>
        <v>-0.4977499766326251</v>
      </c>
      <c r="L24" s="7">
        <f>K24+預測IC!L24</f>
        <v>-0.16399053215697851</v>
      </c>
      <c r="M24" s="7">
        <f>L24+預測IC!M24</f>
        <v>-1.7171193257470019E-2</v>
      </c>
      <c r="N24" s="7">
        <f>M24+預測IC!N24</f>
        <v>-0.12236290405331542</v>
      </c>
      <c r="O24" s="7">
        <f>N24+預測IC!O24</f>
        <v>-8.5714113313771684E-2</v>
      </c>
      <c r="P24" s="7">
        <f>O24+預測IC!P24</f>
        <v>-7.9776274597144481E-3</v>
      </c>
      <c r="Q24" s="7">
        <f>P24+預測IC!Q24</f>
        <v>8.2167321338948496E-2</v>
      </c>
      <c r="R24" s="7">
        <f>Q24+預測IC!R24</f>
        <v>0.19053281625113971</v>
      </c>
      <c r="S24" s="7">
        <f>R24+預測IC!S24</f>
        <v>0.3304166158181403</v>
      </c>
      <c r="T24" s="7">
        <f>S24+預測IC!T24</f>
        <v>0.60090333049215772</v>
      </c>
      <c r="U24" s="7">
        <f>T24+預測IC!U24</f>
        <v>0.2079414456435047</v>
      </c>
      <c r="V24" s="7">
        <f>U24+預測IC!V24</f>
        <v>0.32448176236035553</v>
      </c>
      <c r="W24" s="7">
        <f>V24+預測IC!W24</f>
        <v>-0.31845176624530391</v>
      </c>
      <c r="X24" s="7">
        <f>W24+預測IC!X24</f>
        <v>-0.35460966260655591</v>
      </c>
      <c r="Y24" s="7">
        <f>X24+預測IC!Y24</f>
        <v>-0.32521082302612331</v>
      </c>
      <c r="Z24" s="7">
        <f>Y24+預測IC!Z24</f>
        <v>-0.475620748714913</v>
      </c>
      <c r="AA24" s="7">
        <f>Z24+預測IC!AA24</f>
        <v>-0.69416532840606782</v>
      </c>
      <c r="AB24" s="7">
        <f>AA24+預測IC!AB24</f>
        <v>-0.9945591219630503</v>
      </c>
      <c r="AC24" s="7">
        <f>AB24+預測IC!AC24</f>
        <v>-0.59281178811609569</v>
      </c>
      <c r="AD24" s="7">
        <f>AC24+預測IC!AD24</f>
        <v>-0.53288964130527661</v>
      </c>
      <c r="AE24" s="7">
        <f>AD24+預測IC!AE24</f>
        <v>-1.0741477625515579</v>
      </c>
      <c r="AF24" s="7">
        <f>AE24+預測IC!AF24</f>
        <v>-1.5695371753557197</v>
      </c>
      <c r="AG24" s="7">
        <f>AF24+預測IC!AG24</f>
        <v>-1.1894817827729236</v>
      </c>
      <c r="AH24" s="7">
        <f>AG24+預測IC!AH24</f>
        <v>-0.88735902616634832</v>
      </c>
      <c r="AI24" s="7">
        <f>AH24+預測IC!AI24</f>
        <v>-1.0392707009497455</v>
      </c>
      <c r="AJ24" s="7">
        <f>AI24+預測IC!AJ24</f>
        <v>-1.0191583355765466</v>
      </c>
      <c r="AK24" s="7">
        <f>AJ24+預測IC!AK24</f>
        <v>-1.1323374993521707</v>
      </c>
      <c r="AL24" s="7">
        <f>AK24+預測IC!AL24</f>
        <v>-1.2397919256579122</v>
      </c>
      <c r="AM24" s="7">
        <f>AL24+預測IC!AM24</f>
        <v>-1.2547584709920361</v>
      </c>
      <c r="AN24" s="7">
        <f>AM24+預測IC!AN24</f>
        <v>-1.3654192429275867</v>
      </c>
      <c r="AO24" s="7">
        <f>AN24+預測IC!AO24</f>
        <v>-1.2625135403497971</v>
      </c>
      <c r="AP24" s="7">
        <f>AO24+預測IC!AP24</f>
        <v>-1.6789220742395079</v>
      </c>
      <c r="AQ24" s="7">
        <f>AP24+預測IC!AQ24</f>
        <v>-1.3224301425419898</v>
      </c>
      <c r="AR24" s="7">
        <f>AQ24+預測IC!AR24</f>
        <v>-1.3427809870348042</v>
      </c>
      <c r="AS24" s="7">
        <f>AR24+預測IC!AS24</f>
        <v>-1.3460677607414269</v>
      </c>
      <c r="AT24" s="7">
        <f>AS24+預測IC!AT24</f>
        <v>-1.4968367406671077</v>
      </c>
      <c r="AU24" s="7">
        <f>AT24+預測IC!AU24</f>
        <v>-1.7266777563465276</v>
      </c>
      <c r="AV24" s="7">
        <f>AU24+預測IC!AV24</f>
        <v>-1.9743624165768552</v>
      </c>
      <c r="AW24" s="7">
        <f>AV24+預測IC!AW24</f>
        <v>-1.825651460045415</v>
      </c>
      <c r="AX24" s="7">
        <f>AW24+預測IC!AX24</f>
        <v>-1.9371427969616306</v>
      </c>
      <c r="AY24" s="7">
        <f>AX24+預測IC!AY24</f>
        <v>-1.6697070522751605</v>
      </c>
      <c r="AZ24" s="7">
        <f>AY24+預測IC!AZ24</f>
        <v>-2.2796066124599372</v>
      </c>
      <c r="BA24" s="7">
        <f>AZ24+預測IC!BA24</f>
        <v>-2.1778239181499948</v>
      </c>
      <c r="BB24" s="7">
        <f>BA24+預測IC!BB24</f>
        <v>-1.3051207690435045</v>
      </c>
      <c r="BC24" s="7">
        <f>BB24+預測IC!BC24</f>
        <v>-1.3094876386578878</v>
      </c>
      <c r="BD24" s="7">
        <f>BC24+預測IC!BD24</f>
        <v>-1.1369174999445475</v>
      </c>
      <c r="BE24" s="7">
        <f>BD24+預測IC!BE24</f>
        <v>-1.0795369619594672</v>
      </c>
      <c r="BF24" s="7">
        <f>BE24+預測IC!BF24</f>
        <v>-0.99188562590537499</v>
      </c>
      <c r="BG24" s="7">
        <f>BF24+預測IC!BG24</f>
        <v>-0.96504966003906412</v>
      </c>
      <c r="BH24" s="7">
        <f>BG24+預測IC!BH24</f>
        <v>-0.95548020902291342</v>
      </c>
      <c r="BI24" s="7">
        <f>BH24+預測IC!BI24</f>
        <v>-0.92732857687473524</v>
      </c>
      <c r="BJ24" s="7">
        <f>BI24+預測IC!BJ24</f>
        <v>-0.86676132255227589</v>
      </c>
      <c r="BK24" s="7">
        <f>BJ24+預測IC!BK24</f>
        <v>-0.87678104950134594</v>
      </c>
      <c r="BL24" s="7">
        <f>BK24+預測IC!BL24</f>
        <v>-0.98288796965251257</v>
      </c>
      <c r="BM24" s="7">
        <f>BL24+預測IC!BM24</f>
        <v>-1.0676709094915009</v>
      </c>
      <c r="BN24" s="7">
        <f>BM24+預測IC!BN24</f>
        <v>-1.0477807510122812</v>
      </c>
      <c r="BO24" s="7">
        <f>BN24+預測IC!BO24</f>
        <v>-0.83970441878115865</v>
      </c>
      <c r="BP24" s="7">
        <f>BO24+預測IC!BP24</f>
        <v>-0.87149852311104847</v>
      </c>
      <c r="BQ24" s="7">
        <f>BP24+預測IC!BQ24</f>
        <v>-0.8853559895351848</v>
      </c>
      <c r="BR24" s="7">
        <f>BQ24+預測IC!BR24</f>
        <v>-0.98427687872042646</v>
      </c>
      <c r="BS24" s="7">
        <f>BR24+預測IC!BS24</f>
        <v>-0.86265584219081992</v>
      </c>
      <c r="BT24" s="7">
        <f>BS24+預測IC!BT24</f>
        <v>-0.80685658588256337</v>
      </c>
      <c r="BU24" s="7">
        <f>BT24+預測IC!BU24</f>
        <v>-0.57852995432262266</v>
      </c>
      <c r="BV24" s="7">
        <f>BU24+預測IC!BV24</f>
        <v>-0.62478866006328559</v>
      </c>
      <c r="BW24" s="7">
        <f>BV24+預測IC!BW24</f>
        <v>-0.47376121464086618</v>
      </c>
      <c r="BX24" s="7">
        <f>BW24+預測IC!BX24</f>
        <v>-0.53180458429078126</v>
      </c>
      <c r="BY24" s="7">
        <f>BX24+預測IC!BY24</f>
        <v>-0.41339635324047946</v>
      </c>
      <c r="BZ24" s="7">
        <f>BY24+預測IC!BZ24</f>
        <v>-9.3066925982921878E-2</v>
      </c>
      <c r="CA24" s="7">
        <f>BZ24+預測IC!CA24</f>
        <v>-7.7147871956887437E-3</v>
      </c>
      <c r="CB24" s="7">
        <f>CA24+預測IC!CB24</f>
        <v>-7.1841870351730827E-2</v>
      </c>
      <c r="CC24" s="7">
        <f>CB24+預測IC!CC24</f>
        <v>0.36801264191520278</v>
      </c>
      <c r="CD24" s="7">
        <f>CC24+預測IC!CD24</f>
        <v>0.51231895265739769</v>
      </c>
      <c r="CE24" s="7">
        <f>CD24+預測IC!CE24</f>
        <v>0.3330151687908815</v>
      </c>
      <c r="CF24" s="7">
        <f>CE24+預測IC!CF24</f>
        <v>0.37697980278761306</v>
      </c>
      <c r="CG24" s="7">
        <f>CF24+預測IC!CG24</f>
        <v>-0.14298916328630901</v>
      </c>
      <c r="CH24" s="7">
        <f>CG24+預測IC!CH24</f>
        <v>6.9983720743009292E-2</v>
      </c>
      <c r="CI24" s="7">
        <f>CH24+預測IC!CI24</f>
        <v>0.36358336439269318</v>
      </c>
      <c r="CJ24" s="7">
        <f>CI24+預測IC!CJ24</f>
        <v>0.66377025798294853</v>
      </c>
      <c r="CK24" s="7">
        <f>CJ24+預測IC!CK24</f>
        <v>0.34071099265456445</v>
      </c>
      <c r="CL24" s="7">
        <f>CK24+預測IC!CL24</f>
        <v>0.32502724476519795</v>
      </c>
      <c r="CM24" s="7">
        <f>CL24+預測IC!CM24</f>
        <v>0.36971578308912995</v>
      </c>
      <c r="CN24" s="7">
        <f>CM24+預測IC!CN24</f>
        <v>0.97939298035620426</v>
      </c>
      <c r="CO24" s="7">
        <f>CN24+預測IC!CO24</f>
        <v>0.40698337062152923</v>
      </c>
      <c r="CP24" s="7">
        <f>CO24+預測IC!CP24</f>
        <v>0.60505071616862227</v>
      </c>
      <c r="CQ24" s="7">
        <f>CP24+預測IC!CQ24</f>
        <v>0.4448610695411217</v>
      </c>
      <c r="CR24" s="7">
        <f>CQ24+預測IC!CR24</f>
        <v>0.34804316234978327</v>
      </c>
      <c r="CS24" s="7">
        <f>CR24+預測IC!CS24</f>
        <v>0.24006892641075578</v>
      </c>
      <c r="CT24" s="7">
        <f>CS24+預測IC!CT24</f>
        <v>5.7172339118639282E-2</v>
      </c>
      <c r="CU24" s="7">
        <f>CT24+預測IC!CU24</f>
        <v>0.10990138393229409</v>
      </c>
      <c r="CV24" s="7">
        <f>CU24+預測IC!CV24</f>
        <v>-7.2962710974928902E-2</v>
      </c>
      <c r="CW24" s="7">
        <f>CV24+預測IC!CW24</f>
        <v>0.10215445509707849</v>
      </c>
      <c r="CX24" s="7">
        <f>CW24+預測IC!CX24</f>
        <v>-4.4540170573208998E-2</v>
      </c>
      <c r="CY24" s="7">
        <f>CX24+預測IC!CY24</f>
        <v>0.31568787619552874</v>
      </c>
      <c r="CZ24" s="7">
        <f>CY24+預測IC!CZ24</f>
        <v>0.15358096631736845</v>
      </c>
      <c r="DA24" s="7">
        <f>CZ24+預測IC!DA24</f>
        <v>0.1780921704801233</v>
      </c>
      <c r="DB24" s="7">
        <f>DA24+預測IC!DB24</f>
        <v>-0.77001741889984587</v>
      </c>
      <c r="DC24" s="7">
        <f>DB24+預測IC!DC24</f>
        <v>-0.4872876401713277</v>
      </c>
      <c r="DD24" s="7">
        <f>DC24+預測IC!DD24</f>
        <v>-0.29144291798888639</v>
      </c>
      <c r="DE24" s="7">
        <f>DD24+預測IC!DE24</f>
        <v>-0.15985732669335359</v>
      </c>
      <c r="DF24" s="7">
        <f>DE24+預測IC!DF24</f>
        <v>0.36572767945114437</v>
      </c>
      <c r="DG24" s="7">
        <f>DF24+預測IC!DG24</f>
        <v>0.61431666218437431</v>
      </c>
      <c r="DH24" s="7">
        <f>DG24+預測IC!DH24</f>
        <v>0.51148381820285982</v>
      </c>
      <c r="DI24" s="7">
        <f>DH24+預測IC!DI24</f>
        <v>8.8385018474520793E-2</v>
      </c>
      <c r="DJ24" s="7">
        <f>DI24+預測IC!DJ24</f>
        <v>0.31775489300561022</v>
      </c>
      <c r="DK24" s="7">
        <f>DJ24+預測IC!DK24</f>
        <v>0.48377662135986021</v>
      </c>
      <c r="DL24" s="7">
        <f>DK24+預測IC!DL24</f>
        <v>0.42241610814444336</v>
      </c>
      <c r="DM24" s="7">
        <f>DL24+預測IC!DM24</f>
        <v>0.31410001301825835</v>
      </c>
      <c r="DN24" s="7">
        <f>DM24+預測IC!DN24</f>
        <v>0.83094795201579053</v>
      </c>
      <c r="DO24" s="7">
        <f>DN24+預測IC!DO24</f>
        <v>0.9140622416057963</v>
      </c>
      <c r="DP24" s="7">
        <f>DO24+預測IC!DP24</f>
        <v>0.69049041812209944</v>
      </c>
      <c r="DQ24" s="7">
        <f>DP24+預測IC!DQ24</f>
        <v>1.0495617202187479</v>
      </c>
      <c r="DR24" s="7">
        <f>DQ24+預測IC!DR24</f>
        <v>1.0290460900067187</v>
      </c>
      <c r="DS24" s="7">
        <f>DR24+預測IC!DS24</f>
        <v>0.88503911516790434</v>
      </c>
      <c r="DT24" s="7">
        <f>DS24+預測IC!DT24</f>
        <v>0.85560338877904096</v>
      </c>
      <c r="DU24" s="7">
        <f>DT24+預測IC!DU24</f>
        <v>1.6261466965349998</v>
      </c>
      <c r="DV24" s="7">
        <f>DU24+預測IC!DV24</f>
        <v>0.87569014734577855</v>
      </c>
      <c r="DW24" s="7">
        <f>DV24+預測IC!DW24</f>
        <v>0.49232690640057264</v>
      </c>
      <c r="DX24" s="7">
        <f>DW24+預測IC!DX24</f>
        <v>0.31858957595249343</v>
      </c>
      <c r="DY24" s="7">
        <f>DX24+預測IC!DY24</f>
        <v>0.35065611168244498</v>
      </c>
      <c r="DZ24" s="7">
        <f>DY24+預測IC!DZ24</f>
        <v>0.30175144742364518</v>
      </c>
      <c r="EA24" s="7">
        <f>DZ24+預測IC!EA24</f>
        <v>0.2785799455769703</v>
      </c>
      <c r="EB24" s="7">
        <f>EA24+預測IC!EB24</f>
        <v>0.86827786257606077</v>
      </c>
      <c r="EC24" s="7">
        <f>EB24+預測IC!EC24</f>
        <v>0.85396794380538188</v>
      </c>
      <c r="ED24" s="7">
        <f>EC24+預測IC!ED24</f>
        <v>0.7977950985070198</v>
      </c>
      <c r="EE24" s="7">
        <f>ED24+預測IC!EE24</f>
        <v>0.76213111563605507</v>
      </c>
      <c r="EF24" s="7">
        <f>EE24+預測IC!EF24</f>
        <v>0.6331733425576167</v>
      </c>
    </row>
    <row r="25" spans="1:136" s="5" customFormat="1" x14ac:dyDescent="0.3">
      <c r="A25" s="10" t="s">
        <v>145</v>
      </c>
      <c r="B25" s="10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G25"/>
  <sheetViews>
    <sheetView zoomScale="80" workbookViewId="0"/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4.0547288954257972E-2</v>
      </c>
      <c r="D3" s="7">
        <v>1.474617514759302E-2</v>
      </c>
      <c r="E3" s="7">
        <v>-5.1652342081069953E-2</v>
      </c>
      <c r="F3" s="7">
        <v>-5.4286114871501923E-2</v>
      </c>
      <c r="G3" s="7">
        <v>-5.7552006095647812E-2</v>
      </c>
      <c r="H3" s="7">
        <v>-7.6259449124336243E-2</v>
      </c>
      <c r="I3" s="7">
        <v>-0.107886478304863</v>
      </c>
      <c r="J3" s="7">
        <v>1.373711228370667E-2</v>
      </c>
      <c r="K3" s="7">
        <v>-5.9229228645563133E-2</v>
      </c>
      <c r="L3" s="7">
        <v>-0.1078036949038506</v>
      </c>
      <c r="M3" s="7">
        <v>2.4141319096088409E-2</v>
      </c>
      <c r="N3" s="7">
        <v>-0.1346741318702698</v>
      </c>
      <c r="O3" s="7">
        <v>-7.92685616761446E-3</v>
      </c>
      <c r="P3" s="7">
        <v>-7.5651742517948151E-2</v>
      </c>
      <c r="Q3" s="7">
        <v>-8.6447760462760925E-2</v>
      </c>
      <c r="R3" s="7">
        <v>-3.0133344698697329E-3</v>
      </c>
      <c r="S3" s="7">
        <v>-4.0853243321180337E-2</v>
      </c>
      <c r="T3" s="7">
        <v>-3.2101776450872421E-2</v>
      </c>
      <c r="U3" s="7">
        <v>-0.10543976724147799</v>
      </c>
      <c r="V3" s="7">
        <v>-4.5746464282274253E-2</v>
      </c>
      <c r="W3" s="7">
        <v>-6.8120560608804226E-3</v>
      </c>
      <c r="X3" s="7">
        <v>9.7701430320739746E-2</v>
      </c>
      <c r="Y3" s="7">
        <v>6.1205495148897171E-2</v>
      </c>
      <c r="Z3" s="7">
        <v>1.6075653955340389E-2</v>
      </c>
      <c r="AA3" s="7">
        <v>-1.270355191081762E-2</v>
      </c>
      <c r="AB3" s="7">
        <v>-1.026225462555885E-2</v>
      </c>
      <c r="AC3" s="7">
        <v>2.934014052152634E-2</v>
      </c>
      <c r="AD3" s="7">
        <v>-5.8081243187189102E-3</v>
      </c>
      <c r="AE3" s="7">
        <v>1.1994774453341959E-2</v>
      </c>
      <c r="AF3" s="7">
        <v>3.9971381425857537E-2</v>
      </c>
      <c r="AG3" s="7">
        <v>-1.210324652493E-2</v>
      </c>
      <c r="AH3" s="7">
        <v>2.2090664133429531E-2</v>
      </c>
      <c r="AI3" s="7">
        <v>2.1936081349849701E-2</v>
      </c>
      <c r="AJ3" s="7">
        <v>2.584474720060825E-2</v>
      </c>
      <c r="AK3" s="7">
        <v>-2.3109074681997299E-3</v>
      </c>
      <c r="AL3" s="7">
        <v>-2.0252099260687832E-2</v>
      </c>
      <c r="AM3" s="7">
        <v>2.2393656894564629E-2</v>
      </c>
      <c r="AN3" s="7">
        <v>-3.5141657572239642E-3</v>
      </c>
      <c r="AO3" s="7">
        <v>-2.9745671898126599E-2</v>
      </c>
      <c r="AP3" s="7">
        <v>-2.683783695101738E-2</v>
      </c>
      <c r="AQ3" s="7">
        <v>-2.169711887836456E-2</v>
      </c>
      <c r="AR3" s="7">
        <v>2.3448716849088669E-2</v>
      </c>
      <c r="AS3" s="7">
        <v>1.5802856534719471E-2</v>
      </c>
      <c r="AT3" s="7">
        <v>6.6039755940437317E-2</v>
      </c>
      <c r="AU3" s="7">
        <v>6.2266789376735687E-2</v>
      </c>
      <c r="AV3" s="7">
        <v>5.7940512895584113E-2</v>
      </c>
      <c r="AW3" s="7">
        <v>0.1063941121101379</v>
      </c>
      <c r="AX3" s="7">
        <v>-5.7518132962286472E-3</v>
      </c>
      <c r="AY3" s="7">
        <v>3.4562649670988321E-3</v>
      </c>
      <c r="AZ3" s="7">
        <v>8.6036309599876404E-2</v>
      </c>
      <c r="BA3" s="7">
        <v>0.10234846919775011</v>
      </c>
      <c r="BB3" s="7">
        <v>6.3502728939056396E-2</v>
      </c>
      <c r="BC3" s="7">
        <v>4.844263568520546E-2</v>
      </c>
      <c r="BD3" s="7">
        <v>7.7497914433479309E-2</v>
      </c>
      <c r="BE3" s="7">
        <v>2.7031764388084412E-2</v>
      </c>
      <c r="BF3" s="7">
        <v>2.1175272762775421E-2</v>
      </c>
      <c r="BG3" s="7">
        <v>-1.226798165589571E-2</v>
      </c>
      <c r="BH3" s="7">
        <v>5.1240973174571991E-2</v>
      </c>
      <c r="BI3" s="7">
        <v>5.5158428847789757E-2</v>
      </c>
      <c r="BJ3" s="7">
        <v>8.664897084236145E-2</v>
      </c>
      <c r="BK3" s="7">
        <v>8.1092678010463715E-2</v>
      </c>
      <c r="BL3" s="7">
        <v>5.7930886745452881E-2</v>
      </c>
      <c r="BM3" s="7">
        <v>1.4249543659389021E-2</v>
      </c>
      <c r="BN3" s="7">
        <v>-4.6854224056005478E-3</v>
      </c>
      <c r="BO3" s="7">
        <v>4.5861139893531799E-2</v>
      </c>
      <c r="BP3" s="7">
        <v>8.6037963628768921E-2</v>
      </c>
      <c r="BQ3" s="7">
        <v>0.144142210483551</v>
      </c>
      <c r="BR3" s="7">
        <v>3.7985831499099731E-2</v>
      </c>
      <c r="BS3" s="7">
        <v>8.1880234181880951E-2</v>
      </c>
      <c r="BT3" s="7">
        <v>4.3688308447599411E-2</v>
      </c>
      <c r="BU3" s="7">
        <v>0.10545723885297779</v>
      </c>
      <c r="BV3" s="7">
        <v>0.1175376549363136</v>
      </c>
      <c r="BW3" s="7">
        <v>9.2942401766777039E-2</v>
      </c>
      <c r="BX3" s="7">
        <v>3.5637497901916497E-2</v>
      </c>
      <c r="BY3" s="7">
        <v>4.2925089597702033E-2</v>
      </c>
      <c r="BZ3" s="7">
        <v>9.8455093801021576E-2</v>
      </c>
      <c r="CA3" s="7">
        <v>1.8217885866761211E-2</v>
      </c>
      <c r="CB3" s="7">
        <v>1.9438756629824638E-2</v>
      </c>
      <c r="CC3" s="7">
        <v>-5.0573386251926422E-3</v>
      </c>
      <c r="CD3" s="7">
        <v>-5.7951014488935471E-2</v>
      </c>
      <c r="CE3" s="7">
        <v>-1.193848438560963E-2</v>
      </c>
      <c r="CF3" s="7">
        <v>6.4156758598983288E-3</v>
      </c>
      <c r="CG3" s="7">
        <v>5.6247138418257236E-3</v>
      </c>
      <c r="CH3" s="7">
        <v>5.8184977620840073E-2</v>
      </c>
      <c r="CI3" s="7">
        <v>1.276898570358753E-2</v>
      </c>
      <c r="CJ3" s="7">
        <v>-8.0891326069831848E-2</v>
      </c>
      <c r="CK3" s="7">
        <v>7.3738843202590942E-2</v>
      </c>
      <c r="CL3" s="7">
        <v>6.7692369222640991E-2</v>
      </c>
      <c r="CM3" s="7">
        <v>-1.829254254698753E-2</v>
      </c>
      <c r="CN3" s="7">
        <v>4.6888105571269989E-3</v>
      </c>
      <c r="CO3" s="7">
        <v>-1.2873713858425621E-2</v>
      </c>
      <c r="CP3" s="7">
        <v>-5.2108332514762878E-2</v>
      </c>
      <c r="CQ3" s="7">
        <v>-7.2693914175033569E-2</v>
      </c>
      <c r="CR3" s="7">
        <v>-6.0804408043622971E-2</v>
      </c>
      <c r="CS3" s="7">
        <v>1.5148262493312361E-2</v>
      </c>
      <c r="CT3" s="7">
        <v>-6.339031457901001E-2</v>
      </c>
      <c r="CU3" s="7">
        <v>-6.1079829931259162E-2</v>
      </c>
      <c r="CV3" s="7">
        <v>-2.170033194124699E-2</v>
      </c>
      <c r="CW3" s="7">
        <v>-6.0720678418874741E-2</v>
      </c>
      <c r="CX3" s="7">
        <v>-4.0655191987752907E-2</v>
      </c>
      <c r="CY3" s="7">
        <v>-4.5480586588382721E-2</v>
      </c>
      <c r="CZ3" s="7">
        <v>-6.9138072431087494E-2</v>
      </c>
      <c r="DA3" s="7">
        <v>-8.9778468012809753E-2</v>
      </c>
      <c r="DB3" s="7">
        <v>-6.527487188577652E-2</v>
      </c>
      <c r="DC3" s="7">
        <v>-1.3747443445026869E-2</v>
      </c>
      <c r="DD3" s="7">
        <v>-5.9340178966522217E-2</v>
      </c>
      <c r="DE3" s="7">
        <v>-2.9697688296437259E-3</v>
      </c>
      <c r="DF3" s="7">
        <v>2.9266869649291039E-2</v>
      </c>
      <c r="DG3" s="7">
        <v>-2.4713881313800808E-2</v>
      </c>
      <c r="DH3" s="7">
        <v>-3.5376153886318207E-2</v>
      </c>
      <c r="DI3" s="7">
        <v>-2.7640743181109428E-2</v>
      </c>
      <c r="DJ3" s="7">
        <v>-5.7575446553528309E-3</v>
      </c>
      <c r="DK3" s="7">
        <v>-4.8771854490041733E-2</v>
      </c>
      <c r="DL3" s="7">
        <v>-1.13038681447506E-2</v>
      </c>
      <c r="DM3" s="7">
        <v>-4.967803880572319E-2</v>
      </c>
      <c r="DN3" s="7">
        <v>-1.280778273940086E-2</v>
      </c>
      <c r="DO3" s="7">
        <v>-1.587224006652832E-2</v>
      </c>
      <c r="DP3" s="7">
        <v>-7.589586079120636E-3</v>
      </c>
      <c r="DQ3" s="7">
        <v>4.0078632533550262E-2</v>
      </c>
      <c r="DR3" s="7">
        <v>-1.5922309830784801E-2</v>
      </c>
      <c r="DS3" s="7">
        <v>2.3432238027453419E-2</v>
      </c>
      <c r="DT3" s="7">
        <v>-5.3663063794374473E-2</v>
      </c>
      <c r="DU3" s="7">
        <v>-4.4161681085824973E-2</v>
      </c>
      <c r="DV3" s="7">
        <v>-2.3813089355826381E-2</v>
      </c>
      <c r="DW3" s="7">
        <v>2.5176366791129109E-2</v>
      </c>
      <c r="DX3" s="7">
        <v>-3.2621368765830987E-2</v>
      </c>
      <c r="DY3" s="7">
        <v>1.3060665689408779E-2</v>
      </c>
      <c r="DZ3" s="7">
        <v>-4.7912493348121643E-2</v>
      </c>
      <c r="EA3" s="7">
        <v>1.4760352671146389E-2</v>
      </c>
      <c r="EB3" s="7">
        <v>-2.9227724298834801E-2</v>
      </c>
      <c r="EC3" s="7">
        <v>-3.5695001482963562E-2</v>
      </c>
      <c r="ED3" s="7">
        <v>-5.2812475711107247E-2</v>
      </c>
      <c r="EE3" s="7">
        <v>-1.3054582290351391E-2</v>
      </c>
      <c r="EF3" s="7">
        <v>-6.9071874022483826E-2</v>
      </c>
      <c r="EG3" s="1"/>
    </row>
    <row r="4" spans="1:137" x14ac:dyDescent="0.3">
      <c r="B4" s="1" t="s">
        <v>138</v>
      </c>
      <c r="C4" s="7">
        <v>-1.8580827862024311E-2</v>
      </c>
      <c r="D4" s="7">
        <v>-4.8252779990434647E-2</v>
      </c>
      <c r="E4" s="7">
        <v>7.8275678679347038E-3</v>
      </c>
      <c r="F4" s="7">
        <v>-2.6776634156703949E-2</v>
      </c>
      <c r="G4" s="7">
        <v>1.6258874908089641E-2</v>
      </c>
      <c r="H4" s="7">
        <v>-8.7667405605316162E-3</v>
      </c>
      <c r="I4" s="7">
        <v>-7.0548905059695244E-3</v>
      </c>
      <c r="J4" s="7">
        <v>-3.2917611300945282E-2</v>
      </c>
      <c r="K4" s="7">
        <v>7.3888557963073254E-3</v>
      </c>
      <c r="L4" s="7">
        <v>3.5096999257802963E-2</v>
      </c>
      <c r="M4" s="7">
        <v>-1.934842579066753E-2</v>
      </c>
      <c r="N4" s="7">
        <v>-1.2498205527663229E-2</v>
      </c>
      <c r="O4" s="7">
        <v>-6.7216232419013977E-2</v>
      </c>
      <c r="P4" s="7">
        <v>-2.768821083009243E-2</v>
      </c>
      <c r="Q4" s="7">
        <v>-5.9864789247512817E-2</v>
      </c>
      <c r="R4" s="7">
        <v>-7.7407129108905792E-2</v>
      </c>
      <c r="S4" s="7">
        <v>-8.372652530670166E-2</v>
      </c>
      <c r="T4" s="7">
        <v>-5.9324655681848533E-2</v>
      </c>
      <c r="U4" s="7">
        <v>-2.3863557726144791E-3</v>
      </c>
      <c r="V4" s="7">
        <v>4.6488689258694649E-3</v>
      </c>
      <c r="W4" s="7">
        <v>-7.4044972658157349E-2</v>
      </c>
      <c r="X4" s="7">
        <v>-9.8803862929344177E-2</v>
      </c>
      <c r="Y4" s="7">
        <v>-9.1002114117145538E-2</v>
      </c>
      <c r="Z4" s="7">
        <v>-6.800408661365509E-2</v>
      </c>
      <c r="AA4" s="7">
        <v>-8.6181230843067169E-2</v>
      </c>
      <c r="AB4" s="7">
        <v>-8.889392763376236E-2</v>
      </c>
      <c r="AC4" s="7">
        <v>-1.6588440164923671E-2</v>
      </c>
      <c r="AD4" s="7">
        <v>6.3448823988437653E-2</v>
      </c>
      <c r="AE4" s="7">
        <v>-5.9580553323030472E-2</v>
      </c>
      <c r="AF4" s="7">
        <v>1.096150139346719E-3</v>
      </c>
      <c r="AG4" s="7">
        <v>2.8850741684436802E-2</v>
      </c>
      <c r="AH4" s="7">
        <v>2.907080203294754E-2</v>
      </c>
      <c r="AI4" s="7">
        <v>-1.015707012265921E-2</v>
      </c>
      <c r="AJ4" s="7">
        <v>4.4545106589794159E-2</v>
      </c>
      <c r="AK4" s="7">
        <v>-1.327527966350317E-2</v>
      </c>
      <c r="AL4" s="7">
        <v>1.4735002070665359E-2</v>
      </c>
      <c r="AM4" s="7">
        <v>5.2847121842205516E-3</v>
      </c>
      <c r="AN4" s="7">
        <v>4.7137059271335602E-2</v>
      </c>
      <c r="AO4" s="7">
        <v>7.4655739590525627E-3</v>
      </c>
      <c r="AP4" s="7">
        <v>4.6993391588330269E-3</v>
      </c>
      <c r="AQ4" s="7">
        <v>2.0851189270615581E-2</v>
      </c>
      <c r="AR4" s="7">
        <v>5.4104723036289222E-2</v>
      </c>
      <c r="AS4" s="7">
        <v>-5.646181758493185E-3</v>
      </c>
      <c r="AT4" s="7">
        <v>4.0453299880027771E-3</v>
      </c>
      <c r="AU4" s="7">
        <v>2.0628450438380241E-2</v>
      </c>
      <c r="AV4" s="7">
        <v>2.111388556659222E-2</v>
      </c>
      <c r="AW4" s="7">
        <v>-4.1878089308738708E-2</v>
      </c>
      <c r="AX4" s="7">
        <v>1.5781458467245098E-2</v>
      </c>
      <c r="AY4" s="7">
        <v>-2.299829013645649E-2</v>
      </c>
      <c r="AZ4" s="7">
        <v>5.878029391169548E-3</v>
      </c>
      <c r="BA4" s="7">
        <v>-2.1811418235301971E-2</v>
      </c>
      <c r="BB4" s="7">
        <v>-7.6676465570926666E-2</v>
      </c>
      <c r="BC4" s="7">
        <v>1.004549115896225E-2</v>
      </c>
      <c r="BD4" s="7">
        <v>-4.7882307320833213E-2</v>
      </c>
      <c r="BE4" s="7">
        <v>-6.8554230034351349E-2</v>
      </c>
      <c r="BF4" s="7">
        <v>-8.2745306193828583E-2</v>
      </c>
      <c r="BG4" s="7">
        <v>-0.1204242408275604</v>
      </c>
      <c r="BH4" s="7">
        <v>-0.10103762894868849</v>
      </c>
      <c r="BI4" s="7">
        <v>-3.9490096271038062E-2</v>
      </c>
      <c r="BJ4" s="7">
        <v>-6.4256303012371063E-2</v>
      </c>
      <c r="BK4" s="7">
        <v>-0.14447127282619479</v>
      </c>
      <c r="BL4" s="7">
        <v>-0.1120113208889961</v>
      </c>
      <c r="BM4" s="7">
        <v>-3.4826010465621948E-2</v>
      </c>
      <c r="BN4" s="7">
        <v>-8.5986465215682983E-2</v>
      </c>
      <c r="BO4" s="7">
        <v>-7.0973977446556091E-2</v>
      </c>
      <c r="BP4" s="7">
        <v>-3.4846525639295578E-2</v>
      </c>
      <c r="BQ4" s="7">
        <v>-2.0351750776171681E-2</v>
      </c>
      <c r="BR4" s="7">
        <v>-2.315560914576054E-2</v>
      </c>
      <c r="BS4" s="7">
        <v>-3.2191596925258643E-2</v>
      </c>
      <c r="BT4" s="7">
        <v>-6.8826571106910706E-2</v>
      </c>
      <c r="BU4" s="7">
        <v>-9.2764981091022491E-2</v>
      </c>
      <c r="BV4" s="7">
        <v>-8.1678107380867004E-2</v>
      </c>
      <c r="BW4" s="7">
        <v>-6.8563610315322876E-2</v>
      </c>
      <c r="BX4" s="7">
        <v>-1.983198523521423E-2</v>
      </c>
      <c r="BY4" s="7">
        <v>-6.1186797916889191E-2</v>
      </c>
      <c r="BZ4" s="7">
        <v>-7.0581048727035522E-2</v>
      </c>
      <c r="CA4" s="7">
        <v>-7.2609454393386841E-2</v>
      </c>
      <c r="CB4" s="7">
        <v>-8.8862821459770203E-2</v>
      </c>
      <c r="CC4" s="7">
        <v>-6.5672166645526886E-2</v>
      </c>
      <c r="CD4" s="7">
        <v>-7.0492014288902283E-2</v>
      </c>
      <c r="CE4" s="7">
        <v>-8.9266888797283173E-2</v>
      </c>
      <c r="CF4" s="7">
        <v>-1.9554028287529949E-2</v>
      </c>
      <c r="CG4" s="7">
        <v>-3.8807325065135963E-2</v>
      </c>
      <c r="CH4" s="7">
        <v>-2.6853706687688831E-2</v>
      </c>
      <c r="CI4" s="7">
        <v>-2.3996761068701741E-2</v>
      </c>
      <c r="CJ4" s="7">
        <v>-6.9834161549806586E-3</v>
      </c>
      <c r="CK4" s="7">
        <v>-1.185638178139925E-2</v>
      </c>
      <c r="CL4" s="7">
        <v>-1.1220706626772881E-2</v>
      </c>
      <c r="CM4" s="7">
        <v>-1.975167170166969E-2</v>
      </c>
      <c r="CN4" s="7">
        <v>-1.7389096319675449E-2</v>
      </c>
      <c r="CO4" s="7">
        <v>9.1980240540578961E-4</v>
      </c>
      <c r="CP4" s="7">
        <v>-2.7678526937961578E-2</v>
      </c>
      <c r="CQ4" s="7">
        <v>-2.722612768411636E-2</v>
      </c>
      <c r="CR4" s="7">
        <v>-3.4191105514764793E-2</v>
      </c>
      <c r="CS4" s="7">
        <v>-3.7506073713302612E-2</v>
      </c>
      <c r="CT4" s="7">
        <v>-4.9283858388662338E-2</v>
      </c>
      <c r="CU4" s="7">
        <v>-2.3866469040513039E-2</v>
      </c>
      <c r="CV4" s="7">
        <v>-2.7314594481140379E-3</v>
      </c>
      <c r="CW4" s="7">
        <v>2.5829777121543881E-2</v>
      </c>
      <c r="CX4" s="7">
        <v>-7.7818602323532104E-2</v>
      </c>
      <c r="CY4" s="7">
        <v>-1.714335381984711E-2</v>
      </c>
      <c r="CZ4" s="7">
        <v>6.4833508804440498E-3</v>
      </c>
      <c r="DA4" s="7">
        <v>2.1121479570865631E-2</v>
      </c>
      <c r="DB4" s="7">
        <v>1.6250079497694969E-3</v>
      </c>
      <c r="DC4" s="7">
        <v>1.4495826326310629E-2</v>
      </c>
      <c r="DD4" s="7">
        <v>3.7542592734098428E-2</v>
      </c>
      <c r="DE4" s="7">
        <v>-4.7325566411018372E-2</v>
      </c>
      <c r="DF4" s="7">
        <v>3.3347133547067642E-2</v>
      </c>
      <c r="DG4" s="7">
        <v>-1.8042853102087971E-2</v>
      </c>
      <c r="DH4" s="7">
        <v>-1.2872833758592611E-2</v>
      </c>
      <c r="DI4" s="7">
        <v>2.5734813883900639E-2</v>
      </c>
      <c r="DJ4" s="7">
        <v>1.416372787207365E-2</v>
      </c>
      <c r="DK4" s="7">
        <v>-3.316790983080864E-2</v>
      </c>
      <c r="DL4" s="7">
        <v>-2.1062262356281281E-2</v>
      </c>
      <c r="DM4" s="7">
        <v>1.4148561283946041E-2</v>
      </c>
      <c r="DN4" s="7">
        <v>-1.9859654828906059E-2</v>
      </c>
      <c r="DO4" s="7">
        <v>-3.856055811047554E-2</v>
      </c>
      <c r="DP4" s="7">
        <v>5.259593203663826E-2</v>
      </c>
      <c r="DQ4" s="7">
        <v>5.0834372639656067E-2</v>
      </c>
      <c r="DR4" s="7">
        <v>3.4424390643835068E-2</v>
      </c>
      <c r="DS4" s="7">
        <v>2.6739172637462619E-2</v>
      </c>
      <c r="DT4" s="7">
        <v>-2.2692034021019939E-2</v>
      </c>
      <c r="DU4" s="7">
        <v>2.356254868209362E-2</v>
      </c>
      <c r="DV4" s="7">
        <v>1.1204046197235581E-2</v>
      </c>
      <c r="DW4" s="7">
        <v>9.7593218088150024E-3</v>
      </c>
      <c r="DX4" s="7">
        <v>-1.200891844928265E-2</v>
      </c>
      <c r="DY4" s="7">
        <v>-1.29100177437067E-2</v>
      </c>
      <c r="DZ4" s="7">
        <v>1.4516728930175299E-2</v>
      </c>
      <c r="EA4" s="7">
        <v>2.0058911293745041E-2</v>
      </c>
      <c r="EB4" s="7">
        <v>5.2505847066640847E-2</v>
      </c>
      <c r="EC4" s="7">
        <v>3.2138381153345108E-2</v>
      </c>
      <c r="ED4" s="7">
        <v>-9.5858694985508919E-3</v>
      </c>
      <c r="EE4" s="7">
        <v>1.6591379418969151E-2</v>
      </c>
      <c r="EF4" s="7">
        <v>2.4656090885400769E-2</v>
      </c>
      <c r="EG4" s="1"/>
    </row>
    <row r="5" spans="1:137" x14ac:dyDescent="0.3">
      <c r="B5" s="1" t="s">
        <v>139</v>
      </c>
      <c r="C5" s="7">
        <v>-1.9821943715214729E-2</v>
      </c>
      <c r="D5" s="7">
        <v>-2.4067563936114311E-2</v>
      </c>
      <c r="E5" s="7">
        <v>-7.5782481580972672E-3</v>
      </c>
      <c r="F5" s="7">
        <v>3.8560427725315087E-2</v>
      </c>
      <c r="G5" s="7">
        <v>-7.0930332876741886E-3</v>
      </c>
      <c r="H5" s="7">
        <v>-2.8790984302759171E-2</v>
      </c>
      <c r="I5" s="7">
        <v>-5.0696283578872681E-2</v>
      </c>
      <c r="J5" s="7">
        <v>-1.75021740142256E-3</v>
      </c>
      <c r="K5" s="7">
        <v>-4.8410315066576004E-3</v>
      </c>
      <c r="L5" s="7">
        <v>-2.5085138157010078E-2</v>
      </c>
      <c r="M5" s="7">
        <v>3.4981705248355872E-2</v>
      </c>
      <c r="N5" s="7">
        <v>7.1464717388153076E-2</v>
      </c>
      <c r="O5" s="7">
        <v>4.9568243324756622E-2</v>
      </c>
      <c r="P5" s="7">
        <v>9.211605042219162E-2</v>
      </c>
      <c r="Q5" s="7">
        <v>7.458747923374176E-2</v>
      </c>
      <c r="R5" s="7">
        <v>3.6225240677595139E-2</v>
      </c>
      <c r="S5" s="7">
        <v>6.8880669772624969E-2</v>
      </c>
      <c r="T5" s="7">
        <v>5.0580024719238281E-2</v>
      </c>
      <c r="U5" s="7">
        <v>5.0022769719362259E-2</v>
      </c>
      <c r="V5" s="7">
        <v>6.5072879195213318E-2</v>
      </c>
      <c r="W5" s="7">
        <v>8.2305394113063812E-2</v>
      </c>
      <c r="X5" s="7">
        <v>4.979049414396286E-2</v>
      </c>
      <c r="Y5" s="7">
        <v>0.16213490068912509</v>
      </c>
      <c r="Z5" s="7">
        <v>4.9829393625259399E-2</v>
      </c>
      <c r="AA5" s="7">
        <v>-9.6141993999481201E-3</v>
      </c>
      <c r="AB5" s="7">
        <v>-9.4462800770998001E-3</v>
      </c>
      <c r="AC5" s="7">
        <v>-1.5571466647088529E-2</v>
      </c>
      <c r="AD5" s="7">
        <v>-5.6024580262601384E-3</v>
      </c>
      <c r="AE5" s="7">
        <v>2.4225909262895581E-2</v>
      </c>
      <c r="AF5" s="7">
        <v>6.4355872571468353E-2</v>
      </c>
      <c r="AG5" s="7">
        <v>6.0781430453062057E-2</v>
      </c>
      <c r="AH5" s="7">
        <v>2.877256274223328E-2</v>
      </c>
      <c r="AI5" s="7">
        <v>4.2393732815980911E-2</v>
      </c>
      <c r="AJ5" s="7">
        <v>1.3549104332923889E-2</v>
      </c>
      <c r="AK5" s="7">
        <v>0.104340173304081</v>
      </c>
      <c r="AL5" s="7">
        <v>2.3477694019675251E-2</v>
      </c>
      <c r="AM5" s="7">
        <v>4.9679871648550027E-2</v>
      </c>
      <c r="AN5" s="7">
        <v>-1.9429741427302361E-2</v>
      </c>
      <c r="AO5" s="7">
        <v>-9.9202198907732964E-3</v>
      </c>
      <c r="AP5" s="7">
        <v>1.375884562730789E-2</v>
      </c>
      <c r="AQ5" s="7">
        <v>-4.9647921696305266E-3</v>
      </c>
      <c r="AR5" s="7">
        <v>-1.355784293264151E-2</v>
      </c>
      <c r="AS5" s="7">
        <v>-2.6926254853606221E-2</v>
      </c>
      <c r="AT5" s="7">
        <v>-7.0274341851472846E-3</v>
      </c>
      <c r="AU5" s="7">
        <v>9.5545966178178787E-3</v>
      </c>
      <c r="AV5" s="7">
        <v>3.9484385401010513E-2</v>
      </c>
      <c r="AW5" s="7">
        <v>1.0149263776838779E-2</v>
      </c>
      <c r="AX5" s="7">
        <v>2.7402361854910851E-2</v>
      </c>
      <c r="AY5" s="7">
        <v>3.636043518781662E-2</v>
      </c>
      <c r="AZ5" s="7">
        <v>-1.262158527970314E-2</v>
      </c>
      <c r="BA5" s="7">
        <v>5.0261570140719414E-3</v>
      </c>
      <c r="BB5" s="7">
        <v>3.7919752299785607E-2</v>
      </c>
      <c r="BC5" s="7">
        <v>5.3017329424619668E-2</v>
      </c>
      <c r="BD5" s="7">
        <v>-5.6791070848703377E-2</v>
      </c>
      <c r="BE5" s="7">
        <v>-1.0663941502571109E-2</v>
      </c>
      <c r="BF5" s="7">
        <v>-4.5907318592071533E-2</v>
      </c>
      <c r="BG5" s="7">
        <v>-4.1811093688011169E-2</v>
      </c>
      <c r="BH5" s="7">
        <v>-8.6124790832400322E-3</v>
      </c>
      <c r="BI5" s="7">
        <v>5.799414124339819E-3</v>
      </c>
      <c r="BJ5" s="7">
        <v>-1.243619527667761E-2</v>
      </c>
      <c r="BK5" s="7">
        <v>2.8031732887029651E-2</v>
      </c>
      <c r="BL5" s="7">
        <v>1.237457524985075E-2</v>
      </c>
      <c r="BM5" s="7">
        <v>3.3071968704462051E-2</v>
      </c>
      <c r="BN5" s="7">
        <v>5.3148314356803887E-2</v>
      </c>
      <c r="BO5" s="7">
        <v>-2.6408641133457422E-4</v>
      </c>
      <c r="BP5" s="7">
        <v>2.5249753147363659E-2</v>
      </c>
      <c r="BQ5" s="7">
        <v>1.6997437924146649E-2</v>
      </c>
      <c r="BR5" s="7">
        <v>3.9869185537099838E-2</v>
      </c>
      <c r="BS5" s="7">
        <v>1.4649398624897E-2</v>
      </c>
      <c r="BT5" s="7">
        <v>-1.352826133370399E-3</v>
      </c>
      <c r="BU5" s="7">
        <v>-1.624243147671223E-2</v>
      </c>
      <c r="BV5" s="7">
        <v>-1.9686918705701831E-2</v>
      </c>
      <c r="BW5" s="7">
        <v>1.865353994071484E-2</v>
      </c>
      <c r="BX5" s="7">
        <v>1.243885513395071E-2</v>
      </c>
      <c r="BY5" s="7">
        <v>1.172025687992573E-2</v>
      </c>
      <c r="BZ5" s="7">
        <v>2.6449056342244152E-2</v>
      </c>
      <c r="CA5" s="7">
        <v>2.04578060656786E-2</v>
      </c>
      <c r="CB5" s="7">
        <v>-1.0790687054395681E-2</v>
      </c>
      <c r="CC5" s="7">
        <v>2.7279853820800781E-2</v>
      </c>
      <c r="CD5" s="7">
        <v>-2.825878094881773E-3</v>
      </c>
      <c r="CE5" s="7">
        <v>-3.9107587188482278E-2</v>
      </c>
      <c r="CF5" s="7">
        <v>2.643934823572636E-2</v>
      </c>
      <c r="CG5" s="7">
        <v>-1.353815849870443E-2</v>
      </c>
      <c r="CH5" s="7">
        <v>3.3741135150194168E-2</v>
      </c>
      <c r="CI5" s="7">
        <v>-1.802918687462807E-2</v>
      </c>
      <c r="CJ5" s="7">
        <v>7.7282674610614777E-3</v>
      </c>
      <c r="CK5" s="7">
        <v>4.5171476900577552E-2</v>
      </c>
      <c r="CL5" s="7">
        <v>-1.4336470048874621E-3</v>
      </c>
      <c r="CM5" s="7">
        <v>-4.3408293277025223E-2</v>
      </c>
      <c r="CN5" s="7">
        <v>-4.8494711518287659E-2</v>
      </c>
      <c r="CO5" s="7">
        <v>-3.4412361681461327E-2</v>
      </c>
      <c r="CP5" s="7">
        <v>-3.1831637024879463E-2</v>
      </c>
      <c r="CQ5" s="7">
        <v>-2.954593114554882E-2</v>
      </c>
      <c r="CR5" s="7">
        <v>-4.6193767338991172E-2</v>
      </c>
      <c r="CS5" s="7">
        <v>-2.2423639893531799E-2</v>
      </c>
      <c r="CT5" s="7">
        <v>2.7818739414215091E-2</v>
      </c>
      <c r="CU5" s="7">
        <v>3.4685932099819183E-2</v>
      </c>
      <c r="CV5" s="7">
        <v>2.074115909636021E-2</v>
      </c>
      <c r="CW5" s="7">
        <v>3.9250623434782028E-2</v>
      </c>
      <c r="CX5" s="7">
        <v>2.3623250424861911E-2</v>
      </c>
      <c r="CY5" s="7">
        <v>2.0947696641087529E-2</v>
      </c>
      <c r="CZ5" s="7">
        <v>2.7976941782981162E-3</v>
      </c>
      <c r="DA5" s="7">
        <v>3.1392037868499763E-2</v>
      </c>
      <c r="DB5" s="7">
        <v>2.502433024346828E-3</v>
      </c>
      <c r="DC5" s="7">
        <v>4.6531397849321372E-2</v>
      </c>
      <c r="DD5" s="7">
        <v>3.7525448948144913E-2</v>
      </c>
      <c r="DE5" s="7">
        <v>6.0277972370386117E-2</v>
      </c>
      <c r="DF5" s="7">
        <v>-1.6737030819058418E-2</v>
      </c>
      <c r="DG5" s="7">
        <v>-9.5816031098365784E-3</v>
      </c>
      <c r="DH5" s="7">
        <v>2.3357640951871868E-2</v>
      </c>
      <c r="DI5" s="7">
        <v>-4.1918892413377762E-2</v>
      </c>
      <c r="DJ5" s="7">
        <v>-1.131146331317723E-3</v>
      </c>
      <c r="DK5" s="7">
        <v>4.1163764894008643E-2</v>
      </c>
      <c r="DL5" s="7">
        <v>2.8391024097800251E-2</v>
      </c>
      <c r="DM5" s="7">
        <v>-2.8915755450725559E-2</v>
      </c>
      <c r="DN5" s="7">
        <v>-1.6116663813591E-2</v>
      </c>
      <c r="DO5" s="7">
        <v>-4.4103553518652916E-3</v>
      </c>
      <c r="DP5" s="7">
        <v>-2.803636156022549E-2</v>
      </c>
      <c r="DQ5" s="7">
        <v>3.730235388502479E-3</v>
      </c>
      <c r="DR5" s="7">
        <v>4.8961839638650417E-3</v>
      </c>
      <c r="DS5" s="7">
        <v>1.518423017114401E-2</v>
      </c>
      <c r="DT5" s="7">
        <v>-2.709389291703701E-2</v>
      </c>
      <c r="DU5" s="7">
        <v>2.157741412520409E-2</v>
      </c>
      <c r="DV5" s="7">
        <v>-1.6142900567501779E-3</v>
      </c>
      <c r="DW5" s="7">
        <v>-4.1363826021552086E-3</v>
      </c>
      <c r="DX5" s="7">
        <v>-4.4376425445079803E-2</v>
      </c>
      <c r="DY5" s="7">
        <v>-3.3609867095947273E-2</v>
      </c>
      <c r="DZ5" s="7">
        <v>-4.8759568482637412E-2</v>
      </c>
      <c r="EA5" s="7">
        <v>5.7486207224428654E-3</v>
      </c>
      <c r="EB5" s="7">
        <v>5.8685941621661186E-3</v>
      </c>
      <c r="EC5" s="7">
        <v>4.229099303483963E-2</v>
      </c>
      <c r="ED5" s="7">
        <v>2.5345668196678162E-2</v>
      </c>
      <c r="EE5" s="7">
        <v>7.0743728429079056E-3</v>
      </c>
      <c r="EF5" s="7">
        <v>3.71592678129673E-2</v>
      </c>
      <c r="EG5" s="1"/>
    </row>
    <row r="6" spans="1:137" x14ac:dyDescent="0.3">
      <c r="A6" s="13" t="s">
        <v>140</v>
      </c>
      <c r="B6" s="14"/>
      <c r="C6" s="7">
        <f t="array" ref="C6">MATCH(MAX(ABS(C3:C5)), ABS(C3:C5), 0)</f>
        <v>1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2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3</v>
      </c>
      <c r="N6" s="7">
        <f t="array" ref="N6">MATCH(MAX(ABS(N3:N5)), ABS(N3:N5), 0)</f>
        <v>1</v>
      </c>
      <c r="O6" s="7">
        <f t="array" ref="O6">MATCH(MAX(ABS(O3:O5)), ABS(O3:O5), 0)</f>
        <v>2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2</v>
      </c>
      <c r="AC6" s="7">
        <f t="array" ref="AC6">MATCH(MAX(ABS(AC3:AC5)), ABS(AC3:AC5), 0)</f>
        <v>1</v>
      </c>
      <c r="AD6" s="7">
        <f t="array" ref="AD6">MATCH(MAX(ABS(AD3:AD5)), ABS(AD3:AD5), 0)</f>
        <v>2</v>
      </c>
      <c r="AE6" s="7">
        <f t="array" ref="AE6">MATCH(MAX(ABS(AE3:AE5)), ABS(AE3:AE5), 0)</f>
        <v>2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2</v>
      </c>
      <c r="AI6" s="7">
        <f t="array" ref="AI6">MATCH(MAX(ABS(AI3:AI5)), ABS(AI3:AI5), 0)</f>
        <v>3</v>
      </c>
      <c r="AJ6" s="7">
        <f t="array" ref="AJ6">MATCH(MAX(ABS(AJ3:AJ5)), ABS(AJ3:AJ5), 0)</f>
        <v>2</v>
      </c>
      <c r="AK6" s="7">
        <f t="array" ref="AK6">MATCH(MAX(ABS(AK3:AK5)), ABS(AK3:AK5), 0)</f>
        <v>3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2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3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3</v>
      </c>
      <c r="BD6" s="7">
        <f t="array" ref="BD6">MATCH(MAX(ABS(BD3:BD5)), ABS(BD3:BD5), 0)</f>
        <v>1</v>
      </c>
      <c r="BE6" s="7">
        <f t="array" ref="BE6">MATCH(MAX(ABS(BE3:BE5)), ABS(BE3:BE5), 0)</f>
        <v>2</v>
      </c>
      <c r="BF6" s="7">
        <f t="array" ref="BF6">MATCH(MAX(ABS(BF3:BF5)), ABS(BF3:BF5), 0)</f>
        <v>2</v>
      </c>
      <c r="BG6" s="7">
        <f t="array" ref="BG6">MATCH(MAX(ABS(BG3:BG5)), ABS(BG3:BG5), 0)</f>
        <v>2</v>
      </c>
      <c r="BH6" s="7">
        <f t="array" ref="BH6">MATCH(MAX(ABS(BH3:BH5)), ABS(BH3:BH5), 0)</f>
        <v>2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2</v>
      </c>
      <c r="BL6" s="7">
        <f t="array" ref="BL6">MATCH(MAX(ABS(BL3:BL5)), ABS(BL3:BL5), 0)</f>
        <v>2</v>
      </c>
      <c r="BM6" s="7">
        <f t="array" ref="BM6">MATCH(MAX(ABS(BM3:BM5)), ABS(BM3:BM5), 0)</f>
        <v>2</v>
      </c>
      <c r="BN6" s="7">
        <f t="array" ref="BN6">MATCH(MAX(ABS(BN3:BN5)), ABS(BN3:BN5), 0)</f>
        <v>2</v>
      </c>
      <c r="BO6" s="7">
        <f t="array" ref="BO6">MATCH(MAX(ABS(BO3:BO5)), ABS(BO3:BO5), 0)</f>
        <v>2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3</v>
      </c>
      <c r="BS6" s="7">
        <f t="array" ref="BS6">MATCH(MAX(ABS(BS3:BS5)), ABS(BS3:BS5), 0)</f>
        <v>1</v>
      </c>
      <c r="BT6" s="7">
        <f t="array" ref="BT6">MATCH(MAX(ABS(BT3:BT5)), ABS(BT3:BT5), 0)</f>
        <v>2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3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2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3</v>
      </c>
      <c r="CN6" s="7">
        <f t="array" ref="CN6">MATCH(MAX(ABS(CN3:CN5)), ABS(CN3:CN5), 0)</f>
        <v>3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2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3</v>
      </c>
      <c r="DD6" s="7">
        <f t="array" ref="DD6">MATCH(MAX(ABS(DD3:DD5)), ABS(DD3:DD5), 0)</f>
        <v>1</v>
      </c>
      <c r="DE6" s="7">
        <f t="array" ref="DE6">MATCH(MAX(ABS(DE3:DE5)), ABS(DE3:DE5), 0)</f>
        <v>3</v>
      </c>
      <c r="DF6" s="7">
        <f t="array" ref="DF6">MATCH(MAX(ABS(DF3:DF5)), ABS(DF3:DF5), 0)</f>
        <v>2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3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3</v>
      </c>
      <c r="DM6" s="7">
        <f t="array" ref="DM6">MATCH(MAX(ABS(DM3:DM5)), ABS(DM3:DM5), 0)</f>
        <v>1</v>
      </c>
      <c r="DN6" s="7">
        <f t="array" ref="DN6">MATCH(MAX(ABS(DN3:DN5)), ABS(DN3:DN5), 0)</f>
        <v>2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2</v>
      </c>
      <c r="DS6" s="7">
        <f t="array" ref="DS6">MATCH(MAX(ABS(DS3:DS5)), ABS(DS3:DS5), 0)</f>
        <v>2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1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bm</v>
      </c>
      <c r="D7" s="7" t="str">
        <f t="shared" si="0"/>
        <v>size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size</v>
      </c>
      <c r="K7" s="7" t="str">
        <f t="shared" si="0"/>
        <v>bm</v>
      </c>
      <c r="L7" s="7" t="str">
        <f t="shared" si="0"/>
        <v>bm</v>
      </c>
      <c r="M7" s="7" t="str">
        <f t="shared" si="0"/>
        <v>mom</v>
      </c>
      <c r="N7" s="7" t="str">
        <f t="shared" si="0"/>
        <v>bm</v>
      </c>
      <c r="O7" s="7" t="str">
        <f t="shared" si="0"/>
        <v>size</v>
      </c>
      <c r="P7" s="7" t="str">
        <f t="shared" si="0"/>
        <v>mom</v>
      </c>
      <c r="Q7" s="7" t="str">
        <f t="shared" si="0"/>
        <v>bm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size</v>
      </c>
      <c r="AA7" s="7" t="str">
        <f t="shared" si="0"/>
        <v>size</v>
      </c>
      <c r="AB7" s="7" t="str">
        <f t="shared" si="0"/>
        <v>size</v>
      </c>
      <c r="AC7" s="7" t="str">
        <f t="shared" si="0"/>
        <v>bm</v>
      </c>
      <c r="AD7" s="7" t="str">
        <f t="shared" si="0"/>
        <v>size</v>
      </c>
      <c r="AE7" s="7" t="str">
        <f t="shared" si="0"/>
        <v>size</v>
      </c>
      <c r="AF7" s="7" t="str">
        <f t="shared" si="0"/>
        <v>mom</v>
      </c>
      <c r="AG7" s="7" t="str">
        <f t="shared" si="0"/>
        <v>mom</v>
      </c>
      <c r="AH7" s="7" t="str">
        <f t="shared" si="0"/>
        <v>size</v>
      </c>
      <c r="AI7" s="7" t="str">
        <f t="shared" ref="AI7:BN7" si="1">IF(AI6=1,"bm",IF(AI6=2,"size",IF(AI6=3,"mom")))</f>
        <v>mom</v>
      </c>
      <c r="AJ7" s="7" t="str">
        <f t="shared" si="1"/>
        <v>size</v>
      </c>
      <c r="AK7" s="7" t="str">
        <f t="shared" si="1"/>
        <v>mom</v>
      </c>
      <c r="AL7" s="7" t="str">
        <f t="shared" si="1"/>
        <v>mom</v>
      </c>
      <c r="AM7" s="7" t="str">
        <f t="shared" si="1"/>
        <v>mom</v>
      </c>
      <c r="AN7" s="7" t="str">
        <f t="shared" si="1"/>
        <v>size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size</v>
      </c>
      <c r="AS7" s="7" t="str">
        <f t="shared" si="1"/>
        <v>mom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bm</v>
      </c>
      <c r="BA7" s="7" t="str">
        <f t="shared" si="1"/>
        <v>bm</v>
      </c>
      <c r="BB7" s="7" t="str">
        <f t="shared" si="1"/>
        <v>size</v>
      </c>
      <c r="BC7" s="7" t="str">
        <f t="shared" si="1"/>
        <v>mom</v>
      </c>
      <c r="BD7" s="7" t="str">
        <f t="shared" si="1"/>
        <v>bm</v>
      </c>
      <c r="BE7" s="7" t="str">
        <f t="shared" si="1"/>
        <v>size</v>
      </c>
      <c r="BF7" s="7" t="str">
        <f t="shared" si="1"/>
        <v>size</v>
      </c>
      <c r="BG7" s="7" t="str">
        <f t="shared" si="1"/>
        <v>size</v>
      </c>
      <c r="BH7" s="7" t="str">
        <f t="shared" si="1"/>
        <v>size</v>
      </c>
      <c r="BI7" s="7" t="str">
        <f t="shared" si="1"/>
        <v>bm</v>
      </c>
      <c r="BJ7" s="7" t="str">
        <f t="shared" si="1"/>
        <v>bm</v>
      </c>
      <c r="BK7" s="7" t="str">
        <f t="shared" si="1"/>
        <v>size</v>
      </c>
      <c r="BL7" s="7" t="str">
        <f t="shared" si="1"/>
        <v>size</v>
      </c>
      <c r="BM7" s="7" t="str">
        <f t="shared" si="1"/>
        <v>size</v>
      </c>
      <c r="BN7" s="7" t="str">
        <f t="shared" si="1"/>
        <v>size</v>
      </c>
      <c r="BO7" s="7" t="str">
        <f t="shared" ref="BO7:CT7" si="2">IF(BO6=1,"bm",IF(BO6=2,"size",IF(BO6=3,"mom")))</f>
        <v>size</v>
      </c>
      <c r="BP7" s="7" t="str">
        <f t="shared" si="2"/>
        <v>bm</v>
      </c>
      <c r="BQ7" s="7" t="str">
        <f t="shared" si="2"/>
        <v>bm</v>
      </c>
      <c r="BR7" s="7" t="str">
        <f t="shared" si="2"/>
        <v>mom</v>
      </c>
      <c r="BS7" s="7" t="str">
        <f t="shared" si="2"/>
        <v>bm</v>
      </c>
      <c r="BT7" s="7" t="str">
        <f t="shared" si="2"/>
        <v>size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size</v>
      </c>
      <c r="BZ7" s="7" t="str">
        <f t="shared" si="2"/>
        <v>bm</v>
      </c>
      <c r="CA7" s="7" t="str">
        <f t="shared" si="2"/>
        <v>size</v>
      </c>
      <c r="CB7" s="7" t="str">
        <f t="shared" si="2"/>
        <v>size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mom</v>
      </c>
      <c r="CG7" s="7" t="str">
        <f t="shared" si="2"/>
        <v>size</v>
      </c>
      <c r="CH7" s="7" t="str">
        <f t="shared" si="2"/>
        <v>bm</v>
      </c>
      <c r="CI7" s="7" t="str">
        <f t="shared" si="2"/>
        <v>size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mom</v>
      </c>
      <c r="CN7" s="7" t="str">
        <f t="shared" si="2"/>
        <v>mom</v>
      </c>
      <c r="CO7" s="7" t="str">
        <f t="shared" si="2"/>
        <v>mom</v>
      </c>
      <c r="CP7" s="7" t="str">
        <f t="shared" si="2"/>
        <v>bm</v>
      </c>
      <c r="CQ7" s="7" t="str">
        <f t="shared" si="2"/>
        <v>bm</v>
      </c>
      <c r="CR7" s="7" t="str">
        <f t="shared" si="2"/>
        <v>bm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size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bm</v>
      </c>
      <c r="DC7" s="7" t="str">
        <f t="shared" si="3"/>
        <v>mom</v>
      </c>
      <c r="DD7" s="7" t="str">
        <f t="shared" si="3"/>
        <v>bm</v>
      </c>
      <c r="DE7" s="7" t="str">
        <f t="shared" si="3"/>
        <v>mom</v>
      </c>
      <c r="DF7" s="7" t="str">
        <f t="shared" si="3"/>
        <v>size</v>
      </c>
      <c r="DG7" s="7" t="str">
        <f t="shared" si="3"/>
        <v>bm</v>
      </c>
      <c r="DH7" s="7" t="str">
        <f t="shared" si="3"/>
        <v>bm</v>
      </c>
      <c r="DI7" s="7" t="str">
        <f t="shared" si="3"/>
        <v>mom</v>
      </c>
      <c r="DJ7" s="7" t="str">
        <f t="shared" si="3"/>
        <v>size</v>
      </c>
      <c r="DK7" s="7" t="str">
        <f t="shared" si="3"/>
        <v>bm</v>
      </c>
      <c r="DL7" s="7" t="str">
        <f t="shared" si="3"/>
        <v>mom</v>
      </c>
      <c r="DM7" s="7" t="str">
        <f t="shared" si="3"/>
        <v>bm</v>
      </c>
      <c r="DN7" s="7" t="str">
        <f t="shared" si="3"/>
        <v>size</v>
      </c>
      <c r="DO7" s="7" t="str">
        <f t="shared" si="3"/>
        <v>size</v>
      </c>
      <c r="DP7" s="7" t="str">
        <f t="shared" si="3"/>
        <v>size</v>
      </c>
      <c r="DQ7" s="7" t="str">
        <f t="shared" si="3"/>
        <v>size</v>
      </c>
      <c r="DR7" s="7" t="str">
        <f t="shared" si="3"/>
        <v>size</v>
      </c>
      <c r="DS7" s="7" t="str">
        <f t="shared" si="3"/>
        <v>size</v>
      </c>
      <c r="DT7" s="7" t="str">
        <f t="shared" si="3"/>
        <v>bm</v>
      </c>
      <c r="DU7" s="7" t="str">
        <f t="shared" si="3"/>
        <v>bm</v>
      </c>
      <c r="DV7" s="7" t="str">
        <f t="shared" si="3"/>
        <v>bm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size</v>
      </c>
      <c r="EC7" s="7" t="str">
        <f t="shared" si="4"/>
        <v>mom</v>
      </c>
      <c r="ED7" s="7" t="str">
        <f t="shared" si="4"/>
        <v>bm</v>
      </c>
      <c r="EE7" s="7" t="str">
        <f t="shared" si="4"/>
        <v>size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4.0547288954257972E-2</v>
      </c>
      <c r="D8" s="7">
        <f t="shared" si="5"/>
        <v>-4.8252779990434647E-2</v>
      </c>
      <c r="E8" s="7">
        <f t="shared" si="5"/>
        <v>-5.1652342081069953E-2</v>
      </c>
      <c r="F8" s="7">
        <f t="shared" si="5"/>
        <v>-5.4286114871501923E-2</v>
      </c>
      <c r="G8" s="7">
        <f t="shared" si="5"/>
        <v>-5.7552006095647812E-2</v>
      </c>
      <c r="H8" s="7">
        <f t="shared" si="5"/>
        <v>-7.6259449124336243E-2</v>
      </c>
      <c r="I8" s="7">
        <f t="shared" si="5"/>
        <v>-0.107886478304863</v>
      </c>
      <c r="J8" s="7">
        <f t="shared" si="5"/>
        <v>-3.2917611300945282E-2</v>
      </c>
      <c r="K8" s="7">
        <f t="shared" si="5"/>
        <v>-5.9229228645563133E-2</v>
      </c>
      <c r="L8" s="7">
        <f t="shared" si="5"/>
        <v>-0.1078036949038506</v>
      </c>
      <c r="M8" s="7">
        <f t="shared" si="5"/>
        <v>3.4981705248355872E-2</v>
      </c>
      <c r="N8" s="7">
        <f t="shared" si="5"/>
        <v>-0.1346741318702698</v>
      </c>
      <c r="O8" s="7">
        <f t="shared" si="5"/>
        <v>-6.7216232419013977E-2</v>
      </c>
      <c r="P8" s="7">
        <f t="shared" si="5"/>
        <v>9.211605042219162E-2</v>
      </c>
      <c r="Q8" s="7">
        <f t="shared" si="5"/>
        <v>-8.6447760462760925E-2</v>
      </c>
      <c r="R8" s="7">
        <f t="shared" si="5"/>
        <v>-7.7407129108905792E-2</v>
      </c>
      <c r="S8" s="7">
        <f t="shared" si="5"/>
        <v>-8.372652530670166E-2</v>
      </c>
      <c r="T8" s="7">
        <f t="shared" si="5"/>
        <v>-5.9324655681848533E-2</v>
      </c>
      <c r="U8" s="7">
        <f t="shared" si="5"/>
        <v>-0.10543976724147799</v>
      </c>
      <c r="V8" s="7">
        <f t="shared" si="5"/>
        <v>6.5072879195213318E-2</v>
      </c>
      <c r="W8" s="7">
        <f t="shared" si="5"/>
        <v>8.2305394113063812E-2</v>
      </c>
      <c r="X8" s="7">
        <f t="shared" si="5"/>
        <v>-9.8803862929344177E-2</v>
      </c>
      <c r="Y8" s="7">
        <f t="shared" si="5"/>
        <v>0.16213490068912509</v>
      </c>
      <c r="Z8" s="7">
        <f t="shared" si="5"/>
        <v>-6.800408661365509E-2</v>
      </c>
      <c r="AA8" s="7">
        <f t="shared" si="5"/>
        <v>-8.6181230843067169E-2</v>
      </c>
      <c r="AB8" s="7">
        <f t="shared" si="5"/>
        <v>-8.889392763376236E-2</v>
      </c>
      <c r="AC8" s="7">
        <f t="shared" si="5"/>
        <v>2.934014052152634E-2</v>
      </c>
      <c r="AD8" s="7">
        <f t="shared" si="5"/>
        <v>6.3448823988437653E-2</v>
      </c>
      <c r="AE8" s="7">
        <f t="shared" si="5"/>
        <v>-5.9580553323030472E-2</v>
      </c>
      <c r="AF8" s="7">
        <f t="shared" si="5"/>
        <v>6.4355872571468353E-2</v>
      </c>
      <c r="AG8" s="7">
        <f t="shared" si="5"/>
        <v>6.0781430453062057E-2</v>
      </c>
      <c r="AH8" s="7">
        <f t="shared" si="5"/>
        <v>2.907080203294754E-2</v>
      </c>
      <c r="AI8" s="7">
        <f t="shared" ref="AI8:BN8" si="6">IF(AI6=1,AI3,IF(AI6=2,AI4,IF(AI6=3,AI5)))</f>
        <v>4.2393732815980911E-2</v>
      </c>
      <c r="AJ8" s="7">
        <f t="shared" si="6"/>
        <v>4.4545106589794159E-2</v>
      </c>
      <c r="AK8" s="7">
        <f t="shared" si="6"/>
        <v>0.104340173304081</v>
      </c>
      <c r="AL8" s="7">
        <f t="shared" si="6"/>
        <v>2.3477694019675251E-2</v>
      </c>
      <c r="AM8" s="7">
        <f t="shared" si="6"/>
        <v>4.9679871648550027E-2</v>
      </c>
      <c r="AN8" s="7">
        <f t="shared" si="6"/>
        <v>4.7137059271335602E-2</v>
      </c>
      <c r="AO8" s="7">
        <f t="shared" si="6"/>
        <v>-2.9745671898126599E-2</v>
      </c>
      <c r="AP8" s="7">
        <f t="shared" si="6"/>
        <v>-2.683783695101738E-2</v>
      </c>
      <c r="AQ8" s="7">
        <f t="shared" si="6"/>
        <v>-2.169711887836456E-2</v>
      </c>
      <c r="AR8" s="7">
        <f t="shared" si="6"/>
        <v>5.4104723036289222E-2</v>
      </c>
      <c r="AS8" s="7">
        <f t="shared" si="6"/>
        <v>-2.6926254853606221E-2</v>
      </c>
      <c r="AT8" s="7">
        <f t="shared" si="6"/>
        <v>6.6039755940437317E-2</v>
      </c>
      <c r="AU8" s="7">
        <f t="shared" si="6"/>
        <v>6.2266789376735687E-2</v>
      </c>
      <c r="AV8" s="7">
        <f t="shared" si="6"/>
        <v>5.7940512895584113E-2</v>
      </c>
      <c r="AW8" s="7">
        <f t="shared" si="6"/>
        <v>0.1063941121101379</v>
      </c>
      <c r="AX8" s="7">
        <f t="shared" si="6"/>
        <v>2.7402361854910851E-2</v>
      </c>
      <c r="AY8" s="7">
        <f t="shared" si="6"/>
        <v>3.636043518781662E-2</v>
      </c>
      <c r="AZ8" s="7">
        <f t="shared" si="6"/>
        <v>8.6036309599876404E-2</v>
      </c>
      <c r="BA8" s="7">
        <f t="shared" si="6"/>
        <v>0.10234846919775011</v>
      </c>
      <c r="BB8" s="7">
        <f t="shared" si="6"/>
        <v>-7.6676465570926666E-2</v>
      </c>
      <c r="BC8" s="7">
        <f t="shared" si="6"/>
        <v>5.3017329424619668E-2</v>
      </c>
      <c r="BD8" s="7">
        <f t="shared" si="6"/>
        <v>7.7497914433479309E-2</v>
      </c>
      <c r="BE8" s="7">
        <f t="shared" si="6"/>
        <v>-6.8554230034351349E-2</v>
      </c>
      <c r="BF8" s="7">
        <f t="shared" si="6"/>
        <v>-8.2745306193828583E-2</v>
      </c>
      <c r="BG8" s="7">
        <f t="shared" si="6"/>
        <v>-0.1204242408275604</v>
      </c>
      <c r="BH8" s="7">
        <f t="shared" si="6"/>
        <v>-0.10103762894868849</v>
      </c>
      <c r="BI8" s="7">
        <f t="shared" si="6"/>
        <v>5.5158428847789757E-2</v>
      </c>
      <c r="BJ8" s="7">
        <f t="shared" si="6"/>
        <v>8.664897084236145E-2</v>
      </c>
      <c r="BK8" s="7">
        <f t="shared" si="6"/>
        <v>-0.14447127282619479</v>
      </c>
      <c r="BL8" s="7">
        <f t="shared" si="6"/>
        <v>-0.1120113208889961</v>
      </c>
      <c r="BM8" s="7">
        <f t="shared" si="6"/>
        <v>-3.4826010465621948E-2</v>
      </c>
      <c r="BN8" s="7">
        <f t="shared" si="6"/>
        <v>-8.5986465215682983E-2</v>
      </c>
      <c r="BO8" s="7">
        <f t="shared" ref="BO8:CT8" si="7">IF(BO6=1,BO3,IF(BO6=2,BO4,IF(BO6=3,BO5)))</f>
        <v>-7.0973977446556091E-2</v>
      </c>
      <c r="BP8" s="7">
        <f t="shared" si="7"/>
        <v>8.6037963628768921E-2</v>
      </c>
      <c r="BQ8" s="7">
        <f t="shared" si="7"/>
        <v>0.144142210483551</v>
      </c>
      <c r="BR8" s="7">
        <f t="shared" si="7"/>
        <v>3.9869185537099838E-2</v>
      </c>
      <c r="BS8" s="7">
        <f t="shared" si="7"/>
        <v>8.1880234181880951E-2</v>
      </c>
      <c r="BT8" s="7">
        <f t="shared" si="7"/>
        <v>-6.8826571106910706E-2</v>
      </c>
      <c r="BU8" s="7">
        <f t="shared" si="7"/>
        <v>0.10545723885297779</v>
      </c>
      <c r="BV8" s="7">
        <f t="shared" si="7"/>
        <v>0.1175376549363136</v>
      </c>
      <c r="BW8" s="7">
        <f t="shared" si="7"/>
        <v>9.2942401766777039E-2</v>
      </c>
      <c r="BX8" s="7">
        <f t="shared" si="7"/>
        <v>3.5637497901916497E-2</v>
      </c>
      <c r="BY8" s="7">
        <f t="shared" si="7"/>
        <v>-6.1186797916889191E-2</v>
      </c>
      <c r="BZ8" s="7">
        <f t="shared" si="7"/>
        <v>9.8455093801021576E-2</v>
      </c>
      <c r="CA8" s="7">
        <f t="shared" si="7"/>
        <v>-7.2609454393386841E-2</v>
      </c>
      <c r="CB8" s="7">
        <f t="shared" si="7"/>
        <v>-8.8862821459770203E-2</v>
      </c>
      <c r="CC8" s="7">
        <f t="shared" si="7"/>
        <v>-6.5672166645526886E-2</v>
      </c>
      <c r="CD8" s="7">
        <f t="shared" si="7"/>
        <v>-7.0492014288902283E-2</v>
      </c>
      <c r="CE8" s="7">
        <f t="shared" si="7"/>
        <v>-8.9266888797283173E-2</v>
      </c>
      <c r="CF8" s="7">
        <f t="shared" si="7"/>
        <v>2.643934823572636E-2</v>
      </c>
      <c r="CG8" s="7">
        <f t="shared" si="7"/>
        <v>-3.8807325065135963E-2</v>
      </c>
      <c r="CH8" s="7">
        <f t="shared" si="7"/>
        <v>5.8184977620840073E-2</v>
      </c>
      <c r="CI8" s="7">
        <f t="shared" si="7"/>
        <v>-2.3996761068701741E-2</v>
      </c>
      <c r="CJ8" s="7">
        <f t="shared" si="7"/>
        <v>-8.0891326069831848E-2</v>
      </c>
      <c r="CK8" s="7">
        <f t="shared" si="7"/>
        <v>7.3738843202590942E-2</v>
      </c>
      <c r="CL8" s="7">
        <f t="shared" si="7"/>
        <v>6.7692369222640991E-2</v>
      </c>
      <c r="CM8" s="7">
        <f t="shared" si="7"/>
        <v>-4.3408293277025223E-2</v>
      </c>
      <c r="CN8" s="7">
        <f t="shared" si="7"/>
        <v>-4.8494711518287659E-2</v>
      </c>
      <c r="CO8" s="7">
        <f t="shared" si="7"/>
        <v>-3.4412361681461327E-2</v>
      </c>
      <c r="CP8" s="7">
        <f t="shared" si="7"/>
        <v>-5.2108332514762878E-2</v>
      </c>
      <c r="CQ8" s="7">
        <f t="shared" si="7"/>
        <v>-7.2693914175033569E-2</v>
      </c>
      <c r="CR8" s="7">
        <f t="shared" si="7"/>
        <v>-6.0804408043622971E-2</v>
      </c>
      <c r="CS8" s="7">
        <f t="shared" si="7"/>
        <v>-3.7506073713302612E-2</v>
      </c>
      <c r="CT8" s="7">
        <f t="shared" si="7"/>
        <v>-6.339031457901001E-2</v>
      </c>
      <c r="CU8" s="7">
        <f t="shared" ref="CU8:DZ8" si="8">IF(CU6=1,CU3,IF(CU6=2,CU4,IF(CU6=3,CU5)))</f>
        <v>-6.1079829931259162E-2</v>
      </c>
      <c r="CV8" s="7">
        <f t="shared" si="8"/>
        <v>-2.170033194124699E-2</v>
      </c>
      <c r="CW8" s="7">
        <f t="shared" si="8"/>
        <v>-6.0720678418874741E-2</v>
      </c>
      <c r="CX8" s="7">
        <f t="shared" si="8"/>
        <v>-7.7818602323532104E-2</v>
      </c>
      <c r="CY8" s="7">
        <f t="shared" si="8"/>
        <v>-4.5480586588382721E-2</v>
      </c>
      <c r="CZ8" s="7">
        <f t="shared" si="8"/>
        <v>-6.9138072431087494E-2</v>
      </c>
      <c r="DA8" s="7">
        <f t="shared" si="8"/>
        <v>-8.9778468012809753E-2</v>
      </c>
      <c r="DB8" s="7">
        <f t="shared" si="8"/>
        <v>-6.527487188577652E-2</v>
      </c>
      <c r="DC8" s="7">
        <f t="shared" si="8"/>
        <v>4.6531397849321372E-2</v>
      </c>
      <c r="DD8" s="7">
        <f t="shared" si="8"/>
        <v>-5.9340178966522217E-2</v>
      </c>
      <c r="DE8" s="7">
        <f t="shared" si="8"/>
        <v>6.0277972370386117E-2</v>
      </c>
      <c r="DF8" s="7">
        <f t="shared" si="8"/>
        <v>3.3347133547067642E-2</v>
      </c>
      <c r="DG8" s="7">
        <f t="shared" si="8"/>
        <v>-2.4713881313800808E-2</v>
      </c>
      <c r="DH8" s="7">
        <f t="shared" si="8"/>
        <v>-3.5376153886318207E-2</v>
      </c>
      <c r="DI8" s="7">
        <f t="shared" si="8"/>
        <v>-4.1918892413377762E-2</v>
      </c>
      <c r="DJ8" s="7">
        <f t="shared" si="8"/>
        <v>1.416372787207365E-2</v>
      </c>
      <c r="DK8" s="7">
        <f t="shared" si="8"/>
        <v>-4.8771854490041733E-2</v>
      </c>
      <c r="DL8" s="7">
        <f t="shared" si="8"/>
        <v>2.8391024097800251E-2</v>
      </c>
      <c r="DM8" s="7">
        <f t="shared" si="8"/>
        <v>-4.967803880572319E-2</v>
      </c>
      <c r="DN8" s="7">
        <f t="shared" si="8"/>
        <v>-1.9859654828906059E-2</v>
      </c>
      <c r="DO8" s="7">
        <f t="shared" si="8"/>
        <v>-3.856055811047554E-2</v>
      </c>
      <c r="DP8" s="7">
        <f t="shared" si="8"/>
        <v>5.259593203663826E-2</v>
      </c>
      <c r="DQ8" s="7">
        <f t="shared" si="8"/>
        <v>5.0834372639656067E-2</v>
      </c>
      <c r="DR8" s="7">
        <f t="shared" si="8"/>
        <v>3.4424390643835068E-2</v>
      </c>
      <c r="DS8" s="7">
        <f t="shared" si="8"/>
        <v>2.6739172637462619E-2</v>
      </c>
      <c r="DT8" s="7">
        <f t="shared" si="8"/>
        <v>-5.3663063794374473E-2</v>
      </c>
      <c r="DU8" s="7">
        <f t="shared" si="8"/>
        <v>-4.4161681085824973E-2</v>
      </c>
      <c r="DV8" s="7">
        <f t="shared" si="8"/>
        <v>-2.3813089355826381E-2</v>
      </c>
      <c r="DW8" s="7">
        <f t="shared" si="8"/>
        <v>2.5176366791129109E-2</v>
      </c>
      <c r="DX8" s="7">
        <f t="shared" si="8"/>
        <v>-4.4376425445079803E-2</v>
      </c>
      <c r="DY8" s="7">
        <f t="shared" si="8"/>
        <v>-3.3609867095947273E-2</v>
      </c>
      <c r="DZ8" s="7">
        <f t="shared" si="8"/>
        <v>-4.8759568482637412E-2</v>
      </c>
      <c r="EA8" s="7">
        <f t="shared" ref="EA8:EG8" si="9">IF(EA6=1,EA3,IF(EA6=2,EA4,IF(EA6=3,EA5)))</f>
        <v>2.0058911293745041E-2</v>
      </c>
      <c r="EB8" s="7">
        <f t="shared" si="9"/>
        <v>5.2505847066640847E-2</v>
      </c>
      <c r="EC8" s="7">
        <f t="shared" si="9"/>
        <v>4.229099303483963E-2</v>
      </c>
      <c r="ED8" s="7">
        <f t="shared" si="9"/>
        <v>-5.2812475711107247E-2</v>
      </c>
      <c r="EE8" s="7">
        <f t="shared" si="9"/>
        <v>1.6591379418969151E-2</v>
      </c>
      <c r="EF8" s="7">
        <f t="shared" si="9"/>
        <v>-6.9071874022483826E-2</v>
      </c>
      <c r="EG8" s="1">
        <f t="shared" si="9"/>
        <v>0</v>
      </c>
    </row>
    <row r="10" spans="1:137" x14ac:dyDescent="0.3">
      <c r="A10" s="13" t="s">
        <v>141</v>
      </c>
      <c r="B10" s="14"/>
      <c r="C10" s="1" t="s">
        <v>142</v>
      </c>
      <c r="D10" s="2">
        <v>964</v>
      </c>
    </row>
    <row r="11" spans="1:137" x14ac:dyDescent="0.3">
      <c r="A11" s="1" t="s">
        <v>149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96</v>
      </c>
      <c r="B12" s="1" t="s">
        <v>150</v>
      </c>
      <c r="C12" s="7">
        <f t="array" ref="C12">PRODUCT(1 + 預測IC!$C12:C12) - 1</f>
        <v>1.4499246984096104E-2</v>
      </c>
      <c r="D12" s="7">
        <f t="array" ref="D12">PRODUCT(1 + 預測IC!$C12:D12) - 1</f>
        <v>2.9390626425508604E-2</v>
      </c>
      <c r="E12" s="7">
        <f t="array" ref="E12">PRODUCT(1 + 預測IC!$C12:E12) - 1</f>
        <v>2.7955939447321443E-2</v>
      </c>
      <c r="F12" s="7">
        <f t="array" ref="F12">PRODUCT(1 + 預測IC!$C12:F12) - 1</f>
        <v>8.5479721404323916E-2</v>
      </c>
      <c r="G12" s="7">
        <f t="array" ref="G12">PRODUCT(1 + 預測IC!$C12:G12) - 1</f>
        <v>5.0801413886742086E-2</v>
      </c>
      <c r="H12" s="7">
        <f t="array" ref="H12">PRODUCT(1 + 預測IC!$C12:H12) - 1</f>
        <v>6.0888328140121128E-2</v>
      </c>
      <c r="I12" s="7">
        <f t="array" ref="I12">PRODUCT(1 + 預測IC!$C12:I12) - 1</f>
        <v>7.0073660819563122E-2</v>
      </c>
      <c r="J12" s="7">
        <f t="array" ref="J12">PRODUCT(1 + 預測IC!$C12:J12) - 1</f>
        <v>6.2166037269462127E-2</v>
      </c>
      <c r="K12" s="7">
        <f t="array" ref="K12">PRODUCT(1 + 預測IC!$C12:K12) - 1</f>
        <v>3.1163536955962412E-2</v>
      </c>
      <c r="L12" s="7">
        <f t="array" ref="L12">PRODUCT(1 + 預測IC!$C12:L12) - 1</f>
        <v>4.0195040502598811E-2</v>
      </c>
      <c r="M12" s="7">
        <f t="array" ref="M12">PRODUCT(1 + 預測IC!$C12:M12) - 1</f>
        <v>1.2225055238084703E-2</v>
      </c>
      <c r="N12" s="7">
        <f t="array" ref="N12">PRODUCT(1 + 預測IC!$C12:N12) - 1</f>
        <v>-2.2902549427951224E-2</v>
      </c>
      <c r="O12" s="7">
        <f t="array" ref="O12">PRODUCT(1 + 預測IC!$C12:O12) - 1</f>
        <v>4.3728904899822396E-3</v>
      </c>
      <c r="P12" s="7">
        <f t="array" ref="P12">PRODUCT(1 + 預測IC!$C12:P12) - 1</f>
        <v>4.1174502328595874E-3</v>
      </c>
      <c r="Q12" s="7">
        <f t="array" ref="Q12">PRODUCT(1 + 預測IC!$C12:Q12) - 1</f>
        <v>9.2541971785229382E-3</v>
      </c>
      <c r="R12" s="7">
        <f t="array" ref="R12">PRODUCT(1 + 預測IC!$C12:R12) - 1</f>
        <v>-4.0210164596656828E-3</v>
      </c>
      <c r="S12" s="7">
        <f t="array" ref="S12">PRODUCT(1 + 預測IC!$C12:S12) - 1</f>
        <v>6.9895608569927603E-3</v>
      </c>
      <c r="T12" s="7">
        <f t="array" ref="T12">PRODUCT(1 + 預測IC!$C12:T12) - 1</f>
        <v>-4.1212729805014225E-2</v>
      </c>
      <c r="U12" s="7">
        <f t="array" ref="U12">PRODUCT(1 + 預測IC!$C12:U12) - 1</f>
        <v>-4.251334686946906E-2</v>
      </c>
      <c r="V12" s="7">
        <f t="array" ref="V12">PRODUCT(1 + 預測IC!$C12:V12) - 1</f>
        <v>-3.340673568755792E-2</v>
      </c>
      <c r="W12" s="7">
        <f t="array" ref="W12">PRODUCT(1 + 預測IC!$C12:W12) - 1</f>
        <v>-6.0875057193760296E-2</v>
      </c>
      <c r="X12" s="7">
        <f t="array" ref="X12">PRODUCT(1 + 預測IC!$C12:X12) - 1</f>
        <v>4.2091307144539236E-2</v>
      </c>
      <c r="Y12" s="7">
        <f t="array" ref="Y12">PRODUCT(1 + 預測IC!$C12:Y12) - 1</f>
        <v>2.0625900308189893E-2</v>
      </c>
      <c r="Z12" s="7">
        <f t="array" ref="Z12">PRODUCT(1 + 預測IC!$C12:Z12) - 1</f>
        <v>-3.3622496315828032E-2</v>
      </c>
      <c r="AA12" s="7">
        <f t="array" ref="AA12">PRODUCT(1 + 預測IC!$C12:AA12) - 1</f>
        <v>-5.9635909261485653E-2</v>
      </c>
      <c r="AB12" s="7">
        <f t="array" ref="AB12">PRODUCT(1 + 預測IC!$C12:AB12) - 1</f>
        <v>-4.9542671527692983E-2</v>
      </c>
      <c r="AC12" s="7">
        <f t="array" ref="AC12">PRODUCT(1 + 預測IC!$C12:AC12) - 1</f>
        <v>-5.086982582928723E-3</v>
      </c>
      <c r="AD12" s="7">
        <f t="array" ref="AD12">PRODUCT(1 + 預測IC!$C12:AD12) - 1</f>
        <v>-7.6045401616734454E-3</v>
      </c>
      <c r="AE12" s="7">
        <f t="array" ref="AE12">PRODUCT(1 + 預測IC!$C12:AE12) - 1</f>
        <v>-4.5213969693721157E-2</v>
      </c>
      <c r="AF12" s="7">
        <f t="array" ref="AF12">PRODUCT(1 + 預測IC!$C12:AF12) - 1</f>
        <v>-9.4874398831833351E-2</v>
      </c>
      <c r="AG12" s="7">
        <f t="array" ref="AG12">PRODUCT(1 + 預測IC!$C12:AG12) - 1</f>
        <v>-9.1421407641283037E-2</v>
      </c>
      <c r="AH12" s="7">
        <f t="array" ref="AH12">PRODUCT(1 + 預測IC!$C12:AH12) - 1</f>
        <v>-0.10569793374506131</v>
      </c>
      <c r="AI12" s="7">
        <f t="array" ref="AI12">PRODUCT(1 + 預測IC!$C12:AI12) - 1</f>
        <v>-9.783362694901454E-2</v>
      </c>
      <c r="AJ12" s="7">
        <f t="array" ref="AJ12">PRODUCT(1 + 預測IC!$C12:AJ12) - 1</f>
        <v>-8.0942098604772417E-2</v>
      </c>
      <c r="AK12" s="7">
        <f t="array" ref="AK12">PRODUCT(1 + 預測IC!$C12:AK12) - 1</f>
        <v>-6.5800281259984716E-2</v>
      </c>
      <c r="AL12" s="7">
        <f t="array" ref="AL12">PRODUCT(1 + 預測IC!$C12:AL12) - 1</f>
        <v>-0.11045548552885032</v>
      </c>
      <c r="AM12" s="7">
        <f t="array" ref="AM12">PRODUCT(1 + 預測IC!$C12:AM12) - 1</f>
        <v>-0.12531688513067307</v>
      </c>
      <c r="AN12" s="7">
        <f t="array" ref="AN12">PRODUCT(1 + 預測IC!$C12:AN12) - 1</f>
        <v>-0.14862336672924714</v>
      </c>
      <c r="AO12" s="7">
        <f t="array" ref="AO12">PRODUCT(1 + 預測IC!$C12:AO12) - 1</f>
        <v>-0.13585657324851574</v>
      </c>
      <c r="AP12" s="7">
        <f t="array" ref="AP12">PRODUCT(1 + 預測IC!$C12:AP12) - 1</f>
        <v>-0.13034301888752531</v>
      </c>
      <c r="AQ12" s="7">
        <f t="array" ref="AQ12">PRODUCT(1 + 預測IC!$C12:AQ12) - 1</f>
        <v>-0.13181876641073698</v>
      </c>
      <c r="AR12" s="7">
        <f t="array" ref="AR12">PRODUCT(1 + 預測IC!$C12:AR12) - 1</f>
        <v>-0.11252515229474291</v>
      </c>
      <c r="AS12" s="7">
        <f t="array" ref="AS12">PRODUCT(1 + 預測IC!$C12:AS12) - 1</f>
        <v>-0.13025359205359321</v>
      </c>
      <c r="AT12" s="7">
        <f t="array" ref="AT12">PRODUCT(1 + 預測IC!$C12:AT12) - 1</f>
        <v>-0.19304526652494103</v>
      </c>
      <c r="AU12" s="7">
        <f t="array" ref="AU12">PRODUCT(1 + 預測IC!$C12:AU12) - 1</f>
        <v>-0.19004861071671486</v>
      </c>
      <c r="AV12" s="7">
        <f t="array" ref="AV12">PRODUCT(1 + 預測IC!$C12:AV12) - 1</f>
        <v>-0.23355566039335285</v>
      </c>
      <c r="AW12" s="7">
        <f t="array" ref="AW12">PRODUCT(1 + 預測IC!$C12:AW12) - 1</f>
        <v>-0.24671528342198046</v>
      </c>
      <c r="AX12" s="7">
        <f t="array" ref="AX12">PRODUCT(1 + 預測IC!$C12:AX12) - 1</f>
        <v>-0.28038410613315257</v>
      </c>
      <c r="AY12" s="7">
        <f t="array" ref="AY12">PRODUCT(1 + 預測IC!$C12:AY12) - 1</f>
        <v>-0.29297113920371187</v>
      </c>
      <c r="AZ12" s="7">
        <f t="array" ref="AZ12">PRODUCT(1 + 預測IC!$C12:AZ12) - 1</f>
        <v>-0.30966730982638768</v>
      </c>
      <c r="BA12" s="7">
        <f t="array" ref="BA12">PRODUCT(1 + 預測IC!$C12:BA12) - 1</f>
        <v>-0.32791579188335629</v>
      </c>
      <c r="BB12" s="7">
        <f t="array" ref="BB12">PRODUCT(1 + 預測IC!$C12:BB12) - 1</f>
        <v>-0.30840071489056198</v>
      </c>
      <c r="BC12" s="7">
        <f t="array" ref="BC12">PRODUCT(1 + 預測IC!$C12:BC12) - 1</f>
        <v>-0.28994126168390122</v>
      </c>
      <c r="BD12" s="7">
        <f t="array" ref="BD12">PRODUCT(1 + 預測IC!$C12:BD12) - 1</f>
        <v>-0.28410345686169036</v>
      </c>
      <c r="BE12" s="7">
        <f t="array" ref="BE12">PRODUCT(1 + 預測IC!$C12:BE12) - 1</f>
        <v>-0.30942367606505083</v>
      </c>
      <c r="BF12" s="7">
        <f t="array" ref="BF12">PRODUCT(1 + 預測IC!$C12:BF12) - 1</f>
        <v>-0.26260788249630018</v>
      </c>
      <c r="BG12" s="7">
        <f t="array" ref="BG12">PRODUCT(1 + 預測IC!$C12:BG12) - 1</f>
        <v>-0.23777925394256172</v>
      </c>
      <c r="BH12" s="7">
        <f t="array" ref="BH12">PRODUCT(1 + 預測IC!$C12:BH12) - 1</f>
        <v>-0.25677543011799875</v>
      </c>
      <c r="BI12" s="7">
        <f t="array" ref="BI12">PRODUCT(1 + 預測IC!$C12:BI12) - 1</f>
        <v>-0.22425484798955952</v>
      </c>
      <c r="BJ12" s="7">
        <f t="array" ref="BJ12">PRODUCT(1 + 預測IC!$C12:BJ12) - 1</f>
        <v>-0.2433871485533301</v>
      </c>
      <c r="BK12" s="7">
        <f t="array" ref="BK12">PRODUCT(1 + 預測IC!$C12:BK12) - 1</f>
        <v>-0.24388453335400218</v>
      </c>
      <c r="BL12" s="7">
        <f t="array" ref="BL12">PRODUCT(1 + 預測IC!$C12:BL12) - 1</f>
        <v>-0.26817784150839541</v>
      </c>
      <c r="BM12" s="7">
        <f t="array" ref="BM12">PRODUCT(1 + 預測IC!$C12:BM12) - 1</f>
        <v>-0.30499265614065241</v>
      </c>
      <c r="BN12" s="7">
        <f t="array" ref="BN12">PRODUCT(1 + 預測IC!$C12:BN12) - 1</f>
        <v>-0.31303803833812083</v>
      </c>
      <c r="BO12" s="7">
        <f t="array" ref="BO12">PRODUCT(1 + 預測IC!$C12:BO12) - 1</f>
        <v>-0.3147513464751045</v>
      </c>
      <c r="BP12" s="7">
        <f t="array" ref="BP12">PRODUCT(1 + 預測IC!$C12:BP12) - 1</f>
        <v>-0.33285695716183483</v>
      </c>
      <c r="BQ12" s="7">
        <f t="array" ref="BQ12">PRODUCT(1 + 預測IC!$C12:BQ12) - 1</f>
        <v>-0.34534287872081737</v>
      </c>
      <c r="BR12" s="7">
        <f t="array" ref="BR12">PRODUCT(1 + 預測IC!$C12:BR12) - 1</f>
        <v>-0.39031364306328664</v>
      </c>
      <c r="BS12" s="7">
        <f t="array" ref="BS12">PRODUCT(1 + 預測IC!$C12:BS12) - 1</f>
        <v>-0.41021554634020452</v>
      </c>
      <c r="BT12" s="7">
        <f t="array" ref="BT12">PRODUCT(1 + 預測IC!$C12:BT12) - 1</f>
        <v>-0.40056385155384522</v>
      </c>
      <c r="BU12" s="7">
        <f t="array" ref="BU12">PRODUCT(1 + 預測IC!$C12:BU12) - 1</f>
        <v>-0.39529989274187194</v>
      </c>
      <c r="BV12" s="7">
        <f t="array" ref="BV12">PRODUCT(1 + 預測IC!$C12:BV12) - 1</f>
        <v>-0.36973172752648009</v>
      </c>
      <c r="BW12" s="7">
        <f t="array" ref="BW12">PRODUCT(1 + 預測IC!$C12:BW12) - 1</f>
        <v>-0.34169928311889164</v>
      </c>
      <c r="BX12" s="7">
        <f t="array" ref="BX12">PRODUCT(1 + 預測IC!$C12:BX12) - 1</f>
        <v>-0.33710095132655371</v>
      </c>
      <c r="BY12" s="7">
        <f t="array" ref="BY12">PRODUCT(1 + 預測IC!$C12:BY12) - 1</f>
        <v>-0.29803636583471871</v>
      </c>
      <c r="BZ12" s="7">
        <f t="array" ref="BZ12">PRODUCT(1 + 預測IC!$C12:BZ12) - 1</f>
        <v>-0.32076505395992727</v>
      </c>
      <c r="CA12" s="7">
        <f t="array" ref="CA12">PRODUCT(1 + 預測IC!$C12:CA12) - 1</f>
        <v>-0.32035500767869507</v>
      </c>
      <c r="CB12" s="7">
        <f t="array" ref="CB12">PRODUCT(1 + 預測IC!$C12:CB12) - 1</f>
        <v>-0.33882358744800534</v>
      </c>
      <c r="CC12" s="7">
        <f t="array" ref="CC12">PRODUCT(1 + 預測IC!$C12:CC12) - 1</f>
        <v>-0.34991215352114036</v>
      </c>
      <c r="CD12" s="7">
        <f t="array" ref="CD12">PRODUCT(1 + 預測IC!$C12:CD12) - 1</f>
        <v>-0.27779554656214878</v>
      </c>
      <c r="CE12" s="7">
        <f t="array" ref="CE12">PRODUCT(1 + 預測IC!$C12:CE12) - 1</f>
        <v>-0.31449547735720373</v>
      </c>
      <c r="CF12" s="7">
        <f t="array" ref="CF12">PRODUCT(1 + 預測IC!$C12:CF12) - 1</f>
        <v>-0.31999409731386208</v>
      </c>
      <c r="CG12" s="7">
        <f t="array" ref="CG12">PRODUCT(1 + 預測IC!$C12:CG12) - 1</f>
        <v>-0.35350340096108812</v>
      </c>
      <c r="CH12" s="7">
        <f t="array" ref="CH12">PRODUCT(1 + 預測IC!$C12:CH12) - 1</f>
        <v>-0.34286005479860771</v>
      </c>
      <c r="CI12" s="7">
        <f t="array" ref="CI12">PRODUCT(1 + 預測IC!$C12:CI12) - 1</f>
        <v>-0.31946716672297748</v>
      </c>
      <c r="CJ12" s="7">
        <f t="array" ref="CJ12">PRODUCT(1 + 預測IC!$C12:CJ12) - 1</f>
        <v>-0.35629764919723661</v>
      </c>
      <c r="CK12" s="7">
        <f t="array" ref="CK12">PRODUCT(1 + 預測IC!$C12:CK12) - 1</f>
        <v>-0.39241027842564091</v>
      </c>
      <c r="CL12" s="7">
        <f t="array" ref="CL12">PRODUCT(1 + 預測IC!$C12:CL12) - 1</f>
        <v>-0.44006978648483908</v>
      </c>
      <c r="CM12" s="7">
        <f t="array" ref="CM12">PRODUCT(1 + 預測IC!$C12:CM12) - 1</f>
        <v>-0.42531341316505489</v>
      </c>
      <c r="CN12" s="7">
        <f t="array" ref="CN12">PRODUCT(1 + 預測IC!$C12:CN12) - 1</f>
        <v>-0.38022051288677683</v>
      </c>
      <c r="CO12" s="7">
        <f t="array" ref="CO12">PRODUCT(1 + 預測IC!$C12:CO12) - 1</f>
        <v>-0.39560330666251275</v>
      </c>
      <c r="CP12" s="7">
        <f t="array" ref="CP12">PRODUCT(1 + 預測IC!$C12:CP12) - 1</f>
        <v>-0.39621073865761625</v>
      </c>
      <c r="CQ12" s="7">
        <f t="array" ref="CQ12">PRODUCT(1 + 預測IC!$C12:CQ12) - 1</f>
        <v>-0.35836260308259815</v>
      </c>
      <c r="CR12" s="7">
        <f t="array" ref="CR12">PRODUCT(1 + 預測IC!$C12:CR12) - 1</f>
        <v>-0.3274699277628963</v>
      </c>
      <c r="CS12" s="7">
        <f t="array" ref="CS12">PRODUCT(1 + 預測IC!$C12:CS12) - 1</f>
        <v>-0.32812804793333183</v>
      </c>
      <c r="CT12" s="7">
        <f t="array" ref="CT12">PRODUCT(1 + 預測IC!$C12:CT12) - 1</f>
        <v>-0.32186011201005382</v>
      </c>
      <c r="CU12" s="7">
        <f t="array" ref="CU12">PRODUCT(1 + 預測IC!$C12:CU12) - 1</f>
        <v>-0.2711491303992537</v>
      </c>
      <c r="CV12" s="7">
        <f t="array" ref="CV12">PRODUCT(1 + 預測IC!$C12:CV12) - 1</f>
        <v>-0.31854871239164839</v>
      </c>
      <c r="CW12" s="7">
        <f t="array" ref="CW12">PRODUCT(1 + 預測IC!$C12:CW12) - 1</f>
        <v>-0.3147680719309327</v>
      </c>
      <c r="CX12" s="7">
        <f t="array" ref="CX12">PRODUCT(1 + 預測IC!$C12:CX12) - 1</f>
        <v>-0.33584076154415698</v>
      </c>
      <c r="CY12" s="7">
        <f t="array" ref="CY12">PRODUCT(1 + 預測IC!$C12:CY12) - 1</f>
        <v>-0.32493487084522354</v>
      </c>
      <c r="CZ12" s="7">
        <f t="array" ref="CZ12">PRODUCT(1 + 預測IC!$C12:CZ12) - 1</f>
        <v>-0.31661519128600857</v>
      </c>
      <c r="DA12" s="7">
        <f t="array" ref="DA12">PRODUCT(1 + 預測IC!$C12:DA12) - 1</f>
        <v>-0.3127856503810108</v>
      </c>
      <c r="DB12" s="7">
        <f t="array" ref="DB12">PRODUCT(1 + 預測IC!$C12:DB12) - 1</f>
        <v>-0.33724036724914885</v>
      </c>
      <c r="DC12" s="7">
        <f t="array" ref="DC12">PRODUCT(1 + 預測IC!$C12:DC12) - 1</f>
        <v>-0.3342570450351261</v>
      </c>
      <c r="DD12" s="7">
        <f t="array" ref="DD12">PRODUCT(1 + 預測IC!$C12:DD12) - 1</f>
        <v>-0.38083278548326305</v>
      </c>
      <c r="DE12" s="7">
        <f t="array" ref="DE12">PRODUCT(1 + 預測IC!$C12:DE12) - 1</f>
        <v>-0.36551604709706309</v>
      </c>
      <c r="DF12" s="7">
        <f t="array" ref="DF12">PRODUCT(1 + 預測IC!$C12:DF12) - 1</f>
        <v>-0.33031123920694827</v>
      </c>
      <c r="DG12" s="7">
        <f t="array" ref="DG12">PRODUCT(1 + 預測IC!$C12:DG12) - 1</f>
        <v>-0.29857172771716778</v>
      </c>
      <c r="DH12" s="7">
        <f t="array" ref="DH12">PRODUCT(1 + 預測IC!$C12:DH12) - 1</f>
        <v>-0.3201779316407446</v>
      </c>
      <c r="DI12" s="7">
        <f t="array" ref="DI12">PRODUCT(1 + 預測IC!$C12:DI12) - 1</f>
        <v>-0.34055849048189268</v>
      </c>
      <c r="DJ12" s="7">
        <f t="array" ref="DJ12">PRODUCT(1 + 預測IC!$C12:DJ12) - 1</f>
        <v>-0.31327209138748835</v>
      </c>
      <c r="DK12" s="7">
        <f t="array" ref="DK12">PRODUCT(1 + 預測IC!$C12:DK12) - 1</f>
        <v>-0.3140077133814021</v>
      </c>
      <c r="DL12" s="7">
        <f t="array" ref="DL12">PRODUCT(1 + 預測IC!$C12:DL12) - 1</f>
        <v>-0.32681507504084573</v>
      </c>
      <c r="DM12" s="7">
        <f t="array" ref="DM12">PRODUCT(1 + 預測IC!$C12:DM12) - 1</f>
        <v>-0.32065981316724934</v>
      </c>
      <c r="DN12" s="7">
        <f t="array" ref="DN12">PRODUCT(1 + 預測IC!$C12:DN12) - 1</f>
        <v>-0.33325576083057196</v>
      </c>
      <c r="DO12" s="7">
        <f t="array" ref="DO12">PRODUCT(1 + 預測IC!$C12:DO12) - 1</f>
        <v>-0.34594438927039162</v>
      </c>
      <c r="DP12" s="7">
        <f t="array" ref="DP12">PRODUCT(1 + 預測IC!$C12:DP12) - 1</f>
        <v>-0.38480097927129686</v>
      </c>
      <c r="DQ12" s="7">
        <f t="array" ref="DQ12">PRODUCT(1 + 預測IC!$C12:DQ12) - 1</f>
        <v>-0.33894364593682647</v>
      </c>
      <c r="DR12" s="7">
        <f t="array" ref="DR12">PRODUCT(1 + 預測IC!$C12:DR12) - 1</f>
        <v>-0.32652970615939581</v>
      </c>
      <c r="DS12" s="7">
        <f t="array" ref="DS12">PRODUCT(1 + 預測IC!$C12:DS12) - 1</f>
        <v>-0.35752569086477914</v>
      </c>
      <c r="DT12" s="7">
        <f t="array" ref="DT12">PRODUCT(1 + 預測IC!$C12:DT12) - 1</f>
        <v>-0.34158343514986544</v>
      </c>
      <c r="DU12" s="7">
        <f t="array" ref="DU12">PRODUCT(1 + 預測IC!$C12:DU12) - 1</f>
        <v>-0.31143642241673142</v>
      </c>
      <c r="DV12" s="7">
        <f t="array" ref="DV12">PRODUCT(1 + 預測IC!$C12:DV12) - 1</f>
        <v>-0.32297085491516464</v>
      </c>
      <c r="DW12" s="7">
        <f t="array" ref="DW12">PRODUCT(1 + 預測IC!$C12:DW12) - 1</f>
        <v>-0.32156519907435754</v>
      </c>
      <c r="DX12" s="7">
        <f t="array" ref="DX12">PRODUCT(1 + 預測IC!$C12:DX12) - 1</f>
        <v>-0.3092861148172229</v>
      </c>
      <c r="DY12" s="7">
        <f t="array" ref="DY12">PRODUCT(1 + 預測IC!$C12:DY12) - 1</f>
        <v>-0.35261336881090954</v>
      </c>
      <c r="DZ12" s="7">
        <f t="array" ref="DZ12">PRODUCT(1 + 預測IC!$C12:DZ12) - 1</f>
        <v>-0.33964045924103092</v>
      </c>
      <c r="EA12" s="7">
        <f t="array" ref="EA12">PRODUCT(1 + 預測IC!$C12:EA12) - 1</f>
        <v>-0.26493593790415004</v>
      </c>
      <c r="EB12" s="7">
        <f t="array" ref="EB12">PRODUCT(1 + 預測IC!$C12:EB12) - 1</f>
        <v>-0.24249753639779592</v>
      </c>
      <c r="EC12" s="7">
        <f t="array" ref="EC12">PRODUCT(1 + 預測IC!$C12:EC12) - 1</f>
        <v>-0.2223089522324817</v>
      </c>
      <c r="ED12" s="7">
        <f t="array" ref="ED12">PRODUCT(1 + 預測IC!$C12:ED12) - 1</f>
        <v>-0.26936560098858886</v>
      </c>
      <c r="EE12" s="7">
        <f t="array" ref="EE12">PRODUCT(1 + 預測IC!$C12:EE12) - 1</f>
        <v>-0.28998138596439293</v>
      </c>
      <c r="EF12" s="7">
        <f t="array" ref="EF12">PRODUCT(1 + 預測IC!$C12:EF12) - 1</f>
        <v>-0.31256768746754515</v>
      </c>
    </row>
    <row r="13" spans="1:137" x14ac:dyDescent="0.3">
      <c r="A13" s="1">
        <v>48</v>
      </c>
      <c r="B13" s="1" t="s">
        <v>151</v>
      </c>
      <c r="C13" s="7">
        <f t="array" ref="C13">PRODUCT(1 + 預測IC!$C13:C13) - 1</f>
        <v>-7.4773642018864939E-3</v>
      </c>
      <c r="D13" s="7">
        <f t="array" ref="D13">PRODUCT(1 + 預測IC!$C13:D13) - 1</f>
        <v>-1.2893421261143456E-2</v>
      </c>
      <c r="E13" s="7">
        <f t="array" ref="E13">PRODUCT(1 + 預測IC!$C13:E13) - 1</f>
        <v>-1.8345829518454981E-2</v>
      </c>
      <c r="F13" s="7">
        <f t="array" ref="F13">PRODUCT(1 + 預測IC!$C13:F13) - 1</f>
        <v>4.054019458235536E-2</v>
      </c>
      <c r="G13" s="7">
        <f t="array" ref="G13">PRODUCT(1 + 預測IC!$C13:G13) - 1</f>
        <v>2.8004386167710837E-2</v>
      </c>
      <c r="H13" s="7">
        <f t="array" ref="H13">PRODUCT(1 + 預測IC!$C13:H13) - 1</f>
        <v>4.5879724300361469E-2</v>
      </c>
      <c r="I13" s="7">
        <f t="array" ref="I13">PRODUCT(1 + 預測IC!$C13:I13) - 1</f>
        <v>1.2112460219276144E-2</v>
      </c>
      <c r="J13" s="7">
        <f t="array" ref="J13">PRODUCT(1 + 預測IC!$C13:J13) - 1</f>
        <v>-1.1166539968126887E-2</v>
      </c>
      <c r="K13" s="7">
        <f t="array" ref="K13">PRODUCT(1 + 預測IC!$C13:K13) - 1</f>
        <v>-7.0819044950889531E-2</v>
      </c>
      <c r="L13" s="7">
        <f t="array" ref="L13">PRODUCT(1 + 預測IC!$C13:L13) - 1</f>
        <v>-5.0395210491959275E-2</v>
      </c>
      <c r="M13" s="7">
        <f t="array" ref="M13">PRODUCT(1 + 預測IC!$C13:M13) - 1</f>
        <v>-5.3509684611801722E-2</v>
      </c>
      <c r="N13" s="7">
        <f t="array" ref="N13">PRODUCT(1 + 預測IC!$C13:N13) - 1</f>
        <v>-9.4580187504365476E-2</v>
      </c>
      <c r="O13" s="7">
        <f t="array" ref="O13">PRODUCT(1 + 預測IC!$C13:O13) - 1</f>
        <v>-7.8805330813787156E-2</v>
      </c>
      <c r="P13" s="7">
        <f t="array" ref="P13">PRODUCT(1 + 預測IC!$C13:P13) - 1</f>
        <v>-8.4588266373883614E-2</v>
      </c>
      <c r="Q13" s="7">
        <f t="array" ref="Q13">PRODUCT(1 + 預測IC!$C13:Q13) - 1</f>
        <v>-0.10056804556854304</v>
      </c>
      <c r="R13" s="7">
        <f t="array" ref="R13">PRODUCT(1 + 預測IC!$C13:R13) - 1</f>
        <v>-0.11541830670682596</v>
      </c>
      <c r="S13" s="7">
        <f t="array" ref="S13">PRODUCT(1 + 預測IC!$C13:S13) - 1</f>
        <v>-0.12073800675392699</v>
      </c>
      <c r="T13" s="7">
        <f t="array" ref="T13">PRODUCT(1 + 預測IC!$C13:T13) - 1</f>
        <v>-0.18600921323071562</v>
      </c>
      <c r="U13" s="7">
        <f t="array" ref="U13">PRODUCT(1 + 預測IC!$C13:U13) - 1</f>
        <v>-0.16259775511477881</v>
      </c>
      <c r="V13" s="7">
        <f t="array" ref="V13">PRODUCT(1 + 預測IC!$C13:V13) - 1</f>
        <v>-0.16074153588385931</v>
      </c>
      <c r="W13" s="7">
        <f t="array" ref="W13">PRODUCT(1 + 預測IC!$C13:W13) - 1</f>
        <v>-0.18673245075025213</v>
      </c>
      <c r="X13" s="7">
        <f t="array" ref="X13">PRODUCT(1 + 預測IC!$C13:X13) - 1</f>
        <v>-8.8223165402760761E-2</v>
      </c>
      <c r="Y13" s="7">
        <f t="array" ref="Y13">PRODUCT(1 + 預測IC!$C13:Y13) - 1</f>
        <v>-8.2129433738593383E-2</v>
      </c>
      <c r="Z13" s="7">
        <f t="array" ref="Z13">PRODUCT(1 + 預測IC!$C13:Z13) - 1</f>
        <v>-0.15670770421314517</v>
      </c>
      <c r="AA13" s="7">
        <f t="array" ref="AA13">PRODUCT(1 + 預測IC!$C13:AA13) - 1</f>
        <v>-0.19694341306283447</v>
      </c>
      <c r="AB13" s="7">
        <f t="array" ref="AB13">PRODUCT(1 + 預測IC!$C13:AB13) - 1</f>
        <v>-0.18489630078657737</v>
      </c>
      <c r="AC13" s="7">
        <f t="array" ref="AC13">PRODUCT(1 + 預測IC!$C13:AC13) - 1</f>
        <v>-0.13047044080249603</v>
      </c>
      <c r="AD13" s="7">
        <f t="array" ref="AD13">PRODUCT(1 + 預測IC!$C13:AD13) - 1</f>
        <v>-0.14824382357025612</v>
      </c>
      <c r="AE13" s="7">
        <f t="array" ref="AE13">PRODUCT(1 + 預測IC!$C13:AE13) - 1</f>
        <v>-0.18445812103229564</v>
      </c>
      <c r="AF13" s="7">
        <f t="array" ref="AF13">PRODUCT(1 + 預測IC!$C13:AF13) - 1</f>
        <v>-0.24422197662715106</v>
      </c>
      <c r="AG13" s="7">
        <f t="array" ref="AG13">PRODUCT(1 + 預測IC!$C13:AG13) - 1</f>
        <v>-0.25170811494421652</v>
      </c>
      <c r="AH13" s="7">
        <f t="array" ref="AH13">PRODUCT(1 + 預測IC!$C13:AH13) - 1</f>
        <v>-0.27038189349537278</v>
      </c>
      <c r="AI13" s="7">
        <f t="array" ref="AI13">PRODUCT(1 + 預測IC!$C13:AI13) - 1</f>
        <v>-0.25677740044182451</v>
      </c>
      <c r="AJ13" s="7">
        <f t="array" ref="AJ13">PRODUCT(1 + 預測IC!$C13:AJ13) - 1</f>
        <v>-0.25550838439092827</v>
      </c>
      <c r="AK13" s="7">
        <f t="array" ref="AK13">PRODUCT(1 + 預測IC!$C13:AK13) - 1</f>
        <v>-0.22695013994545388</v>
      </c>
      <c r="AL13" s="7">
        <f t="array" ref="AL13">PRODUCT(1 + 預測IC!$C13:AL13) - 1</f>
        <v>-0.26502971394232389</v>
      </c>
      <c r="AM13" s="7">
        <f t="array" ref="AM13">PRODUCT(1 + 預測IC!$C13:AM13) - 1</f>
        <v>-0.25442107484266507</v>
      </c>
      <c r="AN13" s="7">
        <f t="array" ref="AN13">PRODUCT(1 + 預測IC!$C13:AN13) - 1</f>
        <v>-0.27677178675184022</v>
      </c>
      <c r="AO13" s="7">
        <f t="array" ref="AO13">PRODUCT(1 + 預測IC!$C13:AO13) - 1</f>
        <v>-0.27800767288917705</v>
      </c>
      <c r="AP13" s="7">
        <f t="array" ref="AP13">PRODUCT(1 + 預測IC!$C13:AP13) - 1</f>
        <v>-0.27953158723945148</v>
      </c>
      <c r="AQ13" s="7">
        <f t="array" ref="AQ13">PRODUCT(1 + 預測IC!$C13:AQ13) - 1</f>
        <v>-0.28121753675490024</v>
      </c>
      <c r="AR13" s="7">
        <f t="array" ref="AR13">PRODUCT(1 + 預測IC!$C13:AR13) - 1</f>
        <v>-0.26623232848228695</v>
      </c>
      <c r="AS13" s="7">
        <f t="array" ref="AS13">PRODUCT(1 + 預測IC!$C13:AS13) - 1</f>
        <v>-0.28340613408216186</v>
      </c>
      <c r="AT13" s="7">
        <f t="array" ref="AT13">PRODUCT(1 + 預測IC!$C13:AT13) - 1</f>
        <v>-0.3453362646507</v>
      </c>
      <c r="AU13" s="7">
        <f t="array" ref="AU13">PRODUCT(1 + 預測IC!$C13:AU13) - 1</f>
        <v>-0.35561148590564473</v>
      </c>
      <c r="AV13" s="7">
        <f t="array" ref="AV13">PRODUCT(1 + 預測IC!$C13:AV13) - 1</f>
        <v>-0.40694732557763946</v>
      </c>
      <c r="AW13" s="7">
        <f t="array" ref="AW13">PRODUCT(1 + 預測IC!$C13:AW13) - 1</f>
        <v>-0.42285373248729241</v>
      </c>
      <c r="AX13" s="7">
        <f t="array" ref="AX13">PRODUCT(1 + 預測IC!$C13:AX13) - 1</f>
        <v>-0.44178403317954495</v>
      </c>
      <c r="AY13" s="7">
        <f t="array" ref="AY13">PRODUCT(1 + 預測IC!$C13:AY13) - 1</f>
        <v>-0.44974542312255883</v>
      </c>
      <c r="AZ13" s="7">
        <f t="array" ref="AZ13">PRODUCT(1 + 預測IC!$C13:AZ13) - 1</f>
        <v>-0.46692466600072313</v>
      </c>
      <c r="BA13" s="7">
        <f t="array" ref="BA13">PRODUCT(1 + 預測IC!$C13:BA13) - 1</f>
        <v>-0.48088498893713405</v>
      </c>
      <c r="BB13" s="7">
        <f t="array" ref="BB13">PRODUCT(1 + 預測IC!$C13:BB13) - 1</f>
        <v>-0.46918029463067279</v>
      </c>
      <c r="BC13" s="7">
        <f t="array" ref="BC13">PRODUCT(1 + 預測IC!$C13:BC13) - 1</f>
        <v>-0.45903586969448873</v>
      </c>
      <c r="BD13" s="7">
        <f t="array" ref="BD13">PRODUCT(1 + 預測IC!$C13:BD13) - 1</f>
        <v>-0.45310565148091353</v>
      </c>
      <c r="BE13" s="7">
        <f t="array" ref="BE13">PRODUCT(1 + 預測IC!$C13:BE13) - 1</f>
        <v>-0.47704528950926306</v>
      </c>
      <c r="BF13" s="7">
        <f t="array" ref="BF13">PRODUCT(1 + 預測IC!$C13:BF13) - 1</f>
        <v>-0.4331540064254743</v>
      </c>
      <c r="BG13" s="7">
        <f t="array" ref="BG13">PRODUCT(1 + 預測IC!$C13:BG13) - 1</f>
        <v>-0.40675799381383659</v>
      </c>
      <c r="BH13" s="7">
        <f t="array" ref="BH13">PRODUCT(1 + 預測IC!$C13:BH13) - 1</f>
        <v>-0.42689515150373791</v>
      </c>
      <c r="BI13" s="7">
        <f t="array" ref="BI13">PRODUCT(1 + 預測IC!$C13:BI13) - 1</f>
        <v>-0.41451519324676855</v>
      </c>
      <c r="BJ13" s="7">
        <f t="array" ref="BJ13">PRODUCT(1 + 預測IC!$C13:BJ13) - 1</f>
        <v>-0.42872261886358665</v>
      </c>
      <c r="BK13" s="7">
        <f t="array" ref="BK13">PRODUCT(1 + 預測IC!$C13:BK13) - 1</f>
        <v>-0.43379464563122361</v>
      </c>
      <c r="BL13" s="7">
        <f t="array" ref="BL13">PRODUCT(1 + 預測IC!$C13:BL13) - 1</f>
        <v>-0.4533061050449011</v>
      </c>
      <c r="BM13" s="7">
        <f t="array" ref="BM13">PRODUCT(1 + 預測IC!$C13:BM13) - 1</f>
        <v>-0.48248412515351746</v>
      </c>
      <c r="BN13" s="7">
        <f t="array" ref="BN13">PRODUCT(1 + 預測IC!$C13:BN13) - 1</f>
        <v>-0.50088321873830566</v>
      </c>
      <c r="BO13" s="7">
        <f t="array" ref="BO13">PRODUCT(1 + 預測IC!$C13:BO13) - 1</f>
        <v>-0.50312545346053006</v>
      </c>
      <c r="BP13" s="7">
        <f t="array" ref="BP13">PRODUCT(1 + 預測IC!$C13:BP13) - 1</f>
        <v>-0.50707617573133079</v>
      </c>
      <c r="BQ13" s="7">
        <f t="array" ref="BQ13">PRODUCT(1 + 預測IC!$C13:BQ13) - 1</f>
        <v>-0.50650890951770366</v>
      </c>
      <c r="BR13" s="7">
        <f t="array" ref="BR13">PRODUCT(1 + 預測IC!$C13:BR13) - 1</f>
        <v>-0.54590502220024062</v>
      </c>
      <c r="BS13" s="7">
        <f t="array" ref="BS13">PRODUCT(1 + 預測IC!$C13:BS13) - 1</f>
        <v>-0.56415079197717111</v>
      </c>
      <c r="BT13" s="7">
        <f t="array" ref="BT13">PRODUCT(1 + 預測IC!$C13:BT13) - 1</f>
        <v>-0.56392368329994924</v>
      </c>
      <c r="BU13" s="7">
        <f t="array" ref="BU13">PRODUCT(1 + 預測IC!$C13:BU13) - 1</f>
        <v>-0.55620227399816202</v>
      </c>
      <c r="BV13" s="7">
        <f t="array" ref="BV13">PRODUCT(1 + 預測IC!$C13:BV13) - 1</f>
        <v>-0.52072915158668254</v>
      </c>
      <c r="BW13" s="7">
        <f t="array" ref="BW13">PRODUCT(1 + 預測IC!$C13:BW13) - 1</f>
        <v>-0.48444163586842037</v>
      </c>
      <c r="BX13" s="7">
        <f t="array" ref="BX13">PRODUCT(1 + 預測IC!$C13:BX13) - 1</f>
        <v>-0.48405721554536074</v>
      </c>
      <c r="BY13" s="7">
        <f t="array" ref="BY13">PRODUCT(1 + 預測IC!$C13:BY13) - 1</f>
        <v>-0.46383124891391248</v>
      </c>
      <c r="BZ13" s="7">
        <f t="array" ref="BZ13">PRODUCT(1 + 預測IC!$C13:BZ13) - 1</f>
        <v>-0.49920590979872781</v>
      </c>
      <c r="CA13" s="7">
        <f t="array" ref="CA13">PRODUCT(1 + 預測IC!$C13:CA13) - 1</f>
        <v>-0.49368666544679474</v>
      </c>
      <c r="CB13" s="7">
        <f t="array" ref="CB13">PRODUCT(1 + 預測IC!$C13:CB13) - 1</f>
        <v>-0.50685961162926674</v>
      </c>
      <c r="CC13" s="7">
        <f t="array" ref="CC13">PRODUCT(1 + 預測IC!$C13:CC13) - 1</f>
        <v>-0.51303911054444429</v>
      </c>
      <c r="CD13" s="7">
        <f t="array" ref="CD13">PRODUCT(1 + 預測IC!$C13:CD13) - 1</f>
        <v>-0.46186641989001864</v>
      </c>
      <c r="CE13" s="7">
        <f t="array" ref="CE13">PRODUCT(1 + 預測IC!$C13:CE13) - 1</f>
        <v>-0.50461460515491652</v>
      </c>
      <c r="CF13" s="7">
        <f t="array" ref="CF13">PRODUCT(1 + 預測IC!$C13:CF13) - 1</f>
        <v>-0.49864834841527861</v>
      </c>
      <c r="CG13" s="7">
        <f t="array" ref="CG13">PRODUCT(1 + 預測IC!$C13:CG13) - 1</f>
        <v>-0.5277342483420725</v>
      </c>
      <c r="CH13" s="7">
        <f t="array" ref="CH13">PRODUCT(1 + 預測IC!$C13:CH13) - 1</f>
        <v>-0.52583125063468161</v>
      </c>
      <c r="CI13" s="7">
        <f t="array" ref="CI13">PRODUCT(1 + 預測IC!$C13:CI13) - 1</f>
        <v>-0.51894001241641052</v>
      </c>
      <c r="CJ13" s="7">
        <f t="array" ref="CJ13">PRODUCT(1 + 預測IC!$C13:CJ13) - 1</f>
        <v>-0.54530699725322762</v>
      </c>
      <c r="CK13" s="7">
        <f t="array" ref="CK13">PRODUCT(1 + 預測IC!$C13:CK13) - 1</f>
        <v>-0.57517447393728405</v>
      </c>
      <c r="CL13" s="7">
        <f t="array" ref="CL13">PRODUCT(1 + 預測IC!$C13:CL13) - 1</f>
        <v>-0.60606955990422717</v>
      </c>
      <c r="CM13" s="7">
        <f t="array" ref="CM13">PRODUCT(1 + 預測IC!$C13:CM13) - 1</f>
        <v>-0.60055030498908202</v>
      </c>
      <c r="CN13" s="7">
        <f t="array" ref="CN13">PRODUCT(1 + 預測IC!$C13:CN13) - 1</f>
        <v>-0.56020821592357894</v>
      </c>
      <c r="CO13" s="7">
        <f t="array" ref="CO13">PRODUCT(1 + 預測IC!$C13:CO13) - 1</f>
        <v>-0.57574797014598134</v>
      </c>
      <c r="CP13" s="7">
        <f t="array" ref="CP13">PRODUCT(1 + 預測IC!$C13:CP13) - 1</f>
        <v>-0.56701813793493394</v>
      </c>
      <c r="CQ13" s="7">
        <f t="array" ref="CQ13">PRODUCT(1 + 預測IC!$C13:CQ13) - 1</f>
        <v>-0.53619898044123659</v>
      </c>
      <c r="CR13" s="7">
        <f t="array" ref="CR13">PRODUCT(1 + 預測IC!$C13:CR13) - 1</f>
        <v>-0.50633916991697014</v>
      </c>
      <c r="CS13" s="7">
        <f t="array" ref="CS13">PRODUCT(1 + 預測IC!$C13:CS13) - 1</f>
        <v>-0.51106234576724774</v>
      </c>
      <c r="CT13" s="7">
        <f t="array" ref="CT13">PRODUCT(1 + 預測IC!$C13:CT13) - 1</f>
        <v>-0.51126209641303721</v>
      </c>
      <c r="CU13" s="7">
        <f t="array" ref="CU13">PRODUCT(1 + 預測IC!$C13:CU13) - 1</f>
        <v>-0.45892268429200234</v>
      </c>
      <c r="CV13" s="7">
        <f t="array" ref="CV13">PRODUCT(1 + 預測IC!$C13:CV13) - 1</f>
        <v>-0.50094061205460783</v>
      </c>
      <c r="CW13" s="7">
        <f t="array" ref="CW13">PRODUCT(1 + 預測IC!$C13:CW13) - 1</f>
        <v>-0.49795771869375882</v>
      </c>
      <c r="CX13" s="7">
        <f t="array" ref="CX13">PRODUCT(1 + 預測IC!$C13:CX13) - 1</f>
        <v>-0.51331159819904948</v>
      </c>
      <c r="CY13" s="7">
        <f t="array" ref="CY13">PRODUCT(1 + 預測IC!$C13:CY13) - 1</f>
        <v>-0.49325918342317909</v>
      </c>
      <c r="CZ13" s="7">
        <f t="array" ref="CZ13">PRODUCT(1 + 預測IC!$C13:CZ13) - 1</f>
        <v>-0.49077705736645783</v>
      </c>
      <c r="DA13" s="7">
        <f t="array" ref="DA13">PRODUCT(1 + 預測IC!$C13:DA13) - 1</f>
        <v>-0.49362039376133959</v>
      </c>
      <c r="DB13" s="7">
        <f t="array" ref="DB13">PRODUCT(1 + 預測IC!$C13:DB13) - 1</f>
        <v>-0.52468991468209536</v>
      </c>
      <c r="DC13" s="7">
        <f t="array" ref="DC13">PRODUCT(1 + 預測IC!$C13:DC13) - 1</f>
        <v>-0.51796434027317717</v>
      </c>
      <c r="DD13" s="7">
        <f t="array" ref="DD13">PRODUCT(1 + 預測IC!$C13:DD13) - 1</f>
        <v>-0.55121374237780829</v>
      </c>
      <c r="DE13" s="7">
        <f t="array" ref="DE13">PRODUCT(1 + 預測IC!$C13:DE13) - 1</f>
        <v>-0.54114208278676079</v>
      </c>
      <c r="DF13" s="7">
        <f t="array" ref="DF13">PRODUCT(1 + 預測IC!$C13:DF13) - 1</f>
        <v>-0.50300080915451517</v>
      </c>
      <c r="DG13" s="7">
        <f t="array" ref="DG13">PRODUCT(1 + 預測IC!$C13:DG13) - 1</f>
        <v>-0.46754699404935263</v>
      </c>
      <c r="DH13" s="7">
        <f t="array" ref="DH13">PRODUCT(1 + 預測IC!$C13:DH13) - 1</f>
        <v>-0.48820964064468386</v>
      </c>
      <c r="DI13" s="7">
        <f t="array" ref="DI13">PRODUCT(1 + 預測IC!$C13:DI13) - 1</f>
        <v>-0.50334349633567532</v>
      </c>
      <c r="DJ13" s="7">
        <f t="array" ref="DJ13">PRODUCT(1 + 預測IC!$C13:DJ13) - 1</f>
        <v>-0.49985640962897737</v>
      </c>
      <c r="DK13" s="7">
        <f t="array" ref="DK13">PRODUCT(1 + 預測IC!$C13:DK13) - 1</f>
        <v>-0.48815260353843259</v>
      </c>
      <c r="DL13" s="7">
        <f t="array" ref="DL13">PRODUCT(1 + 預測IC!$C13:DL13) - 1</f>
        <v>-0.49943919215219135</v>
      </c>
      <c r="DM13" s="7">
        <f t="array" ref="DM13">PRODUCT(1 + 預測IC!$C13:DM13) - 1</f>
        <v>-0.5052736760770129</v>
      </c>
      <c r="DN13" s="7">
        <f t="array" ref="DN13">PRODUCT(1 + 預測IC!$C13:DN13) - 1</f>
        <v>-0.51159424491736849</v>
      </c>
      <c r="DO13" s="7">
        <f t="array" ref="DO13">PRODUCT(1 + 預測IC!$C13:DO13) - 1</f>
        <v>-0.53324289810601244</v>
      </c>
      <c r="DP13" s="7">
        <f t="array" ref="DP13">PRODUCT(1 + 預測IC!$C13:DP13) - 1</f>
        <v>-0.5603298904200531</v>
      </c>
      <c r="DQ13" s="7">
        <f t="array" ref="DQ13">PRODUCT(1 + 預測IC!$C13:DQ13) - 1</f>
        <v>-0.52202186843348919</v>
      </c>
      <c r="DR13" s="7">
        <f t="array" ref="DR13">PRODUCT(1 + 預測IC!$C13:DR13) - 1</f>
        <v>-0.51543953155609801</v>
      </c>
      <c r="DS13" s="7">
        <f t="array" ref="DS13">PRODUCT(1 + 預測IC!$C13:DS13) - 1</f>
        <v>-0.52993525192166968</v>
      </c>
      <c r="DT13" s="7">
        <f t="array" ref="DT13">PRODUCT(1 + 預測IC!$C13:DT13) - 1</f>
        <v>-0.51590578915720875</v>
      </c>
      <c r="DU13" s="7">
        <f t="array" ref="DU13">PRODUCT(1 + 預測IC!$C13:DU13) - 1</f>
        <v>-0.50443331123811941</v>
      </c>
      <c r="DV13" s="7">
        <f t="array" ref="DV13">PRODUCT(1 + 預測IC!$C13:DV13) - 1</f>
        <v>-0.50931603306916395</v>
      </c>
      <c r="DW13" s="7">
        <f t="array" ref="DW13">PRODUCT(1 + 預測IC!$C13:DW13) - 1</f>
        <v>-0.50288894208307866</v>
      </c>
      <c r="DX13" s="7">
        <f t="array" ref="DX13">PRODUCT(1 + 預測IC!$C13:DX13) - 1</f>
        <v>-0.49134124630519516</v>
      </c>
      <c r="DY13" s="7">
        <f t="array" ref="DY13">PRODUCT(1 + 預測IC!$C13:DY13) - 1</f>
        <v>-0.49617585691227217</v>
      </c>
      <c r="DZ13" s="7">
        <f t="array" ref="DZ13">PRODUCT(1 + 預測IC!$C13:DZ13) - 1</f>
        <v>-0.48091741603971361</v>
      </c>
      <c r="EA13" s="7">
        <f t="array" ref="EA13">PRODUCT(1 + 預測IC!$C13:EA13) - 1</f>
        <v>-0.4163077476208491</v>
      </c>
      <c r="EB13" s="7">
        <f t="array" ref="EB13">PRODUCT(1 + 預測IC!$C13:EB13) - 1</f>
        <v>-0.38291746144853323</v>
      </c>
      <c r="EC13" s="7">
        <f t="array" ref="EC13">PRODUCT(1 + 預測IC!$C13:EC13) - 1</f>
        <v>-0.35720995504329389</v>
      </c>
      <c r="ED13" s="7">
        <f t="array" ref="ED13">PRODUCT(1 + 預測IC!$C13:ED13) - 1</f>
        <v>-0.39942975097936406</v>
      </c>
      <c r="EE13" s="7">
        <f t="array" ref="EE13">PRODUCT(1 + 預測IC!$C13:EE13) - 1</f>
        <v>-0.42097069231514217</v>
      </c>
      <c r="EF13" s="7">
        <f t="array" ref="EF13">PRODUCT(1 + 預測IC!$C13:EF13) - 1</f>
        <v>-0.44869419026561286</v>
      </c>
    </row>
    <row r="14" spans="1:137" x14ac:dyDescent="0.3">
      <c r="A14" s="1">
        <v>19</v>
      </c>
      <c r="B14" s="1" t="s">
        <v>152</v>
      </c>
      <c r="C14" s="7">
        <f t="array" ref="C14">PRODUCT(1 + 預測IC!$C14:C14) - 1</f>
        <v>-3.3228977675766158E-2</v>
      </c>
      <c r="D14" s="7">
        <f t="array" ref="D14">PRODUCT(1 + 預測IC!$C14:D14) - 1</f>
        <v>-0.17016595278607671</v>
      </c>
      <c r="E14" s="7">
        <f t="array" ref="E14">PRODUCT(1 + 預測IC!$C14:E14) - 1</f>
        <v>-0.20993221939577844</v>
      </c>
      <c r="F14" s="7">
        <f t="array" ref="F14">PRODUCT(1 + 預測IC!$C14:F14) - 1</f>
        <v>-0.16225802450923832</v>
      </c>
      <c r="G14" s="7">
        <f t="array" ref="G14">PRODUCT(1 + 預測IC!$C14:G14) - 1</f>
        <v>-0.2072084360945512</v>
      </c>
      <c r="H14" s="7">
        <f t="array" ref="H14">PRODUCT(1 + 預測IC!$C14:H14) - 1</f>
        <v>-0.21633208822126604</v>
      </c>
      <c r="I14" s="7">
        <f t="array" ref="I14">PRODUCT(1 + 預測IC!$C14:I14) - 1</f>
        <v>-0.23992059838583613</v>
      </c>
      <c r="J14" s="7">
        <f t="array" ref="J14">PRODUCT(1 + 預測IC!$C14:J14) - 1</f>
        <v>-0.27430018611045204</v>
      </c>
      <c r="K14" s="7">
        <f t="array" ref="K14">PRODUCT(1 + 預測IC!$C14:K14) - 1</f>
        <v>-0.31118566891642674</v>
      </c>
      <c r="L14" s="7">
        <f t="array" ref="L14">PRODUCT(1 + 預測IC!$C14:L14) - 1</f>
        <v>-0.27242533915917411</v>
      </c>
      <c r="M14" s="7">
        <f t="array" ref="M14">PRODUCT(1 + 預測IC!$C14:M14) - 1</f>
        <v>-0.25858562170870236</v>
      </c>
      <c r="N14" s="7">
        <f t="array" ref="N14">PRODUCT(1 + 預測IC!$C14:N14) - 1</f>
        <v>-0.30112013950654659</v>
      </c>
      <c r="O14" s="7">
        <f t="array" ref="O14">PRODUCT(1 + 預測IC!$C14:O14) - 1</f>
        <v>-0.30007572789493342</v>
      </c>
      <c r="P14" s="7">
        <f t="array" ref="P14">PRODUCT(1 + 預測IC!$C14:P14) - 1</f>
        <v>-0.29549722859226712</v>
      </c>
      <c r="Q14" s="7">
        <f t="array" ref="Q14">PRODUCT(1 + 預測IC!$C14:Q14) - 1</f>
        <v>-0.3513626481246207</v>
      </c>
      <c r="R14" s="7">
        <f t="array" ref="R14">PRODUCT(1 + 預測IC!$C14:R14) - 1</f>
        <v>-0.33984135129219717</v>
      </c>
      <c r="S14" s="7">
        <f t="array" ref="S14">PRODUCT(1 + 預測IC!$C14:S14) - 1</f>
        <v>-0.35621773927163636</v>
      </c>
      <c r="T14" s="7">
        <f t="array" ref="T14">PRODUCT(1 + 預測IC!$C14:T14) - 1</f>
        <v>-0.37876270745262741</v>
      </c>
      <c r="U14" s="7">
        <f t="array" ref="U14">PRODUCT(1 + 預測IC!$C14:U14) - 1</f>
        <v>-0.35978007554719027</v>
      </c>
      <c r="V14" s="7">
        <f t="array" ref="V14">PRODUCT(1 + 預測IC!$C14:V14) - 1</f>
        <v>-0.39334123637462981</v>
      </c>
      <c r="W14" s="7">
        <f t="array" ref="W14">PRODUCT(1 + 預測IC!$C14:W14) - 1</f>
        <v>-0.42233649364041825</v>
      </c>
      <c r="X14" s="7">
        <f t="array" ref="X14">PRODUCT(1 + 預測IC!$C14:X14) - 1</f>
        <v>-0.31449498012696775</v>
      </c>
      <c r="Y14" s="7">
        <f t="array" ref="Y14">PRODUCT(1 + 預測IC!$C14:Y14) - 1</f>
        <v>-0.2766612784621203</v>
      </c>
      <c r="Z14" s="7">
        <f t="array" ref="Z14">PRODUCT(1 + 預測IC!$C14:Z14) - 1</f>
        <v>-0.3610778235296479</v>
      </c>
      <c r="AA14" s="7">
        <f t="array" ref="AA14">PRODUCT(1 + 預測IC!$C14:AA14) - 1</f>
        <v>-0.42490990550026342</v>
      </c>
      <c r="AB14" s="7">
        <f t="array" ref="AB14">PRODUCT(1 + 預測IC!$C14:AB14) - 1</f>
        <v>-0.40918925498075254</v>
      </c>
      <c r="AC14" s="7">
        <f t="array" ref="AC14">PRODUCT(1 + 預測IC!$C14:AC14) - 1</f>
        <v>-0.41101282917568094</v>
      </c>
      <c r="AD14" s="7">
        <f t="array" ref="AD14">PRODUCT(1 + 預測IC!$C14:AD14) - 1</f>
        <v>-0.45216806727426662</v>
      </c>
      <c r="AE14" s="7">
        <f t="array" ref="AE14">PRODUCT(1 + 預測IC!$C14:AE14) - 1</f>
        <v>-0.51046399847906221</v>
      </c>
      <c r="AF14" s="7">
        <f t="array" ref="AF14">PRODUCT(1 + 預測IC!$C14:AF14) - 1</f>
        <v>-0.55749866423465266</v>
      </c>
      <c r="AG14" s="7">
        <f t="array" ref="AG14">PRODUCT(1 + 預測IC!$C14:AG14) - 1</f>
        <v>-0.56870691111099392</v>
      </c>
      <c r="AH14" s="7">
        <f t="array" ref="AH14">PRODUCT(1 + 預測IC!$C14:AH14) - 1</f>
        <v>-0.60362102878344781</v>
      </c>
      <c r="AI14" s="7">
        <f t="array" ref="AI14">PRODUCT(1 + 預測IC!$C14:AI14) - 1</f>
        <v>-0.6176776750885985</v>
      </c>
      <c r="AJ14" s="7">
        <f t="array" ref="AJ14">PRODUCT(1 + 預測IC!$C14:AJ14) - 1</f>
        <v>-0.62704670353453618</v>
      </c>
      <c r="AK14" s="7">
        <f t="array" ref="AK14">PRODUCT(1 + 預測IC!$C14:AK14) - 1</f>
        <v>-0.59815202045133264</v>
      </c>
      <c r="AL14" s="7">
        <f t="array" ref="AL14">PRODUCT(1 + 預測IC!$C14:AL14) - 1</f>
        <v>-0.61873876596898403</v>
      </c>
      <c r="AM14" s="7">
        <f t="array" ref="AM14">PRODUCT(1 + 預測IC!$C14:AM14) - 1</f>
        <v>-0.60254894385258551</v>
      </c>
      <c r="AN14" s="7">
        <f t="array" ref="AN14">PRODUCT(1 + 預測IC!$C14:AN14) - 1</f>
        <v>-0.61015318541524066</v>
      </c>
      <c r="AO14" s="7">
        <f t="array" ref="AO14">PRODUCT(1 + 預測IC!$C14:AO14) - 1</f>
        <v>-0.62498465506670287</v>
      </c>
      <c r="AP14" s="7">
        <f t="array" ref="AP14">PRODUCT(1 + 預測IC!$C14:AP14) - 1</f>
        <v>-0.62185260879787507</v>
      </c>
      <c r="AQ14" s="7">
        <f t="array" ref="AQ14">PRODUCT(1 + 預測IC!$C14:AQ14) - 1</f>
        <v>-0.61060900853120925</v>
      </c>
      <c r="AR14" s="7">
        <f t="array" ref="AR14">PRODUCT(1 + 預測IC!$C14:AR14) - 1</f>
        <v>-0.60765637670482309</v>
      </c>
      <c r="AS14" s="7">
        <f t="array" ref="AS14">PRODUCT(1 + 預測IC!$C14:AS14) - 1</f>
        <v>-0.60503970431603071</v>
      </c>
      <c r="AT14" s="7">
        <f t="array" ref="AT14">PRODUCT(1 + 預測IC!$C14:AT14) - 1</f>
        <v>-0.6364009261408804</v>
      </c>
      <c r="AU14" s="7">
        <f t="array" ref="AU14">PRODUCT(1 + 預測IC!$C14:AU14) - 1</f>
        <v>-0.65727937148867621</v>
      </c>
      <c r="AV14" s="7">
        <f t="array" ref="AV14">PRODUCT(1 + 預測IC!$C14:AV14) - 1</f>
        <v>-0.67998761166444643</v>
      </c>
      <c r="AW14" s="7">
        <f t="array" ref="AW14">PRODUCT(1 + 預測IC!$C14:AW14) - 1</f>
        <v>-0.69724545774446223</v>
      </c>
      <c r="AX14" s="7">
        <f t="array" ref="AX14">PRODUCT(1 + 預測IC!$C14:AX14) - 1</f>
        <v>-0.70310987782835088</v>
      </c>
      <c r="AY14" s="7">
        <f t="array" ref="AY14">PRODUCT(1 + 預測IC!$C14:AY14) - 1</f>
        <v>-0.70361179190401724</v>
      </c>
      <c r="AZ14" s="7">
        <f t="array" ref="AZ14">PRODUCT(1 + 預測IC!$C14:AZ14) - 1</f>
        <v>-0.72171239182023328</v>
      </c>
      <c r="BA14" s="7">
        <f t="array" ref="BA14">PRODUCT(1 + 預測IC!$C14:BA14) - 1</f>
        <v>-0.74032700305740584</v>
      </c>
      <c r="BB14" s="7">
        <f t="array" ref="BB14">PRODUCT(1 + 預測IC!$C14:BB14) - 1</f>
        <v>-0.71168215045877148</v>
      </c>
      <c r="BC14" s="7">
        <f t="array" ref="BC14">PRODUCT(1 + 預測IC!$C14:BC14) - 1</f>
        <v>-0.71990084782499431</v>
      </c>
      <c r="BD14" s="7">
        <f t="array" ref="BD14">PRODUCT(1 + 預測IC!$C14:BD14) - 1</f>
        <v>-0.70475038196612871</v>
      </c>
      <c r="BE14" s="7">
        <f t="array" ref="BE14">PRODUCT(1 + 預測IC!$C14:BE14) - 1</f>
        <v>-0.72544199783385555</v>
      </c>
      <c r="BF14" s="7">
        <f t="array" ref="BF14">PRODUCT(1 + 預測IC!$C14:BF14) - 1</f>
        <v>-0.71424812489099931</v>
      </c>
      <c r="BG14" s="7">
        <f t="array" ref="BG14">PRODUCT(1 + 預測IC!$C14:BG14) - 1</f>
        <v>-0.70242535135061801</v>
      </c>
      <c r="BH14" s="7">
        <f t="array" ref="BH14">PRODUCT(1 + 預測IC!$C14:BH14) - 1</f>
        <v>-0.73032299972910331</v>
      </c>
      <c r="BI14" s="7">
        <f t="array" ref="BI14">PRODUCT(1 + 預測IC!$C14:BI14) - 1</f>
        <v>-0.74138813504724865</v>
      </c>
      <c r="BJ14" s="7">
        <f t="array" ref="BJ14">PRODUCT(1 + 預測IC!$C14:BJ14) - 1</f>
        <v>-0.75912999401554349</v>
      </c>
      <c r="BK14" s="7">
        <f t="array" ref="BK14">PRODUCT(1 + 預測IC!$C14:BK14) - 1</f>
        <v>-0.76724524652144033</v>
      </c>
      <c r="BL14" s="7">
        <f t="array" ref="BL14">PRODUCT(1 + 預測IC!$C14:BL14) - 1</f>
        <v>-0.78120980914940863</v>
      </c>
      <c r="BM14" s="7">
        <f t="array" ref="BM14">PRODUCT(1 + 預測IC!$C14:BM14) - 1</f>
        <v>-0.79133505270906068</v>
      </c>
      <c r="BN14" s="7">
        <f t="array" ref="BN14">PRODUCT(1 + 預測IC!$C14:BN14) - 1</f>
        <v>-0.79677869556489267</v>
      </c>
      <c r="BO14" s="7">
        <f t="array" ref="BO14">PRODUCT(1 + 預測IC!$C14:BO14) - 1</f>
        <v>-0.79946898818048917</v>
      </c>
      <c r="BP14" s="7">
        <f t="array" ref="BP14">PRODUCT(1 + 預測IC!$C14:BP14) - 1</f>
        <v>-0.78937580447759015</v>
      </c>
      <c r="BQ14" s="7">
        <f t="array" ref="BQ14">PRODUCT(1 + 預測IC!$C14:BQ14) - 1</f>
        <v>-0.77865830135088754</v>
      </c>
      <c r="BR14" s="7">
        <f t="array" ref="BR14">PRODUCT(1 + 預測IC!$C14:BR14) - 1</f>
        <v>-0.80080407462835324</v>
      </c>
      <c r="BS14" s="7">
        <f t="array" ref="BS14">PRODUCT(1 + 預測IC!$C14:BS14) - 1</f>
        <v>-0.80684622965194075</v>
      </c>
      <c r="BT14" s="7">
        <f t="array" ref="BT14">PRODUCT(1 + 預測IC!$C14:BT14) - 1</f>
        <v>-0.81278116436514181</v>
      </c>
      <c r="BU14" s="7">
        <f t="array" ref="BU14">PRODUCT(1 + 預測IC!$C14:BU14) - 1</f>
        <v>-0.8144389563306107</v>
      </c>
      <c r="BV14" s="7">
        <f t="array" ref="BV14">PRODUCT(1 + 預測IC!$C14:BV14) - 1</f>
        <v>-0.79440177177689453</v>
      </c>
      <c r="BW14" s="7">
        <f t="array" ref="BW14">PRODUCT(1 + 預測IC!$C14:BW14) - 1</f>
        <v>-0.76748947593871841</v>
      </c>
      <c r="BX14" s="7">
        <f t="array" ref="BX14">PRODUCT(1 + 預測IC!$C14:BX14) - 1</f>
        <v>-0.77082258295621675</v>
      </c>
      <c r="BY14" s="7">
        <f t="array" ref="BY14">PRODUCT(1 + 預測IC!$C14:BY14) - 1</f>
        <v>-0.78058656984943997</v>
      </c>
      <c r="BZ14" s="7">
        <f t="array" ref="BZ14">PRODUCT(1 + 預測IC!$C14:BZ14) - 1</f>
        <v>-0.80107422829325792</v>
      </c>
      <c r="CA14" s="7">
        <f t="array" ref="CA14">PRODUCT(1 + 預測IC!$C14:CA14) - 1</f>
        <v>-0.78187464394360784</v>
      </c>
      <c r="CB14" s="7">
        <f t="array" ref="CB14">PRODUCT(1 + 預測IC!$C14:CB14) - 1</f>
        <v>-0.79484809889732366</v>
      </c>
      <c r="CC14" s="7">
        <f t="array" ref="CC14">PRODUCT(1 + 預測IC!$C14:CC14) - 1</f>
        <v>-0.79747282889326432</v>
      </c>
      <c r="CD14" s="7">
        <f t="array" ref="CD14">PRODUCT(1 + 預測IC!$C14:CD14) - 1</f>
        <v>-0.77762178190950682</v>
      </c>
      <c r="CE14" s="7">
        <f t="array" ref="CE14">PRODUCT(1 + 預測IC!$C14:CE14) - 1</f>
        <v>-0.80305142243910876</v>
      </c>
      <c r="CF14" s="7">
        <f t="array" ref="CF14">PRODUCT(1 + 預測IC!$C14:CF14) - 1</f>
        <v>-0.79460677751528008</v>
      </c>
      <c r="CG14" s="7">
        <f t="array" ref="CG14">PRODUCT(1 + 預測IC!$C14:CG14) - 1</f>
        <v>-0.80638005334097651</v>
      </c>
      <c r="CH14" s="7">
        <f t="array" ref="CH14">PRODUCT(1 + 預測IC!$C14:CH14) - 1</f>
        <v>-0.79691597415456239</v>
      </c>
      <c r="CI14" s="7">
        <f t="array" ref="CI14">PRODUCT(1 + 預測IC!$C14:CI14) - 1</f>
        <v>-0.79393031160086103</v>
      </c>
      <c r="CJ14" s="7">
        <f t="array" ref="CJ14">PRODUCT(1 + 預測IC!$C14:CJ14) - 1</f>
        <v>-0.79759755175164337</v>
      </c>
      <c r="CK14" s="7">
        <f t="array" ref="CK14">PRODUCT(1 + 預測IC!$C14:CK14) - 1</f>
        <v>-0.80848520175846295</v>
      </c>
      <c r="CL14" s="7">
        <f t="array" ref="CL14">PRODUCT(1 + 預測IC!$C14:CL14) - 1</f>
        <v>-0.83478852794363245</v>
      </c>
      <c r="CM14" s="7">
        <f t="array" ref="CM14">PRODUCT(1 + 預測IC!$C14:CM14) - 1</f>
        <v>-0.83563062847413372</v>
      </c>
      <c r="CN14" s="7">
        <f t="array" ref="CN14">PRODUCT(1 + 預測IC!$C14:CN14) - 1</f>
        <v>-0.80693244715501633</v>
      </c>
      <c r="CO14" s="7">
        <f t="array" ref="CO14">PRODUCT(1 + 預測IC!$C14:CO14) - 1</f>
        <v>-0.82213917330363584</v>
      </c>
      <c r="CP14" s="7">
        <f t="array" ref="CP14">PRODUCT(1 + 預測IC!$C14:CP14) - 1</f>
        <v>-0.80548084250796359</v>
      </c>
      <c r="CQ14" s="7">
        <f t="array" ref="CQ14">PRODUCT(1 + 預測IC!$C14:CQ14) - 1</f>
        <v>-0.79921189857413133</v>
      </c>
      <c r="CR14" s="7">
        <f t="array" ref="CR14">PRODUCT(1 + 預測IC!$C14:CR14) - 1</f>
        <v>-0.78663440030902221</v>
      </c>
      <c r="CS14" s="7">
        <f t="array" ref="CS14">PRODUCT(1 + 預測IC!$C14:CS14) - 1</f>
        <v>-0.78569289610898385</v>
      </c>
      <c r="CT14" s="7">
        <f t="array" ref="CT14">PRODUCT(1 + 預測IC!$C14:CT14) - 1</f>
        <v>-0.78362228524175226</v>
      </c>
      <c r="CU14" s="7">
        <f t="array" ref="CU14">PRODUCT(1 + 預測IC!$C14:CU14) - 1</f>
        <v>-0.761650210205992</v>
      </c>
      <c r="CV14" s="7">
        <f t="array" ref="CV14">PRODUCT(1 + 預測IC!$C14:CV14) - 1</f>
        <v>-0.79773561547139071</v>
      </c>
      <c r="CW14" s="7">
        <f t="array" ref="CW14">PRODUCT(1 + 預測IC!$C14:CW14) - 1</f>
        <v>-0.79842298720875748</v>
      </c>
      <c r="CX14" s="7">
        <f t="array" ref="CX14">PRODUCT(1 + 預測IC!$C14:CX14) - 1</f>
        <v>-0.81669377189966141</v>
      </c>
      <c r="CY14" s="7">
        <f t="array" ref="CY14">PRODUCT(1 + 預測IC!$C14:CY14) - 1</f>
        <v>-0.79903017660054299</v>
      </c>
      <c r="CZ14" s="7">
        <f t="array" ref="CZ14">PRODUCT(1 + 預測IC!$C14:CZ14) - 1</f>
        <v>-0.79695990613042245</v>
      </c>
      <c r="DA14" s="7">
        <f t="array" ref="DA14">PRODUCT(1 + 預測IC!$C14:DA14) - 1</f>
        <v>-0.80189465128505133</v>
      </c>
      <c r="DB14" s="7">
        <f t="array" ref="DB14">PRODUCT(1 + 預測IC!$C14:DB14) - 1</f>
        <v>-0.81977148253341436</v>
      </c>
      <c r="DC14" s="7">
        <f t="array" ref="DC14">PRODUCT(1 + 預測IC!$C14:DC14) - 1</f>
        <v>-0.81202191905909815</v>
      </c>
      <c r="DD14" s="7">
        <f t="array" ref="DD14">PRODUCT(1 + 預測IC!$C14:DD14) - 1</f>
        <v>-0.82691078909976878</v>
      </c>
      <c r="DE14" s="7">
        <f t="array" ref="DE14">PRODUCT(1 + 預測IC!$C14:DE14) - 1</f>
        <v>-0.8160880531634721</v>
      </c>
      <c r="DF14" s="7">
        <f t="array" ref="DF14">PRODUCT(1 + 預測IC!$C14:DF14) - 1</f>
        <v>-0.77901823894717692</v>
      </c>
      <c r="DG14" s="7">
        <f t="array" ref="DG14">PRODUCT(1 + 預測IC!$C14:DG14) - 1</f>
        <v>-0.75972104958706066</v>
      </c>
      <c r="DH14" s="7">
        <f t="array" ref="DH14">PRODUCT(1 + 預測IC!$C14:DH14) - 1</f>
        <v>-0.76174257415217617</v>
      </c>
      <c r="DI14" s="7">
        <f t="array" ref="DI14">PRODUCT(1 + 預測IC!$C14:DI14) - 1</f>
        <v>-0.77142991490764756</v>
      </c>
      <c r="DJ14" s="7">
        <f t="array" ref="DJ14">PRODUCT(1 + 預測IC!$C14:DJ14) - 1</f>
        <v>-0.76941986286228303</v>
      </c>
      <c r="DK14" s="7">
        <f t="array" ref="DK14">PRODUCT(1 + 預測IC!$C14:DK14) - 1</f>
        <v>-0.75156989715438227</v>
      </c>
      <c r="DL14" s="7">
        <f t="array" ref="DL14">PRODUCT(1 + 預測IC!$C14:DL14) - 1</f>
        <v>-0.76169463415504102</v>
      </c>
      <c r="DM14" s="7">
        <f t="array" ref="DM14">PRODUCT(1 + 預測IC!$C14:DM14) - 1</f>
        <v>-0.76942095088558538</v>
      </c>
      <c r="DN14" s="7">
        <f t="array" ref="DN14">PRODUCT(1 + 預測IC!$C14:DN14) - 1</f>
        <v>-0.75905971054482657</v>
      </c>
      <c r="DO14" s="7">
        <f t="array" ref="DO14">PRODUCT(1 + 預測IC!$C14:DO14) - 1</f>
        <v>-0.77599505387290613</v>
      </c>
      <c r="DP14" s="7">
        <f t="array" ref="DP14">PRODUCT(1 + 預測IC!$C14:DP14) - 1</f>
        <v>-0.79008828206529014</v>
      </c>
      <c r="DQ14" s="7">
        <f t="array" ref="DQ14">PRODUCT(1 + 預測IC!$C14:DQ14) - 1</f>
        <v>-0.7751483267642455</v>
      </c>
      <c r="DR14" s="7">
        <f t="array" ref="DR14">PRODUCT(1 + 預測IC!$C14:DR14) - 1</f>
        <v>-0.76331606521400841</v>
      </c>
      <c r="DS14" s="7">
        <f t="array" ref="DS14">PRODUCT(1 + 預測IC!$C14:DS14) - 1</f>
        <v>-0.78448454484121222</v>
      </c>
      <c r="DT14" s="7">
        <f t="array" ref="DT14">PRODUCT(1 + 預測IC!$C14:DT14) - 1</f>
        <v>-0.78281337542935137</v>
      </c>
      <c r="DU14" s="7">
        <f t="array" ref="DU14">PRODUCT(1 + 預測IC!$C14:DU14) - 1</f>
        <v>-0.75698606620065234</v>
      </c>
      <c r="DV14" s="7">
        <f t="array" ref="DV14">PRODUCT(1 + 預測IC!$C14:DV14) - 1</f>
        <v>-0.7679589287654035</v>
      </c>
      <c r="DW14" s="7">
        <f t="array" ref="DW14">PRODUCT(1 + 預測IC!$C14:DW14) - 1</f>
        <v>-0.76074431487716787</v>
      </c>
      <c r="DX14" s="7">
        <f t="array" ref="DX14">PRODUCT(1 + 預測IC!$C14:DX14) - 1</f>
        <v>-0.75411939736436184</v>
      </c>
      <c r="DY14" s="7">
        <f t="array" ref="DY14">PRODUCT(1 + 預測IC!$C14:DY14) - 1</f>
        <v>-0.76583830947235454</v>
      </c>
      <c r="DZ14" s="7">
        <f t="array" ref="DZ14">PRODUCT(1 + 預測IC!$C14:DZ14) - 1</f>
        <v>-0.76075756529176775</v>
      </c>
      <c r="EA14" s="7">
        <f t="array" ref="EA14">PRODUCT(1 + 預測IC!$C14:EA14) - 1</f>
        <v>-0.7457061814605539</v>
      </c>
      <c r="EB14" s="7">
        <f t="array" ref="EB14">PRODUCT(1 + 預測IC!$C14:EB14) - 1</f>
        <v>-0.7258255337790166</v>
      </c>
      <c r="EC14" s="7">
        <f t="array" ref="EC14">PRODUCT(1 + 預測IC!$C14:EC14) - 1</f>
        <v>-0.7241587224235988</v>
      </c>
      <c r="ED14" s="7">
        <f t="array" ref="ED14">PRODUCT(1 + 預測IC!$C14:ED14) - 1</f>
        <v>-0.75246823252281114</v>
      </c>
      <c r="EE14" s="7">
        <f t="array" ref="EE14">PRODUCT(1 + 預測IC!$C14:EE14) - 1</f>
        <v>-0.76298975330000096</v>
      </c>
      <c r="EF14" s="7">
        <f t="array" ref="EF14">PRODUCT(1 + 預測IC!$C14:EF14) - 1</f>
        <v>-0.78312410189227477</v>
      </c>
    </row>
    <row r="15" spans="1:137" x14ac:dyDescent="0.3">
      <c r="A15" s="1">
        <v>10</v>
      </c>
      <c r="B15" s="1" t="s">
        <v>153</v>
      </c>
      <c r="C15" s="7">
        <f t="array" ref="C15">PRODUCT(1 + 預測IC!$C15:C15) - 1</f>
        <v>-3.6350225217569587E-2</v>
      </c>
      <c r="D15" s="7">
        <f t="array" ref="D15">PRODUCT(1 + 預測IC!$C15:D15) - 1</f>
        <v>-0.29946021879845908</v>
      </c>
      <c r="E15" s="7">
        <f t="array" ref="E15">PRODUCT(1 + 預測IC!$C15:E15) - 1</f>
        <v>-0.36625290785384002</v>
      </c>
      <c r="F15" s="7">
        <f t="array" ref="F15">PRODUCT(1 + 預測IC!$C15:F15) - 1</f>
        <v>-0.38838426672521353</v>
      </c>
      <c r="G15" s="7">
        <f t="array" ref="G15">PRODUCT(1 + 預測IC!$C15:G15) - 1</f>
        <v>-0.40942624607499534</v>
      </c>
      <c r="H15" s="7">
        <f t="array" ref="H15">PRODUCT(1 + 預測IC!$C15:H15) - 1</f>
        <v>-0.41016075804198482</v>
      </c>
      <c r="I15" s="7">
        <f t="array" ref="I15">PRODUCT(1 + 預測IC!$C15:I15) - 1</f>
        <v>-0.45693093452531786</v>
      </c>
      <c r="J15" s="7">
        <f t="array" ref="J15">PRODUCT(1 + 預測IC!$C15:J15) - 1</f>
        <v>-0.49066704185039189</v>
      </c>
      <c r="K15" s="7">
        <f t="array" ref="K15">PRODUCT(1 + 預測IC!$C15:K15) - 1</f>
        <v>-0.53880654329680155</v>
      </c>
      <c r="L15" s="7">
        <f t="array" ref="L15">PRODUCT(1 + 預測IC!$C15:L15) - 1</f>
        <v>-0.50137098128888291</v>
      </c>
      <c r="M15" s="7">
        <f t="array" ref="M15">PRODUCT(1 + 預測IC!$C15:M15) - 1</f>
        <v>-0.5003073973963621</v>
      </c>
      <c r="N15" s="7">
        <f t="array" ref="N15">PRODUCT(1 + 預測IC!$C15:N15) - 1</f>
        <v>-0.55517174354463217</v>
      </c>
      <c r="O15" s="7">
        <f t="array" ref="O15">PRODUCT(1 + 預測IC!$C15:O15) - 1</f>
        <v>-0.56063014022749602</v>
      </c>
      <c r="P15" s="7">
        <f t="array" ref="P15">PRODUCT(1 + 預測IC!$C15:P15) - 1</f>
        <v>-0.55100944740510105</v>
      </c>
      <c r="Q15" s="7">
        <f t="array" ref="Q15">PRODUCT(1 + 預測IC!$C15:Q15) - 1</f>
        <v>-0.57161754420041477</v>
      </c>
      <c r="R15" s="7">
        <f t="array" ref="R15">PRODUCT(1 + 預測IC!$C15:R15) - 1</f>
        <v>-0.51734531734245537</v>
      </c>
      <c r="S15" s="7">
        <f t="array" ref="S15">PRODUCT(1 + 預測IC!$C15:S15) - 1</f>
        <v>-0.47608418682404396</v>
      </c>
      <c r="T15" s="7">
        <f t="array" ref="T15">PRODUCT(1 + 預測IC!$C15:T15) - 1</f>
        <v>-0.50012724780941409</v>
      </c>
      <c r="U15" s="7">
        <f t="array" ref="U15">PRODUCT(1 + 預測IC!$C15:U15) - 1</f>
        <v>-0.46103750329163828</v>
      </c>
      <c r="V15" s="7">
        <f t="array" ref="V15">PRODUCT(1 + 預測IC!$C15:V15) - 1</f>
        <v>-0.5203918295787231</v>
      </c>
      <c r="W15" s="7">
        <f t="array" ref="W15">PRODUCT(1 + 預測IC!$C15:W15) - 1</f>
        <v>-0.5446942586535034</v>
      </c>
      <c r="X15" s="7">
        <f t="array" ref="X15">PRODUCT(1 + 預測IC!$C15:X15) - 1</f>
        <v>-0.44853991132610005</v>
      </c>
      <c r="Y15" s="7">
        <f t="array" ref="Y15">PRODUCT(1 + 預測IC!$C15:Y15) - 1</f>
        <v>-0.41984810573591202</v>
      </c>
      <c r="Z15" s="7">
        <f t="array" ref="Z15">PRODUCT(1 + 預測IC!$C15:Z15) - 1</f>
        <v>-0.4562260193424702</v>
      </c>
      <c r="AA15" s="7">
        <f t="array" ref="AA15">PRODUCT(1 + 預測IC!$C15:AA15) - 1</f>
        <v>-0.5436922730563013</v>
      </c>
      <c r="AB15" s="7">
        <f t="array" ref="AB15">PRODUCT(1 + 預測IC!$C15:AB15) - 1</f>
        <v>-0.53357757311968301</v>
      </c>
      <c r="AC15" s="7">
        <f t="array" ref="AC15">PRODUCT(1 + 預測IC!$C15:AC15) - 1</f>
        <v>-0.53156371553710757</v>
      </c>
      <c r="AD15" s="7">
        <f t="array" ref="AD15">PRODUCT(1 + 預測IC!$C15:AD15) - 1</f>
        <v>-0.56984122526065129</v>
      </c>
      <c r="AE15" s="7">
        <f t="array" ref="AE15">PRODUCT(1 + 預測IC!$C15:AE15) - 1</f>
        <v>-0.6119097571862876</v>
      </c>
      <c r="AF15" s="7">
        <f t="array" ref="AF15">PRODUCT(1 + 預測IC!$C15:AF15) - 1</f>
        <v>-0.66535998541889452</v>
      </c>
      <c r="AG15" s="7">
        <f t="array" ref="AG15">PRODUCT(1 + 預測IC!$C15:AG15) - 1</f>
        <v>-0.68019275154132841</v>
      </c>
      <c r="AH15" s="7">
        <f t="array" ref="AH15">PRODUCT(1 + 預測IC!$C15:AH15) - 1</f>
        <v>-0.72271667867988776</v>
      </c>
      <c r="AI15" s="7">
        <f t="array" ref="AI15">PRODUCT(1 + 預測IC!$C15:AI15) - 1</f>
        <v>-0.72960696322993335</v>
      </c>
      <c r="AJ15" s="7">
        <f t="array" ref="AJ15">PRODUCT(1 + 預測IC!$C15:AJ15) - 1</f>
        <v>-0.73872405458531309</v>
      </c>
      <c r="AK15" s="7">
        <f t="array" ref="AK15">PRODUCT(1 + 預測IC!$C15:AK15) - 1</f>
        <v>-0.72060157584981055</v>
      </c>
      <c r="AL15" s="7">
        <f t="array" ref="AL15">PRODUCT(1 + 預測IC!$C15:AL15) - 1</f>
        <v>-0.7296429574138239</v>
      </c>
      <c r="AM15" s="7">
        <f t="array" ref="AM15">PRODUCT(1 + 預測IC!$C15:AM15) - 1</f>
        <v>-0.71108802723595521</v>
      </c>
      <c r="AN15" s="7">
        <f t="array" ref="AN15">PRODUCT(1 + 預測IC!$C15:AN15) - 1</f>
        <v>-0.72134453524520636</v>
      </c>
      <c r="AO15" s="7">
        <f t="array" ref="AO15">PRODUCT(1 + 預測IC!$C15:AO15) - 1</f>
        <v>-0.73566311261387651</v>
      </c>
      <c r="AP15" s="7">
        <f t="array" ref="AP15">PRODUCT(1 + 預測IC!$C15:AP15) - 1</f>
        <v>-0.71172598664039977</v>
      </c>
      <c r="AQ15" s="7">
        <f t="array" ref="AQ15">PRODUCT(1 + 預測IC!$C15:AQ15) - 1</f>
        <v>-0.70121744195084901</v>
      </c>
      <c r="AR15" s="7">
        <f t="array" ref="AR15">PRODUCT(1 + 預測IC!$C15:AR15) - 1</f>
        <v>-0.6959188841265056</v>
      </c>
      <c r="AS15" s="7">
        <f t="array" ref="AS15">PRODUCT(1 + 預測IC!$C15:AS15) - 1</f>
        <v>-0.68110003179704037</v>
      </c>
      <c r="AT15" s="7">
        <f t="array" ref="AT15">PRODUCT(1 + 預測IC!$C15:AT15) - 1</f>
        <v>-0.70373868077909596</v>
      </c>
      <c r="AU15" s="7">
        <f t="array" ref="AU15">PRODUCT(1 + 預測IC!$C15:AU15) - 1</f>
        <v>-0.72660237471482558</v>
      </c>
      <c r="AV15" s="7">
        <f t="array" ref="AV15">PRODUCT(1 + 預測IC!$C15:AV15) - 1</f>
        <v>-0.7367995398492182</v>
      </c>
      <c r="AW15" s="7">
        <f t="array" ref="AW15">PRODUCT(1 + 預測IC!$C15:AW15) - 1</f>
        <v>-0.76094225289689632</v>
      </c>
      <c r="AX15" s="7">
        <f t="array" ref="AX15">PRODUCT(1 + 預測IC!$C15:AX15) - 1</f>
        <v>-0.78039212649707679</v>
      </c>
      <c r="AY15" s="7">
        <f t="array" ref="AY15">PRODUCT(1 + 預測IC!$C15:AY15) - 1</f>
        <v>-0.78676199765560806</v>
      </c>
      <c r="AZ15" s="7">
        <f t="array" ref="AZ15">PRODUCT(1 + 預測IC!$C15:AZ15) - 1</f>
        <v>-0.80122941334326914</v>
      </c>
      <c r="BA15" s="7">
        <f t="array" ref="BA15">PRODUCT(1 + 預測IC!$C15:BA15) - 1</f>
        <v>-0.79821769339398774</v>
      </c>
      <c r="BB15" s="7">
        <f t="array" ref="BB15">PRODUCT(1 + 預測IC!$C15:BB15) - 1</f>
        <v>-0.75832267804066256</v>
      </c>
      <c r="BC15" s="7">
        <f t="array" ref="BC15">PRODUCT(1 + 預測IC!$C15:BC15) - 1</f>
        <v>-0.76579937482223404</v>
      </c>
      <c r="BD15" s="7">
        <f t="array" ref="BD15">PRODUCT(1 + 預測IC!$C15:BD15) - 1</f>
        <v>-0.76353992870780341</v>
      </c>
      <c r="BE15" s="7">
        <f t="array" ref="BE15">PRODUCT(1 + 預測IC!$C15:BE15) - 1</f>
        <v>-0.77332889581014652</v>
      </c>
      <c r="BF15" s="7">
        <f t="array" ref="BF15">PRODUCT(1 + 預測IC!$C15:BF15) - 1</f>
        <v>-0.76252507562770622</v>
      </c>
      <c r="BG15" s="7">
        <f t="array" ref="BG15">PRODUCT(1 + 預測IC!$C15:BG15) - 1</f>
        <v>-0.76193387260499346</v>
      </c>
      <c r="BH15" s="7">
        <f t="array" ref="BH15">PRODUCT(1 + 預測IC!$C15:BH15) - 1</f>
        <v>-0.7749582862091442</v>
      </c>
      <c r="BI15" s="7">
        <f t="array" ref="BI15">PRODUCT(1 + 預測IC!$C15:BI15) - 1</f>
        <v>-0.77971996957753364</v>
      </c>
      <c r="BJ15" s="7">
        <f t="array" ref="BJ15">PRODUCT(1 + 預測IC!$C15:BJ15) - 1</f>
        <v>-0.80838066051517588</v>
      </c>
      <c r="BK15" s="7">
        <f t="array" ref="BK15">PRODUCT(1 + 預測IC!$C15:BK15) - 1</f>
        <v>-0.79964187351052052</v>
      </c>
      <c r="BL15" s="7">
        <f t="array" ref="BL15">PRODUCT(1 + 預測IC!$C15:BL15) - 1</f>
        <v>-0.81161435770452561</v>
      </c>
      <c r="BM15" s="7">
        <f t="array" ref="BM15">PRODUCT(1 + 預測IC!$C15:BM15) - 1</f>
        <v>-0.8206981258357976</v>
      </c>
      <c r="BN15" s="7">
        <f t="array" ref="BN15">PRODUCT(1 + 預測IC!$C15:BN15) - 1</f>
        <v>-0.83212337168369821</v>
      </c>
      <c r="BO15" s="7">
        <f t="array" ref="BO15">PRODUCT(1 + 預測IC!$C15:BO15) - 1</f>
        <v>-0.82044660972249583</v>
      </c>
      <c r="BP15" s="7">
        <f t="array" ref="BP15">PRODUCT(1 + 預測IC!$C15:BP15) - 1</f>
        <v>-0.81117862850657607</v>
      </c>
      <c r="BQ15" s="7">
        <f t="array" ref="BQ15">PRODUCT(1 + 預測IC!$C15:BQ15) - 1</f>
        <v>-0.80297787965636902</v>
      </c>
      <c r="BR15" s="7">
        <f t="array" ref="BR15">PRODUCT(1 + 預測IC!$C15:BR15) - 1</f>
        <v>-0.82736175819533708</v>
      </c>
      <c r="BS15" s="7">
        <f t="array" ref="BS15">PRODUCT(1 + 預測IC!$C15:BS15) - 1</f>
        <v>-0.82941026819201058</v>
      </c>
      <c r="BT15" s="7">
        <f t="array" ref="BT15">PRODUCT(1 + 預測IC!$C15:BT15) - 1</f>
        <v>-0.83962022332837649</v>
      </c>
      <c r="BU15" s="7">
        <f t="array" ref="BU15">PRODUCT(1 + 預測IC!$C15:BU15) - 1</f>
        <v>-0.83649659947116439</v>
      </c>
      <c r="BV15" s="7">
        <f t="array" ref="BV15">PRODUCT(1 + 預測IC!$C15:BV15) - 1</f>
        <v>-0.81938759639765801</v>
      </c>
      <c r="BW15" s="7">
        <f t="array" ref="BW15">PRODUCT(1 + 預測IC!$C15:BW15) - 1</f>
        <v>-0.76540634370411043</v>
      </c>
      <c r="BX15" s="7">
        <f t="array" ref="BX15">PRODUCT(1 + 預測IC!$C15:BX15) - 1</f>
        <v>-0.77803958016006236</v>
      </c>
      <c r="BY15" s="7">
        <f t="array" ref="BY15">PRODUCT(1 + 預測IC!$C15:BY15) - 1</f>
        <v>-0.80601182546096184</v>
      </c>
      <c r="BZ15" s="7">
        <f t="array" ref="BZ15">PRODUCT(1 + 預測IC!$C15:BZ15) - 1</f>
        <v>-0.84572508808310198</v>
      </c>
      <c r="CA15" s="7">
        <f t="array" ref="CA15">PRODUCT(1 + 預測IC!$C15:CA15) - 1</f>
        <v>-0.83138978091447913</v>
      </c>
      <c r="CB15" s="7">
        <f t="array" ref="CB15">PRODUCT(1 + 預測IC!$C15:CB15) - 1</f>
        <v>-0.84701726825249768</v>
      </c>
      <c r="CC15" s="7">
        <f t="array" ref="CC15">PRODUCT(1 + 預測IC!$C15:CC15) - 1</f>
        <v>-0.8703193325355234</v>
      </c>
      <c r="CD15" s="7">
        <f t="array" ref="CD15">PRODUCT(1 + 預測IC!$C15:CD15) - 1</f>
        <v>-0.85473793008994292</v>
      </c>
      <c r="CE15" s="7">
        <f t="array" ref="CE15">PRODUCT(1 + 預測IC!$C15:CE15) - 1</f>
        <v>-0.86889963752684252</v>
      </c>
      <c r="CF15" s="7">
        <f t="array" ref="CF15">PRODUCT(1 + 預測IC!$C15:CF15) - 1</f>
        <v>-0.86347871228309359</v>
      </c>
      <c r="CG15" s="7">
        <f t="array" ref="CG15">PRODUCT(1 + 預測IC!$C15:CG15) - 1</f>
        <v>-0.87520398253927345</v>
      </c>
      <c r="CH15" s="7">
        <f t="array" ref="CH15">PRODUCT(1 + 預測IC!$C15:CH15) - 1</f>
        <v>-0.86505274901308504</v>
      </c>
      <c r="CI15" s="7">
        <f t="array" ref="CI15">PRODUCT(1 + 預測IC!$C15:CI15) - 1</f>
        <v>-0.86539159329888737</v>
      </c>
      <c r="CJ15" s="7">
        <f t="array" ref="CJ15">PRODUCT(1 + 預測IC!$C15:CJ15) - 1</f>
        <v>-0.87086634831492993</v>
      </c>
      <c r="CK15" s="7">
        <f t="array" ref="CK15">PRODUCT(1 + 預測IC!$C15:CK15) - 1</f>
        <v>-0.88321678737636355</v>
      </c>
      <c r="CL15" s="7">
        <f t="array" ref="CL15">PRODUCT(1 + 預測IC!$C15:CL15) - 1</f>
        <v>-0.90209531607332671</v>
      </c>
      <c r="CM15" s="7">
        <f t="array" ref="CM15">PRODUCT(1 + 預測IC!$C15:CM15) - 1</f>
        <v>-0.90666027232269686</v>
      </c>
      <c r="CN15" s="7">
        <f t="array" ref="CN15">PRODUCT(1 + 預測IC!$C15:CN15) - 1</f>
        <v>-0.89329870738954542</v>
      </c>
      <c r="CO15" s="7">
        <f t="array" ref="CO15">PRODUCT(1 + 預測IC!$C15:CO15) - 1</f>
        <v>-0.90471353102812879</v>
      </c>
      <c r="CP15" s="7">
        <f t="array" ref="CP15">PRODUCT(1 + 預測IC!$C15:CP15) - 1</f>
        <v>-0.89231688074463578</v>
      </c>
      <c r="CQ15" s="7">
        <f t="array" ref="CQ15">PRODUCT(1 + 預測IC!$C15:CQ15) - 1</f>
        <v>-0.89500501326568105</v>
      </c>
      <c r="CR15" s="7">
        <f t="array" ref="CR15">PRODUCT(1 + 預測IC!$C15:CR15) - 1</f>
        <v>-0.89244583199735217</v>
      </c>
      <c r="CS15" s="7">
        <f t="array" ref="CS15">PRODUCT(1 + 預測IC!$C15:CS15) - 1</f>
        <v>-0.89314311116442868</v>
      </c>
      <c r="CT15" s="7">
        <f t="array" ref="CT15">PRODUCT(1 + 預測IC!$C15:CT15) - 1</f>
        <v>-0.89367116268534896</v>
      </c>
      <c r="CU15" s="7">
        <f t="array" ref="CU15">PRODUCT(1 + 預測IC!$C15:CU15) - 1</f>
        <v>-0.88048107770915007</v>
      </c>
      <c r="CV15" s="7">
        <f t="array" ref="CV15">PRODUCT(1 + 預測IC!$C15:CV15) - 1</f>
        <v>-0.90230661309014004</v>
      </c>
      <c r="CW15" s="7">
        <f t="array" ref="CW15">PRODUCT(1 + 預測IC!$C15:CW15) - 1</f>
        <v>-0.90352628182758599</v>
      </c>
      <c r="CX15" s="7">
        <f t="array" ref="CX15">PRODUCT(1 + 預測IC!$C15:CX15) - 1</f>
        <v>-0.91822769746129118</v>
      </c>
      <c r="CY15" s="7">
        <f t="array" ref="CY15">PRODUCT(1 + 預測IC!$C15:CY15) - 1</f>
        <v>-0.91062713330764133</v>
      </c>
      <c r="CZ15" s="7">
        <f t="array" ref="CZ15">PRODUCT(1 + 預測IC!$C15:CZ15) - 1</f>
        <v>-0.90850333592396515</v>
      </c>
      <c r="DA15" s="7">
        <f t="array" ref="DA15">PRODUCT(1 + 預測IC!$C15:DA15) - 1</f>
        <v>-0.91091663687911539</v>
      </c>
      <c r="DB15" s="7">
        <f t="array" ref="DB15">PRODUCT(1 + 預測IC!$C15:DB15) - 1</f>
        <v>-0.92959415785969812</v>
      </c>
      <c r="DC15" s="7">
        <f t="array" ref="DC15">PRODUCT(1 + 預測IC!$C15:DC15) - 1</f>
        <v>-0.92482821518207647</v>
      </c>
      <c r="DD15" s="7">
        <f t="array" ref="DD15">PRODUCT(1 + 預測IC!$C15:DD15) - 1</f>
        <v>-0.92591871167724216</v>
      </c>
      <c r="DE15" s="7">
        <f t="array" ref="DE15">PRODUCT(1 + 預測IC!$C15:DE15) - 1</f>
        <v>-0.92168395597113939</v>
      </c>
      <c r="DF15" s="7">
        <f t="array" ref="DF15">PRODUCT(1 + 預測IC!$C15:DF15) - 1</f>
        <v>-0.89797608790847883</v>
      </c>
      <c r="DG15" s="7">
        <f t="array" ref="DG15">PRODUCT(1 + 預測IC!$C15:DG15) - 1</f>
        <v>-0.88643804424296113</v>
      </c>
      <c r="DH15" s="7">
        <f t="array" ref="DH15">PRODUCT(1 + 預測IC!$C15:DH15) - 1</f>
        <v>-0.88633147602669948</v>
      </c>
      <c r="DI15" s="7">
        <f t="array" ref="DI15">PRODUCT(1 + 預測IC!$C15:DI15) - 1</f>
        <v>-0.8924818887431325</v>
      </c>
      <c r="DJ15" s="7">
        <f t="array" ref="DJ15">PRODUCT(1 + 預測IC!$C15:DJ15) - 1</f>
        <v>-0.88602824564280602</v>
      </c>
      <c r="DK15" s="7">
        <f t="array" ref="DK15">PRODUCT(1 + 預測IC!$C15:DK15) - 1</f>
        <v>-0.8778007845062934</v>
      </c>
      <c r="DL15" s="7">
        <f t="array" ref="DL15">PRODUCT(1 + 預測IC!$C15:DL15) - 1</f>
        <v>-0.87776363677539249</v>
      </c>
      <c r="DM15" s="7">
        <f t="array" ref="DM15">PRODUCT(1 + 預測IC!$C15:DM15) - 1</f>
        <v>-0.88253722549624913</v>
      </c>
      <c r="DN15" s="7">
        <f t="array" ref="DN15">PRODUCT(1 + 預測IC!$C15:DN15) - 1</f>
        <v>-0.87293690927306389</v>
      </c>
      <c r="DO15" s="7">
        <f t="array" ref="DO15">PRODUCT(1 + 預測IC!$C15:DO15) - 1</f>
        <v>-0.87727032174558051</v>
      </c>
      <c r="DP15" s="7">
        <f t="array" ref="DP15">PRODUCT(1 + 預測IC!$C15:DP15) - 1</f>
        <v>-0.89375352472370873</v>
      </c>
      <c r="DQ15" s="7">
        <f t="array" ref="DQ15">PRODUCT(1 + 預測IC!$C15:DQ15) - 1</f>
        <v>-0.88981829457368278</v>
      </c>
      <c r="DR15" s="7">
        <f t="array" ref="DR15">PRODUCT(1 + 預測IC!$C15:DR15) - 1</f>
        <v>-0.88210441094585557</v>
      </c>
      <c r="DS15" s="7">
        <f t="array" ref="DS15">PRODUCT(1 + 預測IC!$C15:DS15) - 1</f>
        <v>-0.88323285358218828</v>
      </c>
      <c r="DT15" s="7">
        <f t="array" ref="DT15">PRODUCT(1 + 預測IC!$C15:DT15) - 1</f>
        <v>-0.87707703091256484</v>
      </c>
      <c r="DU15" s="7">
        <f t="array" ref="DU15">PRODUCT(1 + 預測IC!$C15:DU15) - 1</f>
        <v>-0.85388876275059467</v>
      </c>
      <c r="DV15" s="7">
        <f t="array" ref="DV15">PRODUCT(1 + 預測IC!$C15:DV15) - 1</f>
        <v>-0.86071620910025193</v>
      </c>
      <c r="DW15" s="7">
        <f t="array" ref="DW15">PRODUCT(1 + 預測IC!$C15:DW15) - 1</f>
        <v>-0.85368958746477175</v>
      </c>
      <c r="DX15" s="7">
        <f t="array" ref="DX15">PRODUCT(1 + 預測IC!$C15:DX15) - 1</f>
        <v>-0.85053723155183425</v>
      </c>
      <c r="DY15" s="7">
        <f t="array" ref="DY15">PRODUCT(1 + 預測IC!$C15:DY15) - 1</f>
        <v>-0.83803113846456689</v>
      </c>
      <c r="DZ15" s="7">
        <f t="array" ref="DZ15">PRODUCT(1 + 預測IC!$C15:DZ15) - 1</f>
        <v>-0.83210364538557957</v>
      </c>
      <c r="EA15" s="7">
        <f t="array" ref="EA15">PRODUCT(1 + 預測IC!$C15:EA15) - 1</f>
        <v>-0.82480834389696478</v>
      </c>
      <c r="EB15" s="7">
        <f t="array" ref="EB15">PRODUCT(1 + 預測IC!$C15:EB15) - 1</f>
        <v>-0.80937615773239258</v>
      </c>
      <c r="EC15" s="7">
        <f t="array" ref="EC15">PRODUCT(1 + 預測IC!$C15:EC15) - 1</f>
        <v>-0.79677938042835805</v>
      </c>
      <c r="ED15" s="7">
        <f t="array" ref="ED15">PRODUCT(1 + 預測IC!$C15:ED15) - 1</f>
        <v>-0.81981587156834934</v>
      </c>
      <c r="EE15" s="7">
        <f t="array" ref="EE15">PRODUCT(1 + 預測IC!$C15:EE15) - 1</f>
        <v>-0.82870690962404148</v>
      </c>
      <c r="EF15" s="7">
        <f t="array" ref="EF15">PRODUCT(1 + 預測IC!$C15:EF15) - 1</f>
        <v>-0.8560595793932757</v>
      </c>
    </row>
    <row r="16" spans="1:137" x14ac:dyDescent="0.3">
      <c r="A16" s="1">
        <v>9</v>
      </c>
      <c r="B16" s="1" t="s">
        <v>154</v>
      </c>
      <c r="C16" s="7">
        <f t="array" ref="C16">PRODUCT(1 + 預測IC!$C16:C16) - 1</f>
        <v>-3.9435389831589451E-2</v>
      </c>
      <c r="D16" s="7">
        <f t="array" ref="D16">PRODUCT(1 + 預測IC!$C16:D16) - 1</f>
        <v>-0.26453215731781543</v>
      </c>
      <c r="E16" s="7">
        <f t="array" ref="E16">PRODUCT(1 + 預測IC!$C16:E16) - 1</f>
        <v>-0.32830028722991988</v>
      </c>
      <c r="F16" s="7">
        <f t="array" ref="F16">PRODUCT(1 + 預測IC!$C16:F16) - 1</f>
        <v>-0.38117344709862033</v>
      </c>
      <c r="G16" s="7">
        <f t="array" ref="G16">PRODUCT(1 + 預測IC!$C16:G16) - 1</f>
        <v>-0.38621474896093444</v>
      </c>
      <c r="H16" s="7">
        <f t="array" ref="H16">PRODUCT(1 + 預測IC!$C16:H16) - 1</f>
        <v>-0.38661331008030264</v>
      </c>
      <c r="I16" s="7">
        <f t="array" ref="I16">PRODUCT(1 + 預測IC!$C16:I16) - 1</f>
        <v>-0.45360615509089286</v>
      </c>
      <c r="J16" s="7">
        <f t="array" ref="J16">PRODUCT(1 + 預測IC!$C16:J16) - 1</f>
        <v>-0.49355007995259303</v>
      </c>
      <c r="K16" s="7">
        <f t="array" ref="K16">PRODUCT(1 + 預測IC!$C16:K16) - 1</f>
        <v>-0.5373179335849203</v>
      </c>
      <c r="L16" s="7">
        <f t="array" ref="L16">PRODUCT(1 + 預測IC!$C16:L16) - 1</f>
        <v>-0.49791518661413414</v>
      </c>
      <c r="M16" s="7">
        <f t="array" ref="M16">PRODUCT(1 + 預測IC!$C16:M16) - 1</f>
        <v>-0.49089230748965673</v>
      </c>
      <c r="N16" s="7">
        <f t="array" ref="N16">PRODUCT(1 + 預測IC!$C16:N16) - 1</f>
        <v>-0.5521086883302575</v>
      </c>
      <c r="O16" s="7">
        <f t="array" ref="O16">PRODUCT(1 + 預測IC!$C16:O16) - 1</f>
        <v>-0.56491259169038721</v>
      </c>
      <c r="P16" s="7">
        <f t="array" ref="P16">PRODUCT(1 + 預測IC!$C16:P16) - 1</f>
        <v>-0.56135001788672279</v>
      </c>
      <c r="Q16" s="7">
        <f t="array" ref="Q16">PRODUCT(1 + 預測IC!$C16:Q16) - 1</f>
        <v>-0.59709062331551077</v>
      </c>
      <c r="R16" s="7">
        <f t="array" ref="R16">PRODUCT(1 + 預測IC!$C16:R16) - 1</f>
        <v>-0.55554676082108534</v>
      </c>
      <c r="S16" s="7">
        <f t="array" ref="S16">PRODUCT(1 + 預測IC!$C16:S16) - 1</f>
        <v>-0.50671955271338054</v>
      </c>
      <c r="T16" s="7">
        <f t="array" ref="T16">PRODUCT(1 + 預測IC!$C16:T16) - 1</f>
        <v>-0.52566481369444462</v>
      </c>
      <c r="U16" s="7">
        <f t="array" ref="U16">PRODUCT(1 + 預測IC!$C16:U16) - 1</f>
        <v>-0.482276456387843</v>
      </c>
      <c r="V16" s="7">
        <f t="array" ref="V16">PRODUCT(1 + 預測IC!$C16:V16) - 1</f>
        <v>-0.52140159397218322</v>
      </c>
      <c r="W16" s="7">
        <f t="array" ref="W16">PRODUCT(1 + 預測IC!$C16:W16) - 1</f>
        <v>-0.57004219949760759</v>
      </c>
      <c r="X16" s="7">
        <f t="array" ref="X16">PRODUCT(1 + 預測IC!$C16:X16) - 1</f>
        <v>-0.46662360632586541</v>
      </c>
      <c r="Y16" s="7">
        <f t="array" ref="Y16">PRODUCT(1 + 預測IC!$C16:Y16) - 1</f>
        <v>-0.43980606292288504</v>
      </c>
      <c r="Z16" s="7">
        <f t="array" ref="Z16">PRODUCT(1 + 預測IC!$C16:Z16) - 1</f>
        <v>-0.46390003675076186</v>
      </c>
      <c r="AA16" s="7">
        <f t="array" ref="AA16">PRODUCT(1 + 預測IC!$C16:AA16) - 1</f>
        <v>-0.55297781226878773</v>
      </c>
      <c r="AB16" s="7">
        <f t="array" ref="AB16">PRODUCT(1 + 預測IC!$C16:AB16) - 1</f>
        <v>-0.53854104545478454</v>
      </c>
      <c r="AC16" s="7">
        <f t="array" ref="AC16">PRODUCT(1 + 預測IC!$C16:AC16) - 1</f>
        <v>-0.54443177575950918</v>
      </c>
      <c r="AD16" s="7">
        <f t="array" ref="AD16">PRODUCT(1 + 預測IC!$C16:AD16) - 1</f>
        <v>-0.56863887422859039</v>
      </c>
      <c r="AE16" s="7">
        <f t="array" ref="AE16">PRODUCT(1 + 預測IC!$C16:AE16) - 1</f>
        <v>-0.61026624108855376</v>
      </c>
      <c r="AF16" s="7">
        <f t="array" ref="AF16">PRODUCT(1 + 預測IC!$C16:AF16) - 1</f>
        <v>-0.66791394787858926</v>
      </c>
      <c r="AG16" s="7">
        <f t="array" ref="AG16">PRODUCT(1 + 預測IC!$C16:AG16) - 1</f>
        <v>-0.68245139994227821</v>
      </c>
      <c r="AH16" s="7">
        <f t="array" ref="AH16">PRODUCT(1 + 預測IC!$C16:AH16) - 1</f>
        <v>-0.7295761282603983</v>
      </c>
      <c r="AI16" s="7">
        <f t="array" ref="AI16">PRODUCT(1 + 預測IC!$C16:AI16) - 1</f>
        <v>-0.73860375751039808</v>
      </c>
      <c r="AJ16" s="7">
        <f t="array" ref="AJ16">PRODUCT(1 + 預測IC!$C16:AJ16) - 1</f>
        <v>-0.75118226978659641</v>
      </c>
      <c r="AK16" s="7">
        <f t="array" ref="AK16">PRODUCT(1 + 預測IC!$C16:AK16) - 1</f>
        <v>-0.74186816298169245</v>
      </c>
      <c r="AL16" s="7">
        <f t="array" ref="AL16">PRODUCT(1 + 預測IC!$C16:AL16) - 1</f>
        <v>-0.74327232341457616</v>
      </c>
      <c r="AM16" s="7">
        <f t="array" ref="AM16">PRODUCT(1 + 預測IC!$C16:AM16) - 1</f>
        <v>-0.7298850706711173</v>
      </c>
      <c r="AN16" s="7">
        <f t="array" ref="AN16">PRODUCT(1 + 預測IC!$C16:AN16) - 1</f>
        <v>-0.73583638269809692</v>
      </c>
      <c r="AO16" s="7">
        <f t="array" ref="AO16">PRODUCT(1 + 預測IC!$C16:AO16) - 1</f>
        <v>-0.7466909062456244</v>
      </c>
      <c r="AP16" s="7">
        <f t="array" ref="AP16">PRODUCT(1 + 預測IC!$C16:AP16) - 1</f>
        <v>-0.7226962827483574</v>
      </c>
      <c r="AQ16" s="7">
        <f t="array" ref="AQ16">PRODUCT(1 + 預測IC!$C16:AQ16) - 1</f>
        <v>-0.70758385327515705</v>
      </c>
      <c r="AR16" s="7">
        <f t="array" ref="AR16">PRODUCT(1 + 預測IC!$C16:AR16) - 1</f>
        <v>-0.69753293160304564</v>
      </c>
      <c r="AS16" s="7">
        <f t="array" ref="AS16">PRODUCT(1 + 預測IC!$C16:AS16) - 1</f>
        <v>-0.6816102429450801</v>
      </c>
      <c r="AT16" s="7">
        <f t="array" ref="AT16">PRODUCT(1 + 預測IC!$C16:AT16) - 1</f>
        <v>-0.72063337893104595</v>
      </c>
      <c r="AU16" s="7">
        <f t="array" ref="AU16">PRODUCT(1 + 預測IC!$C16:AU16) - 1</f>
        <v>-0.74356666079845724</v>
      </c>
      <c r="AV16" s="7">
        <f t="array" ref="AV16">PRODUCT(1 + 預測IC!$C16:AV16) - 1</f>
        <v>-0.75692192333790587</v>
      </c>
      <c r="AW16" s="7">
        <f t="array" ref="AW16">PRODUCT(1 + 預測IC!$C16:AW16) - 1</f>
        <v>-0.78341377260802503</v>
      </c>
      <c r="AX16" s="7">
        <f t="array" ref="AX16">PRODUCT(1 + 預測IC!$C16:AX16) - 1</f>
        <v>-0.80520696667326419</v>
      </c>
      <c r="AY16" s="7">
        <f t="array" ref="AY16">PRODUCT(1 + 預測IC!$C16:AY16) - 1</f>
        <v>-0.80902527119466716</v>
      </c>
      <c r="AZ16" s="7">
        <f t="array" ref="AZ16">PRODUCT(1 + 預測IC!$C16:AZ16) - 1</f>
        <v>-0.82585972820469933</v>
      </c>
      <c r="BA16" s="7">
        <f t="array" ref="BA16">PRODUCT(1 + 預測IC!$C16:BA16) - 1</f>
        <v>-0.83176509682571798</v>
      </c>
      <c r="BB16" s="7">
        <f t="array" ref="BB16">PRODUCT(1 + 預測IC!$C16:BB16) - 1</f>
        <v>-0.79383257377331051</v>
      </c>
      <c r="BC16" s="7">
        <f t="array" ref="BC16">PRODUCT(1 + 預測IC!$C16:BC16) - 1</f>
        <v>-0.80187297803032298</v>
      </c>
      <c r="BD16" s="7">
        <f t="array" ref="BD16">PRODUCT(1 + 預測IC!$C16:BD16) - 1</f>
        <v>-0.80522850045110572</v>
      </c>
      <c r="BE16" s="7">
        <f t="array" ref="BE16">PRODUCT(1 + 預測IC!$C16:BE16) - 1</f>
        <v>-0.81714805732752149</v>
      </c>
      <c r="BF16" s="7">
        <f t="array" ref="BF16">PRODUCT(1 + 預測IC!$C16:BF16) - 1</f>
        <v>-0.8053965187433807</v>
      </c>
      <c r="BG16" s="7">
        <f t="array" ref="BG16">PRODUCT(1 + 預測IC!$C16:BG16) - 1</f>
        <v>-0.80277457115289597</v>
      </c>
      <c r="BH16" s="7">
        <f t="array" ref="BH16">PRODUCT(1 + 預測IC!$C16:BH16) - 1</f>
        <v>-0.8150104417979892</v>
      </c>
      <c r="BI16" s="7">
        <f t="array" ref="BI16">PRODUCT(1 + 預測IC!$C16:BI16) - 1</f>
        <v>-0.82407306923501622</v>
      </c>
      <c r="BJ16" s="7">
        <f t="array" ref="BJ16">PRODUCT(1 + 預測IC!$C16:BJ16) - 1</f>
        <v>-0.84106177059304932</v>
      </c>
      <c r="BK16" s="7">
        <f t="array" ref="BK16">PRODUCT(1 + 預測IC!$C16:BK16) - 1</f>
        <v>-0.8328968555491264</v>
      </c>
      <c r="BL16" s="7">
        <f t="array" ref="BL16">PRODUCT(1 + 預測IC!$C16:BL16) - 1</f>
        <v>-0.84311915638035972</v>
      </c>
      <c r="BM16" s="7">
        <f t="array" ref="BM16">PRODUCT(1 + 預測IC!$C16:BM16) - 1</f>
        <v>-0.8493156336654808</v>
      </c>
      <c r="BN16" s="7">
        <f t="array" ref="BN16">PRODUCT(1 + 預測IC!$C16:BN16) - 1</f>
        <v>-0.85855330105894789</v>
      </c>
      <c r="BO16" s="7">
        <f t="array" ref="BO16">PRODUCT(1 + 預測IC!$C16:BO16) - 1</f>
        <v>-0.84805557090107686</v>
      </c>
      <c r="BP16" s="7">
        <f t="array" ref="BP16">PRODUCT(1 + 預測IC!$C16:BP16) - 1</f>
        <v>-0.83928077090055686</v>
      </c>
      <c r="BQ16" s="7">
        <f t="array" ref="BQ16">PRODUCT(1 + 預測IC!$C16:BQ16) - 1</f>
        <v>-0.83547321685954512</v>
      </c>
      <c r="BR16" s="7">
        <f t="array" ref="BR16">PRODUCT(1 + 預測IC!$C16:BR16) - 1</f>
        <v>-0.85695761255454017</v>
      </c>
      <c r="BS16" s="7">
        <f t="array" ref="BS16">PRODUCT(1 + 預測IC!$C16:BS16) - 1</f>
        <v>-0.86153596841754643</v>
      </c>
      <c r="BT16" s="7">
        <f t="array" ref="BT16">PRODUCT(1 + 預測IC!$C16:BT16) - 1</f>
        <v>-0.86799682232479403</v>
      </c>
      <c r="BU16" s="7">
        <f t="array" ref="BU16">PRODUCT(1 + 預測IC!$C16:BU16) - 1</f>
        <v>-0.86037164422164203</v>
      </c>
      <c r="BV16" s="7">
        <f t="array" ref="BV16">PRODUCT(1 + 預測IC!$C16:BV16) - 1</f>
        <v>-0.85526325175324702</v>
      </c>
      <c r="BW16" s="7">
        <f t="array" ref="BW16">PRODUCT(1 + 預測IC!$C16:BW16) - 1</f>
        <v>-0.80924118712485738</v>
      </c>
      <c r="BX16" s="7">
        <f t="array" ref="BX16">PRODUCT(1 + 預測IC!$C16:BX16) - 1</f>
        <v>-0.82193800197736322</v>
      </c>
      <c r="BY16" s="7">
        <f t="array" ref="BY16">PRODUCT(1 + 預測IC!$C16:BY16) - 1</f>
        <v>-0.84554161718443455</v>
      </c>
      <c r="BZ16" s="7">
        <f t="array" ref="BZ16">PRODUCT(1 + 預測IC!$C16:BZ16) - 1</f>
        <v>-0.8658655367719672</v>
      </c>
      <c r="CA16" s="7">
        <f t="array" ref="CA16">PRODUCT(1 + 預測IC!$C16:CA16) - 1</f>
        <v>-0.84836502893590171</v>
      </c>
      <c r="CB16" s="7">
        <f t="array" ref="CB16">PRODUCT(1 + 預測IC!$C16:CB16) - 1</f>
        <v>-0.86593429810419809</v>
      </c>
      <c r="CC16" s="7">
        <f t="array" ref="CC16">PRODUCT(1 + 預測IC!$C16:CC16) - 1</f>
        <v>-0.88726046641081691</v>
      </c>
      <c r="CD16" s="7">
        <f t="array" ref="CD16">PRODUCT(1 + 預測IC!$C16:CD16) - 1</f>
        <v>-0.86977780357457934</v>
      </c>
      <c r="CE16" s="7">
        <f t="array" ref="CE16">PRODUCT(1 + 預測IC!$C16:CE16) - 1</f>
        <v>-0.88557511205705841</v>
      </c>
      <c r="CF16" s="7">
        <f t="array" ref="CF16">PRODUCT(1 + 預測IC!$C16:CF16) - 1</f>
        <v>-0.87953346832361601</v>
      </c>
      <c r="CG16" s="7">
        <f t="array" ref="CG16">PRODUCT(1 + 預測IC!$C16:CG16) - 1</f>
        <v>-0.88696961171168742</v>
      </c>
      <c r="CH16" s="7">
        <f t="array" ref="CH16">PRODUCT(1 + 預測IC!$C16:CH16) - 1</f>
        <v>-0.88126737276974454</v>
      </c>
      <c r="CI16" s="7">
        <f t="array" ref="CI16">PRODUCT(1 + 預測IC!$C16:CI16) - 1</f>
        <v>-0.88177087843591173</v>
      </c>
      <c r="CJ16" s="7">
        <f t="array" ref="CJ16">PRODUCT(1 + 預測IC!$C16:CJ16) - 1</f>
        <v>-0.88528268361031881</v>
      </c>
      <c r="CK16" s="7">
        <f t="array" ref="CK16">PRODUCT(1 + 預測IC!$C16:CK16) - 1</f>
        <v>-0.8954262972900221</v>
      </c>
      <c r="CL16" s="7">
        <f t="array" ref="CL16">PRODUCT(1 + 預測IC!$C16:CL16) - 1</f>
        <v>-0.9160001733811145</v>
      </c>
      <c r="CM16" s="7">
        <f t="array" ref="CM16">PRODUCT(1 + 預測IC!$C16:CM16) - 1</f>
        <v>-0.9165881492141289</v>
      </c>
      <c r="CN16" s="7">
        <f t="array" ref="CN16">PRODUCT(1 + 預測IC!$C16:CN16) - 1</f>
        <v>-0.90321223180229993</v>
      </c>
      <c r="CO16" s="7">
        <f t="array" ref="CO16">PRODUCT(1 + 預測IC!$C16:CO16) - 1</f>
        <v>-0.91624375712113437</v>
      </c>
      <c r="CP16" s="7">
        <f t="array" ref="CP16">PRODUCT(1 + 預測IC!$C16:CP16) - 1</f>
        <v>-0.90693412926170736</v>
      </c>
      <c r="CQ16" s="7">
        <f t="array" ref="CQ16">PRODUCT(1 + 預測IC!$C16:CQ16) - 1</f>
        <v>-0.90882651018608995</v>
      </c>
      <c r="CR16" s="7">
        <f t="array" ref="CR16">PRODUCT(1 + 預測IC!$C16:CR16) - 1</f>
        <v>-0.90652632552855994</v>
      </c>
      <c r="CS16" s="7">
        <f t="array" ref="CS16">PRODUCT(1 + 預測IC!$C16:CS16) - 1</f>
        <v>-0.9103449296132371</v>
      </c>
      <c r="CT16" s="7">
        <f t="array" ref="CT16">PRODUCT(1 + 預測IC!$C16:CT16) - 1</f>
        <v>-0.9126362781332169</v>
      </c>
      <c r="CU16" s="7">
        <f t="array" ref="CU16">PRODUCT(1 + 預測IC!$C16:CU16) - 1</f>
        <v>-0.90080096613809635</v>
      </c>
      <c r="CV16" s="7">
        <f t="array" ref="CV16">PRODUCT(1 + 預測IC!$C16:CV16) - 1</f>
        <v>-0.91788815076507602</v>
      </c>
      <c r="CW16" s="7">
        <f t="array" ref="CW16">PRODUCT(1 + 預測IC!$C16:CW16) - 1</f>
        <v>-0.91864310020646045</v>
      </c>
      <c r="CX16" s="7">
        <f t="array" ref="CX16">PRODUCT(1 + 預測IC!$C16:CX16) - 1</f>
        <v>-0.93184455689905643</v>
      </c>
      <c r="CY16" s="7">
        <f t="array" ref="CY16">PRODUCT(1 + 預測IC!$C16:CY16) - 1</f>
        <v>-0.92630483900921201</v>
      </c>
      <c r="CZ16" s="7">
        <f t="array" ref="CZ16">PRODUCT(1 + 預測IC!$C16:CZ16) - 1</f>
        <v>-0.92389317796568227</v>
      </c>
      <c r="DA16" s="7">
        <f t="array" ref="DA16">PRODUCT(1 + 預測IC!$C16:DA16) - 1</f>
        <v>-0.92616152611591618</v>
      </c>
      <c r="DB16" s="7">
        <f t="array" ref="DB16">PRODUCT(1 + 預測IC!$C16:DB16) - 1</f>
        <v>-0.94326734170912196</v>
      </c>
      <c r="DC16" s="7">
        <f t="array" ref="DC16">PRODUCT(1 + 預測IC!$C16:DC16) - 1</f>
        <v>-0.93854355072048112</v>
      </c>
      <c r="DD16" s="7">
        <f t="array" ref="DD16">PRODUCT(1 + 預測IC!$C16:DD16) - 1</f>
        <v>-0.94049440645398641</v>
      </c>
      <c r="DE16" s="7">
        <f t="array" ref="DE16">PRODUCT(1 + 預測IC!$C16:DE16) - 1</f>
        <v>-0.93843834536219706</v>
      </c>
      <c r="DF16" s="7">
        <f t="array" ref="DF16">PRODUCT(1 + 預測IC!$C16:DF16) - 1</f>
        <v>-0.91839512949150437</v>
      </c>
      <c r="DG16" s="7">
        <f t="array" ref="DG16">PRODUCT(1 + 預測IC!$C16:DG16) - 1</f>
        <v>-0.90808256533619658</v>
      </c>
      <c r="DH16" s="7">
        <f t="array" ref="DH16">PRODUCT(1 + 預測IC!$C16:DH16) - 1</f>
        <v>-0.90844828936333677</v>
      </c>
      <c r="DI16" s="7">
        <f t="array" ref="DI16">PRODUCT(1 + 預測IC!$C16:DI16) - 1</f>
        <v>-0.91260469105824282</v>
      </c>
      <c r="DJ16" s="7">
        <f t="array" ref="DJ16">PRODUCT(1 + 預測IC!$C16:DJ16) - 1</f>
        <v>-0.90640355232954262</v>
      </c>
      <c r="DK16" s="7">
        <f t="array" ref="DK16">PRODUCT(1 + 預測IC!$C16:DK16) - 1</f>
        <v>-0.90100436923750182</v>
      </c>
      <c r="DL16" s="7">
        <f t="array" ref="DL16">PRODUCT(1 + 預測IC!$C16:DL16) - 1</f>
        <v>-0.89883905025455657</v>
      </c>
      <c r="DM16" s="7">
        <f t="array" ref="DM16">PRODUCT(1 + 預測IC!$C16:DM16) - 1</f>
        <v>-0.90075204166548817</v>
      </c>
      <c r="DN16" s="7">
        <f t="array" ref="DN16">PRODUCT(1 + 預測IC!$C16:DN16) - 1</f>
        <v>-0.88925052014173844</v>
      </c>
      <c r="DO16" s="7">
        <f t="array" ref="DO16">PRODUCT(1 + 預測IC!$C16:DO16) - 1</f>
        <v>-0.89440744413456341</v>
      </c>
      <c r="DP16" s="7">
        <f t="array" ref="DP16">PRODUCT(1 + 預測IC!$C16:DP16) - 1</f>
        <v>-0.91133752040337923</v>
      </c>
      <c r="DQ16" s="7">
        <f t="array" ref="DQ16">PRODUCT(1 + 預測IC!$C16:DQ16) - 1</f>
        <v>-0.90716416365701769</v>
      </c>
      <c r="DR16" s="7">
        <f t="array" ref="DR16">PRODUCT(1 + 預測IC!$C16:DR16) - 1</f>
        <v>-0.90204043765131892</v>
      </c>
      <c r="DS16" s="7">
        <f t="array" ref="DS16">PRODUCT(1 + 預測IC!$C16:DS16) - 1</f>
        <v>-0.90101940274504588</v>
      </c>
      <c r="DT16" s="7">
        <f t="array" ref="DT16">PRODUCT(1 + 預測IC!$C16:DT16) - 1</f>
        <v>-0.89516836516628984</v>
      </c>
      <c r="DU16" s="7">
        <f t="array" ref="DU16">PRODUCT(1 + 預測IC!$C16:DU16) - 1</f>
        <v>-0.87523900731532089</v>
      </c>
      <c r="DV16" s="7">
        <f t="array" ref="DV16">PRODUCT(1 + 預測IC!$C16:DV16) - 1</f>
        <v>-0.88094411755956026</v>
      </c>
      <c r="DW16" s="7">
        <f t="array" ref="DW16">PRODUCT(1 + 預測IC!$C16:DW16) - 1</f>
        <v>-0.87735587898564149</v>
      </c>
      <c r="DX16" s="7">
        <f t="array" ref="DX16">PRODUCT(1 + 預測IC!$C16:DX16) - 1</f>
        <v>-0.87466411920428655</v>
      </c>
      <c r="DY16" s="7">
        <f t="array" ref="DY16">PRODUCT(1 + 預測IC!$C16:DY16) - 1</f>
        <v>-0.86275910758485663</v>
      </c>
      <c r="DZ16" s="7">
        <f t="array" ref="DZ16">PRODUCT(1 + 預測IC!$C16:DZ16) - 1</f>
        <v>-0.86102312398811065</v>
      </c>
      <c r="EA16" s="7">
        <f t="array" ref="EA16">PRODUCT(1 + 預測IC!$C16:EA16) - 1</f>
        <v>-0.86096468209370614</v>
      </c>
      <c r="EB16" s="7">
        <f t="array" ref="EB16">PRODUCT(1 + 預測IC!$C16:EB16) - 1</f>
        <v>-0.8469667313245316</v>
      </c>
      <c r="EC16" s="7">
        <f t="array" ref="EC16">PRODUCT(1 + 預測IC!$C16:EC16) - 1</f>
        <v>-0.83724421150173578</v>
      </c>
      <c r="ED16" s="7">
        <f t="array" ref="ED16">PRODUCT(1 + 預測IC!$C16:ED16) - 1</f>
        <v>-0.85602895524682765</v>
      </c>
      <c r="EE16" s="7">
        <f t="array" ref="EE16">PRODUCT(1 + 預測IC!$C16:EE16) - 1</f>
        <v>-0.86455794342749404</v>
      </c>
      <c r="EF16" s="7">
        <f t="array" ref="EF16">PRODUCT(1 + 預測IC!$C16:EF16) - 1</f>
        <v>-0.88595667087011198</v>
      </c>
    </row>
    <row r="17" spans="1:136" x14ac:dyDescent="0.3">
      <c r="A17" s="1">
        <v>8</v>
      </c>
      <c r="B17" s="1" t="s">
        <v>155</v>
      </c>
      <c r="C17" s="7">
        <f t="array" ref="C17">PRODUCT(1 + 預測IC!$C17:C17) - 1</f>
        <v>-3.8913468982799793E-2</v>
      </c>
      <c r="D17" s="7">
        <f t="array" ref="D17">PRODUCT(1 + 預測IC!$C17:D17) - 1</f>
        <v>-0.20090206830471102</v>
      </c>
      <c r="E17" s="7">
        <f t="array" ref="E17">PRODUCT(1 + 預測IC!$C17:E17) - 1</f>
        <v>-0.27815175171521578</v>
      </c>
      <c r="F17" s="7">
        <f t="array" ref="F17">PRODUCT(1 + 預測IC!$C17:F17) - 1</f>
        <v>-0.3364425599537727</v>
      </c>
      <c r="G17" s="7">
        <f t="array" ref="G17">PRODUCT(1 + 預測IC!$C17:G17) - 1</f>
        <v>-0.40637293743159841</v>
      </c>
      <c r="H17" s="7">
        <f t="array" ref="H17">PRODUCT(1 + 預測IC!$C17:H17) - 1</f>
        <v>-0.4016578426525178</v>
      </c>
      <c r="I17" s="7">
        <f t="array" ref="I17">PRODUCT(1 + 預測IC!$C17:I17) - 1</f>
        <v>-0.46931689253363829</v>
      </c>
      <c r="J17" s="7">
        <f t="array" ref="J17">PRODUCT(1 + 預測IC!$C17:J17) - 1</f>
        <v>-0.49494196012752389</v>
      </c>
      <c r="K17" s="7">
        <f t="array" ref="K17">PRODUCT(1 + 預測IC!$C17:K17) - 1</f>
        <v>-0.54623569492136614</v>
      </c>
      <c r="L17" s="7">
        <f t="array" ref="L17">PRODUCT(1 + 預測IC!$C17:L17) - 1</f>
        <v>-0.52707105426715861</v>
      </c>
      <c r="M17" s="7">
        <f t="array" ref="M17">PRODUCT(1 + 預測IC!$C17:M17) - 1</f>
        <v>-0.53400378688126671</v>
      </c>
      <c r="N17" s="7">
        <f t="array" ref="N17">PRODUCT(1 + 預測IC!$C17:N17) - 1</f>
        <v>-0.58492684036180087</v>
      </c>
      <c r="O17" s="7">
        <f t="array" ref="O17">PRODUCT(1 + 預測IC!$C17:O17) - 1</f>
        <v>-0.58961993812074587</v>
      </c>
      <c r="P17" s="7">
        <f t="array" ref="P17">PRODUCT(1 + 預測IC!$C17:P17) - 1</f>
        <v>-0.58412784360807568</v>
      </c>
      <c r="Q17" s="7">
        <f t="array" ref="Q17">PRODUCT(1 + 預測IC!$C17:Q17) - 1</f>
        <v>-0.62582602570925938</v>
      </c>
      <c r="R17" s="7">
        <f t="array" ref="R17">PRODUCT(1 + 預測IC!$C17:R17) - 1</f>
        <v>-0.57477880051032526</v>
      </c>
      <c r="S17" s="7">
        <f t="array" ref="S17">PRODUCT(1 + 預測IC!$C17:S17) - 1</f>
        <v>-0.5241543502768975</v>
      </c>
      <c r="T17" s="7">
        <f t="array" ref="T17">PRODUCT(1 + 預測IC!$C17:T17) - 1</f>
        <v>-0.53526181804556816</v>
      </c>
      <c r="U17" s="7">
        <f t="array" ref="U17">PRODUCT(1 + 預測IC!$C17:U17) - 1</f>
        <v>-0.50625941274633102</v>
      </c>
      <c r="V17" s="7">
        <f t="array" ref="V17">PRODUCT(1 + 預測IC!$C17:V17) - 1</f>
        <v>-0.55428045234308509</v>
      </c>
      <c r="W17" s="7">
        <f t="array" ref="W17">PRODUCT(1 + 預測IC!$C17:W17) - 1</f>
        <v>-0.61162996275364234</v>
      </c>
      <c r="X17" s="7">
        <f t="array" ref="X17">PRODUCT(1 + 預測IC!$C17:X17) - 1</f>
        <v>-0.51920199844753212</v>
      </c>
      <c r="Y17" s="7">
        <f t="array" ref="Y17">PRODUCT(1 + 預測IC!$C17:Y17) - 1</f>
        <v>-0.48380414395890958</v>
      </c>
      <c r="Z17" s="7">
        <f t="array" ref="Z17">PRODUCT(1 + 預測IC!$C17:Z17) - 1</f>
        <v>-0.50874965639699299</v>
      </c>
      <c r="AA17" s="7">
        <f t="array" ref="AA17">PRODUCT(1 + 預測IC!$C17:AA17) - 1</f>
        <v>-0.60271771050725198</v>
      </c>
      <c r="AB17" s="7">
        <f t="array" ref="AB17">PRODUCT(1 + 預測IC!$C17:AB17) - 1</f>
        <v>-0.58502343141424662</v>
      </c>
      <c r="AC17" s="7">
        <f t="array" ref="AC17">PRODUCT(1 + 預測IC!$C17:AC17) - 1</f>
        <v>-0.5933587564811702</v>
      </c>
      <c r="AD17" s="7">
        <f t="array" ref="AD17">PRODUCT(1 + 預測IC!$C17:AD17) - 1</f>
        <v>-0.61360029033763497</v>
      </c>
      <c r="AE17" s="7">
        <f t="array" ref="AE17">PRODUCT(1 + 預測IC!$C17:AE17) - 1</f>
        <v>-0.662734267852367</v>
      </c>
      <c r="AF17" s="7">
        <f t="array" ref="AF17">PRODUCT(1 + 預測IC!$C17:AF17) - 1</f>
        <v>-0.70330272320476894</v>
      </c>
      <c r="AG17" s="7">
        <f t="array" ref="AG17">PRODUCT(1 + 預測IC!$C17:AG17) - 1</f>
        <v>-0.72188788262699355</v>
      </c>
      <c r="AH17" s="7">
        <f t="array" ref="AH17">PRODUCT(1 + 預測IC!$C17:AH17) - 1</f>
        <v>-0.76277728588445715</v>
      </c>
      <c r="AI17" s="7">
        <f t="array" ref="AI17">PRODUCT(1 + 預測IC!$C17:AI17) - 1</f>
        <v>-0.77630798927710787</v>
      </c>
      <c r="AJ17" s="7">
        <f t="array" ref="AJ17">PRODUCT(1 + 預測IC!$C17:AJ17) - 1</f>
        <v>-0.79009023981960014</v>
      </c>
      <c r="AK17" s="7">
        <f t="array" ref="AK17">PRODUCT(1 + 預測IC!$C17:AK17) - 1</f>
        <v>-0.78392395387656832</v>
      </c>
      <c r="AL17" s="7">
        <f t="array" ref="AL17">PRODUCT(1 + 預測IC!$C17:AL17) - 1</f>
        <v>-0.78976193585302112</v>
      </c>
      <c r="AM17" s="7">
        <f t="array" ref="AM17">PRODUCT(1 + 預測IC!$C17:AM17) - 1</f>
        <v>-0.77013585305223331</v>
      </c>
      <c r="AN17" s="7">
        <f t="array" ref="AN17">PRODUCT(1 + 預測IC!$C17:AN17) - 1</f>
        <v>-0.76865181900207313</v>
      </c>
      <c r="AO17" s="7">
        <f t="array" ref="AO17">PRODUCT(1 + 預測IC!$C17:AO17) - 1</f>
        <v>-0.78639495846006224</v>
      </c>
      <c r="AP17" s="7">
        <f t="array" ref="AP17">PRODUCT(1 + 預測IC!$C17:AP17) - 1</f>
        <v>-0.76644049238639345</v>
      </c>
      <c r="AQ17" s="7">
        <f t="array" ref="AQ17">PRODUCT(1 + 預測IC!$C17:AQ17) - 1</f>
        <v>-0.75212860755374666</v>
      </c>
      <c r="AR17" s="7">
        <f t="array" ref="AR17">PRODUCT(1 + 預測IC!$C17:AR17) - 1</f>
        <v>-0.74077544697916364</v>
      </c>
      <c r="AS17" s="7">
        <f t="array" ref="AS17">PRODUCT(1 + 預測IC!$C17:AS17) - 1</f>
        <v>-0.72553227674899112</v>
      </c>
      <c r="AT17" s="7">
        <f t="array" ref="AT17">PRODUCT(1 + 預測IC!$C17:AT17) - 1</f>
        <v>-0.76040938249256174</v>
      </c>
      <c r="AU17" s="7">
        <f t="array" ref="AU17">PRODUCT(1 + 預測IC!$C17:AU17) - 1</f>
        <v>-0.78812992338620735</v>
      </c>
      <c r="AV17" s="7">
        <f t="array" ref="AV17">PRODUCT(1 + 預測IC!$C17:AV17) - 1</f>
        <v>-0.80053056230089881</v>
      </c>
      <c r="AW17" s="7">
        <f t="array" ref="AW17">PRODUCT(1 + 預測IC!$C17:AW17) - 1</f>
        <v>-0.81572806101195394</v>
      </c>
      <c r="AX17" s="7">
        <f t="array" ref="AX17">PRODUCT(1 + 預測IC!$C17:AX17) - 1</f>
        <v>-0.83371652279425357</v>
      </c>
      <c r="AY17" s="7">
        <f t="array" ref="AY17">PRODUCT(1 + 預測IC!$C17:AY17) - 1</f>
        <v>-0.83629026605447132</v>
      </c>
      <c r="AZ17" s="7">
        <f t="array" ref="AZ17">PRODUCT(1 + 預測IC!$C17:AZ17) - 1</f>
        <v>-0.84783085784249557</v>
      </c>
      <c r="BA17" s="7">
        <f t="array" ref="BA17">PRODUCT(1 + 預測IC!$C17:BA17) - 1</f>
        <v>-0.85373070127479744</v>
      </c>
      <c r="BB17" s="7">
        <f t="array" ref="BB17">PRODUCT(1 + 預測IC!$C17:BB17) - 1</f>
        <v>-0.82002410496347089</v>
      </c>
      <c r="BC17" s="7">
        <f t="array" ref="BC17">PRODUCT(1 + 預測IC!$C17:BC17) - 1</f>
        <v>-0.82493615545942434</v>
      </c>
      <c r="BD17" s="7">
        <f t="array" ref="BD17">PRODUCT(1 + 預測IC!$C17:BD17) - 1</f>
        <v>-0.82257719994579559</v>
      </c>
      <c r="BE17" s="7">
        <f t="array" ref="BE17">PRODUCT(1 + 預測IC!$C17:BE17) - 1</f>
        <v>-0.83040336460533726</v>
      </c>
      <c r="BF17" s="7">
        <f t="array" ref="BF17">PRODUCT(1 + 預測IC!$C17:BF17) - 1</f>
        <v>-0.82104205489825033</v>
      </c>
      <c r="BG17" s="7">
        <f t="array" ref="BG17">PRODUCT(1 + 預測IC!$C17:BG17) - 1</f>
        <v>-0.82737613465701165</v>
      </c>
      <c r="BH17" s="7">
        <f t="array" ref="BH17">PRODUCT(1 + 預測IC!$C17:BH17) - 1</f>
        <v>-0.83578947561261141</v>
      </c>
      <c r="BI17" s="7">
        <f t="array" ref="BI17">PRODUCT(1 + 預測IC!$C17:BI17) - 1</f>
        <v>-0.84904757054228674</v>
      </c>
      <c r="BJ17" s="7">
        <f t="array" ref="BJ17">PRODUCT(1 + 預測IC!$C17:BJ17) - 1</f>
        <v>-0.86382101979646153</v>
      </c>
      <c r="BK17" s="7">
        <f t="array" ref="BK17">PRODUCT(1 + 預測IC!$C17:BK17) - 1</f>
        <v>-0.86153984120253846</v>
      </c>
      <c r="BL17" s="7">
        <f t="array" ref="BL17">PRODUCT(1 + 預測IC!$C17:BL17) - 1</f>
        <v>-0.86626859448238225</v>
      </c>
      <c r="BM17" s="7">
        <f t="array" ref="BM17">PRODUCT(1 + 預測IC!$C17:BM17) - 1</f>
        <v>-0.87015469688673863</v>
      </c>
      <c r="BN17" s="7">
        <f t="array" ref="BN17">PRODUCT(1 + 預測IC!$C17:BN17) - 1</f>
        <v>-0.87709754873934254</v>
      </c>
      <c r="BO17" s="7">
        <f t="array" ref="BO17">PRODUCT(1 + 預測IC!$C17:BO17) - 1</f>
        <v>-0.86664011127476037</v>
      </c>
      <c r="BP17" s="7">
        <f t="array" ref="BP17">PRODUCT(1 + 預測IC!$C17:BP17) - 1</f>
        <v>-0.85855341475034908</v>
      </c>
      <c r="BQ17" s="7">
        <f t="array" ref="BQ17">PRODUCT(1 + 預測IC!$C17:BQ17) - 1</f>
        <v>-0.85493213951415603</v>
      </c>
      <c r="BR17" s="7">
        <f t="array" ref="BR17">PRODUCT(1 + 預測IC!$C17:BR17) - 1</f>
        <v>-0.87161818617564923</v>
      </c>
      <c r="BS17" s="7">
        <f t="array" ref="BS17">PRODUCT(1 + 預測IC!$C17:BS17) - 1</f>
        <v>-0.87430213871376838</v>
      </c>
      <c r="BT17" s="7">
        <f t="array" ref="BT17">PRODUCT(1 + 預測IC!$C17:BT17) - 1</f>
        <v>-0.88092015125507639</v>
      </c>
      <c r="BU17" s="7">
        <f t="array" ref="BU17">PRODUCT(1 + 預測IC!$C17:BU17) - 1</f>
        <v>-0.87245026135668036</v>
      </c>
      <c r="BV17" s="7">
        <f t="array" ref="BV17">PRODUCT(1 + 預測IC!$C17:BV17) - 1</f>
        <v>-0.86757263734935497</v>
      </c>
      <c r="BW17" s="7">
        <f t="array" ref="BW17">PRODUCT(1 + 預測IC!$C17:BW17) - 1</f>
        <v>-0.83998314100307958</v>
      </c>
      <c r="BX17" s="7">
        <f t="array" ref="BX17">PRODUCT(1 + 預測IC!$C17:BX17) - 1</f>
        <v>-0.85320709257329153</v>
      </c>
      <c r="BY17" s="7">
        <f t="array" ref="BY17">PRODUCT(1 + 預測IC!$C17:BY17) - 1</f>
        <v>-0.8741217607106313</v>
      </c>
      <c r="BZ17" s="7">
        <f t="array" ref="BZ17">PRODUCT(1 + 預測IC!$C17:BZ17) - 1</f>
        <v>-0.88253766894694075</v>
      </c>
      <c r="CA17" s="7">
        <f t="array" ref="CA17">PRODUCT(1 + 預測IC!$C17:CA17) - 1</f>
        <v>-0.8671644518639674</v>
      </c>
      <c r="CB17" s="7">
        <f t="array" ref="CB17">PRODUCT(1 + 預測IC!$C17:CB17) - 1</f>
        <v>-0.88166555566234672</v>
      </c>
      <c r="CC17" s="7">
        <f t="array" ref="CC17">PRODUCT(1 + 預測IC!$C17:CC17) - 1</f>
        <v>-0.90236911029685718</v>
      </c>
      <c r="CD17" s="7">
        <f t="array" ref="CD17">PRODUCT(1 + 預測IC!$C17:CD17) - 1</f>
        <v>-0.88548289687880644</v>
      </c>
      <c r="CE17" s="7">
        <f t="array" ref="CE17">PRODUCT(1 + 預測IC!$C17:CE17) - 1</f>
        <v>-0.89836545159075909</v>
      </c>
      <c r="CF17" s="7">
        <f t="array" ref="CF17">PRODUCT(1 + 預測IC!$C17:CF17) - 1</f>
        <v>-0.89244637779895941</v>
      </c>
      <c r="CG17" s="7">
        <f t="array" ref="CG17">PRODUCT(1 + 預測IC!$C17:CG17) - 1</f>
        <v>-0.90048224545868905</v>
      </c>
      <c r="CH17" s="7">
        <f t="array" ref="CH17">PRODUCT(1 + 預測IC!$C17:CH17) - 1</f>
        <v>-0.89720123742697511</v>
      </c>
      <c r="CI17" s="7">
        <f t="array" ref="CI17">PRODUCT(1 + 預測IC!$C17:CI17) - 1</f>
        <v>-0.89758177617722668</v>
      </c>
      <c r="CJ17" s="7">
        <f t="array" ref="CJ17">PRODUCT(1 + 預測IC!$C17:CJ17) - 1</f>
        <v>-0.89972752271548373</v>
      </c>
      <c r="CK17" s="7">
        <f t="array" ref="CK17">PRODUCT(1 + 預測IC!$C17:CK17) - 1</f>
        <v>-0.90814598360299981</v>
      </c>
      <c r="CL17" s="7">
        <f t="array" ref="CL17">PRODUCT(1 + 預測IC!$C17:CL17) - 1</f>
        <v>-0.92071520444305743</v>
      </c>
      <c r="CM17" s="7">
        <f t="array" ref="CM17">PRODUCT(1 + 預測IC!$C17:CM17) - 1</f>
        <v>-0.92058280098362233</v>
      </c>
      <c r="CN17" s="7">
        <f t="array" ref="CN17">PRODUCT(1 + 預測IC!$C17:CN17) - 1</f>
        <v>-0.90656318129990865</v>
      </c>
      <c r="CO17" s="7">
        <f t="array" ref="CO17">PRODUCT(1 + 預測IC!$C17:CO17) - 1</f>
        <v>-0.91940260321913181</v>
      </c>
      <c r="CP17" s="7">
        <f t="array" ref="CP17">PRODUCT(1 + 預測IC!$C17:CP17) - 1</f>
        <v>-0.91068024143229132</v>
      </c>
      <c r="CQ17" s="7">
        <f t="array" ref="CQ17">PRODUCT(1 + 預測IC!$C17:CQ17) - 1</f>
        <v>-0.90604391149385921</v>
      </c>
      <c r="CR17" s="7">
        <f t="array" ref="CR17">PRODUCT(1 + 預測IC!$C17:CR17) - 1</f>
        <v>-0.90388237373762992</v>
      </c>
      <c r="CS17" s="7">
        <f t="array" ref="CS17">PRODUCT(1 + 預測IC!$C17:CS17) - 1</f>
        <v>-0.90689525939507765</v>
      </c>
      <c r="CT17" s="7">
        <f t="array" ref="CT17">PRODUCT(1 + 預測IC!$C17:CT17) - 1</f>
        <v>-0.9085096285994696</v>
      </c>
      <c r="CU17" s="7">
        <f t="array" ref="CU17">PRODUCT(1 + 預測IC!$C17:CU17) - 1</f>
        <v>-0.89429642622944427</v>
      </c>
      <c r="CV17" s="7">
        <f t="array" ref="CV17">PRODUCT(1 + 預測IC!$C17:CV17) - 1</f>
        <v>-0.91030749293326463</v>
      </c>
      <c r="CW17" s="7">
        <f t="array" ref="CW17">PRODUCT(1 + 預測IC!$C17:CW17) - 1</f>
        <v>-0.91207998315468108</v>
      </c>
      <c r="CX17" s="7">
        <f t="array" ref="CX17">PRODUCT(1 + 預測IC!$C17:CX17) - 1</f>
        <v>-0.92307085174725512</v>
      </c>
      <c r="CY17" s="7">
        <f t="array" ref="CY17">PRODUCT(1 + 預測IC!$C17:CY17) - 1</f>
        <v>-0.91725432243832317</v>
      </c>
      <c r="CZ17" s="7">
        <f t="array" ref="CZ17">PRODUCT(1 + 預測IC!$C17:CZ17) - 1</f>
        <v>-0.91464016436327977</v>
      </c>
      <c r="DA17" s="7">
        <f t="array" ref="DA17">PRODUCT(1 + 預測IC!$C17:DA17) - 1</f>
        <v>-0.91838710768504095</v>
      </c>
      <c r="DB17" s="7">
        <f t="array" ref="DB17">PRODUCT(1 + 預測IC!$C17:DB17) - 1</f>
        <v>-0.93669426450776427</v>
      </c>
      <c r="DC17" s="7">
        <f t="array" ref="DC17">PRODUCT(1 + 預測IC!$C17:DC17) - 1</f>
        <v>-0.93043653100943791</v>
      </c>
      <c r="DD17" s="7">
        <f t="array" ref="DD17">PRODUCT(1 + 預測IC!$C17:DD17) - 1</f>
        <v>-0.93246468322593101</v>
      </c>
      <c r="DE17" s="7">
        <f t="array" ref="DE17">PRODUCT(1 + 預測IC!$C17:DE17) - 1</f>
        <v>-0.93083540293767897</v>
      </c>
      <c r="DF17" s="7">
        <f t="array" ref="DF17">PRODUCT(1 + 預測IC!$C17:DF17) - 1</f>
        <v>-0.90647386440143995</v>
      </c>
      <c r="DG17" s="7">
        <f t="array" ref="DG17">PRODUCT(1 + 預測IC!$C17:DG17) - 1</f>
        <v>-0.89495027858667275</v>
      </c>
      <c r="DH17" s="7">
        <f t="array" ref="DH17">PRODUCT(1 + 預測IC!$C17:DH17) - 1</f>
        <v>-0.89627956669576336</v>
      </c>
      <c r="DI17" s="7">
        <f t="array" ref="DI17">PRODUCT(1 + 預測IC!$C17:DI17) - 1</f>
        <v>-0.89991440116146904</v>
      </c>
      <c r="DJ17" s="7">
        <f t="array" ref="DJ17">PRODUCT(1 + 預測IC!$C17:DJ17) - 1</f>
        <v>-0.88701085934749291</v>
      </c>
      <c r="DK17" s="7">
        <f t="array" ref="DK17">PRODUCT(1 + 預測IC!$C17:DK17) - 1</f>
        <v>-0.87931425246749217</v>
      </c>
      <c r="DL17" s="7">
        <f t="array" ref="DL17">PRODUCT(1 + 預測IC!$C17:DL17) - 1</f>
        <v>-0.87883998986074607</v>
      </c>
      <c r="DM17" s="7">
        <f t="array" ref="DM17">PRODUCT(1 + 預測IC!$C17:DM17) - 1</f>
        <v>-0.88335047117172261</v>
      </c>
      <c r="DN17" s="7">
        <f t="array" ref="DN17">PRODUCT(1 + 預測IC!$C17:DN17) - 1</f>
        <v>-0.87092963370393006</v>
      </c>
      <c r="DO17" s="7">
        <f t="array" ref="DO17">PRODUCT(1 + 預測IC!$C17:DO17) - 1</f>
        <v>-0.87935154536439009</v>
      </c>
      <c r="DP17" s="7">
        <f t="array" ref="DP17">PRODUCT(1 + 預測IC!$C17:DP17) - 1</f>
        <v>-0.89648774706279888</v>
      </c>
      <c r="DQ17" s="7">
        <f t="array" ref="DQ17">PRODUCT(1 + 預測IC!$C17:DQ17) - 1</f>
        <v>-0.88896716730936332</v>
      </c>
      <c r="DR17" s="7">
        <f t="array" ref="DR17">PRODUCT(1 + 預測IC!$C17:DR17) - 1</f>
        <v>-0.88276211800925275</v>
      </c>
      <c r="DS17" s="7">
        <f t="array" ref="DS17">PRODUCT(1 + 預測IC!$C17:DS17) - 1</f>
        <v>-0.88199942272026088</v>
      </c>
      <c r="DT17" s="7">
        <f t="array" ref="DT17">PRODUCT(1 + 預測IC!$C17:DT17) - 1</f>
        <v>-0.87494157983431531</v>
      </c>
      <c r="DU17" s="7">
        <f t="array" ref="DU17">PRODUCT(1 + 預測IC!$C17:DU17) - 1</f>
        <v>-0.85498787116416242</v>
      </c>
      <c r="DV17" s="7">
        <f t="array" ref="DV17">PRODUCT(1 + 預測IC!$C17:DV17) - 1</f>
        <v>-0.86153500000859784</v>
      </c>
      <c r="DW17" s="7">
        <f t="array" ref="DW17">PRODUCT(1 + 預測IC!$C17:DW17) - 1</f>
        <v>-0.85485608632149612</v>
      </c>
      <c r="DX17" s="7">
        <f t="array" ref="DX17">PRODUCT(1 + 預測IC!$C17:DX17) - 1</f>
        <v>-0.8581995025235416</v>
      </c>
      <c r="DY17" s="7">
        <f t="array" ref="DY17">PRODUCT(1 + 預測IC!$C17:DY17) - 1</f>
        <v>-0.84033114556189603</v>
      </c>
      <c r="DZ17" s="7">
        <f t="array" ref="DZ17">PRODUCT(1 + 預測IC!$C17:DZ17) - 1</f>
        <v>-0.84109612754523488</v>
      </c>
      <c r="EA17" s="7">
        <f t="array" ref="EA17">PRODUCT(1 + 預測IC!$C17:EA17) - 1</f>
        <v>-0.8418322535825129</v>
      </c>
      <c r="EB17" s="7">
        <f t="array" ref="EB17">PRODUCT(1 + 預測IC!$C17:EB17) - 1</f>
        <v>-0.82486317522620745</v>
      </c>
      <c r="EC17" s="7">
        <f t="array" ref="EC17">PRODUCT(1 + 預測IC!$C17:EC17) - 1</f>
        <v>-0.82198651483676677</v>
      </c>
      <c r="ED17" s="7">
        <f t="array" ref="ED17">PRODUCT(1 + 預測IC!$C17:ED17) - 1</f>
        <v>-0.84482999633218636</v>
      </c>
      <c r="EE17" s="7">
        <f t="array" ref="EE17">PRODUCT(1 + 預測IC!$C17:EE17) - 1</f>
        <v>-0.85480412244212123</v>
      </c>
      <c r="EF17" s="7">
        <f t="array" ref="EF17">PRODUCT(1 + 預測IC!$C17:EF17) - 1</f>
        <v>-0.87510466196786818</v>
      </c>
    </row>
    <row r="18" spans="1:136" x14ac:dyDescent="0.3">
      <c r="A18" s="1">
        <v>7</v>
      </c>
      <c r="B18" s="1" t="s">
        <v>156</v>
      </c>
      <c r="C18" s="7">
        <f t="array" ref="C18">PRODUCT(1 + 預測IC!$C18:C18) - 1</f>
        <v>-5.9146797802220652E-2</v>
      </c>
      <c r="D18" s="7">
        <f t="array" ref="D18">PRODUCT(1 + 預測IC!$C18:D18) - 1</f>
        <v>-0.23228155916206861</v>
      </c>
      <c r="E18" s="7">
        <f t="array" ref="E18">PRODUCT(1 + 預測IC!$C18:E18) - 1</f>
        <v>-0.30941854779622235</v>
      </c>
      <c r="F18" s="7">
        <f t="array" ref="F18">PRODUCT(1 + 預測IC!$C18:F18) - 1</f>
        <v>-0.39186220575197828</v>
      </c>
      <c r="G18" s="7">
        <f t="array" ref="G18">PRODUCT(1 + 預測IC!$C18:G18) - 1</f>
        <v>-0.45773348608251219</v>
      </c>
      <c r="H18" s="7">
        <f t="array" ref="H18">PRODUCT(1 + 預測IC!$C18:H18) - 1</f>
        <v>-0.4530579406959071</v>
      </c>
      <c r="I18" s="7">
        <f t="array" ref="I18">PRODUCT(1 + 預測IC!$C18:I18) - 1</f>
        <v>-0.52340921402579044</v>
      </c>
      <c r="J18" s="7">
        <f t="array" ref="J18">PRODUCT(1 + 預測IC!$C18:J18) - 1</f>
        <v>-0.56686153617557722</v>
      </c>
      <c r="K18" s="7">
        <f t="array" ref="K18">PRODUCT(1 + 預測IC!$C18:K18) - 1</f>
        <v>-0.62561585434174694</v>
      </c>
      <c r="L18" s="7">
        <f t="array" ref="L18">PRODUCT(1 + 預測IC!$C18:L18) - 1</f>
        <v>-0.60661278633895332</v>
      </c>
      <c r="M18" s="7">
        <f t="array" ref="M18">PRODUCT(1 + 預測IC!$C18:M18) - 1</f>
        <v>-0.618041260962781</v>
      </c>
      <c r="N18" s="7">
        <f t="array" ref="N18">PRODUCT(1 + 預測IC!$C18:N18) - 1</f>
        <v>-0.67197669521143899</v>
      </c>
      <c r="O18" s="7">
        <f t="array" ref="O18">PRODUCT(1 + 預測IC!$C18:O18) - 1</f>
        <v>-0.6615659108854528</v>
      </c>
      <c r="P18" s="7">
        <f t="array" ref="P18">PRODUCT(1 + 預測IC!$C18:P18) - 1</f>
        <v>-0.65874740273541743</v>
      </c>
      <c r="Q18" s="7">
        <f t="array" ref="Q18">PRODUCT(1 + 預測IC!$C18:Q18) - 1</f>
        <v>-0.6905042294935736</v>
      </c>
      <c r="R18" s="7">
        <f t="array" ref="R18">PRODUCT(1 + 預測IC!$C18:R18) - 1</f>
        <v>-0.64278332772257685</v>
      </c>
      <c r="S18" s="7">
        <f t="array" ref="S18">PRODUCT(1 + 預測IC!$C18:S18) - 1</f>
        <v>-0.59141370297076556</v>
      </c>
      <c r="T18" s="7">
        <f t="array" ref="T18">PRODUCT(1 + 預測IC!$C18:T18) - 1</f>
        <v>-0.61278672859173799</v>
      </c>
      <c r="U18" s="7">
        <f t="array" ref="U18">PRODUCT(1 + 預測IC!$C18:U18) - 1</f>
        <v>-0.59143178383945372</v>
      </c>
      <c r="V18" s="7">
        <f t="array" ref="V18">PRODUCT(1 + 預測IC!$C18:V18) - 1</f>
        <v>-0.64102847669136598</v>
      </c>
      <c r="W18" s="7">
        <f t="array" ref="W18">PRODUCT(1 + 預測IC!$C18:W18) - 1</f>
        <v>-0.70066614942878613</v>
      </c>
      <c r="X18" s="7">
        <f t="array" ref="X18">PRODUCT(1 + 預測IC!$C18:X18) - 1</f>
        <v>-0.63627313497830751</v>
      </c>
      <c r="Y18" s="7">
        <f t="array" ref="Y18">PRODUCT(1 + 預測IC!$C18:Y18) - 1</f>
        <v>-0.59848946325053176</v>
      </c>
      <c r="Z18" s="7">
        <f t="array" ref="Z18">PRODUCT(1 + 預測IC!$C18:Z18) - 1</f>
        <v>-0.61915510046309929</v>
      </c>
      <c r="AA18" s="7">
        <f t="array" ref="AA18">PRODUCT(1 + 預測IC!$C18:AA18) - 1</f>
        <v>-0.68487775519485372</v>
      </c>
      <c r="AB18" s="7">
        <f t="array" ref="AB18">PRODUCT(1 + 預測IC!$C18:AB18) - 1</f>
        <v>-0.66513698353510287</v>
      </c>
      <c r="AC18" s="7">
        <f t="array" ref="AC18">PRODUCT(1 + 預測IC!$C18:AC18) - 1</f>
        <v>-0.66467975471548779</v>
      </c>
      <c r="AD18" s="7">
        <f t="array" ref="AD18">PRODUCT(1 + 預測IC!$C18:AD18) - 1</f>
        <v>-0.68897162384199362</v>
      </c>
      <c r="AE18" s="7">
        <f t="array" ref="AE18">PRODUCT(1 + 預測IC!$C18:AE18) - 1</f>
        <v>-0.73361329073486914</v>
      </c>
      <c r="AF18" s="7">
        <f t="array" ref="AF18">PRODUCT(1 + 預測IC!$C18:AF18) - 1</f>
        <v>-0.77371611554839914</v>
      </c>
      <c r="AG18" s="7">
        <f t="array" ref="AG18">PRODUCT(1 + 預測IC!$C18:AG18) - 1</f>
        <v>-0.79220803003583817</v>
      </c>
      <c r="AH18" s="7">
        <f t="array" ref="AH18">PRODUCT(1 + 預測IC!$C18:AH18) - 1</f>
        <v>-0.82609235589250407</v>
      </c>
      <c r="AI18" s="7">
        <f t="array" ref="AI18">PRODUCT(1 + 預測IC!$C18:AI18) - 1</f>
        <v>-0.84025256843830065</v>
      </c>
      <c r="AJ18" s="7">
        <f t="array" ref="AJ18">PRODUCT(1 + 預測IC!$C18:AJ18) - 1</f>
        <v>-0.85157342444166551</v>
      </c>
      <c r="AK18" s="7">
        <f t="array" ref="AK18">PRODUCT(1 + 預測IC!$C18:AK18) - 1</f>
        <v>-0.84818441745726836</v>
      </c>
      <c r="AL18" s="7">
        <f t="array" ref="AL18">PRODUCT(1 + 預測IC!$C18:AL18) - 1</f>
        <v>-0.85316591359245475</v>
      </c>
      <c r="AM18" s="7">
        <f t="array" ref="AM18">PRODUCT(1 + 預測IC!$C18:AM18) - 1</f>
        <v>-0.83906205481247276</v>
      </c>
      <c r="AN18" s="7">
        <f t="array" ref="AN18">PRODUCT(1 + 預測IC!$C18:AN18) - 1</f>
        <v>-0.83951178266475268</v>
      </c>
      <c r="AO18" s="7">
        <f t="array" ref="AO18">PRODUCT(1 + 預測IC!$C18:AO18) - 1</f>
        <v>-0.83556629532169591</v>
      </c>
      <c r="AP18" s="7">
        <f t="array" ref="AP18">PRODUCT(1 + 預測IC!$C18:AP18) - 1</f>
        <v>-0.81985534662617343</v>
      </c>
      <c r="AQ18" s="7">
        <f t="array" ref="AQ18">PRODUCT(1 + 預測IC!$C18:AQ18) - 1</f>
        <v>-0.80829817113335189</v>
      </c>
      <c r="AR18" s="7">
        <f t="array" ref="AR18">PRODUCT(1 + 預測IC!$C18:AR18) - 1</f>
        <v>-0.80082132552519603</v>
      </c>
      <c r="AS18" s="7">
        <f t="array" ref="AS18">PRODUCT(1 + 預測IC!$C18:AS18) - 1</f>
        <v>-0.78423907786634661</v>
      </c>
      <c r="AT18" s="7">
        <f t="array" ref="AT18">PRODUCT(1 + 預測IC!$C18:AT18) - 1</f>
        <v>-0.82013863353763594</v>
      </c>
      <c r="AU18" s="7">
        <f t="array" ref="AU18">PRODUCT(1 + 預測IC!$C18:AU18) - 1</f>
        <v>-0.84512105622308775</v>
      </c>
      <c r="AV18" s="7">
        <f t="array" ref="AV18">PRODUCT(1 + 預測IC!$C18:AV18) - 1</f>
        <v>-0.85445029235052594</v>
      </c>
      <c r="AW18" s="7">
        <f t="array" ref="AW18">PRODUCT(1 + 預測IC!$C18:AW18) - 1</f>
        <v>-0.8686802305064133</v>
      </c>
      <c r="AX18" s="7">
        <f t="array" ref="AX18">PRODUCT(1 + 預測IC!$C18:AX18) - 1</f>
        <v>-0.885234970238574</v>
      </c>
      <c r="AY18" s="7">
        <f t="array" ref="AY18">PRODUCT(1 + 預測IC!$C18:AY18) - 1</f>
        <v>-0.88869965289152764</v>
      </c>
      <c r="AZ18" s="7">
        <f t="array" ref="AZ18">PRODUCT(1 + 預測IC!$C18:AZ18) - 1</f>
        <v>-0.89444790705730293</v>
      </c>
      <c r="BA18" s="7">
        <f t="array" ref="BA18">PRODUCT(1 + 預測IC!$C18:BA18) - 1</f>
        <v>-0.89817413237558219</v>
      </c>
      <c r="BB18" s="7">
        <f t="array" ref="BB18">PRODUCT(1 + 預測IC!$C18:BB18) - 1</f>
        <v>-0.86584875457351984</v>
      </c>
      <c r="BC18" s="7">
        <f t="array" ref="BC18">PRODUCT(1 + 預測IC!$C18:BC18) - 1</f>
        <v>-0.86210029367208074</v>
      </c>
      <c r="BD18" s="7">
        <f t="array" ref="BD18">PRODUCT(1 + 預測IC!$C18:BD18) - 1</f>
        <v>-0.86156836620138477</v>
      </c>
      <c r="BE18" s="7">
        <f t="array" ref="BE18">PRODUCT(1 + 預測IC!$C18:BE18) - 1</f>
        <v>-0.87418957318031087</v>
      </c>
      <c r="BF18" s="7">
        <f t="array" ref="BF18">PRODUCT(1 + 預測IC!$C18:BF18) - 1</f>
        <v>-0.86841682008403742</v>
      </c>
      <c r="BG18" s="7">
        <f t="array" ref="BG18">PRODUCT(1 + 預測IC!$C18:BG18) - 1</f>
        <v>-0.87062823874701611</v>
      </c>
      <c r="BH18" s="7">
        <f t="array" ref="BH18">PRODUCT(1 + 預測IC!$C18:BH18) - 1</f>
        <v>-0.87877030019762692</v>
      </c>
      <c r="BI18" s="7">
        <f t="array" ref="BI18">PRODUCT(1 + 預測IC!$C18:BI18) - 1</f>
        <v>-0.88798267767943673</v>
      </c>
      <c r="BJ18" s="7">
        <f t="array" ref="BJ18">PRODUCT(1 + 預測IC!$C18:BJ18) - 1</f>
        <v>-0.89902017646325583</v>
      </c>
      <c r="BK18" s="7">
        <f t="array" ref="BK18">PRODUCT(1 + 預測IC!$C18:BK18) - 1</f>
        <v>-0.89892110678384429</v>
      </c>
      <c r="BL18" s="7">
        <f t="array" ref="BL18">PRODUCT(1 + 預測IC!$C18:BL18) - 1</f>
        <v>-0.90456008403622779</v>
      </c>
      <c r="BM18" s="7">
        <f t="array" ref="BM18">PRODUCT(1 + 預測IC!$C18:BM18) - 1</f>
        <v>-0.90724016632862481</v>
      </c>
      <c r="BN18" s="7">
        <f t="array" ref="BN18">PRODUCT(1 + 預測IC!$C18:BN18) - 1</f>
        <v>-0.91115385108848945</v>
      </c>
      <c r="BO18" s="7">
        <f t="array" ref="BO18">PRODUCT(1 + 預測IC!$C18:BO18) - 1</f>
        <v>-0.90563036761876181</v>
      </c>
      <c r="BP18" s="7">
        <f t="array" ref="BP18">PRODUCT(1 + 預測IC!$C18:BP18) - 1</f>
        <v>-0.89973571650021134</v>
      </c>
      <c r="BQ18" s="7">
        <f t="array" ref="BQ18">PRODUCT(1 + 預測IC!$C18:BQ18) - 1</f>
        <v>-0.89106689753928348</v>
      </c>
      <c r="BR18" s="7">
        <f t="array" ref="BR18">PRODUCT(1 + 預測IC!$C18:BR18) - 1</f>
        <v>-0.9042436436405098</v>
      </c>
      <c r="BS18" s="7">
        <f t="array" ref="BS18">PRODUCT(1 + 預測IC!$C18:BS18) - 1</f>
        <v>-0.9073914669119012</v>
      </c>
      <c r="BT18" s="7">
        <f t="array" ref="BT18">PRODUCT(1 + 預測IC!$C18:BT18) - 1</f>
        <v>-0.91309108898342795</v>
      </c>
      <c r="BU18" s="7">
        <f t="array" ref="BU18">PRODUCT(1 + 預測IC!$C18:BU18) - 1</f>
        <v>-0.90607950017830763</v>
      </c>
      <c r="BV18" s="7">
        <f t="array" ref="BV18">PRODUCT(1 + 預測IC!$C18:BV18) - 1</f>
        <v>-0.90235795427157994</v>
      </c>
      <c r="BW18" s="7">
        <f t="array" ref="BW18">PRODUCT(1 + 預測IC!$C18:BW18) - 1</f>
        <v>-0.88103532379946536</v>
      </c>
      <c r="BX18" s="7">
        <f t="array" ref="BX18">PRODUCT(1 + 預測IC!$C18:BX18) - 1</f>
        <v>-0.88990781206633929</v>
      </c>
      <c r="BY18" s="7">
        <f t="array" ref="BY18">PRODUCT(1 + 預測IC!$C18:BY18) - 1</f>
        <v>-0.89953705481861956</v>
      </c>
      <c r="BZ18" s="7">
        <f t="array" ref="BZ18">PRODUCT(1 + 預測IC!$C18:BZ18) - 1</f>
        <v>-0.90308818409612113</v>
      </c>
      <c r="CA18" s="7">
        <f t="array" ref="CA18">PRODUCT(1 + 預測IC!$C18:CA18) - 1</f>
        <v>-0.89200864509559097</v>
      </c>
      <c r="CB18" s="7">
        <f t="array" ref="CB18">PRODUCT(1 + 預測IC!$C18:CB18) - 1</f>
        <v>-0.90252562973499639</v>
      </c>
      <c r="CC18" s="7">
        <f t="array" ref="CC18">PRODUCT(1 + 預測IC!$C18:CC18) - 1</f>
        <v>-0.90527181844898386</v>
      </c>
      <c r="CD18" s="7">
        <f t="array" ref="CD18">PRODUCT(1 + 預測IC!$C18:CD18) - 1</f>
        <v>-0.88692137648272151</v>
      </c>
      <c r="CE18" s="7">
        <f t="array" ref="CE18">PRODUCT(1 + 預測IC!$C18:CE18) - 1</f>
        <v>-0.90163014465752378</v>
      </c>
      <c r="CF18" s="7">
        <f t="array" ref="CF18">PRODUCT(1 + 預測IC!$C18:CF18) - 1</f>
        <v>-0.90595426151564618</v>
      </c>
      <c r="CG18" s="7">
        <f t="array" ref="CG18">PRODUCT(1 + 預測IC!$C18:CG18) - 1</f>
        <v>-0.91456972160715688</v>
      </c>
      <c r="CH18" s="7">
        <f t="array" ref="CH18">PRODUCT(1 + 預測IC!$C18:CH18) - 1</f>
        <v>-0.91069412158710394</v>
      </c>
      <c r="CI18" s="7">
        <f t="array" ref="CI18">PRODUCT(1 + 預測IC!$C18:CI18) - 1</f>
        <v>-0.90041864876570776</v>
      </c>
      <c r="CJ18" s="7">
        <f t="array" ref="CJ18">PRODUCT(1 + 預測IC!$C18:CJ18) - 1</f>
        <v>-0.9000429914122472</v>
      </c>
      <c r="CK18" s="7">
        <f t="array" ref="CK18">PRODUCT(1 + 預測IC!$C18:CK18) - 1</f>
        <v>-0.90964466490836049</v>
      </c>
      <c r="CL18" s="7">
        <f t="array" ref="CL18">PRODUCT(1 + 預測IC!$C18:CL18) - 1</f>
        <v>-0.92346125554145075</v>
      </c>
      <c r="CM18" s="7">
        <f t="array" ref="CM18">PRODUCT(1 + 預測IC!$C18:CM18) - 1</f>
        <v>-0.92227117371237433</v>
      </c>
      <c r="CN18" s="7">
        <f t="array" ref="CN18">PRODUCT(1 + 預測IC!$C18:CN18) - 1</f>
        <v>-0.91287040589464019</v>
      </c>
      <c r="CO18" s="7">
        <f t="array" ref="CO18">PRODUCT(1 + 預測IC!$C18:CO18) - 1</f>
        <v>-0.92599190578130453</v>
      </c>
      <c r="CP18" s="7">
        <f t="array" ref="CP18">PRODUCT(1 + 預測IC!$C18:CP18) - 1</f>
        <v>-0.91738696099812123</v>
      </c>
      <c r="CQ18" s="7">
        <f t="array" ref="CQ18">PRODUCT(1 + 預測IC!$C18:CQ18) - 1</f>
        <v>-0.91422761734766</v>
      </c>
      <c r="CR18" s="7">
        <f t="array" ref="CR18">PRODUCT(1 + 預測IC!$C18:CR18) - 1</f>
        <v>-0.91133337391330171</v>
      </c>
      <c r="CS18" s="7">
        <f t="array" ref="CS18">PRODUCT(1 + 預測IC!$C18:CS18) - 1</f>
        <v>-0.91644860908597581</v>
      </c>
      <c r="CT18" s="7">
        <f t="array" ref="CT18">PRODUCT(1 + 預測IC!$C18:CT18) - 1</f>
        <v>-0.91508901956192468</v>
      </c>
      <c r="CU18" s="7">
        <f t="array" ref="CU18">PRODUCT(1 + 預測IC!$C18:CU18) - 1</f>
        <v>-0.9028138788590041</v>
      </c>
      <c r="CV18" s="7">
        <f t="array" ref="CV18">PRODUCT(1 + 預測IC!$C18:CV18) - 1</f>
        <v>-0.91515868039738257</v>
      </c>
      <c r="CW18" s="7">
        <f t="array" ref="CW18">PRODUCT(1 + 預測IC!$C18:CW18) - 1</f>
        <v>-0.91587610585534951</v>
      </c>
      <c r="CX18" s="7">
        <f t="array" ref="CX18">PRODUCT(1 + 預測IC!$C18:CX18) - 1</f>
        <v>-0.92875342896414936</v>
      </c>
      <c r="CY18" s="7">
        <f t="array" ref="CY18">PRODUCT(1 + 預測IC!$C18:CY18) - 1</f>
        <v>-0.92211478861604879</v>
      </c>
      <c r="CZ18" s="7">
        <f t="array" ref="CZ18">PRODUCT(1 + 預測IC!$C18:CZ18) - 1</f>
        <v>-0.91499146844639057</v>
      </c>
      <c r="DA18" s="7">
        <f t="array" ref="DA18">PRODUCT(1 + 預測IC!$C18:DA18) - 1</f>
        <v>-0.91901925253850514</v>
      </c>
      <c r="DB18" s="7">
        <f t="array" ref="DB18">PRODUCT(1 + 預測IC!$C18:DB18) - 1</f>
        <v>-0.93702792223271492</v>
      </c>
      <c r="DC18" s="7">
        <f t="array" ref="DC18">PRODUCT(1 + 預測IC!$C18:DC18) - 1</f>
        <v>-0.93181259318954979</v>
      </c>
      <c r="DD18" s="7">
        <f t="array" ref="DD18">PRODUCT(1 + 預測IC!$C18:DD18) - 1</f>
        <v>-0.93460924426529324</v>
      </c>
      <c r="DE18" s="7">
        <f t="array" ref="DE18">PRODUCT(1 + 預測IC!$C18:DE18) - 1</f>
        <v>-0.93209689301378273</v>
      </c>
      <c r="DF18" s="7">
        <f t="array" ref="DF18">PRODUCT(1 + 預測IC!$C18:DF18) - 1</f>
        <v>-0.90719736625397129</v>
      </c>
      <c r="DG18" s="7">
        <f t="array" ref="DG18">PRODUCT(1 + 預測IC!$C18:DG18) - 1</f>
        <v>-0.89622650864438169</v>
      </c>
      <c r="DH18" s="7">
        <f t="array" ref="DH18">PRODUCT(1 + 預測IC!$C18:DH18) - 1</f>
        <v>-0.89758075609134513</v>
      </c>
      <c r="DI18" s="7">
        <f t="array" ref="DI18">PRODUCT(1 + 預測IC!$C18:DI18) - 1</f>
        <v>-0.89948711088130484</v>
      </c>
      <c r="DJ18" s="7">
        <f t="array" ref="DJ18">PRODUCT(1 + 預測IC!$C18:DJ18) - 1</f>
        <v>-0.88479252089473626</v>
      </c>
      <c r="DK18" s="7">
        <f t="array" ref="DK18">PRODUCT(1 + 預測IC!$C18:DK18) - 1</f>
        <v>-0.87819682474508798</v>
      </c>
      <c r="DL18" s="7">
        <f t="array" ref="DL18">PRODUCT(1 + 預測IC!$C18:DL18) - 1</f>
        <v>-0.87773028520155871</v>
      </c>
      <c r="DM18" s="7">
        <f t="array" ref="DM18">PRODUCT(1 + 預測IC!$C18:DM18) - 1</f>
        <v>-0.87837228419387359</v>
      </c>
      <c r="DN18" s="7">
        <f t="array" ref="DN18">PRODUCT(1 + 預測IC!$C18:DN18) - 1</f>
        <v>-0.86315560082028842</v>
      </c>
      <c r="DO18" s="7">
        <f t="array" ref="DO18">PRODUCT(1 + 預測IC!$C18:DO18) - 1</f>
        <v>-0.86728816722063728</v>
      </c>
      <c r="DP18" s="7">
        <f t="array" ref="DP18">PRODUCT(1 + 預測IC!$C18:DP18) - 1</f>
        <v>-0.88500340160778024</v>
      </c>
      <c r="DQ18" s="7">
        <f t="array" ref="DQ18">PRODUCT(1 + 預測IC!$C18:DQ18) - 1</f>
        <v>-0.87744243757050033</v>
      </c>
      <c r="DR18" s="7">
        <f t="array" ref="DR18">PRODUCT(1 + 預測IC!$C18:DR18) - 1</f>
        <v>-0.86802503422616217</v>
      </c>
      <c r="DS18" s="7">
        <f t="array" ref="DS18">PRODUCT(1 + 預測IC!$C18:DS18) - 1</f>
        <v>-0.86467476377035468</v>
      </c>
      <c r="DT18" s="7">
        <f t="array" ref="DT18">PRODUCT(1 + 預測IC!$C18:DT18) - 1</f>
        <v>-0.86161627339144742</v>
      </c>
      <c r="DU18" s="7">
        <f t="array" ref="DU18">PRODUCT(1 + 預測IC!$C18:DU18) - 1</f>
        <v>-0.83911663149806504</v>
      </c>
      <c r="DV18" s="7">
        <f t="array" ref="DV18">PRODUCT(1 + 預測IC!$C18:DV18) - 1</f>
        <v>-0.85046336424111146</v>
      </c>
      <c r="DW18" s="7">
        <f t="array" ref="DW18">PRODUCT(1 + 預測IC!$C18:DW18) - 1</f>
        <v>-0.84179362183643303</v>
      </c>
      <c r="DX18" s="7">
        <f t="array" ref="DX18">PRODUCT(1 + 預測IC!$C18:DX18) - 1</f>
        <v>-0.8525797045175012</v>
      </c>
      <c r="DY18" s="7">
        <f t="array" ref="DY18">PRODUCT(1 + 預測IC!$C18:DY18) - 1</f>
        <v>-0.82814285864813231</v>
      </c>
      <c r="DZ18" s="7">
        <f t="array" ref="DZ18">PRODUCT(1 + 預測IC!$C18:DZ18) - 1</f>
        <v>-0.83557187421276802</v>
      </c>
      <c r="EA18" s="7">
        <f t="array" ref="EA18">PRODUCT(1 + 預測IC!$C18:EA18) - 1</f>
        <v>-0.83635098354707538</v>
      </c>
      <c r="EB18" s="7">
        <f t="array" ref="EB18">PRODUCT(1 + 預測IC!$C18:EB18) - 1</f>
        <v>-0.81835542509642012</v>
      </c>
      <c r="EC18" s="7">
        <f t="array" ref="EC18">PRODUCT(1 + 預測IC!$C18:EC18) - 1</f>
        <v>-0.81785333852499409</v>
      </c>
      <c r="ED18" s="7">
        <f t="array" ref="ED18">PRODUCT(1 + 預測IC!$C18:ED18) - 1</f>
        <v>-0.83797654137420596</v>
      </c>
      <c r="EE18" s="7">
        <f t="array" ref="EE18">PRODUCT(1 + 預測IC!$C18:EE18) - 1</f>
        <v>-0.84656622156528716</v>
      </c>
      <c r="EF18" s="7">
        <f t="array" ref="EF18">PRODUCT(1 + 預測IC!$C18:EF18) - 1</f>
        <v>-0.87033865321692372</v>
      </c>
    </row>
    <row r="19" spans="1:136" x14ac:dyDescent="0.3">
      <c r="A19" s="1">
        <v>6</v>
      </c>
      <c r="B19" s="1" t="s">
        <v>157</v>
      </c>
      <c r="C19" s="7">
        <f t="array" ref="C19">PRODUCT(1 + 預測IC!$C19:C19) - 1</f>
        <v>-7.3861929880770893E-2</v>
      </c>
      <c r="D19" s="7">
        <f t="array" ref="D19">PRODUCT(1 + 預測IC!$C19:D19) - 1</f>
        <v>-0.27718893831278424</v>
      </c>
      <c r="E19" s="7">
        <f t="array" ref="E19">PRODUCT(1 + 預測IC!$C19:E19) - 1</f>
        <v>-0.37880437484565654</v>
      </c>
      <c r="F19" s="7">
        <f t="array" ref="F19">PRODUCT(1 + 預測IC!$C19:F19) - 1</f>
        <v>-0.48918379419880043</v>
      </c>
      <c r="G19" s="7">
        <f t="array" ref="G19">PRODUCT(1 + 預測IC!$C19:G19) - 1</f>
        <v>-0.53825584944948868</v>
      </c>
      <c r="H19" s="7">
        <f t="array" ref="H19">PRODUCT(1 + 預測IC!$C19:H19) - 1</f>
        <v>-0.5438285419262725</v>
      </c>
      <c r="I19" s="7">
        <f t="array" ref="I19">PRODUCT(1 + 預測IC!$C19:I19) - 1</f>
        <v>-0.60500668993239559</v>
      </c>
      <c r="J19" s="7">
        <f t="array" ref="J19">PRODUCT(1 + 預測IC!$C19:J19) - 1</f>
        <v>-0.649023655872766</v>
      </c>
      <c r="K19" s="7">
        <f t="array" ref="K19">PRODUCT(1 + 預測IC!$C19:K19) - 1</f>
        <v>-0.73283309166884814</v>
      </c>
      <c r="L19" s="7">
        <f t="array" ref="L19">PRODUCT(1 + 預測IC!$C19:L19) - 1</f>
        <v>-0.72740248352770664</v>
      </c>
      <c r="M19" s="7">
        <f t="array" ref="M19">PRODUCT(1 + 預測IC!$C19:M19) - 1</f>
        <v>-0.71549263365740923</v>
      </c>
      <c r="N19" s="7">
        <f t="array" ref="N19">PRODUCT(1 + 預測IC!$C19:N19) - 1</f>
        <v>-0.7586932510258485</v>
      </c>
      <c r="O19" s="7">
        <f t="array" ref="O19">PRODUCT(1 + 預測IC!$C19:O19) - 1</f>
        <v>-0.75107715770139805</v>
      </c>
      <c r="P19" s="7">
        <f t="array" ref="P19">PRODUCT(1 + 預測IC!$C19:P19) - 1</f>
        <v>-0.74522419487753433</v>
      </c>
      <c r="Q19" s="7">
        <f t="array" ref="Q19">PRODUCT(1 + 預測IC!$C19:Q19) - 1</f>
        <v>-0.76608169966223305</v>
      </c>
      <c r="R19" s="7">
        <f t="array" ref="R19">PRODUCT(1 + 預測IC!$C19:R19) - 1</f>
        <v>-0.73202710793073056</v>
      </c>
      <c r="S19" s="7">
        <f t="array" ref="S19">PRODUCT(1 + 預測IC!$C19:S19) - 1</f>
        <v>-0.69914901099563687</v>
      </c>
      <c r="T19" s="7">
        <f t="array" ref="T19">PRODUCT(1 + 預測IC!$C19:T19) - 1</f>
        <v>-0.71463222207771815</v>
      </c>
      <c r="U19" s="7">
        <f t="array" ref="U19">PRODUCT(1 + 預測IC!$C19:U19) - 1</f>
        <v>-0.69544123855058171</v>
      </c>
      <c r="V19" s="7">
        <f t="array" ref="V19">PRODUCT(1 + 預測IC!$C19:V19) - 1</f>
        <v>-0.72367027840695086</v>
      </c>
      <c r="W19" s="7">
        <f t="array" ref="W19">PRODUCT(1 + 預測IC!$C19:W19) - 1</f>
        <v>-0.77195468690288371</v>
      </c>
      <c r="X19" s="7">
        <f t="array" ref="X19">PRODUCT(1 + 預測IC!$C19:X19) - 1</f>
        <v>-0.73788474600749154</v>
      </c>
      <c r="Y19" s="7">
        <f t="array" ref="Y19">PRODUCT(1 + 預測IC!$C19:Y19) - 1</f>
        <v>-0.71085273723593168</v>
      </c>
      <c r="Z19" s="7">
        <f t="array" ref="Z19">PRODUCT(1 + 預測IC!$C19:Z19) - 1</f>
        <v>-0.72759110372408342</v>
      </c>
      <c r="AA19" s="7">
        <f t="array" ref="AA19">PRODUCT(1 + 預測IC!$C19:AA19) - 1</f>
        <v>-0.76350355836458128</v>
      </c>
      <c r="AB19" s="7">
        <f t="array" ref="AB19">PRODUCT(1 + 預測IC!$C19:AB19) - 1</f>
        <v>-0.75127225735901537</v>
      </c>
      <c r="AC19" s="7">
        <f t="array" ref="AC19">PRODUCT(1 + 預測IC!$C19:AC19) - 1</f>
        <v>-0.74775486336364183</v>
      </c>
      <c r="AD19" s="7">
        <f t="array" ref="AD19">PRODUCT(1 + 預測IC!$C19:AD19) - 1</f>
        <v>-0.75380810524938324</v>
      </c>
      <c r="AE19" s="7">
        <f t="array" ref="AE19">PRODUCT(1 + 預測IC!$C19:AE19) - 1</f>
        <v>-0.79551696630761515</v>
      </c>
      <c r="AF19" s="7">
        <f t="array" ref="AF19">PRODUCT(1 + 預測IC!$C19:AF19) - 1</f>
        <v>-0.83003995563084287</v>
      </c>
      <c r="AG19" s="7">
        <f t="array" ref="AG19">PRODUCT(1 + 預測IC!$C19:AG19) - 1</f>
        <v>-0.83709110557298583</v>
      </c>
      <c r="AH19" s="7">
        <f t="array" ref="AH19">PRODUCT(1 + 預測IC!$C19:AH19) - 1</f>
        <v>-0.87034998060539415</v>
      </c>
      <c r="AI19" s="7">
        <f t="array" ref="AI19">PRODUCT(1 + 預測IC!$C19:AI19) - 1</f>
        <v>-0.87654288916711132</v>
      </c>
      <c r="AJ19" s="7">
        <f t="array" ref="AJ19">PRODUCT(1 + 預測IC!$C19:AJ19) - 1</f>
        <v>-0.88607411264830049</v>
      </c>
      <c r="AK19" s="7">
        <f t="array" ref="AK19">PRODUCT(1 + 預測IC!$C19:AK19) - 1</f>
        <v>-0.88145082661754992</v>
      </c>
      <c r="AL19" s="7">
        <f t="array" ref="AL19">PRODUCT(1 + 預測IC!$C19:AL19) - 1</f>
        <v>-0.8832189410115312</v>
      </c>
      <c r="AM19" s="7">
        <f t="array" ref="AM19">PRODUCT(1 + 預測IC!$C19:AM19) - 1</f>
        <v>-0.87608080025731305</v>
      </c>
      <c r="AN19" s="7">
        <f t="array" ref="AN19">PRODUCT(1 + 預測IC!$C19:AN19) - 1</f>
        <v>-0.8748119236300036</v>
      </c>
      <c r="AO19" s="7">
        <f t="array" ref="AO19">PRODUCT(1 + 預測IC!$C19:AO19) - 1</f>
        <v>-0.86781514625182321</v>
      </c>
      <c r="AP19" s="7">
        <f t="array" ref="AP19">PRODUCT(1 + 預測IC!$C19:AP19) - 1</f>
        <v>-0.85131474217525693</v>
      </c>
      <c r="AQ19" s="7">
        <f t="array" ref="AQ19">PRODUCT(1 + 預測IC!$C19:AQ19) - 1</f>
        <v>-0.84501410547556588</v>
      </c>
      <c r="AR19" s="7">
        <f t="array" ref="AR19">PRODUCT(1 + 預測IC!$C19:AR19) - 1</f>
        <v>-0.85139092492143065</v>
      </c>
      <c r="AS19" s="7">
        <f t="array" ref="AS19">PRODUCT(1 + 預測IC!$C19:AS19) - 1</f>
        <v>-0.83516298095156505</v>
      </c>
      <c r="AT19" s="7">
        <f t="array" ref="AT19">PRODUCT(1 + 預測IC!$C19:AT19) - 1</f>
        <v>-0.86559085022924398</v>
      </c>
      <c r="AU19" s="7">
        <f t="array" ref="AU19">PRODUCT(1 + 預測IC!$C19:AU19) - 1</f>
        <v>-0.88615741607613918</v>
      </c>
      <c r="AV19" s="7">
        <f t="array" ref="AV19">PRODUCT(1 + 預測IC!$C19:AV19) - 1</f>
        <v>-0.88581217596294604</v>
      </c>
      <c r="AW19" s="7">
        <f t="array" ref="AW19">PRODUCT(1 + 預測IC!$C19:AW19) - 1</f>
        <v>-0.90142089754132937</v>
      </c>
      <c r="AX19" s="7">
        <f t="array" ref="AX19">PRODUCT(1 + 預測IC!$C19:AX19) - 1</f>
        <v>-0.92351482012171859</v>
      </c>
      <c r="AY19" s="7">
        <f t="array" ref="AY19">PRODUCT(1 + 預測IC!$C19:AY19) - 1</f>
        <v>-0.92858374101169905</v>
      </c>
      <c r="AZ19" s="7">
        <f t="array" ref="AZ19">PRODUCT(1 + 預測IC!$C19:AZ19) - 1</f>
        <v>-0.93684028386376317</v>
      </c>
      <c r="BA19" s="7">
        <f t="array" ref="BA19">PRODUCT(1 + 預測IC!$C19:BA19) - 1</f>
        <v>-0.93693559292107453</v>
      </c>
      <c r="BB19" s="7">
        <f t="array" ref="BB19">PRODUCT(1 + 預測IC!$C19:BB19) - 1</f>
        <v>-0.91396999967622616</v>
      </c>
      <c r="BC19" s="7">
        <f t="array" ref="BC19">PRODUCT(1 + 預測IC!$C19:BC19) - 1</f>
        <v>-0.89809128857383169</v>
      </c>
      <c r="BD19" s="7">
        <f t="array" ref="BD19">PRODUCT(1 + 預測IC!$C19:BD19) - 1</f>
        <v>-0.89955062608832037</v>
      </c>
      <c r="BE19" s="7">
        <f t="array" ref="BE19">PRODUCT(1 + 預測IC!$C19:BE19) - 1</f>
        <v>-0.90853890856631481</v>
      </c>
      <c r="BF19" s="7">
        <f t="array" ref="BF19">PRODUCT(1 + 預測IC!$C19:BF19) - 1</f>
        <v>-0.90729769245881631</v>
      </c>
      <c r="BG19" s="7">
        <f t="array" ref="BG19">PRODUCT(1 + 預測IC!$C19:BG19) - 1</f>
        <v>-0.90881278729993542</v>
      </c>
      <c r="BH19" s="7">
        <f t="array" ref="BH19">PRODUCT(1 + 預測IC!$C19:BH19) - 1</f>
        <v>-0.91402271957742154</v>
      </c>
      <c r="BI19" s="7">
        <f t="array" ref="BI19">PRODUCT(1 + 預測IC!$C19:BI19) - 1</f>
        <v>-0.92273086221901002</v>
      </c>
      <c r="BJ19" s="7">
        <f t="array" ref="BJ19">PRODUCT(1 + 預測IC!$C19:BJ19) - 1</f>
        <v>-0.92728295844469211</v>
      </c>
      <c r="BK19" s="7">
        <f t="array" ref="BK19">PRODUCT(1 + 預測IC!$C19:BK19) - 1</f>
        <v>-0.93233817712016021</v>
      </c>
      <c r="BL19" s="7">
        <f t="array" ref="BL19">PRODUCT(1 + 預測IC!$C19:BL19) - 1</f>
        <v>-0.93661200461483873</v>
      </c>
      <c r="BM19" s="7">
        <f t="array" ref="BM19">PRODUCT(1 + 預測IC!$C19:BM19) - 1</f>
        <v>-0.93862687222567553</v>
      </c>
      <c r="BN19" s="7">
        <f t="array" ref="BN19">PRODUCT(1 + 預測IC!$C19:BN19) - 1</f>
        <v>-0.94305709757434697</v>
      </c>
      <c r="BO19" s="7">
        <f t="array" ref="BO19">PRODUCT(1 + 預測IC!$C19:BO19) - 1</f>
        <v>-0.93704593837686245</v>
      </c>
      <c r="BP19" s="7">
        <f t="array" ref="BP19">PRODUCT(1 + 預測IC!$C19:BP19) - 1</f>
        <v>-0.93626465698730821</v>
      </c>
      <c r="BQ19" s="7">
        <f t="array" ref="BQ19">PRODUCT(1 + 預測IC!$C19:BQ19) - 1</f>
        <v>-0.92927587681993284</v>
      </c>
      <c r="BR19" s="7">
        <f t="array" ref="BR19">PRODUCT(1 + 預測IC!$C19:BR19) - 1</f>
        <v>-0.93895371177035247</v>
      </c>
      <c r="BS19" s="7">
        <f t="array" ref="BS19">PRODUCT(1 + 預測IC!$C19:BS19) - 1</f>
        <v>-0.93874005391638116</v>
      </c>
      <c r="BT19" s="7">
        <f t="array" ref="BT19">PRODUCT(1 + 預測IC!$C19:BT19) - 1</f>
        <v>-0.94378318118707327</v>
      </c>
      <c r="BU19" s="7">
        <f t="array" ref="BU19">PRODUCT(1 + 預測IC!$C19:BU19) - 1</f>
        <v>-0.93951428671010517</v>
      </c>
      <c r="BV19" s="7">
        <f t="array" ref="BV19">PRODUCT(1 + 預測IC!$C19:BV19) - 1</f>
        <v>-0.93767849740913467</v>
      </c>
      <c r="BW19" s="7">
        <f t="array" ref="BW19">PRODUCT(1 + 預測IC!$C19:BW19) - 1</f>
        <v>-0.91851756404867257</v>
      </c>
      <c r="BX19" s="7">
        <f t="array" ref="BX19">PRODUCT(1 + 預測IC!$C19:BX19) - 1</f>
        <v>-0.92298526895410427</v>
      </c>
      <c r="BY19" s="7">
        <f t="array" ref="BY19">PRODUCT(1 + 預測IC!$C19:BY19) - 1</f>
        <v>-0.92913619886178134</v>
      </c>
      <c r="BZ19" s="7">
        <f t="array" ref="BZ19">PRODUCT(1 + 預測IC!$C19:BZ19) - 1</f>
        <v>-0.92937890937722989</v>
      </c>
      <c r="CA19" s="7">
        <f t="array" ref="CA19">PRODUCT(1 + 預測IC!$C19:CA19) - 1</f>
        <v>-0.92540893461021045</v>
      </c>
      <c r="CB19" s="7">
        <f t="array" ref="CB19">PRODUCT(1 + 預測IC!$C19:CB19) - 1</f>
        <v>-0.93129989883156072</v>
      </c>
      <c r="CC19" s="7">
        <f t="array" ref="CC19">PRODUCT(1 + 預測IC!$C19:CC19) - 1</f>
        <v>-0.93299838879778596</v>
      </c>
      <c r="CD19" s="7">
        <f t="array" ref="CD19">PRODUCT(1 + 預測IC!$C19:CD19) - 1</f>
        <v>-0.91855155511937747</v>
      </c>
      <c r="CE19" s="7">
        <f t="array" ref="CE19">PRODUCT(1 + 預測IC!$C19:CE19) - 1</f>
        <v>-0.92787042677373466</v>
      </c>
      <c r="CF19" s="7">
        <f t="array" ref="CF19">PRODUCT(1 + 預測IC!$C19:CF19) - 1</f>
        <v>-0.93357237953276495</v>
      </c>
      <c r="CG19" s="7">
        <f t="array" ref="CG19">PRODUCT(1 + 預測IC!$C19:CG19) - 1</f>
        <v>-0.93736656743941704</v>
      </c>
      <c r="CH19" s="7">
        <f t="array" ref="CH19">PRODUCT(1 + 預測IC!$C19:CH19) - 1</f>
        <v>-0.93469117762783416</v>
      </c>
      <c r="CI19" s="7">
        <f t="array" ref="CI19">PRODUCT(1 + 預測IC!$C19:CI19) - 1</f>
        <v>-0.92745925692312503</v>
      </c>
      <c r="CJ19" s="7">
        <f t="array" ref="CJ19">PRODUCT(1 + 預測IC!$C19:CJ19) - 1</f>
        <v>-0.92660241126880327</v>
      </c>
      <c r="CK19" s="7">
        <f t="array" ref="CK19">PRODUCT(1 + 預測IC!$C19:CK19) - 1</f>
        <v>-0.93532184391773754</v>
      </c>
      <c r="CL19" s="7">
        <f t="array" ref="CL19">PRODUCT(1 + 預測IC!$C19:CL19) - 1</f>
        <v>-0.94278232574231058</v>
      </c>
      <c r="CM19" s="7">
        <f t="array" ref="CM19">PRODUCT(1 + 預測IC!$C19:CM19) - 1</f>
        <v>-0.93845770686776064</v>
      </c>
      <c r="CN19" s="7">
        <f t="array" ref="CN19">PRODUCT(1 + 預測IC!$C19:CN19) - 1</f>
        <v>-0.92964526833449801</v>
      </c>
      <c r="CO19" s="7">
        <f t="array" ref="CO19">PRODUCT(1 + 預測IC!$C19:CO19) - 1</f>
        <v>-0.94133446482392469</v>
      </c>
      <c r="CP19" s="7">
        <f t="array" ref="CP19">PRODUCT(1 + 預測IC!$C19:CP19) - 1</f>
        <v>-0.93327295645493324</v>
      </c>
      <c r="CQ19" s="7">
        <f t="array" ref="CQ19">PRODUCT(1 + 預測IC!$C19:CQ19) - 1</f>
        <v>-0.93111136006855977</v>
      </c>
      <c r="CR19" s="7">
        <f t="array" ref="CR19">PRODUCT(1 + 預測IC!$C19:CR19) - 1</f>
        <v>-0.92943742105941496</v>
      </c>
      <c r="CS19" s="7">
        <f t="array" ref="CS19">PRODUCT(1 + 預測IC!$C19:CS19) - 1</f>
        <v>-0.93326547268823146</v>
      </c>
      <c r="CT19" s="7">
        <f t="array" ref="CT19">PRODUCT(1 + 預測IC!$C19:CT19) - 1</f>
        <v>-0.93140086747290107</v>
      </c>
      <c r="CU19" s="7">
        <f t="array" ref="CU19">PRODUCT(1 + 預測IC!$C19:CU19) - 1</f>
        <v>-0.92134371718327157</v>
      </c>
      <c r="CV19" s="7">
        <f t="array" ref="CV19">PRODUCT(1 + 預測IC!$C19:CV19) - 1</f>
        <v>-0.92878090531944069</v>
      </c>
      <c r="CW19" s="7">
        <f t="array" ref="CW19">PRODUCT(1 + 預測IC!$C19:CW19) - 1</f>
        <v>-0.93034073224153513</v>
      </c>
      <c r="CX19" s="7">
        <f t="array" ref="CX19">PRODUCT(1 + 預測IC!$C19:CX19) - 1</f>
        <v>-0.94066077301718054</v>
      </c>
      <c r="CY19" s="7">
        <f t="array" ref="CY19">PRODUCT(1 + 預測IC!$C19:CY19) - 1</f>
        <v>-0.93425853805105286</v>
      </c>
      <c r="CZ19" s="7">
        <f t="array" ref="CZ19">PRODUCT(1 + 預測IC!$C19:CZ19) - 1</f>
        <v>-0.93047845243462701</v>
      </c>
      <c r="DA19" s="7">
        <f t="array" ref="DA19">PRODUCT(1 + 預測IC!$C19:DA19) - 1</f>
        <v>-0.9345262664482914</v>
      </c>
      <c r="DB19" s="7">
        <f t="array" ref="DB19">PRODUCT(1 + 預測IC!$C19:DB19) - 1</f>
        <v>-0.95326081933792339</v>
      </c>
      <c r="DC19" s="7">
        <f t="array" ref="DC19">PRODUCT(1 + 預測IC!$C19:DC19) - 1</f>
        <v>-0.95019530936566965</v>
      </c>
      <c r="DD19" s="7">
        <f t="array" ref="DD19">PRODUCT(1 + 預測IC!$C19:DD19) - 1</f>
        <v>-0.95050415449057113</v>
      </c>
      <c r="DE19" s="7">
        <f t="array" ref="DE19">PRODUCT(1 + 預測IC!$C19:DE19) - 1</f>
        <v>-0.94886988013980178</v>
      </c>
      <c r="DF19" s="7">
        <f t="array" ref="DF19">PRODUCT(1 + 預測IC!$C19:DF19) - 1</f>
        <v>-0.93836255125608536</v>
      </c>
      <c r="DG19" s="7">
        <f t="array" ref="DG19">PRODUCT(1 + 預測IC!$C19:DG19) - 1</f>
        <v>-0.93056598118779832</v>
      </c>
      <c r="DH19" s="7">
        <f t="array" ref="DH19">PRODUCT(1 + 預測IC!$C19:DH19) - 1</f>
        <v>-0.93356696152199714</v>
      </c>
      <c r="DI19" s="7">
        <f t="array" ref="DI19">PRODUCT(1 + 預測IC!$C19:DI19) - 1</f>
        <v>-0.9374630621226554</v>
      </c>
      <c r="DJ19" s="7">
        <f t="array" ref="DJ19">PRODUCT(1 + 預測IC!$C19:DJ19) - 1</f>
        <v>-0.92712880381115992</v>
      </c>
      <c r="DK19" s="7">
        <f t="array" ref="DK19">PRODUCT(1 + 預測IC!$C19:DK19) - 1</f>
        <v>-0.92596400950962532</v>
      </c>
      <c r="DL19" s="7">
        <f t="array" ref="DL19">PRODUCT(1 + 預測IC!$C19:DL19) - 1</f>
        <v>-0.92507685208602042</v>
      </c>
      <c r="DM19" s="7">
        <f t="array" ref="DM19">PRODUCT(1 + 預測IC!$C19:DM19) - 1</f>
        <v>-0.92162305211956552</v>
      </c>
      <c r="DN19" s="7">
        <f t="array" ref="DN19">PRODUCT(1 + 預測IC!$C19:DN19) - 1</f>
        <v>-0.90799108268005457</v>
      </c>
      <c r="DO19" s="7">
        <f t="array" ref="DO19">PRODUCT(1 + 預測IC!$C19:DO19) - 1</f>
        <v>-0.91247242482993296</v>
      </c>
      <c r="DP19" s="7">
        <f t="array" ref="DP19">PRODUCT(1 + 預測IC!$C19:DP19) - 1</f>
        <v>-0.92737558143709009</v>
      </c>
      <c r="DQ19" s="7">
        <f t="array" ref="DQ19">PRODUCT(1 + 預測IC!$C19:DQ19) - 1</f>
        <v>-0.92153845393987444</v>
      </c>
      <c r="DR19" s="7">
        <f t="array" ref="DR19">PRODUCT(1 + 預測IC!$C19:DR19) - 1</f>
        <v>-0.91557833025562574</v>
      </c>
      <c r="DS19" s="7">
        <f t="array" ref="DS19">PRODUCT(1 + 預測IC!$C19:DS19) - 1</f>
        <v>-0.91178619638315794</v>
      </c>
      <c r="DT19" s="7">
        <f t="array" ref="DT19">PRODUCT(1 + 預測IC!$C19:DT19) - 1</f>
        <v>-0.91134219456307819</v>
      </c>
      <c r="DU19" s="7">
        <f t="array" ref="DU19">PRODUCT(1 + 預測IC!$C19:DU19) - 1</f>
        <v>-0.89409652794547034</v>
      </c>
      <c r="DV19" s="7">
        <f t="array" ref="DV19">PRODUCT(1 + 預測IC!$C19:DV19) - 1</f>
        <v>-0.90167851616227745</v>
      </c>
      <c r="DW19" s="7">
        <f t="array" ref="DW19">PRODUCT(1 + 預測IC!$C19:DW19) - 1</f>
        <v>-0.89608953088325727</v>
      </c>
      <c r="DX19" s="7">
        <f t="array" ref="DX19">PRODUCT(1 + 預測IC!$C19:DX19) - 1</f>
        <v>-0.90592093610014124</v>
      </c>
      <c r="DY19" s="7">
        <f t="array" ref="DY19">PRODUCT(1 + 預測IC!$C19:DY19) - 1</f>
        <v>-0.89160968444355193</v>
      </c>
      <c r="DZ19" s="7">
        <f t="array" ref="DZ19">PRODUCT(1 + 預測IC!$C19:DZ19) - 1</f>
        <v>-0.90024227592611827</v>
      </c>
      <c r="EA19" s="7">
        <f t="array" ref="EA19">PRODUCT(1 + 預測IC!$C19:EA19) - 1</f>
        <v>-0.89695827886401047</v>
      </c>
      <c r="EB19" s="7">
        <f t="array" ref="EB19">PRODUCT(1 + 預測IC!$C19:EB19) - 1</f>
        <v>-0.8857521300513056</v>
      </c>
      <c r="EC19" s="7">
        <f t="array" ref="EC19">PRODUCT(1 + 預測IC!$C19:EC19) - 1</f>
        <v>-0.88714481652419608</v>
      </c>
      <c r="ED19" s="7">
        <f t="array" ref="ED19">PRODUCT(1 + 預測IC!$C19:ED19) - 1</f>
        <v>-0.90417864941609882</v>
      </c>
      <c r="EE19" s="7">
        <f t="array" ref="EE19">PRODUCT(1 + 預測IC!$C19:EE19) - 1</f>
        <v>-0.90636489841243062</v>
      </c>
      <c r="EF19" s="7">
        <f t="array" ref="EF19">PRODUCT(1 + 預測IC!$C19:EF19) - 1</f>
        <v>-0.92211778094914365</v>
      </c>
    </row>
    <row r="20" spans="1:136" x14ac:dyDescent="0.3">
      <c r="A20" s="1">
        <v>5</v>
      </c>
      <c r="B20" s="1" t="s">
        <v>158</v>
      </c>
      <c r="C20" s="7">
        <f t="array" ref="C20">PRODUCT(1 + 預測IC!$C20:C20) - 1</f>
        <v>1.1241331728202963E-2</v>
      </c>
      <c r="D20" s="7">
        <f t="array" ref="D20">PRODUCT(1 + 預測IC!$C20:D20) - 1</f>
        <v>-0.21384722945021273</v>
      </c>
      <c r="E20" s="7">
        <f t="array" ref="E20">PRODUCT(1 + 預測IC!$C20:E20) - 1</f>
        <v>-0.32872372857002485</v>
      </c>
      <c r="F20" s="7">
        <f t="array" ref="F20">PRODUCT(1 + 預測IC!$C20:F20) - 1</f>
        <v>-0.46669198935388667</v>
      </c>
      <c r="G20" s="7">
        <f t="array" ref="G20">PRODUCT(1 + 預測IC!$C20:G20) - 1</f>
        <v>-0.52918669731595325</v>
      </c>
      <c r="H20" s="7">
        <f t="array" ref="H20">PRODUCT(1 + 預測IC!$C20:H20) - 1</f>
        <v>-0.5237332545528226</v>
      </c>
      <c r="I20" s="7">
        <f t="array" ref="I20">PRODUCT(1 + 預測IC!$C20:I20) - 1</f>
        <v>-0.61225370423558645</v>
      </c>
      <c r="J20" s="7">
        <f t="array" ref="J20">PRODUCT(1 + 預測IC!$C20:J20) - 1</f>
        <v>-0.66936413188936839</v>
      </c>
      <c r="K20" s="7">
        <f t="array" ref="K20">PRODUCT(1 + 預測IC!$C20:K20) - 1</f>
        <v>-0.74035975459503822</v>
      </c>
      <c r="L20" s="7">
        <f t="array" ref="L20">PRODUCT(1 + 預測IC!$C20:L20) - 1</f>
        <v>-0.73802305175542349</v>
      </c>
      <c r="M20" s="7">
        <f t="array" ref="M20">PRODUCT(1 + 預測IC!$C20:M20) - 1</f>
        <v>-0.71766266748470042</v>
      </c>
      <c r="N20" s="7">
        <f t="array" ref="N20">PRODUCT(1 + 預測IC!$C20:N20) - 1</f>
        <v>-0.76513587965368723</v>
      </c>
      <c r="O20" s="7">
        <f t="array" ref="O20">PRODUCT(1 + 預測IC!$C20:O20) - 1</f>
        <v>-0.753424407050858</v>
      </c>
      <c r="P20" s="7">
        <f t="array" ref="P20">PRODUCT(1 + 預測IC!$C20:P20) - 1</f>
        <v>-0.74278746172487675</v>
      </c>
      <c r="Q20" s="7">
        <f t="array" ref="Q20">PRODUCT(1 + 預測IC!$C20:Q20) - 1</f>
        <v>-0.77032086056569504</v>
      </c>
      <c r="R20" s="7">
        <f t="array" ref="R20">PRODUCT(1 + 預測IC!$C20:R20) - 1</f>
        <v>-0.72646535906608034</v>
      </c>
      <c r="S20" s="7">
        <f t="array" ref="S20">PRODUCT(1 + 預測IC!$C20:S20) - 1</f>
        <v>-0.70388162499169526</v>
      </c>
      <c r="T20" s="7">
        <f t="array" ref="T20">PRODUCT(1 + 預測IC!$C20:T20) - 1</f>
        <v>-0.72918951686412137</v>
      </c>
      <c r="U20" s="7">
        <f t="array" ref="U20">PRODUCT(1 + 預測IC!$C20:U20) - 1</f>
        <v>-0.72547389826897035</v>
      </c>
      <c r="V20" s="7">
        <f t="array" ref="V20">PRODUCT(1 + 預測IC!$C20:V20) - 1</f>
        <v>-0.75389218233727351</v>
      </c>
      <c r="W20" s="7">
        <f t="array" ref="W20">PRODUCT(1 + 預測IC!$C20:W20) - 1</f>
        <v>-0.80962173783610147</v>
      </c>
      <c r="X20" s="7">
        <f t="array" ref="X20">PRODUCT(1 + 預測IC!$C20:X20) - 1</f>
        <v>-0.76956873816096527</v>
      </c>
      <c r="Y20" s="7">
        <f t="array" ref="Y20">PRODUCT(1 + 預測IC!$C20:Y20) - 1</f>
        <v>-0.73985116151817976</v>
      </c>
      <c r="Z20" s="7">
        <f t="array" ref="Z20">PRODUCT(1 + 預測IC!$C20:Z20) - 1</f>
        <v>-0.75910924335658492</v>
      </c>
      <c r="AA20" s="7">
        <f t="array" ref="AA20">PRODUCT(1 + 預測IC!$C20:AA20) - 1</f>
        <v>-0.79054148071926922</v>
      </c>
      <c r="AB20" s="7">
        <f t="array" ref="AB20">PRODUCT(1 + 預測IC!$C20:AB20) - 1</f>
        <v>-0.78365060013000454</v>
      </c>
      <c r="AC20" s="7">
        <f t="array" ref="AC20">PRODUCT(1 + 預測IC!$C20:AC20) - 1</f>
        <v>-0.77342846684390887</v>
      </c>
      <c r="AD20" s="7">
        <f t="array" ref="AD20">PRODUCT(1 + 預測IC!$C20:AD20) - 1</f>
        <v>-0.77954302158966626</v>
      </c>
      <c r="AE20" s="7">
        <f t="array" ref="AE20">PRODUCT(1 + 預測IC!$C20:AE20) - 1</f>
        <v>-0.82347852428060431</v>
      </c>
      <c r="AF20" s="7">
        <f t="array" ref="AF20">PRODUCT(1 + 預測IC!$C20:AF20) - 1</f>
        <v>-0.86293068922288418</v>
      </c>
      <c r="AG20" s="7">
        <f t="array" ref="AG20">PRODUCT(1 + 預測IC!$C20:AG20) - 1</f>
        <v>-0.86733928357944845</v>
      </c>
      <c r="AH20" s="7">
        <f t="array" ref="AH20">PRODUCT(1 + 預測IC!$C20:AH20) - 1</f>
        <v>-0.89607922655488537</v>
      </c>
      <c r="AI20" s="7">
        <f t="array" ref="AI20">PRODUCT(1 + 預測IC!$C20:AI20) - 1</f>
        <v>-0.90473368140866983</v>
      </c>
      <c r="AJ20" s="7">
        <f t="array" ref="AJ20">PRODUCT(1 + 預測IC!$C20:AJ20) - 1</f>
        <v>-0.91051879383024081</v>
      </c>
      <c r="AK20" s="7">
        <f t="array" ref="AK20">PRODUCT(1 + 預測IC!$C20:AK20) - 1</f>
        <v>-0.90978070675332878</v>
      </c>
      <c r="AL20" s="7">
        <f t="array" ref="AL20">PRODUCT(1 + 預測IC!$C20:AL20) - 1</f>
        <v>-0.91165548758490456</v>
      </c>
      <c r="AM20" s="7">
        <f t="array" ref="AM20">PRODUCT(1 + 預測IC!$C20:AM20) - 1</f>
        <v>-0.90568959504844515</v>
      </c>
      <c r="AN20" s="7">
        <f t="array" ref="AN20">PRODUCT(1 + 預測IC!$C20:AN20) - 1</f>
        <v>-0.90893807158264461</v>
      </c>
      <c r="AO20" s="7">
        <f t="array" ref="AO20">PRODUCT(1 + 預測IC!$C20:AO20) - 1</f>
        <v>-0.90446617557149322</v>
      </c>
      <c r="AP20" s="7">
        <f t="array" ref="AP20">PRODUCT(1 + 預測IC!$C20:AP20) - 1</f>
        <v>-0.89111816495171992</v>
      </c>
      <c r="AQ20" s="7">
        <f t="array" ref="AQ20">PRODUCT(1 + 預測IC!$C20:AQ20) - 1</f>
        <v>-0.88749150362782481</v>
      </c>
      <c r="AR20" s="7">
        <f t="array" ref="AR20">PRODUCT(1 + 預測IC!$C20:AR20) - 1</f>
        <v>-0.89083739378459459</v>
      </c>
      <c r="AS20" s="7">
        <f t="array" ref="AS20">PRODUCT(1 + 預測IC!$C20:AS20) - 1</f>
        <v>-0.88622071979570138</v>
      </c>
      <c r="AT20" s="7">
        <f t="array" ref="AT20">PRODUCT(1 + 預測IC!$C20:AT20) - 1</f>
        <v>-0.91342804765975605</v>
      </c>
      <c r="AU20" s="7">
        <f t="array" ref="AU20">PRODUCT(1 + 預測IC!$C20:AU20) - 1</f>
        <v>-0.92581412551129538</v>
      </c>
      <c r="AV20" s="7">
        <f t="array" ref="AV20">PRODUCT(1 + 預測IC!$C20:AV20) - 1</f>
        <v>-0.92342188234241074</v>
      </c>
      <c r="AW20" s="7">
        <f t="array" ref="AW20">PRODUCT(1 + 預測IC!$C20:AW20) - 1</f>
        <v>-0.9406517934662384</v>
      </c>
      <c r="AX20" s="7">
        <f t="array" ref="AX20">PRODUCT(1 + 預測IC!$C20:AX20) - 1</f>
        <v>-0.9527789596954046</v>
      </c>
      <c r="AY20" s="7">
        <f t="array" ref="AY20">PRODUCT(1 + 預測IC!$C20:AY20) - 1</f>
        <v>-0.94890411275771935</v>
      </c>
      <c r="AZ20" s="7">
        <f t="array" ref="AZ20">PRODUCT(1 + 預測IC!$C20:AZ20) - 1</f>
        <v>-0.95688907183439831</v>
      </c>
      <c r="BA20" s="7">
        <f t="array" ref="BA20">PRODUCT(1 + 預測IC!$C20:BA20) - 1</f>
        <v>-0.96128973063581657</v>
      </c>
      <c r="BB20" s="7">
        <f t="array" ref="BB20">PRODUCT(1 + 預測IC!$C20:BB20) - 1</f>
        <v>-0.94663995363648257</v>
      </c>
      <c r="BC20" s="7">
        <f t="array" ref="BC20">PRODUCT(1 + 預測IC!$C20:BC20) - 1</f>
        <v>-0.93382603608522774</v>
      </c>
      <c r="BD20" s="7">
        <f t="array" ref="BD20">PRODUCT(1 + 預測IC!$C20:BD20) - 1</f>
        <v>-0.93457435081605422</v>
      </c>
      <c r="BE20" s="7">
        <f t="array" ref="BE20">PRODUCT(1 + 預測IC!$C20:BE20) - 1</f>
        <v>-0.94100427728379255</v>
      </c>
      <c r="BF20" s="7">
        <f t="array" ref="BF20">PRODUCT(1 + 預測IC!$C20:BF20) - 1</f>
        <v>-0.94066867525792519</v>
      </c>
      <c r="BG20" s="7">
        <f t="array" ref="BG20">PRODUCT(1 + 預測IC!$C20:BG20) - 1</f>
        <v>-0.94107961248018457</v>
      </c>
      <c r="BH20" s="7">
        <f t="array" ref="BH20">PRODUCT(1 + 預測IC!$C20:BH20) - 1</f>
        <v>-0.94413753801220723</v>
      </c>
      <c r="BI20" s="7">
        <f t="array" ref="BI20">PRODUCT(1 + 預測IC!$C20:BI20) - 1</f>
        <v>-0.95052014079619207</v>
      </c>
      <c r="BJ20" s="7">
        <f t="array" ref="BJ20">PRODUCT(1 + 預測IC!$C20:BJ20) - 1</f>
        <v>-0.9529515703804794</v>
      </c>
      <c r="BK20" s="7">
        <f t="array" ref="BK20">PRODUCT(1 + 預測IC!$C20:BK20) - 1</f>
        <v>-0.95777865853160338</v>
      </c>
      <c r="BL20" s="7">
        <f t="array" ref="BL20">PRODUCT(1 + 預測IC!$C20:BL20) - 1</f>
        <v>-0.96072821788442642</v>
      </c>
      <c r="BM20" s="7">
        <f t="array" ref="BM20">PRODUCT(1 + 預測IC!$C20:BM20) - 1</f>
        <v>-0.96259239249486994</v>
      </c>
      <c r="BN20" s="7">
        <f t="array" ref="BN20">PRODUCT(1 + 預測IC!$C20:BN20) - 1</f>
        <v>-0.96579690140489327</v>
      </c>
      <c r="BO20" s="7">
        <f t="array" ref="BO20">PRODUCT(1 + 預測IC!$C20:BO20) - 1</f>
        <v>-0.96130882415077701</v>
      </c>
      <c r="BP20" s="7">
        <f t="array" ref="BP20">PRODUCT(1 + 預測IC!$C20:BP20) - 1</f>
        <v>-0.96159058286962174</v>
      </c>
      <c r="BQ20" s="7">
        <f t="array" ref="BQ20">PRODUCT(1 + 預測IC!$C20:BQ20) - 1</f>
        <v>-0.95741930989246771</v>
      </c>
      <c r="BR20" s="7">
        <f t="array" ref="BR20">PRODUCT(1 + 預測IC!$C20:BR20) - 1</f>
        <v>-0.96513182601869429</v>
      </c>
      <c r="BS20" s="7">
        <f t="array" ref="BS20">PRODUCT(1 + 預測IC!$C20:BS20) - 1</f>
        <v>-0.96399734821573391</v>
      </c>
      <c r="BT20" s="7">
        <f t="array" ref="BT20">PRODUCT(1 + 預測IC!$C20:BT20) - 1</f>
        <v>-0.96747270223751858</v>
      </c>
      <c r="BU20" s="7">
        <f t="array" ref="BU20">PRODUCT(1 + 預測IC!$C20:BU20) - 1</f>
        <v>-0.9642604705939164</v>
      </c>
      <c r="BV20" s="7">
        <f t="array" ref="BV20">PRODUCT(1 + 預測IC!$C20:BV20) - 1</f>
        <v>-0.96717479482859259</v>
      </c>
      <c r="BW20" s="7">
        <f t="array" ref="BW20">PRODUCT(1 + 預測IC!$C20:BW20) - 1</f>
        <v>-0.95562591766288985</v>
      </c>
      <c r="BX20" s="7">
        <f t="array" ref="BX20">PRODUCT(1 + 預測IC!$C20:BX20) - 1</f>
        <v>-0.9581990827604363</v>
      </c>
      <c r="BY20" s="7">
        <f t="array" ref="BY20">PRODUCT(1 + 預測IC!$C20:BY20) - 1</f>
        <v>-0.9583930122282962</v>
      </c>
      <c r="BZ20" s="7">
        <f t="array" ref="BZ20">PRODUCT(1 + 預測IC!$C20:BZ20) - 1</f>
        <v>-0.95863100661661904</v>
      </c>
      <c r="CA20" s="7">
        <f t="array" ref="CA20">PRODUCT(1 + 預測IC!$C20:CA20) - 1</f>
        <v>-0.95963414408981107</v>
      </c>
      <c r="CB20" s="7">
        <f t="array" ref="CB20">PRODUCT(1 + 預測IC!$C20:CB20) - 1</f>
        <v>-0.9596297944629294</v>
      </c>
      <c r="CC20" s="7">
        <f t="array" ref="CC20">PRODUCT(1 + 預測IC!$C20:CC20) - 1</f>
        <v>-0.96068115708956059</v>
      </c>
      <c r="CD20" s="7">
        <f t="array" ref="CD20">PRODUCT(1 + 預測IC!$C20:CD20) - 1</f>
        <v>-0.95356336535325781</v>
      </c>
      <c r="CE20" s="7">
        <f t="array" ref="CE20">PRODUCT(1 + 預測IC!$C20:CE20) - 1</f>
        <v>-0.95884639039704989</v>
      </c>
      <c r="CF20" s="7">
        <f t="array" ref="CF20">PRODUCT(1 + 預測IC!$C20:CF20) - 1</f>
        <v>-0.96319982043220953</v>
      </c>
      <c r="CG20" s="7">
        <f t="array" ref="CG20">PRODUCT(1 + 預測IC!$C20:CG20) - 1</f>
        <v>-0.96599553893336421</v>
      </c>
      <c r="CH20" s="7">
        <f t="array" ref="CH20">PRODUCT(1 + 預測IC!$C20:CH20) - 1</f>
        <v>-0.96524080213214791</v>
      </c>
      <c r="CI20" s="7">
        <f t="array" ref="CI20">PRODUCT(1 + 預測IC!$C20:CI20) - 1</f>
        <v>-0.96227903336374321</v>
      </c>
      <c r="CJ20" s="7">
        <f t="array" ref="CJ20">PRODUCT(1 + 預測IC!$C20:CJ20) - 1</f>
        <v>-0.96071323661263708</v>
      </c>
      <c r="CK20" s="7">
        <f t="array" ref="CK20">PRODUCT(1 + 預測IC!$C20:CK20) - 1</f>
        <v>-0.96387934209986881</v>
      </c>
      <c r="CL20" s="7">
        <f t="array" ref="CL20">PRODUCT(1 + 預測IC!$C20:CL20) - 1</f>
        <v>-0.96927263133377495</v>
      </c>
      <c r="CM20" s="7">
        <f t="array" ref="CM20">PRODUCT(1 + 預測IC!$C20:CM20) - 1</f>
        <v>-0.96683119663939965</v>
      </c>
      <c r="CN20" s="7">
        <f t="array" ref="CN20">PRODUCT(1 + 預測IC!$C20:CN20) - 1</f>
        <v>-0.96003517969916508</v>
      </c>
      <c r="CO20" s="7">
        <f t="array" ref="CO20">PRODUCT(1 + 預測IC!$C20:CO20) - 1</f>
        <v>-0.9691678686247851</v>
      </c>
      <c r="CP20" s="7">
        <f t="array" ref="CP20">PRODUCT(1 + 預測IC!$C20:CP20) - 1</f>
        <v>-0.96433768363926675</v>
      </c>
      <c r="CQ20" s="7">
        <f t="array" ref="CQ20">PRODUCT(1 + 預測IC!$C20:CQ20) - 1</f>
        <v>-0.96351324059412635</v>
      </c>
      <c r="CR20" s="7">
        <f t="array" ref="CR20">PRODUCT(1 + 預測IC!$C20:CR20) - 1</f>
        <v>-0.96258784323314217</v>
      </c>
      <c r="CS20" s="7">
        <f t="array" ref="CS20">PRODUCT(1 + 預測IC!$C20:CS20) - 1</f>
        <v>-0.96622195159886837</v>
      </c>
      <c r="CT20" s="7">
        <f t="array" ref="CT20">PRODUCT(1 + 預測IC!$C20:CT20) - 1</f>
        <v>-0.96561135558721378</v>
      </c>
      <c r="CU20" s="7">
        <f t="array" ref="CU20">PRODUCT(1 + 預測IC!$C20:CU20) - 1</f>
        <v>-0.9605655782578536</v>
      </c>
      <c r="CV20" s="7">
        <f t="array" ref="CV20">PRODUCT(1 + 預測IC!$C20:CV20) - 1</f>
        <v>-0.96526671846741485</v>
      </c>
      <c r="CW20" s="7">
        <f t="array" ref="CW20">PRODUCT(1 + 預測IC!$C20:CW20) - 1</f>
        <v>-0.96492101593085844</v>
      </c>
      <c r="CX20" s="7">
        <f t="array" ref="CX20">PRODUCT(1 + 預測IC!$C20:CX20) - 1</f>
        <v>-0.970012877379275</v>
      </c>
      <c r="CY20" s="7">
        <f t="array" ref="CY20">PRODUCT(1 + 預測IC!$C20:CY20) - 1</f>
        <v>-0.966985177851858</v>
      </c>
      <c r="CZ20" s="7">
        <f t="array" ref="CZ20">PRODUCT(1 + 預測IC!$C20:CZ20) - 1</f>
        <v>-0.96655391731810691</v>
      </c>
      <c r="DA20" s="7">
        <f t="array" ref="DA20">PRODUCT(1 + 預測IC!$C20:DA20) - 1</f>
        <v>-0.96814166618164088</v>
      </c>
      <c r="DB20" s="7">
        <f t="array" ref="DB20">PRODUCT(1 + 預測IC!$C20:DB20) - 1</f>
        <v>-0.98032715774364521</v>
      </c>
      <c r="DC20" s="7">
        <f t="array" ref="DC20">PRODUCT(1 + 預測IC!$C20:DC20) - 1</f>
        <v>-0.97959272507555428</v>
      </c>
      <c r="DD20" s="7">
        <f t="array" ref="DD20">PRODUCT(1 + 預測IC!$C20:DD20) - 1</f>
        <v>-0.97966613381384338</v>
      </c>
      <c r="DE20" s="7">
        <f t="array" ref="DE20">PRODUCT(1 + 預測IC!$C20:DE20) - 1</f>
        <v>-0.9794542809228588</v>
      </c>
      <c r="DF20" s="7">
        <f t="array" ref="DF20">PRODUCT(1 + 預測IC!$C20:DF20) - 1</f>
        <v>-0.97440878228863337</v>
      </c>
      <c r="DG20" s="7">
        <f t="array" ref="DG20">PRODUCT(1 + 預測IC!$C20:DG20) - 1</f>
        <v>-0.97123359525184227</v>
      </c>
      <c r="DH20" s="7">
        <f t="array" ref="DH20">PRODUCT(1 + 預測IC!$C20:DH20) - 1</f>
        <v>-0.97261606298832426</v>
      </c>
      <c r="DI20" s="7">
        <f t="array" ref="DI20">PRODUCT(1 + 預測IC!$C20:DI20) - 1</f>
        <v>-0.97464927473339991</v>
      </c>
      <c r="DJ20" s="7">
        <f t="array" ref="DJ20">PRODUCT(1 + 預測IC!$C20:DJ20) - 1</f>
        <v>-0.97118742804920766</v>
      </c>
      <c r="DK20" s="7">
        <f t="array" ref="DK20">PRODUCT(1 + 預測IC!$C20:DK20) - 1</f>
        <v>-0.97058911601991671</v>
      </c>
      <c r="DL20" s="7">
        <f t="array" ref="DL20">PRODUCT(1 + 預測IC!$C20:DL20) - 1</f>
        <v>-0.97001662218317253</v>
      </c>
      <c r="DM20" s="7">
        <f t="array" ref="DM20">PRODUCT(1 + 預測IC!$C20:DM20) - 1</f>
        <v>-0.97130185290029603</v>
      </c>
      <c r="DN20" s="7">
        <f t="array" ref="DN20">PRODUCT(1 + 預測IC!$C20:DN20) - 1</f>
        <v>-0.96604335556106069</v>
      </c>
      <c r="DO20" s="7">
        <f t="array" ref="DO20">PRODUCT(1 + 預測IC!$C20:DO20) - 1</f>
        <v>-0.96773510460896817</v>
      </c>
      <c r="DP20" s="7">
        <f t="array" ref="DP20">PRODUCT(1 + 預測IC!$C20:DP20) - 1</f>
        <v>-0.97419309877326499</v>
      </c>
      <c r="DQ20" s="7">
        <f t="array" ref="DQ20">PRODUCT(1 + 預測IC!$C20:DQ20) - 1</f>
        <v>-0.97271022954160613</v>
      </c>
      <c r="DR20" s="7">
        <f t="array" ref="DR20">PRODUCT(1 + 預測IC!$C20:DR20) - 1</f>
        <v>-0.97056763707135618</v>
      </c>
      <c r="DS20" s="7">
        <f t="array" ref="DS20">PRODUCT(1 + 預測IC!$C20:DS20) - 1</f>
        <v>-0.97262180285160937</v>
      </c>
      <c r="DT20" s="7">
        <f t="array" ref="DT20">PRODUCT(1 + 預測IC!$C20:DT20) - 1</f>
        <v>-0.97343453390966084</v>
      </c>
      <c r="DU20" s="7">
        <f t="array" ref="DU20">PRODUCT(1 + 預測IC!$C20:DU20) - 1</f>
        <v>-0.9661916102636523</v>
      </c>
      <c r="DV20" s="7">
        <f t="array" ref="DV20">PRODUCT(1 + 預測IC!$C20:DV20) - 1</f>
        <v>-0.96964149209461648</v>
      </c>
      <c r="DW20" s="7">
        <f t="array" ref="DW20">PRODUCT(1 + 預測IC!$C20:DW20) - 1</f>
        <v>-0.96775060053185968</v>
      </c>
      <c r="DX20" s="7">
        <f t="array" ref="DX20">PRODUCT(1 + 預測IC!$C20:DX20) - 1</f>
        <v>-0.97090624355618804</v>
      </c>
      <c r="DY20" s="7">
        <f t="array" ref="DY20">PRODUCT(1 + 預測IC!$C20:DY20) - 1</f>
        <v>-0.96545402035590311</v>
      </c>
      <c r="DZ20" s="7">
        <f t="array" ref="DZ20">PRODUCT(1 + 預測IC!$C20:DZ20) - 1</f>
        <v>-0.9648282155641561</v>
      </c>
      <c r="EA20" s="7">
        <f t="array" ref="EA20">PRODUCT(1 + 預測IC!$C20:EA20) - 1</f>
        <v>-0.96503662946445101</v>
      </c>
      <c r="EB20" s="7">
        <f t="array" ref="EB20">PRODUCT(1 + 預測IC!$C20:EB20) - 1</f>
        <v>-0.96215539800839101</v>
      </c>
      <c r="EC20" s="7">
        <f t="array" ref="EC20">PRODUCT(1 + 預測IC!$C20:EC20) - 1</f>
        <v>-0.96086680515179945</v>
      </c>
      <c r="ED20" s="7">
        <f t="array" ref="ED20">PRODUCT(1 + 預測IC!$C20:ED20) - 1</f>
        <v>-0.96779020541425653</v>
      </c>
      <c r="EE20" s="7">
        <f t="array" ref="EE20">PRODUCT(1 + 預測IC!$C20:EE20) - 1</f>
        <v>-0.96843496778919569</v>
      </c>
      <c r="EF20" s="7">
        <f t="array" ref="EF20">PRODUCT(1 + 預測IC!$C20:EF20) - 1</f>
        <v>-0.97504915963967209</v>
      </c>
    </row>
    <row r="21" spans="1:136" x14ac:dyDescent="0.3">
      <c r="A21" s="1">
        <v>4</v>
      </c>
      <c r="B21" s="1" t="s">
        <v>159</v>
      </c>
      <c r="C21" s="7">
        <f t="array" ref="C21">PRODUCT(1 + 預測IC!$C21:C21) - 1</f>
        <v>1.0384834477426885E-2</v>
      </c>
      <c r="D21" s="7">
        <f t="array" ref="D21">PRODUCT(1 + 預測IC!$C21:D21) - 1</f>
        <v>-0.31799860437342253</v>
      </c>
      <c r="E21" s="7">
        <f t="array" ref="E21">PRODUCT(1 + 預測IC!$C21:E21) - 1</f>
        <v>-0.34781403781477382</v>
      </c>
      <c r="F21" s="7">
        <f t="array" ref="F21">PRODUCT(1 + 預測IC!$C21:F21) - 1</f>
        <v>-0.46784141723877193</v>
      </c>
      <c r="G21" s="7">
        <f t="array" ref="G21">PRODUCT(1 + 預測IC!$C21:G21) - 1</f>
        <v>-0.54438825251616063</v>
      </c>
      <c r="H21" s="7">
        <f t="array" ref="H21">PRODUCT(1 + 預測IC!$C21:H21) - 1</f>
        <v>-0.56163045858293392</v>
      </c>
      <c r="I21" s="7">
        <f t="array" ref="I21">PRODUCT(1 + 預測IC!$C21:I21) - 1</f>
        <v>-0.66654239960032391</v>
      </c>
      <c r="J21" s="7">
        <f t="array" ref="J21">PRODUCT(1 + 預測IC!$C21:J21) - 1</f>
        <v>-0.69674253379904028</v>
      </c>
      <c r="K21" s="7">
        <f t="array" ref="K21">PRODUCT(1 + 預測IC!$C21:K21) - 1</f>
        <v>-0.75948044629241873</v>
      </c>
      <c r="L21" s="7">
        <f t="array" ref="L21">PRODUCT(1 + 預測IC!$C21:L21) - 1</f>
        <v>-0.74571643417766675</v>
      </c>
      <c r="M21" s="7">
        <f t="array" ref="M21">PRODUCT(1 + 預測IC!$C21:M21) - 1</f>
        <v>-0.72036828030827726</v>
      </c>
      <c r="N21" s="7">
        <f t="array" ref="N21">PRODUCT(1 + 預測IC!$C21:N21) - 1</f>
        <v>-0.75925125992352904</v>
      </c>
      <c r="O21" s="7">
        <f t="array" ref="O21">PRODUCT(1 + 預測IC!$C21:O21) - 1</f>
        <v>-0.7509810617417475</v>
      </c>
      <c r="P21" s="7">
        <f t="array" ref="P21">PRODUCT(1 + 預測IC!$C21:P21) - 1</f>
        <v>-0.74104726726983228</v>
      </c>
      <c r="Q21" s="7">
        <f t="array" ref="Q21">PRODUCT(1 + 預測IC!$C21:Q21) - 1</f>
        <v>-0.76207302996155291</v>
      </c>
      <c r="R21" s="7">
        <f t="array" ref="R21">PRODUCT(1 + 預測IC!$C21:R21) - 1</f>
        <v>-0.72812273316730192</v>
      </c>
      <c r="S21" s="7">
        <f t="array" ref="S21">PRODUCT(1 + 預測IC!$C21:S21) - 1</f>
        <v>-0.67125702664300779</v>
      </c>
      <c r="T21" s="7">
        <f t="array" ref="T21">PRODUCT(1 + 預測IC!$C21:T21) - 1</f>
        <v>-0.70362560970678056</v>
      </c>
      <c r="U21" s="7">
        <f t="array" ref="U21">PRODUCT(1 + 預測IC!$C21:U21) - 1</f>
        <v>-0.72739949949834171</v>
      </c>
      <c r="V21" s="7">
        <f t="array" ref="V21">PRODUCT(1 + 預測IC!$C21:V21) - 1</f>
        <v>-0.75612362424472512</v>
      </c>
      <c r="W21" s="7">
        <f t="array" ref="W21">PRODUCT(1 + 預測IC!$C21:W21) - 1</f>
        <v>-0.834876317315705</v>
      </c>
      <c r="X21" s="7">
        <f t="array" ref="X21">PRODUCT(1 + 預測IC!$C21:X21) - 1</f>
        <v>-0.79960078940348034</v>
      </c>
      <c r="Y21" s="7">
        <f t="array" ref="Y21">PRODUCT(1 + 預測IC!$C21:Y21) - 1</f>
        <v>-0.78101792612543308</v>
      </c>
      <c r="Z21" s="7">
        <f t="array" ref="Z21">PRODUCT(1 + 預測IC!$C21:Z21) - 1</f>
        <v>-0.80497022941358765</v>
      </c>
      <c r="AA21" s="7">
        <f t="array" ref="AA21">PRODUCT(1 + 預測IC!$C21:AA21) - 1</f>
        <v>-0.8265475249749008</v>
      </c>
      <c r="AB21" s="7">
        <f t="array" ref="AB21">PRODUCT(1 + 預測IC!$C21:AB21) - 1</f>
        <v>-0.82273921216581825</v>
      </c>
      <c r="AC21" s="7">
        <f t="array" ref="AC21">PRODUCT(1 + 預測IC!$C21:AC21) - 1</f>
        <v>-0.81940179272403624</v>
      </c>
      <c r="AD21" s="7">
        <f t="array" ref="AD21">PRODUCT(1 + 預測IC!$C21:AD21) - 1</f>
        <v>-0.81471828957010672</v>
      </c>
      <c r="AE21" s="7">
        <f t="array" ref="AE21">PRODUCT(1 + 預測IC!$C21:AE21) - 1</f>
        <v>-0.85927040900560381</v>
      </c>
      <c r="AF21" s="7">
        <f t="array" ref="AF21">PRODUCT(1 + 預測IC!$C21:AF21) - 1</f>
        <v>-0.90080593973001999</v>
      </c>
      <c r="AG21" s="7">
        <f t="array" ref="AG21">PRODUCT(1 + 預測IC!$C21:AG21) - 1</f>
        <v>-0.9019016940693233</v>
      </c>
      <c r="AH21" s="7">
        <f t="array" ref="AH21">PRODUCT(1 + 預測IC!$C21:AH21) - 1</f>
        <v>-0.92547974507775932</v>
      </c>
      <c r="AI21" s="7">
        <f t="array" ref="AI21">PRODUCT(1 + 預測IC!$C21:AI21) - 1</f>
        <v>-0.93052697814151186</v>
      </c>
      <c r="AJ21" s="7">
        <f t="array" ref="AJ21">PRODUCT(1 + 預測IC!$C21:AJ21) - 1</f>
        <v>-0.93601125935443119</v>
      </c>
      <c r="AK21" s="7">
        <f t="array" ref="AK21">PRODUCT(1 + 預測IC!$C21:AK21) - 1</f>
        <v>-0.93718342871161897</v>
      </c>
      <c r="AL21" s="7">
        <f t="array" ref="AL21">PRODUCT(1 + 預測IC!$C21:AL21) - 1</f>
        <v>-0.93953223366598126</v>
      </c>
      <c r="AM21" s="7">
        <f t="array" ref="AM21">PRODUCT(1 + 預測IC!$C21:AM21) - 1</f>
        <v>-0.94334930483212498</v>
      </c>
      <c r="AN21" s="7">
        <f t="array" ref="AN21">PRODUCT(1 + 預測IC!$C21:AN21) - 1</f>
        <v>-0.94458366850292907</v>
      </c>
      <c r="AO21" s="7">
        <f t="array" ref="AO21">PRODUCT(1 + 預測IC!$C21:AO21) - 1</f>
        <v>-0.93984181632283437</v>
      </c>
      <c r="AP21" s="7">
        <f t="array" ref="AP21">PRODUCT(1 + 預測IC!$C21:AP21) - 1</f>
        <v>-0.92852598943620723</v>
      </c>
      <c r="AQ21" s="7">
        <f t="array" ref="AQ21">PRODUCT(1 + 預測IC!$C21:AQ21) - 1</f>
        <v>-0.92587886451164814</v>
      </c>
      <c r="AR21" s="7">
        <f t="array" ref="AR21">PRODUCT(1 + 預測IC!$C21:AR21) - 1</f>
        <v>-0.92841365173772272</v>
      </c>
      <c r="AS21" s="7">
        <f t="array" ref="AS21">PRODUCT(1 + 預測IC!$C21:AS21) - 1</f>
        <v>-0.92516315318234044</v>
      </c>
      <c r="AT21" s="7">
        <f t="array" ref="AT21">PRODUCT(1 + 預測IC!$C21:AT21) - 1</f>
        <v>-0.94498281329391576</v>
      </c>
      <c r="AU21" s="7">
        <f t="array" ref="AU21">PRODUCT(1 + 預測IC!$C21:AU21) - 1</f>
        <v>-0.94847394701074572</v>
      </c>
      <c r="AV21" s="7">
        <f t="array" ref="AV21">PRODUCT(1 + 預測IC!$C21:AV21) - 1</f>
        <v>-0.94493339030404799</v>
      </c>
      <c r="AW21" s="7">
        <f t="array" ref="AW21">PRODUCT(1 + 預測IC!$C21:AW21) - 1</f>
        <v>-0.95942994603454534</v>
      </c>
      <c r="AX21" s="7">
        <f t="array" ref="AX21">PRODUCT(1 + 預測IC!$C21:AX21) - 1</f>
        <v>-0.96826278931692866</v>
      </c>
      <c r="AY21" s="7">
        <f t="array" ref="AY21">PRODUCT(1 + 預測IC!$C21:AY21) - 1</f>
        <v>-0.96617694700242818</v>
      </c>
      <c r="AZ21" s="7">
        <f t="array" ref="AZ21">PRODUCT(1 + 預測IC!$C21:AZ21) - 1</f>
        <v>-0.96932449982196156</v>
      </c>
      <c r="BA21" s="7">
        <f t="array" ref="BA21">PRODUCT(1 + 預測IC!$C21:BA21) - 1</f>
        <v>-0.96991632861622556</v>
      </c>
      <c r="BB21" s="7">
        <f t="array" ref="BB21">PRODUCT(1 + 預測IC!$C21:BB21) - 1</f>
        <v>-0.95774954643499743</v>
      </c>
      <c r="BC21" s="7">
        <f t="array" ref="BC21">PRODUCT(1 + 預測IC!$C21:BC21) - 1</f>
        <v>-0.95080101436746289</v>
      </c>
      <c r="BD21" s="7">
        <f t="array" ref="BD21">PRODUCT(1 + 預測IC!$C21:BD21) - 1</f>
        <v>-0.95229115222627148</v>
      </c>
      <c r="BE21" s="7">
        <f t="array" ref="BE21">PRODUCT(1 + 預測IC!$C21:BE21) - 1</f>
        <v>-0.95881511559504884</v>
      </c>
      <c r="BF21" s="7">
        <f t="array" ref="BF21">PRODUCT(1 + 預測IC!$C21:BF21) - 1</f>
        <v>-0.95866779313761274</v>
      </c>
      <c r="BG21" s="7">
        <f t="array" ref="BG21">PRODUCT(1 + 預測IC!$C21:BG21) - 1</f>
        <v>-0.95715357991846073</v>
      </c>
      <c r="BH21" s="7">
        <f t="array" ref="BH21">PRODUCT(1 + 預測IC!$C21:BH21) - 1</f>
        <v>-0.96006356868668763</v>
      </c>
      <c r="BI21" s="7">
        <f t="array" ref="BI21">PRODUCT(1 + 預測IC!$C21:BI21) - 1</f>
        <v>-0.96620877292121121</v>
      </c>
      <c r="BJ21" s="7">
        <f t="array" ref="BJ21">PRODUCT(1 + 預測IC!$C21:BJ21) - 1</f>
        <v>-0.96728950132822378</v>
      </c>
      <c r="BK21" s="7">
        <f t="array" ref="BK21">PRODUCT(1 + 預測IC!$C21:BK21) - 1</f>
        <v>-0.97000359483002185</v>
      </c>
      <c r="BL21" s="7">
        <f t="array" ref="BL21">PRODUCT(1 + 預測IC!$C21:BL21) - 1</f>
        <v>-0.97262350456875701</v>
      </c>
      <c r="BM21" s="7">
        <f t="array" ref="BM21">PRODUCT(1 + 預測IC!$C21:BM21) - 1</f>
        <v>-0.97374033653033853</v>
      </c>
      <c r="BN21" s="7">
        <f t="array" ref="BN21">PRODUCT(1 + 預測IC!$C21:BN21) - 1</f>
        <v>-0.97868365259741885</v>
      </c>
      <c r="BO21" s="7">
        <f t="array" ref="BO21">PRODUCT(1 + 預測IC!$C21:BO21) - 1</f>
        <v>-0.97505840762902452</v>
      </c>
      <c r="BP21" s="7">
        <f t="array" ref="BP21">PRODUCT(1 + 預測IC!$C21:BP21) - 1</f>
        <v>-0.97495413176148626</v>
      </c>
      <c r="BQ21" s="7">
        <f t="array" ref="BQ21">PRODUCT(1 + 預測IC!$C21:BQ21) - 1</f>
        <v>-0.97312851981564075</v>
      </c>
      <c r="BR21" s="7">
        <f t="array" ref="BR21">PRODUCT(1 + 預測IC!$C21:BR21) - 1</f>
        <v>-0.97694592141309011</v>
      </c>
      <c r="BS21" s="7">
        <f t="array" ref="BS21">PRODUCT(1 + 預測IC!$C21:BS21) - 1</f>
        <v>-0.97543030430622368</v>
      </c>
      <c r="BT21" s="7">
        <f t="array" ref="BT21">PRODUCT(1 + 預測IC!$C21:BT21) - 1</f>
        <v>-0.97771411165655642</v>
      </c>
      <c r="BU21" s="7">
        <f t="array" ref="BU21">PRODUCT(1 + 預測IC!$C21:BU21) - 1</f>
        <v>-0.97469445262906751</v>
      </c>
      <c r="BV21" s="7">
        <f t="array" ref="BV21">PRODUCT(1 + 預測IC!$C21:BV21) - 1</f>
        <v>-0.97581650009442811</v>
      </c>
      <c r="BW21" s="7">
        <f t="array" ref="BW21">PRODUCT(1 + 預測IC!$C21:BW21) - 1</f>
        <v>-0.97135559548147943</v>
      </c>
      <c r="BX21" s="7">
        <f t="array" ref="BX21">PRODUCT(1 + 預測IC!$C21:BX21) - 1</f>
        <v>-0.97388716889821425</v>
      </c>
      <c r="BY21" s="7">
        <f t="array" ref="BY21">PRODUCT(1 + 預測IC!$C21:BY21) - 1</f>
        <v>-0.97534077338559844</v>
      </c>
      <c r="BZ21" s="7">
        <f t="array" ref="BZ21">PRODUCT(1 + 預測IC!$C21:BZ21) - 1</f>
        <v>-0.97407086750257144</v>
      </c>
      <c r="CA21" s="7">
        <f t="array" ref="CA21">PRODUCT(1 + 預測IC!$C21:CA21) - 1</f>
        <v>-0.9750582213695872</v>
      </c>
      <c r="CB21" s="7">
        <f t="array" ref="CB21">PRODUCT(1 + 預測IC!$C21:CB21) - 1</f>
        <v>-0.97689059655778487</v>
      </c>
      <c r="CC21" s="7">
        <f t="array" ref="CC21">PRODUCT(1 + 預測IC!$C21:CC21) - 1</f>
        <v>-0.97796965663061208</v>
      </c>
      <c r="CD21" s="7">
        <f t="array" ref="CD21">PRODUCT(1 + 預測IC!$C21:CD21) - 1</f>
        <v>-0.9716236826230723</v>
      </c>
      <c r="CE21" s="7">
        <f t="array" ref="CE21">PRODUCT(1 + 預測IC!$C21:CE21) - 1</f>
        <v>-0.97574888863928921</v>
      </c>
      <c r="CF21" s="7">
        <f t="array" ref="CF21">PRODUCT(1 + 預測IC!$C21:CF21) - 1</f>
        <v>-0.97852627524123204</v>
      </c>
      <c r="CG21" s="7">
        <f t="array" ref="CG21">PRODUCT(1 + 預測IC!$C21:CG21) - 1</f>
        <v>-0.98035337431621095</v>
      </c>
      <c r="CH21" s="7">
        <f t="array" ref="CH21">PRODUCT(1 + 預測IC!$C21:CH21) - 1</f>
        <v>-0.97727619326502868</v>
      </c>
      <c r="CI21" s="7">
        <f t="array" ref="CI21">PRODUCT(1 + 預測IC!$C21:CI21) - 1</f>
        <v>-0.97561320311863819</v>
      </c>
      <c r="CJ21" s="7">
        <f t="array" ref="CJ21">PRODUCT(1 + 預測IC!$C21:CJ21) - 1</f>
        <v>-0.97426849444491137</v>
      </c>
      <c r="CK21" s="7">
        <f t="array" ref="CK21">PRODUCT(1 + 預測IC!$C21:CK21) - 1</f>
        <v>-0.97599661284497263</v>
      </c>
      <c r="CL21" s="7">
        <f t="array" ref="CL21">PRODUCT(1 + 預測IC!$C21:CL21) - 1</f>
        <v>-0.98049564262698996</v>
      </c>
      <c r="CM21" s="7">
        <f t="array" ref="CM21">PRODUCT(1 + 預測IC!$C21:CM21) - 1</f>
        <v>-0.97926697864640588</v>
      </c>
      <c r="CN21" s="7">
        <f t="array" ref="CN21">PRODUCT(1 + 預測IC!$C21:CN21) - 1</f>
        <v>-0.97759068258737503</v>
      </c>
      <c r="CO21" s="7">
        <f t="array" ref="CO21">PRODUCT(1 + 預測IC!$C21:CO21) - 1</f>
        <v>-0.98291943857090458</v>
      </c>
      <c r="CP21" s="7">
        <f t="array" ref="CP21">PRODUCT(1 + 預測IC!$C21:CP21) - 1</f>
        <v>-0.98124029458972384</v>
      </c>
      <c r="CQ21" s="7">
        <f t="array" ref="CQ21">PRODUCT(1 + 預測IC!$C21:CQ21) - 1</f>
        <v>-0.9808104685768011</v>
      </c>
      <c r="CR21" s="7">
        <f t="array" ref="CR21">PRODUCT(1 + 預測IC!$C21:CR21) - 1</f>
        <v>-0.98058756703146488</v>
      </c>
      <c r="CS21" s="7">
        <f t="array" ref="CS21">PRODUCT(1 + 預測IC!$C21:CS21) - 1</f>
        <v>-0.98177694809011939</v>
      </c>
      <c r="CT21" s="7">
        <f t="array" ref="CT21">PRODUCT(1 + 預測IC!$C21:CT21) - 1</f>
        <v>-0.98020844341823576</v>
      </c>
      <c r="CU21" s="7">
        <f t="array" ref="CU21">PRODUCT(1 + 預測IC!$C21:CU21) - 1</f>
        <v>-0.9770632360958571</v>
      </c>
      <c r="CV21" s="7">
        <f t="array" ref="CV21">PRODUCT(1 + 預測IC!$C21:CV21) - 1</f>
        <v>-0.98060310918234228</v>
      </c>
      <c r="CW21" s="7">
        <f t="array" ref="CW21">PRODUCT(1 + 預測IC!$C21:CW21) - 1</f>
        <v>-0.97934220620078671</v>
      </c>
      <c r="CX21" s="7">
        <f t="array" ref="CX21">PRODUCT(1 + 預測IC!$C21:CX21) - 1</f>
        <v>-0.98258483627318705</v>
      </c>
      <c r="CY21" s="7">
        <f t="array" ref="CY21">PRODUCT(1 + 預測IC!$C21:CY21) - 1</f>
        <v>-0.97992985439939462</v>
      </c>
      <c r="CZ21" s="7">
        <f t="array" ref="CZ21">PRODUCT(1 + 預測IC!$C21:CZ21) - 1</f>
        <v>-0.97965193895055014</v>
      </c>
      <c r="DA21" s="7">
        <f t="array" ref="DA21">PRODUCT(1 + 預測IC!$C21:DA21) - 1</f>
        <v>-0.97962767884338198</v>
      </c>
      <c r="DB21" s="7">
        <f t="array" ref="DB21">PRODUCT(1 + 預測IC!$C21:DB21) - 1</f>
        <v>-0.98925055972495535</v>
      </c>
      <c r="DC21" s="7">
        <f t="array" ref="DC21">PRODUCT(1 + 預測IC!$C21:DC21) - 1</f>
        <v>-0.98759616931908556</v>
      </c>
      <c r="DD21" s="7">
        <f t="array" ref="DD21">PRODUCT(1 + 預測IC!$C21:DD21) - 1</f>
        <v>-0.98763113316743667</v>
      </c>
      <c r="DE21" s="7">
        <f t="array" ref="DE21">PRODUCT(1 + 預測IC!$C21:DE21) - 1</f>
        <v>-0.98727271139662842</v>
      </c>
      <c r="DF21" s="7">
        <f t="array" ref="DF21">PRODUCT(1 + 預測IC!$C21:DF21) - 1</f>
        <v>-0.98343988573958463</v>
      </c>
      <c r="DG21" s="7">
        <f t="array" ref="DG21">PRODUCT(1 + 預測IC!$C21:DG21) - 1</f>
        <v>-0.98098592634837145</v>
      </c>
      <c r="DH21" s="7">
        <f t="array" ref="DH21">PRODUCT(1 + 預測IC!$C21:DH21) - 1</f>
        <v>-0.98078902474913043</v>
      </c>
      <c r="DI21" s="7">
        <f t="array" ref="DI21">PRODUCT(1 + 預測IC!$C21:DI21) - 1</f>
        <v>-0.98252087885142814</v>
      </c>
      <c r="DJ21" s="7">
        <f t="array" ref="DJ21">PRODUCT(1 + 預測IC!$C21:DJ21) - 1</f>
        <v>-0.97978354852584293</v>
      </c>
      <c r="DK21" s="7">
        <f t="array" ref="DK21">PRODUCT(1 + 預測IC!$C21:DK21) - 1</f>
        <v>-0.97935968914774252</v>
      </c>
      <c r="DL21" s="7">
        <f t="array" ref="DL21">PRODUCT(1 + 預測IC!$C21:DL21) - 1</f>
        <v>-0.97909679368383906</v>
      </c>
      <c r="DM21" s="7">
        <f t="array" ref="DM21">PRODUCT(1 + 預測IC!$C21:DM21) - 1</f>
        <v>-0.97900785965432513</v>
      </c>
      <c r="DN21" s="7">
        <f t="array" ref="DN21">PRODUCT(1 + 預測IC!$C21:DN21) - 1</f>
        <v>-0.97438338264375668</v>
      </c>
      <c r="DO21" s="7">
        <f t="array" ref="DO21">PRODUCT(1 + 預測IC!$C21:DO21) - 1</f>
        <v>-0.97390796873353569</v>
      </c>
      <c r="DP21" s="7">
        <f t="array" ref="DP21">PRODUCT(1 + 預測IC!$C21:DP21) - 1</f>
        <v>-0.97988356285571465</v>
      </c>
      <c r="DQ21" s="7">
        <f t="array" ref="DQ21">PRODUCT(1 + 預測IC!$C21:DQ21) - 1</f>
        <v>-0.97846690906160882</v>
      </c>
      <c r="DR21" s="7">
        <f t="array" ref="DR21">PRODUCT(1 + 預測IC!$C21:DR21) - 1</f>
        <v>-0.9773865753915062</v>
      </c>
      <c r="DS21" s="7">
        <f t="array" ref="DS21">PRODUCT(1 + 預測IC!$C21:DS21) - 1</f>
        <v>-0.9792997939858139</v>
      </c>
      <c r="DT21" s="7">
        <f t="array" ref="DT21">PRODUCT(1 + 預測IC!$C21:DT21) - 1</f>
        <v>-0.97940774950039333</v>
      </c>
      <c r="DU21" s="7">
        <f t="array" ref="DU21">PRODUCT(1 + 預測IC!$C21:DU21) - 1</f>
        <v>-0.97241036607160891</v>
      </c>
      <c r="DV21" s="7">
        <f t="array" ref="DV21">PRODUCT(1 + 預測IC!$C21:DV21) - 1</f>
        <v>-0.976683952116431</v>
      </c>
      <c r="DW21" s="7">
        <f t="array" ref="DW21">PRODUCT(1 + 預測IC!$C21:DW21) - 1</f>
        <v>-0.97382390470248026</v>
      </c>
      <c r="DX21" s="7">
        <f t="array" ref="DX21">PRODUCT(1 + 預測IC!$C21:DX21) - 1</f>
        <v>-0.9768820288573461</v>
      </c>
      <c r="DY21" s="7">
        <f t="array" ref="DY21">PRODUCT(1 + 預測IC!$C21:DY21) - 1</f>
        <v>-0.97166518400004509</v>
      </c>
      <c r="DZ21" s="7">
        <f t="array" ref="DZ21">PRODUCT(1 + 預測IC!$C21:DZ21) - 1</f>
        <v>-0.96656800499942619</v>
      </c>
      <c r="EA21" s="7">
        <f t="array" ref="EA21">PRODUCT(1 + 預測IC!$C21:EA21) - 1</f>
        <v>-0.96774034662073083</v>
      </c>
      <c r="EB21" s="7">
        <f t="array" ref="EB21">PRODUCT(1 + 預測IC!$C21:EB21) - 1</f>
        <v>-0.96689184695922381</v>
      </c>
      <c r="EC21" s="7">
        <f t="array" ref="EC21">PRODUCT(1 + 預測IC!$C21:EC21) - 1</f>
        <v>-0.96642710599079606</v>
      </c>
      <c r="ED21" s="7">
        <f t="array" ref="ED21">PRODUCT(1 + 預測IC!$C21:ED21) - 1</f>
        <v>-0.96825679031859635</v>
      </c>
      <c r="EE21" s="7">
        <f t="array" ref="EE21">PRODUCT(1 + 預測IC!$C21:EE21) - 1</f>
        <v>-0.96790901344628788</v>
      </c>
      <c r="EF21" s="7">
        <f t="array" ref="EF21">PRODUCT(1 + 預測IC!$C21:EF21) - 1</f>
        <v>-0.97364220553175329</v>
      </c>
    </row>
    <row r="22" spans="1:136" x14ac:dyDescent="0.3">
      <c r="A22" s="1">
        <v>3</v>
      </c>
      <c r="B22" s="1" t="s">
        <v>160</v>
      </c>
      <c r="C22" s="7">
        <f t="array" ref="C22">PRODUCT(1 + 預測IC!$C22:C22) - 1</f>
        <v>2.5922326608526669E-2</v>
      </c>
      <c r="D22" s="7">
        <f t="array" ref="D22">PRODUCT(1 + 預測IC!$C22:D22) - 1</f>
        <v>-0.40232014549558093</v>
      </c>
      <c r="E22" s="7">
        <f t="array" ref="E22">PRODUCT(1 + 預測IC!$C22:E22) - 1</f>
        <v>-0.41560681506025565</v>
      </c>
      <c r="F22" s="7">
        <f t="array" ref="F22">PRODUCT(1 + 預測IC!$C22:F22) - 1</f>
        <v>-0.45524682478988288</v>
      </c>
      <c r="G22" s="7">
        <f t="array" ref="G22">PRODUCT(1 + 預測IC!$C22:G22) - 1</f>
        <v>-0.5118381615469737</v>
      </c>
      <c r="H22" s="7">
        <f t="array" ref="H22">PRODUCT(1 + 預測IC!$C22:H22) - 1</f>
        <v>-0.62402045863259459</v>
      </c>
      <c r="I22" s="7">
        <f t="array" ref="I22">PRODUCT(1 + 預測IC!$C22:I22) - 1</f>
        <v>-0.71968202477764309</v>
      </c>
      <c r="J22" s="7">
        <f t="array" ref="J22">PRODUCT(1 + 預測IC!$C22:J22) - 1</f>
        <v>-0.75286558486896493</v>
      </c>
      <c r="K22" s="7">
        <f t="array" ref="K22">PRODUCT(1 + 預測IC!$C22:K22) - 1</f>
        <v>-0.81350394619291033</v>
      </c>
      <c r="L22" s="7">
        <f t="array" ref="L22">PRODUCT(1 + 預測IC!$C22:L22) - 1</f>
        <v>-0.79345801340455668</v>
      </c>
      <c r="M22" s="7">
        <f t="array" ref="M22">PRODUCT(1 + 預測IC!$C22:M22) - 1</f>
        <v>-0.77815324005924347</v>
      </c>
      <c r="N22" s="7">
        <f t="array" ref="N22">PRODUCT(1 + 預測IC!$C22:N22) - 1</f>
        <v>-0.79990106890362012</v>
      </c>
      <c r="O22" s="7">
        <f t="array" ref="O22">PRODUCT(1 + 預測IC!$C22:O22) - 1</f>
        <v>-0.80124490897509815</v>
      </c>
      <c r="P22" s="7">
        <f t="array" ref="P22">PRODUCT(1 + 預測IC!$C22:P22) - 1</f>
        <v>-0.79272656618831649</v>
      </c>
      <c r="Q22" s="7">
        <f t="array" ref="Q22">PRODUCT(1 + 預測IC!$C22:Q22) - 1</f>
        <v>-0.8112324602950548</v>
      </c>
      <c r="R22" s="7">
        <f t="array" ref="R22">PRODUCT(1 + 預測IC!$C22:R22) - 1</f>
        <v>-0.77712599215229261</v>
      </c>
      <c r="S22" s="7">
        <f t="array" ref="S22">PRODUCT(1 + 預測IC!$C22:S22) - 1</f>
        <v>-0.72206349096365563</v>
      </c>
      <c r="T22" s="7">
        <f t="array" ref="T22">PRODUCT(1 + 預測IC!$C22:T22) - 1</f>
        <v>-0.75786516585016117</v>
      </c>
      <c r="U22" s="7">
        <f t="array" ref="U22">PRODUCT(1 + 預測IC!$C22:U22) - 1</f>
        <v>-0.7946767268072108</v>
      </c>
      <c r="V22" s="7">
        <f t="array" ref="V22">PRODUCT(1 + 預測IC!$C22:V22) - 1</f>
        <v>-0.80638510878130942</v>
      </c>
      <c r="W22" s="7">
        <f t="array" ref="W22">PRODUCT(1 + 預測IC!$C22:W22) - 1</f>
        <v>-0.87341332277814276</v>
      </c>
      <c r="X22" s="7">
        <f t="array" ref="X22">PRODUCT(1 + 預測IC!$C22:X22) - 1</f>
        <v>-0.84533807390024041</v>
      </c>
      <c r="Y22" s="7">
        <f t="array" ref="Y22">PRODUCT(1 + 預測IC!$C22:Y22) - 1</f>
        <v>-0.8379238391113073</v>
      </c>
      <c r="Z22" s="7">
        <f t="array" ref="Z22">PRODUCT(1 + 預測IC!$C22:Z22) - 1</f>
        <v>-0.86225959248408712</v>
      </c>
      <c r="AA22" s="7">
        <f t="array" ref="AA22">PRODUCT(1 + 預測IC!$C22:AA22) - 1</f>
        <v>-0.87362654049323307</v>
      </c>
      <c r="AB22" s="7">
        <f t="array" ref="AB22">PRODUCT(1 + 預測IC!$C22:AB22) - 1</f>
        <v>-0.8741150029959619</v>
      </c>
      <c r="AC22" s="7">
        <f t="array" ref="AC22">PRODUCT(1 + 預測IC!$C22:AC22) - 1</f>
        <v>-0.8633170334957827</v>
      </c>
      <c r="AD22" s="7">
        <f t="array" ref="AD22">PRODUCT(1 + 預測IC!$C22:AD22) - 1</f>
        <v>-0.8607755846946874</v>
      </c>
      <c r="AE22" s="7">
        <f t="array" ref="AE22">PRODUCT(1 + 預測IC!$C22:AE22) - 1</f>
        <v>-0.89260522528453545</v>
      </c>
      <c r="AF22" s="7">
        <f t="array" ref="AF22">PRODUCT(1 + 預測IC!$C22:AF22) - 1</f>
        <v>-0.93877603973551671</v>
      </c>
      <c r="AG22" s="7">
        <f t="array" ref="AG22">PRODUCT(1 + 預測IC!$C22:AG22) - 1</f>
        <v>-0.9394379993509967</v>
      </c>
      <c r="AH22" s="7">
        <f t="array" ref="AH22">PRODUCT(1 + 預測IC!$C22:AH22) - 1</f>
        <v>-0.95443449798385227</v>
      </c>
      <c r="AI22" s="7">
        <f t="array" ref="AI22">PRODUCT(1 + 預測IC!$C22:AI22) - 1</f>
        <v>-0.95750528935075152</v>
      </c>
      <c r="AJ22" s="7">
        <f t="array" ref="AJ22">PRODUCT(1 + 預測IC!$C22:AJ22) - 1</f>
        <v>-0.9594543572523766</v>
      </c>
      <c r="AK22" s="7">
        <f t="array" ref="AK22">PRODUCT(1 + 預測IC!$C22:AK22) - 1</f>
        <v>-0.96264026229890587</v>
      </c>
      <c r="AL22" s="7">
        <f t="array" ref="AL22">PRODUCT(1 + 預測IC!$C22:AL22) - 1</f>
        <v>-0.96268302897036462</v>
      </c>
      <c r="AM22" s="7">
        <f t="array" ref="AM22">PRODUCT(1 + 預測IC!$C22:AM22) - 1</f>
        <v>-0.96478672672878396</v>
      </c>
      <c r="AN22" s="7">
        <f t="array" ref="AN22">PRODUCT(1 + 預測IC!$C22:AN22) - 1</f>
        <v>-0.96576778848401035</v>
      </c>
      <c r="AO22" s="7">
        <f t="array" ref="AO22">PRODUCT(1 + 預測IC!$C22:AO22) - 1</f>
        <v>-0.96035386580509352</v>
      </c>
      <c r="AP22" s="7">
        <f t="array" ref="AP22">PRODUCT(1 + 預測IC!$C22:AP22) - 1</f>
        <v>-0.95038702361363014</v>
      </c>
      <c r="AQ22" s="7">
        <f t="array" ref="AQ22">PRODUCT(1 + 預測IC!$C22:AQ22) - 1</f>
        <v>-0.95312202430718496</v>
      </c>
      <c r="AR22" s="7">
        <f t="array" ref="AR22">PRODUCT(1 + 預測IC!$C22:AR22) - 1</f>
        <v>-0.95819345719184401</v>
      </c>
      <c r="AS22" s="7">
        <f t="array" ref="AS22">PRODUCT(1 + 預測IC!$C22:AS22) - 1</f>
        <v>-0.96128060710929208</v>
      </c>
      <c r="AT22" s="7">
        <f t="array" ref="AT22">PRODUCT(1 + 預測IC!$C22:AT22) - 1</f>
        <v>-0.96196703887113788</v>
      </c>
      <c r="AU22" s="7">
        <f t="array" ref="AU22">PRODUCT(1 + 預測IC!$C22:AU22) - 1</f>
        <v>-0.96614741647843494</v>
      </c>
      <c r="AV22" s="7">
        <f t="array" ref="AV22">PRODUCT(1 + 預測IC!$C22:AV22) - 1</f>
        <v>-0.96310901231073243</v>
      </c>
      <c r="AW22" s="7">
        <f t="array" ref="AW22">PRODUCT(1 + 預測IC!$C22:AW22) - 1</f>
        <v>-0.97678816393611778</v>
      </c>
      <c r="AX22" s="7">
        <f t="array" ref="AX22">PRODUCT(1 + 預測IC!$C22:AX22) - 1</f>
        <v>-0.97655894273745325</v>
      </c>
      <c r="AY22" s="7">
        <f t="array" ref="AY22">PRODUCT(1 + 預測IC!$C22:AY22) - 1</f>
        <v>-0.9742510235308478</v>
      </c>
      <c r="AZ22" s="7">
        <f t="array" ref="AZ22">PRODUCT(1 + 預測IC!$C22:AZ22) - 1</f>
        <v>-0.98010854222043642</v>
      </c>
      <c r="BA22" s="7">
        <f t="array" ref="BA22">PRODUCT(1 + 預測IC!$C22:BA22) - 1</f>
        <v>-0.98108674324114642</v>
      </c>
      <c r="BB22" s="7">
        <f t="array" ref="BB22">PRODUCT(1 + 預測IC!$C22:BB22) - 1</f>
        <v>-0.97128468220501463</v>
      </c>
      <c r="BC22" s="7">
        <f t="array" ref="BC22">PRODUCT(1 + 預測IC!$C22:BC22) - 1</f>
        <v>-0.96566721843095138</v>
      </c>
      <c r="BD22" s="7">
        <f t="array" ref="BD22">PRODUCT(1 + 預測IC!$C22:BD22) - 1</f>
        <v>-0.96767006775239472</v>
      </c>
      <c r="BE22" s="7">
        <f t="array" ref="BE22">PRODUCT(1 + 預測IC!$C22:BE22) - 1</f>
        <v>-0.97181049376409867</v>
      </c>
      <c r="BF22" s="7">
        <f t="array" ref="BF22">PRODUCT(1 + 預測IC!$C22:BF22) - 1</f>
        <v>-0.97142602223768981</v>
      </c>
      <c r="BG22" s="7">
        <f t="array" ref="BG22">PRODUCT(1 + 預測IC!$C22:BG22) - 1</f>
        <v>-0.97010363248613973</v>
      </c>
      <c r="BH22" s="7">
        <f t="array" ref="BH22">PRODUCT(1 + 預測IC!$C22:BH22) - 1</f>
        <v>-0.97034260647088133</v>
      </c>
      <c r="BI22" s="7">
        <f t="array" ref="BI22">PRODUCT(1 + 預測IC!$C22:BI22) - 1</f>
        <v>-0.97293223251409777</v>
      </c>
      <c r="BJ22" s="7">
        <f t="array" ref="BJ22">PRODUCT(1 + 預測IC!$C22:BJ22) - 1</f>
        <v>-0.97265522164618501</v>
      </c>
      <c r="BK22" s="7">
        <f t="array" ref="BK22">PRODUCT(1 + 預測IC!$C22:BK22) - 1</f>
        <v>-0.97322549030830052</v>
      </c>
      <c r="BL22" s="7">
        <f t="array" ref="BL22">PRODUCT(1 + 預測IC!$C22:BL22) - 1</f>
        <v>-0.97695976840230325</v>
      </c>
      <c r="BM22" s="7">
        <f t="array" ref="BM22">PRODUCT(1 + 預測IC!$C22:BM22) - 1</f>
        <v>-0.97701576729917461</v>
      </c>
      <c r="BN22" s="7">
        <f t="array" ref="BN22">PRODUCT(1 + 預測IC!$C22:BN22) - 1</f>
        <v>-0.97636028441505684</v>
      </c>
      <c r="BO22" s="7">
        <f t="array" ref="BO22">PRODUCT(1 + 預測IC!$C22:BO22) - 1</f>
        <v>-0.97556241795617626</v>
      </c>
      <c r="BP22" s="7">
        <f t="array" ref="BP22">PRODUCT(1 + 預測IC!$C22:BP22) - 1</f>
        <v>-0.97554919722124722</v>
      </c>
      <c r="BQ22" s="7">
        <f t="array" ref="BQ22">PRODUCT(1 + 預測IC!$C22:BQ22) - 1</f>
        <v>-0.97331859471049043</v>
      </c>
      <c r="BR22" s="7">
        <f t="array" ref="BR22">PRODUCT(1 + 預測IC!$C22:BR22) - 1</f>
        <v>-0.97616194621056918</v>
      </c>
      <c r="BS22" s="7">
        <f t="array" ref="BS22">PRODUCT(1 + 預測IC!$C22:BS22) - 1</f>
        <v>-0.97384852054705762</v>
      </c>
      <c r="BT22" s="7">
        <f t="array" ref="BT22">PRODUCT(1 + 預測IC!$C22:BT22) - 1</f>
        <v>-0.97209262612865643</v>
      </c>
      <c r="BU22" s="7">
        <f t="array" ref="BU22">PRODUCT(1 + 預測IC!$C22:BU22) - 1</f>
        <v>-0.96614978529660167</v>
      </c>
      <c r="BV22" s="7">
        <f t="array" ref="BV22">PRODUCT(1 + 預測IC!$C22:BV22) - 1</f>
        <v>-0.96779502537778606</v>
      </c>
      <c r="BW22" s="7">
        <f t="array" ref="BW22">PRODUCT(1 + 預測IC!$C22:BW22) - 1</f>
        <v>-0.96353843618560364</v>
      </c>
      <c r="BX22" s="7">
        <f t="array" ref="BX22">PRODUCT(1 + 預測IC!$C22:BX22) - 1</f>
        <v>-0.96911477187057971</v>
      </c>
      <c r="BY22" s="7">
        <f t="array" ref="BY22">PRODUCT(1 + 預測IC!$C22:BY22) - 1</f>
        <v>-0.97083189944223736</v>
      </c>
      <c r="BZ22" s="7">
        <f t="array" ref="BZ22">PRODUCT(1 + 預測IC!$C22:BZ22) - 1</f>
        <v>-0.9691890834078658</v>
      </c>
      <c r="CA22" s="7">
        <f t="array" ref="CA22">PRODUCT(1 + 預測IC!$C22:CA22) - 1</f>
        <v>-0.97114270392683</v>
      </c>
      <c r="CB22" s="7">
        <f t="array" ref="CB22">PRODUCT(1 + 預測IC!$C22:CB22) - 1</f>
        <v>-0.97297815116445452</v>
      </c>
      <c r="CC22" s="7">
        <f t="array" ref="CC22">PRODUCT(1 + 預測IC!$C22:CC22) - 1</f>
        <v>-0.9733830925774547</v>
      </c>
      <c r="CD22" s="7">
        <f t="array" ref="CD22">PRODUCT(1 + 預測IC!$C22:CD22) - 1</f>
        <v>-0.96449629178385099</v>
      </c>
      <c r="CE22" s="7">
        <f t="array" ref="CE22">PRODUCT(1 + 預測IC!$C22:CE22) - 1</f>
        <v>-0.96925174477365417</v>
      </c>
      <c r="CF22" s="7">
        <f t="array" ref="CF22">PRODUCT(1 + 預測IC!$C22:CF22) - 1</f>
        <v>-0.97235025743098757</v>
      </c>
      <c r="CG22" s="7">
        <f t="array" ref="CG22">PRODUCT(1 + 預測IC!$C22:CG22) - 1</f>
        <v>-0.97807611356812252</v>
      </c>
      <c r="CH22" s="7">
        <f t="array" ref="CH22">PRODUCT(1 + 預測IC!$C22:CH22) - 1</f>
        <v>-0.97470846682473544</v>
      </c>
      <c r="CI22" s="7">
        <f t="array" ref="CI22">PRODUCT(1 + 預測IC!$C22:CI22) - 1</f>
        <v>-0.97307419566118014</v>
      </c>
      <c r="CJ22" s="7">
        <f t="array" ref="CJ22">PRODUCT(1 + 預測IC!$C22:CJ22) - 1</f>
        <v>-0.96967278375421373</v>
      </c>
      <c r="CK22" s="7">
        <f t="array" ref="CK22">PRODUCT(1 + 預測IC!$C22:CK22) - 1</f>
        <v>-0.97303678594723919</v>
      </c>
      <c r="CL22" s="7">
        <f t="array" ref="CL22">PRODUCT(1 + 預測IC!$C22:CL22) - 1</f>
        <v>-0.97559821071680275</v>
      </c>
      <c r="CM22" s="7">
        <f t="array" ref="CM22">PRODUCT(1 + 預測IC!$C22:CM22) - 1</f>
        <v>-0.97446496041321995</v>
      </c>
      <c r="CN22" s="7">
        <f t="array" ref="CN22">PRODUCT(1 + 預測IC!$C22:CN22) - 1</f>
        <v>-0.97056310634845622</v>
      </c>
      <c r="CO22" s="7">
        <f t="array" ref="CO22">PRODUCT(1 + 預測IC!$C22:CO22) - 1</f>
        <v>-0.97601734349905811</v>
      </c>
      <c r="CP22" s="7">
        <f t="array" ref="CP22">PRODUCT(1 + 預測IC!$C22:CP22) - 1</f>
        <v>-0.97189607427526448</v>
      </c>
      <c r="CQ22" s="7">
        <f t="array" ref="CQ22">PRODUCT(1 + 預測IC!$C22:CQ22) - 1</f>
        <v>-0.97141382171524993</v>
      </c>
      <c r="CR22" s="7">
        <f t="array" ref="CR22">PRODUCT(1 + 預測IC!$C22:CR22) - 1</f>
        <v>-0.97222630393688858</v>
      </c>
      <c r="CS22" s="7">
        <f t="array" ref="CS22">PRODUCT(1 + 預測IC!$C22:CS22) - 1</f>
        <v>-0.97458101165578315</v>
      </c>
      <c r="CT22" s="7">
        <f t="array" ref="CT22">PRODUCT(1 + 預測IC!$C22:CT22) - 1</f>
        <v>-0.97137589638329647</v>
      </c>
      <c r="CU22" s="7">
        <f t="array" ref="CU22">PRODUCT(1 + 預測IC!$C22:CU22) - 1</f>
        <v>-0.96658554068883729</v>
      </c>
      <c r="CV22" s="7">
        <f t="array" ref="CV22">PRODUCT(1 + 預測IC!$C22:CV22) - 1</f>
        <v>-0.97213978162250192</v>
      </c>
      <c r="CW22" s="7">
        <f t="array" ref="CW22">PRODUCT(1 + 預測IC!$C22:CW22) - 1</f>
        <v>-0.97112424174470136</v>
      </c>
      <c r="CX22" s="7">
        <f t="array" ref="CX22">PRODUCT(1 + 預測IC!$C22:CX22) - 1</f>
        <v>-0.97269200181968651</v>
      </c>
      <c r="CY22" s="7">
        <f t="array" ref="CY22">PRODUCT(1 + 預測IC!$C22:CY22) - 1</f>
        <v>-0.96825609418044933</v>
      </c>
      <c r="CZ22" s="7">
        <f t="array" ref="CZ22">PRODUCT(1 + 預測IC!$C22:CZ22) - 1</f>
        <v>-0.96801524534399208</v>
      </c>
      <c r="DA22" s="7">
        <f t="array" ref="DA22">PRODUCT(1 + 預測IC!$C22:DA22) - 1</f>
        <v>-0.96814292061255258</v>
      </c>
      <c r="DB22" s="7">
        <f t="array" ref="DB22">PRODUCT(1 + 預測IC!$C22:DB22) - 1</f>
        <v>-0.98704612056477536</v>
      </c>
      <c r="DC22" s="7">
        <f t="array" ref="DC22">PRODUCT(1 + 預測IC!$C22:DC22) - 1</f>
        <v>-0.98521745721306353</v>
      </c>
      <c r="DD22" s="7">
        <f t="array" ref="DD22">PRODUCT(1 + 預測IC!$C22:DD22) - 1</f>
        <v>-0.98568621414494706</v>
      </c>
      <c r="DE22" s="7">
        <f t="array" ref="DE22">PRODUCT(1 + 預測IC!$C22:DE22) - 1</f>
        <v>-0.98594037693360814</v>
      </c>
      <c r="DF22" s="7">
        <f t="array" ref="DF22">PRODUCT(1 + 預測IC!$C22:DF22) - 1</f>
        <v>-0.98046179688269597</v>
      </c>
      <c r="DG22" s="7">
        <f t="array" ref="DG22">PRODUCT(1 + 預測IC!$C22:DG22) - 1</f>
        <v>-0.97874006286530379</v>
      </c>
      <c r="DH22" s="7">
        <f t="array" ref="DH22">PRODUCT(1 + 預測IC!$C22:DH22) - 1</f>
        <v>-0.9794775435612294</v>
      </c>
      <c r="DI22" s="7">
        <f t="array" ref="DI22">PRODUCT(1 + 預測IC!$C22:DI22) - 1</f>
        <v>-0.98114202855163413</v>
      </c>
      <c r="DJ22" s="7">
        <f t="array" ref="DJ22">PRODUCT(1 + 預測IC!$C22:DJ22) - 1</f>
        <v>-0.9782435628125592</v>
      </c>
      <c r="DK22" s="7">
        <f t="array" ref="DK22">PRODUCT(1 + 預測IC!$C22:DK22) - 1</f>
        <v>-0.97773563318707724</v>
      </c>
      <c r="DL22" s="7">
        <f t="array" ref="DL22">PRODUCT(1 + 預測IC!$C22:DL22) - 1</f>
        <v>-0.97766409041272073</v>
      </c>
      <c r="DM22" s="7">
        <f t="array" ref="DM22">PRODUCT(1 + 預測IC!$C22:DM22) - 1</f>
        <v>-0.97671087087016784</v>
      </c>
      <c r="DN22" s="7">
        <f t="array" ref="DN22">PRODUCT(1 + 預測IC!$C22:DN22) - 1</f>
        <v>-0.9695989524037103</v>
      </c>
      <c r="DO22" s="7">
        <f t="array" ref="DO22">PRODUCT(1 + 預測IC!$C22:DO22) - 1</f>
        <v>-0.97032154481961741</v>
      </c>
      <c r="DP22" s="7">
        <f t="array" ref="DP22">PRODUCT(1 + 預測IC!$C22:DP22) - 1</f>
        <v>-0.9753538958621828</v>
      </c>
      <c r="DQ22" s="7">
        <f t="array" ref="DQ22">PRODUCT(1 + 預測IC!$C22:DQ22) - 1</f>
        <v>-0.97127732754869478</v>
      </c>
      <c r="DR22" s="7">
        <f t="array" ref="DR22">PRODUCT(1 + 預測IC!$C22:DR22) - 1</f>
        <v>-0.97145232194185682</v>
      </c>
      <c r="DS22" s="7">
        <f t="array" ref="DS22">PRODUCT(1 + 預測IC!$C22:DS22) - 1</f>
        <v>-0.97514992680902357</v>
      </c>
      <c r="DT22" s="7">
        <f t="array" ref="DT22">PRODUCT(1 + 預測IC!$C22:DT22) - 1</f>
        <v>-0.97447577528708607</v>
      </c>
      <c r="DU22" s="7">
        <f t="array" ref="DU22">PRODUCT(1 + 預測IC!$C22:DU22) - 1</f>
        <v>-0.96489732826166774</v>
      </c>
      <c r="DV22" s="7">
        <f t="array" ref="DV22">PRODUCT(1 + 預測IC!$C22:DV22) - 1</f>
        <v>-0.97041063706241726</v>
      </c>
      <c r="DW22" s="7">
        <f t="array" ref="DW22">PRODUCT(1 + 預測IC!$C22:DW22) - 1</f>
        <v>-0.97047298959531159</v>
      </c>
      <c r="DX22" s="7">
        <f t="array" ref="DX22">PRODUCT(1 + 預測IC!$C22:DX22) - 1</f>
        <v>-0.97532581647191874</v>
      </c>
      <c r="DY22" s="7">
        <f t="array" ref="DY22">PRODUCT(1 + 預測IC!$C22:DY22) - 1</f>
        <v>-0.96748548677134727</v>
      </c>
      <c r="DZ22" s="7">
        <f t="array" ref="DZ22">PRODUCT(1 + 預測IC!$C22:DZ22) - 1</f>
        <v>-0.96210022999742784</v>
      </c>
      <c r="EA22" s="7">
        <f t="array" ref="EA22">PRODUCT(1 + 預測IC!$C22:EA22) - 1</f>
        <v>-0.96339607022086415</v>
      </c>
      <c r="EB22" s="7">
        <f t="array" ref="EB22">PRODUCT(1 + 預測IC!$C22:EB22) - 1</f>
        <v>-0.95864612648813807</v>
      </c>
      <c r="EC22" s="7">
        <f t="array" ref="EC22">PRODUCT(1 + 預測IC!$C22:EC22) - 1</f>
        <v>-0.95775722077645442</v>
      </c>
      <c r="ED22" s="7">
        <f t="array" ref="ED22">PRODUCT(1 + 預測IC!$C22:ED22) - 1</f>
        <v>-0.9610273849985761</v>
      </c>
      <c r="EE22" s="7">
        <f t="array" ref="EE22">PRODUCT(1 + 預測IC!$C22:EE22) - 1</f>
        <v>-0.95962829317177512</v>
      </c>
      <c r="EF22" s="7">
        <f t="array" ref="EF22">PRODUCT(1 + 預測IC!$C22:EF22) - 1</f>
        <v>-0.96613404035576722</v>
      </c>
    </row>
    <row r="23" spans="1:136" x14ac:dyDescent="0.3">
      <c r="A23" s="1">
        <v>2</v>
      </c>
      <c r="B23" s="1" t="s">
        <v>161</v>
      </c>
      <c r="C23" s="7">
        <f t="array" ref="C23">PRODUCT(1 + 預測IC!$C23:C23) - 1</f>
        <v>3.132568458197138E-2</v>
      </c>
      <c r="D23" s="7">
        <f t="array" ref="D23">PRODUCT(1 + 預測IC!$C23:D23) - 1</f>
        <v>0.12307924767842793</v>
      </c>
      <c r="E23" s="7">
        <f t="array" ref="E23">PRODUCT(1 + 預測IC!$C23:E23) - 1</f>
        <v>0.10616389111010816</v>
      </c>
      <c r="F23" s="7">
        <f t="array" ref="F23">PRODUCT(1 + 預測IC!$C23:F23) - 1</f>
        <v>-9.5596061290047385E-2</v>
      </c>
      <c r="G23" s="7">
        <f t="array" ref="G23">PRODUCT(1 + 預測IC!$C23:G23) - 1</f>
        <v>-7.1202868483423498E-2</v>
      </c>
      <c r="H23" s="7">
        <f t="array" ref="H23">PRODUCT(1 + 預測IC!$C23:H23) - 1</f>
        <v>-0.31530026664451249</v>
      </c>
      <c r="I23" s="7">
        <f t="array" ref="I23">PRODUCT(1 + 預測IC!$C23:I23) - 1</f>
        <v>-0.49037995496604547</v>
      </c>
      <c r="J23" s="7">
        <f t="array" ref="J23">PRODUCT(1 + 預測IC!$C23:J23) - 1</f>
        <v>-0.56952079692963842</v>
      </c>
      <c r="K23" s="7">
        <f t="array" ref="K23">PRODUCT(1 + 預測IC!$C23:K23) - 1</f>
        <v>-0.63091039222109657</v>
      </c>
      <c r="L23" s="7">
        <f t="array" ref="L23">PRODUCT(1 + 預測IC!$C23:L23) - 1</f>
        <v>-0.54511759417351635</v>
      </c>
      <c r="M23" s="7">
        <f t="array" ref="M23">PRODUCT(1 + 預測IC!$C23:M23) - 1</f>
        <v>-0.42755327443464364</v>
      </c>
      <c r="N23" s="7">
        <f t="array" ref="N23">PRODUCT(1 + 預測IC!$C23:N23) - 1</f>
        <v>-0.50013952707445952</v>
      </c>
      <c r="O23" s="7">
        <f t="array" ref="O23">PRODUCT(1 + 預測IC!$C23:O23) - 1</f>
        <v>-0.50984067480666906</v>
      </c>
      <c r="P23" s="7">
        <f t="array" ref="P23">PRODUCT(1 + 預測IC!$C23:P23) - 1</f>
        <v>-0.50460405532293184</v>
      </c>
      <c r="Q23" s="7">
        <f t="array" ref="Q23">PRODUCT(1 + 預測IC!$C23:Q23) - 1</f>
        <v>-0.62887396798314432</v>
      </c>
      <c r="R23" s="7">
        <f t="array" ref="R23">PRODUCT(1 + 預測IC!$C23:R23) - 1</f>
        <v>-0.59561068285688967</v>
      </c>
      <c r="S23" s="7">
        <f t="array" ref="S23">PRODUCT(1 + 預測IC!$C23:S23) - 1</f>
        <v>-0.52714959344623002</v>
      </c>
      <c r="T23" s="7">
        <f t="array" ref="T23">PRODUCT(1 + 預測IC!$C23:T23) - 1</f>
        <v>-0.6002535398404123</v>
      </c>
      <c r="U23" s="7">
        <f t="array" ref="U23">PRODUCT(1 + 預測IC!$C23:U23) - 1</f>
        <v>-0.685392249622919</v>
      </c>
      <c r="V23" s="7">
        <f t="array" ref="V23">PRODUCT(1 + 預測IC!$C23:V23) - 1</f>
        <v>-0.66545964292817905</v>
      </c>
      <c r="W23" s="7">
        <f t="array" ref="W23">PRODUCT(1 + 預測IC!$C23:W23) - 1</f>
        <v>-0.83404099591830616</v>
      </c>
      <c r="X23" s="7">
        <f t="array" ref="X23">PRODUCT(1 + 預測IC!$C23:X23) - 1</f>
        <v>-0.80387277136251001</v>
      </c>
      <c r="Y23" s="7">
        <f t="array" ref="Y23">PRODUCT(1 + 預測IC!$C23:Y23) - 1</f>
        <v>-0.80238440822245782</v>
      </c>
      <c r="Z23" s="7">
        <f t="array" ref="Z23">PRODUCT(1 + 預測IC!$C23:Z23) - 1</f>
        <v>-0.83156045510486898</v>
      </c>
      <c r="AA23" s="7">
        <f t="array" ref="AA23">PRODUCT(1 + 預測IC!$C23:AA23) - 1</f>
        <v>-0.82200177269384211</v>
      </c>
      <c r="AB23" s="7">
        <f t="array" ref="AB23">PRODUCT(1 + 預測IC!$C23:AB23) - 1</f>
        <v>-0.82751818429557122</v>
      </c>
      <c r="AC23" s="7">
        <f t="array" ref="AC23">PRODUCT(1 + 預測IC!$C23:AC23) - 1</f>
        <v>-0.7984110500453595</v>
      </c>
      <c r="AD23" s="7">
        <f t="array" ref="AD23">PRODUCT(1 + 預測IC!$C23:AD23) - 1</f>
        <v>-0.79780723236285755</v>
      </c>
      <c r="AE23" s="7">
        <f t="array" ref="AE23">PRODUCT(1 + 預測IC!$C23:AE23) - 1</f>
        <v>-0.86500483579811061</v>
      </c>
      <c r="AF23" s="7">
        <f t="array" ref="AF23">PRODUCT(1 + 預測IC!$C23:AF23) - 1</f>
        <v>-0.90883227477258566</v>
      </c>
      <c r="AG23" s="7">
        <f t="array" ref="AG23">PRODUCT(1 + 預測IC!$C23:AG23) - 1</f>
        <v>-0.8955314604287038</v>
      </c>
      <c r="AH23" s="7">
        <f t="array" ref="AH23">PRODUCT(1 + 預測IC!$C23:AH23) - 1</f>
        <v>-0.88136041582524649</v>
      </c>
      <c r="AI23" s="7">
        <f t="array" ref="AI23">PRODUCT(1 + 預測IC!$C23:AI23) - 1</f>
        <v>-0.89031179258905091</v>
      </c>
      <c r="AJ23" s="7">
        <f t="array" ref="AJ23">PRODUCT(1 + 預測IC!$C23:AJ23) - 1</f>
        <v>-0.88845121126456561</v>
      </c>
      <c r="AK23" s="7">
        <f t="array" ref="AK23">PRODUCT(1 + 預測IC!$C23:AK23) - 1</f>
        <v>-0.8986243742660821</v>
      </c>
      <c r="AL23" s="7">
        <f t="array" ref="AL23">PRODUCT(1 + 預測IC!$C23:AL23) - 1</f>
        <v>-0.90382598916880874</v>
      </c>
      <c r="AM23" s="7">
        <f t="array" ref="AM23">PRODUCT(1 + 預測IC!$C23:AM23) - 1</f>
        <v>-0.90185725491555357</v>
      </c>
      <c r="AN23" s="7">
        <f t="array" ref="AN23">PRODUCT(1 + 預測IC!$C23:AN23) - 1</f>
        <v>-0.91761114217131046</v>
      </c>
      <c r="AO23" s="7">
        <f t="array" ref="AO23">PRODUCT(1 + 預測IC!$C23:AO23) - 1</f>
        <v>-0.91013167737200895</v>
      </c>
      <c r="AP23" s="7">
        <f t="array" ref="AP23">PRODUCT(1 + 預測IC!$C23:AP23) - 1</f>
        <v>-0.91107060556061692</v>
      </c>
      <c r="AQ23" s="7">
        <f t="array" ref="AQ23">PRODUCT(1 + 預測IC!$C23:AQ23) - 1</f>
        <v>-0.89544462525572355</v>
      </c>
      <c r="AR23" s="7">
        <f t="array" ref="AR23">PRODUCT(1 + 預測IC!$C23:AR23) - 1</f>
        <v>-0.92194531374152</v>
      </c>
      <c r="AS23" s="7">
        <f t="array" ref="AS23">PRODUCT(1 + 預測IC!$C23:AS23) - 1</f>
        <v>-0.92831954204027889</v>
      </c>
      <c r="AT23" s="7">
        <f t="array" ref="AT23">PRODUCT(1 + 預測IC!$C23:AT23) - 1</f>
        <v>-0.93616897531409571</v>
      </c>
      <c r="AU23" s="7">
        <f t="array" ref="AU23">PRODUCT(1 + 預測IC!$C23:AU23) - 1</f>
        <v>-0.94916470967005617</v>
      </c>
      <c r="AV23" s="7">
        <f t="array" ref="AV23">PRODUCT(1 + 預測IC!$C23:AV23) - 1</f>
        <v>-0.94666615176322</v>
      </c>
      <c r="AW23" s="7">
        <f t="array" ref="AW23">PRODUCT(1 + 預測IC!$C23:AW23) - 1</f>
        <v>-0.97772031686017902</v>
      </c>
      <c r="AX23" s="7">
        <f t="array" ref="AX23">PRODUCT(1 + 預測IC!$C23:AX23) - 1</f>
        <v>-0.9773902928374486</v>
      </c>
      <c r="AY23" s="7">
        <f t="array" ref="AY23">PRODUCT(1 + 預測IC!$C23:AY23) - 1</f>
        <v>-0.97607577350448615</v>
      </c>
      <c r="AZ23" s="7">
        <f t="array" ref="AZ23">PRODUCT(1 + 預測IC!$C23:AZ23) - 1</f>
        <v>-0.98363545876008651</v>
      </c>
      <c r="BA23" s="7">
        <f t="array" ref="BA23">PRODUCT(1 + 預測IC!$C23:BA23) - 1</f>
        <v>-0.98081943362200552</v>
      </c>
      <c r="BB23" s="7">
        <f t="array" ref="BB23">PRODUCT(1 + 預測IC!$C23:BB23) - 1</f>
        <v>-0.96766111761023055</v>
      </c>
      <c r="BC23" s="7">
        <f t="array" ref="BC23">PRODUCT(1 + 預測IC!$C23:BC23) - 1</f>
        <v>-0.95948361087677114</v>
      </c>
      <c r="BD23" s="7">
        <f t="array" ref="BD23">PRODUCT(1 + 預測IC!$C23:BD23) - 1</f>
        <v>-0.96010556456437035</v>
      </c>
      <c r="BE23" s="7">
        <f t="array" ref="BE23">PRODUCT(1 + 預測IC!$C23:BE23) - 1</f>
        <v>-0.96506412943947306</v>
      </c>
      <c r="BF23" s="7">
        <f t="array" ref="BF23">PRODUCT(1 + 預測IC!$C23:BF23) - 1</f>
        <v>-0.96586230894593594</v>
      </c>
      <c r="BG23" s="7">
        <f t="array" ref="BG23">PRODUCT(1 + 預測IC!$C23:BG23) - 1</f>
        <v>-0.96331012493947399</v>
      </c>
      <c r="BH23" s="7">
        <f t="array" ref="BH23">PRODUCT(1 + 預測IC!$C23:BH23) - 1</f>
        <v>-0.96134366269806315</v>
      </c>
      <c r="BI23" s="7">
        <f t="array" ref="BI23">PRODUCT(1 + 預測IC!$C23:BI23) - 1</f>
        <v>-0.9666867244466204</v>
      </c>
      <c r="BJ23" s="7">
        <f t="array" ref="BJ23">PRODUCT(1 + 預測IC!$C23:BJ23) - 1</f>
        <v>-0.96861956780809899</v>
      </c>
      <c r="BK23" s="7">
        <f t="array" ref="BK23">PRODUCT(1 + 預測IC!$C23:BK23) - 1</f>
        <v>-0.96877677948915231</v>
      </c>
      <c r="BL23" s="7">
        <f t="array" ref="BL23">PRODUCT(1 + 預測IC!$C23:BL23) - 1</f>
        <v>-0.97234766338525325</v>
      </c>
      <c r="BM23" s="7">
        <f t="array" ref="BM23">PRODUCT(1 + 預測IC!$C23:BM23) - 1</f>
        <v>-0.97042595147615573</v>
      </c>
      <c r="BN23" s="7">
        <f t="array" ref="BN23">PRODUCT(1 + 預測IC!$C23:BN23) - 1</f>
        <v>-0.96963917916282316</v>
      </c>
      <c r="BO23" s="7">
        <f t="array" ref="BO23">PRODUCT(1 + 預測IC!$C23:BO23) - 1</f>
        <v>-0.96979552492743193</v>
      </c>
      <c r="BP23" s="7">
        <f t="array" ref="BP23">PRODUCT(1 + 預測IC!$C23:BP23) - 1</f>
        <v>-0.96911665756088861</v>
      </c>
      <c r="BQ23" s="7">
        <f t="array" ref="BQ23">PRODUCT(1 + 預測IC!$C23:BQ23) - 1</f>
        <v>-0.96728353276596302</v>
      </c>
      <c r="BR23" s="7">
        <f t="array" ref="BR23">PRODUCT(1 + 預測IC!$C23:BR23) - 1</f>
        <v>-0.97064752466851723</v>
      </c>
      <c r="BS23" s="7">
        <f t="array" ref="BS23">PRODUCT(1 + 預測IC!$C23:BS23) - 1</f>
        <v>-0.96417333447113418</v>
      </c>
      <c r="BT23" s="7">
        <f t="array" ref="BT23">PRODUCT(1 + 預測IC!$C23:BT23) - 1</f>
        <v>-0.96165868718019054</v>
      </c>
      <c r="BU23" s="7">
        <f t="array" ref="BU23">PRODUCT(1 + 預測IC!$C23:BU23) - 1</f>
        <v>-0.95377234935692279</v>
      </c>
      <c r="BV23" s="7">
        <f t="array" ref="BV23">PRODUCT(1 + 預測IC!$C23:BV23) - 1</f>
        <v>-0.95623485241620132</v>
      </c>
      <c r="BW23" s="7">
        <f t="array" ref="BW23">PRODUCT(1 + 預測IC!$C23:BW23) - 1</f>
        <v>-0.95556250967808209</v>
      </c>
      <c r="BX23" s="7">
        <f t="array" ref="BX23">PRODUCT(1 + 預測IC!$C23:BX23) - 1</f>
        <v>-0.96108251355339014</v>
      </c>
      <c r="BY23" s="7">
        <f t="array" ref="BY23">PRODUCT(1 + 預測IC!$C23:BY23) - 1</f>
        <v>-0.95648055059471582</v>
      </c>
      <c r="BZ23" s="7">
        <f t="array" ref="BZ23">PRODUCT(1 + 預測IC!$C23:BZ23) - 1</f>
        <v>-0.94767547892190551</v>
      </c>
      <c r="CA23" s="7">
        <f t="array" ref="CA23">PRODUCT(1 + 預測IC!$C23:CA23) - 1</f>
        <v>-0.94588160493267437</v>
      </c>
      <c r="CB23" s="7">
        <f t="array" ref="CB23">PRODUCT(1 + 預測IC!$C23:CB23) - 1</f>
        <v>-0.94362676263112633</v>
      </c>
      <c r="CC23" s="7">
        <f t="array" ref="CC23">PRODUCT(1 + 預測IC!$C23:CC23) - 1</f>
        <v>-0.93094511652513634</v>
      </c>
      <c r="CD23" s="7">
        <f t="array" ref="CD23">PRODUCT(1 + 預測IC!$C23:CD23) - 1</f>
        <v>-0.91770892125921544</v>
      </c>
      <c r="CE23" s="7">
        <f t="array" ref="CE23">PRODUCT(1 + 預測IC!$C23:CE23) - 1</f>
        <v>-0.9345449124320071</v>
      </c>
      <c r="CF23" s="7">
        <f t="array" ref="CF23">PRODUCT(1 + 預測IC!$C23:CF23) - 1</f>
        <v>-0.93560272133025502</v>
      </c>
      <c r="CG23" s="7">
        <f t="array" ref="CG23">PRODUCT(1 + 預測IC!$C23:CG23) - 1</f>
        <v>-0.94955357014956687</v>
      </c>
      <c r="CH23" s="7">
        <f t="array" ref="CH23">PRODUCT(1 + 預測IC!$C23:CH23) - 1</f>
        <v>-0.94137506507710911</v>
      </c>
      <c r="CI23" s="7">
        <f t="array" ref="CI23">PRODUCT(1 + 預測IC!$C23:CI23) - 1</f>
        <v>-0.93344767259828576</v>
      </c>
      <c r="CJ23" s="7">
        <f t="array" ref="CJ23">PRODUCT(1 + 預測IC!$C23:CJ23) - 1</f>
        <v>-0.92303117541630886</v>
      </c>
      <c r="CK23" s="7">
        <f t="array" ref="CK23">PRODUCT(1 + 預測IC!$C23:CK23) - 1</f>
        <v>-0.92856187733473339</v>
      </c>
      <c r="CL23" s="7">
        <f t="array" ref="CL23">PRODUCT(1 + 預測IC!$C23:CL23) - 1</f>
        <v>-0.94028126272272727</v>
      </c>
      <c r="CM23" s="7">
        <f t="array" ref="CM23">PRODUCT(1 + 預測IC!$C23:CM23) - 1</f>
        <v>-0.93986472399196019</v>
      </c>
      <c r="CN23" s="7">
        <f t="array" ref="CN23">PRODUCT(1 + 預測IC!$C23:CN23) - 1</f>
        <v>-0.92320098271622775</v>
      </c>
      <c r="CO23" s="7">
        <f t="array" ref="CO23">PRODUCT(1 + 預測IC!$C23:CO23) - 1</f>
        <v>-0.94381775393125833</v>
      </c>
      <c r="CP23" s="7">
        <f t="array" ref="CP23">PRODUCT(1 + 預測IC!$C23:CP23) - 1</f>
        <v>-0.92999120359316945</v>
      </c>
      <c r="CQ23" s="7">
        <f t="array" ref="CQ23">PRODUCT(1 + 預測IC!$C23:CQ23) - 1</f>
        <v>-0.93172057978994338</v>
      </c>
      <c r="CR23" s="7">
        <f t="array" ref="CR23">PRODUCT(1 + 預測IC!$C23:CR23) - 1</f>
        <v>-0.93433109588153862</v>
      </c>
      <c r="CS23" s="7">
        <f t="array" ref="CS23">PRODUCT(1 + 預測IC!$C23:CS23) - 1</f>
        <v>-0.93861007407555963</v>
      </c>
      <c r="CT23" s="7">
        <f t="array" ref="CT23">PRODUCT(1 + 預測IC!$C23:CT23) - 1</f>
        <v>-0.93659340125722113</v>
      </c>
      <c r="CU23" s="7">
        <f t="array" ref="CU23">PRODUCT(1 + 預測IC!$C23:CU23) - 1</f>
        <v>-0.92377868131748375</v>
      </c>
      <c r="CV23" s="7">
        <f t="array" ref="CV23">PRODUCT(1 + 預測IC!$C23:CV23) - 1</f>
        <v>-0.9354657699140102</v>
      </c>
      <c r="CW23" s="7">
        <f t="array" ref="CW23">PRODUCT(1 + 預測IC!$C23:CW23) - 1</f>
        <v>-0.92895418015149012</v>
      </c>
      <c r="CX23" s="7">
        <f t="array" ref="CX23">PRODUCT(1 + 預測IC!$C23:CX23) - 1</f>
        <v>-0.93334907408046197</v>
      </c>
      <c r="CY23" s="7">
        <f t="array" ref="CY23">PRODUCT(1 + 預測IC!$C23:CY23) - 1</f>
        <v>-0.9145727865877592</v>
      </c>
      <c r="CZ23" s="7">
        <f t="array" ref="CZ23">PRODUCT(1 + 預測IC!$C23:CZ23) - 1</f>
        <v>-0.9198078602395604</v>
      </c>
      <c r="DA23" s="7">
        <f t="array" ref="DA23">PRODUCT(1 + 預測IC!$C23:DA23) - 1</f>
        <v>-0.92229238403786562</v>
      </c>
      <c r="DB23" s="7">
        <f t="array" ref="DB23">PRODUCT(1 + 預測IC!$C23:DB23) - 1</f>
        <v>-0.98947649075890742</v>
      </c>
      <c r="DC23" s="7">
        <f t="array" ref="DC23">PRODUCT(1 + 預測IC!$C23:DC23) - 1</f>
        <v>-0.98781431405731135</v>
      </c>
      <c r="DD23" s="7">
        <f t="array" ref="DD23">PRODUCT(1 + 預測IC!$C23:DD23) - 1</f>
        <v>-0.98894512956282488</v>
      </c>
      <c r="DE23" s="7">
        <f t="array" ref="DE23">PRODUCT(1 + 預測IC!$C23:DE23) - 1</f>
        <v>-0.98960937192764475</v>
      </c>
      <c r="DF23" s="7">
        <f t="array" ref="DF23">PRODUCT(1 + 預測IC!$C23:DF23) - 1</f>
        <v>-0.98536173595022813</v>
      </c>
      <c r="DG23" s="7">
        <f t="array" ref="DG23">PRODUCT(1 + 預測IC!$C23:DG23) - 1</f>
        <v>-0.98312242329120647</v>
      </c>
      <c r="DH23" s="7">
        <f t="array" ref="DH23">PRODUCT(1 + 預測IC!$C23:DH23) - 1</f>
        <v>-0.98497190524998102</v>
      </c>
      <c r="DI23" s="7">
        <f t="array" ref="DI23">PRODUCT(1 + 預測IC!$C23:DI23) - 1</f>
        <v>-0.98775079102966501</v>
      </c>
      <c r="DJ23" s="7">
        <f t="array" ref="DJ23">PRODUCT(1 + 預測IC!$C23:DJ23) - 1</f>
        <v>-0.98628048685165504</v>
      </c>
      <c r="DK23" s="7">
        <f t="array" ref="DK23">PRODUCT(1 + 預測IC!$C23:DK23) - 1</f>
        <v>-0.98562538288321633</v>
      </c>
      <c r="DL23" s="7">
        <f t="array" ref="DL23">PRODUCT(1 + 預測IC!$C23:DL23) - 1</f>
        <v>-0.98600261095934916</v>
      </c>
      <c r="DM23" s="7">
        <f t="array" ref="DM23">PRODUCT(1 + 預測IC!$C23:DM23) - 1</f>
        <v>-0.98615252767539729</v>
      </c>
      <c r="DN23" s="7">
        <f t="array" ref="DN23">PRODUCT(1 + 預測IC!$C23:DN23) - 1</f>
        <v>-0.98248329568351966</v>
      </c>
      <c r="DO23" s="7">
        <f t="array" ref="DO23">PRODUCT(1 + 預測IC!$C23:DO23) - 1</f>
        <v>-0.98100014182858963</v>
      </c>
      <c r="DP23" s="7">
        <f t="array" ref="DP23">PRODUCT(1 + 預測IC!$C23:DP23) - 1</f>
        <v>-0.9843600694988891</v>
      </c>
      <c r="DQ23" s="7">
        <f t="array" ref="DQ23">PRODUCT(1 + 預測IC!$C23:DQ23) - 1</f>
        <v>-0.980513489469651</v>
      </c>
      <c r="DR23" s="7">
        <f t="array" ref="DR23">PRODUCT(1 + 預測IC!$C23:DR23) - 1</f>
        <v>-0.98226505400840558</v>
      </c>
      <c r="DS23" s="7">
        <f t="array" ref="DS23">PRODUCT(1 + 預測IC!$C23:DS23) - 1</f>
        <v>-0.98664903602765419</v>
      </c>
      <c r="DT23" s="7">
        <f t="array" ref="DT23">PRODUCT(1 + 預測IC!$C23:DT23) - 1</f>
        <v>-0.9869467152227035</v>
      </c>
      <c r="DU23" s="7">
        <f t="array" ref="DU23">PRODUCT(1 + 預測IC!$C23:DU23) - 1</f>
        <v>-0.98009058564884732</v>
      </c>
      <c r="DV23" s="7">
        <f t="array" ref="DV23">PRODUCT(1 + 預測IC!$C23:DV23) - 1</f>
        <v>-0.98392795406831612</v>
      </c>
      <c r="DW23" s="7">
        <f t="array" ref="DW23">PRODUCT(1 + 預測IC!$C23:DW23) - 1</f>
        <v>-0.9882190156766717</v>
      </c>
      <c r="DX23" s="7">
        <f t="array" ref="DX23">PRODUCT(1 + 預測IC!$C23:DX23) - 1</f>
        <v>-0.99023359682919254</v>
      </c>
      <c r="DY23" s="7">
        <f t="array" ref="DY23">PRODUCT(1 + 預測IC!$C23:DY23) - 1</f>
        <v>-0.98761403332769249</v>
      </c>
      <c r="DZ23" s="7">
        <f t="array" ref="DZ23">PRODUCT(1 + 預測IC!$C23:DZ23) - 1</f>
        <v>-0.98601211890743989</v>
      </c>
      <c r="EA23" s="7">
        <f t="array" ref="EA23">PRODUCT(1 + 預測IC!$C23:EA23) - 1</f>
        <v>-0.98731805657360594</v>
      </c>
      <c r="EB23" s="7">
        <f t="array" ref="EB23">PRODUCT(1 + 預測IC!$C23:EB23) - 1</f>
        <v>-0.9842200523593424</v>
      </c>
      <c r="EC23" s="7">
        <f t="array" ref="EC23">PRODUCT(1 + 預測IC!$C23:EC23) - 1</f>
        <v>-0.98479735095543297</v>
      </c>
      <c r="ED23" s="7">
        <f t="array" ref="ED23">PRODUCT(1 + 預測IC!$C23:ED23) - 1</f>
        <v>-0.98618726689694958</v>
      </c>
      <c r="EE23" s="7">
        <f t="array" ref="EE23">PRODUCT(1 + 預測IC!$C23:EE23) - 1</f>
        <v>-0.98522665266448084</v>
      </c>
      <c r="EF23" s="7">
        <f t="array" ref="EF23">PRODUCT(1 + 預測IC!$C23:EF23) - 1</f>
        <v>-0.98645685554564677</v>
      </c>
    </row>
    <row r="24" spans="1:136" x14ac:dyDescent="0.3">
      <c r="A24" s="1">
        <v>1</v>
      </c>
      <c r="B24" s="1" t="s">
        <v>162</v>
      </c>
      <c r="C24" s="7">
        <f t="array" ref="C24">PRODUCT(1 + 預測IC!$C24:C24) - 1</f>
        <v>2.7766967310441037E-2</v>
      </c>
      <c r="D24" s="7">
        <f t="array" ref="D24">PRODUCT(1 + 預測IC!$C24:D24) - 1</f>
        <v>0.11203191512430388</v>
      </c>
      <c r="E24" s="7">
        <f t="array" ref="E24">PRODUCT(1 + 預測IC!$C24:E24) - 1</f>
        <v>0.20308546043212305</v>
      </c>
      <c r="F24" s="7">
        <f t="array" ref="F24">PRODUCT(1 + 預測IC!$C24:F24) - 1</f>
        <v>-3.9391263554694578E-2</v>
      </c>
      <c r="G24" s="7">
        <f t="array" ref="G24">PRODUCT(1 + 預測IC!$C24:G24) - 1</f>
        <v>-1.7659999462183773E-2</v>
      </c>
      <c r="H24" s="7">
        <f t="array" ref="H24">PRODUCT(1 + 預測IC!$C24:H24) - 1</f>
        <v>-0.36228667108299428</v>
      </c>
      <c r="I24" s="7">
        <f t="array" ref="I24">PRODUCT(1 + 預測IC!$C24:I24) - 1</f>
        <v>-0.5155841834617132</v>
      </c>
      <c r="J24" s="7">
        <f t="array" ref="J24">PRODUCT(1 + 預測IC!$C24:J24) - 1</f>
        <v>-0.51753915245348847</v>
      </c>
      <c r="K24" s="7">
        <f t="array" ref="K24">PRODUCT(1 + 預測IC!$C24:K24) - 1</f>
        <v>-0.54187656955082808</v>
      </c>
      <c r="L24" s="7">
        <f t="array" ref="L24">PRODUCT(1 + 預測IC!$C24:L24) - 1</f>
        <v>-0.38897354790283489</v>
      </c>
      <c r="M24" s="7">
        <f t="array" ref="M24">PRODUCT(1 + 預測IC!$C24:M24) - 1</f>
        <v>-0.29926304815581695</v>
      </c>
      <c r="N24" s="7">
        <f t="array" ref="N24">PRODUCT(1 + 預測IC!$C24:N24) - 1</f>
        <v>-0.37297476693817255</v>
      </c>
      <c r="O24" s="7">
        <f t="array" ref="O24">PRODUCT(1 + 預測IC!$C24:O24) - 1</f>
        <v>-0.34999505038327605</v>
      </c>
      <c r="P24" s="7">
        <f t="array" ref="P24">PRODUCT(1 + 預測IC!$C24:P24) - 1</f>
        <v>-0.29946594981232844</v>
      </c>
      <c r="Q24" s="7">
        <f t="array" ref="Q24">PRODUCT(1 + 預測IC!$C24:Q24) - 1</f>
        <v>-0.23631634372644084</v>
      </c>
      <c r="R24" s="7">
        <f t="array" ref="R24">PRODUCT(1 + 預測IC!$C24:R24) - 1</f>
        <v>-0.15355938635800481</v>
      </c>
      <c r="S24" s="7">
        <f t="array" ref="S24">PRODUCT(1 + 預測IC!$C24:S24) - 1</f>
        <v>-3.5156057213938996E-2</v>
      </c>
      <c r="T24" s="7">
        <f t="array" ref="T24">PRODUCT(1 + 預測IC!$C24:T24) - 1</f>
        <v>0.22582141104338826</v>
      </c>
      <c r="U24" s="7">
        <f t="array" ref="U24">PRODUCT(1 + 預測IC!$C24:U24) - 1</f>
        <v>-0.25587968112805703</v>
      </c>
      <c r="V24" s="7">
        <f t="array" ref="V24">PRODUCT(1 + 預測IC!$C24:V24) - 1</f>
        <v>-0.16915966349127676</v>
      </c>
      <c r="W24" s="7">
        <f t="array" ref="W24">PRODUCT(1 + 預測IC!$C24:W24) - 1</f>
        <v>-0.70333477275074374</v>
      </c>
      <c r="X24" s="7">
        <f t="array" ref="X24">PRODUCT(1 + 預測IC!$C24:X24) - 1</f>
        <v>-0.71406156329160964</v>
      </c>
      <c r="Y24" s="7">
        <f t="array" ref="Y24">PRODUCT(1 + 預測IC!$C24:Y24) - 1</f>
        <v>-0.70565530506093999</v>
      </c>
      <c r="Z24" s="7">
        <f t="array" ref="Z24">PRODUCT(1 + 預測IC!$C24:Z24) - 1</f>
        <v>-0.74992766875361339</v>
      </c>
      <c r="AA24" s="7">
        <f t="array" ref="AA24">PRODUCT(1 + 預測IC!$C24:AA24) - 1</f>
        <v>-0.80457962127824223</v>
      </c>
      <c r="AB24" s="7">
        <f t="array" ref="AB24">PRODUCT(1 + 預測IC!$C24:AB24) - 1</f>
        <v>-0.86328269018081327</v>
      </c>
      <c r="AC24" s="7">
        <f t="array" ref="AC24">PRODUCT(1 + 預測IC!$C24:AC24) - 1</f>
        <v>-0.80835687547022683</v>
      </c>
      <c r="AD24" s="7">
        <f t="array" ref="AD24">PRODUCT(1 + 預測IC!$C24:AD24) - 1</f>
        <v>-0.79687320802686967</v>
      </c>
      <c r="AE24" s="7">
        <f t="array" ref="AE24">PRODUCT(1 + 預測IC!$C24:AE24) - 1</f>
        <v>-0.90681723382503043</v>
      </c>
      <c r="AF24" s="7">
        <f t="array" ref="AF24">PRODUCT(1 + 預測IC!$C24:AF24) - 1</f>
        <v>-0.95297898964391614</v>
      </c>
      <c r="AG24" s="7">
        <f t="array" ref="AG24">PRODUCT(1 + 預測IC!$C24:AG24) - 1</f>
        <v>-0.93510840109339499</v>
      </c>
      <c r="AH24" s="7">
        <f t="array" ref="AH24">PRODUCT(1 + 預測IC!$C24:AH24) - 1</f>
        <v>-0.91550317235112322</v>
      </c>
      <c r="AI24" s="7">
        <f t="array" ref="AI24">PRODUCT(1 + 預測IC!$C24:AI24) - 1</f>
        <v>-0.92833922695314808</v>
      </c>
      <c r="AJ24" s="7">
        <f t="array" ref="AJ24">PRODUCT(1 + 預測IC!$C24:AJ24) - 1</f>
        <v>-0.92689795930270391</v>
      </c>
      <c r="AK24" s="7">
        <f t="array" ref="AK24">PRODUCT(1 + 預測IC!$C24:AK24) - 1</f>
        <v>-0.93517158713911552</v>
      </c>
      <c r="AL24" s="7">
        <f t="array" ref="AL24">PRODUCT(1 + 預測IC!$C24:AL24) - 1</f>
        <v>-0.94213768705139367</v>
      </c>
      <c r="AM24" s="7">
        <f t="array" ref="AM24">PRODUCT(1 + 預測IC!$C24:AM24) - 1</f>
        <v>-0.94300368598127626</v>
      </c>
      <c r="AN24" s="7">
        <f t="array" ref="AN24">PRODUCT(1 + 預測IC!$C24:AN24) - 1</f>
        <v>-0.94931094208806921</v>
      </c>
      <c r="AO24" s="7">
        <f t="array" ref="AO24">PRODUCT(1 + 預測IC!$C24:AO24) - 1</f>
        <v>-0.94409474897063572</v>
      </c>
      <c r="AP24" s="7">
        <f t="array" ref="AP24">PRODUCT(1 + 預測IC!$C24:AP24) - 1</f>
        <v>-0.96737417258850955</v>
      </c>
      <c r="AQ24" s="7">
        <f t="array" ref="AQ24">PRODUCT(1 + 預測IC!$C24:AQ24) - 1</f>
        <v>-0.95574332835135756</v>
      </c>
      <c r="AR24" s="7">
        <f t="array" ref="AR24">PRODUCT(1 + 預測IC!$C24:AR24) - 1</f>
        <v>-0.95664398899384862</v>
      </c>
      <c r="AS24" s="7">
        <f t="array" ref="AS24">PRODUCT(1 + 預測IC!$C24:AS24) - 1</f>
        <v>-0.95678649039084762</v>
      </c>
      <c r="AT24" s="7">
        <f t="array" ref="AT24">PRODUCT(1 + 預測IC!$C24:AT24) - 1</f>
        <v>-0.96330174715362815</v>
      </c>
      <c r="AU24" s="7">
        <f t="array" ref="AU24">PRODUCT(1 + 預測IC!$C24:AU24) - 1</f>
        <v>-0.97173651086149837</v>
      </c>
      <c r="AV24" s="7">
        <f t="array" ref="AV24">PRODUCT(1 + 預測IC!$C24:AV24) - 1</f>
        <v>-0.97873694356569174</v>
      </c>
      <c r="AW24" s="7">
        <f t="array" ref="AW24">PRODUCT(1 + 預測IC!$C24:AW24) - 1</f>
        <v>-0.97557489410456377</v>
      </c>
      <c r="AX24" s="7">
        <f t="array" ref="AX24">PRODUCT(1 + 預測IC!$C24:AX24) - 1</f>
        <v>-0.97829808181516609</v>
      </c>
      <c r="AY24" s="7">
        <f t="array" ref="AY24">PRODUCT(1 + 預測IC!$C24:AY24) - 1</f>
        <v>-0.9724942131642802</v>
      </c>
      <c r="AZ24" s="7">
        <f t="array" ref="AZ24">PRODUCT(1 + 預測IC!$C24:AZ24) - 1</f>
        <v>-0.98926998045792192</v>
      </c>
      <c r="BA24" s="7">
        <f t="array" ref="BA24">PRODUCT(1 + 預測IC!$C24:BA24) - 1</f>
        <v>-0.98817785015893089</v>
      </c>
      <c r="BB24" s="7">
        <f t="array" ref="BB24">PRODUCT(1 + 預測IC!$C24:BB24) - 1</f>
        <v>-0.97786062276342112</v>
      </c>
      <c r="BC24" s="7">
        <f t="array" ref="BC24">PRODUCT(1 + 預測IC!$C24:BC24) - 1</f>
        <v>-0.97795730253715685</v>
      </c>
      <c r="BD24" s="7">
        <f t="array" ref="BD24">PRODUCT(1 + 預測IC!$C24:BD24) - 1</f>
        <v>-0.97415339117837785</v>
      </c>
      <c r="BE24" s="7">
        <f t="array" ref="BE24">PRODUCT(1 + 預測IC!$C24:BE24) - 1</f>
        <v>-0.97267029885910317</v>
      </c>
      <c r="BF24" s="7">
        <f t="array" ref="BF24">PRODUCT(1 + 預測IC!$C24:BF24) - 1</f>
        <v>-0.9702748140401446</v>
      </c>
      <c r="BG24" s="7">
        <f t="array" ref="BG24">PRODUCT(1 + 預測IC!$C24:BG24) - 1</f>
        <v>-0.9694771099643561</v>
      </c>
      <c r="BH24" s="7">
        <f t="array" ref="BH24">PRODUCT(1 + 預測IC!$C24:BH24) - 1</f>
        <v>-0.96918502266328865</v>
      </c>
      <c r="BI24" s="7">
        <f t="array" ref="BI24">PRODUCT(1 + 預測IC!$C24:BI24) - 1</f>
        <v>-0.96831753075665117</v>
      </c>
      <c r="BJ24" s="7">
        <f t="array" ref="BJ24">PRODUCT(1 + 預測IC!$C24:BJ24) - 1</f>
        <v>-0.96639861058442578</v>
      </c>
      <c r="BK24" s="7">
        <f t="array" ref="BK24">PRODUCT(1 + 預測IC!$C24:BK24) - 1</f>
        <v>-0.96673528733147918</v>
      </c>
      <c r="BL24" s="7">
        <f t="array" ref="BL24">PRODUCT(1 + 預測IC!$C24:BL24) - 1</f>
        <v>-0.97026490354244943</v>
      </c>
      <c r="BM24" s="7">
        <f t="array" ref="BM24">PRODUCT(1 + 預測IC!$C24:BM24) - 1</f>
        <v>-0.97278593243651645</v>
      </c>
      <c r="BN24" s="7">
        <f t="array" ref="BN24">PRODUCT(1 + 預測IC!$C24:BN24) - 1</f>
        <v>-0.97224464031981461</v>
      </c>
      <c r="BO24" s="7">
        <f t="array" ref="BO24">PRODUCT(1 + 預測IC!$C24:BO24) - 1</f>
        <v>-0.96646940687780603</v>
      </c>
      <c r="BP24" s="7">
        <f t="array" ref="BP24">PRODUCT(1 + 預測IC!$C24:BP24) - 1</f>
        <v>-0.96753548205377615</v>
      </c>
      <c r="BQ24" s="7">
        <f t="array" ref="BQ24">PRODUCT(1 + 預測IC!$C24:BQ24) - 1</f>
        <v>-0.96798535802119168</v>
      </c>
      <c r="BR24" s="7">
        <f t="array" ref="BR24">PRODUCT(1 + 預測IC!$C24:BR24) - 1</f>
        <v>-0.97115227487268252</v>
      </c>
      <c r="BS24" s="7">
        <f t="array" ref="BS24">PRODUCT(1 + 預測IC!$C24:BS24) - 1</f>
        <v>-0.96764378464117706</v>
      </c>
      <c r="BT24" s="7">
        <f t="array" ref="BT24">PRODUCT(1 + 預測IC!$C24:BT24) - 1</f>
        <v>-0.96583833188720492</v>
      </c>
      <c r="BU24" s="7">
        <f t="array" ref="BU24">PRODUCT(1 + 預測IC!$C24:BU24) - 1</f>
        <v>-0.95803831327854183</v>
      </c>
      <c r="BV24" s="7">
        <f t="array" ref="BV24">PRODUCT(1 + 預測IC!$C24:BV24) - 1</f>
        <v>-0.95997940659697156</v>
      </c>
      <c r="BW24" s="7">
        <f t="array" ref="BW24">PRODUCT(1 + 預測IC!$C24:BW24) - 1</f>
        <v>-0.95393519861102294</v>
      </c>
      <c r="BX24" s="7">
        <f t="array" ref="BX24">PRODUCT(1 + 預測IC!$C24:BX24) - 1</f>
        <v>-0.95660895490589326</v>
      </c>
      <c r="BY24" s="7">
        <f t="array" ref="BY24">PRODUCT(1 + 預測IC!$C24:BY24) - 1</f>
        <v>-0.95147109801287622</v>
      </c>
      <c r="BZ24" s="7">
        <f t="array" ref="BZ24">PRODUCT(1 + 預測IC!$C24:BZ24) - 1</f>
        <v>-0.93592586263390265</v>
      </c>
      <c r="CA24" s="7">
        <f t="array" ref="CA24">PRODUCT(1 + 預測IC!$C24:CA24) - 1</f>
        <v>-0.93045699796875925</v>
      </c>
      <c r="CB24" s="7">
        <f t="array" ref="CB24">PRODUCT(1 + 預測IC!$C24:CB24) - 1</f>
        <v>-0.93491658784293741</v>
      </c>
      <c r="CC24" s="7">
        <f t="array" ref="CC24">PRODUCT(1 + 預測IC!$C24:CC24) - 1</f>
        <v>-0.90628935533192478</v>
      </c>
      <c r="CD24" s="7">
        <f t="array" ref="CD24">PRODUCT(1 + 預測IC!$C24:CD24) - 1</f>
        <v>-0.89276631792260219</v>
      </c>
      <c r="CE24" s="7">
        <f t="array" ref="CE24">PRODUCT(1 + 預測IC!$C24:CE24) - 1</f>
        <v>-0.91199372287701863</v>
      </c>
      <c r="CF24" s="7">
        <f t="array" ref="CF24">PRODUCT(1 + 預測IC!$C24:CF24) - 1</f>
        <v>-0.90812455911389178</v>
      </c>
      <c r="CG24" s="7">
        <f t="array" ref="CG24">PRODUCT(1 + 預測IC!$C24:CG24) - 1</f>
        <v>-0.95589693711902723</v>
      </c>
      <c r="CH24" s="7">
        <f t="array" ref="CH24">PRODUCT(1 + 預測IC!$C24:CH24) - 1</f>
        <v>-0.94650418062274011</v>
      </c>
      <c r="CI24" s="7">
        <f t="array" ref="CI24">PRODUCT(1 + 預測IC!$C24:CI24) - 1</f>
        <v>-0.93079782711682868</v>
      </c>
      <c r="CJ24" s="7">
        <f t="array" ref="CJ24">PRODUCT(1 + 預測IC!$C24:CJ24) - 1</f>
        <v>-0.91002424180933372</v>
      </c>
      <c r="CK24" s="7">
        <f t="array" ref="CK24">PRODUCT(1 + 預測IC!$C24:CK24) - 1</f>
        <v>-0.93909174414777474</v>
      </c>
      <c r="CL24" s="7">
        <f t="array" ref="CL24">PRODUCT(1 + 預測IC!$C24:CL24) - 1</f>
        <v>-0.94004701387694201</v>
      </c>
      <c r="CM24" s="7">
        <f t="array" ref="CM24">PRODUCT(1 + 預測IC!$C24:CM24) - 1</f>
        <v>-0.93736780255894758</v>
      </c>
      <c r="CN24" s="7">
        <f t="array" ref="CN24">PRODUCT(1 + 預測IC!$C24:CN24) - 1</f>
        <v>-0.89918237996440875</v>
      </c>
      <c r="CO24" s="7">
        <f t="array" ref="CO24">PRODUCT(1 + 預測IC!$C24:CO24) - 1</f>
        <v>-0.95689135450336027</v>
      </c>
      <c r="CP24" s="7">
        <f t="array" ref="CP24">PRODUCT(1 + 預測IC!$C24:CP24) - 1</f>
        <v>-0.94835293951971023</v>
      </c>
      <c r="CQ24" s="7">
        <f t="array" ref="CQ24">PRODUCT(1 + 預測IC!$C24:CQ24) - 1</f>
        <v>-0.95662626388739702</v>
      </c>
      <c r="CR24" s="7">
        <f t="array" ref="CR24">PRODUCT(1 + 預測IC!$C24:CR24) - 1</f>
        <v>-0.96082561824488866</v>
      </c>
      <c r="CS24" s="7">
        <f t="array" ref="CS24">PRODUCT(1 + 預測IC!$C24:CS24) - 1</f>
        <v>-0.96505544218328054</v>
      </c>
      <c r="CT24" s="7">
        <f t="array" ref="CT24">PRODUCT(1 + 預測IC!$C24:CT24) - 1</f>
        <v>-0.97144668255239064</v>
      </c>
      <c r="CU24" s="7">
        <f t="array" ref="CU24">PRODUCT(1 + 預測IC!$C24:CU24) - 1</f>
        <v>-0.96994109339711709</v>
      </c>
      <c r="CV24" s="7">
        <f t="array" ref="CV24">PRODUCT(1 + 預測IC!$C24:CV24) - 1</f>
        <v>-0.97543778814695403</v>
      </c>
      <c r="CW24" s="7">
        <f t="array" ref="CW24">PRODUCT(1 + 預測IC!$C24:CW24) - 1</f>
        <v>-0.97113652321478838</v>
      </c>
      <c r="CX24" s="7">
        <f t="array" ref="CX24">PRODUCT(1 + 預測IC!$C24:CX24) - 1</f>
        <v>-0.97537064013733799</v>
      </c>
      <c r="CY24" s="7">
        <f t="array" ref="CY24">PRODUCT(1 + 預測IC!$C24:CY24) - 1</f>
        <v>-0.96649845394084688</v>
      </c>
      <c r="CZ24" s="7">
        <f t="array" ref="CZ24">PRODUCT(1 + 預測IC!$C24:CZ24) - 1</f>
        <v>-0.97192928604863704</v>
      </c>
      <c r="DA24" s="7">
        <f t="array" ref="DA24">PRODUCT(1 + 預測IC!$C24:DA24) - 1</f>
        <v>-0.97124123904798088</v>
      </c>
      <c r="DB24" s="7">
        <f t="array" ref="DB24">PRODUCT(1 + 預測IC!$C24:DB24) - 1</f>
        <v>-0.99850769608527645</v>
      </c>
      <c r="DC24" s="7">
        <f t="array" ref="DC24">PRODUCT(1 + 預測IC!$C24:DC24) - 1</f>
        <v>-0.99808577732967096</v>
      </c>
      <c r="DD24" s="7">
        <f t="array" ref="DD24">PRODUCT(1 + 預測IC!$C24:DD24) - 1</f>
        <v>-0.99771088692260501</v>
      </c>
      <c r="DE24" s="7">
        <f t="array" ref="DE24">PRODUCT(1 + 預測IC!$C24:DE24) - 1</f>
        <v>-0.99740967262477365</v>
      </c>
      <c r="DF24" s="7">
        <f t="array" ref="DF24">PRODUCT(1 + 預測IC!$C24:DF24) - 1</f>
        <v>-0.99604823539534904</v>
      </c>
      <c r="DG24" s="7">
        <f t="array" ref="DG24">PRODUCT(1 + 預測IC!$C24:DG24) - 1</f>
        <v>-0.99506587025227766</v>
      </c>
      <c r="DH24" s="7">
        <f t="array" ref="DH24">PRODUCT(1 + 預測IC!$C24:DH24) - 1</f>
        <v>-0.99557326084680975</v>
      </c>
      <c r="DI24" s="7">
        <f t="array" ref="DI24">PRODUCT(1 + 預測IC!$C24:DI24) - 1</f>
        <v>-0.99744620886923496</v>
      </c>
      <c r="DJ24" s="7">
        <f t="array" ref="DJ24">PRODUCT(1 + 預測IC!$C24:DJ24) - 1</f>
        <v>-0.99686044611799285</v>
      </c>
      <c r="DK24" s="7">
        <f t="array" ref="DK24">PRODUCT(1 + 預測IC!$C24:DK24) - 1</f>
        <v>-0.99633921195624064</v>
      </c>
      <c r="DL24" s="7">
        <f t="array" ref="DL24">PRODUCT(1 + 預測IC!$C24:DL24) - 1</f>
        <v>-0.99656383978937857</v>
      </c>
      <c r="DM24" s="7">
        <f t="array" ref="DM24">PRODUCT(1 + 預測IC!$C24:DM24) - 1</f>
        <v>-0.99693603124562102</v>
      </c>
      <c r="DN24" s="7">
        <f t="array" ref="DN24">PRODUCT(1 + 預測IC!$C24:DN24) - 1</f>
        <v>-0.99535242530976753</v>
      </c>
      <c r="DO24" s="7">
        <f t="array" ref="DO24">PRODUCT(1 + 預測IC!$C24:DO24) - 1</f>
        <v>-0.99496614544107231</v>
      </c>
      <c r="DP24" s="7">
        <f t="array" ref="DP24">PRODUCT(1 + 預測IC!$C24:DP24) - 1</f>
        <v>-0.99609157348396349</v>
      </c>
      <c r="DQ24" s="7">
        <f t="array" ref="DQ24">PRODUCT(1 + 預測IC!$C24:DQ24) - 1</f>
        <v>-0.99468816968570117</v>
      </c>
      <c r="DR24" s="7">
        <f t="array" ref="DR24">PRODUCT(1 + 預測IC!$C24:DR24) - 1</f>
        <v>-0.99479714523217844</v>
      </c>
      <c r="DS24" s="7">
        <f t="array" ref="DS24">PRODUCT(1 + 預測IC!$C24:DS24) - 1</f>
        <v>-0.99554639260781808</v>
      </c>
      <c r="DT24" s="7">
        <f t="array" ref="DT24">PRODUCT(1 + 預測IC!$C24:DT24) - 1</f>
        <v>-0.99567748777645781</v>
      </c>
      <c r="DU24" s="7">
        <f t="array" ref="DU24">PRODUCT(1 + 預測IC!$C24:DU24) - 1</f>
        <v>-0.992346804909914</v>
      </c>
      <c r="DV24" s="7">
        <f t="array" ref="DV24">PRODUCT(1 + 預測IC!$C24:DV24) - 1</f>
        <v>-0.99809019528749188</v>
      </c>
      <c r="DW24" s="7">
        <f t="array" ref="DW24">PRODUCT(1 + 預測IC!$C24:DW24) - 1</f>
        <v>-0.99882234421165139</v>
      </c>
      <c r="DX24" s="7">
        <f t="array" ref="DX24">PRODUCT(1 + 預測IC!$C24:DX24) - 1</f>
        <v>-0.99902694698450578</v>
      </c>
      <c r="DY24" s="7">
        <f t="array" ref="DY24">PRODUCT(1 + 預測IC!$C24:DY24) - 1</f>
        <v>-0.99899574454521733</v>
      </c>
      <c r="DZ24" s="7">
        <f t="array" ref="DZ24">PRODUCT(1 + 預測IC!$C24:DZ24) - 1</f>
        <v>-0.99904485732106352</v>
      </c>
      <c r="EA24" s="7">
        <f t="array" ref="EA24">PRODUCT(1 + 預測IC!$C24:EA24) - 1</f>
        <v>-0.99906698941141237</v>
      </c>
      <c r="EB24" s="7">
        <f t="array" ref="EB24">PRODUCT(1 + 預測IC!$C24:EB24) - 1</f>
        <v>-0.99851679501078416</v>
      </c>
      <c r="EC24" s="7">
        <f t="array" ref="EC24">PRODUCT(1 + 預測IC!$C24:EC24) - 1</f>
        <v>-0.99853801955370003</v>
      </c>
      <c r="ED24" s="7">
        <f t="array" ref="ED24">PRODUCT(1 + 預測IC!$C24:ED24) - 1</f>
        <v>-0.99862014315513936</v>
      </c>
      <c r="EE24" s="7">
        <f t="array" ref="EE24">PRODUCT(1 + 預測IC!$C24:EE24) - 1</f>
        <v>-0.99866935434601878</v>
      </c>
      <c r="EF24" s="7">
        <f t="array" ref="EF24">PRODUCT(1 + 預測IC!$C24:EF24) - 1</f>
        <v>-0.99884095144631269</v>
      </c>
    </row>
    <row r="25" spans="1:136" s="5" customFormat="1" x14ac:dyDescent="0.3">
      <c r="A25" s="10" t="s">
        <v>145</v>
      </c>
      <c r="B25" s="10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I25"/>
  <sheetViews>
    <sheetView tabSelected="1" workbookViewId="0">
      <selection activeCell="H10" sqref="H10"/>
    </sheetView>
  </sheetViews>
  <sheetFormatPr defaultRowHeight="15" x14ac:dyDescent="0.3"/>
  <sheetData>
    <row r="1" spans="1:139" x14ac:dyDescent="0.3">
      <c r="A1" t="s">
        <v>0</v>
      </c>
    </row>
    <row r="2" spans="1:139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9" x14ac:dyDescent="0.3">
      <c r="B3" s="1" t="s">
        <v>137</v>
      </c>
      <c r="C3" s="7">
        <v>4.0547288954257972E-2</v>
      </c>
      <c r="D3" s="7">
        <v>1.474617514759302E-2</v>
      </c>
      <c r="E3" s="7">
        <v>-5.1652342081069953E-2</v>
      </c>
      <c r="F3" s="7">
        <v>-5.4286114871501923E-2</v>
      </c>
      <c r="G3" s="7">
        <v>-5.7552006095647812E-2</v>
      </c>
      <c r="H3" s="7">
        <v>-7.6259449124336243E-2</v>
      </c>
      <c r="I3" s="7">
        <v>-0.107886478304863</v>
      </c>
      <c r="J3" s="7">
        <v>1.373711228370667E-2</v>
      </c>
      <c r="K3" s="7">
        <v>-5.9229228645563133E-2</v>
      </c>
      <c r="L3" s="7">
        <v>-0.1078036949038506</v>
      </c>
      <c r="M3" s="7">
        <v>2.4141319096088409E-2</v>
      </c>
      <c r="N3" s="7">
        <v>-0.1346741318702698</v>
      </c>
      <c r="O3" s="7">
        <v>-7.92685616761446E-3</v>
      </c>
      <c r="P3" s="7">
        <v>-7.5651742517948151E-2</v>
      </c>
      <c r="Q3" s="7">
        <v>-8.6447760462760925E-2</v>
      </c>
      <c r="R3" s="7">
        <v>-3.0133344698697329E-3</v>
      </c>
      <c r="S3" s="7">
        <v>-4.0853243321180337E-2</v>
      </c>
      <c r="T3" s="7">
        <v>-3.2101776450872421E-2</v>
      </c>
      <c r="U3" s="7">
        <v>-0.10543976724147799</v>
      </c>
      <c r="V3" s="7">
        <v>-4.5746464282274253E-2</v>
      </c>
      <c r="W3" s="7">
        <v>-6.8120560608804226E-3</v>
      </c>
      <c r="X3" s="7">
        <v>9.7701430320739746E-2</v>
      </c>
      <c r="Y3" s="7">
        <v>6.1205495148897171E-2</v>
      </c>
      <c r="Z3" s="7">
        <v>1.6075653955340389E-2</v>
      </c>
      <c r="AA3" s="7">
        <v>-1.270355191081762E-2</v>
      </c>
      <c r="AB3" s="7">
        <v>-1.026225462555885E-2</v>
      </c>
      <c r="AC3" s="7">
        <v>2.934014052152634E-2</v>
      </c>
      <c r="AD3" s="7">
        <v>-5.8081243187189102E-3</v>
      </c>
      <c r="AE3" s="7">
        <v>1.1994774453341959E-2</v>
      </c>
      <c r="AF3" s="7">
        <v>3.9971381425857537E-2</v>
      </c>
      <c r="AG3" s="7">
        <v>-1.210324652493E-2</v>
      </c>
      <c r="AH3" s="7">
        <v>2.2090664133429531E-2</v>
      </c>
      <c r="AI3" s="7">
        <v>2.1936081349849701E-2</v>
      </c>
      <c r="AJ3" s="7">
        <v>2.584474720060825E-2</v>
      </c>
      <c r="AK3" s="7">
        <v>-2.3109074681997299E-3</v>
      </c>
      <c r="AL3" s="7">
        <v>-2.0252099260687832E-2</v>
      </c>
      <c r="AM3" s="7">
        <v>2.2393656894564629E-2</v>
      </c>
      <c r="AN3" s="7">
        <v>-3.5141657572239642E-3</v>
      </c>
      <c r="AO3" s="7">
        <v>-2.9745671898126599E-2</v>
      </c>
      <c r="AP3" s="7">
        <v>-2.683783695101738E-2</v>
      </c>
      <c r="AQ3" s="7">
        <v>-2.169711887836456E-2</v>
      </c>
      <c r="AR3" s="7">
        <v>2.3448716849088669E-2</v>
      </c>
      <c r="AS3" s="7">
        <v>1.5802856534719471E-2</v>
      </c>
      <c r="AT3" s="7">
        <v>6.6039755940437317E-2</v>
      </c>
      <c r="AU3" s="7">
        <v>6.2266789376735687E-2</v>
      </c>
      <c r="AV3" s="7">
        <v>5.7940512895584113E-2</v>
      </c>
      <c r="AW3" s="7">
        <v>0.1063941121101379</v>
      </c>
      <c r="AX3" s="7">
        <v>-5.7518132962286472E-3</v>
      </c>
      <c r="AY3" s="7">
        <v>3.4562649670988321E-3</v>
      </c>
      <c r="AZ3" s="7">
        <v>8.6036309599876404E-2</v>
      </c>
      <c r="BA3" s="7">
        <v>0.10234846919775011</v>
      </c>
      <c r="BB3" s="7">
        <v>6.3502728939056396E-2</v>
      </c>
      <c r="BC3" s="7">
        <v>4.844263568520546E-2</v>
      </c>
      <c r="BD3" s="7">
        <v>7.7497914433479309E-2</v>
      </c>
      <c r="BE3" s="7">
        <v>2.7031764388084412E-2</v>
      </c>
      <c r="BF3" s="7">
        <v>2.1175272762775421E-2</v>
      </c>
      <c r="BG3" s="7">
        <v>-1.226798165589571E-2</v>
      </c>
      <c r="BH3" s="7">
        <v>5.1240973174571991E-2</v>
      </c>
      <c r="BI3" s="7">
        <v>5.5158428847789757E-2</v>
      </c>
      <c r="BJ3" s="7">
        <v>8.664897084236145E-2</v>
      </c>
      <c r="BK3" s="7">
        <v>8.1092678010463715E-2</v>
      </c>
      <c r="BL3" s="7">
        <v>5.7930886745452881E-2</v>
      </c>
      <c r="BM3" s="7">
        <v>1.4249543659389021E-2</v>
      </c>
      <c r="BN3" s="7">
        <v>-4.6854224056005478E-3</v>
      </c>
      <c r="BO3" s="7">
        <v>4.5861139893531799E-2</v>
      </c>
      <c r="BP3" s="7">
        <v>8.6037963628768921E-2</v>
      </c>
      <c r="BQ3" s="7">
        <v>0.144142210483551</v>
      </c>
      <c r="BR3" s="7">
        <v>3.7985831499099731E-2</v>
      </c>
      <c r="BS3" s="7">
        <v>8.1880234181880951E-2</v>
      </c>
      <c r="BT3" s="7">
        <v>4.3688308447599411E-2</v>
      </c>
      <c r="BU3" s="7">
        <v>0.10545723885297779</v>
      </c>
      <c r="BV3" s="7">
        <v>0.1175376549363136</v>
      </c>
      <c r="BW3" s="7">
        <v>9.2942401766777039E-2</v>
      </c>
      <c r="BX3" s="7">
        <v>3.5637497901916497E-2</v>
      </c>
      <c r="BY3" s="7">
        <v>4.2925089597702033E-2</v>
      </c>
      <c r="BZ3" s="7">
        <v>9.8455093801021576E-2</v>
      </c>
      <c r="CA3" s="7">
        <v>1.8217885866761211E-2</v>
      </c>
      <c r="CB3" s="7">
        <v>1.9438756629824638E-2</v>
      </c>
      <c r="CC3" s="7">
        <v>-5.0573386251926422E-3</v>
      </c>
      <c r="CD3" s="7">
        <v>-5.7951014488935471E-2</v>
      </c>
      <c r="CE3" s="7">
        <v>-1.193848438560963E-2</v>
      </c>
      <c r="CF3" s="7">
        <v>6.4156758598983288E-3</v>
      </c>
      <c r="CG3" s="7">
        <v>5.6247138418257236E-3</v>
      </c>
      <c r="CH3" s="7">
        <v>5.8184977620840073E-2</v>
      </c>
      <c r="CI3" s="7">
        <v>1.276898570358753E-2</v>
      </c>
      <c r="CJ3" s="7">
        <v>-8.0891326069831848E-2</v>
      </c>
      <c r="CK3" s="7">
        <v>7.3738843202590942E-2</v>
      </c>
      <c r="CL3" s="7">
        <v>6.7692369222640991E-2</v>
      </c>
      <c r="CM3" s="7">
        <v>-1.829254254698753E-2</v>
      </c>
      <c r="CN3" s="7">
        <v>4.6888105571269989E-3</v>
      </c>
      <c r="CO3" s="7">
        <v>-1.2873713858425621E-2</v>
      </c>
      <c r="CP3" s="7">
        <v>-5.2108332514762878E-2</v>
      </c>
      <c r="CQ3" s="7">
        <v>-7.2693914175033569E-2</v>
      </c>
      <c r="CR3" s="7">
        <v>-6.0804408043622971E-2</v>
      </c>
      <c r="CS3" s="7">
        <v>1.5148262493312361E-2</v>
      </c>
      <c r="CT3" s="7">
        <v>-6.339031457901001E-2</v>
      </c>
      <c r="CU3" s="7">
        <v>-6.1079829931259162E-2</v>
      </c>
      <c r="CV3" s="7">
        <v>-2.170033194124699E-2</v>
      </c>
      <c r="CW3" s="7">
        <v>-6.0720678418874741E-2</v>
      </c>
      <c r="CX3" s="7">
        <v>-4.0655191987752907E-2</v>
      </c>
      <c r="CY3" s="7">
        <v>-4.5480586588382721E-2</v>
      </c>
      <c r="CZ3" s="7">
        <v>-6.9138072431087494E-2</v>
      </c>
      <c r="DA3" s="7">
        <v>-8.9778468012809753E-2</v>
      </c>
      <c r="DB3" s="7">
        <v>-6.527487188577652E-2</v>
      </c>
      <c r="DC3" s="7">
        <v>-1.3747443445026869E-2</v>
      </c>
      <c r="DD3" s="7">
        <v>-5.9340178966522217E-2</v>
      </c>
      <c r="DE3" s="7">
        <v>-2.9697688296437259E-3</v>
      </c>
      <c r="DF3" s="7">
        <v>2.9266869649291039E-2</v>
      </c>
      <c r="DG3" s="7">
        <v>-2.4713881313800808E-2</v>
      </c>
      <c r="DH3" s="7">
        <v>-3.5376153886318207E-2</v>
      </c>
      <c r="DI3" s="7">
        <v>-2.7640743181109428E-2</v>
      </c>
      <c r="DJ3" s="7">
        <v>-5.7575446553528309E-3</v>
      </c>
      <c r="DK3" s="7">
        <v>-4.8771854490041733E-2</v>
      </c>
      <c r="DL3" s="7">
        <v>-1.13038681447506E-2</v>
      </c>
      <c r="DM3" s="7">
        <v>-4.967803880572319E-2</v>
      </c>
      <c r="DN3" s="7">
        <v>-1.280778273940086E-2</v>
      </c>
      <c r="DO3" s="7">
        <v>-1.587224006652832E-2</v>
      </c>
      <c r="DP3" s="7">
        <v>-7.589586079120636E-3</v>
      </c>
      <c r="DQ3" s="7">
        <v>4.0078632533550262E-2</v>
      </c>
      <c r="DR3" s="7">
        <v>-1.5922309830784801E-2</v>
      </c>
      <c r="DS3" s="7">
        <v>2.3432238027453419E-2</v>
      </c>
      <c r="DT3" s="7">
        <v>-5.3663063794374473E-2</v>
      </c>
      <c r="DU3" s="7">
        <v>-4.4161681085824973E-2</v>
      </c>
      <c r="DV3" s="7">
        <v>-2.3813089355826381E-2</v>
      </c>
      <c r="DW3" s="7">
        <v>2.5176366791129109E-2</v>
      </c>
      <c r="DX3" s="7">
        <v>-3.2621368765830987E-2</v>
      </c>
      <c r="DY3" s="7">
        <v>1.3060665689408779E-2</v>
      </c>
      <c r="DZ3" s="7">
        <v>-4.7912493348121643E-2</v>
      </c>
      <c r="EA3" s="7">
        <v>1.4760352671146389E-2</v>
      </c>
      <c r="EB3" s="7">
        <v>-2.9227724298834801E-2</v>
      </c>
      <c r="EC3" s="7">
        <v>-3.5695001482963562E-2</v>
      </c>
      <c r="ED3" s="7">
        <v>-5.2812475711107247E-2</v>
      </c>
      <c r="EE3" s="7">
        <v>-1.3054582290351391E-2</v>
      </c>
      <c r="EF3" s="7">
        <v>-6.9071874022483826E-2</v>
      </c>
      <c r="EG3" s="1"/>
    </row>
    <row r="4" spans="1:139" x14ac:dyDescent="0.3">
      <c r="B4" s="1" t="s">
        <v>138</v>
      </c>
      <c r="C4" s="7">
        <v>-1.8580827862024311E-2</v>
      </c>
      <c r="D4" s="7">
        <v>-4.8252779990434647E-2</v>
      </c>
      <c r="E4" s="7">
        <v>7.8275678679347038E-3</v>
      </c>
      <c r="F4" s="7">
        <v>-2.6776634156703949E-2</v>
      </c>
      <c r="G4" s="7">
        <v>1.6258874908089641E-2</v>
      </c>
      <c r="H4" s="7">
        <v>-8.7667405605316162E-3</v>
      </c>
      <c r="I4" s="7">
        <v>-7.0548905059695244E-3</v>
      </c>
      <c r="J4" s="7">
        <v>-3.2917611300945282E-2</v>
      </c>
      <c r="K4" s="7">
        <v>7.3888557963073254E-3</v>
      </c>
      <c r="L4" s="7">
        <v>3.5096999257802963E-2</v>
      </c>
      <c r="M4" s="7">
        <v>-1.934842579066753E-2</v>
      </c>
      <c r="N4" s="7">
        <v>-1.2498205527663229E-2</v>
      </c>
      <c r="O4" s="7">
        <v>-6.7216232419013977E-2</v>
      </c>
      <c r="P4" s="7">
        <v>-2.768821083009243E-2</v>
      </c>
      <c r="Q4" s="7">
        <v>-5.9864789247512817E-2</v>
      </c>
      <c r="R4" s="7">
        <v>-7.7407129108905792E-2</v>
      </c>
      <c r="S4" s="7">
        <v>-8.372652530670166E-2</v>
      </c>
      <c r="T4" s="7">
        <v>-5.9324655681848533E-2</v>
      </c>
      <c r="U4" s="7">
        <v>-2.3863557726144791E-3</v>
      </c>
      <c r="V4" s="7">
        <v>4.6488689258694649E-3</v>
      </c>
      <c r="W4" s="7">
        <v>-7.4044972658157349E-2</v>
      </c>
      <c r="X4" s="7">
        <v>-9.8803862929344177E-2</v>
      </c>
      <c r="Y4" s="7">
        <v>-9.1002114117145538E-2</v>
      </c>
      <c r="Z4" s="7">
        <v>-6.800408661365509E-2</v>
      </c>
      <c r="AA4" s="7">
        <v>-8.6181230843067169E-2</v>
      </c>
      <c r="AB4" s="7">
        <v>-8.889392763376236E-2</v>
      </c>
      <c r="AC4" s="7">
        <v>-1.6588440164923671E-2</v>
      </c>
      <c r="AD4" s="7">
        <v>6.3448823988437653E-2</v>
      </c>
      <c r="AE4" s="7">
        <v>-5.9580553323030472E-2</v>
      </c>
      <c r="AF4" s="7">
        <v>1.096150139346719E-3</v>
      </c>
      <c r="AG4" s="7">
        <v>2.8850741684436802E-2</v>
      </c>
      <c r="AH4" s="7">
        <v>2.907080203294754E-2</v>
      </c>
      <c r="AI4" s="7">
        <v>-1.015707012265921E-2</v>
      </c>
      <c r="AJ4" s="7">
        <v>4.4545106589794159E-2</v>
      </c>
      <c r="AK4" s="7">
        <v>-1.327527966350317E-2</v>
      </c>
      <c r="AL4" s="7">
        <v>1.4735002070665359E-2</v>
      </c>
      <c r="AM4" s="7">
        <v>5.2847121842205516E-3</v>
      </c>
      <c r="AN4" s="7">
        <v>4.7137059271335602E-2</v>
      </c>
      <c r="AO4" s="7">
        <v>7.4655739590525627E-3</v>
      </c>
      <c r="AP4" s="7">
        <v>4.6993391588330269E-3</v>
      </c>
      <c r="AQ4" s="7">
        <v>2.0851189270615581E-2</v>
      </c>
      <c r="AR4" s="7">
        <v>5.4104723036289222E-2</v>
      </c>
      <c r="AS4" s="7">
        <v>-5.646181758493185E-3</v>
      </c>
      <c r="AT4" s="7">
        <v>4.0453299880027771E-3</v>
      </c>
      <c r="AU4" s="7">
        <v>2.0628450438380241E-2</v>
      </c>
      <c r="AV4" s="7">
        <v>2.111388556659222E-2</v>
      </c>
      <c r="AW4" s="7">
        <v>-4.1878089308738708E-2</v>
      </c>
      <c r="AX4" s="7">
        <v>1.5781458467245098E-2</v>
      </c>
      <c r="AY4" s="7">
        <v>-2.299829013645649E-2</v>
      </c>
      <c r="AZ4" s="7">
        <v>5.878029391169548E-3</v>
      </c>
      <c r="BA4" s="7">
        <v>-2.1811418235301971E-2</v>
      </c>
      <c r="BB4" s="7">
        <v>-7.6676465570926666E-2</v>
      </c>
      <c r="BC4" s="7">
        <v>1.004549115896225E-2</v>
      </c>
      <c r="BD4" s="7">
        <v>-4.7882307320833213E-2</v>
      </c>
      <c r="BE4" s="7">
        <v>-6.8554230034351349E-2</v>
      </c>
      <c r="BF4" s="7">
        <v>-8.2745306193828583E-2</v>
      </c>
      <c r="BG4" s="7">
        <v>-0.1204242408275604</v>
      </c>
      <c r="BH4" s="7">
        <v>-0.10103762894868849</v>
      </c>
      <c r="BI4" s="7">
        <v>-3.9490096271038062E-2</v>
      </c>
      <c r="BJ4" s="7">
        <v>-6.4256303012371063E-2</v>
      </c>
      <c r="BK4" s="7">
        <v>-0.14447127282619479</v>
      </c>
      <c r="BL4" s="7">
        <v>-0.1120113208889961</v>
      </c>
      <c r="BM4" s="7">
        <v>-3.4826010465621948E-2</v>
      </c>
      <c r="BN4" s="7">
        <v>-8.5986465215682983E-2</v>
      </c>
      <c r="BO4" s="7">
        <v>-7.0973977446556091E-2</v>
      </c>
      <c r="BP4" s="7">
        <v>-3.4846525639295578E-2</v>
      </c>
      <c r="BQ4" s="7">
        <v>-2.0351750776171681E-2</v>
      </c>
      <c r="BR4" s="7">
        <v>-2.315560914576054E-2</v>
      </c>
      <c r="BS4" s="7">
        <v>-3.2191596925258643E-2</v>
      </c>
      <c r="BT4" s="7">
        <v>-6.8826571106910706E-2</v>
      </c>
      <c r="BU4" s="7">
        <v>-9.2764981091022491E-2</v>
      </c>
      <c r="BV4" s="7">
        <v>-8.1678107380867004E-2</v>
      </c>
      <c r="BW4" s="7">
        <v>-6.8563610315322876E-2</v>
      </c>
      <c r="BX4" s="7">
        <v>-1.983198523521423E-2</v>
      </c>
      <c r="BY4" s="7">
        <v>-6.1186797916889191E-2</v>
      </c>
      <c r="BZ4" s="7">
        <v>-7.0581048727035522E-2</v>
      </c>
      <c r="CA4" s="7">
        <v>-7.2609454393386841E-2</v>
      </c>
      <c r="CB4" s="7">
        <v>-8.8862821459770203E-2</v>
      </c>
      <c r="CC4" s="7">
        <v>-6.5672166645526886E-2</v>
      </c>
      <c r="CD4" s="7">
        <v>-7.0492014288902283E-2</v>
      </c>
      <c r="CE4" s="7">
        <v>-8.9266888797283173E-2</v>
      </c>
      <c r="CF4" s="7">
        <v>-1.9554028287529949E-2</v>
      </c>
      <c r="CG4" s="7">
        <v>-3.8807325065135963E-2</v>
      </c>
      <c r="CH4" s="7">
        <v>-2.6853706687688831E-2</v>
      </c>
      <c r="CI4" s="7">
        <v>-2.3996761068701741E-2</v>
      </c>
      <c r="CJ4" s="7">
        <v>-6.9834161549806586E-3</v>
      </c>
      <c r="CK4" s="7">
        <v>-1.185638178139925E-2</v>
      </c>
      <c r="CL4" s="7">
        <v>-1.1220706626772881E-2</v>
      </c>
      <c r="CM4" s="7">
        <v>-1.975167170166969E-2</v>
      </c>
      <c r="CN4" s="7">
        <v>-1.7389096319675449E-2</v>
      </c>
      <c r="CO4" s="7">
        <v>9.1980240540578961E-4</v>
      </c>
      <c r="CP4" s="7">
        <v>-2.7678526937961578E-2</v>
      </c>
      <c r="CQ4" s="7">
        <v>-2.722612768411636E-2</v>
      </c>
      <c r="CR4" s="7">
        <v>-3.4191105514764793E-2</v>
      </c>
      <c r="CS4" s="7">
        <v>-3.7506073713302612E-2</v>
      </c>
      <c r="CT4" s="7">
        <v>-4.9283858388662338E-2</v>
      </c>
      <c r="CU4" s="7">
        <v>-2.3866469040513039E-2</v>
      </c>
      <c r="CV4" s="7">
        <v>-2.7314594481140379E-3</v>
      </c>
      <c r="CW4" s="7">
        <v>2.5829777121543881E-2</v>
      </c>
      <c r="CX4" s="7">
        <v>-7.7818602323532104E-2</v>
      </c>
      <c r="CY4" s="7">
        <v>-1.714335381984711E-2</v>
      </c>
      <c r="CZ4" s="7">
        <v>6.4833508804440498E-3</v>
      </c>
      <c r="DA4" s="7">
        <v>2.1121479570865631E-2</v>
      </c>
      <c r="DB4" s="7">
        <v>1.6250079497694969E-3</v>
      </c>
      <c r="DC4" s="7">
        <v>1.4495826326310629E-2</v>
      </c>
      <c r="DD4" s="7">
        <v>3.7542592734098428E-2</v>
      </c>
      <c r="DE4" s="7">
        <v>-4.7325566411018372E-2</v>
      </c>
      <c r="DF4" s="7">
        <v>3.3347133547067642E-2</v>
      </c>
      <c r="DG4" s="7">
        <v>-1.8042853102087971E-2</v>
      </c>
      <c r="DH4" s="7">
        <v>-1.2872833758592611E-2</v>
      </c>
      <c r="DI4" s="7">
        <v>2.5734813883900639E-2</v>
      </c>
      <c r="DJ4" s="7">
        <v>1.416372787207365E-2</v>
      </c>
      <c r="DK4" s="7">
        <v>-3.316790983080864E-2</v>
      </c>
      <c r="DL4" s="7">
        <v>-2.1062262356281281E-2</v>
      </c>
      <c r="DM4" s="7">
        <v>1.4148561283946041E-2</v>
      </c>
      <c r="DN4" s="7">
        <v>-1.9859654828906059E-2</v>
      </c>
      <c r="DO4" s="7">
        <v>-3.856055811047554E-2</v>
      </c>
      <c r="DP4" s="7">
        <v>5.259593203663826E-2</v>
      </c>
      <c r="DQ4" s="7">
        <v>5.0834372639656067E-2</v>
      </c>
      <c r="DR4" s="7">
        <v>3.4424390643835068E-2</v>
      </c>
      <c r="DS4" s="7">
        <v>2.6739172637462619E-2</v>
      </c>
      <c r="DT4" s="7">
        <v>-2.2692034021019939E-2</v>
      </c>
      <c r="DU4" s="7">
        <v>2.356254868209362E-2</v>
      </c>
      <c r="DV4" s="7">
        <v>1.1204046197235581E-2</v>
      </c>
      <c r="DW4" s="7">
        <v>9.7593218088150024E-3</v>
      </c>
      <c r="DX4" s="7">
        <v>-1.200891844928265E-2</v>
      </c>
      <c r="DY4" s="7">
        <v>-1.29100177437067E-2</v>
      </c>
      <c r="DZ4" s="7">
        <v>1.4516728930175299E-2</v>
      </c>
      <c r="EA4" s="7">
        <v>2.0058911293745041E-2</v>
      </c>
      <c r="EB4" s="7">
        <v>5.2505847066640847E-2</v>
      </c>
      <c r="EC4" s="7">
        <v>3.2138381153345108E-2</v>
      </c>
      <c r="ED4" s="7">
        <v>-9.5858694985508919E-3</v>
      </c>
      <c r="EE4" s="7">
        <v>1.6591379418969151E-2</v>
      </c>
      <c r="EF4" s="7">
        <v>2.4656090885400769E-2</v>
      </c>
      <c r="EG4" s="1"/>
    </row>
    <row r="5" spans="1:139" x14ac:dyDescent="0.3">
      <c r="B5" s="1" t="s">
        <v>139</v>
      </c>
      <c r="C5" s="7">
        <v>-1.9821943715214729E-2</v>
      </c>
      <c r="D5" s="7">
        <v>-2.4067563936114311E-2</v>
      </c>
      <c r="E5" s="7">
        <v>-7.5782481580972672E-3</v>
      </c>
      <c r="F5" s="7">
        <v>3.8560427725315087E-2</v>
      </c>
      <c r="G5" s="7">
        <v>-7.0930332876741886E-3</v>
      </c>
      <c r="H5" s="7">
        <v>-2.8790984302759171E-2</v>
      </c>
      <c r="I5" s="7">
        <v>-5.0696283578872681E-2</v>
      </c>
      <c r="J5" s="7">
        <v>-1.75021740142256E-3</v>
      </c>
      <c r="K5" s="7">
        <v>-4.8410315066576004E-3</v>
      </c>
      <c r="L5" s="7">
        <v>-2.5085138157010078E-2</v>
      </c>
      <c r="M5" s="7">
        <v>3.4981705248355872E-2</v>
      </c>
      <c r="N5" s="7">
        <v>7.1464717388153076E-2</v>
      </c>
      <c r="O5" s="7">
        <v>4.9568243324756622E-2</v>
      </c>
      <c r="P5" s="7">
        <v>9.211605042219162E-2</v>
      </c>
      <c r="Q5" s="7">
        <v>7.458747923374176E-2</v>
      </c>
      <c r="R5" s="7">
        <v>3.6225240677595139E-2</v>
      </c>
      <c r="S5" s="7">
        <v>6.8880669772624969E-2</v>
      </c>
      <c r="T5" s="7">
        <v>5.0580024719238281E-2</v>
      </c>
      <c r="U5" s="7">
        <v>5.0022769719362259E-2</v>
      </c>
      <c r="V5" s="7">
        <v>6.5072879195213318E-2</v>
      </c>
      <c r="W5" s="7">
        <v>8.2305394113063812E-2</v>
      </c>
      <c r="X5" s="7">
        <v>4.979049414396286E-2</v>
      </c>
      <c r="Y5" s="7">
        <v>0.16213490068912509</v>
      </c>
      <c r="Z5" s="7">
        <v>4.9829393625259399E-2</v>
      </c>
      <c r="AA5" s="7">
        <v>-9.6141993999481201E-3</v>
      </c>
      <c r="AB5" s="7">
        <v>-9.4462800770998001E-3</v>
      </c>
      <c r="AC5" s="7">
        <v>-1.5571466647088529E-2</v>
      </c>
      <c r="AD5" s="7">
        <v>-5.6024580262601384E-3</v>
      </c>
      <c r="AE5" s="7">
        <v>2.4225909262895581E-2</v>
      </c>
      <c r="AF5" s="7">
        <v>6.4355872571468353E-2</v>
      </c>
      <c r="AG5" s="7">
        <v>6.0781430453062057E-2</v>
      </c>
      <c r="AH5" s="7">
        <v>2.877256274223328E-2</v>
      </c>
      <c r="AI5" s="7">
        <v>4.2393732815980911E-2</v>
      </c>
      <c r="AJ5" s="7">
        <v>1.3549104332923889E-2</v>
      </c>
      <c r="AK5" s="7">
        <v>0.104340173304081</v>
      </c>
      <c r="AL5" s="7">
        <v>2.3477694019675251E-2</v>
      </c>
      <c r="AM5" s="7">
        <v>4.9679871648550027E-2</v>
      </c>
      <c r="AN5" s="7">
        <v>-1.9429741427302361E-2</v>
      </c>
      <c r="AO5" s="7">
        <v>-9.9202198907732964E-3</v>
      </c>
      <c r="AP5" s="7">
        <v>1.375884562730789E-2</v>
      </c>
      <c r="AQ5" s="7">
        <v>-4.9647921696305266E-3</v>
      </c>
      <c r="AR5" s="7">
        <v>-1.355784293264151E-2</v>
      </c>
      <c r="AS5" s="7">
        <v>-2.6926254853606221E-2</v>
      </c>
      <c r="AT5" s="7">
        <v>-7.0274341851472846E-3</v>
      </c>
      <c r="AU5" s="7">
        <v>9.5545966178178787E-3</v>
      </c>
      <c r="AV5" s="7">
        <v>3.9484385401010513E-2</v>
      </c>
      <c r="AW5" s="7">
        <v>1.0149263776838779E-2</v>
      </c>
      <c r="AX5" s="7">
        <v>2.7402361854910851E-2</v>
      </c>
      <c r="AY5" s="7">
        <v>3.636043518781662E-2</v>
      </c>
      <c r="AZ5" s="7">
        <v>-1.262158527970314E-2</v>
      </c>
      <c r="BA5" s="7">
        <v>5.0261570140719414E-3</v>
      </c>
      <c r="BB5" s="7">
        <v>3.7919752299785607E-2</v>
      </c>
      <c r="BC5" s="7">
        <v>5.3017329424619668E-2</v>
      </c>
      <c r="BD5" s="7">
        <v>-5.6791070848703377E-2</v>
      </c>
      <c r="BE5" s="7">
        <v>-1.0663941502571109E-2</v>
      </c>
      <c r="BF5" s="7">
        <v>-4.5907318592071533E-2</v>
      </c>
      <c r="BG5" s="7">
        <v>-4.1811093688011169E-2</v>
      </c>
      <c r="BH5" s="7">
        <v>-8.6124790832400322E-3</v>
      </c>
      <c r="BI5" s="7">
        <v>5.799414124339819E-3</v>
      </c>
      <c r="BJ5" s="7">
        <v>-1.243619527667761E-2</v>
      </c>
      <c r="BK5" s="7">
        <v>2.8031732887029651E-2</v>
      </c>
      <c r="BL5" s="7">
        <v>1.237457524985075E-2</v>
      </c>
      <c r="BM5" s="7">
        <v>3.3071968704462051E-2</v>
      </c>
      <c r="BN5" s="7">
        <v>5.3148314356803887E-2</v>
      </c>
      <c r="BO5" s="7">
        <v>-2.6408641133457422E-4</v>
      </c>
      <c r="BP5" s="7">
        <v>2.5249753147363659E-2</v>
      </c>
      <c r="BQ5" s="7">
        <v>1.6997437924146649E-2</v>
      </c>
      <c r="BR5" s="7">
        <v>3.9869185537099838E-2</v>
      </c>
      <c r="BS5" s="7">
        <v>1.4649398624897E-2</v>
      </c>
      <c r="BT5" s="7">
        <v>-1.352826133370399E-3</v>
      </c>
      <c r="BU5" s="7">
        <v>-1.624243147671223E-2</v>
      </c>
      <c r="BV5" s="7">
        <v>-1.9686918705701831E-2</v>
      </c>
      <c r="BW5" s="7">
        <v>1.865353994071484E-2</v>
      </c>
      <c r="BX5" s="7">
        <v>1.243885513395071E-2</v>
      </c>
      <c r="BY5" s="7">
        <v>1.172025687992573E-2</v>
      </c>
      <c r="BZ5" s="7">
        <v>2.6449056342244152E-2</v>
      </c>
      <c r="CA5" s="7">
        <v>2.04578060656786E-2</v>
      </c>
      <c r="CB5" s="7">
        <v>-1.0790687054395681E-2</v>
      </c>
      <c r="CC5" s="7">
        <v>2.7279853820800781E-2</v>
      </c>
      <c r="CD5" s="7">
        <v>-2.825878094881773E-3</v>
      </c>
      <c r="CE5" s="7">
        <v>-3.9107587188482278E-2</v>
      </c>
      <c r="CF5" s="7">
        <v>2.643934823572636E-2</v>
      </c>
      <c r="CG5" s="7">
        <v>-1.353815849870443E-2</v>
      </c>
      <c r="CH5" s="7">
        <v>3.3741135150194168E-2</v>
      </c>
      <c r="CI5" s="7">
        <v>-1.802918687462807E-2</v>
      </c>
      <c r="CJ5" s="7">
        <v>7.7282674610614777E-3</v>
      </c>
      <c r="CK5" s="7">
        <v>4.5171476900577552E-2</v>
      </c>
      <c r="CL5" s="7">
        <v>-1.4336470048874621E-3</v>
      </c>
      <c r="CM5" s="7">
        <v>-4.3408293277025223E-2</v>
      </c>
      <c r="CN5" s="7">
        <v>-4.8494711518287659E-2</v>
      </c>
      <c r="CO5" s="7">
        <v>-3.4412361681461327E-2</v>
      </c>
      <c r="CP5" s="7">
        <v>-3.1831637024879463E-2</v>
      </c>
      <c r="CQ5" s="7">
        <v>-2.954593114554882E-2</v>
      </c>
      <c r="CR5" s="7">
        <v>-4.6193767338991172E-2</v>
      </c>
      <c r="CS5" s="7">
        <v>-2.2423639893531799E-2</v>
      </c>
      <c r="CT5" s="7">
        <v>2.7818739414215091E-2</v>
      </c>
      <c r="CU5" s="7">
        <v>3.4685932099819183E-2</v>
      </c>
      <c r="CV5" s="7">
        <v>2.074115909636021E-2</v>
      </c>
      <c r="CW5" s="7">
        <v>3.9250623434782028E-2</v>
      </c>
      <c r="CX5" s="7">
        <v>2.3623250424861911E-2</v>
      </c>
      <c r="CY5" s="7">
        <v>2.0947696641087529E-2</v>
      </c>
      <c r="CZ5" s="7">
        <v>2.7976941782981162E-3</v>
      </c>
      <c r="DA5" s="7">
        <v>3.1392037868499763E-2</v>
      </c>
      <c r="DB5" s="7">
        <v>2.502433024346828E-3</v>
      </c>
      <c r="DC5" s="7">
        <v>4.6531397849321372E-2</v>
      </c>
      <c r="DD5" s="7">
        <v>3.7525448948144913E-2</v>
      </c>
      <c r="DE5" s="7">
        <v>6.0277972370386117E-2</v>
      </c>
      <c r="DF5" s="7">
        <v>-1.6737030819058418E-2</v>
      </c>
      <c r="DG5" s="7">
        <v>-9.5816031098365784E-3</v>
      </c>
      <c r="DH5" s="7">
        <v>2.3357640951871868E-2</v>
      </c>
      <c r="DI5" s="7">
        <v>-4.1918892413377762E-2</v>
      </c>
      <c r="DJ5" s="7">
        <v>-1.131146331317723E-3</v>
      </c>
      <c r="DK5" s="7">
        <v>4.1163764894008643E-2</v>
      </c>
      <c r="DL5" s="7">
        <v>2.8391024097800251E-2</v>
      </c>
      <c r="DM5" s="7">
        <v>-2.8915755450725559E-2</v>
      </c>
      <c r="DN5" s="7">
        <v>-1.6116663813591E-2</v>
      </c>
      <c r="DO5" s="7">
        <v>-4.4103553518652916E-3</v>
      </c>
      <c r="DP5" s="7">
        <v>-2.803636156022549E-2</v>
      </c>
      <c r="DQ5" s="7">
        <v>3.730235388502479E-3</v>
      </c>
      <c r="DR5" s="7">
        <v>4.8961839638650417E-3</v>
      </c>
      <c r="DS5" s="7">
        <v>1.518423017114401E-2</v>
      </c>
      <c r="DT5" s="7">
        <v>-2.709389291703701E-2</v>
      </c>
      <c r="DU5" s="7">
        <v>2.157741412520409E-2</v>
      </c>
      <c r="DV5" s="7">
        <v>-1.6142900567501779E-3</v>
      </c>
      <c r="DW5" s="7">
        <v>-4.1363826021552086E-3</v>
      </c>
      <c r="DX5" s="7">
        <v>-4.4376425445079803E-2</v>
      </c>
      <c r="DY5" s="7">
        <v>-3.3609867095947273E-2</v>
      </c>
      <c r="DZ5" s="7">
        <v>-4.8759568482637412E-2</v>
      </c>
      <c r="EA5" s="7">
        <v>5.7486207224428654E-3</v>
      </c>
      <c r="EB5" s="7">
        <v>5.8685941621661186E-3</v>
      </c>
      <c r="EC5" s="7">
        <v>4.229099303483963E-2</v>
      </c>
      <c r="ED5" s="7">
        <v>2.5345668196678162E-2</v>
      </c>
      <c r="EE5" s="7">
        <v>7.0743728429079056E-3</v>
      </c>
      <c r="EF5" s="7">
        <v>3.71592678129673E-2</v>
      </c>
      <c r="EG5" s="1"/>
    </row>
    <row r="6" spans="1:139" x14ac:dyDescent="0.3">
      <c r="A6" s="13" t="s">
        <v>140</v>
      </c>
      <c r="B6" s="14"/>
      <c r="C6" s="7">
        <f t="array" ref="C6">MATCH(MAX(ABS(C3:C5)), ABS(C3:C5), 0)</f>
        <v>1</v>
      </c>
      <c r="D6" s="7">
        <f t="array" ref="D6">MATCH(MAX(ABS(D3:D5)), ABS(D3:D5), 0)</f>
        <v>2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2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3</v>
      </c>
      <c r="N6" s="7">
        <f t="array" ref="N6">MATCH(MAX(ABS(N3:N5)), ABS(N3:N5), 0)</f>
        <v>1</v>
      </c>
      <c r="O6" s="7">
        <f t="array" ref="O6">MATCH(MAX(ABS(O3:O5)), ABS(O3:O5), 0)</f>
        <v>2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2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2</v>
      </c>
      <c r="AC6" s="7">
        <f t="array" ref="AC6">MATCH(MAX(ABS(AC3:AC5)), ABS(AC3:AC5), 0)</f>
        <v>1</v>
      </c>
      <c r="AD6" s="7">
        <f t="array" ref="AD6">MATCH(MAX(ABS(AD3:AD5)), ABS(AD3:AD5), 0)</f>
        <v>2</v>
      </c>
      <c r="AE6" s="7">
        <f t="array" ref="AE6">MATCH(MAX(ABS(AE3:AE5)), ABS(AE3:AE5), 0)</f>
        <v>2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2</v>
      </c>
      <c r="AI6" s="7">
        <f t="array" ref="AI6">MATCH(MAX(ABS(AI3:AI5)), ABS(AI3:AI5), 0)</f>
        <v>3</v>
      </c>
      <c r="AJ6" s="7">
        <f t="array" ref="AJ6">MATCH(MAX(ABS(AJ3:AJ5)), ABS(AJ3:AJ5), 0)</f>
        <v>2</v>
      </c>
      <c r="AK6" s="7">
        <f t="array" ref="AK6">MATCH(MAX(ABS(AK3:AK5)), ABS(AK3:AK5), 0)</f>
        <v>3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2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3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1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3</v>
      </c>
      <c r="BD6" s="7">
        <f t="array" ref="BD6">MATCH(MAX(ABS(BD3:BD5)), ABS(BD3:BD5), 0)</f>
        <v>1</v>
      </c>
      <c r="BE6" s="7">
        <f t="array" ref="BE6">MATCH(MAX(ABS(BE3:BE5)), ABS(BE3:BE5), 0)</f>
        <v>2</v>
      </c>
      <c r="BF6" s="7">
        <f t="array" ref="BF6">MATCH(MAX(ABS(BF3:BF5)), ABS(BF3:BF5), 0)</f>
        <v>2</v>
      </c>
      <c r="BG6" s="7">
        <f t="array" ref="BG6">MATCH(MAX(ABS(BG3:BG5)), ABS(BG3:BG5), 0)</f>
        <v>2</v>
      </c>
      <c r="BH6" s="7">
        <f t="array" ref="BH6">MATCH(MAX(ABS(BH3:BH5)), ABS(BH3:BH5), 0)</f>
        <v>2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2</v>
      </c>
      <c r="BL6" s="7">
        <f t="array" ref="BL6">MATCH(MAX(ABS(BL3:BL5)), ABS(BL3:BL5), 0)</f>
        <v>2</v>
      </c>
      <c r="BM6" s="7">
        <f t="array" ref="BM6">MATCH(MAX(ABS(BM3:BM5)), ABS(BM3:BM5), 0)</f>
        <v>2</v>
      </c>
      <c r="BN6" s="7">
        <f t="array" ref="BN6">MATCH(MAX(ABS(BN3:BN5)), ABS(BN3:BN5), 0)</f>
        <v>2</v>
      </c>
      <c r="BO6" s="7">
        <f t="array" ref="BO6">MATCH(MAX(ABS(BO3:BO5)), ABS(BO3:BO5), 0)</f>
        <v>2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3</v>
      </c>
      <c r="BS6" s="7">
        <f t="array" ref="BS6">MATCH(MAX(ABS(BS3:BS5)), ABS(BS3:BS5), 0)</f>
        <v>1</v>
      </c>
      <c r="BT6" s="7">
        <f t="array" ref="BT6">MATCH(MAX(ABS(BT3:BT5)), ABS(BT3:BT5), 0)</f>
        <v>2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2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3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2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3</v>
      </c>
      <c r="CN6" s="7">
        <f t="array" ref="CN6">MATCH(MAX(ABS(CN3:CN5)), ABS(CN3:CN5), 0)</f>
        <v>3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1</v>
      </c>
      <c r="CR6" s="7">
        <f t="array" ref="CR6">MATCH(MAX(ABS(CR3:CR5)), ABS(CR3:CR5), 0)</f>
        <v>1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2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3</v>
      </c>
      <c r="DD6" s="7">
        <f t="array" ref="DD6">MATCH(MAX(ABS(DD3:DD5)), ABS(DD3:DD5), 0)</f>
        <v>1</v>
      </c>
      <c r="DE6" s="7">
        <f t="array" ref="DE6">MATCH(MAX(ABS(DE3:DE5)), ABS(DE3:DE5), 0)</f>
        <v>3</v>
      </c>
      <c r="DF6" s="7">
        <f t="array" ref="DF6">MATCH(MAX(ABS(DF3:DF5)), ABS(DF3:DF5), 0)</f>
        <v>2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3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3</v>
      </c>
      <c r="DM6" s="7">
        <f t="array" ref="DM6">MATCH(MAX(ABS(DM3:DM5)), ABS(DM3:DM5), 0)</f>
        <v>1</v>
      </c>
      <c r="DN6" s="7">
        <f t="array" ref="DN6">MATCH(MAX(ABS(DN3:DN5)), ABS(DN3:DN5), 0)</f>
        <v>2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2</v>
      </c>
      <c r="DS6" s="7">
        <f t="array" ref="DS6">MATCH(MAX(ABS(DS3:DS5)), ABS(DS3:DS5), 0)</f>
        <v>2</v>
      </c>
      <c r="DT6" s="7">
        <f t="array" ref="DT6">MATCH(MAX(ABS(DT3:DT5)), ABS(DT3:DT5), 0)</f>
        <v>1</v>
      </c>
      <c r="DU6" s="7">
        <f t="array" ref="DU6">MATCH(MAX(ABS(DU3:DU5)), ABS(DU3:DU5), 0)</f>
        <v>1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1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9" x14ac:dyDescent="0.3">
      <c r="C7" s="7" t="str">
        <f t="shared" ref="C7:AH7" si="0">IF(C6=1,"bm",IF(C6=2,"size",IF(C6=3,"mom")))</f>
        <v>bm</v>
      </c>
      <c r="D7" s="7" t="str">
        <f t="shared" si="0"/>
        <v>size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size</v>
      </c>
      <c r="K7" s="7" t="str">
        <f t="shared" si="0"/>
        <v>bm</v>
      </c>
      <c r="L7" s="7" t="str">
        <f t="shared" si="0"/>
        <v>bm</v>
      </c>
      <c r="M7" s="7" t="str">
        <f t="shared" si="0"/>
        <v>mom</v>
      </c>
      <c r="N7" s="7" t="str">
        <f t="shared" si="0"/>
        <v>bm</v>
      </c>
      <c r="O7" s="7" t="str">
        <f t="shared" si="0"/>
        <v>size</v>
      </c>
      <c r="P7" s="7" t="str">
        <f t="shared" si="0"/>
        <v>mom</v>
      </c>
      <c r="Q7" s="7" t="str">
        <f t="shared" si="0"/>
        <v>bm</v>
      </c>
      <c r="R7" s="7" t="str">
        <f t="shared" si="0"/>
        <v>size</v>
      </c>
      <c r="S7" s="7" t="str">
        <f t="shared" si="0"/>
        <v>size</v>
      </c>
      <c r="T7" s="7" t="str">
        <f t="shared" si="0"/>
        <v>size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size</v>
      </c>
      <c r="AA7" s="7" t="str">
        <f t="shared" si="0"/>
        <v>size</v>
      </c>
      <c r="AB7" s="7" t="str">
        <f t="shared" si="0"/>
        <v>size</v>
      </c>
      <c r="AC7" s="7" t="str">
        <f t="shared" si="0"/>
        <v>bm</v>
      </c>
      <c r="AD7" s="7" t="str">
        <f t="shared" si="0"/>
        <v>size</v>
      </c>
      <c r="AE7" s="7" t="str">
        <f t="shared" si="0"/>
        <v>size</v>
      </c>
      <c r="AF7" s="7" t="str">
        <f t="shared" si="0"/>
        <v>mom</v>
      </c>
      <c r="AG7" s="7" t="str">
        <f t="shared" si="0"/>
        <v>mom</v>
      </c>
      <c r="AH7" s="7" t="str">
        <f t="shared" si="0"/>
        <v>size</v>
      </c>
      <c r="AI7" s="7" t="str">
        <f t="shared" ref="AI7:BN7" si="1">IF(AI6=1,"bm",IF(AI6=2,"size",IF(AI6=3,"mom")))</f>
        <v>mom</v>
      </c>
      <c r="AJ7" s="7" t="str">
        <f t="shared" si="1"/>
        <v>size</v>
      </c>
      <c r="AK7" s="7" t="str">
        <f t="shared" si="1"/>
        <v>mom</v>
      </c>
      <c r="AL7" s="7" t="str">
        <f t="shared" si="1"/>
        <v>mom</v>
      </c>
      <c r="AM7" s="7" t="str">
        <f t="shared" si="1"/>
        <v>mom</v>
      </c>
      <c r="AN7" s="7" t="str">
        <f t="shared" si="1"/>
        <v>size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size</v>
      </c>
      <c r="AS7" s="7" t="str">
        <f t="shared" si="1"/>
        <v>mom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bm</v>
      </c>
      <c r="BA7" s="7" t="str">
        <f t="shared" si="1"/>
        <v>bm</v>
      </c>
      <c r="BB7" s="7" t="str">
        <f t="shared" si="1"/>
        <v>size</v>
      </c>
      <c r="BC7" s="7" t="str">
        <f t="shared" si="1"/>
        <v>mom</v>
      </c>
      <c r="BD7" s="7" t="str">
        <f t="shared" si="1"/>
        <v>bm</v>
      </c>
      <c r="BE7" s="7" t="str">
        <f t="shared" si="1"/>
        <v>size</v>
      </c>
      <c r="BF7" s="7" t="str">
        <f t="shared" si="1"/>
        <v>size</v>
      </c>
      <c r="BG7" s="7" t="str">
        <f t="shared" si="1"/>
        <v>size</v>
      </c>
      <c r="BH7" s="7" t="str">
        <f t="shared" si="1"/>
        <v>size</v>
      </c>
      <c r="BI7" s="7" t="str">
        <f t="shared" si="1"/>
        <v>bm</v>
      </c>
      <c r="BJ7" s="7" t="str">
        <f t="shared" si="1"/>
        <v>bm</v>
      </c>
      <c r="BK7" s="7" t="str">
        <f t="shared" si="1"/>
        <v>size</v>
      </c>
      <c r="BL7" s="7" t="str">
        <f t="shared" si="1"/>
        <v>size</v>
      </c>
      <c r="BM7" s="7" t="str">
        <f t="shared" si="1"/>
        <v>size</v>
      </c>
      <c r="BN7" s="7" t="str">
        <f t="shared" si="1"/>
        <v>size</v>
      </c>
      <c r="BO7" s="7" t="str">
        <f t="shared" ref="BO7:CT7" si="2">IF(BO6=1,"bm",IF(BO6=2,"size",IF(BO6=3,"mom")))</f>
        <v>size</v>
      </c>
      <c r="BP7" s="7" t="str">
        <f t="shared" si="2"/>
        <v>bm</v>
      </c>
      <c r="BQ7" s="7" t="str">
        <f t="shared" si="2"/>
        <v>bm</v>
      </c>
      <c r="BR7" s="7" t="str">
        <f t="shared" si="2"/>
        <v>mom</v>
      </c>
      <c r="BS7" s="7" t="str">
        <f t="shared" si="2"/>
        <v>bm</v>
      </c>
      <c r="BT7" s="7" t="str">
        <f t="shared" si="2"/>
        <v>size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size</v>
      </c>
      <c r="BZ7" s="7" t="str">
        <f t="shared" si="2"/>
        <v>bm</v>
      </c>
      <c r="CA7" s="7" t="str">
        <f t="shared" si="2"/>
        <v>size</v>
      </c>
      <c r="CB7" s="7" t="str">
        <f t="shared" si="2"/>
        <v>size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mom</v>
      </c>
      <c r="CG7" s="7" t="str">
        <f t="shared" si="2"/>
        <v>size</v>
      </c>
      <c r="CH7" s="7" t="str">
        <f t="shared" si="2"/>
        <v>bm</v>
      </c>
      <c r="CI7" s="7" t="str">
        <f t="shared" si="2"/>
        <v>size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mom</v>
      </c>
      <c r="CN7" s="7" t="str">
        <f t="shared" si="2"/>
        <v>mom</v>
      </c>
      <c r="CO7" s="7" t="str">
        <f t="shared" si="2"/>
        <v>mom</v>
      </c>
      <c r="CP7" s="7" t="str">
        <f t="shared" si="2"/>
        <v>bm</v>
      </c>
      <c r="CQ7" s="7" t="str">
        <f t="shared" si="2"/>
        <v>bm</v>
      </c>
      <c r="CR7" s="7" t="str">
        <f t="shared" si="2"/>
        <v>bm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size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bm</v>
      </c>
      <c r="DC7" s="7" t="str">
        <f t="shared" si="3"/>
        <v>mom</v>
      </c>
      <c r="DD7" s="7" t="str">
        <f t="shared" si="3"/>
        <v>bm</v>
      </c>
      <c r="DE7" s="7" t="str">
        <f t="shared" si="3"/>
        <v>mom</v>
      </c>
      <c r="DF7" s="7" t="str">
        <f t="shared" si="3"/>
        <v>size</v>
      </c>
      <c r="DG7" s="7" t="str">
        <f t="shared" si="3"/>
        <v>bm</v>
      </c>
      <c r="DH7" s="7" t="str">
        <f t="shared" si="3"/>
        <v>bm</v>
      </c>
      <c r="DI7" s="7" t="str">
        <f t="shared" si="3"/>
        <v>mom</v>
      </c>
      <c r="DJ7" s="7" t="str">
        <f t="shared" si="3"/>
        <v>size</v>
      </c>
      <c r="DK7" s="7" t="str">
        <f t="shared" si="3"/>
        <v>bm</v>
      </c>
      <c r="DL7" s="7" t="str">
        <f t="shared" si="3"/>
        <v>mom</v>
      </c>
      <c r="DM7" s="7" t="str">
        <f t="shared" si="3"/>
        <v>bm</v>
      </c>
      <c r="DN7" s="7" t="str">
        <f t="shared" si="3"/>
        <v>size</v>
      </c>
      <c r="DO7" s="7" t="str">
        <f t="shared" si="3"/>
        <v>size</v>
      </c>
      <c r="DP7" s="7" t="str">
        <f t="shared" si="3"/>
        <v>size</v>
      </c>
      <c r="DQ7" s="7" t="str">
        <f t="shared" si="3"/>
        <v>size</v>
      </c>
      <c r="DR7" s="7" t="str">
        <f t="shared" si="3"/>
        <v>size</v>
      </c>
      <c r="DS7" s="7" t="str">
        <f t="shared" si="3"/>
        <v>size</v>
      </c>
      <c r="DT7" s="7" t="str">
        <f t="shared" si="3"/>
        <v>bm</v>
      </c>
      <c r="DU7" s="7" t="str">
        <f t="shared" si="3"/>
        <v>bm</v>
      </c>
      <c r="DV7" s="7" t="str">
        <f t="shared" si="3"/>
        <v>bm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size</v>
      </c>
      <c r="EC7" s="7" t="str">
        <f t="shared" si="4"/>
        <v>mom</v>
      </c>
      <c r="ED7" s="7" t="str">
        <f t="shared" si="4"/>
        <v>bm</v>
      </c>
      <c r="EE7" s="7" t="str">
        <f t="shared" si="4"/>
        <v>size</v>
      </c>
      <c r="EF7" s="7" t="str">
        <f t="shared" si="4"/>
        <v>bm</v>
      </c>
      <c r="EG7" s="1" t="str">
        <f t="shared" si="4"/>
        <v>bm</v>
      </c>
    </row>
    <row r="8" spans="1:139" x14ac:dyDescent="0.3">
      <c r="C8" s="7">
        <f t="shared" ref="C8:AH8" si="5">IF(C6=1,C3,IF(C6=2,C4,IF(C6=3,C5)))</f>
        <v>4.0547288954257972E-2</v>
      </c>
      <c r="D8" s="7">
        <f t="shared" si="5"/>
        <v>-4.8252779990434647E-2</v>
      </c>
      <c r="E8" s="7">
        <f t="shared" si="5"/>
        <v>-5.1652342081069953E-2</v>
      </c>
      <c r="F8" s="7">
        <f t="shared" si="5"/>
        <v>-5.4286114871501923E-2</v>
      </c>
      <c r="G8" s="7">
        <f t="shared" si="5"/>
        <v>-5.7552006095647812E-2</v>
      </c>
      <c r="H8" s="7">
        <f t="shared" si="5"/>
        <v>-7.6259449124336243E-2</v>
      </c>
      <c r="I8" s="7">
        <f t="shared" si="5"/>
        <v>-0.107886478304863</v>
      </c>
      <c r="J8" s="7">
        <f t="shared" si="5"/>
        <v>-3.2917611300945282E-2</v>
      </c>
      <c r="K8" s="7">
        <f t="shared" si="5"/>
        <v>-5.9229228645563133E-2</v>
      </c>
      <c r="L8" s="7">
        <f t="shared" si="5"/>
        <v>-0.1078036949038506</v>
      </c>
      <c r="M8" s="7">
        <f t="shared" si="5"/>
        <v>3.4981705248355872E-2</v>
      </c>
      <c r="N8" s="7">
        <f t="shared" si="5"/>
        <v>-0.1346741318702698</v>
      </c>
      <c r="O8" s="7">
        <f t="shared" si="5"/>
        <v>-6.7216232419013977E-2</v>
      </c>
      <c r="P8" s="7">
        <f t="shared" si="5"/>
        <v>9.211605042219162E-2</v>
      </c>
      <c r="Q8" s="7">
        <f t="shared" si="5"/>
        <v>-8.6447760462760925E-2</v>
      </c>
      <c r="R8" s="7">
        <f t="shared" si="5"/>
        <v>-7.7407129108905792E-2</v>
      </c>
      <c r="S8" s="7">
        <f t="shared" si="5"/>
        <v>-8.372652530670166E-2</v>
      </c>
      <c r="T8" s="7">
        <f t="shared" si="5"/>
        <v>-5.9324655681848533E-2</v>
      </c>
      <c r="U8" s="7">
        <f t="shared" si="5"/>
        <v>-0.10543976724147799</v>
      </c>
      <c r="V8" s="7">
        <f t="shared" si="5"/>
        <v>6.5072879195213318E-2</v>
      </c>
      <c r="W8" s="7">
        <f t="shared" si="5"/>
        <v>8.2305394113063812E-2</v>
      </c>
      <c r="X8" s="7">
        <f t="shared" si="5"/>
        <v>-9.8803862929344177E-2</v>
      </c>
      <c r="Y8" s="7">
        <f t="shared" si="5"/>
        <v>0.16213490068912509</v>
      </c>
      <c r="Z8" s="7">
        <f t="shared" si="5"/>
        <v>-6.800408661365509E-2</v>
      </c>
      <c r="AA8" s="7">
        <f t="shared" si="5"/>
        <v>-8.6181230843067169E-2</v>
      </c>
      <c r="AB8" s="7">
        <f t="shared" si="5"/>
        <v>-8.889392763376236E-2</v>
      </c>
      <c r="AC8" s="7">
        <f t="shared" si="5"/>
        <v>2.934014052152634E-2</v>
      </c>
      <c r="AD8" s="7">
        <f t="shared" si="5"/>
        <v>6.3448823988437653E-2</v>
      </c>
      <c r="AE8" s="7">
        <f t="shared" si="5"/>
        <v>-5.9580553323030472E-2</v>
      </c>
      <c r="AF8" s="7">
        <f t="shared" si="5"/>
        <v>6.4355872571468353E-2</v>
      </c>
      <c r="AG8" s="7">
        <f t="shared" si="5"/>
        <v>6.0781430453062057E-2</v>
      </c>
      <c r="AH8" s="7">
        <f t="shared" si="5"/>
        <v>2.907080203294754E-2</v>
      </c>
      <c r="AI8" s="7">
        <f t="shared" ref="AI8:BN8" si="6">IF(AI6=1,AI3,IF(AI6=2,AI4,IF(AI6=3,AI5)))</f>
        <v>4.2393732815980911E-2</v>
      </c>
      <c r="AJ8" s="7">
        <f t="shared" si="6"/>
        <v>4.4545106589794159E-2</v>
      </c>
      <c r="AK8" s="7">
        <f t="shared" si="6"/>
        <v>0.104340173304081</v>
      </c>
      <c r="AL8" s="7">
        <f t="shared" si="6"/>
        <v>2.3477694019675251E-2</v>
      </c>
      <c r="AM8" s="7">
        <f t="shared" si="6"/>
        <v>4.9679871648550027E-2</v>
      </c>
      <c r="AN8" s="7">
        <f t="shared" si="6"/>
        <v>4.7137059271335602E-2</v>
      </c>
      <c r="AO8" s="7">
        <f t="shared" si="6"/>
        <v>-2.9745671898126599E-2</v>
      </c>
      <c r="AP8" s="7">
        <f t="shared" si="6"/>
        <v>-2.683783695101738E-2</v>
      </c>
      <c r="AQ8" s="7">
        <f t="shared" si="6"/>
        <v>-2.169711887836456E-2</v>
      </c>
      <c r="AR8" s="7">
        <f t="shared" si="6"/>
        <v>5.4104723036289222E-2</v>
      </c>
      <c r="AS8" s="7">
        <f t="shared" si="6"/>
        <v>-2.6926254853606221E-2</v>
      </c>
      <c r="AT8" s="7">
        <f t="shared" si="6"/>
        <v>6.6039755940437317E-2</v>
      </c>
      <c r="AU8" s="7">
        <f t="shared" si="6"/>
        <v>6.2266789376735687E-2</v>
      </c>
      <c r="AV8" s="7">
        <f t="shared" si="6"/>
        <v>5.7940512895584113E-2</v>
      </c>
      <c r="AW8" s="7">
        <f t="shared" si="6"/>
        <v>0.1063941121101379</v>
      </c>
      <c r="AX8" s="7">
        <f t="shared" si="6"/>
        <v>2.7402361854910851E-2</v>
      </c>
      <c r="AY8" s="7">
        <f t="shared" si="6"/>
        <v>3.636043518781662E-2</v>
      </c>
      <c r="AZ8" s="7">
        <f t="shared" si="6"/>
        <v>8.6036309599876404E-2</v>
      </c>
      <c r="BA8" s="7">
        <f t="shared" si="6"/>
        <v>0.10234846919775011</v>
      </c>
      <c r="BB8" s="7">
        <f t="shared" si="6"/>
        <v>-7.6676465570926666E-2</v>
      </c>
      <c r="BC8" s="7">
        <f t="shared" si="6"/>
        <v>5.3017329424619668E-2</v>
      </c>
      <c r="BD8" s="7">
        <f t="shared" si="6"/>
        <v>7.7497914433479309E-2</v>
      </c>
      <c r="BE8" s="7">
        <f t="shared" si="6"/>
        <v>-6.8554230034351349E-2</v>
      </c>
      <c r="BF8" s="7">
        <f t="shared" si="6"/>
        <v>-8.2745306193828583E-2</v>
      </c>
      <c r="BG8" s="7">
        <f t="shared" si="6"/>
        <v>-0.1204242408275604</v>
      </c>
      <c r="BH8" s="7">
        <f t="shared" si="6"/>
        <v>-0.10103762894868849</v>
      </c>
      <c r="BI8" s="7">
        <f t="shared" si="6"/>
        <v>5.5158428847789757E-2</v>
      </c>
      <c r="BJ8" s="7">
        <f t="shared" si="6"/>
        <v>8.664897084236145E-2</v>
      </c>
      <c r="BK8" s="7">
        <f t="shared" si="6"/>
        <v>-0.14447127282619479</v>
      </c>
      <c r="BL8" s="7">
        <f t="shared" si="6"/>
        <v>-0.1120113208889961</v>
      </c>
      <c r="BM8" s="7">
        <f t="shared" si="6"/>
        <v>-3.4826010465621948E-2</v>
      </c>
      <c r="BN8" s="7">
        <f t="shared" si="6"/>
        <v>-8.5986465215682983E-2</v>
      </c>
      <c r="BO8" s="7">
        <f t="shared" ref="BO8:CT8" si="7">IF(BO6=1,BO3,IF(BO6=2,BO4,IF(BO6=3,BO5)))</f>
        <v>-7.0973977446556091E-2</v>
      </c>
      <c r="BP8" s="7">
        <f t="shared" si="7"/>
        <v>8.6037963628768921E-2</v>
      </c>
      <c r="BQ8" s="7">
        <f t="shared" si="7"/>
        <v>0.144142210483551</v>
      </c>
      <c r="BR8" s="7">
        <f t="shared" si="7"/>
        <v>3.9869185537099838E-2</v>
      </c>
      <c r="BS8" s="7">
        <f t="shared" si="7"/>
        <v>8.1880234181880951E-2</v>
      </c>
      <c r="BT8" s="7">
        <f t="shared" si="7"/>
        <v>-6.8826571106910706E-2</v>
      </c>
      <c r="BU8" s="7">
        <f t="shared" si="7"/>
        <v>0.10545723885297779</v>
      </c>
      <c r="BV8" s="7">
        <f t="shared" si="7"/>
        <v>0.1175376549363136</v>
      </c>
      <c r="BW8" s="7">
        <f t="shared" si="7"/>
        <v>9.2942401766777039E-2</v>
      </c>
      <c r="BX8" s="7">
        <f t="shared" si="7"/>
        <v>3.5637497901916497E-2</v>
      </c>
      <c r="BY8" s="7">
        <f t="shared" si="7"/>
        <v>-6.1186797916889191E-2</v>
      </c>
      <c r="BZ8" s="7">
        <f t="shared" si="7"/>
        <v>9.8455093801021576E-2</v>
      </c>
      <c r="CA8" s="7">
        <f t="shared" si="7"/>
        <v>-7.2609454393386841E-2</v>
      </c>
      <c r="CB8" s="7">
        <f t="shared" si="7"/>
        <v>-8.8862821459770203E-2</v>
      </c>
      <c r="CC8" s="7">
        <f t="shared" si="7"/>
        <v>-6.5672166645526886E-2</v>
      </c>
      <c r="CD8" s="7">
        <f t="shared" si="7"/>
        <v>-7.0492014288902283E-2</v>
      </c>
      <c r="CE8" s="7">
        <f t="shared" si="7"/>
        <v>-8.9266888797283173E-2</v>
      </c>
      <c r="CF8" s="7">
        <f t="shared" si="7"/>
        <v>2.643934823572636E-2</v>
      </c>
      <c r="CG8" s="7">
        <f t="shared" si="7"/>
        <v>-3.8807325065135963E-2</v>
      </c>
      <c r="CH8" s="7">
        <f t="shared" si="7"/>
        <v>5.8184977620840073E-2</v>
      </c>
      <c r="CI8" s="7">
        <f t="shared" si="7"/>
        <v>-2.3996761068701741E-2</v>
      </c>
      <c r="CJ8" s="7">
        <f t="shared" si="7"/>
        <v>-8.0891326069831848E-2</v>
      </c>
      <c r="CK8" s="7">
        <f t="shared" si="7"/>
        <v>7.3738843202590942E-2</v>
      </c>
      <c r="CL8" s="7">
        <f t="shared" si="7"/>
        <v>6.7692369222640991E-2</v>
      </c>
      <c r="CM8" s="7">
        <f t="shared" si="7"/>
        <v>-4.3408293277025223E-2</v>
      </c>
      <c r="CN8" s="7">
        <f t="shared" si="7"/>
        <v>-4.8494711518287659E-2</v>
      </c>
      <c r="CO8" s="7">
        <f t="shared" si="7"/>
        <v>-3.4412361681461327E-2</v>
      </c>
      <c r="CP8" s="7">
        <f t="shared" si="7"/>
        <v>-5.2108332514762878E-2</v>
      </c>
      <c r="CQ8" s="7">
        <f t="shared" si="7"/>
        <v>-7.2693914175033569E-2</v>
      </c>
      <c r="CR8" s="7">
        <f t="shared" si="7"/>
        <v>-6.0804408043622971E-2</v>
      </c>
      <c r="CS8" s="7">
        <f t="shared" si="7"/>
        <v>-3.7506073713302612E-2</v>
      </c>
      <c r="CT8" s="7">
        <f t="shared" si="7"/>
        <v>-6.339031457901001E-2</v>
      </c>
      <c r="CU8" s="7">
        <f t="shared" ref="CU8:DZ8" si="8">IF(CU6=1,CU3,IF(CU6=2,CU4,IF(CU6=3,CU5)))</f>
        <v>-6.1079829931259162E-2</v>
      </c>
      <c r="CV8" s="7">
        <f t="shared" si="8"/>
        <v>-2.170033194124699E-2</v>
      </c>
      <c r="CW8" s="7">
        <f t="shared" si="8"/>
        <v>-6.0720678418874741E-2</v>
      </c>
      <c r="CX8" s="7">
        <f t="shared" si="8"/>
        <v>-7.7818602323532104E-2</v>
      </c>
      <c r="CY8" s="7">
        <f t="shared" si="8"/>
        <v>-4.5480586588382721E-2</v>
      </c>
      <c r="CZ8" s="7">
        <f t="shared" si="8"/>
        <v>-6.9138072431087494E-2</v>
      </c>
      <c r="DA8" s="7">
        <f t="shared" si="8"/>
        <v>-8.9778468012809753E-2</v>
      </c>
      <c r="DB8" s="7">
        <f t="shared" si="8"/>
        <v>-6.527487188577652E-2</v>
      </c>
      <c r="DC8" s="7">
        <f t="shared" si="8"/>
        <v>4.6531397849321372E-2</v>
      </c>
      <c r="DD8" s="7">
        <f t="shared" si="8"/>
        <v>-5.9340178966522217E-2</v>
      </c>
      <c r="DE8" s="7">
        <f t="shared" si="8"/>
        <v>6.0277972370386117E-2</v>
      </c>
      <c r="DF8" s="7">
        <f t="shared" si="8"/>
        <v>3.3347133547067642E-2</v>
      </c>
      <c r="DG8" s="7">
        <f t="shared" si="8"/>
        <v>-2.4713881313800808E-2</v>
      </c>
      <c r="DH8" s="7">
        <f t="shared" si="8"/>
        <v>-3.5376153886318207E-2</v>
      </c>
      <c r="DI8" s="7">
        <f t="shared" si="8"/>
        <v>-4.1918892413377762E-2</v>
      </c>
      <c r="DJ8" s="7">
        <f t="shared" si="8"/>
        <v>1.416372787207365E-2</v>
      </c>
      <c r="DK8" s="7">
        <f t="shared" si="8"/>
        <v>-4.8771854490041733E-2</v>
      </c>
      <c r="DL8" s="7">
        <f t="shared" si="8"/>
        <v>2.8391024097800251E-2</v>
      </c>
      <c r="DM8" s="7">
        <f t="shared" si="8"/>
        <v>-4.967803880572319E-2</v>
      </c>
      <c r="DN8" s="7">
        <f t="shared" si="8"/>
        <v>-1.9859654828906059E-2</v>
      </c>
      <c r="DO8" s="7">
        <f t="shared" si="8"/>
        <v>-3.856055811047554E-2</v>
      </c>
      <c r="DP8" s="7">
        <f t="shared" si="8"/>
        <v>5.259593203663826E-2</v>
      </c>
      <c r="DQ8" s="7">
        <f t="shared" si="8"/>
        <v>5.0834372639656067E-2</v>
      </c>
      <c r="DR8" s="7">
        <f t="shared" si="8"/>
        <v>3.4424390643835068E-2</v>
      </c>
      <c r="DS8" s="7">
        <f t="shared" si="8"/>
        <v>2.6739172637462619E-2</v>
      </c>
      <c r="DT8" s="7">
        <f t="shared" si="8"/>
        <v>-5.3663063794374473E-2</v>
      </c>
      <c r="DU8" s="7">
        <f t="shared" si="8"/>
        <v>-4.4161681085824973E-2</v>
      </c>
      <c r="DV8" s="7">
        <f t="shared" si="8"/>
        <v>-2.3813089355826381E-2</v>
      </c>
      <c r="DW8" s="7">
        <f t="shared" si="8"/>
        <v>2.5176366791129109E-2</v>
      </c>
      <c r="DX8" s="7">
        <f t="shared" si="8"/>
        <v>-4.4376425445079803E-2</v>
      </c>
      <c r="DY8" s="7">
        <f t="shared" si="8"/>
        <v>-3.3609867095947273E-2</v>
      </c>
      <c r="DZ8" s="7">
        <f t="shared" si="8"/>
        <v>-4.8759568482637412E-2</v>
      </c>
      <c r="EA8" s="7">
        <f t="shared" ref="EA8:EG8" si="9">IF(EA6=1,EA3,IF(EA6=2,EA4,IF(EA6=3,EA5)))</f>
        <v>2.0058911293745041E-2</v>
      </c>
      <c r="EB8" s="7">
        <f t="shared" si="9"/>
        <v>5.2505847066640847E-2</v>
      </c>
      <c r="EC8" s="7">
        <f t="shared" si="9"/>
        <v>4.229099303483963E-2</v>
      </c>
      <c r="ED8" s="7">
        <f t="shared" si="9"/>
        <v>-5.2812475711107247E-2</v>
      </c>
      <c r="EE8" s="7">
        <f t="shared" si="9"/>
        <v>1.6591379418969151E-2</v>
      </c>
      <c r="EF8" s="7">
        <f t="shared" si="9"/>
        <v>-6.9071874022483826E-2</v>
      </c>
      <c r="EG8" s="1">
        <f t="shared" si="9"/>
        <v>0</v>
      </c>
    </row>
    <row r="10" spans="1:139" x14ac:dyDescent="0.3">
      <c r="A10" s="13" t="s">
        <v>141</v>
      </c>
      <c r="B10" s="14"/>
      <c r="C10" s="1" t="s">
        <v>142</v>
      </c>
      <c r="D10" s="2">
        <v>964</v>
      </c>
    </row>
    <row r="11" spans="1:139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s="11" t="s">
        <v>163</v>
      </c>
      <c r="EH11" s="11" t="s">
        <v>164</v>
      </c>
      <c r="EI11" s="11" t="s">
        <v>165</v>
      </c>
    </row>
    <row r="12" spans="1:139" x14ac:dyDescent="0.3">
      <c r="A12" s="1">
        <v>10</v>
      </c>
      <c r="B12" s="1">
        <v>96</v>
      </c>
      <c r="C12" s="7">
        <v>4.7013508994228799E-2</v>
      </c>
      <c r="D12" s="7">
        <v>0.11468862904522351</v>
      </c>
      <c r="E12" s="7">
        <v>6.7540283583579167E-3</v>
      </c>
      <c r="F12" s="7">
        <v>1.986882494790634E-2</v>
      </c>
      <c r="G12" s="7">
        <v>-7.9043467459283603E-3</v>
      </c>
      <c r="H12" s="7">
        <v>-9.3593837617556644E-3</v>
      </c>
      <c r="I12" s="7">
        <v>-3.6303936849052011E-2</v>
      </c>
      <c r="J12" s="7">
        <v>-2.9408122838989852E-2</v>
      </c>
      <c r="K12" s="7">
        <v>1.0988403852822111E-2</v>
      </c>
      <c r="L12" s="7">
        <v>2.2772307809632709E-3</v>
      </c>
      <c r="M12" s="7">
        <v>2.688917383320695E-2</v>
      </c>
      <c r="N12" s="7">
        <v>-5.2074107675359117E-2</v>
      </c>
      <c r="O12" s="7">
        <v>1.7240739055052579E-2</v>
      </c>
      <c r="P12" s="7">
        <v>-2.5432810815711028E-4</v>
      </c>
      <c r="Q12" s="7">
        <v>3.3792784120907728E-2</v>
      </c>
      <c r="R12" s="7">
        <v>6.6628837952368673E-3</v>
      </c>
      <c r="S12" s="7">
        <v>-1.6472394741932041E-2</v>
      </c>
      <c r="T12" s="7">
        <v>-7.7398000690130087E-3</v>
      </c>
      <c r="U12" s="7">
        <v>2.0367220553130991E-2</v>
      </c>
      <c r="V12" s="7">
        <v>9.5109536536482214E-3</v>
      </c>
      <c r="W12" s="7">
        <v>-2.8417662858163131E-2</v>
      </c>
      <c r="X12" s="7">
        <v>2.7073890424547119E-2</v>
      </c>
      <c r="Y12" s="7">
        <v>2.0598393527691269E-2</v>
      </c>
      <c r="Z12" s="7">
        <v>5.1659076098035236E-3</v>
      </c>
      <c r="AA12" s="7">
        <v>-1.1512545712225739E-2</v>
      </c>
      <c r="AB12" s="7">
        <v>-3.7114184153333798E-3</v>
      </c>
      <c r="AC12" s="7">
        <v>3.5114764063646421E-2</v>
      </c>
      <c r="AD12" s="7">
        <v>-9.3922433316797477E-3</v>
      </c>
      <c r="AE12" s="7">
        <v>-5.8316963071098869E-2</v>
      </c>
      <c r="AF12" s="7">
        <v>-5.2012102776767682E-2</v>
      </c>
      <c r="AG12" s="7">
        <v>-3.814930420809846E-3</v>
      </c>
      <c r="AH12" s="7">
        <v>-2.1100658922461549E-2</v>
      </c>
      <c r="AI12" s="7">
        <v>8.79379249226157E-3</v>
      </c>
      <c r="AJ12" s="7">
        <v>-2.1062262693673572E-2</v>
      </c>
      <c r="AK12" s="7">
        <v>-1.6475368224135679E-2</v>
      </c>
      <c r="AL12" s="7">
        <v>-4.7800489952077287E-2</v>
      </c>
      <c r="AM12" s="7">
        <v>1.670675200628732E-2</v>
      </c>
      <c r="AN12" s="7">
        <v>-5.7133289959638539E-2</v>
      </c>
      <c r="AO12" s="7">
        <v>-2.228793039673051E-3</v>
      </c>
      <c r="AP12" s="7">
        <v>3.3718344781849152E-2</v>
      </c>
      <c r="AQ12" s="7">
        <v>7.6219363885838051E-3</v>
      </c>
      <c r="AR12" s="7">
        <v>7.5044280887600658E-3</v>
      </c>
      <c r="AS12" s="7">
        <v>-1.9976272910371209E-2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-4.4696011972897853E-2</v>
      </c>
      <c r="AY12" s="7">
        <v>1.749132165900753E-2</v>
      </c>
      <c r="AZ12" s="7">
        <v>-2.3000260716576439E-3</v>
      </c>
      <c r="BA12" s="7">
        <v>4.9378881832418033E-3</v>
      </c>
      <c r="BB12" s="7">
        <v>5.7853949142751861E-3</v>
      </c>
      <c r="BC12" s="7">
        <v>2.669096629233754E-2</v>
      </c>
      <c r="BD12" s="7">
        <v>1.3630556941652629E-2</v>
      </c>
      <c r="BE12" s="7">
        <v>-4.5598544985067067E-2</v>
      </c>
      <c r="BF12" s="7">
        <v>-2.3601059948603061E-2</v>
      </c>
      <c r="BG12" s="7">
        <v>1.000405865395167E-2</v>
      </c>
      <c r="BH12" s="7">
        <v>-2.4922145288873449E-2</v>
      </c>
      <c r="BI12" s="7">
        <v>5.002125303099076E-2</v>
      </c>
      <c r="BJ12" s="7">
        <v>-7.9599331991781624E-4</v>
      </c>
      <c r="BK12" s="7">
        <v>-2.0075652003278099E-2</v>
      </c>
      <c r="BL12" s="7">
        <v>1.1060368711039379E-2</v>
      </c>
      <c r="BM12" s="7">
        <v>-3.017190853698952E-2</v>
      </c>
      <c r="BN12" s="7">
        <v>-1.9502538210119671E-2</v>
      </c>
      <c r="BO12" s="7">
        <v>1.691376899933085E-2</v>
      </c>
      <c r="BP12" s="7">
        <v>-1.0508985305294091E-2</v>
      </c>
      <c r="BQ12" s="7">
        <v>1.3896749618746689E-2</v>
      </c>
      <c r="BR12" s="7">
        <v>6.8693615147113224E-2</v>
      </c>
      <c r="BS12" s="7">
        <v>1.886329338439598E-2</v>
      </c>
      <c r="BT12" s="7">
        <v>-2.1288097232098721E-2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-4.5815986232830307E-2</v>
      </c>
      <c r="BZ12" s="7">
        <v>4.5356945691272972E-2</v>
      </c>
      <c r="CA12" s="7">
        <v>1.4580557553402819E-2</v>
      </c>
      <c r="CB12" s="7">
        <v>7.2475876072179299E-2</v>
      </c>
      <c r="CC12" s="7">
        <v>6.5566612627689883E-2</v>
      </c>
      <c r="CD12" s="7">
        <v>4.4258488563941309E-2</v>
      </c>
      <c r="CE12" s="7">
        <v>0.15400701288974189</v>
      </c>
      <c r="CF12" s="7">
        <v>8.0212745139300254E-3</v>
      </c>
      <c r="CG12" s="7">
        <v>3.0864849735211247E-4</v>
      </c>
      <c r="CH12" s="7">
        <v>6.3297372377959904E-2</v>
      </c>
      <c r="CI12" s="7">
        <v>-2.434149805161382E-2</v>
      </c>
      <c r="CJ12" s="7">
        <v>-1.544518047868886E-2</v>
      </c>
      <c r="CK12" s="7">
        <v>1.2803144154834811E-2</v>
      </c>
      <c r="CL12" s="7">
        <v>0.1180156076696104</v>
      </c>
      <c r="CM12" s="7">
        <v>2.635395083816933E-2</v>
      </c>
      <c r="CN12" s="7">
        <v>-7.8465204010806394E-2</v>
      </c>
      <c r="CO12" s="7">
        <v>2.4819785255212591E-2</v>
      </c>
      <c r="CP12" s="7">
        <v>-4.5299021467493747E-2</v>
      </c>
      <c r="CQ12" s="7">
        <v>-3.6572194909933541E-2</v>
      </c>
      <c r="CR12" s="7">
        <v>-2.1178784306524409E-3</v>
      </c>
      <c r="CS12" s="7">
        <v>-1.450965043846953E-2</v>
      </c>
      <c r="CT12" s="7">
        <v>8.2403602353092742E-4</v>
      </c>
      <c r="CU12" s="7">
        <v>-3.5623715662195188E-2</v>
      </c>
      <c r="CV12" s="7">
        <v>-8.1126263755370142E-3</v>
      </c>
      <c r="CW12" s="7">
        <v>-5.5479247445322649E-3</v>
      </c>
      <c r="CX12" s="7">
        <v>4.6547458464468637E-2</v>
      </c>
      <c r="CY12" s="7">
        <v>5.982942211490587E-3</v>
      </c>
      <c r="CZ12" s="7">
        <v>-7.7792327339500603E-2</v>
      </c>
      <c r="DA12" s="7">
        <v>-5.6037840703605252E-3</v>
      </c>
      <c r="DB12" s="7">
        <v>2.298187595412704E-2</v>
      </c>
      <c r="DC12" s="7">
        <v>-4.5013637925414574E-3</v>
      </c>
      <c r="DD12" s="7">
        <v>-2.4888978057240451E-2</v>
      </c>
      <c r="DE12" s="7">
        <v>-2.473764441509502E-2</v>
      </c>
      <c r="DF12" s="7">
        <v>-5.5485734082072982E-2</v>
      </c>
      <c r="DG12" s="7">
        <v>9.4770893931691788E-4</v>
      </c>
      <c r="DH12" s="7">
        <v>3.8226819714325612E-3</v>
      </c>
      <c r="DI12" s="7">
        <v>-2.9979254557499689E-2</v>
      </c>
      <c r="DJ12" s="7">
        <v>-1.511820812609203E-2</v>
      </c>
      <c r="DK12" s="7">
        <v>1.5945953127016341E-2</v>
      </c>
      <c r="DL12" s="7">
        <v>1.8669833333803058E-2</v>
      </c>
      <c r="DM12" s="7">
        <v>4.8403492450799163E-3</v>
      </c>
      <c r="DN12" s="7">
        <v>2.1916731594762449E-2</v>
      </c>
      <c r="DO12" s="7">
        <v>3.055694210149083E-2</v>
      </c>
      <c r="DP12" s="7">
        <v>-4.5953548014918022E-2</v>
      </c>
      <c r="DQ12" s="7">
        <v>3.3862120353048523E-2</v>
      </c>
      <c r="DR12" s="7">
        <v>-1.7064979450118169E-2</v>
      </c>
      <c r="DS12" s="7">
        <v>-6.9650552069699723E-2</v>
      </c>
      <c r="DT12" s="7">
        <v>4.5297883394400537E-2</v>
      </c>
      <c r="DU12" s="7">
        <v>-1.3752648086382459E-2</v>
      </c>
      <c r="DV12" s="7">
        <v>-4.8550824477530688E-2</v>
      </c>
      <c r="DW12" s="7">
        <v>4.3725564220037427E-2</v>
      </c>
      <c r="DX12" s="7">
        <v>-1.8099136778333389E-2</v>
      </c>
      <c r="DY12" s="7">
        <v>-6.2728222094769928E-2</v>
      </c>
      <c r="DZ12" s="7">
        <v>-2.0038890123589111E-2</v>
      </c>
      <c r="EA12" s="7">
        <v>-5.1097632537531287E-2</v>
      </c>
      <c r="EB12" s="7">
        <v>-5.7859705603806079E-3</v>
      </c>
      <c r="EC12" s="7">
        <v>1.48839181295192E-2</v>
      </c>
      <c r="ED12" s="7">
        <v>6.050815280848415E-2</v>
      </c>
      <c r="EE12" s="7">
        <v>2.6506892161147658E-2</v>
      </c>
      <c r="EF12" s="8">
        <v>-3.9233348038795662E-2</v>
      </c>
      <c r="EG12" s="12">
        <f t="shared" ref="EG12:EG25" si="10">AVERAGE(C12:EF12)</f>
        <v>7.0018026148955539E-4</v>
      </c>
      <c r="EH12" s="12">
        <f t="shared" ref="EH12:EH25" si="11">STDEV(C12:EF12)</f>
        <v>3.6681302256870482E-2</v>
      </c>
      <c r="EI12" s="12">
        <f t="shared" ref="EI12:EI25" si="12">EG12/EH12</f>
        <v>1.9088206208884261E-2</v>
      </c>
    </row>
    <row r="13" spans="1:139" x14ac:dyDescent="0.3">
      <c r="A13" s="1">
        <v>20</v>
      </c>
      <c r="B13" s="1">
        <v>48</v>
      </c>
      <c r="C13" s="7">
        <v>4.2506117601795589E-2</v>
      </c>
      <c r="D13" s="7">
        <v>0.1237450287927723</v>
      </c>
      <c r="E13" s="7">
        <v>3.4496619491353048E-2</v>
      </c>
      <c r="F13" s="7">
        <v>3.4922155882654501E-2</v>
      </c>
      <c r="G13" s="7">
        <v>1.490797975730339E-2</v>
      </c>
      <c r="H13" s="7">
        <v>-1.5930384569345112E-2</v>
      </c>
      <c r="I13" s="7">
        <v>-3.2682862984722338E-2</v>
      </c>
      <c r="J13" s="7">
        <v>-4.3899227077412117E-2</v>
      </c>
      <c r="K13" s="7">
        <v>4.5330990242219003E-2</v>
      </c>
      <c r="L13" s="7">
        <v>2.913566903744547E-2</v>
      </c>
      <c r="M13" s="7">
        <v>3.2797582260047169E-3</v>
      </c>
      <c r="N13" s="7">
        <v>-4.3151952223766853E-2</v>
      </c>
      <c r="O13" s="7">
        <v>3.9789291626632438E-2</v>
      </c>
      <c r="P13" s="7">
        <v>-6.2776476607329448E-3</v>
      </c>
      <c r="Q13" s="7">
        <v>4.4218264227970053E-2</v>
      </c>
      <c r="R13" s="7">
        <v>1.4159944486036529E-2</v>
      </c>
      <c r="S13" s="7">
        <v>-1.224367120891299E-2</v>
      </c>
      <c r="T13" s="7">
        <v>-2.2104020419172268E-2</v>
      </c>
      <c r="U13" s="7">
        <v>5.4161075041694179E-2</v>
      </c>
      <c r="V13" s="7">
        <v>2.216639903053957E-3</v>
      </c>
      <c r="W13" s="7">
        <v>-3.096890407148287E-2</v>
      </c>
      <c r="X13" s="7">
        <v>5.327689472594363E-2</v>
      </c>
      <c r="Y13" s="7">
        <v>-6.6833587265454353E-3</v>
      </c>
      <c r="Z13" s="7">
        <v>2.0583761169128259E-2</v>
      </c>
      <c r="AA13" s="7">
        <v>-1.6440619450324361E-2</v>
      </c>
      <c r="AB13" s="7">
        <v>-1.6036098685220952E-2</v>
      </c>
      <c r="AC13" s="7">
        <v>2.187155616137754E-2</v>
      </c>
      <c r="AD13" s="7">
        <v>-2.1543689785275402E-2</v>
      </c>
      <c r="AE13" s="7">
        <v>-6.5719382027610476E-2</v>
      </c>
      <c r="AF13" s="7">
        <v>-7.3281160828311181E-2</v>
      </c>
      <c r="AG13" s="7">
        <v>9.9052077270740842E-3</v>
      </c>
      <c r="AH13" s="7">
        <v>-3.1875514929916048E-2</v>
      </c>
      <c r="AI13" s="7">
        <v>1.8646046379966041E-2</v>
      </c>
      <c r="AJ13" s="7">
        <v>-1.988632403117771E-2</v>
      </c>
      <c r="AK13" s="7">
        <v>-3.8359390282872087E-2</v>
      </c>
      <c r="AL13" s="7">
        <v>-4.9258884794550067E-2</v>
      </c>
      <c r="AM13" s="7">
        <v>-1.4434106114089009E-2</v>
      </c>
      <c r="AN13" s="7">
        <v>-7.1245220062354717E-2</v>
      </c>
      <c r="AO13" s="7">
        <v>-9.3111878994149404E-3</v>
      </c>
      <c r="AP13" s="7">
        <v>5.9550840361997717E-2</v>
      </c>
      <c r="AQ13" s="7">
        <v>6.0492887688996834E-3</v>
      </c>
      <c r="AR13" s="7">
        <v>-9.2507324832761875E-3</v>
      </c>
      <c r="AS13" s="7">
        <v>-2.340496354159733E-2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-3.2799832135855793E-2</v>
      </c>
      <c r="AY13" s="7">
        <v>1.42622039071387E-2</v>
      </c>
      <c r="AZ13" s="7">
        <v>-8.1034674694993921E-3</v>
      </c>
      <c r="BA13" s="7">
        <v>6.5409376070610318E-3</v>
      </c>
      <c r="BB13" s="7">
        <v>2.6046345532896049E-2</v>
      </c>
      <c r="BC13" s="7">
        <v>1.9110867274842121E-2</v>
      </c>
      <c r="BD13" s="7">
        <v>3.344428383681335E-3</v>
      </c>
      <c r="BE13" s="7">
        <v>-4.6048256587478499E-2</v>
      </c>
      <c r="BF13" s="7">
        <v>-2.6302896790217509E-2</v>
      </c>
      <c r="BG13" s="7">
        <v>8.3310656158476996E-3</v>
      </c>
      <c r="BH13" s="7">
        <v>-3.3944254587363332E-2</v>
      </c>
      <c r="BI13" s="7">
        <v>5.2409132456701382E-2</v>
      </c>
      <c r="BJ13" s="7">
        <v>-1.6847085990264871E-2</v>
      </c>
      <c r="BK13" s="7">
        <v>-2.5125773363192039E-2</v>
      </c>
      <c r="BL13" s="7">
        <v>1.3619178359615279E-2</v>
      </c>
      <c r="BM13" s="7">
        <v>-2.7203867384610721E-2</v>
      </c>
      <c r="BN13" s="7">
        <v>4.8576030584132172E-3</v>
      </c>
      <c r="BO13" s="7">
        <v>3.406714508268439E-3</v>
      </c>
      <c r="BP13" s="7">
        <v>9.4326956946515182E-3</v>
      </c>
      <c r="BQ13" s="7">
        <v>4.1653063789425779E-2</v>
      </c>
      <c r="BR13" s="7">
        <v>7.9831456823332952E-2</v>
      </c>
      <c r="BS13" s="7">
        <v>7.4194718402196772E-3</v>
      </c>
      <c r="BT13" s="7">
        <v>-3.3667769757919193E-2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-3.0827759664373209E-2</v>
      </c>
      <c r="BZ13" s="7">
        <v>7.6138123059050211E-2</v>
      </c>
      <c r="CA13" s="7">
        <v>2.401267379212468E-2</v>
      </c>
      <c r="CB13" s="7">
        <v>0.1204269717320352</v>
      </c>
      <c r="CC13" s="7">
        <v>0.12011817373823321</v>
      </c>
      <c r="CD13" s="7">
        <v>5.52560480214307E-2</v>
      </c>
      <c r="CE13" s="7">
        <v>0.18382783645560871</v>
      </c>
      <c r="CF13" s="7">
        <v>-1.2043667015059319E-2</v>
      </c>
      <c r="CG13" s="7">
        <v>7.5602686763741878E-3</v>
      </c>
      <c r="CH13" s="7">
        <v>5.8334611827207158E-2</v>
      </c>
      <c r="CI13" s="7">
        <v>-7.895534435908208E-3</v>
      </c>
      <c r="CJ13" s="7">
        <v>3.106087971951194E-3</v>
      </c>
      <c r="CK13" s="7">
        <v>3.2045269236463968E-2</v>
      </c>
      <c r="CL13" s="7">
        <v>8.1453366102180805E-2</v>
      </c>
      <c r="CM13" s="7">
        <v>1.4010734772878621E-2</v>
      </c>
      <c r="CN13" s="7">
        <v>-0.1009941666481943</v>
      </c>
      <c r="CO13" s="7">
        <v>3.5334344080657359E-2</v>
      </c>
      <c r="CP13" s="7">
        <v>-6.9726540277734339E-2</v>
      </c>
      <c r="CQ13" s="7">
        <v>-3.8184950196159702E-2</v>
      </c>
      <c r="CR13" s="7">
        <v>-8.2797809976485181E-3</v>
      </c>
      <c r="CS13" s="7">
        <v>3.947650662960555E-3</v>
      </c>
      <c r="CT13" s="7">
        <v>-8.0707993163786768E-3</v>
      </c>
      <c r="CU13" s="7">
        <v>-3.7161402282311212E-2</v>
      </c>
      <c r="CV13" s="7">
        <v>2.9533121732579042E-3</v>
      </c>
      <c r="CW13" s="7">
        <v>-5.97703085624611E-3</v>
      </c>
      <c r="CX13" s="7">
        <v>4.9872955511131058E-3</v>
      </c>
      <c r="CY13" s="7">
        <v>1.3118740115012659E-2</v>
      </c>
      <c r="CZ13" s="7">
        <v>-5.7224220353485122E-2</v>
      </c>
      <c r="DA13" s="7">
        <v>5.583676925821391E-3</v>
      </c>
      <c r="DB13" s="7">
        <v>4.1761569716784581E-2</v>
      </c>
      <c r="DC13" s="7">
        <v>-1.41498668272943E-2</v>
      </c>
      <c r="DD13" s="7">
        <v>-1.069760060073574E-2</v>
      </c>
      <c r="DE13" s="7">
        <v>-2.2441996429236069E-2</v>
      </c>
      <c r="DF13" s="7">
        <v>-8.3122187068030415E-2</v>
      </c>
      <c r="DG13" s="7">
        <v>1.6306571728899009E-3</v>
      </c>
      <c r="DH13" s="7">
        <v>-1.129576788191507E-2</v>
      </c>
      <c r="DI13" s="7">
        <v>-2.957041963442816E-2</v>
      </c>
      <c r="DJ13" s="7">
        <v>-5.9835846368128413E-3</v>
      </c>
      <c r="DK13" s="7">
        <v>-1.240907421862765E-2</v>
      </c>
      <c r="DL13" s="7">
        <v>2.2050690678088229E-2</v>
      </c>
      <c r="DM13" s="7">
        <v>6.6588690484439203E-3</v>
      </c>
      <c r="DN13" s="7">
        <v>1.693523490060431E-2</v>
      </c>
      <c r="DO13" s="7">
        <v>3.7863465084792783E-2</v>
      </c>
      <c r="DP13" s="7">
        <v>-4.4997150662049193E-2</v>
      </c>
      <c r="DQ13" s="7">
        <v>3.3966462251962683E-2</v>
      </c>
      <c r="DR13" s="7">
        <v>-1.5168550145961031E-2</v>
      </c>
      <c r="DS13" s="7">
        <v>-6.8596852640390879E-2</v>
      </c>
      <c r="DT13" s="7">
        <v>3.542630104766481E-2</v>
      </c>
      <c r="DU13" s="7">
        <v>-1.8705163637144761E-2</v>
      </c>
      <c r="DV13" s="7">
        <v>-7.9620144024188558E-2</v>
      </c>
      <c r="DW13" s="7">
        <v>4.4417789624350307E-2</v>
      </c>
      <c r="DX13" s="7">
        <v>-2.3229609548966131E-2</v>
      </c>
      <c r="DY13" s="7">
        <v>-9.5046248038774313E-3</v>
      </c>
      <c r="DZ13" s="7">
        <v>-3.028525147494129E-2</v>
      </c>
      <c r="EA13" s="7">
        <v>-6.2118677176029868E-2</v>
      </c>
      <c r="EB13" s="7">
        <v>-2.012062189251651E-4</v>
      </c>
      <c r="EC13" s="7">
        <v>2.198485253152441E-2</v>
      </c>
      <c r="ED13" s="7">
        <v>6.5682093659234955E-2</v>
      </c>
      <c r="EE13" s="7">
        <v>4.1234383995911589E-2</v>
      </c>
      <c r="EF13" s="8">
        <v>-6.6577215363556236E-2</v>
      </c>
      <c r="EG13" s="12">
        <f t="shared" si="10"/>
        <v>3.0074459599278504E-3</v>
      </c>
      <c r="EH13" s="12">
        <f t="shared" si="11"/>
        <v>4.2880198114135903E-2</v>
      </c>
      <c r="EI13" s="12">
        <f t="shared" si="12"/>
        <v>7.0136008978382361E-2</v>
      </c>
    </row>
    <row r="14" spans="1:139" x14ac:dyDescent="0.3">
      <c r="A14" s="1">
        <v>50</v>
      </c>
      <c r="B14" s="1">
        <v>19</v>
      </c>
      <c r="C14" s="7">
        <v>-3.7017512404591897E-2</v>
      </c>
      <c r="D14" s="7">
        <v>0.22230844854062601</v>
      </c>
      <c r="E14" s="7">
        <v>4.7525943267256017E-2</v>
      </c>
      <c r="F14" s="7">
        <v>4.8454142799859858E-2</v>
      </c>
      <c r="G14" s="7">
        <v>4.1019916497925447E-2</v>
      </c>
      <c r="H14" s="7">
        <v>-7.6743242716788224E-3</v>
      </c>
      <c r="I14" s="7">
        <v>-4.3787359823142302E-2</v>
      </c>
      <c r="J14" s="7">
        <v>-0.1050943867827082</v>
      </c>
      <c r="K14" s="7">
        <v>0.13417870371405349</v>
      </c>
      <c r="L14" s="7">
        <v>-4.847197187706806E-3</v>
      </c>
      <c r="M14" s="7">
        <v>-1.902171446498398E-2</v>
      </c>
      <c r="N14" s="7">
        <v>-8.2758984694099133E-2</v>
      </c>
      <c r="O14" s="7">
        <v>3.9642308069534393E-2</v>
      </c>
      <c r="P14" s="7">
        <v>6.5414209581504002E-3</v>
      </c>
      <c r="Q14" s="7">
        <v>0.12410387117144869</v>
      </c>
      <c r="R14" s="7">
        <v>-1.41517963055246E-2</v>
      </c>
      <c r="S14" s="7">
        <v>3.8534099526017718E-2</v>
      </c>
      <c r="T14" s="7">
        <v>-1.7360731234559681E-2</v>
      </c>
      <c r="U14" s="7">
        <v>0.1042666646356476</v>
      </c>
      <c r="V14" s="7">
        <v>-5.2421300158885083E-2</v>
      </c>
      <c r="W14" s="7">
        <v>-4.779500273352006E-2</v>
      </c>
      <c r="X14" s="7">
        <v>5.3581708514183243E-2</v>
      </c>
      <c r="Y14" s="7">
        <v>-5.5190991412221717E-2</v>
      </c>
      <c r="Z14" s="7">
        <v>2.1252201103450909E-2</v>
      </c>
      <c r="AA14" s="7">
        <v>-2.6273997668139859E-3</v>
      </c>
      <c r="AB14" s="7">
        <v>-7.4982912772120214E-2</v>
      </c>
      <c r="AC14" s="7">
        <v>-1.351726880349334E-2</v>
      </c>
      <c r="AD14" s="7">
        <v>-3.9327892190029898E-2</v>
      </c>
      <c r="AE14" s="7">
        <v>-4.0189068228804886E-3</v>
      </c>
      <c r="AF14" s="7">
        <v>-9.6080095456633624E-2</v>
      </c>
      <c r="AG14" s="7">
        <v>2.5329295010953049E-2</v>
      </c>
      <c r="AH14" s="7">
        <v>-6.3410379733012071E-2</v>
      </c>
      <c r="AI14" s="7">
        <v>-3.5462643898611923E-2</v>
      </c>
      <c r="AJ14" s="7">
        <v>-9.6294976708784216E-2</v>
      </c>
      <c r="AK14" s="7">
        <v>-7.7475339022454029E-2</v>
      </c>
      <c r="AL14" s="7">
        <v>-5.1230182968129499E-2</v>
      </c>
      <c r="AM14" s="7">
        <v>-4.2463855937373812E-2</v>
      </c>
      <c r="AN14" s="7">
        <v>-0.1103236819562325</v>
      </c>
      <c r="AO14" s="7">
        <v>-6.0905705465409951E-2</v>
      </c>
      <c r="AP14" s="7">
        <v>6.9976525152084204E-2</v>
      </c>
      <c r="AQ14" s="7">
        <v>3.6796773775995059E-4</v>
      </c>
      <c r="AR14" s="7">
        <v>-1.817082301888524E-2</v>
      </c>
      <c r="AS14" s="7">
        <v>6.6693383896894304E-3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-1.9370213375490559E-2</v>
      </c>
      <c r="AY14" s="7">
        <v>1.6905718250070641E-3</v>
      </c>
      <c r="AZ14" s="7">
        <v>-5.3348569172156059E-2</v>
      </c>
      <c r="BA14" s="7">
        <v>1.7621645544243138E-2</v>
      </c>
      <c r="BB14" s="7">
        <v>0.101898340258458</v>
      </c>
      <c r="BC14" s="7">
        <v>-2.8505683499306111E-2</v>
      </c>
      <c r="BD14" s="7">
        <v>4.3327781667405418E-2</v>
      </c>
      <c r="BE14" s="7">
        <v>-2.411701849660209E-2</v>
      </c>
      <c r="BF14" s="7">
        <v>-5.2428879018831306E-3</v>
      </c>
      <c r="BG14" s="7">
        <v>1.049660790114355E-2</v>
      </c>
      <c r="BH14" s="7">
        <v>-9.3750084239722239E-2</v>
      </c>
      <c r="BI14" s="7">
        <v>5.0185212890853773E-2</v>
      </c>
      <c r="BJ14" s="7">
        <v>-2.0017223671233209E-2</v>
      </c>
      <c r="BK14" s="7">
        <v>3.323738197833094E-2</v>
      </c>
      <c r="BL14" s="7">
        <v>1.0571834509862E-2</v>
      </c>
      <c r="BM14" s="7">
        <v>-2.137504666205849E-2</v>
      </c>
      <c r="BN14" s="7">
        <v>4.6576644196415717E-2</v>
      </c>
      <c r="BO14" s="7">
        <v>1.4903578973248861E-2</v>
      </c>
      <c r="BP14" s="7">
        <v>1.5673733492959141E-2</v>
      </c>
      <c r="BQ14" s="7">
        <v>1.584352386995078E-2</v>
      </c>
      <c r="BR14" s="7">
        <v>0.10005242307538641</v>
      </c>
      <c r="BS14" s="7">
        <v>-4.1493955144577897E-2</v>
      </c>
      <c r="BT14" s="7">
        <v>1.5287927903372821E-2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-8.0399768583761216E-2</v>
      </c>
      <c r="BZ14" s="7">
        <v>6.0034056828782267E-2</v>
      </c>
      <c r="CA14" s="7">
        <v>3.3455158238155647E-2</v>
      </c>
      <c r="CB14" s="7">
        <v>0.16446550132190679</v>
      </c>
      <c r="CC14" s="7">
        <v>0.1205961585891825</v>
      </c>
      <c r="CD14" s="7">
        <v>4.7921840912584578E-2</v>
      </c>
      <c r="CE14" s="7">
        <v>0.1705553024885505</v>
      </c>
      <c r="CF14" s="7">
        <v>-4.2877410075316917E-2</v>
      </c>
      <c r="CG14" s="7">
        <v>0.13892667651794</v>
      </c>
      <c r="CH14" s="7">
        <v>6.46613922782171E-2</v>
      </c>
      <c r="CI14" s="7">
        <v>-3.829356134685134E-3</v>
      </c>
      <c r="CJ14" s="7">
        <v>2.866785494417454E-2</v>
      </c>
      <c r="CK14" s="7">
        <v>1.40163643906461E-2</v>
      </c>
      <c r="CL14" s="7">
        <v>6.2269954878836478E-2</v>
      </c>
      <c r="CM14" s="7">
        <v>-5.0971068777473094E-3</v>
      </c>
      <c r="CN14" s="7">
        <v>-0.17459567468505729</v>
      </c>
      <c r="CO14" s="7">
        <v>7.8763758718324112E-2</v>
      </c>
      <c r="CP14" s="7">
        <v>-9.9809331481752833E-2</v>
      </c>
      <c r="CQ14" s="7">
        <v>-5.321162809167454E-2</v>
      </c>
      <c r="CR14" s="7">
        <v>-5.590913762450133E-2</v>
      </c>
      <c r="CS14" s="7">
        <v>-3.8161133435199359E-3</v>
      </c>
      <c r="CT14" s="7">
        <v>-1.910057655068487E-2</v>
      </c>
      <c r="CU14" s="7">
        <v>4.3917102697214612E-2</v>
      </c>
      <c r="CV14" s="7">
        <v>-2.274571513825533E-2</v>
      </c>
      <c r="CW14" s="7">
        <v>3.3983824634707719E-3</v>
      </c>
      <c r="CX14" s="7">
        <v>2.4244256487495751E-2</v>
      </c>
      <c r="CY14" s="7">
        <v>2.875912029147424E-2</v>
      </c>
      <c r="CZ14" s="7">
        <v>-6.4063563350383365E-2</v>
      </c>
      <c r="DA14" s="7">
        <v>2.4304289170584491E-2</v>
      </c>
      <c r="DB14" s="7">
        <v>2.356107318819085E-2</v>
      </c>
      <c r="DC14" s="7">
        <v>-4.2998541980200089E-2</v>
      </c>
      <c r="DD14" s="7">
        <v>1.6758549792416429E-2</v>
      </c>
      <c r="DE14" s="7">
        <v>-6.2526924006459011E-2</v>
      </c>
      <c r="DF14" s="7">
        <v>-0.20156283946711201</v>
      </c>
      <c r="DG14" s="7">
        <v>-1.144655639331721E-2</v>
      </c>
      <c r="DH14" s="7">
        <v>-4.7748372429115976E-3</v>
      </c>
      <c r="DI14" s="7">
        <v>-4.0659134635571623E-2</v>
      </c>
      <c r="DJ14" s="7">
        <v>-1.589759181276991E-2</v>
      </c>
      <c r="DK14" s="7">
        <v>-1.9071063117655919E-2</v>
      </c>
      <c r="DL14" s="7">
        <v>4.0754871831899041E-2</v>
      </c>
      <c r="DM14" s="7">
        <v>-5.504269093650517E-3</v>
      </c>
      <c r="DN14" s="7">
        <v>3.0298833250316529E-2</v>
      </c>
      <c r="DO14" s="7">
        <v>0.1025921893632338</v>
      </c>
      <c r="DP14" s="7">
        <v>-3.6178582717266978E-3</v>
      </c>
      <c r="DQ14" s="7">
        <v>5.6019285986190409E-2</v>
      </c>
      <c r="DR14" s="7">
        <v>-7.7944218090853119E-3</v>
      </c>
      <c r="DS14" s="7">
        <v>-5.6051819928563652E-2</v>
      </c>
      <c r="DT14" s="7">
        <v>4.4516953597455299E-2</v>
      </c>
      <c r="DU14" s="7">
        <v>4.4914948618981987E-2</v>
      </c>
      <c r="DV14" s="7">
        <v>-0.1082623545301073</v>
      </c>
      <c r="DW14" s="7">
        <v>9.8344367017777726E-2</v>
      </c>
      <c r="DX14" s="7">
        <v>-2.7689697360398641E-2</v>
      </c>
      <c r="DY14" s="7">
        <v>-4.7660986602341179E-2</v>
      </c>
      <c r="DZ14" s="7">
        <v>-2.1697589256116791E-2</v>
      </c>
      <c r="EA14" s="7">
        <v>-0.10752548319752379</v>
      </c>
      <c r="EB14" s="7">
        <v>2.510952061826455E-2</v>
      </c>
      <c r="EC14" s="7">
        <v>4.3260017529307637E-2</v>
      </c>
      <c r="ED14" s="7">
        <v>0.102629709186187</v>
      </c>
      <c r="EE14" s="7">
        <v>-3.3992535180725199E-3</v>
      </c>
      <c r="EF14" s="8">
        <v>-6.9956420498558061E-2</v>
      </c>
      <c r="EG14" s="12">
        <f t="shared" si="10"/>
        <v>1.9138331965884868E-3</v>
      </c>
      <c r="EH14" s="12">
        <f t="shared" si="11"/>
        <v>6.4654962866476137E-2</v>
      </c>
      <c r="EI14" s="12">
        <f t="shared" si="12"/>
        <v>2.9600716043111628E-2</v>
      </c>
    </row>
    <row r="15" spans="1:139" x14ac:dyDescent="0.3">
      <c r="A15" s="1">
        <v>100</v>
      </c>
      <c r="B15" s="1">
        <v>10</v>
      </c>
      <c r="C15" s="7">
        <v>-9.6503141994516081E-2</v>
      </c>
      <c r="D15" s="7">
        <v>0.37270921560992559</v>
      </c>
      <c r="E15" s="7">
        <v>1.019842627208351E-2</v>
      </c>
      <c r="F15" s="7">
        <v>0.1085622933731899</v>
      </c>
      <c r="G15" s="7">
        <v>6.0636928671534279E-2</v>
      </c>
      <c r="H15" s="7">
        <v>-5.0157824503593081E-2</v>
      </c>
      <c r="I15" s="7">
        <v>-5.843144427986554E-2</v>
      </c>
      <c r="J15" s="7">
        <v>-6.4524690109755506E-2</v>
      </c>
      <c r="K15" s="7">
        <v>0.28659462773637062</v>
      </c>
      <c r="L15" s="7">
        <v>-3.2558505157184642E-2</v>
      </c>
      <c r="M15" s="7">
        <v>-2.1330164362876949E-3</v>
      </c>
      <c r="N15" s="7">
        <v>-0.12086815416098109</v>
      </c>
      <c r="O15" s="7">
        <v>4.6103493253125377E-2</v>
      </c>
      <c r="P15" s="7">
        <v>2.1896569845224052E-2</v>
      </c>
      <c r="Q15" s="7">
        <v>0.15553684210781249</v>
      </c>
      <c r="R15" s="7">
        <v>1.6755436290618191E-2</v>
      </c>
      <c r="S15" s="7">
        <v>-4.3033933773331312E-2</v>
      </c>
      <c r="T15" s="7">
        <v>-4.9338672660515052E-2</v>
      </c>
      <c r="U15" s="7">
        <v>0.1369680616672688</v>
      </c>
      <c r="V15" s="7">
        <v>-0.1101270063308359</v>
      </c>
      <c r="W15" s="7">
        <v>-5.0671424244990583E-2</v>
      </c>
      <c r="X15" s="7">
        <v>7.8436412445587397E-2</v>
      </c>
      <c r="Y15" s="7">
        <v>-5.202879805714216E-2</v>
      </c>
      <c r="Z15" s="7">
        <v>-2.3656418685670762E-2</v>
      </c>
      <c r="AA15" s="7">
        <v>4.6586123925793019E-2</v>
      </c>
      <c r="AB15" s="7">
        <v>-7.3995951784183639E-2</v>
      </c>
      <c r="AC15" s="7">
        <v>1.6480966208188091E-2</v>
      </c>
      <c r="AD15" s="7">
        <v>-3.9690481127708267E-2</v>
      </c>
      <c r="AE15" s="7">
        <v>4.7286476245703507E-2</v>
      </c>
      <c r="AF15" s="7">
        <v>-0.13772628717765439</v>
      </c>
      <c r="AG15" s="7">
        <v>4.4324544215075819E-2</v>
      </c>
      <c r="AH15" s="7">
        <v>1.4500686925931689E-2</v>
      </c>
      <c r="AI15" s="7">
        <v>-2.4849257132530979E-2</v>
      </c>
      <c r="AJ15" s="7">
        <v>-4.1844346323331449E-3</v>
      </c>
      <c r="AK15" s="7">
        <v>-6.9361451191916404E-2</v>
      </c>
      <c r="AL15" s="7">
        <v>-3.2360173796661423E-2</v>
      </c>
      <c r="AM15" s="7">
        <v>-6.863120708961859E-2</v>
      </c>
      <c r="AN15" s="7">
        <v>-6.0734931800687501E-2</v>
      </c>
      <c r="AO15" s="7">
        <v>-6.3369812463467096E-2</v>
      </c>
      <c r="AP15" s="7">
        <v>7.8285693892754235E-2</v>
      </c>
      <c r="AQ15" s="7">
        <v>3.7367126796121669E-2</v>
      </c>
      <c r="AR15" s="7">
        <v>-2.4550819698278721E-2</v>
      </c>
      <c r="AS15" s="7">
        <v>4.8733221354101797E-2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-8.1360565954768135E-2</v>
      </c>
      <c r="AY15" s="7">
        <v>2.9005659300491791E-2</v>
      </c>
      <c r="AZ15" s="7">
        <v>-9.1323280068503487E-2</v>
      </c>
      <c r="BA15" s="7">
        <v>1.061351480765297E-2</v>
      </c>
      <c r="BB15" s="7">
        <v>0.1087890998161227</v>
      </c>
      <c r="BC15" s="7">
        <v>-3.0936691622350049E-2</v>
      </c>
      <c r="BD15" s="7">
        <v>5.3043273904796059E-2</v>
      </c>
      <c r="BE15" s="7">
        <v>-4.6217113983022272E-2</v>
      </c>
      <c r="BF15" s="7">
        <v>-5.6978024220911652E-2</v>
      </c>
      <c r="BG15" s="7">
        <v>1.3776150402420841E-2</v>
      </c>
      <c r="BH15" s="7">
        <v>-5.4709226157740029E-2</v>
      </c>
      <c r="BI15" s="7">
        <v>6.8586659114969639E-2</v>
      </c>
      <c r="BJ15" s="7">
        <v>-1.1265027087445249E-2</v>
      </c>
      <c r="BK15" s="7">
        <v>7.2869418882588896E-2</v>
      </c>
      <c r="BL15" s="7">
        <v>7.7901403746215292E-5</v>
      </c>
      <c r="BM15" s="7">
        <v>-6.2598394572544819E-2</v>
      </c>
      <c r="BN15" s="7">
        <v>6.6054035225581897E-2</v>
      </c>
      <c r="BO15" s="7">
        <v>1.6589443526158851E-2</v>
      </c>
      <c r="BP15" s="7">
        <v>1.4184220707804779E-2</v>
      </c>
      <c r="BQ15" s="7">
        <v>1.280293129032776E-2</v>
      </c>
      <c r="BR15" s="7">
        <v>0.1237621364364551</v>
      </c>
      <c r="BS15" s="7">
        <v>-1.682377745028631E-2</v>
      </c>
      <c r="BT15" s="7">
        <v>-3.6633666195559952E-2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-9.333839246383685E-2</v>
      </c>
      <c r="BZ15" s="7">
        <v>0.1029064689773473</v>
      </c>
      <c r="CA15" s="7">
        <v>2.9964009225077439E-2</v>
      </c>
      <c r="CB15" s="7">
        <v>0.13109140278406139</v>
      </c>
      <c r="CC15" s="7">
        <v>0.17365170572211991</v>
      </c>
      <c r="CD15" s="7">
        <v>8.9094519675820161E-2</v>
      </c>
      <c r="CE15" s="7">
        <v>7.3368120048450503E-2</v>
      </c>
      <c r="CF15" s="7">
        <v>-4.1349429867967538E-2</v>
      </c>
      <c r="CG15" s="7">
        <v>0.2257312272651272</v>
      </c>
      <c r="CH15" s="7">
        <v>6.2885958283701332E-2</v>
      </c>
      <c r="CI15" s="7">
        <v>-6.9336844735236963E-2</v>
      </c>
      <c r="CJ15" s="7">
        <v>8.7044356072718085E-2</v>
      </c>
      <c r="CK15" s="7">
        <v>5.667264577209942E-2</v>
      </c>
      <c r="CL15" s="7">
        <v>3.1421974993248308E-2</v>
      </c>
      <c r="CM15" s="7">
        <v>-4.6626535792598657E-2</v>
      </c>
      <c r="CN15" s="7">
        <v>-0.14314981697124041</v>
      </c>
      <c r="CO15" s="7">
        <v>0.1069792441995681</v>
      </c>
      <c r="CP15" s="7">
        <v>-0.12753583543294969</v>
      </c>
      <c r="CQ15" s="7">
        <v>-3.7378010765128991E-2</v>
      </c>
      <c r="CR15" s="7">
        <v>-4.8237070288164277E-2</v>
      </c>
      <c r="CS15" s="7">
        <v>1.6910986704255612E-2</v>
      </c>
      <c r="CT15" s="7">
        <v>-7.3945749754547726E-3</v>
      </c>
      <c r="CU15" s="7">
        <v>6.3178659914772728E-2</v>
      </c>
      <c r="CV15" s="7">
        <v>6.1418469048089008E-3</v>
      </c>
      <c r="CW15" s="7">
        <v>1.248466018044017E-2</v>
      </c>
      <c r="CX15" s="7">
        <v>1.7868891816779579E-2</v>
      </c>
      <c r="CY15" s="7">
        <v>4.2470673077762339E-2</v>
      </c>
      <c r="CZ15" s="7">
        <v>-7.9886947944342257E-2</v>
      </c>
      <c r="DA15" s="7">
        <v>2.6375835441876511E-2</v>
      </c>
      <c r="DB15" s="7">
        <v>3.0226618214123681E-2</v>
      </c>
      <c r="DC15" s="7">
        <v>-6.7692431945125919E-2</v>
      </c>
      <c r="DD15" s="7">
        <v>4.9393690499884603E-2</v>
      </c>
      <c r="DE15" s="7">
        <v>-5.7163634731252508E-2</v>
      </c>
      <c r="DF15" s="7">
        <v>-0.30272044964278222</v>
      </c>
      <c r="DG15" s="7">
        <v>-1.61967316182412E-2</v>
      </c>
      <c r="DH15" s="7">
        <v>1.8709011043892099E-2</v>
      </c>
      <c r="DI15" s="7">
        <v>-5.4108318657130297E-2</v>
      </c>
      <c r="DJ15" s="7">
        <v>-4.7566622441064077E-2</v>
      </c>
      <c r="DK15" s="7">
        <v>-0.101774834051468</v>
      </c>
      <c r="DL15" s="7">
        <v>-3.0399320282783332E-4</v>
      </c>
      <c r="DM15" s="7">
        <v>2.380854686766869E-2</v>
      </c>
      <c r="DN15" s="7">
        <v>-6.7022569228543022E-2</v>
      </c>
      <c r="DO15" s="7">
        <v>0.15954541135927219</v>
      </c>
      <c r="DP15" s="7">
        <v>4.0330192791233468E-2</v>
      </c>
      <c r="DQ15" s="7">
        <v>7.2938079904142805E-2</v>
      </c>
      <c r="DR15" s="7">
        <v>2.2035264994874001E-2</v>
      </c>
      <c r="DS15" s="7">
        <v>-3.7530143777968331E-2</v>
      </c>
      <c r="DT15" s="7">
        <v>7.2163631718163007E-2</v>
      </c>
      <c r="DU15" s="7">
        <v>4.5770728951680668E-2</v>
      </c>
      <c r="DV15" s="7">
        <v>-0.13976835694087139</v>
      </c>
      <c r="DW15" s="7">
        <v>2.5538627146832551E-2</v>
      </c>
      <c r="DX15" s="7">
        <v>-2.1545670320480031E-2</v>
      </c>
      <c r="DY15" s="7">
        <v>8.3673634692538773E-2</v>
      </c>
      <c r="DZ15" s="7">
        <v>-3.6596497763803963E-2</v>
      </c>
      <c r="EA15" s="7">
        <v>-0.10917693290987859</v>
      </c>
      <c r="EB15" s="7">
        <v>5.6126480267324717E-2</v>
      </c>
      <c r="EC15" s="7">
        <v>7.6157076796619858E-2</v>
      </c>
      <c r="ED15" s="7">
        <v>0.1133570559353114</v>
      </c>
      <c r="EE15" s="7">
        <v>3.1907205015268242E-3</v>
      </c>
      <c r="EF15" s="8">
        <v>-6.5700991138842244E-2</v>
      </c>
      <c r="EG15" s="12">
        <f t="shared" si="10"/>
        <v>7.0940527786889414E-3</v>
      </c>
      <c r="EH15" s="12">
        <f t="shared" si="11"/>
        <v>8.4357015563494855E-2</v>
      </c>
      <c r="EI15" s="12">
        <f t="shared" si="12"/>
        <v>8.4095587442271524E-2</v>
      </c>
    </row>
    <row r="16" spans="1:139" x14ac:dyDescent="0.3">
      <c r="A16" s="1">
        <v>107</v>
      </c>
      <c r="B16" s="1">
        <v>9</v>
      </c>
      <c r="C16" s="7">
        <v>-2.7383644610379052E-2</v>
      </c>
      <c r="D16" s="7">
        <v>0.40819497873258059</v>
      </c>
      <c r="E16" s="7">
        <v>2.8301766100853822E-3</v>
      </c>
      <c r="F16" s="7">
        <v>9.9382492855487087E-2</v>
      </c>
      <c r="G16" s="7">
        <v>7.3696265126923857E-2</v>
      </c>
      <c r="H16" s="7">
        <v>-6.0999004616936837E-2</v>
      </c>
      <c r="I16" s="7">
        <v>-5.7530618665621432E-2</v>
      </c>
      <c r="J16" s="7">
        <v>-6.869403325322769E-2</v>
      </c>
      <c r="K16" s="7">
        <v>0.28467055022653209</v>
      </c>
      <c r="L16" s="7">
        <v>-9.8865345878687977E-3</v>
      </c>
      <c r="M16" s="7">
        <v>-1.3987435861917089E-2</v>
      </c>
      <c r="N16" s="7">
        <v>-0.1256706255427503</v>
      </c>
      <c r="O16" s="7">
        <v>1.562109222531044E-2</v>
      </c>
      <c r="P16" s="7">
        <v>8.1881795143319731E-3</v>
      </c>
      <c r="Q16" s="7">
        <v>0.15790307042433799</v>
      </c>
      <c r="R16" s="7">
        <v>1.9182762255635071E-2</v>
      </c>
      <c r="S16" s="7">
        <v>-4.241518321095411E-2</v>
      </c>
      <c r="T16" s="7">
        <v>-2.322678494413952E-2</v>
      </c>
      <c r="U16" s="7">
        <v>0.1300624714297445</v>
      </c>
      <c r="V16" s="7">
        <v>-7.5571486108906974E-2</v>
      </c>
      <c r="W16" s="7">
        <v>-0.1016313571311754</v>
      </c>
      <c r="X16" s="7">
        <v>7.3678277657467109E-2</v>
      </c>
      <c r="Y16" s="7">
        <v>-5.0278834461062571E-2</v>
      </c>
      <c r="Z16" s="7">
        <v>-2.0075794878424799E-2</v>
      </c>
      <c r="AA16" s="7">
        <v>5.022552686591434E-2</v>
      </c>
      <c r="AB16" s="7">
        <v>-7.1016126417337094E-2</v>
      </c>
      <c r="AC16" s="7">
        <v>4.7226236202560543E-2</v>
      </c>
      <c r="AD16" s="7">
        <v>-3.481117185725148E-2</v>
      </c>
      <c r="AE16" s="7">
        <v>5.1534991881901908E-2</v>
      </c>
      <c r="AF16" s="7">
        <v>-0.14791561026442651</v>
      </c>
      <c r="AG16" s="7">
        <v>4.3776159735772403E-2</v>
      </c>
      <c r="AH16" s="7">
        <v>4.4107019023009487E-2</v>
      </c>
      <c r="AI16" s="7">
        <v>-3.3383255671647301E-2</v>
      </c>
      <c r="AJ16" s="7">
        <v>1.7629241723035149E-2</v>
      </c>
      <c r="AK16" s="7">
        <v>-3.7433452981487869E-2</v>
      </c>
      <c r="AL16" s="7">
        <v>-5.4397026306529771E-3</v>
      </c>
      <c r="AM16" s="7">
        <v>-5.2145732480091148E-2</v>
      </c>
      <c r="AN16" s="7">
        <v>-5.2712143495019431E-2</v>
      </c>
      <c r="AO16" s="7">
        <v>-6.1424671825912318E-2</v>
      </c>
      <c r="AP16" s="7">
        <v>7.779836814558852E-2</v>
      </c>
      <c r="AQ16" s="7">
        <v>3.8466200146068608E-2</v>
      </c>
      <c r="AR16" s="7">
        <v>-3.2492759720063692E-2</v>
      </c>
      <c r="AS16" s="7">
        <v>5.2642718238233757E-2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-0.1006213291014028</v>
      </c>
      <c r="AY16" s="7">
        <v>1.9601853599139189E-2</v>
      </c>
      <c r="AZ16" s="7">
        <v>-0.1049096351787122</v>
      </c>
      <c r="BA16" s="7">
        <v>1.4923105057586089E-2</v>
      </c>
      <c r="BB16" s="7">
        <v>0.1324747375965718</v>
      </c>
      <c r="BC16" s="7">
        <v>-3.8999391922231702E-2</v>
      </c>
      <c r="BD16" s="7">
        <v>3.5936711545904013E-2</v>
      </c>
      <c r="BE16" s="7">
        <v>-4.4139136640068882E-2</v>
      </c>
      <c r="BF16" s="7">
        <v>-5.4584963205786277E-2</v>
      </c>
      <c r="BG16" s="7">
        <v>1.9331206971702371E-2</v>
      </c>
      <c r="BH16" s="7">
        <v>-6.204002555156761E-2</v>
      </c>
      <c r="BI16" s="7">
        <v>4.1443807763261883E-2</v>
      </c>
      <c r="BJ16" s="7">
        <v>-2.0503816283207601E-2</v>
      </c>
      <c r="BK16" s="7">
        <v>0.1047732029205687</v>
      </c>
      <c r="BL16" s="7">
        <v>-8.4142573937307022E-3</v>
      </c>
      <c r="BM16" s="7">
        <v>-6.9805825252800505E-2</v>
      </c>
      <c r="BN16" s="7">
        <v>6.7197970404689056E-2</v>
      </c>
      <c r="BO16" s="7">
        <v>1.5960318994735909E-2</v>
      </c>
      <c r="BP16" s="7">
        <v>2.0843183547580579E-2</v>
      </c>
      <c r="BQ16" s="7">
        <v>1.6478016254928601E-2</v>
      </c>
      <c r="BR16" s="7">
        <v>0.13058296822502161</v>
      </c>
      <c r="BS16" s="7">
        <v>-1.319157314746418E-2</v>
      </c>
      <c r="BT16" s="7">
        <v>-3.8066078212245447E-2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-0.1189947080532785</v>
      </c>
      <c r="BZ16" s="7">
        <v>0.11152584850164921</v>
      </c>
      <c r="CA16" s="7">
        <v>2.7432169651693931E-2</v>
      </c>
      <c r="CB16" s="7">
        <v>0.13930873593333401</v>
      </c>
      <c r="CC16" s="7">
        <v>4.4388153170205821E-2</v>
      </c>
      <c r="CD16" s="7">
        <v>8.7751090265593801E-2</v>
      </c>
      <c r="CE16" s="7">
        <v>9.3614230467915741E-2</v>
      </c>
      <c r="CF16" s="7">
        <v>-5.280008433528089E-2</v>
      </c>
      <c r="CG16" s="7">
        <v>0.14619604002614181</v>
      </c>
      <c r="CH16" s="7">
        <v>4.1697414703027062E-2</v>
      </c>
      <c r="CI16" s="7">
        <v>-5.8344749844507937E-2</v>
      </c>
      <c r="CJ16" s="7">
        <v>4.5523550787666608E-2</v>
      </c>
      <c r="CK16" s="7">
        <v>7.6472983717690388E-2</v>
      </c>
      <c r="CL16" s="7">
        <v>1.5878682334709331E-2</v>
      </c>
      <c r="CM16" s="7">
        <v>-6.9997267456522183E-3</v>
      </c>
      <c r="CN16" s="7">
        <v>-0.16035991631652741</v>
      </c>
      <c r="CO16" s="7">
        <v>0.13464020879390531</v>
      </c>
      <c r="CP16" s="7">
        <v>-0.13663168948209131</v>
      </c>
      <c r="CQ16" s="7">
        <v>-4.1435605659410409E-2</v>
      </c>
      <c r="CR16" s="7">
        <v>-4.829976668331655E-2</v>
      </c>
      <c r="CS16" s="7">
        <v>2.1807008909622099E-2</v>
      </c>
      <c r="CT16" s="7">
        <v>-5.0674065008409694E-3</v>
      </c>
      <c r="CU16" s="7">
        <v>6.343465435897469E-2</v>
      </c>
      <c r="CV16" s="7">
        <v>1.6751084080720881E-2</v>
      </c>
      <c r="CW16" s="7">
        <v>9.1941595326216954E-3</v>
      </c>
      <c r="CX16" s="7">
        <v>6.6867776782281244E-3</v>
      </c>
      <c r="CY16" s="7">
        <v>4.9117049116625407E-2</v>
      </c>
      <c r="CZ16" s="7">
        <v>-0.1026332591781325</v>
      </c>
      <c r="DA16" s="7">
        <v>2.9804793967235531E-2</v>
      </c>
      <c r="DB16" s="7">
        <v>4.2712169780226052E-2</v>
      </c>
      <c r="DC16" s="7">
        <v>-8.3264051622984642E-2</v>
      </c>
      <c r="DD16" s="7">
        <v>7.0070935057357717E-2</v>
      </c>
      <c r="DE16" s="7">
        <v>-3.4552400358790022E-2</v>
      </c>
      <c r="DF16" s="7">
        <v>-0.32557955091715263</v>
      </c>
      <c r="DG16" s="7">
        <v>-1.445294763143863E-2</v>
      </c>
      <c r="DH16" s="7">
        <v>1.9129343417971109E-2</v>
      </c>
      <c r="DI16" s="7">
        <v>-4.5399497901261208E-2</v>
      </c>
      <c r="DJ16" s="7">
        <v>-5.17532210725552E-2</v>
      </c>
      <c r="DK16" s="7">
        <v>-0.1335943566255807</v>
      </c>
      <c r="DL16" s="7">
        <v>-2.187287424977424E-2</v>
      </c>
      <c r="DM16" s="7">
        <v>3.0330949758340948E-2</v>
      </c>
      <c r="DN16" s="7">
        <v>-5.6707576938316691E-2</v>
      </c>
      <c r="DO16" s="7">
        <v>0.16959094638807429</v>
      </c>
      <c r="DP16" s="7">
        <v>2.4716583377735541E-2</v>
      </c>
      <c r="DQ16" s="7">
        <v>6.7560519945635999E-2</v>
      </c>
      <c r="DR16" s="7">
        <v>1.11781676491013E-2</v>
      </c>
      <c r="DS16" s="7">
        <v>-2.144067271249302E-2</v>
      </c>
      <c r="DT16" s="7">
        <v>0.10053412782446559</v>
      </c>
      <c r="DU16" s="7">
        <v>6.447373376953866E-2</v>
      </c>
      <c r="DV16" s="7">
        <v>-0.13695373201779351</v>
      </c>
      <c r="DW16" s="7">
        <v>4.0917729699690833E-2</v>
      </c>
      <c r="DX16" s="7">
        <v>-2.1947727776040898E-2</v>
      </c>
      <c r="DY16" s="7">
        <v>9.4984864221236961E-2</v>
      </c>
      <c r="DZ16" s="7">
        <v>-1.264917158578936E-2</v>
      </c>
      <c r="EA16" s="7">
        <v>-0.13979901874338971</v>
      </c>
      <c r="EB16" s="7">
        <v>7.0875443779551073E-2</v>
      </c>
      <c r="EC16" s="7">
        <v>6.8501480567839029E-2</v>
      </c>
      <c r="ED16" s="7">
        <v>0.1154167474989211</v>
      </c>
      <c r="EE16" s="7">
        <v>4.3966753067597054E-3</v>
      </c>
      <c r="EF16" s="8">
        <v>-4.2474401493907223E-2</v>
      </c>
      <c r="EG16" s="12">
        <f t="shared" si="10"/>
        <v>7.7867006043550293E-3</v>
      </c>
      <c r="EH16" s="12">
        <f t="shared" si="11"/>
        <v>8.6153974275574904E-2</v>
      </c>
      <c r="EI16" s="12">
        <f t="shared" si="12"/>
        <v>9.0381211892190089E-2</v>
      </c>
    </row>
    <row r="17" spans="1:139" x14ac:dyDescent="0.3">
      <c r="A17" s="1">
        <v>120</v>
      </c>
      <c r="B17" s="1">
        <v>8</v>
      </c>
      <c r="C17" s="7">
        <v>-4.1028984252961823E-2</v>
      </c>
      <c r="D17" s="7">
        <v>0.43958848862462141</v>
      </c>
      <c r="E17" s="7">
        <v>-7.3790014953013412E-3</v>
      </c>
      <c r="F17" s="7">
        <v>0.1128375151172957</v>
      </c>
      <c r="G17" s="7">
        <v>7.122276687818177E-2</v>
      </c>
      <c r="H17" s="7">
        <v>-7.6687821562616859E-2</v>
      </c>
      <c r="I17" s="7">
        <v>-0.1137250278021875</v>
      </c>
      <c r="J17" s="7">
        <v>-0.11529907324194991</v>
      </c>
      <c r="K17" s="7">
        <v>0.29682655110056239</v>
      </c>
      <c r="L17" s="7">
        <v>-9.7108895081580021E-3</v>
      </c>
      <c r="M17" s="7">
        <v>1.4659142090288421E-2</v>
      </c>
      <c r="N17" s="7">
        <v>-0.1359484320527852</v>
      </c>
      <c r="O17" s="7">
        <v>2.4632055211945642E-2</v>
      </c>
      <c r="P17" s="7">
        <v>1.338294674336832E-2</v>
      </c>
      <c r="Q17" s="7">
        <v>0.16180129461512691</v>
      </c>
      <c r="R17" s="7">
        <v>1.9752512806694429E-3</v>
      </c>
      <c r="S17" s="7">
        <v>-5.51320257379724E-2</v>
      </c>
      <c r="T17" s="7">
        <v>-2.3507588651560989E-2</v>
      </c>
      <c r="U17" s="7">
        <v>0.14127114253855691</v>
      </c>
      <c r="V17" s="7">
        <v>-9.7259655852603044E-2</v>
      </c>
      <c r="W17" s="7">
        <v>-0.1286672543576686</v>
      </c>
      <c r="X17" s="7">
        <v>0.1001859670039883</v>
      </c>
      <c r="Y17" s="7">
        <v>-7.3623131490407626E-2</v>
      </c>
      <c r="Z17" s="7">
        <v>-2.160848979426638E-2</v>
      </c>
      <c r="AA17" s="7">
        <v>6.2254197086471723E-2</v>
      </c>
      <c r="AB17" s="7">
        <v>-5.8334160690778111E-2</v>
      </c>
      <c r="AC17" s="7">
        <v>5.8728690290493803E-2</v>
      </c>
      <c r="AD17" s="7">
        <v>-6.8619823236846789E-2</v>
      </c>
      <c r="AE17" s="7">
        <v>5.9443499695692369E-2</v>
      </c>
      <c r="AF17" s="7">
        <v>-0.1202863246558465</v>
      </c>
      <c r="AG17" s="7">
        <v>6.2640141571138702E-2</v>
      </c>
      <c r="AH17" s="7">
        <v>3.1921450212330872E-2</v>
      </c>
      <c r="AI17" s="7">
        <v>-5.7037975655486538E-2</v>
      </c>
      <c r="AJ17" s="7">
        <v>2.220745952474644E-2</v>
      </c>
      <c r="AK17" s="7">
        <v>-2.937588960957525E-2</v>
      </c>
      <c r="AL17" s="7">
        <v>-2.701818216868862E-2</v>
      </c>
      <c r="AM17" s="7">
        <v>-9.3351710026530269E-2</v>
      </c>
      <c r="AN17" s="7">
        <v>-4.9360372419014018E-2</v>
      </c>
      <c r="AO17" s="7">
        <v>-1.2632334595724191E-2</v>
      </c>
      <c r="AP17" s="7">
        <v>7.7242814419585484E-2</v>
      </c>
      <c r="AQ17" s="7">
        <v>6.052713740149903E-2</v>
      </c>
      <c r="AR17" s="7">
        <v>-3.4997281035057427E-2</v>
      </c>
      <c r="AS17" s="7">
        <v>5.8802956944234333E-2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-9.7619105117607935E-2</v>
      </c>
      <c r="AY17" s="7">
        <v>1.547804570524644E-2</v>
      </c>
      <c r="AZ17" s="7">
        <v>-0.1251576022601911</v>
      </c>
      <c r="BA17" s="7">
        <v>9.8251791071129642E-3</v>
      </c>
      <c r="BB17" s="7">
        <v>0.15327128427838471</v>
      </c>
      <c r="BC17" s="7">
        <v>-2.729282438048998E-2</v>
      </c>
      <c r="BD17" s="7">
        <v>2.235648224620481E-2</v>
      </c>
      <c r="BE17" s="7">
        <v>-1.6297388770544239E-2</v>
      </c>
      <c r="BF17" s="7">
        <v>-7.741760405507267E-2</v>
      </c>
      <c r="BG17" s="7">
        <v>-1.3153310785772251E-2</v>
      </c>
      <c r="BH17" s="7">
        <v>-4.8737994244788217E-2</v>
      </c>
      <c r="BI17" s="7">
        <v>8.7111945439947241E-2</v>
      </c>
      <c r="BJ17" s="7">
        <v>-9.8580642732364818E-3</v>
      </c>
      <c r="BK17" s="7">
        <v>0.11481579199951759</v>
      </c>
      <c r="BL17" s="7">
        <v>7.5736051069474897E-3</v>
      </c>
      <c r="BM17" s="7">
        <v>-7.7967325781843663E-2</v>
      </c>
      <c r="BN17" s="7">
        <v>7.3656767936365913E-2</v>
      </c>
      <c r="BO17" s="7">
        <v>3.135029868338178E-2</v>
      </c>
      <c r="BP17" s="7">
        <v>3.5995979654480911E-2</v>
      </c>
      <c r="BQ17" s="7">
        <v>1.1376510446451601E-2</v>
      </c>
      <c r="BR17" s="7">
        <v>0.1150223530257518</v>
      </c>
      <c r="BS17" s="7">
        <v>-4.1034691106065987E-3</v>
      </c>
      <c r="BT17" s="7">
        <v>-3.3647573246358371E-2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-9.5860871919991084E-2</v>
      </c>
      <c r="BZ17" s="7">
        <v>0.12057815588108529</v>
      </c>
      <c r="CA17" s="7">
        <v>2.7196784377914691E-2</v>
      </c>
      <c r="CB17" s="7">
        <v>0.1496331576928896</v>
      </c>
      <c r="CC17" s="7">
        <v>4.1760252474235628E-2</v>
      </c>
      <c r="CD17" s="7">
        <v>6.4105945265327313E-2</v>
      </c>
      <c r="CE17" s="7">
        <v>9.5708073661495086E-2</v>
      </c>
      <c r="CF17" s="7">
        <v>-5.8238796594696537E-2</v>
      </c>
      <c r="CG17" s="7">
        <v>0.17703460732335141</v>
      </c>
      <c r="CH17" s="7">
        <v>5.8636446607050002E-2</v>
      </c>
      <c r="CI17" s="7">
        <v>-8.2452914320057163E-2</v>
      </c>
      <c r="CJ17" s="7">
        <v>5.0742321484442049E-2</v>
      </c>
      <c r="CK17" s="7">
        <v>9.1738572657912937E-2</v>
      </c>
      <c r="CL17" s="7">
        <v>-9.426344769031314E-3</v>
      </c>
      <c r="CM17" s="7">
        <v>1.669972893353411E-3</v>
      </c>
      <c r="CN17" s="7">
        <v>-0.1765312785813869</v>
      </c>
      <c r="CO17" s="7">
        <v>0.13741287532952509</v>
      </c>
      <c r="CP17" s="7">
        <v>-0.1481592691973436</v>
      </c>
      <c r="CQ17" s="7">
        <v>-4.1087933183403327E-2</v>
      </c>
      <c r="CR17" s="7">
        <v>-5.0676490702223173E-2</v>
      </c>
      <c r="CS17" s="7">
        <v>1.1545515717005199E-2</v>
      </c>
      <c r="CT17" s="7">
        <v>-4.9260056389193077E-2</v>
      </c>
      <c r="CU17" s="7">
        <v>7.440830758325391E-2</v>
      </c>
      <c r="CV17" s="7">
        <v>-3.8796079399274282E-3</v>
      </c>
      <c r="CW17" s="7">
        <v>1.976185390935294E-2</v>
      </c>
      <c r="CX17" s="7">
        <v>2.4992449205521659E-2</v>
      </c>
      <c r="CY17" s="7">
        <v>4.9383298716090041E-2</v>
      </c>
      <c r="CZ17" s="7">
        <v>-0.1242488378476205</v>
      </c>
      <c r="DA17" s="7">
        <v>4.3895859145134192E-2</v>
      </c>
      <c r="DB17" s="7">
        <v>3.4883010792467917E-2</v>
      </c>
      <c r="DC17" s="7">
        <v>-9.8849392549809512E-2</v>
      </c>
      <c r="DD17" s="7">
        <v>8.5133933084153957E-2</v>
      </c>
      <c r="DE17" s="7">
        <v>-2.4124863346722019E-2</v>
      </c>
      <c r="DF17" s="7">
        <v>-0.35222555427147212</v>
      </c>
      <c r="DG17" s="7">
        <v>1.8392819289084069E-3</v>
      </c>
      <c r="DH17" s="7">
        <v>3.8726650938012717E-2</v>
      </c>
      <c r="DI17" s="7">
        <v>-3.5044536065945063E-2</v>
      </c>
      <c r="DJ17" s="7">
        <v>-5.7146500327343322E-2</v>
      </c>
      <c r="DK17" s="7">
        <v>-0.15603642811654619</v>
      </c>
      <c r="DL17" s="7">
        <v>-3.929731691128693E-3</v>
      </c>
      <c r="DM17" s="7">
        <v>5.2252910582316028E-2</v>
      </c>
      <c r="DN17" s="7">
        <v>-6.0629182792548447E-2</v>
      </c>
      <c r="DO17" s="7">
        <v>0.17976292609872879</v>
      </c>
      <c r="DP17" s="7">
        <v>2.509743000805471E-2</v>
      </c>
      <c r="DQ17" s="7">
        <v>6.5244348133762259E-2</v>
      </c>
      <c r="DR17" s="7">
        <v>2.572643946627351E-2</v>
      </c>
      <c r="DS17" s="7">
        <v>-3.7354088755102308E-2</v>
      </c>
      <c r="DT17" s="7">
        <v>9.3138949685151573E-2</v>
      </c>
      <c r="DU17" s="7">
        <v>7.1730706050505327E-2</v>
      </c>
      <c r="DV17" s="7">
        <v>-0.11776539811095429</v>
      </c>
      <c r="DW17" s="7">
        <v>4.8681483414150163E-2</v>
      </c>
      <c r="DX17" s="7">
        <v>2.3035180169188669E-2</v>
      </c>
      <c r="DY17" s="7">
        <v>0.12601053790105471</v>
      </c>
      <c r="DZ17" s="7">
        <v>4.7910532459885732E-3</v>
      </c>
      <c r="EA17" s="7">
        <v>-0.1645715232321148</v>
      </c>
      <c r="EB17" s="7">
        <v>7.3780969717652869E-2</v>
      </c>
      <c r="EC17" s="7">
        <v>0.1215120172680231</v>
      </c>
      <c r="ED17" s="7">
        <v>0.12832444392891271</v>
      </c>
      <c r="EE17" s="7">
        <v>-1.9352114607941879E-4</v>
      </c>
      <c r="EF17" s="8">
        <v>-4.7709767009851849E-2</v>
      </c>
      <c r="EG17" s="12">
        <f t="shared" si="10"/>
        <v>8.9282427337657646E-3</v>
      </c>
      <c r="EH17" s="12">
        <f t="shared" si="11"/>
        <v>9.456091165746662E-2</v>
      </c>
      <c r="EI17" s="12">
        <f t="shared" si="12"/>
        <v>9.441790034879366E-2</v>
      </c>
    </row>
    <row r="18" spans="1:139" x14ac:dyDescent="0.3">
      <c r="A18" s="1">
        <v>137</v>
      </c>
      <c r="B18" s="1">
        <v>7</v>
      </c>
      <c r="C18" s="7">
        <v>-5.3942228163147227E-2</v>
      </c>
      <c r="D18" s="7">
        <v>0.40188368142206798</v>
      </c>
      <c r="E18" s="7">
        <v>5.900065709820778E-2</v>
      </c>
      <c r="F18" s="7">
        <v>0.13441437443338569</v>
      </c>
      <c r="G18" s="7">
        <v>8.0794247020859855E-2</v>
      </c>
      <c r="H18" s="7">
        <v>-0.1219127893632701</v>
      </c>
      <c r="I18" s="7">
        <v>-0.13550018022324109</v>
      </c>
      <c r="J18" s="7">
        <v>-0.12516179308854181</v>
      </c>
      <c r="K18" s="7">
        <v>0.35868209850789973</v>
      </c>
      <c r="L18" s="7">
        <v>-1.298248684698161E-2</v>
      </c>
      <c r="M18" s="7">
        <v>2.9051464376457319E-2</v>
      </c>
      <c r="N18" s="7">
        <v>-0.1429924272847711</v>
      </c>
      <c r="O18" s="7">
        <v>2.432387484281975E-2</v>
      </c>
      <c r="P18" s="7">
        <v>8.3280858539089599E-3</v>
      </c>
      <c r="Q18" s="7">
        <v>0.18897541868948989</v>
      </c>
      <c r="R18" s="7">
        <v>1.9326198926856369E-2</v>
      </c>
      <c r="S18" s="7">
        <v>-6.9013340393708683E-2</v>
      </c>
      <c r="T18" s="7">
        <v>-5.0281401732647129E-3</v>
      </c>
      <c r="U18" s="7">
        <v>0.132495024429819</v>
      </c>
      <c r="V18" s="7">
        <v>-0.1213914614259257</v>
      </c>
      <c r="W18" s="7">
        <v>-0.16613482926929909</v>
      </c>
      <c r="X18" s="7">
        <v>0.1271228086254903</v>
      </c>
      <c r="Y18" s="7">
        <v>-0.1038792439088113</v>
      </c>
      <c r="Z18" s="7">
        <v>-1.690571618738388E-2</v>
      </c>
      <c r="AA18" s="7">
        <v>5.4804497980215187E-2</v>
      </c>
      <c r="AB18" s="7">
        <v>-6.1713850673723439E-2</v>
      </c>
      <c r="AC18" s="7">
        <v>5.782301285595727E-2</v>
      </c>
      <c r="AD18" s="7">
        <v>-9.6285845185419314E-2</v>
      </c>
      <c r="AE18" s="7">
        <v>7.7201591618879711E-2</v>
      </c>
      <c r="AF18" s="7">
        <v>-0.1505436398240734</v>
      </c>
      <c r="AG18" s="7">
        <v>8.1719979892753619E-2</v>
      </c>
      <c r="AH18" s="7">
        <v>3.591323041590648E-2</v>
      </c>
      <c r="AI18" s="7">
        <v>-8.1423750051169697E-2</v>
      </c>
      <c r="AJ18" s="7">
        <v>7.3274438891894889E-3</v>
      </c>
      <c r="AK18" s="7">
        <v>-2.283288536199644E-2</v>
      </c>
      <c r="AL18" s="7">
        <v>-3.2812811779609451E-2</v>
      </c>
      <c r="AM18" s="7">
        <v>-9.6053029136818027E-2</v>
      </c>
      <c r="AN18" s="7">
        <v>-5.3661578264684401E-2</v>
      </c>
      <c r="AO18" s="7">
        <v>-5.4275349676927882E-3</v>
      </c>
      <c r="AP18" s="7">
        <v>7.8278591933806971E-2</v>
      </c>
      <c r="AQ18" s="7">
        <v>7.6230845326449942E-2</v>
      </c>
      <c r="AR18" s="7">
        <v>-6.1694523600781571E-2</v>
      </c>
      <c r="AS18" s="7">
        <v>8.3253127889185943E-2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-0.12606433742612741</v>
      </c>
      <c r="AY18" s="7">
        <v>3.0189358728490181E-2</v>
      </c>
      <c r="AZ18" s="7">
        <v>-0.14840908238889911</v>
      </c>
      <c r="BA18" s="7">
        <v>6.3231092468556214E-4</v>
      </c>
      <c r="BB18" s="7">
        <v>0.16725801848079261</v>
      </c>
      <c r="BC18" s="7">
        <v>2.7942050701969749E-2</v>
      </c>
      <c r="BD18" s="7">
        <v>-2.4016271687300441E-2</v>
      </c>
      <c r="BE18" s="7">
        <v>-2.2230541258883942E-2</v>
      </c>
      <c r="BF18" s="7">
        <v>-3.8143151088164323E-2</v>
      </c>
      <c r="BG18" s="7">
        <v>-2.308236889505343E-3</v>
      </c>
      <c r="BH18" s="7">
        <v>-6.2935383825294358E-2</v>
      </c>
      <c r="BI18" s="7">
        <v>0.1090000069186657</v>
      </c>
      <c r="BJ18" s="7">
        <v>5.9560640504595433E-3</v>
      </c>
      <c r="BK18" s="7">
        <v>7.3455626824005624E-2</v>
      </c>
      <c r="BL18" s="7">
        <v>2.6352779482868838E-2</v>
      </c>
      <c r="BM18" s="7">
        <v>-6.9782332729482255E-2</v>
      </c>
      <c r="BN18" s="7">
        <v>7.8208699482375382E-2</v>
      </c>
      <c r="BO18" s="7">
        <v>8.4067312683740805E-3</v>
      </c>
      <c r="BP18" s="7">
        <v>4.6857540334682007E-2</v>
      </c>
      <c r="BQ18" s="7">
        <v>1.916784109848992E-3</v>
      </c>
      <c r="BR18" s="7">
        <v>0.1209618178824758</v>
      </c>
      <c r="BS18" s="7">
        <v>-3.9836250971192512E-3</v>
      </c>
      <c r="BT18" s="7">
        <v>-1.329915077767777E-2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-6.2686744450084916E-2</v>
      </c>
      <c r="BZ18" s="7">
        <v>0.15331998780259809</v>
      </c>
      <c r="CA18" s="7">
        <v>3.3286164900529089E-2</v>
      </c>
      <c r="CB18" s="7">
        <v>0.1068460604700732</v>
      </c>
      <c r="CC18" s="7">
        <v>0.1046606238416451</v>
      </c>
      <c r="CD18" s="7">
        <v>5.0445794555038302E-2</v>
      </c>
      <c r="CE18" s="7">
        <v>7.7260394878222755E-2</v>
      </c>
      <c r="CF18" s="7">
        <v>4.3957743386608697E-2</v>
      </c>
      <c r="CG18" s="7">
        <v>0.22664140590161991</v>
      </c>
      <c r="CH18" s="7">
        <v>0.16265704668723319</v>
      </c>
      <c r="CI18" s="7">
        <v>-0.11772540993228391</v>
      </c>
      <c r="CJ18" s="7">
        <v>6.2313677824909687E-2</v>
      </c>
      <c r="CK18" s="7">
        <v>9.0667784292283726E-2</v>
      </c>
      <c r="CL18" s="7">
        <v>-3.0989545058193121E-2</v>
      </c>
      <c r="CM18" s="7">
        <v>1.554875034200344E-2</v>
      </c>
      <c r="CN18" s="7">
        <v>-0.1209431335415747</v>
      </c>
      <c r="CO18" s="7">
        <v>0.1505975096222473</v>
      </c>
      <c r="CP18" s="7">
        <v>-0.16283910894801071</v>
      </c>
      <c r="CQ18" s="7">
        <v>-4.7976536408267538E-2</v>
      </c>
      <c r="CR18" s="7">
        <v>-5.5156128716592027E-2</v>
      </c>
      <c r="CS18" s="7">
        <v>2.8128560414088639E-2</v>
      </c>
      <c r="CT18" s="7">
        <v>-9.0515429002249403E-2</v>
      </c>
      <c r="CU18" s="7">
        <v>7.1648691205109999E-2</v>
      </c>
      <c r="CV18" s="7">
        <v>-9.1040282230288663E-2</v>
      </c>
      <c r="CW18" s="7">
        <v>8.4560855645258066E-3</v>
      </c>
      <c r="CX18" s="7">
        <v>-1.40787475802823E-2</v>
      </c>
      <c r="CY18" s="7">
        <v>5.135741377478225E-2</v>
      </c>
      <c r="CZ18" s="7">
        <v>-0.13284286330177139</v>
      </c>
      <c r="DA18" s="7">
        <v>4.7380939518693557E-2</v>
      </c>
      <c r="DB18" s="7">
        <v>4.5735208678759381E-2</v>
      </c>
      <c r="DC18" s="7">
        <v>-8.2819707211162524E-2</v>
      </c>
      <c r="DD18" s="7">
        <v>8.2462353495414184E-2</v>
      </c>
      <c r="DE18" s="7">
        <v>-3.8420587486450893E-2</v>
      </c>
      <c r="DF18" s="7">
        <v>-0.36669200961401482</v>
      </c>
      <c r="DG18" s="7">
        <v>7.619473157627699E-3</v>
      </c>
      <c r="DH18" s="7">
        <v>2.8038013248649029E-2</v>
      </c>
      <c r="DI18" s="7">
        <v>-1.8613248030418191E-2</v>
      </c>
      <c r="DJ18" s="7">
        <v>-5.0654511409894881E-2</v>
      </c>
      <c r="DK18" s="7">
        <v>-0.15851362709242739</v>
      </c>
      <c r="DL18" s="7">
        <v>-3.830274067592157E-3</v>
      </c>
      <c r="DM18" s="7">
        <v>6.650814073203816E-2</v>
      </c>
      <c r="DN18" s="7">
        <v>-5.6875260341834342E-2</v>
      </c>
      <c r="DO18" s="7">
        <v>0.22032021179129849</v>
      </c>
      <c r="DP18" s="7">
        <v>2.151033475949439E-2</v>
      </c>
      <c r="DQ18" s="7">
        <v>6.1955528967367397E-2</v>
      </c>
      <c r="DR18" s="7">
        <v>1.045124881951652E-2</v>
      </c>
      <c r="DS18" s="7">
        <v>-1.1277982255682851E-2</v>
      </c>
      <c r="DT18" s="7">
        <v>0.1160173901109771</v>
      </c>
      <c r="DU18" s="7">
        <v>9.6895186076904644E-2</v>
      </c>
      <c r="DV18" s="7">
        <v>-0.1056406088000619</v>
      </c>
      <c r="DW18" s="7">
        <v>8.1908692284373169E-2</v>
      </c>
      <c r="DX18" s="7">
        <v>6.8177293521735294E-2</v>
      </c>
      <c r="DY18" s="7">
        <v>0.16576310466200311</v>
      </c>
      <c r="DZ18" s="7">
        <v>4.3227854869441883E-2</v>
      </c>
      <c r="EA18" s="7">
        <v>-0.19894574816433719</v>
      </c>
      <c r="EB18" s="7">
        <v>9.7042689542278932E-2</v>
      </c>
      <c r="EC18" s="7">
        <v>0.14304023059278551</v>
      </c>
      <c r="ED18" s="7">
        <v>0.11047802186576559</v>
      </c>
      <c r="EE18" s="7">
        <v>1.111287672357628E-3</v>
      </c>
      <c r="EF18" s="8">
        <v>-4.8955017110416547E-2</v>
      </c>
      <c r="EG18" s="12">
        <f t="shared" si="10"/>
        <v>1.2313470412784513E-2</v>
      </c>
      <c r="EH18" s="12">
        <f t="shared" si="11"/>
        <v>0.10362276785348958</v>
      </c>
      <c r="EI18" s="12">
        <f t="shared" si="12"/>
        <v>0.11882977716050119</v>
      </c>
    </row>
    <row r="19" spans="1:139" x14ac:dyDescent="0.3">
      <c r="A19" s="1">
        <v>160</v>
      </c>
      <c r="B19" s="1">
        <v>6</v>
      </c>
      <c r="C19" s="7">
        <v>-7.7959416087486216E-2</v>
      </c>
      <c r="D19" s="7">
        <v>0.40752071008946927</v>
      </c>
      <c r="E19" s="7">
        <v>5.4898093767412171E-2</v>
      </c>
      <c r="F19" s="7">
        <v>3.864668188624408E-2</v>
      </c>
      <c r="G19" s="7">
        <v>9.7512090561600123E-2</v>
      </c>
      <c r="H19" s="7">
        <v>-0.14889412203584729</v>
      </c>
      <c r="I19" s="7">
        <v>-0.1346543328914665</v>
      </c>
      <c r="J19" s="7">
        <v>-0.15623035308620389</v>
      </c>
      <c r="K19" s="7">
        <v>0.41833785096963422</v>
      </c>
      <c r="L19" s="7">
        <v>-4.3048957635166023E-2</v>
      </c>
      <c r="M19" s="7">
        <v>-4.3690236156307287E-2</v>
      </c>
      <c r="N19" s="7">
        <v>-9.5347885689980899E-2</v>
      </c>
      <c r="O19" s="7">
        <v>-1.9797434001384839E-2</v>
      </c>
      <c r="P19" s="7">
        <v>2.3513160824520051E-2</v>
      </c>
      <c r="Q19" s="7">
        <v>0.19716308826451989</v>
      </c>
      <c r="R19" s="7">
        <v>4.1942629449215993E-2</v>
      </c>
      <c r="S19" s="7">
        <v>-7.8696261313160737E-2</v>
      </c>
      <c r="T19" s="7">
        <v>-0.1095258615359218</v>
      </c>
      <c r="U19" s="7">
        <v>0.13569833863192321</v>
      </c>
      <c r="V19" s="7">
        <v>-9.2688319725313148E-2</v>
      </c>
      <c r="W19" s="7">
        <v>-0.1747347633022315</v>
      </c>
      <c r="X19" s="7">
        <v>0.122923146245717</v>
      </c>
      <c r="Y19" s="7">
        <v>-0.10313023893043829</v>
      </c>
      <c r="Z19" s="7">
        <v>-2.2223239298902381E-2</v>
      </c>
      <c r="AA19" s="7">
        <v>4.7300121799034582E-2</v>
      </c>
      <c r="AB19" s="7">
        <v>-6.0762351466553767E-2</v>
      </c>
      <c r="AC19" s="7">
        <v>2.8452834641691321E-2</v>
      </c>
      <c r="AD19" s="7">
        <v>-9.5993377798068158E-2</v>
      </c>
      <c r="AE19" s="7">
        <v>0.11523186996306679</v>
      </c>
      <c r="AF19" s="7">
        <v>-0.1688305807080431</v>
      </c>
      <c r="AG19" s="7">
        <v>4.1487103444311647E-2</v>
      </c>
      <c r="AH19" s="7">
        <v>1.6089487774940799E-2</v>
      </c>
      <c r="AI19" s="7">
        <v>-4.7766352759796363E-2</v>
      </c>
      <c r="AJ19" s="7">
        <v>-1.2167191575980511E-2</v>
      </c>
      <c r="AK19" s="7">
        <v>-4.0581523113162987E-2</v>
      </c>
      <c r="AL19" s="7">
        <v>-1.491460752979841E-2</v>
      </c>
      <c r="AM19" s="7">
        <v>-6.112413105384671E-2</v>
      </c>
      <c r="AN19" s="7">
        <v>-6.2111384254486833E-2</v>
      </c>
      <c r="AO19" s="7">
        <v>-2.589290304541441E-2</v>
      </c>
      <c r="AP19" s="7">
        <v>8.757412027285208E-2</v>
      </c>
      <c r="AQ19" s="7">
        <v>8.8252757060650652E-2</v>
      </c>
      <c r="AR19" s="7">
        <v>-7.4616897634658869E-2</v>
      </c>
      <c r="AS19" s="7">
        <v>0.1091988760530663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-0.2241237953008561</v>
      </c>
      <c r="AY19" s="7">
        <v>6.6273242712472244E-2</v>
      </c>
      <c r="AZ19" s="7">
        <v>-0.18687961816817431</v>
      </c>
      <c r="BA19" s="7">
        <v>-3.4363883954073027E-2</v>
      </c>
      <c r="BB19" s="7">
        <v>0.2018019106632078</v>
      </c>
      <c r="BC19" s="7">
        <v>0.18457178940642721</v>
      </c>
      <c r="BD19" s="7">
        <v>-3.2343926300681461E-3</v>
      </c>
      <c r="BE19" s="7">
        <v>-3.0390671068303308E-2</v>
      </c>
      <c r="BF19" s="7">
        <v>-4.9436517218842242E-2</v>
      </c>
      <c r="BG19" s="7">
        <v>9.6322010834132277E-4</v>
      </c>
      <c r="BH19" s="7">
        <v>-5.7134461326532562E-2</v>
      </c>
      <c r="BI19" s="7">
        <v>0.12779862881921869</v>
      </c>
      <c r="BJ19" s="7">
        <v>2.1707301538579211E-2</v>
      </c>
      <c r="BK19" s="7">
        <v>9.7038422945385686E-2</v>
      </c>
      <c r="BL19" s="7">
        <v>2.599646479062228E-2</v>
      </c>
      <c r="BM19" s="7">
        <v>-8.8156796711781754E-2</v>
      </c>
      <c r="BN19" s="7">
        <v>8.141326020016787E-2</v>
      </c>
      <c r="BO19" s="7">
        <v>-1.8562314440354079E-2</v>
      </c>
      <c r="BP19" s="7">
        <v>6.2818807534132146E-2</v>
      </c>
      <c r="BQ19" s="7">
        <v>9.9340444543230683E-3</v>
      </c>
      <c r="BR19" s="7">
        <v>0.1368392355431455</v>
      </c>
      <c r="BS19" s="7">
        <v>-2.4256338744482069E-2</v>
      </c>
      <c r="BT19" s="7">
        <v>1.3193669203137359E-2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-2.7675492411660479E-2</v>
      </c>
      <c r="BZ19" s="7">
        <v>6.8702124822053873E-2</v>
      </c>
      <c r="CA19" s="7">
        <v>3.5609795289398637E-2</v>
      </c>
      <c r="CB19" s="7">
        <v>0.12783820910089719</v>
      </c>
      <c r="CC19" s="7">
        <v>2.2506232898517449E-2</v>
      </c>
      <c r="CD19" s="7">
        <v>8.7664948361316358E-2</v>
      </c>
      <c r="CE19" s="7">
        <v>8.8474858937667905E-2</v>
      </c>
      <c r="CF19" s="7">
        <v>7.9051524970814385E-2</v>
      </c>
      <c r="CG19" s="7">
        <v>0.2638931335655384</v>
      </c>
      <c r="CH19" s="7">
        <v>0.1528898670499263</v>
      </c>
      <c r="CI19" s="7">
        <v>-0.16520241227091251</v>
      </c>
      <c r="CJ19" s="7">
        <v>6.194049996603615E-2</v>
      </c>
      <c r="CK19" s="7">
        <v>0.1039677178170982</v>
      </c>
      <c r="CL19" s="7">
        <v>-4.3240279974789908E-2</v>
      </c>
      <c r="CM19" s="7">
        <v>7.558187099799421E-2</v>
      </c>
      <c r="CN19" s="7">
        <v>-0.14319321046953429</v>
      </c>
      <c r="CO19" s="7">
        <v>0.16614655777528059</v>
      </c>
      <c r="CP19" s="7">
        <v>-0.15903259898233271</v>
      </c>
      <c r="CQ19" s="7">
        <v>2.7299081545619341E-3</v>
      </c>
      <c r="CR19" s="7">
        <v>-4.9694189552402651E-2</v>
      </c>
      <c r="CS19" s="7">
        <v>4.3774986978304217E-2</v>
      </c>
      <c r="CT19" s="7">
        <v>-0.1226204266300308</v>
      </c>
      <c r="CU19" s="7">
        <v>8.3436397113892974E-2</v>
      </c>
      <c r="CV19" s="7">
        <v>-0.10197986151640361</v>
      </c>
      <c r="CW19" s="7">
        <v>2.190180778189859E-2</v>
      </c>
      <c r="CX19" s="7">
        <v>1.127594617394229E-3</v>
      </c>
      <c r="CY19" s="7">
        <v>7.092186956436955E-2</v>
      </c>
      <c r="CZ19" s="7">
        <v>-0.11285182864146399</v>
      </c>
      <c r="DA19" s="7">
        <v>5.8223876703236761E-2</v>
      </c>
      <c r="DB19" s="7">
        <v>3.572089902521567E-2</v>
      </c>
      <c r="DC19" s="7">
        <v>-6.5587584737896831E-2</v>
      </c>
      <c r="DD19" s="7">
        <v>0.10625733595480071</v>
      </c>
      <c r="DE19" s="7">
        <v>-3.3018414655792E-2</v>
      </c>
      <c r="DF19" s="7">
        <v>-0.20550174559429629</v>
      </c>
      <c r="DG19" s="7">
        <v>1.27464749106491E-2</v>
      </c>
      <c r="DH19" s="7">
        <v>1.569831294047225E-4</v>
      </c>
      <c r="DI19" s="7">
        <v>-5.8647033011268501E-2</v>
      </c>
      <c r="DJ19" s="7">
        <v>-8.0499602410030055E-2</v>
      </c>
      <c r="DK19" s="7">
        <v>-0.1241445877842076</v>
      </c>
      <c r="DL19" s="7">
        <v>-1.198278590897381E-2</v>
      </c>
      <c r="DM19" s="7">
        <v>8.1952255033994378E-2</v>
      </c>
      <c r="DN19" s="7">
        <v>-6.4294394334918112E-2</v>
      </c>
      <c r="DO19" s="7">
        <v>0.2492619517097443</v>
      </c>
      <c r="DP19" s="7">
        <v>4.0024609312920081E-3</v>
      </c>
      <c r="DQ19" s="7">
        <v>5.0623171449732877E-2</v>
      </c>
      <c r="DR19" s="7">
        <v>1.7544799275808199E-2</v>
      </c>
      <c r="DS19" s="7">
        <v>5.6773135189909819E-3</v>
      </c>
      <c r="DT19" s="7">
        <v>0.13312850061934939</v>
      </c>
      <c r="DU19" s="7">
        <v>0.14283069805444029</v>
      </c>
      <c r="DV19" s="7">
        <v>-0.1115247064406045</v>
      </c>
      <c r="DW19" s="7">
        <v>6.0609139340684293E-2</v>
      </c>
      <c r="DX19" s="7">
        <v>9.4614193357537776E-2</v>
      </c>
      <c r="DY19" s="7">
        <v>0.15211940960448689</v>
      </c>
      <c r="DZ19" s="7">
        <v>7.9643568138435011E-2</v>
      </c>
      <c r="EA19" s="7">
        <v>-0.23304583030528039</v>
      </c>
      <c r="EB19" s="7">
        <v>0.1062458580254447</v>
      </c>
      <c r="EC19" s="7">
        <v>0.14377420282500911</v>
      </c>
      <c r="ED19" s="7">
        <v>0.15093531699015689</v>
      </c>
      <c r="EE19" s="7">
        <v>-7.3065266771277096E-3</v>
      </c>
      <c r="EF19" s="8">
        <v>-1.697795487476916E-2</v>
      </c>
      <c r="EG19" s="12">
        <f t="shared" si="10"/>
        <v>1.4321921312051743E-2</v>
      </c>
      <c r="EH19" s="12">
        <f t="shared" si="11"/>
        <v>0.11035565921186453</v>
      </c>
      <c r="EI19" s="12">
        <f t="shared" si="12"/>
        <v>0.1297796725091917</v>
      </c>
    </row>
    <row r="20" spans="1:139" x14ac:dyDescent="0.3">
      <c r="A20" s="1">
        <v>192</v>
      </c>
      <c r="B20" s="1">
        <v>5</v>
      </c>
      <c r="C20" s="7">
        <v>-0.13932460396499161</v>
      </c>
      <c r="D20" s="7">
        <v>0.38202502004734989</v>
      </c>
      <c r="E20" s="7">
        <v>-1.5499988144333969E-2</v>
      </c>
      <c r="F20" s="7">
        <v>9.1218422172045968E-2</v>
      </c>
      <c r="G20" s="7">
        <v>0.1003659119188639</v>
      </c>
      <c r="H20" s="7">
        <v>-0.1643719981286699</v>
      </c>
      <c r="I20" s="7">
        <v>-0.15814956260110169</v>
      </c>
      <c r="J20" s="7">
        <v>-0.13320729307702719</v>
      </c>
      <c r="K20" s="7">
        <v>9.0108654122673978E-2</v>
      </c>
      <c r="L20" s="7">
        <v>-9.5708635504535719E-2</v>
      </c>
      <c r="M20" s="7">
        <v>-7.7718228291273506E-2</v>
      </c>
      <c r="N20" s="7">
        <v>-0.10192492904563991</v>
      </c>
      <c r="O20" s="7">
        <v>-0.1101145251033072</v>
      </c>
      <c r="P20" s="7">
        <v>4.3138678888527522E-2</v>
      </c>
      <c r="Q20" s="7">
        <v>0.21672573900297851</v>
      </c>
      <c r="R20" s="7">
        <v>6.6469633088856533E-2</v>
      </c>
      <c r="S20" s="7">
        <v>-5.7341082572801211E-2</v>
      </c>
      <c r="T20" s="7">
        <v>-0.1008455330434727</v>
      </c>
      <c r="U20" s="7">
        <v>0.14864968011777491</v>
      </c>
      <c r="V20" s="7">
        <v>-0.1035176032046175</v>
      </c>
      <c r="W20" s="7">
        <v>-0.22644366208310149</v>
      </c>
      <c r="X20" s="7">
        <v>0.15004231162753859</v>
      </c>
      <c r="Y20" s="7">
        <v>-0.12896503888237379</v>
      </c>
      <c r="Z20" s="7">
        <v>2.9157350054346439E-2</v>
      </c>
      <c r="AA20" s="7">
        <v>6.6961978782240111E-2</v>
      </c>
      <c r="AB20" s="7">
        <v>-6.0423624288029942E-2</v>
      </c>
      <c r="AC20" s="7">
        <v>5.6443345640519567E-2</v>
      </c>
      <c r="AD20" s="7">
        <v>-0.12984341871366439</v>
      </c>
      <c r="AE20" s="7">
        <v>1.7311149627037389E-2</v>
      </c>
      <c r="AF20" s="7">
        <v>-0.22349781963637269</v>
      </c>
      <c r="AG20" s="7">
        <v>3.216324888167648E-2</v>
      </c>
      <c r="AH20" s="7">
        <v>2.780670227591649E-2</v>
      </c>
      <c r="AI20" s="7">
        <v>-8.3279353750723401E-2</v>
      </c>
      <c r="AJ20" s="7">
        <v>-1.7241715716101249E-2</v>
      </c>
      <c r="AK20" s="7">
        <v>-8.2485150626129544E-3</v>
      </c>
      <c r="AL20" s="7">
        <v>-2.0780265108594719E-2</v>
      </c>
      <c r="AM20" s="7">
        <v>-6.7529859788327179E-2</v>
      </c>
      <c r="AN20" s="7">
        <v>3.2916683395994961E-2</v>
      </c>
      <c r="AO20" s="7">
        <v>-4.528508196468839E-2</v>
      </c>
      <c r="AP20" s="7">
        <v>0.13173046125538779</v>
      </c>
      <c r="AQ20" s="7">
        <v>-2.7452485332951051E-2</v>
      </c>
      <c r="AR20" s="7">
        <v>-1.328927308983413E-2</v>
      </c>
      <c r="AS20" s="7">
        <v>4.2291716448975919E-2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-0.20433921996054669</v>
      </c>
      <c r="AY20" s="7">
        <v>-8.2057636017566535E-2</v>
      </c>
      <c r="AZ20" s="7">
        <v>-0.21380243117708869</v>
      </c>
      <c r="BA20" s="7">
        <v>-3.6798864860540501E-2</v>
      </c>
      <c r="BB20" s="7">
        <v>0.2312136261880767</v>
      </c>
      <c r="BC20" s="7">
        <v>0.24014067499041369</v>
      </c>
      <c r="BD20" s="7">
        <v>-5.3429813221597323E-2</v>
      </c>
      <c r="BE20" s="7">
        <v>-3.8466832445436583E-2</v>
      </c>
      <c r="BF20" s="7">
        <v>-5.5216900174269133E-2</v>
      </c>
      <c r="BG20" s="7">
        <v>-5.172719331813868E-2</v>
      </c>
      <c r="BH20" s="7">
        <v>-5.1899277325599007E-2</v>
      </c>
      <c r="BI20" s="7">
        <v>0.13174526708517489</v>
      </c>
      <c r="BJ20" s="7">
        <v>2.1629511833186621E-2</v>
      </c>
      <c r="BK20" s="7">
        <v>0.11765037240502189</v>
      </c>
      <c r="BL20" s="7">
        <v>1.9783341504224079E-2</v>
      </c>
      <c r="BM20" s="7">
        <v>-5.45559103284224E-2</v>
      </c>
      <c r="BN20" s="7">
        <v>-1.8638027253166291E-2</v>
      </c>
      <c r="BO20" s="7">
        <v>-7.6105449457829488E-3</v>
      </c>
      <c r="BP20" s="7">
        <v>6.0407520762954983E-2</v>
      </c>
      <c r="BQ20" s="7">
        <v>1.5451706960843021E-2</v>
      </c>
      <c r="BR20" s="7">
        <v>0.18112708147166159</v>
      </c>
      <c r="BS20" s="7">
        <v>5.4075061911911179E-3</v>
      </c>
      <c r="BT20" s="7">
        <v>5.2467623281905747E-2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-4.3183482687236242E-2</v>
      </c>
      <c r="BZ20" s="7">
        <v>9.02714042602836E-2</v>
      </c>
      <c r="CA20" s="7">
        <v>5.0216826091073863E-2</v>
      </c>
      <c r="CB20" s="7">
        <v>0.1264950457700191</v>
      </c>
      <c r="CC20" s="7">
        <v>1.291514747808061E-2</v>
      </c>
      <c r="CD20" s="7">
        <v>9.606464764259523E-2</v>
      </c>
      <c r="CE20" s="7">
        <v>8.5778172602440458E-2</v>
      </c>
      <c r="CF20" s="7">
        <v>0.1057848892760917</v>
      </c>
      <c r="CG20" s="7">
        <v>0.32193852229938452</v>
      </c>
      <c r="CH20" s="7">
        <v>7.1864025597138351E-2</v>
      </c>
      <c r="CI20" s="7">
        <v>-0.13148573441164721</v>
      </c>
      <c r="CJ20" s="7">
        <v>0.123440319887351</v>
      </c>
      <c r="CK20" s="7">
        <v>9.0978396750106633E-2</v>
      </c>
      <c r="CL20" s="7">
        <v>-9.2184934189128986E-2</v>
      </c>
      <c r="CM20" s="7">
        <v>7.9454727181336005E-2</v>
      </c>
      <c r="CN20" s="7">
        <v>-0.20489183364110261</v>
      </c>
      <c r="CO20" s="7">
        <v>0.22851820318154101</v>
      </c>
      <c r="CP20" s="7">
        <v>-0.1920312051090273</v>
      </c>
      <c r="CQ20" s="7">
        <v>-6.1113579290622234E-3</v>
      </c>
      <c r="CR20" s="7">
        <v>-7.3116244505850386E-2</v>
      </c>
      <c r="CS20" s="7">
        <v>2.2293038159359669E-2</v>
      </c>
      <c r="CT20" s="7">
        <v>-9.0474037414266281E-2</v>
      </c>
      <c r="CU20" s="7">
        <v>9.4867658266512403E-2</v>
      </c>
      <c r="CV20" s="7">
        <v>-9.2511075695426118E-2</v>
      </c>
      <c r="CW20" s="7">
        <v>-9.9530629212826391E-3</v>
      </c>
      <c r="CX20" s="7">
        <v>9.3861437533022188E-3</v>
      </c>
      <c r="CY20" s="7">
        <v>1.247973266829688E-2</v>
      </c>
      <c r="CZ20" s="7">
        <v>-0.15516164514919831</v>
      </c>
      <c r="DA20" s="7">
        <v>4.7471893155177573E-2</v>
      </c>
      <c r="DB20" s="7">
        <v>5.6902709757134122E-2</v>
      </c>
      <c r="DC20" s="7">
        <v>-3.7332311138400742E-2</v>
      </c>
      <c r="DD20" s="7">
        <v>0.14810881433882259</v>
      </c>
      <c r="DE20" s="7">
        <v>-1.0418721606852799E-2</v>
      </c>
      <c r="DF20" s="7">
        <v>-0.24557420527758439</v>
      </c>
      <c r="DG20" s="7">
        <v>4.2022106203706937E-3</v>
      </c>
      <c r="DH20" s="7">
        <v>1.097541174252706E-2</v>
      </c>
      <c r="DI20" s="7">
        <v>-7.4248335592093345E-2</v>
      </c>
      <c r="DJ20" s="7">
        <v>-8.1277020159802621E-2</v>
      </c>
      <c r="DK20" s="7">
        <v>-8.4953981446054899E-2</v>
      </c>
      <c r="DL20" s="7">
        <v>-1.9465373333619789E-2</v>
      </c>
      <c r="DM20" s="7">
        <v>-9.2836502794370751E-3</v>
      </c>
      <c r="DN20" s="7">
        <v>-6.4461202418456584E-2</v>
      </c>
      <c r="DO20" s="7">
        <v>0.25800136345901148</v>
      </c>
      <c r="DP20" s="7">
        <v>2.167126176510448E-2</v>
      </c>
      <c r="DQ20" s="7">
        <v>3.8540311084368499E-2</v>
      </c>
      <c r="DR20" s="7">
        <v>5.5557992226731322E-2</v>
      </c>
      <c r="DS20" s="7">
        <v>7.4906957537590798E-3</v>
      </c>
      <c r="DT20" s="7">
        <v>0.13343598462213829</v>
      </c>
      <c r="DU20" s="7">
        <v>0.1720691072058694</v>
      </c>
      <c r="DV20" s="7">
        <v>-0.12934547183885869</v>
      </c>
      <c r="DW20" s="7">
        <v>6.9060203958039607E-2</v>
      </c>
      <c r="DX20" s="7">
        <v>9.7851218204725254E-2</v>
      </c>
      <c r="DY20" s="7">
        <v>0.1874018300391932</v>
      </c>
      <c r="DZ20" s="7">
        <v>-1.8115126512382701E-2</v>
      </c>
      <c r="EA20" s="7">
        <v>-0.29368998396417129</v>
      </c>
      <c r="EB20" s="7">
        <v>0.10631226685028709</v>
      </c>
      <c r="EC20" s="7">
        <v>0.13100614576206751</v>
      </c>
      <c r="ED20" s="7">
        <v>0.17691886106701021</v>
      </c>
      <c r="EE20" s="7">
        <v>-1.7409797518545299E-3</v>
      </c>
      <c r="EF20" s="8">
        <v>-2.0281416615907238E-2</v>
      </c>
      <c r="EG20" s="12">
        <f t="shared" si="10"/>
        <v>6.955905542075775E-3</v>
      </c>
      <c r="EH20" s="12">
        <f t="shared" si="11"/>
        <v>0.11629179628246128</v>
      </c>
      <c r="EI20" s="12">
        <f t="shared" si="12"/>
        <v>5.981424111104594E-2</v>
      </c>
    </row>
    <row r="21" spans="1:139" x14ac:dyDescent="0.3">
      <c r="A21" s="1">
        <v>241</v>
      </c>
      <c r="B21" s="1">
        <v>4</v>
      </c>
      <c r="C21" s="7">
        <v>-0.19764916434148611</v>
      </c>
      <c r="D21" s="7">
        <v>0.12638791676682359</v>
      </c>
      <c r="E21" s="7">
        <v>2.7935227079184388E-4</v>
      </c>
      <c r="F21" s="7">
        <v>5.1097483846408213E-2</v>
      </c>
      <c r="G21" s="7">
        <v>7.2961380278514509E-3</v>
      </c>
      <c r="H21" s="7">
        <v>-0.1986680609797658</v>
      </c>
      <c r="I21" s="7">
        <v>-0.14725560812747299</v>
      </c>
      <c r="J21" s="7">
        <v>-0.13674291533985661</v>
      </c>
      <c r="K21" s="7">
        <v>8.8973017354022049E-2</v>
      </c>
      <c r="L21" s="7">
        <v>-0.1096796074542299</v>
      </c>
      <c r="M21" s="7">
        <v>-9.9684593408211258E-2</v>
      </c>
      <c r="N21" s="7">
        <v>-9.9587412122941574E-2</v>
      </c>
      <c r="O21" s="7">
        <v>-0.1392774934469892</v>
      </c>
      <c r="P21" s="7">
        <v>3.9891722860102737E-2</v>
      </c>
      <c r="Q21" s="7">
        <v>0.25731007409425227</v>
      </c>
      <c r="R21" s="7">
        <v>8.4905231193340591E-2</v>
      </c>
      <c r="S21" s="7">
        <v>-3.656329165669691E-2</v>
      </c>
      <c r="T21" s="7">
        <v>-0.13112036093842719</v>
      </c>
      <c r="U21" s="7">
        <v>8.6278417611758002E-2</v>
      </c>
      <c r="V21" s="7">
        <v>-0.10537077038935461</v>
      </c>
      <c r="W21" s="7">
        <v>-0.32292054868818693</v>
      </c>
      <c r="X21" s="7">
        <v>0.20780126735333779</v>
      </c>
      <c r="Y21" s="7">
        <v>-9.2729223946204448E-2</v>
      </c>
      <c r="Z21" s="7">
        <v>3.9457715679957053E-2</v>
      </c>
      <c r="AA21" s="7">
        <v>2.8033456192208511E-2</v>
      </c>
      <c r="AB21" s="7">
        <v>-6.5287595030865841E-2</v>
      </c>
      <c r="AC21" s="7">
        <v>7.43011297920224E-2</v>
      </c>
      <c r="AD21" s="7">
        <v>-0.1288246656475579</v>
      </c>
      <c r="AE21" s="7">
        <v>1.031161069406002E-2</v>
      </c>
      <c r="AF21" s="7">
        <v>-0.29514425808336342</v>
      </c>
      <c r="AG21" s="7">
        <v>1.10465721064439E-2</v>
      </c>
      <c r="AH21" s="7">
        <v>4.3406382504438977E-2</v>
      </c>
      <c r="AI21" s="7">
        <v>-6.7729680595151026E-2</v>
      </c>
      <c r="AJ21" s="7">
        <v>-5.1859256457010838E-3</v>
      </c>
      <c r="AK21" s="7">
        <v>1.8318368909312599E-2</v>
      </c>
      <c r="AL21" s="7">
        <v>-3.7391486134754182E-2</v>
      </c>
      <c r="AM21" s="7">
        <v>6.312571800748347E-2</v>
      </c>
      <c r="AN21" s="7">
        <v>1.869553259224431E-2</v>
      </c>
      <c r="AO21" s="7">
        <v>-4.7726395643726653E-2</v>
      </c>
      <c r="AP21" s="7">
        <v>7.2535143570019153E-2</v>
      </c>
      <c r="AQ21" s="7">
        <v>-7.6865507010547632E-2</v>
      </c>
      <c r="AR21" s="7">
        <v>4.798814140331014E-2</v>
      </c>
      <c r="AS21" s="7">
        <v>4.5406682060008141E-2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-0.21771830251703739</v>
      </c>
      <c r="AY21" s="7">
        <v>-6.5722294732506903E-2</v>
      </c>
      <c r="AZ21" s="7">
        <v>-0.25491126989713642</v>
      </c>
      <c r="BA21" s="7">
        <v>-7.1032181648085849E-2</v>
      </c>
      <c r="BB21" s="7">
        <v>0.29451263697732177</v>
      </c>
      <c r="BC21" s="7">
        <v>0.1644605319288267</v>
      </c>
      <c r="BD21" s="7">
        <v>-2.1750863370627919E-2</v>
      </c>
      <c r="BE21" s="7">
        <v>-4.0588332503811789E-2</v>
      </c>
      <c r="BF21" s="7">
        <v>-6.2289949375188239E-2</v>
      </c>
      <c r="BG21" s="7">
        <v>-7.8525059461954635E-2</v>
      </c>
      <c r="BH21" s="7">
        <v>-6.7916730562062572E-2</v>
      </c>
      <c r="BI21" s="7">
        <v>0.1659695961783918</v>
      </c>
      <c r="BJ21" s="7">
        <v>2.3579026181717661E-2</v>
      </c>
      <c r="BK21" s="7">
        <v>7.2723114748713999E-2</v>
      </c>
      <c r="BL21" s="7">
        <v>3.752798508045226E-3</v>
      </c>
      <c r="BM21" s="7">
        <v>-9.4970354993302086E-2</v>
      </c>
      <c r="BN21" s="7">
        <v>-2.5790766448446922E-2</v>
      </c>
      <c r="BO21" s="7">
        <v>1.50041027098864E-2</v>
      </c>
      <c r="BP21" s="7">
        <v>0.1045091294194143</v>
      </c>
      <c r="BQ21" s="7">
        <v>5.4542230834504879E-2</v>
      </c>
      <c r="BR21" s="7">
        <v>0.14206145591009539</v>
      </c>
      <c r="BS21" s="7">
        <v>5.8601727551761719E-3</v>
      </c>
      <c r="BT21" s="7">
        <v>6.0820742542524793E-2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-1.491637891683696E-2</v>
      </c>
      <c r="BZ21" s="7">
        <v>4.7662928720715619E-2</v>
      </c>
      <c r="CA21" s="7">
        <v>9.5059433847559396E-2</v>
      </c>
      <c r="CB21" s="7">
        <v>0.2078698479015878</v>
      </c>
      <c r="CC21" s="7">
        <v>-8.0189542709663136E-3</v>
      </c>
      <c r="CD21" s="7">
        <v>8.4423550992515431E-2</v>
      </c>
      <c r="CE21" s="7">
        <v>6.1514882354154247E-2</v>
      </c>
      <c r="CF21" s="7">
        <v>0.1145261576111684</v>
      </c>
      <c r="CG21" s="7">
        <v>0.32016678338047649</v>
      </c>
      <c r="CH21" s="7">
        <v>8.0100321076211733E-2</v>
      </c>
      <c r="CI21" s="7">
        <v>-0.123293346411547</v>
      </c>
      <c r="CJ21" s="7">
        <v>8.5627757016502298E-2</v>
      </c>
      <c r="CK21" s="7">
        <v>0.12705054673013411</v>
      </c>
      <c r="CL21" s="7">
        <v>-0.13389042462296469</v>
      </c>
      <c r="CM21" s="7">
        <v>6.2994332860424385E-2</v>
      </c>
      <c r="CN21" s="7">
        <v>-8.0851508829433677E-2</v>
      </c>
      <c r="CO21" s="7">
        <v>0.23779198113939251</v>
      </c>
      <c r="CP21" s="7">
        <v>-0.22270006087791269</v>
      </c>
      <c r="CQ21" s="7">
        <v>-3.2880917250907721E-3</v>
      </c>
      <c r="CR21" s="7">
        <v>-9.0824277979679707E-2</v>
      </c>
      <c r="CS21" s="7">
        <v>3.0907745682497659E-2</v>
      </c>
      <c r="CT21" s="7">
        <v>-8.2292872854338978E-2</v>
      </c>
      <c r="CU21" s="7">
        <v>6.2673560169491313E-2</v>
      </c>
      <c r="CV21" s="7">
        <v>-9.8225632021386913E-2</v>
      </c>
      <c r="CW21" s="7">
        <v>-6.5005417280988659E-2</v>
      </c>
      <c r="CX21" s="7">
        <v>1.339552396105914E-2</v>
      </c>
      <c r="CY21" s="7">
        <v>8.4819164039144704E-3</v>
      </c>
      <c r="CZ21" s="7">
        <v>-0.2374513708258302</v>
      </c>
      <c r="DA21" s="7">
        <v>-1.192256456731756E-3</v>
      </c>
      <c r="DB21" s="7">
        <v>5.1624433676154581E-2</v>
      </c>
      <c r="DC21" s="7">
        <v>-0.1539047953697186</v>
      </c>
      <c r="DD21" s="7">
        <v>-0.121322688868649</v>
      </c>
      <c r="DE21" s="7">
        <v>-2.897773706032665E-2</v>
      </c>
      <c r="DF21" s="7">
        <v>-0.30115021168204381</v>
      </c>
      <c r="DG21" s="7">
        <v>-7.8463781285332893E-3</v>
      </c>
      <c r="DH21" s="7">
        <v>-1.407682021245452E-2</v>
      </c>
      <c r="DI21" s="7">
        <v>-9.0149202717820648E-2</v>
      </c>
      <c r="DJ21" s="7">
        <v>-7.330279150207536E-2</v>
      </c>
      <c r="DK21" s="7">
        <v>-0.13950270681890459</v>
      </c>
      <c r="DL21" s="7">
        <v>-1.273699150101321E-2</v>
      </c>
      <c r="DM21" s="7">
        <v>2.9834119642240212E-2</v>
      </c>
      <c r="DN21" s="7">
        <v>-4.687483536663517E-2</v>
      </c>
      <c r="DO21" s="7">
        <v>0.33162680487864599</v>
      </c>
      <c r="DP21" s="7">
        <v>3.7108633098233243E-2</v>
      </c>
      <c r="DQ21" s="7">
        <v>2.821605205239688E-2</v>
      </c>
      <c r="DR21" s="7">
        <v>5.3556989806694252E-2</v>
      </c>
      <c r="DS21" s="7">
        <v>1.6720946793213241E-3</v>
      </c>
      <c r="DT21" s="7">
        <v>0.17057080268546079</v>
      </c>
      <c r="DU21" s="7">
        <v>2.8090293996378659E-2</v>
      </c>
      <c r="DV21" s="7">
        <v>-0.140275976869878</v>
      </c>
      <c r="DW21" s="7">
        <v>0.12824786866412111</v>
      </c>
      <c r="DX21" s="7">
        <v>0.1168288898747825</v>
      </c>
      <c r="DY21" s="7">
        <v>0.22566188118798919</v>
      </c>
      <c r="DZ21" s="7">
        <v>-0.17989102172490029</v>
      </c>
      <c r="EA21" s="7">
        <v>-0.26605683227934601</v>
      </c>
      <c r="EB21" s="7">
        <v>0.10329555902400769</v>
      </c>
      <c r="EC21" s="7">
        <v>0.14009401795222581</v>
      </c>
      <c r="ED21" s="7">
        <v>5.4498856348180663E-2</v>
      </c>
      <c r="EE21" s="7">
        <v>2.1310592307867391E-2</v>
      </c>
      <c r="EF21" s="8">
        <v>1.8771264042119089E-2</v>
      </c>
      <c r="EG21" s="12">
        <f t="shared" si="10"/>
        <v>-3.2924238782132448E-3</v>
      </c>
      <c r="EH21" s="12">
        <f t="shared" si="11"/>
        <v>0.1230012900994225</v>
      </c>
      <c r="EI21" s="12">
        <f t="shared" si="12"/>
        <v>-2.6767393053779873E-2</v>
      </c>
    </row>
    <row r="22" spans="1:139" x14ac:dyDescent="0.3">
      <c r="A22" s="1">
        <v>321</v>
      </c>
      <c r="B22" s="1">
        <v>3</v>
      </c>
      <c r="C22" s="7">
        <v>6.4235717628454689E-2</v>
      </c>
      <c r="D22" s="7">
        <v>0.1424278520773985</v>
      </c>
      <c r="E22" s="7">
        <v>4.1027532000619052E-2</v>
      </c>
      <c r="F22" s="7">
        <v>9.7433995578986451E-2</v>
      </c>
      <c r="G22" s="7">
        <v>3.2954824249798613E-2</v>
      </c>
      <c r="H22" s="7">
        <v>-0.17874946348762291</v>
      </c>
      <c r="I22" s="7">
        <v>-0.12349316933806979</v>
      </c>
      <c r="J22" s="7">
        <v>-0.10425350273662951</v>
      </c>
      <c r="K22" s="7">
        <v>0.1532867706545093</v>
      </c>
      <c r="L22" s="7">
        <v>-0.17118335942590121</v>
      </c>
      <c r="M22" s="7">
        <v>-7.4100058770572547E-2</v>
      </c>
      <c r="N22" s="7">
        <v>-0.1332804190232465</v>
      </c>
      <c r="O22" s="7">
        <v>-6.6442332164954182E-2</v>
      </c>
      <c r="P22" s="7">
        <v>4.28584885189899E-2</v>
      </c>
      <c r="Q22" s="7">
        <v>0.27677689383305182</v>
      </c>
      <c r="R22" s="7">
        <v>6.6698292606331602E-2</v>
      </c>
      <c r="S22" s="7">
        <v>-3.9234143537179147E-2</v>
      </c>
      <c r="T22" s="7">
        <v>-0.1048489671566299</v>
      </c>
      <c r="U22" s="7">
        <v>0.11059002340250421</v>
      </c>
      <c r="V22" s="7">
        <v>-5.7024134634289667E-2</v>
      </c>
      <c r="W22" s="7">
        <v>-0.34619348529924859</v>
      </c>
      <c r="X22" s="7">
        <v>0.25720235121349699</v>
      </c>
      <c r="Y22" s="7">
        <v>-4.7938332179768291E-2</v>
      </c>
      <c r="Z22" s="7">
        <v>2.386612179035642E-2</v>
      </c>
      <c r="AA22" s="7">
        <v>0.1181206143698829</v>
      </c>
      <c r="AB22" s="7">
        <v>-3.8274054421571273E-2</v>
      </c>
      <c r="AC22" s="7">
        <v>7.4420380840427389E-2</v>
      </c>
      <c r="AD22" s="7">
        <v>-1.357278877236134E-2</v>
      </c>
      <c r="AE22" s="7">
        <v>-8.514768595770715E-2</v>
      </c>
      <c r="AF22" s="7">
        <v>-0.42991676804861201</v>
      </c>
      <c r="AG22" s="7">
        <v>1.0812100566842311E-2</v>
      </c>
      <c r="AH22" s="7">
        <v>-4.8894599402210352E-4</v>
      </c>
      <c r="AI22" s="7">
        <v>-6.7392901011186057E-2</v>
      </c>
      <c r="AJ22" s="7">
        <v>-1.3081541637357001E-2</v>
      </c>
      <c r="AK22" s="7">
        <v>7.8575768704914215E-2</v>
      </c>
      <c r="AL22" s="7">
        <v>-1.1447262237467839E-3</v>
      </c>
      <c r="AM22" s="7">
        <v>5.6373754363627612E-2</v>
      </c>
      <c r="AN22" s="7">
        <v>3.5264122370512491E-2</v>
      </c>
      <c r="AO22" s="7">
        <v>-7.4717373393705613E-2</v>
      </c>
      <c r="AP22" s="7">
        <v>6.2536353887992696E-2</v>
      </c>
      <c r="AQ22" s="7">
        <v>-7.9426117478593142E-2</v>
      </c>
      <c r="AR22" s="7">
        <v>6.7924487703603389E-2</v>
      </c>
      <c r="AS22" s="7">
        <v>-7.3843702685833568E-2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9.875186005693877E-3</v>
      </c>
      <c r="AY22" s="7">
        <v>-9.8456276129363446E-2</v>
      </c>
      <c r="AZ22" s="7">
        <v>-0.1549037783211521</v>
      </c>
      <c r="BA22" s="7">
        <v>-4.5598425167461952E-2</v>
      </c>
      <c r="BB22" s="7">
        <v>0.36955058329648782</v>
      </c>
      <c r="BC22" s="7">
        <v>0.19562603535051759</v>
      </c>
      <c r="BD22" s="7">
        <v>-2.2174181465828179E-2</v>
      </c>
      <c r="BE22" s="7">
        <v>-6.8483036868100741E-2</v>
      </c>
      <c r="BF22" s="7">
        <v>-5.4886013754806257E-2</v>
      </c>
      <c r="BG22" s="7">
        <v>-9.617852912963791E-2</v>
      </c>
      <c r="BH22" s="7">
        <v>-7.9934120635503092E-3</v>
      </c>
      <c r="BI22" s="7">
        <v>0.111088719409907</v>
      </c>
      <c r="BJ22" s="7">
        <v>5.4996415150720922E-2</v>
      </c>
      <c r="BK22" s="7">
        <v>4.831524105166432E-2</v>
      </c>
      <c r="BL22" s="7">
        <v>1.7863882134281309E-2</v>
      </c>
      <c r="BM22" s="7">
        <v>-0.1209396353275756</v>
      </c>
      <c r="BN22" s="7">
        <v>-8.2937899200322518E-2</v>
      </c>
      <c r="BO22" s="7">
        <v>3.8350062963842829E-2</v>
      </c>
      <c r="BP22" s="7">
        <v>7.4835550155106345E-2</v>
      </c>
      <c r="BQ22" s="7">
        <v>2.7830097398312589E-2</v>
      </c>
      <c r="BR22" s="7">
        <v>0.10656678196769021</v>
      </c>
      <c r="BS22" s="7">
        <v>-1.637278237679916E-2</v>
      </c>
      <c r="BT22" s="7">
        <v>-8.8726194332783462E-2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3.2352875520499369E-2</v>
      </c>
      <c r="BZ22" s="7">
        <v>4.725773586289217E-2</v>
      </c>
      <c r="CA22" s="7">
        <v>0.14407873603425539</v>
      </c>
      <c r="CB22" s="7">
        <v>0.25473925571486122</v>
      </c>
      <c r="CC22" s="7">
        <v>-0.12510399532003291</v>
      </c>
      <c r="CD22" s="7">
        <v>9.5518542864996087E-2</v>
      </c>
      <c r="CE22" s="7">
        <v>6.6840145636817616E-2</v>
      </c>
      <c r="CF22" s="7">
        <v>0.1007703570340648</v>
      </c>
      <c r="CG22" s="7">
        <v>0.4438008150544101</v>
      </c>
      <c r="CH22" s="7">
        <v>0.1159187712794482</v>
      </c>
      <c r="CI22" s="7">
        <v>-0.23044916703818419</v>
      </c>
      <c r="CJ22" s="7">
        <v>0.1033795050895627</v>
      </c>
      <c r="CK22" s="7">
        <v>3.6163342604682402E-2</v>
      </c>
      <c r="CL22" s="7">
        <v>-0.2406517986250408</v>
      </c>
      <c r="CM22" s="7">
        <v>4.64412789746977E-2</v>
      </c>
      <c r="CN22" s="7">
        <v>-0.15280391681020719</v>
      </c>
      <c r="CO22" s="7">
        <v>0.18528575790522681</v>
      </c>
      <c r="CP22" s="7">
        <v>-0.25940855696940252</v>
      </c>
      <c r="CQ22" s="7">
        <v>1.233377932566462E-2</v>
      </c>
      <c r="CR22" s="7">
        <v>-0.16185042130139199</v>
      </c>
      <c r="CS22" s="7">
        <v>2.4439586832032689E-2</v>
      </c>
      <c r="CT22" s="7">
        <v>-5.8232521355985362E-2</v>
      </c>
      <c r="CU22" s="7">
        <v>0.1202317119640979</v>
      </c>
      <c r="CV22" s="7">
        <v>-0.1122336952070542</v>
      </c>
      <c r="CW22" s="7">
        <v>-3.6451253326165209E-2</v>
      </c>
      <c r="CX22" s="7">
        <v>4.7285453258790341E-2</v>
      </c>
      <c r="CY22" s="7">
        <v>7.9888257735091419E-3</v>
      </c>
      <c r="CZ22" s="7">
        <v>-0.26292048459923911</v>
      </c>
      <c r="DA22" s="7">
        <v>3.9917538819241108E-3</v>
      </c>
      <c r="DB22" s="7">
        <v>5.8383506828492103E-2</v>
      </c>
      <c r="DC22" s="7">
        <v>-0.14116723571930959</v>
      </c>
      <c r="DD22" s="7">
        <v>-0.1478941025728035</v>
      </c>
      <c r="DE22" s="7">
        <v>1.7756503501932811E-2</v>
      </c>
      <c r="DF22" s="7">
        <v>-0.38966763369412349</v>
      </c>
      <c r="DG22" s="7">
        <v>-3.1985043080887662E-2</v>
      </c>
      <c r="DH22" s="7">
        <v>-1.3945346183503959E-2</v>
      </c>
      <c r="DI22" s="7">
        <v>-8.1105543840270106E-2</v>
      </c>
      <c r="DJ22" s="7">
        <v>-4.277692212467888E-2</v>
      </c>
      <c r="DK22" s="7">
        <v>-0.1791347138228401</v>
      </c>
      <c r="DL22" s="7">
        <v>-3.213330743138731E-3</v>
      </c>
      <c r="DM22" s="7">
        <v>6.3466051038033502E-2</v>
      </c>
      <c r="DN22" s="7">
        <v>-8.3173707077558875E-2</v>
      </c>
      <c r="DO22" s="7">
        <v>7.5715816054906154E-2</v>
      </c>
      <c r="DP22" s="7">
        <v>0.10509905980047871</v>
      </c>
      <c r="DQ22" s="7">
        <v>5.1850201837621311E-2</v>
      </c>
      <c r="DR22" s="7">
        <v>7.1236299673135633E-2</v>
      </c>
      <c r="DS22" s="7">
        <v>3.6346262249535841E-2</v>
      </c>
      <c r="DT22" s="7">
        <v>5.8357008996765318E-2</v>
      </c>
      <c r="DU22" s="7">
        <v>5.7495390836838987E-2</v>
      </c>
      <c r="DV22" s="7">
        <v>-0.12570511767817799</v>
      </c>
      <c r="DW22" s="7">
        <v>7.838972370699715E-2</v>
      </c>
      <c r="DX22" s="7">
        <v>0.1643521240415392</v>
      </c>
      <c r="DY22" s="7">
        <v>0.31775437236448251</v>
      </c>
      <c r="DZ22" s="7">
        <v>-0.16562624622575561</v>
      </c>
      <c r="EA22" s="7">
        <v>-0.14035616200069359</v>
      </c>
      <c r="EB22" s="7">
        <v>0.14292707605232749</v>
      </c>
      <c r="EC22" s="7">
        <v>-2.8428811778050931E-2</v>
      </c>
      <c r="ED22" s="7">
        <v>7.7413567057607463E-2</v>
      </c>
      <c r="EE22" s="7">
        <v>4.7636659384698889E-2</v>
      </c>
      <c r="EF22" s="8">
        <v>3.4790246372172352E-2</v>
      </c>
      <c r="EG22" s="12">
        <f t="shared" si="10"/>
        <v>-2.0707128706136675E-4</v>
      </c>
      <c r="EH22" s="12">
        <f t="shared" si="11"/>
        <v>0.13328014525315895</v>
      </c>
      <c r="EI22" s="12">
        <f t="shared" si="12"/>
        <v>-1.5536544221800271E-3</v>
      </c>
    </row>
    <row r="23" spans="1:139" x14ac:dyDescent="0.3">
      <c r="A23" s="1">
        <v>482</v>
      </c>
      <c r="B23" s="1">
        <v>2</v>
      </c>
      <c r="C23" s="7">
        <v>-3.4987009286289193E-2</v>
      </c>
      <c r="D23" s="7">
        <v>0.25409262745146127</v>
      </c>
      <c r="E23" s="7">
        <v>8.094117257067221E-2</v>
      </c>
      <c r="F23" s="7">
        <v>0.14166490905190171</v>
      </c>
      <c r="G23" s="7">
        <v>5.2224173846498377E-2</v>
      </c>
      <c r="H23" s="7">
        <v>-0.2037183078789751</v>
      </c>
      <c r="I23" s="7">
        <v>-0.148152028600294</v>
      </c>
      <c r="J23" s="7">
        <v>-0.1148775059304451</v>
      </c>
      <c r="K23" s="7">
        <v>0.20448947647223359</v>
      </c>
      <c r="L23" s="7">
        <v>-5.4043529775598627E-2</v>
      </c>
      <c r="M23" s="7">
        <v>-0.2584499163586424</v>
      </c>
      <c r="N23" s="7">
        <v>-0.15641923763601279</v>
      </c>
      <c r="O23" s="7">
        <v>-0.1228997073071684</v>
      </c>
      <c r="P23" s="7">
        <v>1.068350475974675E-2</v>
      </c>
      <c r="Q23" s="7">
        <v>-5.95680169005205E-2</v>
      </c>
      <c r="R23" s="7">
        <v>6.2821977969761703E-2</v>
      </c>
      <c r="S23" s="7">
        <v>-7.2572664450062274E-2</v>
      </c>
      <c r="T23" s="7">
        <v>-8.4676175768728656E-2</v>
      </c>
      <c r="U23" s="7">
        <v>9.3757422440794366E-2</v>
      </c>
      <c r="V23" s="7">
        <v>6.3357010979066042E-2</v>
      </c>
      <c r="W23" s="7">
        <v>-0.50391933118531074</v>
      </c>
      <c r="X23" s="7">
        <v>0.1945564614576443</v>
      </c>
      <c r="Y23" s="7">
        <v>-7.588763428678244E-3</v>
      </c>
      <c r="Z23" s="7">
        <v>4.1051966520251372E-2</v>
      </c>
      <c r="AA23" s="7">
        <v>0.15164933184604609</v>
      </c>
      <c r="AB23" s="7">
        <v>-4.7748945219155479E-2</v>
      </c>
      <c r="AC23" s="7">
        <v>7.6346338146838E-2</v>
      </c>
      <c r="AD23" s="7">
        <v>-7.1628868085674022E-2</v>
      </c>
      <c r="AE23" s="7">
        <v>-0.22171323582164909</v>
      </c>
      <c r="AF23" s="7">
        <v>-0.32465932564021122</v>
      </c>
      <c r="AG23" s="7">
        <v>-0.145893892939672</v>
      </c>
      <c r="AH23" s="7">
        <v>-3.7279490370669702E-2</v>
      </c>
      <c r="AI23" s="7">
        <v>-7.5450169739462281E-2</v>
      </c>
      <c r="AJ23" s="7">
        <v>-2.3587440294024171E-2</v>
      </c>
      <c r="AK23" s="7">
        <v>9.1199224275259672E-2</v>
      </c>
      <c r="AL23" s="7">
        <v>-5.1310311182486829E-2</v>
      </c>
      <c r="AM23" s="7">
        <v>-2.0470543302086051E-2</v>
      </c>
      <c r="AN23" s="7">
        <v>0.12762959881318461</v>
      </c>
      <c r="AO23" s="7">
        <v>5.3369521914240978E-3</v>
      </c>
      <c r="AP23" s="7">
        <v>-3.1210993523056942E-3</v>
      </c>
      <c r="AQ23" s="7">
        <v>-8.9424992259610633E-2</v>
      </c>
      <c r="AR23" s="7">
        <v>0.1461361643393671</v>
      </c>
      <c r="AS23" s="7">
        <v>-8.1663620780570226E-2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1.4812779008540821E-2</v>
      </c>
      <c r="AY23" s="7">
        <v>-5.8139600106789993E-2</v>
      </c>
      <c r="AZ23" s="7">
        <v>-6.3753617401060211E-2</v>
      </c>
      <c r="BA23" s="7">
        <v>9.6467800801007808E-3</v>
      </c>
      <c r="BB23" s="7">
        <v>0.56682652604744033</v>
      </c>
      <c r="BC23" s="7">
        <v>0.25286918189993951</v>
      </c>
      <c r="BD23" s="7">
        <v>9.4830881346450333E-2</v>
      </c>
      <c r="BE23" s="7">
        <v>-8.6532394790002992E-2</v>
      </c>
      <c r="BF23" s="7">
        <v>-6.0012943621825209E-2</v>
      </c>
      <c r="BG23" s="7">
        <v>-4.4908674694266577E-2</v>
      </c>
      <c r="BH23" s="7">
        <v>5.3596863934990302E-2</v>
      </c>
      <c r="BI23" s="7">
        <v>0.1911120793231991</v>
      </c>
      <c r="BJ23" s="7">
        <v>0.1040033152679269</v>
      </c>
      <c r="BK23" s="7">
        <v>4.7849323301188178E-2</v>
      </c>
      <c r="BL23" s="7">
        <v>-5.3432219944672933E-2</v>
      </c>
      <c r="BM23" s="7">
        <v>-0.18414780725786861</v>
      </c>
      <c r="BN23" s="7">
        <v>-3.8453237240273198E-2</v>
      </c>
      <c r="BO23" s="7">
        <v>6.1815479967866467E-2</v>
      </c>
      <c r="BP23" s="7">
        <v>9.8266399211456468E-2</v>
      </c>
      <c r="BQ23" s="7">
        <v>7.2047901435266168E-2</v>
      </c>
      <c r="BR23" s="7">
        <v>0.1028225901803507</v>
      </c>
      <c r="BS23" s="7">
        <v>-7.3275388657911791E-2</v>
      </c>
      <c r="BT23" s="7">
        <v>-0.2181866761329041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3.9939448876130351E-2</v>
      </c>
      <c r="BZ23" s="7">
        <v>7.6697624318448621E-3</v>
      </c>
      <c r="CA23" s="7">
        <v>0.20637272238748691</v>
      </c>
      <c r="CB23" s="7">
        <v>0.31616676175875003</v>
      </c>
      <c r="CC23" s="7">
        <v>-8.4544614715775346E-2</v>
      </c>
      <c r="CD23" s="7">
        <v>0.141241944161549</v>
      </c>
      <c r="CE23" s="7">
        <v>5.9602301837717461E-2</v>
      </c>
      <c r="CF23" s="7">
        <v>1.616083543008176E-2</v>
      </c>
      <c r="CG23" s="7">
        <v>0.29290393811773718</v>
      </c>
      <c r="CH23" s="7">
        <v>0.18019644892142839</v>
      </c>
      <c r="CI23" s="7">
        <v>-5.9122473913523821E-2</v>
      </c>
      <c r="CJ23" s="7">
        <v>1.9875367550410569E-2</v>
      </c>
      <c r="CK23" s="7">
        <v>9.6116994727961536E-2</v>
      </c>
      <c r="CL23" s="7">
        <v>-0.40866101266741839</v>
      </c>
      <c r="CM23" s="7">
        <v>6.9750090132210951E-3</v>
      </c>
      <c r="CN23" s="7">
        <v>-0.27710426195606819</v>
      </c>
      <c r="CO23" s="7">
        <v>0.26845097690314912</v>
      </c>
      <c r="CP23" s="7">
        <v>-0.31136074316275669</v>
      </c>
      <c r="CQ23" s="7">
        <v>9.1837444998058917E-3</v>
      </c>
      <c r="CR23" s="7">
        <v>-1.159780382107861E-2</v>
      </c>
      <c r="CS23" s="7">
        <v>6.901537085690515E-2</v>
      </c>
      <c r="CT23" s="7">
        <v>-4.5662541711253862E-2</v>
      </c>
      <c r="CU23" s="7">
        <v>2.1056595713287041E-2</v>
      </c>
      <c r="CV23" s="7">
        <v>2.2245137488805671E-2</v>
      </c>
      <c r="CW23" s="7">
        <v>-0.1009013318024186</v>
      </c>
      <c r="CX23" s="7">
        <v>-4.425407954953503E-2</v>
      </c>
      <c r="CY23" s="7">
        <v>-2.20465307533785E-2</v>
      </c>
      <c r="CZ23" s="7">
        <v>-0.18199879385735121</v>
      </c>
      <c r="DA23" s="7">
        <v>3.0982136225910391E-2</v>
      </c>
      <c r="DB23" s="7">
        <v>1.5955156866996431E-2</v>
      </c>
      <c r="DC23" s="7">
        <v>-0.15794889931825309</v>
      </c>
      <c r="DD23" s="7">
        <v>-0.21341104440699671</v>
      </c>
      <c r="DE23" s="7">
        <v>6.0085947510171572E-2</v>
      </c>
      <c r="DF23" s="7">
        <v>-0.40879492056092032</v>
      </c>
      <c r="DG23" s="7">
        <v>-3.8270011874717E-2</v>
      </c>
      <c r="DH23" s="7">
        <v>-5.5413447308742453E-2</v>
      </c>
      <c r="DI23" s="7">
        <v>-0.18491271354810521</v>
      </c>
      <c r="DJ23" s="7">
        <v>3.3824576295396119E-2</v>
      </c>
      <c r="DK23" s="7">
        <v>-0.27783321655884308</v>
      </c>
      <c r="DL23" s="7">
        <v>2.6242652104624471E-2</v>
      </c>
      <c r="DM23" s="7">
        <v>1.949730491936592E-2</v>
      </c>
      <c r="DN23" s="7">
        <v>-0.11820475442736959</v>
      </c>
      <c r="DO23" s="7">
        <v>0.124068441987729</v>
      </c>
      <c r="DP23" s="7">
        <v>3.8404395837998338E-2</v>
      </c>
      <c r="DQ23" s="7">
        <v>0.12113204125745761</v>
      </c>
      <c r="DR23" s="7">
        <v>0.1024257952350012</v>
      </c>
      <c r="DS23" s="7">
        <v>0.1165759916669394</v>
      </c>
      <c r="DT23" s="7">
        <v>0.12395522319619889</v>
      </c>
      <c r="DU23" s="7">
        <v>-3.4287185254997438E-2</v>
      </c>
      <c r="DV23" s="7">
        <v>-0.27627160832943959</v>
      </c>
      <c r="DW23" s="7">
        <v>0.14122823258283859</v>
      </c>
      <c r="DX23" s="7">
        <v>0.1710027869684545</v>
      </c>
      <c r="DY23" s="7">
        <v>0.26822192937212391</v>
      </c>
      <c r="DZ23" s="7">
        <v>-0.12933301555171881</v>
      </c>
      <c r="EA23" s="7">
        <v>2.875877977640498E-2</v>
      </c>
      <c r="EB23" s="7">
        <v>0.13822549512320209</v>
      </c>
      <c r="EC23" s="7">
        <v>-0.1232049429556647</v>
      </c>
      <c r="ED23" s="7">
        <v>9.1425904619781034E-2</v>
      </c>
      <c r="EE23" s="7">
        <v>6.9212075984992683E-2</v>
      </c>
      <c r="EF23" s="8">
        <v>4.7782278591659677E-2</v>
      </c>
      <c r="EG23" s="12">
        <f t="shared" si="10"/>
        <v>-3.2115370517130717E-3</v>
      </c>
      <c r="EH23" s="12">
        <f t="shared" si="11"/>
        <v>0.15282594582795833</v>
      </c>
      <c r="EI23" s="12">
        <f t="shared" si="12"/>
        <v>-2.1014344353074803E-2</v>
      </c>
    </row>
    <row r="24" spans="1:139" x14ac:dyDescent="0.3">
      <c r="A24" s="1">
        <v>964</v>
      </c>
      <c r="B24" s="1">
        <v>1</v>
      </c>
      <c r="C24" s="7">
        <v>0.162993136931085</v>
      </c>
      <c r="D24" s="7">
        <v>0.1006099128992286</v>
      </c>
      <c r="E24" s="7">
        <v>-7.1400330169296908E-2</v>
      </c>
      <c r="F24" s="7">
        <v>0.22715954663674881</v>
      </c>
      <c r="G24" s="7">
        <v>-0.2257600230575724</v>
      </c>
      <c r="H24" s="7">
        <v>-0.2466867284905698</v>
      </c>
      <c r="I24" s="7">
        <v>2.111933203143501E-3</v>
      </c>
      <c r="J24" s="7">
        <v>-0.1154627982140225</v>
      </c>
      <c r="K24" s="7">
        <v>2.1515278354960109E-2</v>
      </c>
      <c r="L24" s="7">
        <v>-9.5623250508682117E-2</v>
      </c>
      <c r="M24" s="7">
        <v>-0.14681933889950849</v>
      </c>
      <c r="N24" s="7">
        <v>-0.14413045240043321</v>
      </c>
      <c r="O24" s="7">
        <v>-0.24427786338818341</v>
      </c>
      <c r="P24" s="7">
        <v>7.7736485854057236E-2</v>
      </c>
      <c r="Q24" s="7">
        <v>-6.096496164670627E-2</v>
      </c>
      <c r="R24" s="7">
        <v>-2.7822823885088121E-2</v>
      </c>
      <c r="S24" s="7">
        <v>-1.1054460207448651E-2</v>
      </c>
      <c r="T24" s="7">
        <v>-0.28781660351948779</v>
      </c>
      <c r="U24" s="7">
        <v>0.14851867422391801</v>
      </c>
      <c r="V24" s="7">
        <v>0.11654031671685081</v>
      </c>
      <c r="W24" s="7">
        <v>-0.64293352860565944</v>
      </c>
      <c r="X24" s="7">
        <v>-8.988764650171982E-4</v>
      </c>
      <c r="Y24" s="7">
        <v>-2.9398839580432611E-2</v>
      </c>
      <c r="Z24" s="7">
        <v>-2.439454874957615E-2</v>
      </c>
      <c r="AA24" s="7">
        <v>9.4359582813794432E-2</v>
      </c>
      <c r="AB24" s="7">
        <v>-0.18425142266877839</v>
      </c>
      <c r="AC24" s="7">
        <v>0.125380380775965</v>
      </c>
      <c r="AD24" s="7">
        <v>-0.1011752992567229</v>
      </c>
      <c r="AE24" s="7">
        <v>-0.17526881500734201</v>
      </c>
      <c r="AF24" s="7">
        <v>-0.49538941280416188</v>
      </c>
      <c r="AG24" s="7">
        <v>-0.38005539258279603</v>
      </c>
      <c r="AH24" s="7">
        <v>6.8613799461397618E-2</v>
      </c>
      <c r="AI24" s="7">
        <v>-0.15191167478339729</v>
      </c>
      <c r="AJ24" s="7">
        <v>-8.5435201790864113E-2</v>
      </c>
      <c r="AK24" s="7">
        <v>0.11317916377562411</v>
      </c>
      <c r="AL24" s="7">
        <v>-0.1074544263057416</v>
      </c>
      <c r="AM24" s="7">
        <v>1.4966545334123929E-2</v>
      </c>
      <c r="AN24" s="7">
        <v>0.16294174185669941</v>
      </c>
      <c r="AO24" s="7">
        <v>-6.6090111828990022E-2</v>
      </c>
      <c r="AP24" s="7">
        <v>2.28517154890964E-2</v>
      </c>
      <c r="AQ24" s="7">
        <v>-4.7076972834245667E-2</v>
      </c>
      <c r="AR24" s="7">
        <v>0.1708334061708256</v>
      </c>
      <c r="AS24" s="7">
        <v>-3.2867737066227462E-3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-0.1114913369162155</v>
      </c>
      <c r="AY24" s="7">
        <v>-0.26743574468647008</v>
      </c>
      <c r="AZ24" s="7">
        <v>3.7867073599665187E-2</v>
      </c>
      <c r="BA24" s="7">
        <v>-5.3794732084633153E-2</v>
      </c>
      <c r="BB24" s="7">
        <v>0.69077653138067185</v>
      </c>
      <c r="BC24" s="7">
        <v>-4.366869614383373E-3</v>
      </c>
      <c r="BD24" s="7">
        <v>0.18559521924643521</v>
      </c>
      <c r="BE24" s="7">
        <v>-0.1041311228506846</v>
      </c>
      <c r="BF24" s="7">
        <v>-0.1002317053814064</v>
      </c>
      <c r="BG24" s="7">
        <v>-0.17662353567931691</v>
      </c>
      <c r="BH24" s="7">
        <v>9.5694510161506985E-3</v>
      </c>
      <c r="BI24" s="7">
        <v>0.2236291060700471</v>
      </c>
      <c r="BJ24" s="7">
        <v>3.3483157548845829E-3</v>
      </c>
      <c r="BK24" s="7">
        <v>3.4827647172774007E-2</v>
      </c>
      <c r="BL24" s="7">
        <v>-3.089861151917388E-2</v>
      </c>
      <c r="BM24" s="7">
        <v>-0.37691635755964409</v>
      </c>
      <c r="BN24" s="7">
        <v>-0.10891326031654749</v>
      </c>
      <c r="BO24" s="7">
        <v>-5.6244215584665136E-3</v>
      </c>
      <c r="BP24" s="7">
        <v>0.1233511811293219</v>
      </c>
      <c r="BQ24" s="7">
        <v>-6.4169633330115036E-2</v>
      </c>
      <c r="BR24" s="7">
        <v>9.8920889185241626E-2</v>
      </c>
      <c r="BS24" s="7">
        <v>-1.284717484456964E-3</v>
      </c>
      <c r="BT24" s="7">
        <v>-0.27671901614020838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-0.29033687494541688</v>
      </c>
      <c r="BZ24" s="7">
        <v>0.25889289884999689</v>
      </c>
      <c r="CA24" s="7">
        <v>0.10002491568895069</v>
      </c>
      <c r="CB24" s="7">
        <v>0.639698133634515</v>
      </c>
      <c r="CC24" s="7">
        <v>-0.18246987988756161</v>
      </c>
      <c r="CD24" s="7">
        <v>2.9953525870016359E-2</v>
      </c>
      <c r="CE24" s="7">
        <v>0.16556487399111461</v>
      </c>
      <c r="CF24" s="7">
        <v>-4.3964633996731547E-2</v>
      </c>
      <c r="CG24" s="7">
        <v>0.23727783485992521</v>
      </c>
      <c r="CH24" s="7">
        <v>0.35427729684250298</v>
      </c>
      <c r="CI24" s="7">
        <v>-5.850815723303885E-2</v>
      </c>
      <c r="CJ24" s="7">
        <v>-1.310948541941956E-2</v>
      </c>
      <c r="CK24" s="7">
        <v>9.3530079315696568E-2</v>
      </c>
      <c r="CL24" s="7">
        <v>0.1417553333725407</v>
      </c>
      <c r="CM24" s="7">
        <v>4.4688538323931992E-2</v>
      </c>
      <c r="CN24" s="7">
        <v>-0.60967719726707426</v>
      </c>
      <c r="CO24" s="7">
        <v>0.57240960973467503</v>
      </c>
      <c r="CP24" s="7">
        <v>-0.1603442048148421</v>
      </c>
      <c r="CQ24" s="7">
        <v>-0.1146871738632968</v>
      </c>
      <c r="CR24" s="7">
        <v>-6.1084838239556717E-2</v>
      </c>
      <c r="CS24" s="7">
        <v>-2.6854922521108548E-2</v>
      </c>
      <c r="CT24" s="7">
        <v>-9.6419008147395818E-2</v>
      </c>
      <c r="CU24" s="7">
        <v>7.2751347656710041E-2</v>
      </c>
      <c r="CV24" s="7">
        <v>-1.5064047539375311E-2</v>
      </c>
      <c r="CW24" s="7">
        <v>-0.17511716607200739</v>
      </c>
      <c r="CX24" s="7">
        <v>5.2765258843267028E-2</v>
      </c>
      <c r="CY24" s="7">
        <v>8.0066904636818925E-2</v>
      </c>
      <c r="CZ24" s="7">
        <v>-0.11220662844456721</v>
      </c>
      <c r="DA24" s="7">
        <v>-2.451120416275485E-2</v>
      </c>
      <c r="DB24" s="7">
        <v>0.19546067251265431</v>
      </c>
      <c r="DC24" s="7">
        <v>-0.28272977872851818</v>
      </c>
      <c r="DD24" s="7">
        <v>-0.15338138073910601</v>
      </c>
      <c r="DE24" s="7">
        <v>-0.13158559129553279</v>
      </c>
      <c r="DF24" s="7">
        <v>-0.52558500614449799</v>
      </c>
      <c r="DG24" s="7">
        <v>-5.9105834124344087E-2</v>
      </c>
      <c r="DH24" s="7">
        <v>-8.4652506536621926E-4</v>
      </c>
      <c r="DI24" s="7">
        <v>-0.42309879972833903</v>
      </c>
      <c r="DJ24" s="7">
        <v>-2.108147115785142E-2</v>
      </c>
      <c r="DK24" s="7">
        <v>-0.33950921063044381</v>
      </c>
      <c r="DL24" s="7">
        <v>6.1360513215416877E-2</v>
      </c>
      <c r="DM24" s="7">
        <v>0.14143952722687489</v>
      </c>
      <c r="DN24" s="7">
        <v>-0.14903325582948179</v>
      </c>
      <c r="DO24" s="7">
        <v>0.1156119550234804</v>
      </c>
      <c r="DP24" s="7">
        <v>0.14433064238035609</v>
      </c>
      <c r="DQ24" s="7">
        <v>5.0486190478925157E-2</v>
      </c>
      <c r="DR24" s="7">
        <v>2.3391731273528969E-2</v>
      </c>
      <c r="DS24" s="7">
        <v>6.7362545713944635E-2</v>
      </c>
      <c r="DT24" s="7">
        <v>3.8362866170129663E-2</v>
      </c>
      <c r="DU24" s="7">
        <v>4.7638587273757492E-2</v>
      </c>
      <c r="DV24" s="7">
        <v>-0.1582246986438143</v>
      </c>
      <c r="DW24" s="7">
        <v>0.10885708989133031</v>
      </c>
      <c r="DX24" s="7">
        <v>0.17373733044807921</v>
      </c>
      <c r="DY24" s="7">
        <v>3.2066535729951551E-2</v>
      </c>
      <c r="DZ24" s="7">
        <v>4.8904664258799802E-2</v>
      </c>
      <c r="EA24" s="7">
        <v>5.4920183841502608E-2</v>
      </c>
      <c r="EB24" s="7">
        <v>0.1092287723728063</v>
      </c>
      <c r="EC24" s="7">
        <v>-0.25665137996352638</v>
      </c>
      <c r="ED24" s="7">
        <v>5.6172845298362112E-2</v>
      </c>
      <c r="EE24" s="7">
        <v>0.10748065723441801</v>
      </c>
      <c r="EF24" s="8">
        <v>-6.7276677043968364E-2</v>
      </c>
      <c r="EG24" s="12">
        <f t="shared" si="10"/>
        <v>-2.1011872151749027E-2</v>
      </c>
      <c r="EH24" s="12">
        <f t="shared" si="11"/>
        <v>0.19664320881859093</v>
      </c>
      <c r="EI24" s="12">
        <f t="shared" si="12"/>
        <v>-0.10685277298914039</v>
      </c>
    </row>
    <row r="25" spans="1:139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  <c r="EG25" s="12">
        <f t="shared" si="10"/>
        <v>7.3485376145559517E-3</v>
      </c>
      <c r="EH25" s="12">
        <f t="shared" si="11"/>
        <v>4.2276369775976368E-2</v>
      </c>
      <c r="EI25" s="12">
        <f t="shared" si="12"/>
        <v>0.17382139605401439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預測IC</vt:lpstr>
      <vt:lpstr>預測(LSTM)勝率</vt:lpstr>
      <vt:lpstr>預測(LSTM)累積報酬</vt:lpstr>
      <vt:lpstr>LSTM再投資累積報酬</vt:lpstr>
      <vt:lpstr>LSTM夏普比率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博仁 鄭</cp:lastModifiedBy>
  <dcterms:created xsi:type="dcterms:W3CDTF">2015-06-05T18:17:20Z</dcterms:created>
  <dcterms:modified xsi:type="dcterms:W3CDTF">2025-06-03T07:31:24Z</dcterms:modified>
</cp:coreProperties>
</file>