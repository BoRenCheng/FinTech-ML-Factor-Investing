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0506作業\"/>
    </mc:Choice>
  </mc:AlternateContent>
  <xr:revisionPtr revIDLastSave="0" documentId="13_ncr:1_{1D93B9BA-2039-4568-BF97-E15BE6FC8865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真實IC" sheetId="1" r:id="rId1"/>
    <sheet name="預測IC" sheetId="2" r:id="rId2"/>
    <sheet name="RF預測勝率" sheetId="4" r:id="rId3"/>
    <sheet name="RF預測累積報酬" sheetId="6" r:id="rId4"/>
    <sheet name="RF預測累積畫圖" sheetId="8" r:id="rId5"/>
    <sheet name="RF再投資累積報酬" sheetId="12" r:id="rId6"/>
    <sheet name="RF夏普比率" sheetId="10" r:id="rId7"/>
    <sheet name="RF樣本外R2" sheetId="11" r:id="rId8"/>
    <sheet name="真實勝率" sheetId="3" r:id="rId9"/>
    <sheet name="真實累積報酬" sheetId="5" r:id="rId10"/>
    <sheet name="畫圖(真實)" sheetId="7" r:id="rId11"/>
  </sheets>
  <externalReferences>
    <externalReference r:id="rId12"/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F24" i="12" l="1" a="1"/>
  <c r="EF24" i="12" s="1"/>
  <c r="EE24" i="12" a="1"/>
  <c r="EE24" i="12" s="1"/>
  <c r="ED24" i="12" a="1"/>
  <c r="ED24" i="12" s="1"/>
  <c r="EC24" i="12" a="1"/>
  <c r="EC24" i="12" s="1"/>
  <c r="EB24" i="12" a="1"/>
  <c r="EB24" i="12" s="1"/>
  <c r="EA24" i="12" a="1"/>
  <c r="EA24" i="12" s="1"/>
  <c r="DZ24" i="12" a="1"/>
  <c r="DZ24" i="12" s="1"/>
  <c r="DY24" i="12" a="1"/>
  <c r="DY24" i="12" s="1"/>
  <c r="DX24" i="12" a="1"/>
  <c r="DX24" i="12" s="1"/>
  <c r="DW24" i="12" a="1"/>
  <c r="DW24" i="12" s="1"/>
  <c r="DV24" i="12"/>
  <c r="DV24" i="12" a="1"/>
  <c r="DU24" i="12"/>
  <c r="DU24" i="12" a="1"/>
  <c r="DT24" i="12" a="1"/>
  <c r="DT24" i="12" s="1"/>
  <c r="DS24" i="12" a="1"/>
  <c r="DS24" i="12" s="1"/>
  <c r="DR24" i="12" a="1"/>
  <c r="DR24" i="12" s="1"/>
  <c r="DQ24" i="12" a="1"/>
  <c r="DQ24" i="12" s="1"/>
  <c r="DP24" i="12" a="1"/>
  <c r="DP24" i="12" s="1"/>
  <c r="DO24" i="12"/>
  <c r="DO24" i="12" a="1"/>
  <c r="DN24" i="12" a="1"/>
  <c r="DN24" i="12" s="1"/>
  <c r="DM24" i="12"/>
  <c r="DM24" i="12" a="1"/>
  <c r="DL24" i="12" a="1"/>
  <c r="DL24" i="12" s="1"/>
  <c r="DK24" i="12" a="1"/>
  <c r="DK24" i="12" s="1"/>
  <c r="DJ24" i="12" a="1"/>
  <c r="DJ24" i="12" s="1"/>
  <c r="DI24" i="12" a="1"/>
  <c r="DI24" i="12" s="1"/>
  <c r="DH24" i="12" a="1"/>
  <c r="DH24" i="12" s="1"/>
  <c r="DG24" i="12" a="1"/>
  <c r="DG24" i="12" s="1"/>
  <c r="DF24" i="12" a="1"/>
  <c r="DF24" i="12" s="1"/>
  <c r="DE24" i="12" a="1"/>
  <c r="DE24" i="12" s="1"/>
  <c r="DD24" i="12"/>
  <c r="DD24" i="12" a="1"/>
  <c r="DC24" i="12" a="1"/>
  <c r="DC24" i="12" s="1"/>
  <c r="DB24" i="12" a="1"/>
  <c r="DB24" i="12" s="1"/>
  <c r="DA24" i="12" a="1"/>
  <c r="DA24" i="12" s="1"/>
  <c r="CZ24" i="12" a="1"/>
  <c r="CZ24" i="12" s="1"/>
  <c r="CY24" i="12" a="1"/>
  <c r="CY24" i="12" s="1"/>
  <c r="CX24" i="12"/>
  <c r="CX24" i="12" a="1"/>
  <c r="CW24" i="12" a="1"/>
  <c r="CW24" i="12" s="1"/>
  <c r="CV24" i="12"/>
  <c r="CV24" i="12" a="1"/>
  <c r="CU24" i="12" a="1"/>
  <c r="CU24" i="12" s="1"/>
  <c r="CT24" i="12"/>
  <c r="CT24" i="12" a="1"/>
  <c r="CS24" i="12" a="1"/>
  <c r="CS24" i="12" s="1"/>
  <c r="CR24" i="12" a="1"/>
  <c r="CR24" i="12" s="1"/>
  <c r="CQ24" i="12"/>
  <c r="CQ24" i="12" a="1"/>
  <c r="CP24" i="12" a="1"/>
  <c r="CP24" i="12" s="1"/>
  <c r="CO24" i="12"/>
  <c r="CO24" i="12" a="1"/>
  <c r="CN24" i="12" a="1"/>
  <c r="CN24" i="12" s="1"/>
  <c r="CM24" i="12"/>
  <c r="CM24" i="12" a="1"/>
  <c r="CL24" i="12" a="1"/>
  <c r="CL24" i="12" s="1"/>
  <c r="CK24" i="12" a="1"/>
  <c r="CK24" i="12" s="1"/>
  <c r="CJ24" i="12" a="1"/>
  <c r="CJ24" i="12" s="1"/>
  <c r="CI24" i="12" a="1"/>
  <c r="CI24" i="12" s="1"/>
  <c r="CH24" i="12"/>
  <c r="CH24" i="12" a="1"/>
  <c r="CG24" i="12"/>
  <c r="CG24" i="12" a="1"/>
  <c r="CF24" i="12" a="1"/>
  <c r="CF24" i="12" s="1"/>
  <c r="CE24" i="12" a="1"/>
  <c r="CE24" i="12" s="1"/>
  <c r="CD24" i="12" a="1"/>
  <c r="CD24" i="12" s="1"/>
  <c r="CC24" i="12" a="1"/>
  <c r="CC24" i="12" s="1"/>
  <c r="CB24" i="12" a="1"/>
  <c r="CB24" i="12" s="1"/>
  <c r="CA24" i="12" a="1"/>
  <c r="CA24" i="12" s="1"/>
  <c r="BZ24" i="12" a="1"/>
  <c r="BZ24" i="12" s="1"/>
  <c r="BY24" i="12" a="1"/>
  <c r="BY24" i="12" s="1"/>
  <c r="BX24" i="12"/>
  <c r="BX24" i="12" a="1"/>
  <c r="BW24" i="12" a="1"/>
  <c r="BW24" i="12" s="1"/>
  <c r="BV24" i="12"/>
  <c r="BV24" i="12" a="1"/>
  <c r="BU24" i="12" a="1"/>
  <c r="BU24" i="12" s="1"/>
  <c r="BT24" i="12" a="1"/>
  <c r="BT24" i="12" s="1"/>
  <c r="BS24" i="12"/>
  <c r="BS24" i="12" a="1"/>
  <c r="BR24" i="12" a="1"/>
  <c r="BR24" i="12" s="1"/>
  <c r="BQ24" i="12" a="1"/>
  <c r="BQ24" i="12" s="1"/>
  <c r="BP24" i="12"/>
  <c r="BP24" i="12" a="1"/>
  <c r="BO24" i="12" a="1"/>
  <c r="BO24" i="12" s="1"/>
  <c r="BN24" i="12"/>
  <c r="BN24" i="12" a="1"/>
  <c r="BM24" i="12" a="1"/>
  <c r="BM24" i="12" s="1"/>
  <c r="BL24" i="12" a="1"/>
  <c r="BL24" i="12" s="1"/>
  <c r="BK24" i="12" a="1"/>
  <c r="BK24" i="12" s="1"/>
  <c r="BJ24" i="12" a="1"/>
  <c r="BJ24" i="12" s="1"/>
  <c r="BI24" i="12" a="1"/>
  <c r="BI24" i="12" s="1"/>
  <c r="BH24" i="12" a="1"/>
  <c r="BH24" i="12" s="1"/>
  <c r="BG24" i="12"/>
  <c r="BG24" i="12" a="1"/>
  <c r="BF24" i="12" a="1"/>
  <c r="BF24" i="12" s="1"/>
  <c r="BE24" i="12"/>
  <c r="BE24" i="12" a="1"/>
  <c r="BD24" i="12" a="1"/>
  <c r="BD24" i="12" s="1"/>
  <c r="BC24" i="12" a="1"/>
  <c r="BC24" i="12" s="1"/>
  <c r="BB24" i="12" a="1"/>
  <c r="BB24" i="12" s="1"/>
  <c r="BA24" i="12"/>
  <c r="BA24" i="12" a="1"/>
  <c r="AZ24" i="12" a="1"/>
  <c r="AZ24" i="12" s="1"/>
  <c r="AY24" i="12"/>
  <c r="AY24" i="12" a="1"/>
  <c r="AX24" i="12" a="1"/>
  <c r="AX24" i="12" s="1"/>
  <c r="AW24" i="12" a="1"/>
  <c r="AW24" i="12" s="1"/>
  <c r="AV24" i="12" a="1"/>
  <c r="AV24" i="12" s="1"/>
  <c r="AU24" i="12" a="1"/>
  <c r="AU24" i="12" s="1"/>
  <c r="AT24" i="12"/>
  <c r="AT24" i="12" a="1"/>
  <c r="AS24" i="12" a="1"/>
  <c r="AS24" i="12" s="1"/>
  <c r="AR24" i="12"/>
  <c r="AR24" i="12" a="1"/>
  <c r="AQ24" i="12" a="1"/>
  <c r="AQ24" i="12" s="1"/>
  <c r="AP24" i="12"/>
  <c r="AP24" i="12" a="1"/>
  <c r="AO24" i="12" a="1"/>
  <c r="AO24" i="12" s="1"/>
  <c r="AN24" i="12" a="1"/>
  <c r="AN24" i="12" s="1"/>
  <c r="AM24" i="12" a="1"/>
  <c r="AM24" i="12" s="1"/>
  <c r="AL24" i="12" a="1"/>
  <c r="AL24" i="12" s="1"/>
  <c r="AK24" i="12" a="1"/>
  <c r="AK24" i="12" s="1"/>
  <c r="AJ24" i="12" a="1"/>
  <c r="AJ24" i="12" s="1"/>
  <c r="AI24" i="12"/>
  <c r="AI24" i="12" a="1"/>
  <c r="AH24" i="12"/>
  <c r="AH24" i="12" a="1"/>
  <c r="AG24" i="12" a="1"/>
  <c r="AG24" i="12" s="1"/>
  <c r="AF24" i="12" a="1"/>
  <c r="AF24" i="12" s="1"/>
  <c r="AE24" i="12"/>
  <c r="AE24" i="12" a="1"/>
  <c r="AD24" i="12" a="1"/>
  <c r="AD24" i="12" s="1"/>
  <c r="AC24" i="12" a="1"/>
  <c r="AC24" i="12" s="1"/>
  <c r="AB24" i="12" a="1"/>
  <c r="AB24" i="12" s="1"/>
  <c r="AA24" i="12" a="1"/>
  <c r="AA24" i="12" s="1"/>
  <c r="Z24" i="12"/>
  <c r="Z24" i="12" a="1"/>
  <c r="Y24" i="12"/>
  <c r="Y24" i="12" a="1"/>
  <c r="X24" i="12" a="1"/>
  <c r="X24" i="12" s="1"/>
  <c r="W24" i="12" a="1"/>
  <c r="W24" i="12" s="1"/>
  <c r="V24" i="12" a="1"/>
  <c r="V24" i="12" s="1"/>
  <c r="U24" i="12" a="1"/>
  <c r="U24" i="12" s="1"/>
  <c r="T24" i="12" a="1"/>
  <c r="T24" i="12" s="1"/>
  <c r="S24" i="12" a="1"/>
  <c r="S24" i="12" s="1"/>
  <c r="R24" i="12" a="1"/>
  <c r="R24" i="12" s="1"/>
  <c r="Q24" i="12"/>
  <c r="Q24" i="12" a="1"/>
  <c r="P24" i="12" a="1"/>
  <c r="P24" i="12" s="1"/>
  <c r="O24" i="12" a="1"/>
  <c r="O24" i="12" s="1"/>
  <c r="N24" i="12"/>
  <c r="N24" i="12" a="1"/>
  <c r="M24" i="12" a="1"/>
  <c r="M24" i="12" s="1"/>
  <c r="L24" i="12" a="1"/>
  <c r="L24" i="12" s="1"/>
  <c r="K24" i="12" a="1"/>
  <c r="K24" i="12" s="1"/>
  <c r="J24" i="12" a="1"/>
  <c r="J24" i="12" s="1"/>
  <c r="I24" i="12" a="1"/>
  <c r="I24" i="12" s="1"/>
  <c r="H24" i="12" a="1"/>
  <c r="H24" i="12" s="1"/>
  <c r="G24" i="12" a="1"/>
  <c r="G24" i="12" s="1"/>
  <c r="F24" i="12" a="1"/>
  <c r="F24" i="12" s="1"/>
  <c r="E24" i="12" a="1"/>
  <c r="E24" i="12" s="1"/>
  <c r="D24" i="12" a="1"/>
  <c r="D24" i="12" s="1"/>
  <c r="C24" i="12" a="1"/>
  <c r="C24" i="12" s="1"/>
  <c r="EF23" i="12" a="1"/>
  <c r="EF23" i="12" s="1"/>
  <c r="EE23" i="12" a="1"/>
  <c r="EE23" i="12" s="1"/>
  <c r="ED23" i="12" a="1"/>
  <c r="ED23" i="12" s="1"/>
  <c r="EC23" i="12" a="1"/>
  <c r="EC23" i="12" s="1"/>
  <c r="EB23" i="12"/>
  <c r="EB23" i="12" a="1"/>
  <c r="EA23" i="12"/>
  <c r="EA23" i="12" a="1"/>
  <c r="DZ23" i="12" a="1"/>
  <c r="DZ23" i="12" s="1"/>
  <c r="DY23" i="12" a="1"/>
  <c r="DY23" i="12" s="1"/>
  <c r="DX23" i="12" a="1"/>
  <c r="DX23" i="12" s="1"/>
  <c r="DW23" i="12" a="1"/>
  <c r="DW23" i="12" s="1"/>
  <c r="DV23" i="12" a="1"/>
  <c r="DV23" i="12" s="1"/>
  <c r="DU23" i="12"/>
  <c r="DU23" i="12" a="1"/>
  <c r="DT23" i="12" a="1"/>
  <c r="DT23" i="12" s="1"/>
  <c r="DS23" i="12"/>
  <c r="DS23" i="12" a="1"/>
  <c r="DR23" i="12" a="1"/>
  <c r="DR23" i="12" s="1"/>
  <c r="DQ23" i="12" a="1"/>
  <c r="DQ23" i="12" s="1"/>
  <c r="DP23" i="12" a="1"/>
  <c r="DP23" i="12" s="1"/>
  <c r="DO23" i="12" a="1"/>
  <c r="DO23" i="12" s="1"/>
  <c r="DN23" i="12" a="1"/>
  <c r="DN23" i="12" s="1"/>
  <c r="DM23" i="12" a="1"/>
  <c r="DM23" i="12" s="1"/>
  <c r="DL23" i="12" a="1"/>
  <c r="DL23" i="12" s="1"/>
  <c r="DK23" i="12" a="1"/>
  <c r="DK23" i="12" s="1"/>
  <c r="DJ23" i="12"/>
  <c r="DJ23" i="12" a="1"/>
  <c r="DI23" i="12"/>
  <c r="DI23" i="12" a="1"/>
  <c r="DH23" i="12" a="1"/>
  <c r="DH23" i="12" s="1"/>
  <c r="DG23" i="12" a="1"/>
  <c r="DG23" i="12" s="1"/>
  <c r="DF23" i="12" a="1"/>
  <c r="DF23" i="12" s="1"/>
  <c r="DE23" i="12" a="1"/>
  <c r="DE23" i="12" s="1"/>
  <c r="DD23" i="12"/>
  <c r="DD23" i="12" a="1"/>
  <c r="DC23" i="12" a="1"/>
  <c r="DC23" i="12" s="1"/>
  <c r="DB23" i="12"/>
  <c r="DB23" i="12" a="1"/>
  <c r="DA23" i="12" a="1"/>
  <c r="DA23" i="12" s="1"/>
  <c r="CZ23" i="12"/>
  <c r="CZ23" i="12" a="1"/>
  <c r="CY23" i="12" a="1"/>
  <c r="CY23" i="12" s="1"/>
  <c r="CX23" i="12" a="1"/>
  <c r="CX23" i="12" s="1"/>
  <c r="CW23" i="12" a="1"/>
  <c r="CW23" i="12" s="1"/>
  <c r="CV23" i="12" a="1"/>
  <c r="CV23" i="12" s="1"/>
  <c r="CU23" i="12" a="1"/>
  <c r="CU23" i="12" s="1"/>
  <c r="CT23" i="12" a="1"/>
  <c r="CT23" i="12" s="1"/>
  <c r="CS23" i="12"/>
  <c r="CS23" i="12" a="1"/>
  <c r="CR23" i="12" a="1"/>
  <c r="CR23" i="12" s="1"/>
  <c r="CQ23" i="12"/>
  <c r="CQ23" i="12" a="1"/>
  <c r="CP23" i="12" a="1"/>
  <c r="CP23" i="12" s="1"/>
  <c r="CO23" i="12" a="1"/>
  <c r="CO23" i="12" s="1"/>
  <c r="CN23" i="12"/>
  <c r="CN23" i="12" a="1"/>
  <c r="CM23" i="12"/>
  <c r="CM23" i="12" a="1"/>
  <c r="CL23" i="12" a="1"/>
  <c r="CL23" i="12" s="1"/>
  <c r="CK23" i="12" a="1"/>
  <c r="CK23" i="12" s="1"/>
  <c r="CJ23" i="12" a="1"/>
  <c r="CJ23" i="12" s="1"/>
  <c r="CI23" i="12" a="1"/>
  <c r="CI23" i="12" s="1"/>
  <c r="CH23" i="12" a="1"/>
  <c r="CH23" i="12" s="1"/>
  <c r="CG23" i="12"/>
  <c r="CG23" i="12" a="1"/>
  <c r="CF23" i="12" a="1"/>
  <c r="CF23" i="12" s="1"/>
  <c r="CE23" i="12"/>
  <c r="CE23" i="12" a="1"/>
  <c r="CD23" i="12" a="1"/>
  <c r="CD23" i="12" s="1"/>
  <c r="CC23" i="12" a="1"/>
  <c r="CC23" i="12" s="1"/>
  <c r="CB23" i="12"/>
  <c r="CB23" i="12" a="1"/>
  <c r="CA23" i="12" a="1"/>
  <c r="CA23" i="12" s="1"/>
  <c r="BZ23" i="12" a="1"/>
  <c r="BZ23" i="12" s="1"/>
  <c r="BY23" i="12" a="1"/>
  <c r="BY23" i="12" s="1"/>
  <c r="BX23" i="12"/>
  <c r="BX23" i="12" a="1"/>
  <c r="BW23" i="12" a="1"/>
  <c r="BW23" i="12" s="1"/>
  <c r="BV23" i="12"/>
  <c r="BV23" i="12" a="1"/>
  <c r="BU23" i="12" a="1"/>
  <c r="BU23" i="12" s="1"/>
  <c r="BT23" i="12" a="1"/>
  <c r="BT23" i="12" s="1"/>
  <c r="BS23" i="12" a="1"/>
  <c r="BS23" i="12" s="1"/>
  <c r="BR23" i="12" a="1"/>
  <c r="BR23" i="12" s="1"/>
  <c r="BQ23" i="12" a="1"/>
  <c r="BQ23" i="12" s="1"/>
  <c r="BP23" i="12" a="1"/>
  <c r="BP23" i="12" s="1"/>
  <c r="BO23" i="12" a="1"/>
  <c r="BO23" i="12" s="1"/>
  <c r="BN23" i="12"/>
  <c r="BN23" i="12" a="1"/>
  <c r="BM23" i="12" a="1"/>
  <c r="BM23" i="12" s="1"/>
  <c r="BL23" i="12" a="1"/>
  <c r="BL23" i="12" s="1"/>
  <c r="BK23" i="12"/>
  <c r="BK23" i="12" a="1"/>
  <c r="BJ23" i="12" a="1"/>
  <c r="BJ23" i="12" s="1"/>
  <c r="BI23" i="12" a="1"/>
  <c r="BI23" i="12" s="1"/>
  <c r="BH23" i="12" a="1"/>
  <c r="BH23" i="12" s="1"/>
  <c r="BG23" i="12" a="1"/>
  <c r="BG23" i="12" s="1"/>
  <c r="BF23" i="12" a="1"/>
  <c r="BF23" i="12" s="1"/>
  <c r="BE23" i="12"/>
  <c r="BE23" i="12" a="1"/>
  <c r="BD23" i="12" a="1"/>
  <c r="BD23" i="12" s="1"/>
  <c r="BC23" i="12" a="1"/>
  <c r="BC23" i="12" s="1"/>
  <c r="BB23" i="12" a="1"/>
  <c r="BB23" i="12" s="1"/>
  <c r="BA23" i="12" a="1"/>
  <c r="BA23" i="12" s="1"/>
  <c r="AZ23" i="12" a="1"/>
  <c r="AZ23" i="12" s="1"/>
  <c r="AY23" i="12" a="1"/>
  <c r="AY23" i="12" s="1"/>
  <c r="AX23" i="12" a="1"/>
  <c r="AX23" i="12" s="1"/>
  <c r="AW23" i="12"/>
  <c r="AW23" i="12" a="1"/>
  <c r="AV23" i="12" a="1"/>
  <c r="AV23" i="12" s="1"/>
  <c r="AU23" i="12" a="1"/>
  <c r="AU23" i="12" s="1"/>
  <c r="AT23" i="12" a="1"/>
  <c r="AT23" i="12" s="1"/>
  <c r="AS23" i="12" a="1"/>
  <c r="AS23" i="12" s="1"/>
  <c r="AR23" i="12"/>
  <c r="AR23" i="12" a="1"/>
  <c r="AQ23" i="12" a="1"/>
  <c r="AQ23" i="12" s="1"/>
  <c r="AP23" i="12" a="1"/>
  <c r="AP23" i="12" s="1"/>
  <c r="AO23" i="12" a="1"/>
  <c r="AO23" i="12" s="1"/>
  <c r="AN23" i="12"/>
  <c r="AN23" i="12" a="1"/>
  <c r="AM23" i="12" a="1"/>
  <c r="AM23" i="12" s="1"/>
  <c r="AL23" i="12" a="1"/>
  <c r="AL23" i="12" s="1"/>
  <c r="AK23" i="12"/>
  <c r="AK23" i="12" a="1"/>
  <c r="AJ23" i="12" a="1"/>
  <c r="AJ23" i="12" s="1"/>
  <c r="AI23" i="12"/>
  <c r="AI23" i="12" a="1"/>
  <c r="AH23" i="12" a="1"/>
  <c r="AH23" i="12" s="1"/>
  <c r="AG23" i="12" a="1"/>
  <c r="AG23" i="12" s="1"/>
  <c r="AF23" i="12" a="1"/>
  <c r="AF23" i="12" s="1"/>
  <c r="AE23" i="12" a="1"/>
  <c r="AE23" i="12" s="1"/>
  <c r="AD23" i="12" a="1"/>
  <c r="AD23" i="12" s="1"/>
  <c r="AC23" i="12"/>
  <c r="AC23" i="12" a="1"/>
  <c r="AB23" i="12" a="1"/>
  <c r="AB23" i="12" s="1"/>
  <c r="AA23" i="12" a="1"/>
  <c r="AA23" i="12" s="1"/>
  <c r="Z23" i="12" a="1"/>
  <c r="Z23" i="12" s="1"/>
  <c r="Y23" i="12"/>
  <c r="Y23" i="12" a="1"/>
  <c r="X23" i="12" a="1"/>
  <c r="X23" i="12" s="1"/>
  <c r="W23" i="12"/>
  <c r="W23" i="12" a="1"/>
  <c r="V23" i="12" a="1"/>
  <c r="V23" i="12" s="1"/>
  <c r="U23" i="12" a="1"/>
  <c r="U23" i="12" s="1"/>
  <c r="T23" i="12"/>
  <c r="T23" i="12" a="1"/>
  <c r="S23" i="12" a="1"/>
  <c r="S23" i="12" s="1"/>
  <c r="R23" i="12" a="1"/>
  <c r="R23" i="12" s="1"/>
  <c r="Q23" i="12" a="1"/>
  <c r="Q23" i="12" s="1"/>
  <c r="P23" i="12"/>
  <c r="P23" i="12" a="1"/>
  <c r="O23" i="12" a="1"/>
  <c r="O23" i="12" s="1"/>
  <c r="N23" i="12" a="1"/>
  <c r="N23" i="12" s="1"/>
  <c r="M23" i="12" a="1"/>
  <c r="M23" i="12" s="1"/>
  <c r="L23" i="12" a="1"/>
  <c r="L23" i="12" s="1"/>
  <c r="K23" i="12" a="1"/>
  <c r="K23" i="12" s="1"/>
  <c r="J23" i="12"/>
  <c r="J23" i="12" a="1"/>
  <c r="I23" i="12" a="1"/>
  <c r="I23" i="12" s="1"/>
  <c r="H23" i="12" a="1"/>
  <c r="H23" i="12" s="1"/>
  <c r="G23" i="12" a="1"/>
  <c r="G23" i="12" s="1"/>
  <c r="F23" i="12" a="1"/>
  <c r="F23" i="12" s="1"/>
  <c r="E23" i="12" a="1"/>
  <c r="E23" i="12" s="1"/>
  <c r="D23" i="12" a="1"/>
  <c r="D23" i="12" s="1"/>
  <c r="C23" i="12"/>
  <c r="C23" i="12" a="1"/>
  <c r="EF22" i="12" a="1"/>
  <c r="EF22" i="12" s="1"/>
  <c r="EE22" i="12"/>
  <c r="EE22" i="12" a="1"/>
  <c r="ED22" i="12" a="1"/>
  <c r="ED22" i="12" s="1"/>
  <c r="EC22" i="12" a="1"/>
  <c r="EC22" i="12" s="1"/>
  <c r="EB22" i="12" a="1"/>
  <c r="EB22" i="12" s="1"/>
  <c r="EA22" i="12"/>
  <c r="EA22" i="12" a="1"/>
  <c r="DZ22" i="12" a="1"/>
  <c r="DZ22" i="12" s="1"/>
  <c r="DY22" i="12" a="1"/>
  <c r="DY22" i="12" s="1"/>
  <c r="DX22" i="12" a="1"/>
  <c r="DX22" i="12" s="1"/>
  <c r="DW22" i="12" a="1"/>
  <c r="DW22" i="12" s="1"/>
  <c r="DV22" i="12"/>
  <c r="DV22" i="12" a="1"/>
  <c r="DU22" i="12" a="1"/>
  <c r="DU22" i="12" s="1"/>
  <c r="DT22" i="12" a="1"/>
  <c r="DT22" i="12" s="1"/>
  <c r="DS22" i="12" a="1"/>
  <c r="DS22" i="12" s="1"/>
  <c r="DR22" i="12" a="1"/>
  <c r="DR22" i="12" s="1"/>
  <c r="DQ22" i="12" a="1"/>
  <c r="DQ22" i="12" s="1"/>
  <c r="DP22" i="12"/>
  <c r="DP22" i="12" a="1"/>
  <c r="DO22" i="12" a="1"/>
  <c r="DO22" i="12" s="1"/>
  <c r="DN22" i="12" a="1"/>
  <c r="DN22" i="12" s="1"/>
  <c r="DM22" i="12"/>
  <c r="DM22" i="12" a="1"/>
  <c r="DL22" i="12" a="1"/>
  <c r="DL22" i="12" s="1"/>
  <c r="DK22" i="12" a="1"/>
  <c r="DK22" i="12" s="1"/>
  <c r="DJ22" i="12"/>
  <c r="DJ22" i="12" a="1"/>
  <c r="DI22" i="12" a="1"/>
  <c r="DI22" i="12" s="1"/>
  <c r="DH22" i="12" a="1"/>
  <c r="DH22" i="12" s="1"/>
  <c r="DG22" i="12" a="1"/>
  <c r="DG22" i="12" s="1"/>
  <c r="DF22" i="12" a="1"/>
  <c r="DF22" i="12" s="1"/>
  <c r="DE22" i="12" a="1"/>
  <c r="DE22" i="12" s="1"/>
  <c r="DD22" i="12" a="1"/>
  <c r="DD22" i="12" s="1"/>
  <c r="DC22" i="12"/>
  <c r="DC22" i="12" a="1"/>
  <c r="DB22" i="12" a="1"/>
  <c r="DB22" i="12" s="1"/>
  <c r="DA22" i="12" a="1"/>
  <c r="DA22" i="12" s="1"/>
  <c r="CZ22" i="12" a="1"/>
  <c r="CZ22" i="12" s="1"/>
  <c r="CY22" i="12"/>
  <c r="CY22" i="12" a="1"/>
  <c r="CX22" i="12" a="1"/>
  <c r="CX22" i="12" s="1"/>
  <c r="CW22" i="12" a="1"/>
  <c r="CW22" i="12" s="1"/>
  <c r="CV22" i="12" a="1"/>
  <c r="CV22" i="12" s="1"/>
  <c r="CU22" i="12" a="1"/>
  <c r="CU22" i="12" s="1"/>
  <c r="CT22" i="12"/>
  <c r="CT22" i="12" a="1"/>
  <c r="CS22" i="12"/>
  <c r="CS22" i="12" a="1"/>
  <c r="CR22" i="12" a="1"/>
  <c r="CR22" i="12" s="1"/>
  <c r="CQ22" i="12" a="1"/>
  <c r="CQ22" i="12" s="1"/>
  <c r="CP22" i="12" a="1"/>
  <c r="CP22" i="12" s="1"/>
  <c r="CO22" i="12"/>
  <c r="CO22" i="12" a="1"/>
  <c r="CN22" i="12" a="1"/>
  <c r="CN22" i="12" s="1"/>
  <c r="CM22" i="12" a="1"/>
  <c r="CM22" i="12" s="1"/>
  <c r="CL22" i="12"/>
  <c r="CL22" i="12" a="1"/>
  <c r="CK22" i="12" a="1"/>
  <c r="CK22" i="12" s="1"/>
  <c r="CJ22" i="12" a="1"/>
  <c r="CJ22" i="12" s="1"/>
  <c r="CI22" i="12" a="1"/>
  <c r="CI22" i="12" s="1"/>
  <c r="CH22" i="12"/>
  <c r="CH22" i="12" a="1"/>
  <c r="CG22" i="12" a="1"/>
  <c r="CG22" i="12" s="1"/>
  <c r="CF22" i="12" a="1"/>
  <c r="CF22" i="12" s="1"/>
  <c r="CE22" i="12" a="1"/>
  <c r="CE22" i="12" s="1"/>
  <c r="CD22" i="12" a="1"/>
  <c r="CD22" i="12" s="1"/>
  <c r="CC22" i="12" a="1"/>
  <c r="CC22" i="12" s="1"/>
  <c r="CB22" i="12"/>
  <c r="CB22" i="12" a="1"/>
  <c r="CA22" i="12" a="1"/>
  <c r="CA22" i="12" s="1"/>
  <c r="BZ22" i="12" a="1"/>
  <c r="BZ22" i="12" s="1"/>
  <c r="BY22" i="12" a="1"/>
  <c r="BY22" i="12" s="1"/>
  <c r="BX22" i="12" a="1"/>
  <c r="BX22" i="12" s="1"/>
  <c r="BW22" i="12" a="1"/>
  <c r="BW22" i="12" s="1"/>
  <c r="BV22" i="12" a="1"/>
  <c r="BV22" i="12" s="1"/>
  <c r="BU22" i="12" a="1"/>
  <c r="BU22" i="12" s="1"/>
  <c r="BT22" i="12" a="1"/>
  <c r="BT22" i="12" s="1"/>
  <c r="BS22" i="12" a="1"/>
  <c r="BS22" i="12" s="1"/>
  <c r="BR22" i="12"/>
  <c r="BR22" i="12" a="1"/>
  <c r="BQ22" i="12"/>
  <c r="BQ22" i="12" a="1"/>
  <c r="BP22" i="12" a="1"/>
  <c r="BP22" i="12" s="1"/>
  <c r="BO22" i="12" a="1"/>
  <c r="BO22" i="12" s="1"/>
  <c r="BN22" i="12" a="1"/>
  <c r="BN22" i="12" s="1"/>
  <c r="BM22" i="12" a="1"/>
  <c r="BM22" i="12" s="1"/>
  <c r="BL22" i="12" a="1"/>
  <c r="BL22" i="12" s="1"/>
  <c r="BK22" i="12"/>
  <c r="BK22" i="12" a="1"/>
  <c r="BJ22" i="12" a="1"/>
  <c r="BJ22" i="12" s="1"/>
  <c r="BI22" i="12"/>
  <c r="BI22" i="12" a="1"/>
  <c r="BH22" i="12" a="1"/>
  <c r="BH22" i="12" s="1"/>
  <c r="BG22" i="12" a="1"/>
  <c r="BG22" i="12" s="1"/>
  <c r="BF22" i="12" a="1"/>
  <c r="BF22" i="12" s="1"/>
  <c r="BE22" i="12" a="1"/>
  <c r="BE22" i="12" s="1"/>
  <c r="BD22" i="12" a="1"/>
  <c r="BD22" i="12" s="1"/>
  <c r="BC22" i="12" a="1"/>
  <c r="BC22" i="12" s="1"/>
  <c r="BB22" i="12" a="1"/>
  <c r="BB22" i="12" s="1"/>
  <c r="BA22" i="12"/>
  <c r="BA22" i="12" a="1"/>
  <c r="AZ22" i="12" a="1"/>
  <c r="AZ22" i="12" s="1"/>
  <c r="AY22" i="12" a="1"/>
  <c r="AY22" i="12" s="1"/>
  <c r="AX22" i="12"/>
  <c r="AX22" i="12" a="1"/>
  <c r="AW22" i="12" a="1"/>
  <c r="AW22" i="12" s="1"/>
  <c r="AV22" i="12" a="1"/>
  <c r="AV22" i="12" s="1"/>
  <c r="AU22" i="12" a="1"/>
  <c r="AU22" i="12" s="1"/>
  <c r="AT22" i="12"/>
  <c r="AT22" i="12" a="1"/>
  <c r="AS22" i="12" a="1"/>
  <c r="AS22" i="12" s="1"/>
  <c r="AR22" i="12" a="1"/>
  <c r="AR22" i="12" s="1"/>
  <c r="AQ22" i="12"/>
  <c r="AQ22" i="12" a="1"/>
  <c r="AP22" i="12" a="1"/>
  <c r="AP22" i="12" s="1"/>
  <c r="AO22" i="12"/>
  <c r="AO22" i="12" a="1"/>
  <c r="AN22" i="12" a="1"/>
  <c r="AN22" i="12" s="1"/>
  <c r="AM22" i="12" a="1"/>
  <c r="AM22" i="12" s="1"/>
  <c r="AL22" i="12" a="1"/>
  <c r="AL22" i="12" s="1"/>
  <c r="AK22" i="12" a="1"/>
  <c r="AK22" i="12" s="1"/>
  <c r="AJ22" i="12" a="1"/>
  <c r="AJ22" i="12" s="1"/>
  <c r="AI22" i="12" a="1"/>
  <c r="AI22" i="12" s="1"/>
  <c r="AH22" i="12" a="1"/>
  <c r="AH22" i="12" s="1"/>
  <c r="AG22" i="12" a="1"/>
  <c r="AG22" i="12" s="1"/>
  <c r="AF22" i="12"/>
  <c r="AF22" i="12" a="1"/>
  <c r="AE22" i="12" a="1"/>
  <c r="AE22" i="12" s="1"/>
  <c r="AD22" i="12" a="1"/>
  <c r="AD22" i="12" s="1"/>
  <c r="AC22" i="12"/>
  <c r="AC22" i="12" a="1"/>
  <c r="AB22" i="12" a="1"/>
  <c r="AB22" i="12" s="1"/>
  <c r="AA22" i="12" a="1"/>
  <c r="AA22" i="12" s="1"/>
  <c r="Z22" i="12"/>
  <c r="Z22" i="12" a="1"/>
  <c r="Y22" i="12" a="1"/>
  <c r="Y22" i="12" s="1"/>
  <c r="X22" i="12" a="1"/>
  <c r="X22" i="12" s="1"/>
  <c r="W22" i="12"/>
  <c r="W22" i="12" a="1"/>
  <c r="V22" i="12" a="1"/>
  <c r="V22" i="12" s="1"/>
  <c r="U22" i="12" a="1"/>
  <c r="U22" i="12" s="1"/>
  <c r="T22" i="12" a="1"/>
  <c r="T22" i="12" s="1"/>
  <c r="S22" i="12" a="1"/>
  <c r="S22" i="12" s="1"/>
  <c r="R22" i="12" a="1"/>
  <c r="R22" i="12" s="1"/>
  <c r="Q22" i="12" a="1"/>
  <c r="Q22" i="12" s="1"/>
  <c r="P22" i="12" a="1"/>
  <c r="P22" i="12" s="1"/>
  <c r="O22" i="12" a="1"/>
  <c r="O22" i="12" s="1"/>
  <c r="N22" i="12"/>
  <c r="N22" i="12" a="1"/>
  <c r="M22" i="12" a="1"/>
  <c r="M22" i="12" s="1"/>
  <c r="L22" i="12" a="1"/>
  <c r="L22" i="12" s="1"/>
  <c r="K22" i="12" a="1"/>
  <c r="K22" i="12" s="1"/>
  <c r="J22" i="12" a="1"/>
  <c r="J22" i="12" s="1"/>
  <c r="I22" i="12"/>
  <c r="I22" i="12" a="1"/>
  <c r="H22" i="12" a="1"/>
  <c r="H22" i="12" s="1"/>
  <c r="G22" i="12" a="1"/>
  <c r="G22" i="12" s="1"/>
  <c r="F22" i="12"/>
  <c r="F22" i="12" a="1"/>
  <c r="E22" i="12"/>
  <c r="E22" i="12" a="1"/>
  <c r="D22" i="12" a="1"/>
  <c r="D22" i="12" s="1"/>
  <c r="C22" i="12"/>
  <c r="C22" i="12" a="1"/>
  <c r="EF21" i="12" a="1"/>
  <c r="EF21" i="12" s="1"/>
  <c r="EE21" i="12" a="1"/>
  <c r="EE21" i="12" s="1"/>
  <c r="ED21" i="12" a="1"/>
  <c r="ED21" i="12" s="1"/>
  <c r="EC21" i="12" a="1"/>
  <c r="EC21" i="12" s="1"/>
  <c r="EB21" i="12" a="1"/>
  <c r="EB21" i="12" s="1"/>
  <c r="EA21" i="12" a="1"/>
  <c r="EA21" i="12" s="1"/>
  <c r="DZ21" i="12" a="1"/>
  <c r="DZ21" i="12" s="1"/>
  <c r="DY21" i="12"/>
  <c r="DY21" i="12" a="1"/>
  <c r="DX21" i="12" a="1"/>
  <c r="DX21" i="12" s="1"/>
  <c r="DW21" i="12" a="1"/>
  <c r="DW21" i="12" s="1"/>
  <c r="DV21" i="12"/>
  <c r="DV21" i="12" a="1"/>
  <c r="DU21" i="12" a="1"/>
  <c r="DU21" i="12" s="1"/>
  <c r="DT21" i="12" a="1"/>
  <c r="DT21" i="12" s="1"/>
  <c r="DS21" i="12" a="1"/>
  <c r="DS21" i="12" s="1"/>
  <c r="DR21" i="12" a="1"/>
  <c r="DR21" i="12" s="1"/>
  <c r="DQ21" i="12" a="1"/>
  <c r="DQ21" i="12" s="1"/>
  <c r="DP21" i="12"/>
  <c r="DP21" i="12" a="1"/>
  <c r="DO21" i="12" a="1"/>
  <c r="DO21" i="12" s="1"/>
  <c r="DN21" i="12" a="1"/>
  <c r="DN21" i="12" s="1"/>
  <c r="DM21" i="12" a="1"/>
  <c r="DM21" i="12" s="1"/>
  <c r="DL21" i="12"/>
  <c r="DL21" i="12" a="1"/>
  <c r="DK21" i="12" a="1"/>
  <c r="DK21" i="12" s="1"/>
  <c r="DJ21" i="12" a="1"/>
  <c r="DJ21" i="12" s="1"/>
  <c r="DI21" i="12" a="1"/>
  <c r="DI21" i="12" s="1"/>
  <c r="DH21" i="12" a="1"/>
  <c r="DH21" i="12" s="1"/>
  <c r="DG21" i="12" a="1"/>
  <c r="DG21" i="12" s="1"/>
  <c r="DF21" i="12"/>
  <c r="DF21" i="12" a="1"/>
  <c r="DE21" i="12"/>
  <c r="DE21" i="12" a="1"/>
  <c r="DD21" i="12" a="1"/>
  <c r="DD21" i="12" s="1"/>
  <c r="DC21" i="12" a="1"/>
  <c r="DC21" i="12" s="1"/>
  <c r="DB21" i="12" a="1"/>
  <c r="DB21" i="12" s="1"/>
  <c r="DA21" i="12" a="1"/>
  <c r="DA21" i="12" s="1"/>
  <c r="CZ21" i="12" a="1"/>
  <c r="CZ21" i="12" s="1"/>
  <c r="CY21" i="12"/>
  <c r="CY21" i="12" a="1"/>
  <c r="CX21" i="12" a="1"/>
  <c r="CX21" i="12" s="1"/>
  <c r="CW21" i="12"/>
  <c r="CW21" i="12" a="1"/>
  <c r="CV21" i="12" a="1"/>
  <c r="CV21" i="12" s="1"/>
  <c r="CU21" i="12" a="1"/>
  <c r="CU21" i="12" s="1"/>
  <c r="CT21" i="12" a="1"/>
  <c r="CT21" i="12" s="1"/>
  <c r="CS21" i="12" a="1"/>
  <c r="CS21" i="12" s="1"/>
  <c r="CR21" i="12"/>
  <c r="CR21" i="12" a="1"/>
  <c r="CQ21" i="12" a="1"/>
  <c r="CQ21" i="12" s="1"/>
  <c r="CP21" i="12"/>
  <c r="CP21" i="12" a="1"/>
  <c r="CO21" i="12" a="1"/>
  <c r="CO21" i="12" s="1"/>
  <c r="CN21" i="12"/>
  <c r="CN21" i="12" a="1"/>
  <c r="CM21" i="12" a="1"/>
  <c r="CM21" i="12" s="1"/>
  <c r="CL21" i="12" a="1"/>
  <c r="CL21" i="12" s="1"/>
  <c r="CK21" i="12" a="1"/>
  <c r="CK21" i="12" s="1"/>
  <c r="CJ21" i="12" a="1"/>
  <c r="CJ21" i="12" s="1"/>
  <c r="CI21" i="12"/>
  <c r="CI21" i="12" a="1"/>
  <c r="CH21" i="12"/>
  <c r="CH21" i="12" a="1"/>
  <c r="CG21" i="12" a="1"/>
  <c r="CG21" i="12" s="1"/>
  <c r="CF21" i="12" a="1"/>
  <c r="CF21" i="12" s="1"/>
  <c r="CE21" i="12" a="1"/>
  <c r="CE21" i="12" s="1"/>
  <c r="CD21" i="12" a="1"/>
  <c r="CD21" i="12" s="1"/>
  <c r="CC21" i="12" a="1"/>
  <c r="CC21" i="12" s="1"/>
  <c r="CB21" i="12" a="1"/>
  <c r="CB21" i="12" s="1"/>
  <c r="CA21" i="12" a="1"/>
  <c r="CA21" i="12" s="1"/>
  <c r="BZ21" i="12" a="1"/>
  <c r="BZ21" i="12" s="1"/>
  <c r="BY21" i="12"/>
  <c r="BY21" i="12" a="1"/>
  <c r="BX21" i="12" a="1"/>
  <c r="BX21" i="12" s="1"/>
  <c r="BW21" i="12"/>
  <c r="BW21" i="12" a="1"/>
  <c r="BV21" i="12" a="1"/>
  <c r="BV21" i="12" s="1"/>
  <c r="BU21" i="12"/>
  <c r="BU21" i="12" a="1"/>
  <c r="BT21" i="12" a="1"/>
  <c r="BT21" i="12" s="1"/>
  <c r="BS21" i="12" a="1"/>
  <c r="BS21" i="12" s="1"/>
  <c r="BR21" i="12" a="1"/>
  <c r="BR21" i="12" s="1"/>
  <c r="BQ21" i="12"/>
  <c r="BQ21" i="12" a="1"/>
  <c r="BP21" i="12" a="1"/>
  <c r="BP21" i="12" s="1"/>
  <c r="BO21" i="12" a="1"/>
  <c r="BO21" i="12" s="1"/>
  <c r="BN21" i="12" a="1"/>
  <c r="BN21" i="12" s="1"/>
  <c r="BM21" i="12" a="1"/>
  <c r="BM21" i="12" s="1"/>
  <c r="BL21" i="12"/>
  <c r="BL21" i="12" a="1"/>
  <c r="BK21" i="12" a="1"/>
  <c r="BK21" i="12" s="1"/>
  <c r="BJ21" i="12"/>
  <c r="BJ21" i="12" a="1"/>
  <c r="BI21" i="12" a="1"/>
  <c r="BI21" i="12" s="1"/>
  <c r="BH21" i="12"/>
  <c r="BH21" i="12" a="1"/>
  <c r="BG21" i="12" a="1"/>
  <c r="BG21" i="12" s="1"/>
  <c r="BF21" i="12" a="1"/>
  <c r="BF21" i="12" s="1"/>
  <c r="BE21" i="12" a="1"/>
  <c r="BE21" i="12" s="1"/>
  <c r="BD21" i="12" a="1"/>
  <c r="BD21" i="12" s="1"/>
  <c r="BC21" i="12"/>
  <c r="BC21" i="12" a="1"/>
  <c r="BB21" i="12" a="1"/>
  <c r="BB21" i="12" s="1"/>
  <c r="BA21" i="12" a="1"/>
  <c r="BA21" i="12" s="1"/>
  <c r="AZ21" i="12"/>
  <c r="AZ21" i="12" a="1"/>
  <c r="AY21" i="12" a="1"/>
  <c r="AY21" i="12" s="1"/>
  <c r="AX21" i="12" a="1"/>
  <c r="AX21" i="12" s="1"/>
  <c r="AW21" i="12"/>
  <c r="AW21" i="12" a="1"/>
  <c r="AV21" i="12"/>
  <c r="AV21" i="12" a="1"/>
  <c r="AU21" i="12" a="1"/>
  <c r="AU21" i="12" s="1"/>
  <c r="AT21" i="12"/>
  <c r="AT21" i="12" a="1"/>
  <c r="AS21" i="12" a="1"/>
  <c r="AS21" i="12" s="1"/>
  <c r="AR21" i="12" a="1"/>
  <c r="AR21" i="12" s="1"/>
  <c r="AQ21" i="12" a="1"/>
  <c r="AQ21" i="12" s="1"/>
  <c r="AP21" i="12" a="1"/>
  <c r="AP21" i="12" s="1"/>
  <c r="AO21" i="12" a="1"/>
  <c r="AO21" i="12" s="1"/>
  <c r="AN21" i="12" a="1"/>
  <c r="AN21" i="12" s="1"/>
  <c r="AM21" i="12"/>
  <c r="AM21" i="12" a="1"/>
  <c r="AL21" i="12"/>
  <c r="AL21" i="12" a="1"/>
  <c r="AK21" i="12"/>
  <c r="AK21" i="12" a="1"/>
  <c r="AJ21" i="12" a="1"/>
  <c r="AJ21" i="12" s="1"/>
  <c r="AI21" i="12"/>
  <c r="AI21" i="12" a="1"/>
  <c r="AH21" i="12" a="1"/>
  <c r="AH21" i="12" s="1"/>
  <c r="AG21" i="12" a="1"/>
  <c r="AG21" i="12" s="1"/>
  <c r="AF21" i="12"/>
  <c r="AF21" i="12" a="1"/>
  <c r="AE21" i="12"/>
  <c r="AE21" i="12" a="1"/>
  <c r="AD21" i="12" a="1"/>
  <c r="AD21" i="12" s="1"/>
  <c r="AC21" i="12"/>
  <c r="AC21" i="12" a="1"/>
  <c r="AB21" i="12"/>
  <c r="AB21" i="12" a="1"/>
  <c r="AA21" i="12" a="1"/>
  <c r="AA21" i="12" s="1"/>
  <c r="Z21" i="12" a="1"/>
  <c r="Z21" i="12" s="1"/>
  <c r="Y21" i="12" a="1"/>
  <c r="Y21" i="12" s="1"/>
  <c r="X21" i="12" a="1"/>
  <c r="X21" i="12" s="1"/>
  <c r="W21" i="12" a="1"/>
  <c r="W21" i="12" s="1"/>
  <c r="V21" i="12" a="1"/>
  <c r="V21" i="12" s="1"/>
  <c r="U21" i="12"/>
  <c r="U21" i="12" a="1"/>
  <c r="T21" i="12" a="1"/>
  <c r="T21" i="12" s="1"/>
  <c r="S21" i="12"/>
  <c r="S21" i="12" a="1"/>
  <c r="R21" i="12" a="1"/>
  <c r="R21" i="12" s="1"/>
  <c r="Q21" i="12" a="1"/>
  <c r="Q21" i="12" s="1"/>
  <c r="P21" i="12" a="1"/>
  <c r="P21" i="12" s="1"/>
  <c r="O21" i="12"/>
  <c r="O21" i="12" a="1"/>
  <c r="N21" i="12" a="1"/>
  <c r="N21" i="12" s="1"/>
  <c r="M21" i="12" a="1"/>
  <c r="M21" i="12" s="1"/>
  <c r="L21" i="12" a="1"/>
  <c r="L21" i="12" s="1"/>
  <c r="K21" i="12" a="1"/>
  <c r="K21" i="12" s="1"/>
  <c r="J21" i="12" a="1"/>
  <c r="J21" i="12" s="1"/>
  <c r="I21" i="12"/>
  <c r="I21" i="12" a="1"/>
  <c r="H21" i="12" a="1"/>
  <c r="H21" i="12" s="1"/>
  <c r="G21" i="12" a="1"/>
  <c r="G21" i="12" s="1"/>
  <c r="F21" i="12" a="1"/>
  <c r="F21" i="12" s="1"/>
  <c r="E21" i="12" a="1"/>
  <c r="E21" i="12" s="1"/>
  <c r="D21" i="12" a="1"/>
  <c r="D21" i="12" s="1"/>
  <c r="C21" i="12" a="1"/>
  <c r="C21" i="12" s="1"/>
  <c r="EF20" i="12" a="1"/>
  <c r="EF20" i="12" s="1"/>
  <c r="EE20" i="12"/>
  <c r="EE20" i="12" a="1"/>
  <c r="ED20" i="12" a="1"/>
  <c r="ED20" i="12" s="1"/>
  <c r="EC20" i="12"/>
  <c r="EC20" i="12" a="1"/>
  <c r="EB20" i="12"/>
  <c r="EB20" i="12" a="1"/>
  <c r="EA20" i="12" a="1"/>
  <c r="EA20" i="12" s="1"/>
  <c r="DZ20" i="12" a="1"/>
  <c r="DZ20" i="12" s="1"/>
  <c r="DY20" i="12" a="1"/>
  <c r="DY20" i="12" s="1"/>
  <c r="DX20" i="12" a="1"/>
  <c r="DX20" i="12" s="1"/>
  <c r="DW20" i="12" a="1"/>
  <c r="DW20" i="12" s="1"/>
  <c r="DV20" i="12"/>
  <c r="DV20" i="12" a="1"/>
  <c r="DU20" i="12" a="1"/>
  <c r="DU20" i="12" s="1"/>
  <c r="DT20" i="12" a="1"/>
  <c r="DT20" i="12" s="1"/>
  <c r="DS20" i="12" a="1"/>
  <c r="DS20" i="12" s="1"/>
  <c r="DR20" i="12" a="1"/>
  <c r="DR20" i="12" s="1"/>
  <c r="DQ20" i="12" a="1"/>
  <c r="DQ20" i="12" s="1"/>
  <c r="DP20" i="12" a="1"/>
  <c r="DP20" i="12" s="1"/>
  <c r="DO20" i="12" a="1"/>
  <c r="DO20" i="12" s="1"/>
  <c r="DN20" i="12" a="1"/>
  <c r="DN20" i="12" s="1"/>
  <c r="DM20" i="12" a="1"/>
  <c r="DM20" i="12" s="1"/>
  <c r="DL20" i="12" a="1"/>
  <c r="DL20" i="12" s="1"/>
  <c r="DK20" i="12"/>
  <c r="DK20" i="12" a="1"/>
  <c r="DJ20" i="12" a="1"/>
  <c r="DJ20" i="12" s="1"/>
  <c r="DI20" i="12" a="1"/>
  <c r="DI20" i="12" s="1"/>
  <c r="DH20" i="12" a="1"/>
  <c r="DH20" i="12" s="1"/>
  <c r="DG20" i="12" a="1"/>
  <c r="DG20" i="12" s="1"/>
  <c r="DF20" i="12" a="1"/>
  <c r="DF20" i="12" s="1"/>
  <c r="DE20" i="12"/>
  <c r="DE20" i="12" a="1"/>
  <c r="DD20" i="12" a="1"/>
  <c r="DD20" i="12" s="1"/>
  <c r="DC20" i="12" a="1"/>
  <c r="DC20" i="12" s="1"/>
  <c r="DB20" i="12" a="1"/>
  <c r="DB20" i="12" s="1"/>
  <c r="DA20" i="12" a="1"/>
  <c r="DA20" i="12" s="1"/>
  <c r="CZ20" i="12" a="1"/>
  <c r="CZ20" i="12" s="1"/>
  <c r="CY20" i="12" a="1"/>
  <c r="CY20" i="12" s="1"/>
  <c r="CX20" i="12" a="1"/>
  <c r="CX20" i="12" s="1"/>
  <c r="CW20" i="12" a="1"/>
  <c r="CW20" i="12" s="1"/>
  <c r="CV20" i="12" a="1"/>
  <c r="CV20" i="12" s="1"/>
  <c r="CU20" i="12" a="1"/>
  <c r="CU20" i="12" s="1"/>
  <c r="CT20" i="12"/>
  <c r="CT20" i="12" a="1"/>
  <c r="CS20" i="12" a="1"/>
  <c r="CS20" i="12" s="1"/>
  <c r="CR20" i="12" a="1"/>
  <c r="CR20" i="12" s="1"/>
  <c r="CQ20" i="12" a="1"/>
  <c r="CQ20" i="12" s="1"/>
  <c r="CP20" i="12"/>
  <c r="CP20" i="12" a="1"/>
  <c r="CO20" i="12" a="1"/>
  <c r="CO20" i="12" s="1"/>
  <c r="CN20" i="12"/>
  <c r="CN20" i="12" a="1"/>
  <c r="CM20" i="12" a="1"/>
  <c r="CM20" i="12" s="1"/>
  <c r="CL20" i="12"/>
  <c r="CL20" i="12" a="1"/>
  <c r="CK20" i="12" a="1"/>
  <c r="CK20" i="12" s="1"/>
  <c r="CJ20" i="12" a="1"/>
  <c r="CJ20" i="12" s="1"/>
  <c r="CI20" i="12" a="1"/>
  <c r="CI20" i="12" s="1"/>
  <c r="CH20" i="12" a="1"/>
  <c r="CH20" i="12" s="1"/>
  <c r="CG20" i="12" a="1"/>
  <c r="CG20" i="12" s="1"/>
  <c r="CF20" i="12" a="1"/>
  <c r="CF20" i="12" s="1"/>
  <c r="CE20" i="12" a="1"/>
  <c r="CE20" i="12" s="1"/>
  <c r="CD20" i="12" a="1"/>
  <c r="CD20" i="12" s="1"/>
  <c r="CC20" i="12"/>
  <c r="CC20" i="12" a="1"/>
  <c r="CB20" i="12" a="1"/>
  <c r="CB20" i="12" s="1"/>
  <c r="CA20" i="12" a="1"/>
  <c r="CA20" i="12" s="1"/>
  <c r="BZ20" i="12" a="1"/>
  <c r="BZ20" i="12" s="1"/>
  <c r="BY20" i="12" a="1"/>
  <c r="BY20" i="12" s="1"/>
  <c r="BX20" i="12" a="1"/>
  <c r="BX20" i="12" s="1"/>
  <c r="BW20" i="12"/>
  <c r="BW20" i="12" a="1"/>
  <c r="BV20" i="12" a="1"/>
  <c r="BV20" i="12" s="1"/>
  <c r="BU20" i="12"/>
  <c r="BU20" i="12" a="1"/>
  <c r="BT20" i="12" a="1"/>
  <c r="BT20" i="12" s="1"/>
  <c r="BS20" i="12" a="1"/>
  <c r="BS20" i="12" s="1"/>
  <c r="BR20" i="12" a="1"/>
  <c r="BR20" i="12" s="1"/>
  <c r="BQ20" i="12" a="1"/>
  <c r="BQ20" i="12" s="1"/>
  <c r="BP20" i="12" a="1"/>
  <c r="BP20" i="12" s="1"/>
  <c r="BO20" i="12" a="1"/>
  <c r="BO20" i="12" s="1"/>
  <c r="BN20" i="12" a="1"/>
  <c r="BN20" i="12" s="1"/>
  <c r="BM20" i="12" a="1"/>
  <c r="BM20" i="12" s="1"/>
  <c r="BL20" i="12" a="1"/>
  <c r="BL20" i="12" s="1"/>
  <c r="BK20" i="12" a="1"/>
  <c r="BK20" i="12" s="1"/>
  <c r="BJ20" i="12"/>
  <c r="BJ20" i="12" a="1"/>
  <c r="BI20" i="12" a="1"/>
  <c r="BI20" i="12" s="1"/>
  <c r="BH20" i="12" a="1"/>
  <c r="BH20" i="12" s="1"/>
  <c r="BG20" i="12"/>
  <c r="BG20" i="12" a="1"/>
  <c r="BF20" i="12"/>
  <c r="BF20" i="12" a="1"/>
  <c r="BE20" i="12" a="1"/>
  <c r="BE20" i="12" s="1"/>
  <c r="BD20" i="12" a="1"/>
  <c r="BD20" i="12" s="1"/>
  <c r="BC20" i="12"/>
  <c r="BC20" i="12" a="1"/>
  <c r="BB20" i="12" a="1"/>
  <c r="BB20" i="12" s="1"/>
  <c r="BA20" i="12"/>
  <c r="BA20" i="12" a="1"/>
  <c r="AZ20" i="12" a="1"/>
  <c r="AZ20" i="12" s="1"/>
  <c r="AY20" i="12" a="1"/>
  <c r="AY20" i="12" s="1"/>
  <c r="AX20" i="12"/>
  <c r="AX20" i="12" a="1"/>
  <c r="AW20" i="12" a="1"/>
  <c r="AW20" i="12" s="1"/>
  <c r="AV20" i="12" a="1"/>
  <c r="AV20" i="12" s="1"/>
  <c r="AU20" i="12" a="1"/>
  <c r="AU20" i="12" s="1"/>
  <c r="AT20" i="12" a="1"/>
  <c r="AT20" i="12" s="1"/>
  <c r="AS20" i="12" a="1"/>
  <c r="AS20" i="12" s="1"/>
  <c r="AR20" i="12" a="1"/>
  <c r="AR20" i="12" s="1"/>
  <c r="AQ20" i="12" a="1"/>
  <c r="AQ20" i="12" s="1"/>
  <c r="AP20" i="12" a="1"/>
  <c r="AP20" i="12" s="1"/>
  <c r="AO20" i="12"/>
  <c r="AO20" i="12" a="1"/>
  <c r="AN20" i="12" a="1"/>
  <c r="AN20" i="12" s="1"/>
  <c r="AM20" i="12" a="1"/>
  <c r="AM20" i="12" s="1"/>
  <c r="AL20" i="12"/>
  <c r="AL20" i="12" a="1"/>
  <c r="AK20" i="12" a="1"/>
  <c r="AK20" i="12" s="1"/>
  <c r="AJ20" i="12" a="1"/>
  <c r="AJ20" i="12" s="1"/>
  <c r="AI20" i="12" a="1"/>
  <c r="AI20" i="12" s="1"/>
  <c r="AH20" i="12" a="1"/>
  <c r="AH20" i="12" s="1"/>
  <c r="AG20" i="12" a="1"/>
  <c r="AG20" i="12" s="1"/>
  <c r="AF20" i="12" a="1"/>
  <c r="AF20" i="12" s="1"/>
  <c r="AE20" i="12" a="1"/>
  <c r="AE20" i="12" s="1"/>
  <c r="AD20" i="12" a="1"/>
  <c r="AD20" i="12" s="1"/>
  <c r="AC20" i="12" a="1"/>
  <c r="AC20" i="12" s="1"/>
  <c r="AB20" i="12" a="1"/>
  <c r="AB20" i="12" s="1"/>
  <c r="AA20" i="12" a="1"/>
  <c r="AA20" i="12" s="1"/>
  <c r="Z20" i="12" a="1"/>
  <c r="Z20" i="12" s="1"/>
  <c r="Y20" i="12" a="1"/>
  <c r="Y20" i="12" s="1"/>
  <c r="X20" i="12" a="1"/>
  <c r="X20" i="12" s="1"/>
  <c r="W20" i="12" a="1"/>
  <c r="W20" i="12" s="1"/>
  <c r="V20" i="12" a="1"/>
  <c r="V20" i="12" s="1"/>
  <c r="U20" i="12"/>
  <c r="U20" i="12" a="1"/>
  <c r="T20" i="12" a="1"/>
  <c r="T20" i="12" s="1"/>
  <c r="S20" i="12" a="1"/>
  <c r="S20" i="12" s="1"/>
  <c r="R20" i="12" a="1"/>
  <c r="R20" i="12" s="1"/>
  <c r="Q20" i="12" a="1"/>
  <c r="Q20" i="12" s="1"/>
  <c r="P20" i="12" a="1"/>
  <c r="P20" i="12" s="1"/>
  <c r="O20" i="12"/>
  <c r="O20" i="12" a="1"/>
  <c r="N20" i="12" a="1"/>
  <c r="N20" i="12" s="1"/>
  <c r="M20" i="12" a="1"/>
  <c r="M20" i="12" s="1"/>
  <c r="L20" i="12" a="1"/>
  <c r="L20" i="12" s="1"/>
  <c r="K20" i="12" a="1"/>
  <c r="K20" i="12" s="1"/>
  <c r="J20" i="12" a="1"/>
  <c r="J20" i="12" s="1"/>
  <c r="I20" i="12" a="1"/>
  <c r="I20" i="12" s="1"/>
  <c r="H20" i="12" a="1"/>
  <c r="H20" i="12" s="1"/>
  <c r="G20" i="12" a="1"/>
  <c r="G20" i="12" s="1"/>
  <c r="F20" i="12" a="1"/>
  <c r="F20" i="12" s="1"/>
  <c r="E20" i="12" a="1"/>
  <c r="E20" i="12" s="1"/>
  <c r="D20" i="12"/>
  <c r="D20" i="12" a="1"/>
  <c r="C20" i="12"/>
  <c r="C20" i="12" a="1"/>
  <c r="EF19" i="12" a="1"/>
  <c r="EF19" i="12" s="1"/>
  <c r="EE19" i="12" a="1"/>
  <c r="EE19" i="12" s="1"/>
  <c r="ED19" i="12" a="1"/>
  <c r="ED19" i="12" s="1"/>
  <c r="EC19" i="12" a="1"/>
  <c r="EC19" i="12" s="1"/>
  <c r="EB19" i="12"/>
  <c r="EB19" i="12" a="1"/>
  <c r="EA19" i="12" a="1"/>
  <c r="EA19" i="12" s="1"/>
  <c r="DZ19" i="12" a="1"/>
  <c r="DZ19" i="12" s="1"/>
  <c r="DY19" i="12" a="1"/>
  <c r="DY19" i="12" s="1"/>
  <c r="DX19" i="12"/>
  <c r="DX19" i="12" a="1"/>
  <c r="DW19" i="12" a="1"/>
  <c r="DW19" i="12" s="1"/>
  <c r="DV19" i="12" a="1"/>
  <c r="DV19" i="12" s="1"/>
  <c r="DU19" i="12" a="1"/>
  <c r="DU19" i="12" s="1"/>
  <c r="DT19" i="12"/>
  <c r="DT19" i="12" a="1"/>
  <c r="DS19" i="12" a="1"/>
  <c r="DS19" i="12" s="1"/>
  <c r="DR19" i="12" a="1"/>
  <c r="DR19" i="12" s="1"/>
  <c r="DQ19" i="12" a="1"/>
  <c r="DQ19" i="12" s="1"/>
  <c r="DP19" i="12" a="1"/>
  <c r="DP19" i="12" s="1"/>
  <c r="DO19" i="12" a="1"/>
  <c r="DO19" i="12" s="1"/>
  <c r="DN19" i="12" a="1"/>
  <c r="DN19" i="12" s="1"/>
  <c r="DM19" i="12" a="1"/>
  <c r="DM19" i="12" s="1"/>
  <c r="DL19" i="12"/>
  <c r="DL19" i="12" a="1"/>
  <c r="DK19" i="12" a="1"/>
  <c r="DK19" i="12" s="1"/>
  <c r="DJ19" i="12" a="1"/>
  <c r="DJ19" i="12" s="1"/>
  <c r="DI19" i="12" a="1"/>
  <c r="DI19" i="12" s="1"/>
  <c r="DH19" i="12"/>
  <c r="DH19" i="12" a="1"/>
  <c r="DG19" i="12" a="1"/>
  <c r="DG19" i="12" s="1"/>
  <c r="DF19" i="12" a="1"/>
  <c r="DF19" i="12" s="1"/>
  <c r="DE19" i="12" a="1"/>
  <c r="DE19" i="12" s="1"/>
  <c r="DD19" i="12"/>
  <c r="DD19" i="12" a="1"/>
  <c r="DC19" i="12" a="1"/>
  <c r="DC19" i="12" s="1"/>
  <c r="DB19" i="12" a="1"/>
  <c r="DB19" i="12" s="1"/>
  <c r="DA19" i="12" a="1"/>
  <c r="DA19" i="12" s="1"/>
  <c r="CZ19" i="12" a="1"/>
  <c r="CZ19" i="12" s="1"/>
  <c r="CY19" i="12" a="1"/>
  <c r="CY19" i="12" s="1"/>
  <c r="CX19" i="12" a="1"/>
  <c r="CX19" i="12" s="1"/>
  <c r="CW19" i="12" a="1"/>
  <c r="CW19" i="12" s="1"/>
  <c r="CV19" i="12"/>
  <c r="CV19" i="12" a="1"/>
  <c r="CU19" i="12" a="1"/>
  <c r="CU19" i="12" s="1"/>
  <c r="CT19" i="12"/>
  <c r="CT19" i="12" a="1"/>
  <c r="CS19" i="12" a="1"/>
  <c r="CS19" i="12" s="1"/>
  <c r="CR19" i="12" a="1"/>
  <c r="CR19" i="12" s="1"/>
  <c r="CQ19" i="12" a="1"/>
  <c r="CQ19" i="12" s="1"/>
  <c r="CP19" i="12" a="1"/>
  <c r="CP19" i="12" s="1"/>
  <c r="CO19" i="12"/>
  <c r="CO19" i="12" a="1"/>
  <c r="CN19" i="12"/>
  <c r="CN19" i="12" a="1"/>
  <c r="CM19" i="12" a="1"/>
  <c r="CM19" i="12" s="1"/>
  <c r="CL19" i="12" a="1"/>
  <c r="CL19" i="12" s="1"/>
  <c r="CK19" i="12" a="1"/>
  <c r="CK19" i="12" s="1"/>
  <c r="CJ19" i="12"/>
  <c r="CJ19" i="12" a="1"/>
  <c r="CI19" i="12" a="1"/>
  <c r="CI19" i="12" s="1"/>
  <c r="CH19" i="12" a="1"/>
  <c r="CH19" i="12" s="1"/>
  <c r="CG19" i="12" a="1"/>
  <c r="CG19" i="12" s="1"/>
  <c r="CF19" i="12"/>
  <c r="CF19" i="12" a="1"/>
  <c r="CE19" i="12" a="1"/>
  <c r="CE19" i="12" s="1"/>
  <c r="CD19" i="12"/>
  <c r="CD19" i="12" a="1"/>
  <c r="CC19" i="12" a="1"/>
  <c r="CC19" i="12" s="1"/>
  <c r="CB19" i="12" a="1"/>
  <c r="CB19" i="12" s="1"/>
  <c r="CA19" i="12"/>
  <c r="CA19" i="12" a="1"/>
  <c r="BZ19" i="12"/>
  <c r="BZ19" i="12" a="1"/>
  <c r="BY19" i="12" a="1"/>
  <c r="BY19" i="12" s="1"/>
  <c r="BX19" i="12"/>
  <c r="BX19" i="12" a="1"/>
  <c r="BW19" i="12" a="1"/>
  <c r="BW19" i="12" s="1"/>
  <c r="BV19" i="12" a="1"/>
  <c r="BV19" i="12" s="1"/>
  <c r="BU19" i="12" a="1"/>
  <c r="BU19" i="12" s="1"/>
  <c r="BT19" i="12" a="1"/>
  <c r="BT19" i="12" s="1"/>
  <c r="BS19" i="12" a="1"/>
  <c r="BS19" i="12" s="1"/>
  <c r="BR19" i="12" a="1"/>
  <c r="BR19" i="12" s="1"/>
  <c r="BQ19" i="12" a="1"/>
  <c r="BQ19" i="12" s="1"/>
  <c r="BP19" i="12"/>
  <c r="BP19" i="12" a="1"/>
  <c r="BO19" i="12" a="1"/>
  <c r="BO19" i="12" s="1"/>
  <c r="BN19" i="12" a="1"/>
  <c r="BN19" i="12" s="1"/>
  <c r="BM19" i="12" a="1"/>
  <c r="BM19" i="12" s="1"/>
  <c r="BL19" i="12" a="1"/>
  <c r="BL19" i="12" s="1"/>
  <c r="BK19" i="12" a="1"/>
  <c r="BK19" i="12" s="1"/>
  <c r="BJ19" i="12" a="1"/>
  <c r="BJ19" i="12" s="1"/>
  <c r="BI19" i="12" a="1"/>
  <c r="BI19" i="12" s="1"/>
  <c r="BH19" i="12"/>
  <c r="BH19" i="12" a="1"/>
  <c r="BG19" i="12" a="1"/>
  <c r="BG19" i="12" s="1"/>
  <c r="BF19" i="12"/>
  <c r="BF19" i="12" a="1"/>
  <c r="BE19" i="12" a="1"/>
  <c r="BE19" i="12" s="1"/>
  <c r="BD19" i="12" a="1"/>
  <c r="BD19" i="12" s="1"/>
  <c r="BC19" i="12" a="1"/>
  <c r="BC19" i="12" s="1"/>
  <c r="BB19" i="12" a="1"/>
  <c r="BB19" i="12" s="1"/>
  <c r="BA19" i="12" a="1"/>
  <c r="BA19" i="12" s="1"/>
  <c r="AZ19" i="12" a="1"/>
  <c r="AZ19" i="12" s="1"/>
  <c r="AY19" i="12" a="1"/>
  <c r="AY19" i="12" s="1"/>
  <c r="AX19" i="12" a="1"/>
  <c r="AX19" i="12" s="1"/>
  <c r="AW19" i="12" a="1"/>
  <c r="AW19" i="12" s="1"/>
  <c r="AV19" i="12" a="1"/>
  <c r="AV19" i="12" s="1"/>
  <c r="AU19" i="12"/>
  <c r="AU19" i="12" a="1"/>
  <c r="AT19" i="12" a="1"/>
  <c r="AT19" i="12" s="1"/>
  <c r="AS19" i="12" a="1"/>
  <c r="AS19" i="12" s="1"/>
  <c r="AR19" i="12" a="1"/>
  <c r="AR19" i="12" s="1"/>
  <c r="AQ19" i="12" a="1"/>
  <c r="AQ19" i="12" s="1"/>
  <c r="AP19" i="12" a="1"/>
  <c r="AP19" i="12" s="1"/>
  <c r="AO19" i="12" a="1"/>
  <c r="AO19" i="12" s="1"/>
  <c r="AN19" i="12" a="1"/>
  <c r="AN19" i="12" s="1"/>
  <c r="AM19" i="12" a="1"/>
  <c r="AM19" i="12" s="1"/>
  <c r="AL19" i="12" a="1"/>
  <c r="AL19" i="12" s="1"/>
  <c r="AK19" i="12"/>
  <c r="AK19" i="12" a="1"/>
  <c r="AJ19" i="12" a="1"/>
  <c r="AJ19" i="12" s="1"/>
  <c r="AI19" i="12" a="1"/>
  <c r="AI19" i="12" s="1"/>
  <c r="AH19" i="12" a="1"/>
  <c r="AH19" i="12" s="1"/>
  <c r="AG19" i="12" a="1"/>
  <c r="AG19" i="12" s="1"/>
  <c r="AF19" i="12" a="1"/>
  <c r="AF19" i="12" s="1"/>
  <c r="AE19" i="12" a="1"/>
  <c r="AE19" i="12" s="1"/>
  <c r="AD19" i="12" a="1"/>
  <c r="AD19" i="12" s="1"/>
  <c r="AC19" i="12" a="1"/>
  <c r="AC19" i="12" s="1"/>
  <c r="AB19" i="12"/>
  <c r="AB19" i="12" a="1"/>
  <c r="AA19" i="12" a="1"/>
  <c r="AA19" i="12" s="1"/>
  <c r="Z19" i="12" a="1"/>
  <c r="Z19" i="12" s="1"/>
  <c r="Y19" i="12" a="1"/>
  <c r="Y19" i="12" s="1"/>
  <c r="X19" i="12" a="1"/>
  <c r="X19" i="12" s="1"/>
  <c r="W19" i="12" a="1"/>
  <c r="W19" i="12" s="1"/>
  <c r="V19" i="12" a="1"/>
  <c r="V19" i="12" s="1"/>
  <c r="U19" i="12" a="1"/>
  <c r="U19" i="12" s="1"/>
  <c r="T19" i="12" a="1"/>
  <c r="T19" i="12" s="1"/>
  <c r="S19" i="12" a="1"/>
  <c r="S19" i="12" s="1"/>
  <c r="R19" i="12"/>
  <c r="R19" i="12" a="1"/>
  <c r="Q19" i="12" a="1"/>
  <c r="Q19" i="12" s="1"/>
  <c r="P19" i="12" a="1"/>
  <c r="P19" i="12" s="1"/>
  <c r="O19" i="12" a="1"/>
  <c r="O19" i="12" s="1"/>
  <c r="N19" i="12" a="1"/>
  <c r="N19" i="12" s="1"/>
  <c r="M19" i="12"/>
  <c r="M19" i="12" a="1"/>
  <c r="L19" i="12" a="1"/>
  <c r="L19" i="12" s="1"/>
  <c r="K19" i="12" a="1"/>
  <c r="K19" i="12" s="1"/>
  <c r="J19" i="12" a="1"/>
  <c r="J19" i="12" s="1"/>
  <c r="I19" i="12" a="1"/>
  <c r="I19" i="12" s="1"/>
  <c r="H19" i="12" a="1"/>
  <c r="H19" i="12" s="1"/>
  <c r="G19" i="12" a="1"/>
  <c r="G19" i="12" s="1"/>
  <c r="F19" i="12" a="1"/>
  <c r="F19" i="12" s="1"/>
  <c r="E19" i="12" a="1"/>
  <c r="E19" i="12" s="1"/>
  <c r="D19" i="12" a="1"/>
  <c r="D19" i="12" s="1"/>
  <c r="C19" i="12" a="1"/>
  <c r="C19" i="12" s="1"/>
  <c r="EF18" i="12" a="1"/>
  <c r="EF18" i="12" s="1"/>
  <c r="EE18" i="12" a="1"/>
  <c r="EE18" i="12" s="1"/>
  <c r="ED18" i="12" a="1"/>
  <c r="ED18" i="12" s="1"/>
  <c r="EC18" i="12" a="1"/>
  <c r="EC18" i="12" s="1"/>
  <c r="EB18" i="12" a="1"/>
  <c r="EB18" i="12" s="1"/>
  <c r="EA18" i="12"/>
  <c r="EA18" i="12" a="1"/>
  <c r="DZ18" i="12" a="1"/>
  <c r="DZ18" i="12" s="1"/>
  <c r="DY18" i="12" a="1"/>
  <c r="DY18" i="12" s="1"/>
  <c r="DX18" i="12" a="1"/>
  <c r="DX18" i="12" s="1"/>
  <c r="DW18" i="12" a="1"/>
  <c r="DW18" i="12" s="1"/>
  <c r="DV18" i="12" a="1"/>
  <c r="DV18" i="12" s="1"/>
  <c r="DU18" i="12" a="1"/>
  <c r="DU18" i="12" s="1"/>
  <c r="DT18" i="12" a="1"/>
  <c r="DT18" i="12" s="1"/>
  <c r="DS18" i="12" a="1"/>
  <c r="DS18" i="12" s="1"/>
  <c r="DR18" i="12" a="1"/>
  <c r="DR18" i="12" s="1"/>
  <c r="DQ18" i="12" a="1"/>
  <c r="DQ18" i="12" s="1"/>
  <c r="DP18" i="12"/>
  <c r="DP18" i="12" a="1"/>
  <c r="DO18" i="12" a="1"/>
  <c r="DO18" i="12" s="1"/>
  <c r="DN18" i="12" a="1"/>
  <c r="DN18" i="12" s="1"/>
  <c r="DM18" i="12" a="1"/>
  <c r="DM18" i="12" s="1"/>
  <c r="DL18" i="12" a="1"/>
  <c r="DL18" i="12" s="1"/>
  <c r="DK18" i="12" a="1"/>
  <c r="DK18" i="12" s="1"/>
  <c r="DJ18" i="12" a="1"/>
  <c r="DJ18" i="12" s="1"/>
  <c r="DI18" i="12" a="1"/>
  <c r="DI18" i="12" s="1"/>
  <c r="DH18" i="12" a="1"/>
  <c r="DH18" i="12" s="1"/>
  <c r="DG18" i="12" a="1"/>
  <c r="DG18" i="12" s="1"/>
  <c r="DF18" i="12"/>
  <c r="DF18" i="12" a="1"/>
  <c r="DE18" i="12" a="1"/>
  <c r="DE18" i="12" s="1"/>
  <c r="DD18" i="12" a="1"/>
  <c r="DD18" i="12" s="1"/>
  <c r="DC18" i="12" a="1"/>
  <c r="DC18" i="12" s="1"/>
  <c r="DB18" i="12" a="1"/>
  <c r="DB18" i="12" s="1"/>
  <c r="DA18" i="12" a="1"/>
  <c r="DA18" i="12" s="1"/>
  <c r="CZ18" i="12" a="1"/>
  <c r="CZ18" i="12" s="1"/>
  <c r="CY18" i="12" a="1"/>
  <c r="CY18" i="12" s="1"/>
  <c r="CX18" i="12" a="1"/>
  <c r="CX18" i="12" s="1"/>
  <c r="CW18" i="12" a="1"/>
  <c r="CW18" i="12" s="1"/>
  <c r="CV18" i="12"/>
  <c r="CV18" i="12" a="1"/>
  <c r="CU18" i="12" a="1"/>
  <c r="CU18" i="12" s="1"/>
  <c r="CT18" i="12" a="1"/>
  <c r="CT18" i="12" s="1"/>
  <c r="CS18" i="12" a="1"/>
  <c r="CS18" i="12" s="1"/>
  <c r="CR18" i="12" a="1"/>
  <c r="CR18" i="12" s="1"/>
  <c r="CQ18" i="12" a="1"/>
  <c r="CQ18" i="12" s="1"/>
  <c r="CP18" i="12" a="1"/>
  <c r="CP18" i="12" s="1"/>
  <c r="CO18" i="12" a="1"/>
  <c r="CO18" i="12" s="1"/>
  <c r="CN18" i="12" a="1"/>
  <c r="CN18" i="12" s="1"/>
  <c r="CM18" i="12"/>
  <c r="CM18" i="12" a="1"/>
  <c r="CL18" i="12" a="1"/>
  <c r="CL18" i="12" s="1"/>
  <c r="CK18" i="12" a="1"/>
  <c r="CK18" i="12" s="1"/>
  <c r="CJ18" i="12"/>
  <c r="CJ18" i="12" a="1"/>
  <c r="CI18" i="12" a="1"/>
  <c r="CI18" i="12" s="1"/>
  <c r="CH18" i="12" a="1"/>
  <c r="CH18" i="12" s="1"/>
  <c r="CG18" i="12" a="1"/>
  <c r="CG18" i="12" s="1"/>
  <c r="CF18" i="12" a="1"/>
  <c r="CF18" i="12" s="1"/>
  <c r="CE18" i="12" a="1"/>
  <c r="CE18" i="12" s="1"/>
  <c r="CD18" i="12" a="1"/>
  <c r="CD18" i="12" s="1"/>
  <c r="CC18" i="12" a="1"/>
  <c r="CC18" i="12" s="1"/>
  <c r="CB18" i="12" a="1"/>
  <c r="CB18" i="12" s="1"/>
  <c r="CA18" i="12" a="1"/>
  <c r="CA18" i="12" s="1"/>
  <c r="BZ18" i="12" a="1"/>
  <c r="BZ18" i="12" s="1"/>
  <c r="BY18" i="12" a="1"/>
  <c r="BY18" i="12" s="1"/>
  <c r="BX18" i="12" a="1"/>
  <c r="BX18" i="12" s="1"/>
  <c r="BW18" i="12" a="1"/>
  <c r="BW18" i="12" s="1"/>
  <c r="BV18" i="12" a="1"/>
  <c r="BV18" i="12" s="1"/>
  <c r="BU18" i="12" a="1"/>
  <c r="BU18" i="12" s="1"/>
  <c r="BT18" i="12" a="1"/>
  <c r="BT18" i="12" s="1"/>
  <c r="BS18" i="12" a="1"/>
  <c r="BS18" i="12" s="1"/>
  <c r="BR18" i="12"/>
  <c r="BR18" i="12" a="1"/>
  <c r="BQ18" i="12" a="1"/>
  <c r="BQ18" i="12" s="1"/>
  <c r="BP18" i="12" a="1"/>
  <c r="BP18" i="12" s="1"/>
  <c r="BO18" i="12" a="1"/>
  <c r="BO18" i="12" s="1"/>
  <c r="BN18" i="12"/>
  <c r="BN18" i="12" a="1"/>
  <c r="BM18" i="12" a="1"/>
  <c r="BM18" i="12" s="1"/>
  <c r="BL18" i="12" a="1"/>
  <c r="BL18" i="12" s="1"/>
  <c r="BK18" i="12" a="1"/>
  <c r="BK18" i="12" s="1"/>
  <c r="BJ18" i="12" a="1"/>
  <c r="BJ18" i="12" s="1"/>
  <c r="BI18" i="12" a="1"/>
  <c r="BI18" i="12" s="1"/>
  <c r="BH18" i="12" a="1"/>
  <c r="BH18" i="12" s="1"/>
  <c r="BG18" i="12" a="1"/>
  <c r="BG18" i="12" s="1"/>
  <c r="BF18" i="12" a="1"/>
  <c r="BF18" i="12" s="1"/>
  <c r="BE18" i="12" a="1"/>
  <c r="BE18" i="12" s="1"/>
  <c r="BD18" i="12" a="1"/>
  <c r="BD18" i="12" s="1"/>
  <c r="BC18" i="12" a="1"/>
  <c r="BC18" i="12" s="1"/>
  <c r="BB18" i="12"/>
  <c r="BB18" i="12" a="1"/>
  <c r="BA18" i="12" a="1"/>
  <c r="BA18" i="12" s="1"/>
  <c r="AZ18" i="12" a="1"/>
  <c r="AZ18" i="12" s="1"/>
  <c r="AY18" i="12" a="1"/>
  <c r="AY18" i="12" s="1"/>
  <c r="AX18" i="12" a="1"/>
  <c r="AX18" i="12" s="1"/>
  <c r="AW18" i="12" a="1"/>
  <c r="AW18" i="12" s="1"/>
  <c r="AV18" i="12" a="1"/>
  <c r="AV18" i="12" s="1"/>
  <c r="AU18" i="12" a="1"/>
  <c r="AU18" i="12" s="1"/>
  <c r="AT18" i="12" a="1"/>
  <c r="AT18" i="12" s="1"/>
  <c r="AS18" i="12" a="1"/>
  <c r="AS18" i="12" s="1"/>
  <c r="AR18" i="12" a="1"/>
  <c r="AR18" i="12" s="1"/>
  <c r="AQ18" i="12"/>
  <c r="AQ18" i="12" a="1"/>
  <c r="AP18" i="12" a="1"/>
  <c r="AP18" i="12" s="1"/>
  <c r="AO18" i="12" a="1"/>
  <c r="AO18" i="12" s="1"/>
  <c r="AN18" i="12" a="1"/>
  <c r="AN18" i="12" s="1"/>
  <c r="AM18" i="12" a="1"/>
  <c r="AM18" i="12" s="1"/>
  <c r="AL18" i="12" a="1"/>
  <c r="AL18" i="12" s="1"/>
  <c r="AK18" i="12" a="1"/>
  <c r="AK18" i="12" s="1"/>
  <c r="AJ18" i="12" a="1"/>
  <c r="AJ18" i="12" s="1"/>
  <c r="AI18" i="12" a="1"/>
  <c r="AI18" i="12" s="1"/>
  <c r="AH18" i="12" a="1"/>
  <c r="AH18" i="12" s="1"/>
  <c r="AG18" i="12" a="1"/>
  <c r="AG18" i="12" s="1"/>
  <c r="AF18" i="12"/>
  <c r="AF18" i="12" a="1"/>
  <c r="AE18" i="12" a="1"/>
  <c r="AE18" i="12" s="1"/>
  <c r="AD18" i="12"/>
  <c r="AD18" i="12" a="1"/>
  <c r="AC18" i="12" a="1"/>
  <c r="AC18" i="12" s="1"/>
  <c r="AB18" i="12" a="1"/>
  <c r="AB18" i="12" s="1"/>
  <c r="AA18" i="12" a="1"/>
  <c r="AA18" i="12" s="1"/>
  <c r="Z18" i="12" a="1"/>
  <c r="Z18" i="12" s="1"/>
  <c r="Y18" i="12" a="1"/>
  <c r="Y18" i="12" s="1"/>
  <c r="X18" i="12"/>
  <c r="X18" i="12" a="1"/>
  <c r="W18" i="12" a="1"/>
  <c r="W18" i="12" s="1"/>
  <c r="V18" i="12" a="1"/>
  <c r="V18" i="12" s="1"/>
  <c r="U18" i="12" a="1"/>
  <c r="U18" i="12" s="1"/>
  <c r="T18" i="12"/>
  <c r="T18" i="12" a="1"/>
  <c r="S18" i="12" a="1"/>
  <c r="S18" i="12" s="1"/>
  <c r="R18" i="12" a="1"/>
  <c r="R18" i="12" s="1"/>
  <c r="Q18" i="12" a="1"/>
  <c r="Q18" i="12" s="1"/>
  <c r="P18" i="12" a="1"/>
  <c r="P18" i="12" s="1"/>
  <c r="O18" i="12" a="1"/>
  <c r="O18" i="12" s="1"/>
  <c r="N18" i="12" a="1"/>
  <c r="N18" i="12" s="1"/>
  <c r="M18" i="12" a="1"/>
  <c r="M18" i="12" s="1"/>
  <c r="L18" i="12" a="1"/>
  <c r="L18" i="12" s="1"/>
  <c r="K18" i="12" a="1"/>
  <c r="K18" i="12" s="1"/>
  <c r="J18" i="12"/>
  <c r="J18" i="12" a="1"/>
  <c r="I18" i="12" a="1"/>
  <c r="I18" i="12" s="1"/>
  <c r="H18" i="12" a="1"/>
  <c r="H18" i="12" s="1"/>
  <c r="G18" i="12" a="1"/>
  <c r="G18" i="12" s="1"/>
  <c r="F18" i="12" a="1"/>
  <c r="F18" i="12" s="1"/>
  <c r="E18" i="12" a="1"/>
  <c r="E18" i="12" s="1"/>
  <c r="D18" i="12" a="1"/>
  <c r="D18" i="12" s="1"/>
  <c r="C18" i="12" a="1"/>
  <c r="C18" i="12" s="1"/>
  <c r="EF17" i="12" a="1"/>
  <c r="EF17" i="12" s="1"/>
  <c r="EE17" i="12" a="1"/>
  <c r="EE17" i="12" s="1"/>
  <c r="ED17" i="12"/>
  <c r="ED17" i="12" a="1"/>
  <c r="EC17" i="12" a="1"/>
  <c r="EC17" i="12" s="1"/>
  <c r="EB17" i="12" a="1"/>
  <c r="EB17" i="12" s="1"/>
  <c r="EA17" i="12" a="1"/>
  <c r="EA17" i="12" s="1"/>
  <c r="DZ17" i="12" a="1"/>
  <c r="DZ17" i="12" s="1"/>
  <c r="DY17" i="12" a="1"/>
  <c r="DY17" i="12" s="1"/>
  <c r="DX17" i="12" a="1"/>
  <c r="DX17" i="12" s="1"/>
  <c r="DW17" i="12" a="1"/>
  <c r="DW17" i="12" s="1"/>
  <c r="DV17" i="12" a="1"/>
  <c r="DV17" i="12" s="1"/>
  <c r="DU17" i="12" a="1"/>
  <c r="DU17" i="12" s="1"/>
  <c r="DT17" i="12" a="1"/>
  <c r="DT17" i="12" s="1"/>
  <c r="DS17" i="12"/>
  <c r="DS17" i="12" a="1"/>
  <c r="DR17" i="12" a="1"/>
  <c r="DR17" i="12" s="1"/>
  <c r="DQ17" i="12" a="1"/>
  <c r="DQ17" i="12" s="1"/>
  <c r="DP17" i="12" a="1"/>
  <c r="DP17" i="12" s="1"/>
  <c r="DO17" i="12" a="1"/>
  <c r="DO17" i="12" s="1"/>
  <c r="DN17" i="12" a="1"/>
  <c r="DN17" i="12" s="1"/>
  <c r="DM17" i="12" a="1"/>
  <c r="DM17" i="12" s="1"/>
  <c r="DL17" i="12" a="1"/>
  <c r="DL17" i="12" s="1"/>
  <c r="DK17" i="12" a="1"/>
  <c r="DK17" i="12" s="1"/>
  <c r="DJ17" i="12" a="1"/>
  <c r="DJ17" i="12" s="1"/>
  <c r="DI17" i="12"/>
  <c r="DI17" i="12" a="1"/>
  <c r="DH17" i="12" a="1"/>
  <c r="DH17" i="12" s="1"/>
  <c r="DG17" i="12" a="1"/>
  <c r="DG17" i="12" s="1"/>
  <c r="DF17" i="12" a="1"/>
  <c r="DF17" i="12" s="1"/>
  <c r="DE17" i="12" a="1"/>
  <c r="DE17" i="12" s="1"/>
  <c r="DD17" i="12"/>
  <c r="DD17" i="12" a="1"/>
  <c r="DC17" i="12" a="1"/>
  <c r="DC17" i="12" s="1"/>
  <c r="DB17" i="12" a="1"/>
  <c r="DB17" i="12" s="1"/>
  <c r="DA17" i="12" a="1"/>
  <c r="DA17" i="12" s="1"/>
  <c r="CZ17" i="12"/>
  <c r="CZ17" i="12" a="1"/>
  <c r="CY17" i="12" a="1"/>
  <c r="CY17" i="12" s="1"/>
  <c r="CX17" i="12"/>
  <c r="CX17" i="12" a="1"/>
  <c r="CW17" i="12" a="1"/>
  <c r="CW17" i="12" s="1"/>
  <c r="CV17" i="12" a="1"/>
  <c r="CV17" i="12" s="1"/>
  <c r="CU17" i="12" a="1"/>
  <c r="CU17" i="12" s="1"/>
  <c r="CT17" i="12" a="1"/>
  <c r="CT17" i="12" s="1"/>
  <c r="CS17" i="12" a="1"/>
  <c r="CS17" i="12" s="1"/>
  <c r="CR17" i="12" a="1"/>
  <c r="CR17" i="12" s="1"/>
  <c r="CQ17" i="12" a="1"/>
  <c r="CQ17" i="12" s="1"/>
  <c r="CP17" i="12"/>
  <c r="CP17" i="12" a="1"/>
  <c r="CO17" i="12" a="1"/>
  <c r="CO17" i="12" s="1"/>
  <c r="CN17" i="12" a="1"/>
  <c r="CN17" i="12" s="1"/>
  <c r="CM17" i="12" a="1"/>
  <c r="CM17" i="12" s="1"/>
  <c r="CL17" i="12" a="1"/>
  <c r="CL17" i="12" s="1"/>
  <c r="CK17" i="12"/>
  <c r="CK17" i="12" a="1"/>
  <c r="CJ17" i="12" a="1"/>
  <c r="CJ17" i="12" s="1"/>
  <c r="CI17" i="12" a="1"/>
  <c r="CI17" i="12" s="1"/>
  <c r="CH17" i="12" a="1"/>
  <c r="CH17" i="12" s="1"/>
  <c r="CG17" i="12" a="1"/>
  <c r="CG17" i="12" s="1"/>
  <c r="CF17" i="12" a="1"/>
  <c r="CF17" i="12" s="1"/>
  <c r="CE17" i="12" a="1"/>
  <c r="CE17" i="12" s="1"/>
  <c r="CD17" i="12" a="1"/>
  <c r="CD17" i="12" s="1"/>
  <c r="CC17" i="12" a="1"/>
  <c r="CC17" i="12" s="1"/>
  <c r="CB17" i="12" a="1"/>
  <c r="CB17" i="12" s="1"/>
  <c r="CA17" i="12" a="1"/>
  <c r="CA17" i="12" s="1"/>
  <c r="BZ17" i="12" a="1"/>
  <c r="BZ17" i="12" s="1"/>
  <c r="BY17" i="12" a="1"/>
  <c r="BY17" i="12" s="1"/>
  <c r="BX17" i="12" a="1"/>
  <c r="BX17" i="12" s="1"/>
  <c r="BW17" i="12" a="1"/>
  <c r="BW17" i="12" s="1"/>
  <c r="BV17" i="12" a="1"/>
  <c r="BV17" i="12" s="1"/>
  <c r="BU17" i="12"/>
  <c r="BU17" i="12" a="1"/>
  <c r="BT17" i="12" a="1"/>
  <c r="BT17" i="12" s="1"/>
  <c r="BS17" i="12" a="1"/>
  <c r="BS17" i="12" s="1"/>
  <c r="BR17" i="12" a="1"/>
  <c r="BR17" i="12" s="1"/>
  <c r="BQ17" i="12" a="1"/>
  <c r="BQ17" i="12" s="1"/>
  <c r="BP17" i="12" a="1"/>
  <c r="BP17" i="12" s="1"/>
  <c r="BO17" i="12" a="1"/>
  <c r="BO17" i="12" s="1"/>
  <c r="BN17" i="12" a="1"/>
  <c r="BN17" i="12" s="1"/>
  <c r="BM17" i="12" a="1"/>
  <c r="BM17" i="12" s="1"/>
  <c r="BL17" i="12" a="1"/>
  <c r="BL17" i="12" s="1"/>
  <c r="BK17" i="12" a="1"/>
  <c r="BK17" i="12" s="1"/>
  <c r="BJ17" i="12" a="1"/>
  <c r="BJ17" i="12" s="1"/>
  <c r="BI17" i="12" a="1"/>
  <c r="BI17" i="12" s="1"/>
  <c r="BH17" i="12" a="1"/>
  <c r="BH17" i="12" s="1"/>
  <c r="BG17" i="12" a="1"/>
  <c r="BG17" i="12" s="1"/>
  <c r="BF17" i="12" a="1"/>
  <c r="BF17" i="12" s="1"/>
  <c r="BE17" i="12" a="1"/>
  <c r="BE17" i="12" s="1"/>
  <c r="BD17" i="12" a="1"/>
  <c r="BD17" i="12" s="1"/>
  <c r="BC17" i="12" a="1"/>
  <c r="BC17" i="12" s="1"/>
  <c r="BB17" i="12" a="1"/>
  <c r="BB17" i="12" s="1"/>
  <c r="BA17" i="12" a="1"/>
  <c r="BA17" i="12" s="1"/>
  <c r="AZ17" i="12"/>
  <c r="AZ17" i="12" a="1"/>
  <c r="AY17" i="12" a="1"/>
  <c r="AY17" i="12" s="1"/>
  <c r="AX17" i="12" a="1"/>
  <c r="AX17" i="12" s="1"/>
  <c r="AW17" i="12" a="1"/>
  <c r="AW17" i="12" s="1"/>
  <c r="AV17" i="12" a="1"/>
  <c r="AV17" i="12" s="1"/>
  <c r="AU17" i="12" a="1"/>
  <c r="AU17" i="12" s="1"/>
  <c r="AT17" i="12" a="1"/>
  <c r="AT17" i="12" s="1"/>
  <c r="AS17" i="12" a="1"/>
  <c r="AS17" i="12" s="1"/>
  <c r="AR17" i="12" a="1"/>
  <c r="AR17" i="12" s="1"/>
  <c r="AQ17" i="12"/>
  <c r="AQ17" i="12" a="1"/>
  <c r="AP17" i="12" a="1"/>
  <c r="AP17" i="12" s="1"/>
  <c r="AO17" i="12" a="1"/>
  <c r="AO17" i="12" s="1"/>
  <c r="AN17" i="12" a="1"/>
  <c r="AN17" i="12" s="1"/>
  <c r="AM17" i="12" a="1"/>
  <c r="AM17" i="12" s="1"/>
  <c r="AL17" i="12"/>
  <c r="AL17" i="12" a="1"/>
  <c r="AK17" i="12" a="1"/>
  <c r="AK17" i="12" s="1"/>
  <c r="AJ17" i="12" a="1"/>
  <c r="AJ17" i="12" s="1"/>
  <c r="AI17" i="12" a="1"/>
  <c r="AI17" i="12" s="1"/>
  <c r="AH17" i="12"/>
  <c r="AH17" i="12" a="1"/>
  <c r="AG17" i="12" a="1"/>
  <c r="AG17" i="12" s="1"/>
  <c r="AF17" i="12" a="1"/>
  <c r="AF17" i="12" s="1"/>
  <c r="AE17" i="12" a="1"/>
  <c r="AE17" i="12" s="1"/>
  <c r="AD17" i="12"/>
  <c r="AD17" i="12" a="1"/>
  <c r="AC17" i="12" a="1"/>
  <c r="AC17" i="12" s="1"/>
  <c r="AB17" i="12" a="1"/>
  <c r="AB17" i="12" s="1"/>
  <c r="AA17" i="12" a="1"/>
  <c r="AA17" i="12" s="1"/>
  <c r="Z17" i="12" a="1"/>
  <c r="Z17" i="12" s="1"/>
  <c r="Y17" i="12" a="1"/>
  <c r="Y17" i="12" s="1"/>
  <c r="X17" i="12"/>
  <c r="X17" i="12" a="1"/>
  <c r="W17" i="12" a="1"/>
  <c r="W17" i="12" s="1"/>
  <c r="V17" i="12" a="1"/>
  <c r="V17" i="12" s="1"/>
  <c r="U17" i="12" a="1"/>
  <c r="U17" i="12" s="1"/>
  <c r="T17" i="12" a="1"/>
  <c r="T17" i="12" s="1"/>
  <c r="S17" i="12" a="1"/>
  <c r="S17" i="12" s="1"/>
  <c r="R17" i="12" a="1"/>
  <c r="R17" i="12" s="1"/>
  <c r="Q17" i="12" a="1"/>
  <c r="Q17" i="12" s="1"/>
  <c r="P17" i="12" a="1"/>
  <c r="P17" i="12" s="1"/>
  <c r="O17" i="12" a="1"/>
  <c r="O17" i="12" s="1"/>
  <c r="N17" i="12"/>
  <c r="N17" i="12" a="1"/>
  <c r="M17" i="12" a="1"/>
  <c r="M17" i="12" s="1"/>
  <c r="L17" i="12" a="1"/>
  <c r="L17" i="12" s="1"/>
  <c r="K17" i="12" a="1"/>
  <c r="K17" i="12" s="1"/>
  <c r="J17" i="12" a="1"/>
  <c r="J17" i="12" s="1"/>
  <c r="I17" i="12"/>
  <c r="I17" i="12" a="1"/>
  <c r="H17" i="12"/>
  <c r="H17" i="12" a="1"/>
  <c r="G17" i="12" a="1"/>
  <c r="G17" i="12" s="1"/>
  <c r="F17" i="12" a="1"/>
  <c r="F17" i="12" s="1"/>
  <c r="E17" i="12"/>
  <c r="E17" i="12" a="1"/>
  <c r="D17" i="12" a="1"/>
  <c r="D17" i="12" s="1"/>
  <c r="C17" i="12" a="1"/>
  <c r="C17" i="12" s="1"/>
  <c r="EF16" i="12" a="1"/>
  <c r="EF16" i="12" s="1"/>
  <c r="EE16" i="12" a="1"/>
  <c r="EE16" i="12" s="1"/>
  <c r="ED16" i="12" a="1"/>
  <c r="ED16" i="12" s="1"/>
  <c r="EC16" i="12" a="1"/>
  <c r="EC16" i="12" s="1"/>
  <c r="EB16" i="12" a="1"/>
  <c r="EB16" i="12" s="1"/>
  <c r="EA16" i="12" a="1"/>
  <c r="EA16" i="12" s="1"/>
  <c r="DZ16" i="12" a="1"/>
  <c r="DZ16" i="12" s="1"/>
  <c r="DY16" i="12" a="1"/>
  <c r="DY16" i="12" s="1"/>
  <c r="DX16" i="12" a="1"/>
  <c r="DX16" i="12" s="1"/>
  <c r="DW16" i="12" a="1"/>
  <c r="DW16" i="12" s="1"/>
  <c r="DV16" i="12" a="1"/>
  <c r="DV16" i="12" s="1"/>
  <c r="DU16" i="12" a="1"/>
  <c r="DU16" i="12" s="1"/>
  <c r="DT16" i="12" a="1"/>
  <c r="DT16" i="12" s="1"/>
  <c r="DS16" i="12" a="1"/>
  <c r="DS16" i="12" s="1"/>
  <c r="DR16" i="12" a="1"/>
  <c r="DR16" i="12" s="1"/>
  <c r="DQ16" i="12" a="1"/>
  <c r="DQ16" i="12" s="1"/>
  <c r="DP16" i="12"/>
  <c r="DP16" i="12" a="1"/>
  <c r="DO16" i="12" a="1"/>
  <c r="DO16" i="12" s="1"/>
  <c r="DN16" i="12" a="1"/>
  <c r="DN16" i="12" s="1"/>
  <c r="DM16" i="12" a="1"/>
  <c r="DM16" i="12" s="1"/>
  <c r="DL16" i="12" a="1"/>
  <c r="DL16" i="12" s="1"/>
  <c r="DK16" i="12" a="1"/>
  <c r="DK16" i="12" s="1"/>
  <c r="DJ16" i="12" a="1"/>
  <c r="DJ16" i="12" s="1"/>
  <c r="DI16" i="12" a="1"/>
  <c r="DI16" i="12" s="1"/>
  <c r="DH16" i="12" a="1"/>
  <c r="DH16" i="12" s="1"/>
  <c r="DG16" i="12" a="1"/>
  <c r="DG16" i="12" s="1"/>
  <c r="DF16" i="12" a="1"/>
  <c r="DF16" i="12" s="1"/>
  <c r="DE16" i="12" a="1"/>
  <c r="DE16" i="12" s="1"/>
  <c r="DD16" i="12" a="1"/>
  <c r="DD16" i="12" s="1"/>
  <c r="DC16" i="12" a="1"/>
  <c r="DC16" i="12" s="1"/>
  <c r="DB16" i="12" a="1"/>
  <c r="DB16" i="12" s="1"/>
  <c r="DA16" i="12" a="1"/>
  <c r="DA16" i="12" s="1"/>
  <c r="CZ16" i="12" a="1"/>
  <c r="CZ16" i="12" s="1"/>
  <c r="CY16" i="12" a="1"/>
  <c r="CY16" i="12" s="1"/>
  <c r="CX16" i="12" a="1"/>
  <c r="CX16" i="12" s="1"/>
  <c r="CW16" i="12" a="1"/>
  <c r="CW16" i="12" s="1"/>
  <c r="CV16" i="12" a="1"/>
  <c r="CV16" i="12" s="1"/>
  <c r="CU16" i="12" a="1"/>
  <c r="CU16" i="12" s="1"/>
  <c r="CT16" i="12" a="1"/>
  <c r="CT16" i="12" s="1"/>
  <c r="CS16" i="12" a="1"/>
  <c r="CS16" i="12" s="1"/>
  <c r="CR16" i="12" a="1"/>
  <c r="CR16" i="12" s="1"/>
  <c r="CQ16" i="12" a="1"/>
  <c r="CQ16" i="12" s="1"/>
  <c r="CP16" i="12" a="1"/>
  <c r="CP16" i="12" s="1"/>
  <c r="CO16" i="12" a="1"/>
  <c r="CO16" i="12" s="1"/>
  <c r="CN16" i="12" a="1"/>
  <c r="CN16" i="12" s="1"/>
  <c r="CM16" i="12" a="1"/>
  <c r="CM16" i="12" s="1"/>
  <c r="CL16" i="12" a="1"/>
  <c r="CL16" i="12" s="1"/>
  <c r="CK16" i="12" a="1"/>
  <c r="CK16" i="12" s="1"/>
  <c r="CJ16" i="12"/>
  <c r="CJ16" i="12" a="1"/>
  <c r="CI16" i="12" a="1"/>
  <c r="CI16" i="12" s="1"/>
  <c r="CH16" i="12" a="1"/>
  <c r="CH16" i="12" s="1"/>
  <c r="CG16" i="12" a="1"/>
  <c r="CG16" i="12" s="1"/>
  <c r="CF16" i="12" a="1"/>
  <c r="CF16" i="12" s="1"/>
  <c r="CE16" i="12" a="1"/>
  <c r="CE16" i="12" s="1"/>
  <c r="CD16" i="12" a="1"/>
  <c r="CD16" i="12" s="1"/>
  <c r="CC16" i="12" a="1"/>
  <c r="CC16" i="12" s="1"/>
  <c r="CB16" i="12" a="1"/>
  <c r="CB16" i="12" s="1"/>
  <c r="CA16" i="12"/>
  <c r="CA16" i="12" a="1"/>
  <c r="BZ16" i="12"/>
  <c r="BZ16" i="12" a="1"/>
  <c r="BY16" i="12" a="1"/>
  <c r="BY16" i="12" s="1"/>
  <c r="BX16" i="12" a="1"/>
  <c r="BX16" i="12" s="1"/>
  <c r="BW16" i="12" a="1"/>
  <c r="BW16" i="12" s="1"/>
  <c r="BV16" i="12" a="1"/>
  <c r="BV16" i="12" s="1"/>
  <c r="BU16" i="12" a="1"/>
  <c r="BU16" i="12" s="1"/>
  <c r="BT16" i="12" a="1"/>
  <c r="BT16" i="12" s="1"/>
  <c r="BS16" i="12" a="1"/>
  <c r="BS16" i="12" s="1"/>
  <c r="BR16" i="12" a="1"/>
  <c r="BR16" i="12" s="1"/>
  <c r="BQ16" i="12"/>
  <c r="BQ16" i="12" a="1"/>
  <c r="BP16" i="12"/>
  <c r="BP16" i="12" a="1"/>
  <c r="BO16" i="12" a="1"/>
  <c r="BO16" i="12" s="1"/>
  <c r="BN16" i="12" a="1"/>
  <c r="BN16" i="12" s="1"/>
  <c r="BM16" i="12" a="1"/>
  <c r="BM16" i="12" s="1"/>
  <c r="BL16" i="12" a="1"/>
  <c r="BL16" i="12" s="1"/>
  <c r="BK16" i="12" a="1"/>
  <c r="BK16" i="12" s="1"/>
  <c r="BJ16" i="12" a="1"/>
  <c r="BJ16" i="12" s="1"/>
  <c r="BI16" i="12" a="1"/>
  <c r="BI16" i="12" s="1"/>
  <c r="BH16" i="12" a="1"/>
  <c r="BH16" i="12" s="1"/>
  <c r="BG16" i="12"/>
  <c r="BG16" i="12" a="1"/>
  <c r="BF16" i="12" a="1"/>
  <c r="BF16" i="12" s="1"/>
  <c r="BE16" i="12" a="1"/>
  <c r="BE16" i="12" s="1"/>
  <c r="BD16" i="12" a="1"/>
  <c r="BD16" i="12" s="1"/>
  <c r="BC16" i="12" a="1"/>
  <c r="BC16" i="12" s="1"/>
  <c r="BB16" i="12" a="1"/>
  <c r="BB16" i="12" s="1"/>
  <c r="BA16" i="12" a="1"/>
  <c r="BA16" i="12" s="1"/>
  <c r="AZ16" i="12" a="1"/>
  <c r="AZ16" i="12" s="1"/>
  <c r="AY16" i="12" a="1"/>
  <c r="AY16" i="12" s="1"/>
  <c r="AX16" i="12" a="1"/>
  <c r="AX16" i="12" s="1"/>
  <c r="AW16" i="12" a="1"/>
  <c r="AW16" i="12" s="1"/>
  <c r="AV16" i="12" a="1"/>
  <c r="AV16" i="12" s="1"/>
  <c r="AU16" i="12" a="1"/>
  <c r="AU16" i="12" s="1"/>
  <c r="AT16" i="12" a="1"/>
  <c r="AT16" i="12" s="1"/>
  <c r="AS16" i="12" a="1"/>
  <c r="AS16" i="12" s="1"/>
  <c r="AR16" i="12" a="1"/>
  <c r="AR16" i="12" s="1"/>
  <c r="AQ16" i="12" a="1"/>
  <c r="AQ16" i="12" s="1"/>
  <c r="AP16" i="12" a="1"/>
  <c r="AP16" i="12" s="1"/>
  <c r="AO16" i="12" a="1"/>
  <c r="AO16" i="12" s="1"/>
  <c r="AN16" i="12" a="1"/>
  <c r="AN16" i="12" s="1"/>
  <c r="AM16" i="12" a="1"/>
  <c r="AM16" i="12" s="1"/>
  <c r="AL16" i="12" a="1"/>
  <c r="AL16" i="12" s="1"/>
  <c r="AK16" i="12" a="1"/>
  <c r="AK16" i="12" s="1"/>
  <c r="AJ16" i="12" a="1"/>
  <c r="AJ16" i="12" s="1"/>
  <c r="AI16" i="12" a="1"/>
  <c r="AI16" i="12" s="1"/>
  <c r="AH16" i="12" a="1"/>
  <c r="AH16" i="12" s="1"/>
  <c r="AG16" i="12" a="1"/>
  <c r="AG16" i="12" s="1"/>
  <c r="AF16" i="12" a="1"/>
  <c r="AF16" i="12" s="1"/>
  <c r="AE16" i="12" a="1"/>
  <c r="AE16" i="12" s="1"/>
  <c r="AD16" i="12" a="1"/>
  <c r="AD16" i="12" s="1"/>
  <c r="AC16" i="12" a="1"/>
  <c r="AC16" i="12" s="1"/>
  <c r="AB16" i="12" a="1"/>
  <c r="AB16" i="12" s="1"/>
  <c r="AA16" i="12" a="1"/>
  <c r="AA16" i="12" s="1"/>
  <c r="Z16" i="12" a="1"/>
  <c r="Z16" i="12" s="1"/>
  <c r="Y16" i="12" a="1"/>
  <c r="Y16" i="12" s="1"/>
  <c r="X16" i="12"/>
  <c r="X16" i="12" a="1"/>
  <c r="W16" i="12"/>
  <c r="W16" i="12" a="1"/>
  <c r="V16" i="12" a="1"/>
  <c r="V16" i="12" s="1"/>
  <c r="U16" i="12" a="1"/>
  <c r="U16" i="12" s="1"/>
  <c r="T16" i="12" a="1"/>
  <c r="T16" i="12" s="1"/>
  <c r="S16" i="12" a="1"/>
  <c r="S16" i="12" s="1"/>
  <c r="R16" i="12" a="1"/>
  <c r="R16" i="12" s="1"/>
  <c r="Q16" i="12" a="1"/>
  <c r="Q16" i="12" s="1"/>
  <c r="P16" i="12" a="1"/>
  <c r="P16" i="12" s="1"/>
  <c r="O16" i="12" a="1"/>
  <c r="O16" i="12" s="1"/>
  <c r="N16" i="12"/>
  <c r="N16" i="12" a="1"/>
  <c r="M16" i="12"/>
  <c r="M16" i="12" a="1"/>
  <c r="L16" i="12" a="1"/>
  <c r="L16" i="12" s="1"/>
  <c r="K16" i="12" a="1"/>
  <c r="K16" i="12" s="1"/>
  <c r="J16" i="12" a="1"/>
  <c r="J16" i="12" s="1"/>
  <c r="I16" i="12" a="1"/>
  <c r="I16" i="12" s="1"/>
  <c r="H16" i="12" a="1"/>
  <c r="H16" i="12" s="1"/>
  <c r="G16" i="12" a="1"/>
  <c r="G16" i="12" s="1"/>
  <c r="F16" i="12" a="1"/>
  <c r="F16" i="12" s="1"/>
  <c r="E16" i="12"/>
  <c r="E16" i="12" a="1"/>
  <c r="D16" i="12"/>
  <c r="D16" i="12" a="1"/>
  <c r="C16" i="12"/>
  <c r="C16" i="12" a="1"/>
  <c r="EF15" i="12" a="1"/>
  <c r="EF15" i="12" s="1"/>
  <c r="EE15" i="12" a="1"/>
  <c r="EE15" i="12" s="1"/>
  <c r="ED15" i="12" a="1"/>
  <c r="ED15" i="12" s="1"/>
  <c r="EC15" i="12" a="1"/>
  <c r="EC15" i="12" s="1"/>
  <c r="EB15" i="12" a="1"/>
  <c r="EB15" i="12" s="1"/>
  <c r="EA15" i="12" a="1"/>
  <c r="EA15" i="12" s="1"/>
  <c r="DZ15" i="12" a="1"/>
  <c r="DZ15" i="12" s="1"/>
  <c r="DY15" i="12" a="1"/>
  <c r="DY15" i="12" s="1"/>
  <c r="DX15" i="12" a="1"/>
  <c r="DX15" i="12" s="1"/>
  <c r="DW15" i="12" a="1"/>
  <c r="DW15" i="12" s="1"/>
  <c r="DV15" i="12" a="1"/>
  <c r="DV15" i="12" s="1"/>
  <c r="DU15" i="12" a="1"/>
  <c r="DU15" i="12" s="1"/>
  <c r="DT15" i="12" a="1"/>
  <c r="DT15" i="12" s="1"/>
  <c r="DS15" i="12" a="1"/>
  <c r="DS15" i="12" s="1"/>
  <c r="DR15" i="12" a="1"/>
  <c r="DR15" i="12" s="1"/>
  <c r="DQ15" i="12" a="1"/>
  <c r="DQ15" i="12" s="1"/>
  <c r="DP15" i="12" a="1"/>
  <c r="DP15" i="12" s="1"/>
  <c r="DO15" i="12" a="1"/>
  <c r="DO15" i="12" s="1"/>
  <c r="DN15" i="12" a="1"/>
  <c r="DN15" i="12" s="1"/>
  <c r="DM15" i="12" a="1"/>
  <c r="DM15" i="12" s="1"/>
  <c r="DL15" i="12" a="1"/>
  <c r="DL15" i="12" s="1"/>
  <c r="DK15" i="12" a="1"/>
  <c r="DK15" i="12" s="1"/>
  <c r="DJ15" i="12" a="1"/>
  <c r="DJ15" i="12" s="1"/>
  <c r="DI15" i="12" a="1"/>
  <c r="DI15" i="12" s="1"/>
  <c r="DH15" i="12" a="1"/>
  <c r="DH15" i="12" s="1"/>
  <c r="DG15" i="12" a="1"/>
  <c r="DG15" i="12" s="1"/>
  <c r="DF15" i="12" a="1"/>
  <c r="DF15" i="12" s="1"/>
  <c r="DE15" i="12" a="1"/>
  <c r="DE15" i="12" s="1"/>
  <c r="DD15" i="12" a="1"/>
  <c r="DD15" i="12" s="1"/>
  <c r="DC15" i="12" a="1"/>
  <c r="DC15" i="12" s="1"/>
  <c r="DB15" i="12" a="1"/>
  <c r="DB15" i="12" s="1"/>
  <c r="DA15" i="12" a="1"/>
  <c r="DA15" i="12" s="1"/>
  <c r="CZ15" i="12" a="1"/>
  <c r="CZ15" i="12" s="1"/>
  <c r="CY15" i="12" a="1"/>
  <c r="CY15" i="12" s="1"/>
  <c r="CX15" i="12" a="1"/>
  <c r="CX15" i="12" s="1"/>
  <c r="CW15" i="12" a="1"/>
  <c r="CW15" i="12" s="1"/>
  <c r="CV15" i="12" a="1"/>
  <c r="CV15" i="12" s="1"/>
  <c r="CU15" i="12" a="1"/>
  <c r="CU15" i="12" s="1"/>
  <c r="CT15" i="12" a="1"/>
  <c r="CT15" i="12" s="1"/>
  <c r="CS15" i="12" a="1"/>
  <c r="CS15" i="12" s="1"/>
  <c r="CR15" i="12" a="1"/>
  <c r="CR15" i="12" s="1"/>
  <c r="CQ15" i="12" a="1"/>
  <c r="CQ15" i="12" s="1"/>
  <c r="CP15" i="12" a="1"/>
  <c r="CP15" i="12" s="1"/>
  <c r="CO15" i="12"/>
  <c r="CO15" i="12" a="1"/>
  <c r="CN15" i="12" a="1"/>
  <c r="CN15" i="12" s="1"/>
  <c r="CM15" i="12" a="1"/>
  <c r="CM15" i="12" s="1"/>
  <c r="CL15" i="12" a="1"/>
  <c r="CL15" i="12" s="1"/>
  <c r="CK15" i="12" a="1"/>
  <c r="CK15" i="12" s="1"/>
  <c r="CJ15" i="12" a="1"/>
  <c r="CJ15" i="12" s="1"/>
  <c r="CI15" i="12" a="1"/>
  <c r="CI15" i="12" s="1"/>
  <c r="CH15" i="12" a="1"/>
  <c r="CH15" i="12" s="1"/>
  <c r="CG15" i="12" a="1"/>
  <c r="CG15" i="12" s="1"/>
  <c r="CF15" i="12" a="1"/>
  <c r="CF15" i="12" s="1"/>
  <c r="CE15" i="12"/>
  <c r="CE15" i="12" a="1"/>
  <c r="CD15" i="12" a="1"/>
  <c r="CD15" i="12" s="1"/>
  <c r="CC15" i="12" a="1"/>
  <c r="CC15" i="12" s="1"/>
  <c r="CB15" i="12" a="1"/>
  <c r="CB15" i="12" s="1"/>
  <c r="CA15" i="12" a="1"/>
  <c r="CA15" i="12" s="1"/>
  <c r="BZ15" i="12" a="1"/>
  <c r="BZ15" i="12" s="1"/>
  <c r="BY15" i="12" a="1"/>
  <c r="BY15" i="12" s="1"/>
  <c r="BX15" i="12" a="1"/>
  <c r="BX15" i="12" s="1"/>
  <c r="BW15" i="12" a="1"/>
  <c r="BW15" i="12" s="1"/>
  <c r="BV15" i="12" a="1"/>
  <c r="BV15" i="12" s="1"/>
  <c r="BU15" i="12"/>
  <c r="BU15" i="12" a="1"/>
  <c r="BT15" i="12" a="1"/>
  <c r="BT15" i="12" s="1"/>
  <c r="BS15" i="12" a="1"/>
  <c r="BS15" i="12" s="1"/>
  <c r="BR15" i="12" a="1"/>
  <c r="BR15" i="12" s="1"/>
  <c r="BQ15" i="12" a="1"/>
  <c r="BQ15" i="12" s="1"/>
  <c r="BP15" i="12" a="1"/>
  <c r="BP15" i="12" s="1"/>
  <c r="BO15" i="12" a="1"/>
  <c r="BO15" i="12" s="1"/>
  <c r="BN15" i="12" a="1"/>
  <c r="BN15" i="12" s="1"/>
  <c r="BM15" i="12" a="1"/>
  <c r="BM15" i="12" s="1"/>
  <c r="BL15" i="12" a="1"/>
  <c r="BL15" i="12" s="1"/>
  <c r="BK15" i="12"/>
  <c r="BK15" i="12" a="1"/>
  <c r="BJ15" i="12"/>
  <c r="BJ15" i="12" a="1"/>
  <c r="BI15" i="12" a="1"/>
  <c r="BI15" i="12" s="1"/>
  <c r="BH15" i="12" a="1"/>
  <c r="BH15" i="12" s="1"/>
  <c r="BG15" i="12" a="1"/>
  <c r="BG15" i="12" s="1"/>
  <c r="BF15" i="12" a="1"/>
  <c r="BF15" i="12" s="1"/>
  <c r="BE15" i="12" a="1"/>
  <c r="BE15" i="12" s="1"/>
  <c r="BD15" i="12" a="1"/>
  <c r="BD15" i="12" s="1"/>
  <c r="BC15" i="12"/>
  <c r="BC15" i="12" a="1"/>
  <c r="BB15" i="12"/>
  <c r="BB15" i="12" a="1"/>
  <c r="BA15" i="12" a="1"/>
  <c r="BA15" i="12" s="1"/>
  <c r="AZ15" i="12" a="1"/>
  <c r="AZ15" i="12" s="1"/>
  <c r="AY15" i="12" a="1"/>
  <c r="AY15" i="12" s="1"/>
  <c r="AX15" i="12" a="1"/>
  <c r="AX15" i="12" s="1"/>
  <c r="AW15" i="12" a="1"/>
  <c r="AW15" i="12" s="1"/>
  <c r="AV15" i="12" a="1"/>
  <c r="AV15" i="12" s="1"/>
  <c r="AU15" i="12"/>
  <c r="AU15" i="12" a="1"/>
  <c r="AT15" i="12"/>
  <c r="AT15" i="12" a="1"/>
  <c r="AS15" i="12" a="1"/>
  <c r="AS15" i="12" s="1"/>
  <c r="AR15" i="12" a="1"/>
  <c r="AR15" i="12" s="1"/>
  <c r="AQ15" i="12" a="1"/>
  <c r="AQ15" i="12" s="1"/>
  <c r="AP15" i="12" a="1"/>
  <c r="AP15" i="12" s="1"/>
  <c r="AO15" i="12" a="1"/>
  <c r="AO15" i="12" s="1"/>
  <c r="AN15" i="12" a="1"/>
  <c r="AN15" i="12" s="1"/>
  <c r="AM15" i="12"/>
  <c r="AM15" i="12" a="1"/>
  <c r="AL15" i="12"/>
  <c r="AL15" i="12" a="1"/>
  <c r="AK15" i="12" a="1"/>
  <c r="AK15" i="12" s="1"/>
  <c r="AJ15" i="12" a="1"/>
  <c r="AJ15" i="12" s="1"/>
  <c r="AI15" i="12" a="1"/>
  <c r="AI15" i="12" s="1"/>
  <c r="AH15" i="12" a="1"/>
  <c r="AH15" i="12" s="1"/>
  <c r="AG15" i="12" a="1"/>
  <c r="AG15" i="12" s="1"/>
  <c r="AF15" i="12" a="1"/>
  <c r="AF15" i="12" s="1"/>
  <c r="AE15" i="12"/>
  <c r="AE15" i="12" a="1"/>
  <c r="AD15" i="12"/>
  <c r="AD15" i="12" a="1"/>
  <c r="AC15" i="12" a="1"/>
  <c r="AC15" i="12" s="1"/>
  <c r="AB15" i="12" a="1"/>
  <c r="AB15" i="12" s="1"/>
  <c r="AA15" i="12" a="1"/>
  <c r="AA15" i="12" s="1"/>
  <c r="Z15" i="12" a="1"/>
  <c r="Z15" i="12" s="1"/>
  <c r="Y15" i="12" a="1"/>
  <c r="Y15" i="12" s="1"/>
  <c r="X15" i="12" a="1"/>
  <c r="X15" i="12" s="1"/>
  <c r="W15" i="12"/>
  <c r="W15" i="12" a="1"/>
  <c r="V15" i="12"/>
  <c r="V15" i="12" a="1"/>
  <c r="U15" i="12" a="1"/>
  <c r="U15" i="12" s="1"/>
  <c r="T15" i="12" a="1"/>
  <c r="T15" i="12" s="1"/>
  <c r="S15" i="12" a="1"/>
  <c r="S15" i="12" s="1"/>
  <c r="R15" i="12" a="1"/>
  <c r="R15" i="12" s="1"/>
  <c r="Q15" i="12" a="1"/>
  <c r="Q15" i="12" s="1"/>
  <c r="P15" i="12" a="1"/>
  <c r="P15" i="12" s="1"/>
  <c r="O15" i="12"/>
  <c r="O15" i="12" a="1"/>
  <c r="N15" i="12"/>
  <c r="N15" i="12" a="1"/>
  <c r="M15" i="12" a="1"/>
  <c r="M15" i="12" s="1"/>
  <c r="L15" i="12" a="1"/>
  <c r="L15" i="12" s="1"/>
  <c r="K15" i="12" a="1"/>
  <c r="K15" i="12" s="1"/>
  <c r="J15" i="12" a="1"/>
  <c r="J15" i="12" s="1"/>
  <c r="I15" i="12" a="1"/>
  <c r="I15" i="12" s="1"/>
  <c r="H15" i="12" a="1"/>
  <c r="H15" i="12" s="1"/>
  <c r="G15" i="12"/>
  <c r="G15" i="12" a="1"/>
  <c r="F15" i="12"/>
  <c r="F15" i="12" a="1"/>
  <c r="E15" i="12" a="1"/>
  <c r="E15" i="12" s="1"/>
  <c r="D15" i="12" a="1"/>
  <c r="D15" i="12" s="1"/>
  <c r="C15" i="12" a="1"/>
  <c r="C15" i="12" s="1"/>
  <c r="EF14" i="12" a="1"/>
  <c r="EF14" i="12" s="1"/>
  <c r="EE14" i="12" a="1"/>
  <c r="EE14" i="12" s="1"/>
  <c r="ED14" i="12" a="1"/>
  <c r="ED14" i="12" s="1"/>
  <c r="EC14" i="12"/>
  <c r="EC14" i="12" a="1"/>
  <c r="EB14" i="12"/>
  <c r="EB14" i="12" a="1"/>
  <c r="EA14" i="12" a="1"/>
  <c r="EA14" i="12" s="1"/>
  <c r="DZ14" i="12" a="1"/>
  <c r="DZ14" i="12" s="1"/>
  <c r="DY14" i="12" a="1"/>
  <c r="DY14" i="12" s="1"/>
  <c r="DX14" i="12" a="1"/>
  <c r="DX14" i="12" s="1"/>
  <c r="DW14" i="12" a="1"/>
  <c r="DW14" i="12" s="1"/>
  <c r="DV14" i="12" a="1"/>
  <c r="DV14" i="12" s="1"/>
  <c r="DU14" i="12"/>
  <c r="DU14" i="12" a="1"/>
  <c r="DT14" i="12"/>
  <c r="DT14" i="12" a="1"/>
  <c r="DS14" i="12" a="1"/>
  <c r="DS14" i="12" s="1"/>
  <c r="DR14" i="12" a="1"/>
  <c r="DR14" i="12" s="1"/>
  <c r="DQ14" i="12" a="1"/>
  <c r="DQ14" i="12" s="1"/>
  <c r="DP14" i="12" a="1"/>
  <c r="DP14" i="12" s="1"/>
  <c r="DO14" i="12" a="1"/>
  <c r="DO14" i="12" s="1"/>
  <c r="DN14" i="12" a="1"/>
  <c r="DN14" i="12" s="1"/>
  <c r="DM14" i="12"/>
  <c r="DM14" i="12" a="1"/>
  <c r="DL14" i="12" a="1"/>
  <c r="DL14" i="12" s="1"/>
  <c r="DK14" i="12" a="1"/>
  <c r="DK14" i="12" s="1"/>
  <c r="DJ14" i="12" a="1"/>
  <c r="DJ14" i="12" s="1"/>
  <c r="DI14" i="12"/>
  <c r="DI14" i="12" a="1"/>
  <c r="DH14" i="12"/>
  <c r="DH14" i="12" a="1"/>
  <c r="DG14" i="12" a="1"/>
  <c r="DG14" i="12" s="1"/>
  <c r="DF14" i="12" a="1"/>
  <c r="DF14" i="12" s="1"/>
  <c r="DE14" i="12"/>
  <c r="DE14" i="12" a="1"/>
  <c r="DD14" i="12" a="1"/>
  <c r="DD14" i="12" s="1"/>
  <c r="DC14" i="12" a="1"/>
  <c r="DC14" i="12" s="1"/>
  <c r="DB14" i="12" a="1"/>
  <c r="DB14" i="12" s="1"/>
  <c r="DA14" i="12" a="1"/>
  <c r="DA14" i="12" s="1"/>
  <c r="CZ14" i="12" a="1"/>
  <c r="CZ14" i="12" s="1"/>
  <c r="CY14" i="12" a="1"/>
  <c r="CY14" i="12" s="1"/>
  <c r="CX14" i="12" a="1"/>
  <c r="CX14" i="12" s="1"/>
  <c r="CW14" i="12"/>
  <c r="CW14" i="12" a="1"/>
  <c r="CV14" i="12" a="1"/>
  <c r="CV14" i="12" s="1"/>
  <c r="CU14" i="12" a="1"/>
  <c r="CU14" i="12" s="1"/>
  <c r="CT14" i="12" a="1"/>
  <c r="CT14" i="12" s="1"/>
  <c r="CS14" i="12" a="1"/>
  <c r="CS14" i="12" s="1"/>
  <c r="CR14" i="12" a="1"/>
  <c r="CR14" i="12" s="1"/>
  <c r="CQ14" i="12" a="1"/>
  <c r="CQ14" i="12" s="1"/>
  <c r="CP14" i="12"/>
  <c r="CP14" i="12" a="1"/>
  <c r="CO14" i="12"/>
  <c r="CO14" i="12" a="1"/>
  <c r="CN14" i="12" a="1"/>
  <c r="CN14" i="12" s="1"/>
  <c r="CM14" i="12" a="1"/>
  <c r="CM14" i="12" s="1"/>
  <c r="CL14" i="12" a="1"/>
  <c r="CL14" i="12" s="1"/>
  <c r="CK14" i="12" a="1"/>
  <c r="CK14" i="12" s="1"/>
  <c r="CJ14" i="12" a="1"/>
  <c r="CJ14" i="12" s="1"/>
  <c r="CI14" i="12" a="1"/>
  <c r="CI14" i="12" s="1"/>
  <c r="CH14" i="12" a="1"/>
  <c r="CH14" i="12" s="1"/>
  <c r="CG14" i="12"/>
  <c r="CG14" i="12" a="1"/>
  <c r="CF14" i="12" a="1"/>
  <c r="CF14" i="12" s="1"/>
  <c r="CE14" i="12" a="1"/>
  <c r="CE14" i="12" s="1"/>
  <c r="CD14" i="12" a="1"/>
  <c r="CD14" i="12" s="1"/>
  <c r="CC14" i="12" a="1"/>
  <c r="CC14" i="12" s="1"/>
  <c r="CB14" i="12" a="1"/>
  <c r="CB14" i="12" s="1"/>
  <c r="CA14" i="12" a="1"/>
  <c r="CA14" i="12" s="1"/>
  <c r="BZ14" i="12" a="1"/>
  <c r="BZ14" i="12" s="1"/>
  <c r="BY14" i="12"/>
  <c r="BY14" i="12" a="1"/>
  <c r="BX14" i="12" a="1"/>
  <c r="BX14" i="12" s="1"/>
  <c r="BW14" i="12" a="1"/>
  <c r="BW14" i="12" s="1"/>
  <c r="BV14" i="12" a="1"/>
  <c r="BV14" i="12" s="1"/>
  <c r="BU14" i="12" a="1"/>
  <c r="BU14" i="12" s="1"/>
  <c r="BT14" i="12" a="1"/>
  <c r="BT14" i="12" s="1"/>
  <c r="BS14" i="12" a="1"/>
  <c r="BS14" i="12" s="1"/>
  <c r="BR14" i="12" a="1"/>
  <c r="BR14" i="12" s="1"/>
  <c r="BQ14" i="12"/>
  <c r="BQ14" i="12" a="1"/>
  <c r="BP14" i="12" a="1"/>
  <c r="BP14" i="12" s="1"/>
  <c r="BO14" i="12" a="1"/>
  <c r="BO14" i="12" s="1"/>
  <c r="BN14" i="12" a="1"/>
  <c r="BN14" i="12" s="1"/>
  <c r="BM14" i="12" a="1"/>
  <c r="BM14" i="12" s="1"/>
  <c r="BL14" i="12"/>
  <c r="BL14" i="12" a="1"/>
  <c r="BK14" i="12"/>
  <c r="BK14" i="12" a="1"/>
  <c r="BJ14" i="12" a="1"/>
  <c r="BJ14" i="12" s="1"/>
  <c r="BI14" i="12"/>
  <c r="BI14" i="12" a="1"/>
  <c r="BH14" i="12" a="1"/>
  <c r="BH14" i="12" s="1"/>
  <c r="BG14" i="12" a="1"/>
  <c r="BG14" i="12" s="1"/>
  <c r="BF14" i="12" a="1"/>
  <c r="BF14" i="12" s="1"/>
  <c r="BE14" i="12" a="1"/>
  <c r="BE14" i="12" s="1"/>
  <c r="BD14" i="12" a="1"/>
  <c r="BD14" i="12" s="1"/>
  <c r="BC14" i="12" a="1"/>
  <c r="BC14" i="12" s="1"/>
  <c r="BB14" i="12" a="1"/>
  <c r="BB14" i="12" s="1"/>
  <c r="BA14" i="12"/>
  <c r="BA14" i="12" a="1"/>
  <c r="AZ14" i="12" a="1"/>
  <c r="AZ14" i="12" s="1"/>
  <c r="AY14" i="12" a="1"/>
  <c r="AY14" i="12" s="1"/>
  <c r="AX14" i="12" a="1"/>
  <c r="AX14" i="12" s="1"/>
  <c r="AW14" i="12" a="1"/>
  <c r="AW14" i="12" s="1"/>
  <c r="AV14" i="12" a="1"/>
  <c r="AV14" i="12" s="1"/>
  <c r="AU14" i="12" a="1"/>
  <c r="AU14" i="12" s="1"/>
  <c r="AT14" i="12"/>
  <c r="AT14" i="12" a="1"/>
  <c r="AS14" i="12"/>
  <c r="AS14" i="12" a="1"/>
  <c r="AR14" i="12" a="1"/>
  <c r="AR14" i="12" s="1"/>
  <c r="AQ14" i="12" a="1"/>
  <c r="AQ14" i="12" s="1"/>
  <c r="AP14" i="12" a="1"/>
  <c r="AP14" i="12" s="1"/>
  <c r="AO14" i="12" a="1"/>
  <c r="AO14" i="12" s="1"/>
  <c r="AN14" i="12" a="1"/>
  <c r="AN14" i="12" s="1"/>
  <c r="AM14" i="12" a="1"/>
  <c r="AM14" i="12" s="1"/>
  <c r="AL14" i="12" a="1"/>
  <c r="AL14" i="12" s="1"/>
  <c r="AK14" i="12"/>
  <c r="AK14" i="12" a="1"/>
  <c r="AJ14" i="12" a="1"/>
  <c r="AJ14" i="12" s="1"/>
  <c r="AI14" i="12" a="1"/>
  <c r="AI14" i="12" s="1"/>
  <c r="AH14" i="12" a="1"/>
  <c r="AH14" i="12" s="1"/>
  <c r="AG14" i="12"/>
  <c r="AG14" i="12" a="1"/>
  <c r="AF14" i="12" a="1"/>
  <c r="AF14" i="12" s="1"/>
  <c r="AE14" i="12" a="1"/>
  <c r="AE14" i="12" s="1"/>
  <c r="AD14" i="12" a="1"/>
  <c r="AD14" i="12" s="1"/>
  <c r="AC14" i="12"/>
  <c r="AC14" i="12" a="1"/>
  <c r="AB14" i="12" a="1"/>
  <c r="AB14" i="12" s="1"/>
  <c r="AA14" i="12" a="1"/>
  <c r="AA14" i="12" s="1"/>
  <c r="Z14" i="12" a="1"/>
  <c r="Z14" i="12" s="1"/>
  <c r="Y14" i="12" a="1"/>
  <c r="Y14" i="12" s="1"/>
  <c r="X14" i="12" a="1"/>
  <c r="X14" i="12" s="1"/>
  <c r="W14" i="12" a="1"/>
  <c r="W14" i="12" s="1"/>
  <c r="V14" i="12" a="1"/>
  <c r="V14" i="12" s="1"/>
  <c r="U14" i="12"/>
  <c r="U14" i="12" a="1"/>
  <c r="T14" i="12" a="1"/>
  <c r="T14" i="12" s="1"/>
  <c r="S14" i="12" a="1"/>
  <c r="S14" i="12" s="1"/>
  <c r="R14" i="12" a="1"/>
  <c r="R14" i="12" s="1"/>
  <c r="Q14" i="12" a="1"/>
  <c r="Q14" i="12" s="1"/>
  <c r="P14" i="12" a="1"/>
  <c r="P14" i="12" s="1"/>
  <c r="O14" i="12"/>
  <c r="O14" i="12" a="1"/>
  <c r="N14" i="12"/>
  <c r="N14" i="12" a="1"/>
  <c r="M14" i="12"/>
  <c r="M14" i="12" a="1"/>
  <c r="L14" i="12" a="1"/>
  <c r="L14" i="12" s="1"/>
  <c r="K14" i="12" a="1"/>
  <c r="K14" i="12" s="1"/>
  <c r="J14" i="12" a="1"/>
  <c r="J14" i="12" s="1"/>
  <c r="I14" i="12" a="1"/>
  <c r="I14" i="12" s="1"/>
  <c r="H14" i="12" a="1"/>
  <c r="H14" i="12" s="1"/>
  <c r="G14" i="12" a="1"/>
  <c r="G14" i="12" s="1"/>
  <c r="F14" i="12" a="1"/>
  <c r="F14" i="12" s="1"/>
  <c r="E14" i="12"/>
  <c r="E14" i="12" a="1"/>
  <c r="D14" i="12" a="1"/>
  <c r="D14" i="12" s="1"/>
  <c r="C14" i="12" a="1"/>
  <c r="C14" i="12" s="1"/>
  <c r="EF13" i="12" a="1"/>
  <c r="EF13" i="12" s="1"/>
  <c r="EE13" i="12" a="1"/>
  <c r="EE13" i="12" s="1"/>
  <c r="ED13" i="12" a="1"/>
  <c r="ED13" i="12" s="1"/>
  <c r="EC13" i="12" a="1"/>
  <c r="EC13" i="12" s="1"/>
  <c r="EB13" i="12" a="1"/>
  <c r="EB13" i="12" s="1"/>
  <c r="EA13" i="12"/>
  <c r="EA13" i="12" a="1"/>
  <c r="DZ13" i="12" a="1"/>
  <c r="DZ13" i="12" s="1"/>
  <c r="DY13" i="12" a="1"/>
  <c r="DY13" i="12" s="1"/>
  <c r="DX13" i="12" a="1"/>
  <c r="DX13" i="12" s="1"/>
  <c r="DW13" i="12" a="1"/>
  <c r="DW13" i="12" s="1"/>
  <c r="DV13" i="12" a="1"/>
  <c r="DV13" i="12" s="1"/>
  <c r="DU13" i="12" a="1"/>
  <c r="DU13" i="12" s="1"/>
  <c r="DT13" i="12" a="1"/>
  <c r="DT13" i="12" s="1"/>
  <c r="DS13" i="12"/>
  <c r="DS13" i="12" a="1"/>
  <c r="DR13" i="12" a="1"/>
  <c r="DR13" i="12" s="1"/>
  <c r="DQ13" i="12" a="1"/>
  <c r="DQ13" i="12" s="1"/>
  <c r="DP13" i="12" a="1"/>
  <c r="DP13" i="12" s="1"/>
  <c r="DO13" i="12"/>
  <c r="DO13" i="12" a="1"/>
  <c r="DN13" i="12"/>
  <c r="DN13" i="12" a="1"/>
  <c r="DM13" i="12" a="1"/>
  <c r="DM13" i="12" s="1"/>
  <c r="DL13" i="12" a="1"/>
  <c r="DL13" i="12" s="1"/>
  <c r="DK13" i="12"/>
  <c r="DK13" i="12" a="1"/>
  <c r="DJ13" i="12" a="1"/>
  <c r="DJ13" i="12" s="1"/>
  <c r="DI13" i="12" a="1"/>
  <c r="DI13" i="12" s="1"/>
  <c r="DH13" i="12" a="1"/>
  <c r="DH13" i="12" s="1"/>
  <c r="DG13" i="12" a="1"/>
  <c r="DG13" i="12" s="1"/>
  <c r="DF13" i="12" a="1"/>
  <c r="DF13" i="12" s="1"/>
  <c r="DE13" i="12" a="1"/>
  <c r="DE13" i="12" s="1"/>
  <c r="DD13" i="12" a="1"/>
  <c r="DD13" i="12" s="1"/>
  <c r="DC13" i="12"/>
  <c r="DC13" i="12" a="1"/>
  <c r="DB13" i="12" a="1"/>
  <c r="DB13" i="12" s="1"/>
  <c r="DA13" i="12" a="1"/>
  <c r="DA13" i="12" s="1"/>
  <c r="CZ13" i="12" a="1"/>
  <c r="CZ13" i="12" s="1"/>
  <c r="CY13" i="12" a="1"/>
  <c r="CY13" i="12" s="1"/>
  <c r="CX13" i="12" a="1"/>
  <c r="CX13" i="12" s="1"/>
  <c r="CW13" i="12" a="1"/>
  <c r="CW13" i="12" s="1"/>
  <c r="CV13" i="12"/>
  <c r="CV13" i="12" a="1"/>
  <c r="CU13" i="12"/>
  <c r="CU13" i="12" a="1"/>
  <c r="CT13" i="12" a="1"/>
  <c r="CT13" i="12" s="1"/>
  <c r="CS13" i="12" a="1"/>
  <c r="CS13" i="12" s="1"/>
  <c r="CR13" i="12" a="1"/>
  <c r="CR13" i="12" s="1"/>
  <c r="CQ13" i="12" a="1"/>
  <c r="CQ13" i="12" s="1"/>
  <c r="CP13" i="12" a="1"/>
  <c r="CP13" i="12" s="1"/>
  <c r="CO13" i="12" a="1"/>
  <c r="CO13" i="12" s="1"/>
  <c r="CN13" i="12" a="1"/>
  <c r="CN13" i="12" s="1"/>
  <c r="CM13" i="12"/>
  <c r="CM13" i="12" a="1"/>
  <c r="CL13" i="12" a="1"/>
  <c r="CL13" i="12" s="1"/>
  <c r="CK13" i="12" a="1"/>
  <c r="CK13" i="12" s="1"/>
  <c r="CJ13" i="12" a="1"/>
  <c r="CJ13" i="12" s="1"/>
  <c r="CI13" i="12" a="1"/>
  <c r="CI13" i="12" s="1"/>
  <c r="CH13" i="12" a="1"/>
  <c r="CH13" i="12" s="1"/>
  <c r="CG13" i="12" a="1"/>
  <c r="CG13" i="12" s="1"/>
  <c r="CF13" i="12" a="1"/>
  <c r="CF13" i="12" s="1"/>
  <c r="CE13" i="12"/>
  <c r="CE13" i="12" a="1"/>
  <c r="CD13" i="12" a="1"/>
  <c r="CD13" i="12" s="1"/>
  <c r="CC13" i="12" a="1"/>
  <c r="CC13" i="12" s="1"/>
  <c r="CB13" i="12" a="1"/>
  <c r="CB13" i="12" s="1"/>
  <c r="CA13" i="12" a="1"/>
  <c r="CA13" i="12" s="1"/>
  <c r="BZ13" i="12" a="1"/>
  <c r="BZ13" i="12" s="1"/>
  <c r="BY13" i="12" a="1"/>
  <c r="BY13" i="12" s="1"/>
  <c r="BX13" i="12" a="1"/>
  <c r="BX13" i="12" s="1"/>
  <c r="BW13" i="12"/>
  <c r="BW13" i="12" a="1"/>
  <c r="BV13" i="12" a="1"/>
  <c r="BV13" i="12" s="1"/>
  <c r="BU13" i="12" a="1"/>
  <c r="BU13" i="12" s="1"/>
  <c r="BT13" i="12" a="1"/>
  <c r="BT13" i="12" s="1"/>
  <c r="BS13" i="12" a="1"/>
  <c r="BS13" i="12" s="1"/>
  <c r="BR13" i="12"/>
  <c r="BR13" i="12" a="1"/>
  <c r="BQ13" i="12"/>
  <c r="BQ13" i="12" a="1"/>
  <c r="BP13" i="12" a="1"/>
  <c r="BP13" i="12" s="1"/>
  <c r="BO13" i="12"/>
  <c r="BO13" i="12" a="1"/>
  <c r="BN13" i="12" a="1"/>
  <c r="BN13" i="12" s="1"/>
  <c r="BM13" i="12" a="1"/>
  <c r="BM13" i="12" s="1"/>
  <c r="BL13" i="12" a="1"/>
  <c r="BL13" i="12" s="1"/>
  <c r="BK13" i="12" a="1"/>
  <c r="BK13" i="12" s="1"/>
  <c r="BJ13" i="12" a="1"/>
  <c r="BJ13" i="12" s="1"/>
  <c r="BI13" i="12" a="1"/>
  <c r="BI13" i="12" s="1"/>
  <c r="BH13" i="12" a="1"/>
  <c r="BH13" i="12" s="1"/>
  <c r="BG13" i="12"/>
  <c r="BG13" i="12" a="1"/>
  <c r="BF13" i="12" a="1"/>
  <c r="BF13" i="12" s="1"/>
  <c r="BE13" i="12" a="1"/>
  <c r="BE13" i="12" s="1"/>
  <c r="BD13" i="12" a="1"/>
  <c r="BD13" i="12" s="1"/>
  <c r="BC13" i="12" a="1"/>
  <c r="BC13" i="12" s="1"/>
  <c r="BB13" i="12" a="1"/>
  <c r="BB13" i="12" s="1"/>
  <c r="BA13" i="12" a="1"/>
  <c r="BA13" i="12" s="1"/>
  <c r="AZ13" i="12" a="1"/>
  <c r="AZ13" i="12" s="1"/>
  <c r="AY13" i="12"/>
  <c r="AY13" i="12" a="1"/>
  <c r="AX13" i="12" a="1"/>
  <c r="AX13" i="12" s="1"/>
  <c r="AW13" i="12" a="1"/>
  <c r="AW13" i="12" s="1"/>
  <c r="AV13" i="12" a="1"/>
  <c r="AV13" i="12" s="1"/>
  <c r="AU13" i="12" a="1"/>
  <c r="AU13" i="12" s="1"/>
  <c r="AT13" i="12" a="1"/>
  <c r="AT13" i="12" s="1"/>
  <c r="AS13" i="12" a="1"/>
  <c r="AS13" i="12" s="1"/>
  <c r="AR13" i="12" a="1"/>
  <c r="AR13" i="12" s="1"/>
  <c r="AQ13" i="12"/>
  <c r="AQ13" i="12" a="1"/>
  <c r="AP13" i="12" a="1"/>
  <c r="AP13" i="12" s="1"/>
  <c r="AO13" i="12" a="1"/>
  <c r="AO13" i="12" s="1"/>
  <c r="AN13" i="12" a="1"/>
  <c r="AN13" i="12" s="1"/>
  <c r="AM13" i="12" a="1"/>
  <c r="AM13" i="12" s="1"/>
  <c r="AL13" i="12" a="1"/>
  <c r="AL13" i="12" s="1"/>
  <c r="AK13" i="12" a="1"/>
  <c r="AK13" i="12" s="1"/>
  <c r="AJ13" i="12" a="1"/>
  <c r="AJ13" i="12" s="1"/>
  <c r="AI13" i="12"/>
  <c r="AI13" i="12" a="1"/>
  <c r="AH13" i="12" a="1"/>
  <c r="AH13" i="12" s="1"/>
  <c r="AG13" i="12" a="1"/>
  <c r="AG13" i="12" s="1"/>
  <c r="AF13" i="12" a="1"/>
  <c r="AF13" i="12" s="1"/>
  <c r="AE13" i="12" a="1"/>
  <c r="AE13" i="12" s="1"/>
  <c r="AD13" i="12" a="1"/>
  <c r="AD13" i="12" s="1"/>
  <c r="AC13" i="12" a="1"/>
  <c r="AC13" i="12" s="1"/>
  <c r="AB13" i="12" a="1"/>
  <c r="AB13" i="12" s="1"/>
  <c r="AA13" i="12"/>
  <c r="AA13" i="12" a="1"/>
  <c r="Z13" i="12" a="1"/>
  <c r="Z13" i="12" s="1"/>
  <c r="Y13" i="12" a="1"/>
  <c r="Y13" i="12" s="1"/>
  <c r="X13" i="12" a="1"/>
  <c r="X13" i="12" s="1"/>
  <c r="W13" i="12" a="1"/>
  <c r="W13" i="12" s="1"/>
  <c r="V13" i="12" a="1"/>
  <c r="V13" i="12" s="1"/>
  <c r="U13" i="12"/>
  <c r="U13" i="12" a="1"/>
  <c r="T13" i="12" a="1"/>
  <c r="T13" i="12" s="1"/>
  <c r="S13" i="12"/>
  <c r="S13" i="12" a="1"/>
  <c r="R13" i="12" a="1"/>
  <c r="R13" i="12" s="1"/>
  <c r="Q13" i="12" a="1"/>
  <c r="Q13" i="12" s="1"/>
  <c r="P13" i="12" a="1"/>
  <c r="P13" i="12" s="1"/>
  <c r="O13" i="12" a="1"/>
  <c r="O13" i="12" s="1"/>
  <c r="N13" i="12" a="1"/>
  <c r="N13" i="12" s="1"/>
  <c r="M13" i="12" a="1"/>
  <c r="M13" i="12" s="1"/>
  <c r="L13" i="12" a="1"/>
  <c r="L13" i="12" s="1"/>
  <c r="K13" i="12"/>
  <c r="K13" i="12" a="1"/>
  <c r="J13" i="12" a="1"/>
  <c r="J13" i="12" s="1"/>
  <c r="I13" i="12" a="1"/>
  <c r="I13" i="12" s="1"/>
  <c r="H13" i="12" a="1"/>
  <c r="H13" i="12" s="1"/>
  <c r="G13" i="12" a="1"/>
  <c r="G13" i="12" s="1"/>
  <c r="F13" i="12" a="1"/>
  <c r="F13" i="12" s="1"/>
  <c r="E13" i="12" a="1"/>
  <c r="E13" i="12" s="1"/>
  <c r="D13" i="12" a="1"/>
  <c r="D13" i="12" s="1"/>
  <c r="C13" i="12"/>
  <c r="C13" i="12" a="1"/>
  <c r="EF12" i="12" a="1"/>
  <c r="EF12" i="12" s="1"/>
  <c r="EE12" i="12" a="1"/>
  <c r="EE12" i="12" s="1"/>
  <c r="ED12" i="12" a="1"/>
  <c r="ED12" i="12" s="1"/>
  <c r="EC12" i="12" a="1"/>
  <c r="EC12" i="12" s="1"/>
  <c r="EB12" i="12" a="1"/>
  <c r="EB12" i="12" s="1"/>
  <c r="EA12" i="12" a="1"/>
  <c r="EA12" i="12" s="1"/>
  <c r="DZ12" i="12" a="1"/>
  <c r="DZ12" i="12" s="1"/>
  <c r="DY12" i="12"/>
  <c r="DY12" i="12" a="1"/>
  <c r="DX12" i="12" a="1"/>
  <c r="DX12" i="12" s="1"/>
  <c r="DW12" i="12" a="1"/>
  <c r="DW12" i="12" s="1"/>
  <c r="DV12" i="12" a="1"/>
  <c r="DV12" i="12" s="1"/>
  <c r="DU12" i="12"/>
  <c r="DU12" i="12" a="1"/>
  <c r="DT12" i="12" a="1"/>
  <c r="DT12" i="12" s="1"/>
  <c r="DS12" i="12" a="1"/>
  <c r="DS12" i="12" s="1"/>
  <c r="DR12" i="12" a="1"/>
  <c r="DR12" i="12" s="1"/>
  <c r="DQ12" i="12"/>
  <c r="DQ12" i="12" a="1"/>
  <c r="DP12" i="12" a="1"/>
  <c r="DP12" i="12" s="1"/>
  <c r="DO12" i="12" a="1"/>
  <c r="DO12" i="12" s="1"/>
  <c r="DN12" i="12" a="1"/>
  <c r="DN12" i="12" s="1"/>
  <c r="DM12" i="12" a="1"/>
  <c r="DM12" i="12" s="1"/>
  <c r="DL12" i="12" a="1"/>
  <c r="DL12" i="12" s="1"/>
  <c r="DK12" i="12" a="1"/>
  <c r="DK12" i="12" s="1"/>
  <c r="DJ12" i="12" a="1"/>
  <c r="DJ12" i="12" s="1"/>
  <c r="DI12" i="12"/>
  <c r="DI12" i="12" a="1"/>
  <c r="DH12" i="12" a="1"/>
  <c r="DH12" i="12" s="1"/>
  <c r="DG12" i="12" a="1"/>
  <c r="DG12" i="12" s="1"/>
  <c r="DF12" i="12" a="1"/>
  <c r="DF12" i="12" s="1"/>
  <c r="DE12" i="12" a="1"/>
  <c r="DE12" i="12" s="1"/>
  <c r="DD12" i="12" a="1"/>
  <c r="DD12" i="12" s="1"/>
  <c r="DC12" i="12" a="1"/>
  <c r="DC12" i="12" s="1"/>
  <c r="DB12" i="12"/>
  <c r="DB12" i="12" a="1"/>
  <c r="DA12" i="12"/>
  <c r="DA12" i="12" a="1"/>
  <c r="CZ12" i="12" a="1"/>
  <c r="CZ12" i="12" s="1"/>
  <c r="CY12" i="12" a="1"/>
  <c r="CY12" i="12" s="1"/>
  <c r="CX12" i="12" a="1"/>
  <c r="CX12" i="12" s="1"/>
  <c r="CW12" i="12" a="1"/>
  <c r="CW12" i="12" s="1"/>
  <c r="CV12" i="12" a="1"/>
  <c r="CV12" i="12" s="1"/>
  <c r="CU12" i="12" a="1"/>
  <c r="CU12" i="12" s="1"/>
  <c r="CT12" i="12" a="1"/>
  <c r="CT12" i="12" s="1"/>
  <c r="CS12" i="12"/>
  <c r="CS12" i="12" a="1"/>
  <c r="CR12" i="12" a="1"/>
  <c r="CR12" i="12" s="1"/>
  <c r="CQ12" i="12" a="1"/>
  <c r="CQ12" i="12" s="1"/>
  <c r="CP12" i="12" a="1"/>
  <c r="CP12" i="12" s="1"/>
  <c r="CO12" i="12" a="1"/>
  <c r="CO12" i="12" s="1"/>
  <c r="CN12" i="12" a="1"/>
  <c r="CN12" i="12" s="1"/>
  <c r="CM12" i="12" a="1"/>
  <c r="CM12" i="12" s="1"/>
  <c r="CL12" i="12" a="1"/>
  <c r="CL12" i="12" s="1"/>
  <c r="CK12" i="12"/>
  <c r="CK12" i="12" a="1"/>
  <c r="CJ12" i="12" a="1"/>
  <c r="CJ12" i="12" s="1"/>
  <c r="CI12" i="12" a="1"/>
  <c r="CI12" i="12" s="1"/>
  <c r="CH12" i="12" a="1"/>
  <c r="CH12" i="12" s="1"/>
  <c r="CG12" i="12" a="1"/>
  <c r="CG12" i="12" s="1"/>
  <c r="CF12" i="12" a="1"/>
  <c r="CF12" i="12" s="1"/>
  <c r="CE12" i="12" a="1"/>
  <c r="CE12" i="12" s="1"/>
  <c r="CD12" i="12" a="1"/>
  <c r="CD12" i="12" s="1"/>
  <c r="CC12" i="12"/>
  <c r="CC12" i="12" a="1"/>
  <c r="CB12" i="12" a="1"/>
  <c r="CB12" i="12" s="1"/>
  <c r="CA12" i="12" a="1"/>
  <c r="CA12" i="12" s="1"/>
  <c r="BZ12" i="12" a="1"/>
  <c r="BZ12" i="12" s="1"/>
  <c r="BY12" i="12" a="1"/>
  <c r="BY12" i="12" s="1"/>
  <c r="BX12" i="12"/>
  <c r="BX12" i="12" a="1"/>
  <c r="BW12" i="12" a="1"/>
  <c r="BW12" i="12" s="1"/>
  <c r="BV12" i="12" a="1"/>
  <c r="BV12" i="12" s="1"/>
  <c r="BU12" i="12"/>
  <c r="BU12" i="12" a="1"/>
  <c r="BT12" i="12" a="1"/>
  <c r="BT12" i="12" s="1"/>
  <c r="BS12" i="12" a="1"/>
  <c r="BS12" i="12" s="1"/>
  <c r="BR12" i="12" a="1"/>
  <c r="BR12" i="12" s="1"/>
  <c r="BQ12" i="12" a="1"/>
  <c r="BQ12" i="12" s="1"/>
  <c r="BP12" i="12" a="1"/>
  <c r="BP12" i="12" s="1"/>
  <c r="BO12" i="12" a="1"/>
  <c r="BO12" i="12" s="1"/>
  <c r="BN12" i="12" a="1"/>
  <c r="BN12" i="12" s="1"/>
  <c r="BM12" i="12"/>
  <c r="BM12" i="12" a="1"/>
  <c r="BL12" i="12" a="1"/>
  <c r="BL12" i="12" s="1"/>
  <c r="BK12" i="12" a="1"/>
  <c r="BK12" i="12" s="1"/>
  <c r="BJ12" i="12" a="1"/>
  <c r="BJ12" i="12" s="1"/>
  <c r="BI12" i="12" a="1"/>
  <c r="BI12" i="12" s="1"/>
  <c r="BH12" i="12" a="1"/>
  <c r="BH12" i="12" s="1"/>
  <c r="BG12" i="12" a="1"/>
  <c r="BG12" i="12" s="1"/>
  <c r="BF12" i="12" a="1"/>
  <c r="BF12" i="12" s="1"/>
  <c r="BE12" i="12"/>
  <c r="BE12" i="12" a="1"/>
  <c r="BD12" i="12" a="1"/>
  <c r="BD12" i="12" s="1"/>
  <c r="BC12" i="12" a="1"/>
  <c r="BC12" i="12" s="1"/>
  <c r="BB12" i="12" a="1"/>
  <c r="BB12" i="12" s="1"/>
  <c r="BA12" i="12" a="1"/>
  <c r="BA12" i="12" s="1"/>
  <c r="AZ12" i="12" a="1"/>
  <c r="AZ12" i="12" s="1"/>
  <c r="AY12" i="12" a="1"/>
  <c r="AY12" i="12" s="1"/>
  <c r="AX12" i="12" a="1"/>
  <c r="AX12" i="12" s="1"/>
  <c r="AW12" i="12"/>
  <c r="AW12" i="12" a="1"/>
  <c r="AV12" i="12" a="1"/>
  <c r="AV12" i="12" s="1"/>
  <c r="AU12" i="12" a="1"/>
  <c r="AU12" i="12" s="1"/>
  <c r="AT12" i="12" a="1"/>
  <c r="AT12" i="12" s="1"/>
  <c r="AS12" i="12" a="1"/>
  <c r="AS12" i="12" s="1"/>
  <c r="AR12" i="12" a="1"/>
  <c r="AR12" i="12" s="1"/>
  <c r="AQ12" i="12" a="1"/>
  <c r="AQ12" i="12" s="1"/>
  <c r="AP12" i="12" a="1"/>
  <c r="AP12" i="12" s="1"/>
  <c r="AO12" i="12"/>
  <c r="AO12" i="12" a="1"/>
  <c r="AN12" i="12" a="1"/>
  <c r="AN12" i="12" s="1"/>
  <c r="AM12" i="12" a="1"/>
  <c r="AM12" i="12" s="1"/>
  <c r="AL12" i="12" a="1"/>
  <c r="AL12" i="12" s="1"/>
  <c r="AK12" i="12" a="1"/>
  <c r="AK12" i="12" s="1"/>
  <c r="AJ12" i="12" a="1"/>
  <c r="AJ12" i="12" s="1"/>
  <c r="AI12" i="12" a="1"/>
  <c r="AI12" i="12" s="1"/>
  <c r="AH12" i="12" a="1"/>
  <c r="AH12" i="12" s="1"/>
  <c r="AG12" i="12"/>
  <c r="AG12" i="12" a="1"/>
  <c r="AF12" i="12" a="1"/>
  <c r="AF12" i="12" s="1"/>
  <c r="AE12" i="12" a="1"/>
  <c r="AE12" i="12" s="1"/>
  <c r="AD12" i="12" a="1"/>
  <c r="AD12" i="12" s="1"/>
  <c r="AC12" i="12" a="1"/>
  <c r="AC12" i="12" s="1"/>
  <c r="AB12" i="12" a="1"/>
  <c r="AB12" i="12" s="1"/>
  <c r="AA12" i="12"/>
  <c r="AA12" i="12" a="1"/>
  <c r="Z12" i="12" a="1"/>
  <c r="Z12" i="12" s="1"/>
  <c r="Y12" i="12"/>
  <c r="Y12" i="12" a="1"/>
  <c r="X12" i="12" a="1"/>
  <c r="X12" i="12" s="1"/>
  <c r="W12" i="12" a="1"/>
  <c r="W12" i="12" s="1"/>
  <c r="V12" i="12" a="1"/>
  <c r="V12" i="12" s="1"/>
  <c r="U12" i="12" a="1"/>
  <c r="U12" i="12" s="1"/>
  <c r="T12" i="12" a="1"/>
  <c r="T12" i="12" s="1"/>
  <c r="S12" i="12" a="1"/>
  <c r="S12" i="12" s="1"/>
  <c r="R12" i="12" a="1"/>
  <c r="R12" i="12" s="1"/>
  <c r="Q12" i="12"/>
  <c r="Q12" i="12" a="1"/>
  <c r="P12" i="12" a="1"/>
  <c r="P12" i="12" s="1"/>
  <c r="O12" i="12" a="1"/>
  <c r="O12" i="12" s="1"/>
  <c r="N12" i="12" a="1"/>
  <c r="N12" i="12" s="1"/>
  <c r="M12" i="12" a="1"/>
  <c r="M12" i="12" s="1"/>
  <c r="L12" i="12" a="1"/>
  <c r="L12" i="12" s="1"/>
  <c r="K12" i="12" a="1"/>
  <c r="K12" i="12" s="1"/>
  <c r="J12" i="12" a="1"/>
  <c r="J12" i="12" s="1"/>
  <c r="I12" i="12"/>
  <c r="I12" i="12" a="1"/>
  <c r="H12" i="12" a="1"/>
  <c r="H12" i="12" s="1"/>
  <c r="G12" i="12" a="1"/>
  <c r="G12" i="12" s="1"/>
  <c r="F12" i="12" a="1"/>
  <c r="F12" i="12" s="1"/>
  <c r="E12" i="12" a="1"/>
  <c r="E12" i="12" s="1"/>
  <c r="D12" i="12" a="1"/>
  <c r="D12" i="12" s="1"/>
  <c r="C12" i="12" a="1"/>
  <c r="C12" i="12"/>
  <c r="D25" i="12"/>
  <c r="E25" i="12" s="1"/>
  <c r="F25" i="12" s="1"/>
  <c r="G25" i="12" s="1"/>
  <c r="H25" i="12" s="1"/>
  <c r="I25" i="12" s="1"/>
  <c r="J25" i="12" s="1"/>
  <c r="K25" i="12" s="1"/>
  <c r="L25" i="12" s="1"/>
  <c r="M25" i="12" s="1"/>
  <c r="N25" i="12" s="1"/>
  <c r="O25" i="12" s="1"/>
  <c r="P25" i="12" s="1"/>
  <c r="Q25" i="12" s="1"/>
  <c r="R25" i="12" s="1"/>
  <c r="S25" i="12" s="1"/>
  <c r="T25" i="12" s="1"/>
  <c r="U25" i="12" s="1"/>
  <c r="V25" i="12" s="1"/>
  <c r="W25" i="12" s="1"/>
  <c r="X25" i="12" s="1"/>
  <c r="Y25" i="12" s="1"/>
  <c r="Z25" i="12" s="1"/>
  <c r="AA25" i="12" s="1"/>
  <c r="AB25" i="12" s="1"/>
  <c r="AC25" i="12" s="1"/>
  <c r="AD25" i="12" s="1"/>
  <c r="AE25" i="12" s="1"/>
  <c r="AF25" i="12" s="1"/>
  <c r="AG25" i="12" s="1"/>
  <c r="AH25" i="12" s="1"/>
  <c r="AI25" i="12" s="1"/>
  <c r="AJ25" i="12" s="1"/>
  <c r="AK25" i="12" s="1"/>
  <c r="AL25" i="12" s="1"/>
  <c r="AM25" i="12" s="1"/>
  <c r="AN25" i="12" s="1"/>
  <c r="AO25" i="12" s="1"/>
  <c r="AP25" i="12" s="1"/>
  <c r="AQ25" i="12" s="1"/>
  <c r="AR25" i="12" s="1"/>
  <c r="AS25" i="12" s="1"/>
  <c r="AT25" i="12" s="1"/>
  <c r="AU25" i="12" s="1"/>
  <c r="AV25" i="12" s="1"/>
  <c r="AW25" i="12" s="1"/>
  <c r="AX25" i="12" s="1"/>
  <c r="AY25" i="12" s="1"/>
  <c r="AZ25" i="12" s="1"/>
  <c r="BA25" i="12" s="1"/>
  <c r="BB25" i="12" s="1"/>
  <c r="BC25" i="12" s="1"/>
  <c r="BD25" i="12" s="1"/>
  <c r="BE25" i="12" s="1"/>
  <c r="BF25" i="12" s="1"/>
  <c r="BG25" i="12" s="1"/>
  <c r="BH25" i="12" s="1"/>
  <c r="BI25" i="12" s="1"/>
  <c r="BJ25" i="12" s="1"/>
  <c r="BK25" i="12" s="1"/>
  <c r="BL25" i="12" s="1"/>
  <c r="BM25" i="12" s="1"/>
  <c r="BN25" i="12" s="1"/>
  <c r="BO25" i="12" s="1"/>
  <c r="BP25" i="12" s="1"/>
  <c r="BQ25" i="12" s="1"/>
  <c r="BR25" i="12" s="1"/>
  <c r="BS25" i="12" s="1"/>
  <c r="BT25" i="12" s="1"/>
  <c r="BU25" i="12" s="1"/>
  <c r="BV25" i="12" s="1"/>
  <c r="BW25" i="12" s="1"/>
  <c r="BX25" i="12" s="1"/>
  <c r="BY25" i="12" s="1"/>
  <c r="BZ25" i="12" s="1"/>
  <c r="CA25" i="12" s="1"/>
  <c r="CB25" i="12" s="1"/>
  <c r="CC25" i="12" s="1"/>
  <c r="CD25" i="12" s="1"/>
  <c r="CE25" i="12" s="1"/>
  <c r="CF25" i="12" s="1"/>
  <c r="CG25" i="12" s="1"/>
  <c r="CH25" i="12" s="1"/>
  <c r="CI25" i="12" s="1"/>
  <c r="CJ25" i="12" s="1"/>
  <c r="CK25" i="12" s="1"/>
  <c r="CL25" i="12" s="1"/>
  <c r="CM25" i="12" s="1"/>
  <c r="CN25" i="12" s="1"/>
  <c r="CO25" i="12" s="1"/>
  <c r="CP25" i="12" s="1"/>
  <c r="CQ25" i="12" s="1"/>
  <c r="CR25" i="12" s="1"/>
  <c r="CS25" i="12" s="1"/>
  <c r="CT25" i="12" s="1"/>
  <c r="CU25" i="12" s="1"/>
  <c r="CV25" i="12" s="1"/>
  <c r="CW25" i="12" s="1"/>
  <c r="CX25" i="12" s="1"/>
  <c r="CY25" i="12" s="1"/>
  <c r="CZ25" i="12" s="1"/>
  <c r="DA25" i="12" s="1"/>
  <c r="DB25" i="12" s="1"/>
  <c r="DC25" i="12" s="1"/>
  <c r="DD25" i="12" s="1"/>
  <c r="DE25" i="12" s="1"/>
  <c r="DF25" i="12" s="1"/>
  <c r="DG25" i="12" s="1"/>
  <c r="DH25" i="12" s="1"/>
  <c r="DI25" i="12" s="1"/>
  <c r="DJ25" i="12" s="1"/>
  <c r="DK25" i="12" s="1"/>
  <c r="DL25" i="12" s="1"/>
  <c r="DM25" i="12" s="1"/>
  <c r="DN25" i="12" s="1"/>
  <c r="DO25" i="12" s="1"/>
  <c r="DP25" i="12" s="1"/>
  <c r="DQ25" i="12" s="1"/>
  <c r="DR25" i="12" s="1"/>
  <c r="DS25" i="12" s="1"/>
  <c r="DT25" i="12" s="1"/>
  <c r="DU25" i="12" s="1"/>
  <c r="DV25" i="12" s="1"/>
  <c r="DW25" i="12" s="1"/>
  <c r="DX25" i="12" s="1"/>
  <c r="DY25" i="12" s="1"/>
  <c r="DZ25" i="12" s="1"/>
  <c r="EA25" i="12" s="1"/>
  <c r="EB25" i="12" s="1"/>
  <c r="EC25" i="12" s="1"/>
  <c r="ED25" i="12" s="1"/>
  <c r="EE25" i="12" s="1"/>
  <c r="EF25" i="12" s="1"/>
  <c r="DW8" i="12"/>
  <c r="DV8" i="12"/>
  <c r="DU8" i="12"/>
  <c r="DT8" i="12"/>
  <c r="DA8" i="12"/>
  <c r="CI8" i="12"/>
  <c r="AO8" i="12"/>
  <c r="EE7" i="12"/>
  <c r="DI7" i="12"/>
  <c r="DG7" i="12"/>
  <c r="CO7" i="12"/>
  <c r="CN7" i="12"/>
  <c r="CM7" i="12"/>
  <c r="BV7" i="12"/>
  <c r="BT7" i="12"/>
  <c r="BS7" i="12"/>
  <c r="EG6" i="12" a="1"/>
  <c r="EG6" i="12" s="1"/>
  <c r="EF6" i="12" a="1"/>
  <c r="EF6" i="12" s="1"/>
  <c r="EE6" i="12" a="1"/>
  <c r="EE6" i="12" s="1"/>
  <c r="EE8" i="12" s="1"/>
  <c r="ED6" i="12" a="1"/>
  <c r="ED6" i="12" s="1"/>
  <c r="EC6" i="12"/>
  <c r="EC7" i="12" s="1"/>
  <c r="EC6" i="12" a="1"/>
  <c r="EB6" i="12" a="1"/>
  <c r="EB6" i="12" s="1"/>
  <c r="EA6" i="12" a="1"/>
  <c r="EA6" i="12" s="1"/>
  <c r="DZ6" i="12" a="1"/>
  <c r="DZ6" i="12" s="1"/>
  <c r="DY6" i="12" a="1"/>
  <c r="DY6" i="12" s="1"/>
  <c r="DX6" i="12"/>
  <c r="DX7" i="12" s="1"/>
  <c r="DX6" i="12" a="1"/>
  <c r="DW6" i="12" a="1"/>
  <c r="DW6" i="12" s="1"/>
  <c r="DW7" i="12" s="1"/>
  <c r="DV6" i="12"/>
  <c r="DV7" i="12" s="1"/>
  <c r="DV6" i="12" a="1"/>
  <c r="DU6" i="12"/>
  <c r="DU7" i="12" s="1"/>
  <c r="DU6" i="12" a="1"/>
  <c r="DT6" i="12" a="1"/>
  <c r="DT6" i="12" s="1"/>
  <c r="DT7" i="12" s="1"/>
  <c r="DS6" i="12"/>
  <c r="DS6" i="12" a="1"/>
  <c r="DR6" i="12"/>
  <c r="DR6" i="12" a="1"/>
  <c r="DQ6" i="12" a="1"/>
  <c r="DQ6" i="12" s="1"/>
  <c r="DP6" i="12" a="1"/>
  <c r="DP6" i="12" s="1"/>
  <c r="DO6" i="12" a="1"/>
  <c r="DO6" i="12" s="1"/>
  <c r="DO8" i="12" s="1"/>
  <c r="DN6" i="12" a="1"/>
  <c r="DN6" i="12" s="1"/>
  <c r="DM6" i="12" a="1"/>
  <c r="DM6" i="12" s="1"/>
  <c r="DL6" i="12"/>
  <c r="DL6" i="12" a="1"/>
  <c r="DK6" i="12" a="1"/>
  <c r="DK6" i="12" s="1"/>
  <c r="DJ6" i="12"/>
  <c r="DJ6" i="12" a="1"/>
  <c r="DI6" i="12" a="1"/>
  <c r="DI6" i="12" s="1"/>
  <c r="DI8" i="12" s="1"/>
  <c r="DH6" i="12" a="1"/>
  <c r="DH6" i="12" s="1"/>
  <c r="DG6" i="12" a="1"/>
  <c r="DG6" i="12" s="1"/>
  <c r="DG8" i="12" s="1"/>
  <c r="DF6" i="12" a="1"/>
  <c r="DF6" i="12" s="1"/>
  <c r="DE6" i="12"/>
  <c r="DE6" i="12" a="1"/>
  <c r="DD6" i="12" a="1"/>
  <c r="DD6" i="12" s="1"/>
  <c r="DC6" i="12" a="1"/>
  <c r="DC6" i="12" s="1"/>
  <c r="DB6" i="12" a="1"/>
  <c r="DB6" i="12" s="1"/>
  <c r="DA6" i="12"/>
  <c r="DA7" i="12" s="1"/>
  <c r="DA6" i="12" a="1"/>
  <c r="CZ6" i="12" a="1"/>
  <c r="CZ6" i="12" s="1"/>
  <c r="CZ7" i="12" s="1"/>
  <c r="CY6" i="12" a="1"/>
  <c r="CY6" i="12" s="1"/>
  <c r="CY8" i="12" s="1"/>
  <c r="CX6" i="12" a="1"/>
  <c r="CX6" i="12" s="1"/>
  <c r="CW6" i="12" a="1"/>
  <c r="CW6" i="12" s="1"/>
  <c r="CV6" i="12" a="1"/>
  <c r="CV6" i="12" s="1"/>
  <c r="CU6" i="12" a="1"/>
  <c r="CU6" i="12" s="1"/>
  <c r="CT6" i="12" a="1"/>
  <c r="CT6" i="12" s="1"/>
  <c r="CS6" i="12" a="1"/>
  <c r="CS6" i="12" s="1"/>
  <c r="CR6" i="12" a="1"/>
  <c r="CR6" i="12" s="1"/>
  <c r="CQ6" i="12" a="1"/>
  <c r="CQ6" i="12" s="1"/>
  <c r="CQ7" i="12" s="1"/>
  <c r="CP6" i="12"/>
  <c r="CP8" i="12" s="1"/>
  <c r="CP6" i="12" a="1"/>
  <c r="CO6" i="12" a="1"/>
  <c r="CO6" i="12" s="1"/>
  <c r="CO8" i="12" s="1"/>
  <c r="CN6" i="12"/>
  <c r="CN8" i="12" s="1"/>
  <c r="CN6" i="12" a="1"/>
  <c r="CM6" i="12" a="1"/>
  <c r="CM6" i="12" s="1"/>
  <c r="CM8" i="12" s="1"/>
  <c r="CL6" i="12" a="1"/>
  <c r="CL6" i="12" s="1"/>
  <c r="CK6" i="12" a="1"/>
  <c r="CK6" i="12" s="1"/>
  <c r="CJ6" i="12"/>
  <c r="CJ6" i="12" a="1"/>
  <c r="CI6" i="12" a="1"/>
  <c r="CI6" i="12" s="1"/>
  <c r="CI7" i="12" s="1"/>
  <c r="CH6" i="12" a="1"/>
  <c r="CH6" i="12" s="1"/>
  <c r="CG6" i="12" a="1"/>
  <c r="CG6" i="12" s="1"/>
  <c r="CF6" i="12" a="1"/>
  <c r="CF6" i="12" s="1"/>
  <c r="CE6" i="12" a="1"/>
  <c r="CE6" i="12" s="1"/>
  <c r="CE7" i="12" s="1"/>
  <c r="CD6" i="12" a="1"/>
  <c r="CD6" i="12" s="1"/>
  <c r="CC6" i="12" a="1"/>
  <c r="CC6" i="12" s="1"/>
  <c r="CB6" i="12" a="1"/>
  <c r="CB6" i="12" s="1"/>
  <c r="CA6" i="12" a="1"/>
  <c r="CA6" i="12" s="1"/>
  <c r="CA8" i="12" s="1"/>
  <c r="BZ6" i="12" a="1"/>
  <c r="BZ6" i="12" s="1"/>
  <c r="BY6" i="12" a="1"/>
  <c r="BY6" i="12" s="1"/>
  <c r="BX6" i="12" a="1"/>
  <c r="BX6" i="12" s="1"/>
  <c r="BW6" i="12"/>
  <c r="BW6" i="12" a="1"/>
  <c r="BV6" i="12" a="1"/>
  <c r="BV6" i="12" s="1"/>
  <c r="BV8" i="12" s="1"/>
  <c r="BU6" i="12" a="1"/>
  <c r="BU6" i="12" s="1"/>
  <c r="BT6" i="12" a="1"/>
  <c r="BT6" i="12" s="1"/>
  <c r="BT8" i="12" s="1"/>
  <c r="BS6" i="12" a="1"/>
  <c r="BS6" i="12" s="1"/>
  <c r="BS8" i="12" s="1"/>
  <c r="BR6" i="12"/>
  <c r="BR6" i="12" a="1"/>
  <c r="BQ6" i="12" a="1"/>
  <c r="BQ6" i="12" s="1"/>
  <c r="BP6" i="12"/>
  <c r="BP6" i="12" a="1"/>
  <c r="BO6" i="12"/>
  <c r="BO6" i="12" a="1"/>
  <c r="BN6" i="12" a="1"/>
  <c r="BN6" i="12" s="1"/>
  <c r="BM6" i="12" a="1"/>
  <c r="BM6" i="12" s="1"/>
  <c r="BL6" i="12" a="1"/>
  <c r="BL6" i="12" s="1"/>
  <c r="BK6" i="12" a="1"/>
  <c r="BK6" i="12" s="1"/>
  <c r="BK7" i="12" s="1"/>
  <c r="BJ6" i="12" a="1"/>
  <c r="BJ6" i="12" s="1"/>
  <c r="BI6" i="12" a="1"/>
  <c r="BI6" i="12" s="1"/>
  <c r="BH6" i="12"/>
  <c r="BH6" i="12" a="1"/>
  <c r="BG6" i="12"/>
  <c r="BG6" i="12" a="1"/>
  <c r="BF6" i="12"/>
  <c r="BF6" i="12" a="1"/>
  <c r="BE6" i="12" a="1"/>
  <c r="BE6" i="12" s="1"/>
  <c r="BD6" i="12" a="1"/>
  <c r="BD6" i="12" s="1"/>
  <c r="BC6" i="12" a="1"/>
  <c r="BC6" i="12" s="1"/>
  <c r="BB6" i="12" a="1"/>
  <c r="BB6" i="12" s="1"/>
  <c r="BA6" i="12" a="1"/>
  <c r="BA6" i="12" s="1"/>
  <c r="AZ6" i="12" a="1"/>
  <c r="AZ6" i="12" s="1"/>
  <c r="AY6" i="12" a="1"/>
  <c r="AY6" i="12" s="1"/>
  <c r="AX6" i="12" a="1"/>
  <c r="AX6" i="12" s="1"/>
  <c r="AW6" i="12" a="1"/>
  <c r="AW6" i="12" s="1"/>
  <c r="AV6" i="12" a="1"/>
  <c r="AV6" i="12" s="1"/>
  <c r="AU6" i="12" a="1"/>
  <c r="AU6" i="12" s="1"/>
  <c r="AT6" i="12" a="1"/>
  <c r="AT6" i="12" s="1"/>
  <c r="AS6" i="12" a="1"/>
  <c r="AS6" i="12" s="1"/>
  <c r="AR6" i="12" a="1"/>
  <c r="AR6" i="12" s="1"/>
  <c r="AQ6" i="12" a="1"/>
  <c r="AQ6" i="12" s="1"/>
  <c r="AP6" i="12" a="1"/>
  <c r="AP6" i="12" s="1"/>
  <c r="AO6" i="12"/>
  <c r="AO7" i="12" s="1"/>
  <c r="AO6" i="12" a="1"/>
  <c r="AN6" i="12" a="1"/>
  <c r="AN6" i="12" s="1"/>
  <c r="AN7" i="12" s="1"/>
  <c r="AM6" i="12" a="1"/>
  <c r="AM6" i="12" s="1"/>
  <c r="AL6" i="12" a="1"/>
  <c r="AL6" i="12" s="1"/>
  <c r="AK6" i="12" a="1"/>
  <c r="AK6" i="12" s="1"/>
  <c r="AJ6" i="12" a="1"/>
  <c r="AJ6" i="12" s="1"/>
  <c r="AI6" i="12" a="1"/>
  <c r="AI6" i="12" s="1"/>
  <c r="AH6" i="12" a="1"/>
  <c r="AH6" i="12" s="1"/>
  <c r="AG6" i="12"/>
  <c r="AG6" i="12" a="1"/>
  <c r="AF6" i="12" a="1"/>
  <c r="AF6" i="12" s="1"/>
  <c r="AE6" i="12" a="1"/>
  <c r="AE6" i="12" s="1"/>
  <c r="AD6" i="12" a="1"/>
  <c r="AD6" i="12" s="1"/>
  <c r="AC6" i="12" a="1"/>
  <c r="AC6" i="12" s="1"/>
  <c r="AB6" i="12" a="1"/>
  <c r="AB6" i="12" s="1"/>
  <c r="AA6" i="12"/>
  <c r="AA6" i="12" a="1"/>
  <c r="Z6" i="12" a="1"/>
  <c r="Z6" i="12" s="1"/>
  <c r="Y6" i="12" a="1"/>
  <c r="Y6" i="12" s="1"/>
  <c r="X6" i="12" a="1"/>
  <c r="X6" i="12" s="1"/>
  <c r="W6" i="12" a="1"/>
  <c r="W6" i="12" s="1"/>
  <c r="W7" i="12" s="1"/>
  <c r="V6" i="12" a="1"/>
  <c r="V6" i="12" s="1"/>
  <c r="V7" i="12" s="1"/>
  <c r="U6" i="12" a="1"/>
  <c r="U6" i="12" s="1"/>
  <c r="U7" i="12" s="1"/>
  <c r="T6" i="12" a="1"/>
  <c r="T6" i="12" s="1"/>
  <c r="S6" i="12" a="1"/>
  <c r="S6" i="12" s="1"/>
  <c r="R6" i="12" a="1"/>
  <c r="R6" i="12" s="1"/>
  <c r="Q6" i="12"/>
  <c r="Q6" i="12" a="1"/>
  <c r="P6" i="12" a="1"/>
  <c r="P6" i="12" s="1"/>
  <c r="O6" i="12" a="1"/>
  <c r="O6" i="12" s="1"/>
  <c r="N6" i="12" a="1"/>
  <c r="N6" i="12" s="1"/>
  <c r="M6" i="12" a="1"/>
  <c r="M6" i="12" s="1"/>
  <c r="L6" i="12" a="1"/>
  <c r="L6" i="12" s="1"/>
  <c r="K6" i="12" a="1"/>
  <c r="K6" i="12" s="1"/>
  <c r="J6" i="12" a="1"/>
  <c r="J6" i="12" s="1"/>
  <c r="I6" i="12" a="1"/>
  <c r="I6" i="12" s="1"/>
  <c r="H6" i="12" a="1"/>
  <c r="H6" i="12" s="1"/>
  <c r="H8" i="12" s="1"/>
  <c r="G6" i="12" a="1"/>
  <c r="G6" i="12" s="1"/>
  <c r="G8" i="12" s="1"/>
  <c r="F6" i="12" a="1"/>
  <c r="F6" i="12" s="1"/>
  <c r="F8" i="12" s="1"/>
  <c r="E6" i="12" a="1"/>
  <c r="E6" i="12" s="1"/>
  <c r="D6" i="12" a="1"/>
  <c r="D6" i="12" s="1"/>
  <c r="C6" i="12" a="1"/>
  <c r="C6" i="12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AH25" i="8" s="1"/>
  <c r="AI25" i="8" s="1"/>
  <c r="AJ25" i="8" s="1"/>
  <c r="AK25" i="8" s="1"/>
  <c r="AL25" i="8" s="1"/>
  <c r="AM25" i="8" s="1"/>
  <c r="AN25" i="8" s="1"/>
  <c r="AO25" i="8" s="1"/>
  <c r="AP25" i="8" s="1"/>
  <c r="AQ25" i="8" s="1"/>
  <c r="AR25" i="8" s="1"/>
  <c r="AS25" i="8" s="1"/>
  <c r="AT25" i="8" s="1"/>
  <c r="AU25" i="8" s="1"/>
  <c r="AV25" i="8" s="1"/>
  <c r="AW25" i="8" s="1"/>
  <c r="AX25" i="8" s="1"/>
  <c r="AY25" i="8" s="1"/>
  <c r="AZ25" i="8" s="1"/>
  <c r="BA25" i="8" s="1"/>
  <c r="BB25" i="8" s="1"/>
  <c r="BC25" i="8" s="1"/>
  <c r="BD25" i="8" s="1"/>
  <c r="BE25" i="8" s="1"/>
  <c r="BF25" i="8" s="1"/>
  <c r="BG25" i="8" s="1"/>
  <c r="BH25" i="8" s="1"/>
  <c r="BI25" i="8" s="1"/>
  <c r="BJ25" i="8" s="1"/>
  <c r="BK25" i="8" s="1"/>
  <c r="BL25" i="8" s="1"/>
  <c r="BM25" i="8" s="1"/>
  <c r="BN25" i="8" s="1"/>
  <c r="BO25" i="8" s="1"/>
  <c r="BP25" i="8" s="1"/>
  <c r="BQ25" i="8" s="1"/>
  <c r="BR25" i="8" s="1"/>
  <c r="BS25" i="8" s="1"/>
  <c r="BT25" i="8" s="1"/>
  <c r="BU25" i="8" s="1"/>
  <c r="BV25" i="8" s="1"/>
  <c r="BW25" i="8" s="1"/>
  <c r="BX25" i="8" s="1"/>
  <c r="BY25" i="8" s="1"/>
  <c r="BZ25" i="8" s="1"/>
  <c r="CA25" i="8" s="1"/>
  <c r="CB25" i="8" s="1"/>
  <c r="CC25" i="8" s="1"/>
  <c r="CD25" i="8" s="1"/>
  <c r="CE25" i="8" s="1"/>
  <c r="CF25" i="8" s="1"/>
  <c r="CG25" i="8" s="1"/>
  <c r="CH25" i="8" s="1"/>
  <c r="CI25" i="8" s="1"/>
  <c r="CJ25" i="8" s="1"/>
  <c r="CK25" i="8" s="1"/>
  <c r="CL25" i="8" s="1"/>
  <c r="CM25" i="8" s="1"/>
  <c r="CN25" i="8" s="1"/>
  <c r="CO25" i="8" s="1"/>
  <c r="CP25" i="8" s="1"/>
  <c r="CQ25" i="8" s="1"/>
  <c r="CR25" i="8" s="1"/>
  <c r="CS25" i="8" s="1"/>
  <c r="CT25" i="8" s="1"/>
  <c r="CU25" i="8" s="1"/>
  <c r="CV25" i="8" s="1"/>
  <c r="CW25" i="8" s="1"/>
  <c r="CX25" i="8" s="1"/>
  <c r="CY25" i="8" s="1"/>
  <c r="CZ25" i="8" s="1"/>
  <c r="DA25" i="8" s="1"/>
  <c r="DB25" i="8" s="1"/>
  <c r="DC25" i="8" s="1"/>
  <c r="DD25" i="8" s="1"/>
  <c r="DE25" i="8" s="1"/>
  <c r="DF25" i="8" s="1"/>
  <c r="DG25" i="8" s="1"/>
  <c r="DH25" i="8" s="1"/>
  <c r="DI25" i="8" s="1"/>
  <c r="DJ25" i="8" s="1"/>
  <c r="DK25" i="8" s="1"/>
  <c r="DL25" i="8" s="1"/>
  <c r="DM25" i="8" s="1"/>
  <c r="DN25" i="8" s="1"/>
  <c r="DO25" i="8" s="1"/>
  <c r="DP25" i="8" s="1"/>
  <c r="DQ25" i="8" s="1"/>
  <c r="DR25" i="8" s="1"/>
  <c r="DS25" i="8" s="1"/>
  <c r="DT25" i="8" s="1"/>
  <c r="DU25" i="8" s="1"/>
  <c r="DV25" i="8" s="1"/>
  <c r="DW25" i="8" s="1"/>
  <c r="DX25" i="8" s="1"/>
  <c r="DY25" i="8" s="1"/>
  <c r="DZ25" i="8" s="1"/>
  <c r="EA25" i="8" s="1"/>
  <c r="EB25" i="8" s="1"/>
  <c r="EC25" i="8" s="1"/>
  <c r="ED25" i="8" s="1"/>
  <c r="EE25" i="8" s="1"/>
  <c r="EF25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AH24" i="8" s="1"/>
  <c r="AI24" i="8" s="1"/>
  <c r="AJ24" i="8" s="1"/>
  <c r="AK24" i="8" s="1"/>
  <c r="AL24" i="8" s="1"/>
  <c r="AM24" i="8" s="1"/>
  <c r="AN24" i="8" s="1"/>
  <c r="AO24" i="8" s="1"/>
  <c r="AP24" i="8" s="1"/>
  <c r="AQ24" i="8" s="1"/>
  <c r="AR24" i="8" s="1"/>
  <c r="AS24" i="8" s="1"/>
  <c r="AT24" i="8" s="1"/>
  <c r="AU24" i="8" s="1"/>
  <c r="AV24" i="8" s="1"/>
  <c r="AW24" i="8" s="1"/>
  <c r="AX24" i="8" s="1"/>
  <c r="AY24" i="8" s="1"/>
  <c r="AZ24" i="8" s="1"/>
  <c r="BA24" i="8" s="1"/>
  <c r="BB24" i="8" s="1"/>
  <c r="BC24" i="8" s="1"/>
  <c r="BD24" i="8" s="1"/>
  <c r="BE24" i="8" s="1"/>
  <c r="BF24" i="8" s="1"/>
  <c r="BG24" i="8" s="1"/>
  <c r="BH24" i="8" s="1"/>
  <c r="BI24" i="8" s="1"/>
  <c r="BJ24" i="8" s="1"/>
  <c r="BK24" i="8" s="1"/>
  <c r="BL24" i="8" s="1"/>
  <c r="BM24" i="8" s="1"/>
  <c r="BN24" i="8" s="1"/>
  <c r="BO24" i="8" s="1"/>
  <c r="BP24" i="8" s="1"/>
  <c r="BQ24" i="8" s="1"/>
  <c r="BR24" i="8" s="1"/>
  <c r="BS24" i="8" s="1"/>
  <c r="BT24" i="8" s="1"/>
  <c r="BU24" i="8" s="1"/>
  <c r="BV24" i="8" s="1"/>
  <c r="BW24" i="8" s="1"/>
  <c r="BX24" i="8" s="1"/>
  <c r="BY24" i="8" s="1"/>
  <c r="BZ24" i="8" s="1"/>
  <c r="CA24" i="8" s="1"/>
  <c r="CB24" i="8" s="1"/>
  <c r="CC24" i="8" s="1"/>
  <c r="CD24" i="8" s="1"/>
  <c r="CE24" i="8" s="1"/>
  <c r="CF24" i="8" s="1"/>
  <c r="CG24" i="8" s="1"/>
  <c r="CH24" i="8" s="1"/>
  <c r="CI24" i="8" s="1"/>
  <c r="CJ24" i="8" s="1"/>
  <c r="CK24" i="8" s="1"/>
  <c r="CL24" i="8" s="1"/>
  <c r="CM24" i="8" s="1"/>
  <c r="CN24" i="8" s="1"/>
  <c r="CO24" i="8" s="1"/>
  <c r="CP24" i="8" s="1"/>
  <c r="CQ24" i="8" s="1"/>
  <c r="CR24" i="8" s="1"/>
  <c r="CS24" i="8" s="1"/>
  <c r="CT24" i="8" s="1"/>
  <c r="CU24" i="8" s="1"/>
  <c r="CV24" i="8" s="1"/>
  <c r="CW24" i="8" s="1"/>
  <c r="CX24" i="8" s="1"/>
  <c r="CY24" i="8" s="1"/>
  <c r="CZ24" i="8" s="1"/>
  <c r="DA24" i="8" s="1"/>
  <c r="DB24" i="8" s="1"/>
  <c r="DC24" i="8" s="1"/>
  <c r="DD24" i="8" s="1"/>
  <c r="DE24" i="8" s="1"/>
  <c r="DF24" i="8" s="1"/>
  <c r="DG24" i="8" s="1"/>
  <c r="DH24" i="8" s="1"/>
  <c r="DI24" i="8" s="1"/>
  <c r="DJ24" i="8" s="1"/>
  <c r="DK24" i="8" s="1"/>
  <c r="DL24" i="8" s="1"/>
  <c r="DM24" i="8" s="1"/>
  <c r="DN24" i="8" s="1"/>
  <c r="DO24" i="8" s="1"/>
  <c r="DP24" i="8" s="1"/>
  <c r="DQ24" i="8" s="1"/>
  <c r="DR24" i="8" s="1"/>
  <c r="DS24" i="8" s="1"/>
  <c r="DT24" i="8" s="1"/>
  <c r="DU24" i="8" s="1"/>
  <c r="DV24" i="8" s="1"/>
  <c r="DW24" i="8" s="1"/>
  <c r="DX24" i="8" s="1"/>
  <c r="DY24" i="8" s="1"/>
  <c r="DZ24" i="8" s="1"/>
  <c r="EA24" i="8" s="1"/>
  <c r="EB24" i="8" s="1"/>
  <c r="EC24" i="8" s="1"/>
  <c r="ED24" i="8" s="1"/>
  <c r="EE24" i="8" s="1"/>
  <c r="EF24" i="8" s="1"/>
  <c r="E23" i="8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AH23" i="8" s="1"/>
  <c r="AI23" i="8" s="1"/>
  <c r="AJ23" i="8" s="1"/>
  <c r="AK23" i="8" s="1"/>
  <c r="AL23" i="8" s="1"/>
  <c r="AM23" i="8" s="1"/>
  <c r="AN23" i="8" s="1"/>
  <c r="AO23" i="8" s="1"/>
  <c r="AP23" i="8" s="1"/>
  <c r="AQ23" i="8" s="1"/>
  <c r="AR23" i="8" s="1"/>
  <c r="AS23" i="8" s="1"/>
  <c r="AT23" i="8" s="1"/>
  <c r="AU23" i="8" s="1"/>
  <c r="AV23" i="8" s="1"/>
  <c r="AW23" i="8" s="1"/>
  <c r="AX23" i="8" s="1"/>
  <c r="AY23" i="8" s="1"/>
  <c r="AZ23" i="8" s="1"/>
  <c r="BA23" i="8" s="1"/>
  <c r="BB23" i="8" s="1"/>
  <c r="BC23" i="8" s="1"/>
  <c r="BD23" i="8" s="1"/>
  <c r="BE23" i="8" s="1"/>
  <c r="BF23" i="8" s="1"/>
  <c r="BG23" i="8" s="1"/>
  <c r="BH23" i="8" s="1"/>
  <c r="BI23" i="8" s="1"/>
  <c r="BJ23" i="8" s="1"/>
  <c r="BK23" i="8" s="1"/>
  <c r="BL23" i="8" s="1"/>
  <c r="BM23" i="8" s="1"/>
  <c r="BN23" i="8" s="1"/>
  <c r="BO23" i="8" s="1"/>
  <c r="BP23" i="8" s="1"/>
  <c r="BQ23" i="8" s="1"/>
  <c r="BR23" i="8" s="1"/>
  <c r="BS23" i="8" s="1"/>
  <c r="BT23" i="8" s="1"/>
  <c r="BU23" i="8" s="1"/>
  <c r="BV23" i="8" s="1"/>
  <c r="BW23" i="8" s="1"/>
  <c r="BX23" i="8" s="1"/>
  <c r="BY23" i="8" s="1"/>
  <c r="BZ23" i="8" s="1"/>
  <c r="CA23" i="8" s="1"/>
  <c r="CB23" i="8" s="1"/>
  <c r="CC23" i="8" s="1"/>
  <c r="CD23" i="8" s="1"/>
  <c r="CE23" i="8" s="1"/>
  <c r="CF23" i="8" s="1"/>
  <c r="CG23" i="8" s="1"/>
  <c r="CH23" i="8" s="1"/>
  <c r="CI23" i="8" s="1"/>
  <c r="CJ23" i="8" s="1"/>
  <c r="CK23" i="8" s="1"/>
  <c r="CL23" i="8" s="1"/>
  <c r="CM23" i="8" s="1"/>
  <c r="CN23" i="8" s="1"/>
  <c r="CO23" i="8" s="1"/>
  <c r="CP23" i="8" s="1"/>
  <c r="CQ23" i="8" s="1"/>
  <c r="CR23" i="8" s="1"/>
  <c r="CS23" i="8" s="1"/>
  <c r="CT23" i="8" s="1"/>
  <c r="CU23" i="8" s="1"/>
  <c r="CV23" i="8" s="1"/>
  <c r="CW23" i="8" s="1"/>
  <c r="CX23" i="8" s="1"/>
  <c r="CY23" i="8" s="1"/>
  <c r="CZ23" i="8" s="1"/>
  <c r="DA23" i="8" s="1"/>
  <c r="DB23" i="8" s="1"/>
  <c r="DC23" i="8" s="1"/>
  <c r="DD23" i="8" s="1"/>
  <c r="DE23" i="8" s="1"/>
  <c r="DF23" i="8" s="1"/>
  <c r="DG23" i="8" s="1"/>
  <c r="DH23" i="8" s="1"/>
  <c r="DI23" i="8" s="1"/>
  <c r="DJ23" i="8" s="1"/>
  <c r="DK23" i="8" s="1"/>
  <c r="DL23" i="8" s="1"/>
  <c r="DM23" i="8" s="1"/>
  <c r="DN23" i="8" s="1"/>
  <c r="DO23" i="8" s="1"/>
  <c r="DP23" i="8" s="1"/>
  <c r="DQ23" i="8" s="1"/>
  <c r="DR23" i="8" s="1"/>
  <c r="DS23" i="8" s="1"/>
  <c r="DT23" i="8" s="1"/>
  <c r="DU23" i="8" s="1"/>
  <c r="DV23" i="8" s="1"/>
  <c r="DW23" i="8" s="1"/>
  <c r="DX23" i="8" s="1"/>
  <c r="DY23" i="8" s="1"/>
  <c r="DZ23" i="8" s="1"/>
  <c r="EA23" i="8" s="1"/>
  <c r="EB23" i="8" s="1"/>
  <c r="EC23" i="8" s="1"/>
  <c r="ED23" i="8" s="1"/>
  <c r="EE23" i="8" s="1"/>
  <c r="EF23" i="8" s="1"/>
  <c r="D23" i="8"/>
  <c r="E22" i="8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AH22" i="8" s="1"/>
  <c r="AI22" i="8" s="1"/>
  <c r="AJ22" i="8" s="1"/>
  <c r="AK22" i="8" s="1"/>
  <c r="AL22" i="8" s="1"/>
  <c r="AM22" i="8" s="1"/>
  <c r="AN22" i="8" s="1"/>
  <c r="AO22" i="8" s="1"/>
  <c r="AP22" i="8" s="1"/>
  <c r="AQ22" i="8" s="1"/>
  <c r="AR22" i="8" s="1"/>
  <c r="AS22" i="8" s="1"/>
  <c r="AT22" i="8" s="1"/>
  <c r="AU22" i="8" s="1"/>
  <c r="AV22" i="8" s="1"/>
  <c r="AW22" i="8" s="1"/>
  <c r="AX22" i="8" s="1"/>
  <c r="AY22" i="8" s="1"/>
  <c r="AZ22" i="8" s="1"/>
  <c r="BA22" i="8" s="1"/>
  <c r="BB22" i="8" s="1"/>
  <c r="BC22" i="8" s="1"/>
  <c r="BD22" i="8" s="1"/>
  <c r="BE22" i="8" s="1"/>
  <c r="BF22" i="8" s="1"/>
  <c r="BG22" i="8" s="1"/>
  <c r="BH22" i="8" s="1"/>
  <c r="BI22" i="8" s="1"/>
  <c r="BJ22" i="8" s="1"/>
  <c r="BK22" i="8" s="1"/>
  <c r="BL22" i="8" s="1"/>
  <c r="BM22" i="8" s="1"/>
  <c r="BN22" i="8" s="1"/>
  <c r="BO22" i="8" s="1"/>
  <c r="BP22" i="8" s="1"/>
  <c r="BQ22" i="8" s="1"/>
  <c r="BR22" i="8" s="1"/>
  <c r="BS22" i="8" s="1"/>
  <c r="BT22" i="8" s="1"/>
  <c r="BU22" i="8" s="1"/>
  <c r="BV22" i="8" s="1"/>
  <c r="BW22" i="8" s="1"/>
  <c r="BX22" i="8" s="1"/>
  <c r="BY22" i="8" s="1"/>
  <c r="BZ22" i="8" s="1"/>
  <c r="CA22" i="8" s="1"/>
  <c r="CB22" i="8" s="1"/>
  <c r="CC22" i="8" s="1"/>
  <c r="CD22" i="8" s="1"/>
  <c r="CE22" i="8" s="1"/>
  <c r="CF22" i="8" s="1"/>
  <c r="CG22" i="8" s="1"/>
  <c r="CH22" i="8" s="1"/>
  <c r="CI22" i="8" s="1"/>
  <c r="CJ22" i="8" s="1"/>
  <c r="CK22" i="8" s="1"/>
  <c r="CL22" i="8" s="1"/>
  <c r="CM22" i="8" s="1"/>
  <c r="CN22" i="8" s="1"/>
  <c r="CO22" i="8" s="1"/>
  <c r="CP22" i="8" s="1"/>
  <c r="CQ22" i="8" s="1"/>
  <c r="CR22" i="8" s="1"/>
  <c r="CS22" i="8" s="1"/>
  <c r="CT22" i="8" s="1"/>
  <c r="CU22" i="8" s="1"/>
  <c r="CV22" i="8" s="1"/>
  <c r="CW22" i="8" s="1"/>
  <c r="CX22" i="8" s="1"/>
  <c r="CY22" i="8" s="1"/>
  <c r="CZ22" i="8" s="1"/>
  <c r="DA22" i="8" s="1"/>
  <c r="DB22" i="8" s="1"/>
  <c r="DC22" i="8" s="1"/>
  <c r="DD22" i="8" s="1"/>
  <c r="DE22" i="8" s="1"/>
  <c r="DF22" i="8" s="1"/>
  <c r="DG22" i="8" s="1"/>
  <c r="DH22" i="8" s="1"/>
  <c r="DI22" i="8" s="1"/>
  <c r="DJ22" i="8" s="1"/>
  <c r="DK22" i="8" s="1"/>
  <c r="DL22" i="8" s="1"/>
  <c r="DM22" i="8" s="1"/>
  <c r="DN22" i="8" s="1"/>
  <c r="DO22" i="8" s="1"/>
  <c r="DP22" i="8" s="1"/>
  <c r="DQ22" i="8" s="1"/>
  <c r="DR22" i="8" s="1"/>
  <c r="DS22" i="8" s="1"/>
  <c r="DT22" i="8" s="1"/>
  <c r="DU22" i="8" s="1"/>
  <c r="DV22" i="8" s="1"/>
  <c r="DW22" i="8" s="1"/>
  <c r="DX22" i="8" s="1"/>
  <c r="DY22" i="8" s="1"/>
  <c r="DZ22" i="8" s="1"/>
  <c r="EA22" i="8" s="1"/>
  <c r="EB22" i="8" s="1"/>
  <c r="EC22" i="8" s="1"/>
  <c r="ED22" i="8" s="1"/>
  <c r="EE22" i="8" s="1"/>
  <c r="EF22" i="8" s="1"/>
  <c r="D22" i="8"/>
  <c r="E21" i="8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AH21" i="8" s="1"/>
  <c r="AI21" i="8" s="1"/>
  <c r="AJ21" i="8" s="1"/>
  <c r="AK21" i="8" s="1"/>
  <c r="AL21" i="8" s="1"/>
  <c r="AM21" i="8" s="1"/>
  <c r="AN21" i="8" s="1"/>
  <c r="AO21" i="8" s="1"/>
  <c r="AP21" i="8" s="1"/>
  <c r="AQ21" i="8" s="1"/>
  <c r="AR21" i="8" s="1"/>
  <c r="AS21" i="8" s="1"/>
  <c r="AT21" i="8" s="1"/>
  <c r="AU21" i="8" s="1"/>
  <c r="AV21" i="8" s="1"/>
  <c r="AW21" i="8" s="1"/>
  <c r="AX21" i="8" s="1"/>
  <c r="AY21" i="8" s="1"/>
  <c r="AZ21" i="8" s="1"/>
  <c r="BA21" i="8" s="1"/>
  <c r="BB21" i="8" s="1"/>
  <c r="BC21" i="8" s="1"/>
  <c r="BD21" i="8" s="1"/>
  <c r="BE21" i="8" s="1"/>
  <c r="BF21" i="8" s="1"/>
  <c r="BG21" i="8" s="1"/>
  <c r="BH21" i="8" s="1"/>
  <c r="BI21" i="8" s="1"/>
  <c r="BJ21" i="8" s="1"/>
  <c r="BK21" i="8" s="1"/>
  <c r="BL21" i="8" s="1"/>
  <c r="BM21" i="8" s="1"/>
  <c r="BN21" i="8" s="1"/>
  <c r="BO21" i="8" s="1"/>
  <c r="BP21" i="8" s="1"/>
  <c r="BQ21" i="8" s="1"/>
  <c r="BR21" i="8" s="1"/>
  <c r="BS21" i="8" s="1"/>
  <c r="BT21" i="8" s="1"/>
  <c r="BU21" i="8" s="1"/>
  <c r="BV21" i="8" s="1"/>
  <c r="BW21" i="8" s="1"/>
  <c r="BX21" i="8" s="1"/>
  <c r="BY21" i="8" s="1"/>
  <c r="BZ21" i="8" s="1"/>
  <c r="CA21" i="8" s="1"/>
  <c r="CB21" i="8" s="1"/>
  <c r="CC21" i="8" s="1"/>
  <c r="CD21" i="8" s="1"/>
  <c r="CE21" i="8" s="1"/>
  <c r="CF21" i="8" s="1"/>
  <c r="CG21" i="8" s="1"/>
  <c r="CH21" i="8" s="1"/>
  <c r="CI21" i="8" s="1"/>
  <c r="CJ21" i="8" s="1"/>
  <c r="CK21" i="8" s="1"/>
  <c r="CL21" i="8" s="1"/>
  <c r="CM21" i="8" s="1"/>
  <c r="CN21" i="8" s="1"/>
  <c r="CO21" i="8" s="1"/>
  <c r="CP21" i="8" s="1"/>
  <c r="CQ21" i="8" s="1"/>
  <c r="CR21" i="8" s="1"/>
  <c r="CS21" i="8" s="1"/>
  <c r="CT21" i="8" s="1"/>
  <c r="CU21" i="8" s="1"/>
  <c r="CV21" i="8" s="1"/>
  <c r="CW21" i="8" s="1"/>
  <c r="CX21" i="8" s="1"/>
  <c r="CY21" i="8" s="1"/>
  <c r="CZ21" i="8" s="1"/>
  <c r="DA21" i="8" s="1"/>
  <c r="DB21" i="8" s="1"/>
  <c r="DC21" i="8" s="1"/>
  <c r="DD21" i="8" s="1"/>
  <c r="DE21" i="8" s="1"/>
  <c r="DF21" i="8" s="1"/>
  <c r="DG21" i="8" s="1"/>
  <c r="DH21" i="8" s="1"/>
  <c r="DI21" i="8" s="1"/>
  <c r="DJ21" i="8" s="1"/>
  <c r="DK21" i="8" s="1"/>
  <c r="DL21" i="8" s="1"/>
  <c r="DM21" i="8" s="1"/>
  <c r="DN21" i="8" s="1"/>
  <c r="DO21" i="8" s="1"/>
  <c r="DP21" i="8" s="1"/>
  <c r="DQ21" i="8" s="1"/>
  <c r="DR21" i="8" s="1"/>
  <c r="DS21" i="8" s="1"/>
  <c r="DT21" i="8" s="1"/>
  <c r="DU21" i="8" s="1"/>
  <c r="DV21" i="8" s="1"/>
  <c r="DW21" i="8" s="1"/>
  <c r="DX21" i="8" s="1"/>
  <c r="DY21" i="8" s="1"/>
  <c r="DZ21" i="8" s="1"/>
  <c r="EA21" i="8" s="1"/>
  <c r="EB21" i="8" s="1"/>
  <c r="EC21" i="8" s="1"/>
  <c r="ED21" i="8" s="1"/>
  <c r="EE21" i="8" s="1"/>
  <c r="EF21" i="8" s="1"/>
  <c r="D21" i="8"/>
  <c r="F20" i="8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AH20" i="8" s="1"/>
  <c r="AI20" i="8" s="1"/>
  <c r="AJ20" i="8" s="1"/>
  <c r="AK20" i="8" s="1"/>
  <c r="AL20" i="8" s="1"/>
  <c r="AM20" i="8" s="1"/>
  <c r="AN20" i="8" s="1"/>
  <c r="AO20" i="8" s="1"/>
  <c r="AP20" i="8" s="1"/>
  <c r="AQ20" i="8" s="1"/>
  <c r="AR20" i="8" s="1"/>
  <c r="AS20" i="8" s="1"/>
  <c r="AT20" i="8" s="1"/>
  <c r="AU20" i="8" s="1"/>
  <c r="AV20" i="8" s="1"/>
  <c r="AW20" i="8" s="1"/>
  <c r="AX20" i="8" s="1"/>
  <c r="AY20" i="8" s="1"/>
  <c r="AZ20" i="8" s="1"/>
  <c r="BA20" i="8" s="1"/>
  <c r="BB20" i="8" s="1"/>
  <c r="BC20" i="8" s="1"/>
  <c r="BD20" i="8" s="1"/>
  <c r="BE20" i="8" s="1"/>
  <c r="BF20" i="8" s="1"/>
  <c r="BG20" i="8" s="1"/>
  <c r="BH20" i="8" s="1"/>
  <c r="BI20" i="8" s="1"/>
  <c r="BJ20" i="8" s="1"/>
  <c r="BK20" i="8" s="1"/>
  <c r="BL20" i="8" s="1"/>
  <c r="BM20" i="8" s="1"/>
  <c r="BN20" i="8" s="1"/>
  <c r="BO20" i="8" s="1"/>
  <c r="BP20" i="8" s="1"/>
  <c r="BQ20" i="8" s="1"/>
  <c r="BR20" i="8" s="1"/>
  <c r="BS20" i="8" s="1"/>
  <c r="BT20" i="8" s="1"/>
  <c r="BU20" i="8" s="1"/>
  <c r="BV20" i="8" s="1"/>
  <c r="BW20" i="8" s="1"/>
  <c r="BX20" i="8" s="1"/>
  <c r="BY20" i="8" s="1"/>
  <c r="BZ20" i="8" s="1"/>
  <c r="CA20" i="8" s="1"/>
  <c r="CB20" i="8" s="1"/>
  <c r="CC20" i="8" s="1"/>
  <c r="CD20" i="8" s="1"/>
  <c r="CE20" i="8" s="1"/>
  <c r="CF20" i="8" s="1"/>
  <c r="CG20" i="8" s="1"/>
  <c r="CH20" i="8" s="1"/>
  <c r="CI20" i="8" s="1"/>
  <c r="CJ20" i="8" s="1"/>
  <c r="CK20" i="8" s="1"/>
  <c r="CL20" i="8" s="1"/>
  <c r="CM20" i="8" s="1"/>
  <c r="CN20" i="8" s="1"/>
  <c r="CO20" i="8" s="1"/>
  <c r="CP20" i="8" s="1"/>
  <c r="CQ20" i="8" s="1"/>
  <c r="CR20" i="8" s="1"/>
  <c r="CS20" i="8" s="1"/>
  <c r="CT20" i="8" s="1"/>
  <c r="CU20" i="8" s="1"/>
  <c r="CV20" i="8" s="1"/>
  <c r="CW20" i="8" s="1"/>
  <c r="CX20" i="8" s="1"/>
  <c r="CY20" i="8" s="1"/>
  <c r="CZ20" i="8" s="1"/>
  <c r="DA20" i="8" s="1"/>
  <c r="DB20" i="8" s="1"/>
  <c r="DC20" i="8" s="1"/>
  <c r="DD20" i="8" s="1"/>
  <c r="DE20" i="8" s="1"/>
  <c r="DF20" i="8" s="1"/>
  <c r="DG20" i="8" s="1"/>
  <c r="DH20" i="8" s="1"/>
  <c r="DI20" i="8" s="1"/>
  <c r="DJ20" i="8" s="1"/>
  <c r="DK20" i="8" s="1"/>
  <c r="DL20" i="8" s="1"/>
  <c r="DM20" i="8" s="1"/>
  <c r="DN20" i="8" s="1"/>
  <c r="DO20" i="8" s="1"/>
  <c r="DP20" i="8" s="1"/>
  <c r="DQ20" i="8" s="1"/>
  <c r="DR20" i="8" s="1"/>
  <c r="DS20" i="8" s="1"/>
  <c r="DT20" i="8" s="1"/>
  <c r="DU20" i="8" s="1"/>
  <c r="DV20" i="8" s="1"/>
  <c r="DW20" i="8" s="1"/>
  <c r="DX20" i="8" s="1"/>
  <c r="DY20" i="8" s="1"/>
  <c r="DZ20" i="8" s="1"/>
  <c r="EA20" i="8" s="1"/>
  <c r="EB20" i="8" s="1"/>
  <c r="EC20" i="8" s="1"/>
  <c r="ED20" i="8" s="1"/>
  <c r="EE20" i="8" s="1"/>
  <c r="EF20" i="8" s="1"/>
  <c r="D20" i="8"/>
  <c r="E20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AH19" i="8" s="1"/>
  <c r="AI19" i="8" s="1"/>
  <c r="AJ19" i="8" s="1"/>
  <c r="AK19" i="8" s="1"/>
  <c r="AL19" i="8" s="1"/>
  <c r="AM19" i="8" s="1"/>
  <c r="AN19" i="8" s="1"/>
  <c r="AO19" i="8" s="1"/>
  <c r="AP19" i="8" s="1"/>
  <c r="AQ19" i="8" s="1"/>
  <c r="AR19" i="8" s="1"/>
  <c r="AS19" i="8" s="1"/>
  <c r="AT19" i="8" s="1"/>
  <c r="AU19" i="8" s="1"/>
  <c r="AV19" i="8" s="1"/>
  <c r="AW19" i="8" s="1"/>
  <c r="AX19" i="8" s="1"/>
  <c r="AY19" i="8" s="1"/>
  <c r="AZ19" i="8" s="1"/>
  <c r="BA19" i="8" s="1"/>
  <c r="BB19" i="8" s="1"/>
  <c r="BC19" i="8" s="1"/>
  <c r="BD19" i="8" s="1"/>
  <c r="BE19" i="8" s="1"/>
  <c r="BF19" i="8" s="1"/>
  <c r="BG19" i="8" s="1"/>
  <c r="BH19" i="8" s="1"/>
  <c r="BI19" i="8" s="1"/>
  <c r="BJ19" i="8" s="1"/>
  <c r="BK19" i="8" s="1"/>
  <c r="BL19" i="8" s="1"/>
  <c r="BM19" i="8" s="1"/>
  <c r="BN19" i="8" s="1"/>
  <c r="BO19" i="8" s="1"/>
  <c r="BP19" i="8" s="1"/>
  <c r="BQ19" i="8" s="1"/>
  <c r="BR19" i="8" s="1"/>
  <c r="BS19" i="8" s="1"/>
  <c r="BT19" i="8" s="1"/>
  <c r="BU19" i="8" s="1"/>
  <c r="BV19" i="8" s="1"/>
  <c r="BW19" i="8" s="1"/>
  <c r="BX19" i="8" s="1"/>
  <c r="BY19" i="8" s="1"/>
  <c r="BZ19" i="8" s="1"/>
  <c r="CA19" i="8" s="1"/>
  <c r="CB19" i="8" s="1"/>
  <c r="CC19" i="8" s="1"/>
  <c r="CD19" i="8" s="1"/>
  <c r="CE19" i="8" s="1"/>
  <c r="CF19" i="8" s="1"/>
  <c r="CG19" i="8" s="1"/>
  <c r="CH19" i="8" s="1"/>
  <c r="CI19" i="8" s="1"/>
  <c r="CJ19" i="8" s="1"/>
  <c r="CK19" i="8" s="1"/>
  <c r="CL19" i="8" s="1"/>
  <c r="CM19" i="8" s="1"/>
  <c r="CN19" i="8" s="1"/>
  <c r="CO19" i="8" s="1"/>
  <c r="CP19" i="8" s="1"/>
  <c r="CQ19" i="8" s="1"/>
  <c r="CR19" i="8" s="1"/>
  <c r="CS19" i="8" s="1"/>
  <c r="CT19" i="8" s="1"/>
  <c r="CU19" i="8" s="1"/>
  <c r="CV19" i="8" s="1"/>
  <c r="CW19" i="8" s="1"/>
  <c r="CX19" i="8" s="1"/>
  <c r="CY19" i="8" s="1"/>
  <c r="CZ19" i="8" s="1"/>
  <c r="DA19" i="8" s="1"/>
  <c r="DB19" i="8" s="1"/>
  <c r="DC19" i="8" s="1"/>
  <c r="DD19" i="8" s="1"/>
  <c r="DE19" i="8" s="1"/>
  <c r="DF19" i="8" s="1"/>
  <c r="DG19" i="8" s="1"/>
  <c r="DH19" i="8" s="1"/>
  <c r="DI19" i="8" s="1"/>
  <c r="DJ19" i="8" s="1"/>
  <c r="DK19" i="8" s="1"/>
  <c r="DL19" i="8" s="1"/>
  <c r="DM19" i="8" s="1"/>
  <c r="DN19" i="8" s="1"/>
  <c r="DO19" i="8" s="1"/>
  <c r="DP19" i="8" s="1"/>
  <c r="DQ19" i="8" s="1"/>
  <c r="DR19" i="8" s="1"/>
  <c r="DS19" i="8" s="1"/>
  <c r="DT19" i="8" s="1"/>
  <c r="DU19" i="8" s="1"/>
  <c r="DV19" i="8" s="1"/>
  <c r="DW19" i="8" s="1"/>
  <c r="DX19" i="8" s="1"/>
  <c r="DY19" i="8" s="1"/>
  <c r="DZ19" i="8" s="1"/>
  <c r="EA19" i="8" s="1"/>
  <c r="EB19" i="8" s="1"/>
  <c r="EC19" i="8" s="1"/>
  <c r="ED19" i="8" s="1"/>
  <c r="EE19" i="8" s="1"/>
  <c r="EF19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AH18" i="8" s="1"/>
  <c r="AI18" i="8" s="1"/>
  <c r="AJ18" i="8" s="1"/>
  <c r="AK18" i="8" s="1"/>
  <c r="AL18" i="8" s="1"/>
  <c r="AM18" i="8" s="1"/>
  <c r="AN18" i="8" s="1"/>
  <c r="AO18" i="8" s="1"/>
  <c r="AP18" i="8" s="1"/>
  <c r="AQ18" i="8" s="1"/>
  <c r="AR18" i="8" s="1"/>
  <c r="AS18" i="8" s="1"/>
  <c r="AT18" i="8" s="1"/>
  <c r="AU18" i="8" s="1"/>
  <c r="AV18" i="8" s="1"/>
  <c r="AW18" i="8" s="1"/>
  <c r="AX18" i="8" s="1"/>
  <c r="AY18" i="8" s="1"/>
  <c r="AZ18" i="8" s="1"/>
  <c r="BA18" i="8" s="1"/>
  <c r="BB18" i="8" s="1"/>
  <c r="BC18" i="8" s="1"/>
  <c r="BD18" i="8" s="1"/>
  <c r="BE18" i="8" s="1"/>
  <c r="BF18" i="8" s="1"/>
  <c r="BG18" i="8" s="1"/>
  <c r="BH18" i="8" s="1"/>
  <c r="BI18" i="8" s="1"/>
  <c r="BJ18" i="8" s="1"/>
  <c r="BK18" i="8" s="1"/>
  <c r="BL18" i="8" s="1"/>
  <c r="BM18" i="8" s="1"/>
  <c r="BN18" i="8" s="1"/>
  <c r="BO18" i="8" s="1"/>
  <c r="BP18" i="8" s="1"/>
  <c r="BQ18" i="8" s="1"/>
  <c r="BR18" i="8" s="1"/>
  <c r="BS18" i="8" s="1"/>
  <c r="BT18" i="8" s="1"/>
  <c r="BU18" i="8" s="1"/>
  <c r="BV18" i="8" s="1"/>
  <c r="BW18" i="8" s="1"/>
  <c r="BX18" i="8" s="1"/>
  <c r="BY18" i="8" s="1"/>
  <c r="BZ18" i="8" s="1"/>
  <c r="CA18" i="8" s="1"/>
  <c r="CB18" i="8" s="1"/>
  <c r="CC18" i="8" s="1"/>
  <c r="CD18" i="8" s="1"/>
  <c r="CE18" i="8" s="1"/>
  <c r="CF18" i="8" s="1"/>
  <c r="CG18" i="8" s="1"/>
  <c r="CH18" i="8" s="1"/>
  <c r="CI18" i="8" s="1"/>
  <c r="CJ18" i="8" s="1"/>
  <c r="CK18" i="8" s="1"/>
  <c r="CL18" i="8" s="1"/>
  <c r="CM18" i="8" s="1"/>
  <c r="CN18" i="8" s="1"/>
  <c r="CO18" i="8" s="1"/>
  <c r="CP18" i="8" s="1"/>
  <c r="CQ18" i="8" s="1"/>
  <c r="CR18" i="8" s="1"/>
  <c r="CS18" i="8" s="1"/>
  <c r="CT18" i="8" s="1"/>
  <c r="CU18" i="8" s="1"/>
  <c r="CV18" i="8" s="1"/>
  <c r="CW18" i="8" s="1"/>
  <c r="CX18" i="8" s="1"/>
  <c r="CY18" i="8" s="1"/>
  <c r="CZ18" i="8" s="1"/>
  <c r="DA18" i="8" s="1"/>
  <c r="DB18" i="8" s="1"/>
  <c r="DC18" i="8" s="1"/>
  <c r="DD18" i="8" s="1"/>
  <c r="DE18" i="8" s="1"/>
  <c r="DF18" i="8" s="1"/>
  <c r="DG18" i="8" s="1"/>
  <c r="DH18" i="8" s="1"/>
  <c r="DI18" i="8" s="1"/>
  <c r="DJ18" i="8" s="1"/>
  <c r="DK18" i="8" s="1"/>
  <c r="DL18" i="8" s="1"/>
  <c r="DM18" i="8" s="1"/>
  <c r="DN18" i="8" s="1"/>
  <c r="DO18" i="8" s="1"/>
  <c r="DP18" i="8" s="1"/>
  <c r="DQ18" i="8" s="1"/>
  <c r="DR18" i="8" s="1"/>
  <c r="DS18" i="8" s="1"/>
  <c r="DT18" i="8" s="1"/>
  <c r="DU18" i="8" s="1"/>
  <c r="DV18" i="8" s="1"/>
  <c r="DW18" i="8" s="1"/>
  <c r="DX18" i="8" s="1"/>
  <c r="DY18" i="8" s="1"/>
  <c r="DZ18" i="8" s="1"/>
  <c r="EA18" i="8" s="1"/>
  <c r="EB18" i="8" s="1"/>
  <c r="EC18" i="8" s="1"/>
  <c r="ED18" i="8" s="1"/>
  <c r="EE18" i="8" s="1"/>
  <c r="EF18" i="8" s="1"/>
  <c r="D17" i="8"/>
  <c r="E17" i="8" s="1"/>
  <c r="F17" i="8" s="1"/>
  <c r="G17" i="8" s="1"/>
  <c r="H17" i="8" s="1"/>
  <c r="I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AH17" i="8" s="1"/>
  <c r="AI17" i="8" s="1"/>
  <c r="AJ17" i="8" s="1"/>
  <c r="AK17" i="8" s="1"/>
  <c r="AL17" i="8" s="1"/>
  <c r="AM17" i="8" s="1"/>
  <c r="AN17" i="8" s="1"/>
  <c r="AO17" i="8" s="1"/>
  <c r="AP17" i="8" s="1"/>
  <c r="AQ17" i="8" s="1"/>
  <c r="AR17" i="8" s="1"/>
  <c r="AS17" i="8" s="1"/>
  <c r="AT17" i="8" s="1"/>
  <c r="AU17" i="8" s="1"/>
  <c r="AV17" i="8" s="1"/>
  <c r="AW17" i="8" s="1"/>
  <c r="AX17" i="8" s="1"/>
  <c r="AY17" i="8" s="1"/>
  <c r="AZ17" i="8" s="1"/>
  <c r="BA17" i="8" s="1"/>
  <c r="BB17" i="8" s="1"/>
  <c r="BC17" i="8" s="1"/>
  <c r="BD17" i="8" s="1"/>
  <c r="BE17" i="8" s="1"/>
  <c r="BF17" i="8" s="1"/>
  <c r="BG17" i="8" s="1"/>
  <c r="BH17" i="8" s="1"/>
  <c r="BI17" i="8" s="1"/>
  <c r="BJ17" i="8" s="1"/>
  <c r="BK17" i="8" s="1"/>
  <c r="BL17" i="8" s="1"/>
  <c r="BM17" i="8" s="1"/>
  <c r="BN17" i="8" s="1"/>
  <c r="BO17" i="8" s="1"/>
  <c r="BP17" i="8" s="1"/>
  <c r="BQ17" i="8" s="1"/>
  <c r="BR17" i="8" s="1"/>
  <c r="BS17" i="8" s="1"/>
  <c r="BT17" i="8" s="1"/>
  <c r="BU17" i="8" s="1"/>
  <c r="BV17" i="8" s="1"/>
  <c r="BW17" i="8" s="1"/>
  <c r="BX17" i="8" s="1"/>
  <c r="BY17" i="8" s="1"/>
  <c r="BZ17" i="8" s="1"/>
  <c r="CA17" i="8" s="1"/>
  <c r="CB17" i="8" s="1"/>
  <c r="CC17" i="8" s="1"/>
  <c r="CD17" i="8" s="1"/>
  <c r="CE17" i="8" s="1"/>
  <c r="CF17" i="8" s="1"/>
  <c r="CG17" i="8" s="1"/>
  <c r="CH17" i="8" s="1"/>
  <c r="CI17" i="8" s="1"/>
  <c r="CJ17" i="8" s="1"/>
  <c r="CK17" i="8" s="1"/>
  <c r="CL17" i="8" s="1"/>
  <c r="CM17" i="8" s="1"/>
  <c r="CN17" i="8" s="1"/>
  <c r="CO17" i="8" s="1"/>
  <c r="CP17" i="8" s="1"/>
  <c r="CQ17" i="8" s="1"/>
  <c r="CR17" i="8" s="1"/>
  <c r="CS17" i="8" s="1"/>
  <c r="CT17" i="8" s="1"/>
  <c r="CU17" i="8" s="1"/>
  <c r="CV17" i="8" s="1"/>
  <c r="CW17" i="8" s="1"/>
  <c r="CX17" i="8" s="1"/>
  <c r="CY17" i="8" s="1"/>
  <c r="CZ17" i="8" s="1"/>
  <c r="DA17" i="8" s="1"/>
  <c r="DB17" i="8" s="1"/>
  <c r="DC17" i="8" s="1"/>
  <c r="DD17" i="8" s="1"/>
  <c r="DE17" i="8" s="1"/>
  <c r="DF17" i="8" s="1"/>
  <c r="DG17" i="8" s="1"/>
  <c r="DH17" i="8" s="1"/>
  <c r="DI17" i="8" s="1"/>
  <c r="DJ17" i="8" s="1"/>
  <c r="DK17" i="8" s="1"/>
  <c r="DL17" i="8" s="1"/>
  <c r="DM17" i="8" s="1"/>
  <c r="DN17" i="8" s="1"/>
  <c r="DO17" i="8" s="1"/>
  <c r="DP17" i="8" s="1"/>
  <c r="DQ17" i="8" s="1"/>
  <c r="DR17" i="8" s="1"/>
  <c r="DS17" i="8" s="1"/>
  <c r="DT17" i="8" s="1"/>
  <c r="DU17" i="8" s="1"/>
  <c r="DV17" i="8" s="1"/>
  <c r="DW17" i="8" s="1"/>
  <c r="DX17" i="8" s="1"/>
  <c r="DY17" i="8" s="1"/>
  <c r="DZ17" i="8" s="1"/>
  <c r="EA17" i="8" s="1"/>
  <c r="EB17" i="8" s="1"/>
  <c r="EC17" i="8" s="1"/>
  <c r="ED17" i="8" s="1"/>
  <c r="EE17" i="8" s="1"/>
  <c r="EF17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AH16" i="8" s="1"/>
  <c r="AI16" i="8" s="1"/>
  <c r="AJ16" i="8" s="1"/>
  <c r="AK16" i="8" s="1"/>
  <c r="AL16" i="8" s="1"/>
  <c r="AM16" i="8" s="1"/>
  <c r="AN16" i="8" s="1"/>
  <c r="AO16" i="8" s="1"/>
  <c r="AP16" i="8" s="1"/>
  <c r="AQ16" i="8" s="1"/>
  <c r="AR16" i="8" s="1"/>
  <c r="AS16" i="8" s="1"/>
  <c r="AT16" i="8" s="1"/>
  <c r="AU16" i="8" s="1"/>
  <c r="AV16" i="8" s="1"/>
  <c r="AW16" i="8" s="1"/>
  <c r="AX16" i="8" s="1"/>
  <c r="AY16" i="8" s="1"/>
  <c r="AZ16" i="8" s="1"/>
  <c r="BA16" i="8" s="1"/>
  <c r="BB16" i="8" s="1"/>
  <c r="BC16" i="8" s="1"/>
  <c r="BD16" i="8" s="1"/>
  <c r="BE16" i="8" s="1"/>
  <c r="BF16" i="8" s="1"/>
  <c r="BG16" i="8" s="1"/>
  <c r="BH16" i="8" s="1"/>
  <c r="BI16" i="8" s="1"/>
  <c r="BJ16" i="8" s="1"/>
  <c r="BK16" i="8" s="1"/>
  <c r="BL16" i="8" s="1"/>
  <c r="BM16" i="8" s="1"/>
  <c r="BN16" i="8" s="1"/>
  <c r="BO16" i="8" s="1"/>
  <c r="BP16" i="8" s="1"/>
  <c r="BQ16" i="8" s="1"/>
  <c r="BR16" i="8" s="1"/>
  <c r="BS16" i="8" s="1"/>
  <c r="BT16" i="8" s="1"/>
  <c r="BU16" i="8" s="1"/>
  <c r="BV16" i="8" s="1"/>
  <c r="BW16" i="8" s="1"/>
  <c r="BX16" i="8" s="1"/>
  <c r="BY16" i="8" s="1"/>
  <c r="BZ16" i="8" s="1"/>
  <c r="CA16" i="8" s="1"/>
  <c r="CB16" i="8" s="1"/>
  <c r="CC16" i="8" s="1"/>
  <c r="CD16" i="8" s="1"/>
  <c r="CE16" i="8" s="1"/>
  <c r="CF16" i="8" s="1"/>
  <c r="CG16" i="8" s="1"/>
  <c r="CH16" i="8" s="1"/>
  <c r="CI16" i="8" s="1"/>
  <c r="CJ16" i="8" s="1"/>
  <c r="CK16" i="8" s="1"/>
  <c r="CL16" i="8" s="1"/>
  <c r="CM16" i="8" s="1"/>
  <c r="CN16" i="8" s="1"/>
  <c r="CO16" i="8" s="1"/>
  <c r="CP16" i="8" s="1"/>
  <c r="CQ16" i="8" s="1"/>
  <c r="CR16" i="8" s="1"/>
  <c r="CS16" i="8" s="1"/>
  <c r="CT16" i="8" s="1"/>
  <c r="CU16" i="8" s="1"/>
  <c r="CV16" i="8" s="1"/>
  <c r="CW16" i="8" s="1"/>
  <c r="CX16" i="8" s="1"/>
  <c r="CY16" i="8" s="1"/>
  <c r="CZ16" i="8" s="1"/>
  <c r="DA16" i="8" s="1"/>
  <c r="DB16" i="8" s="1"/>
  <c r="DC16" i="8" s="1"/>
  <c r="DD16" i="8" s="1"/>
  <c r="DE16" i="8" s="1"/>
  <c r="DF16" i="8" s="1"/>
  <c r="DG16" i="8" s="1"/>
  <c r="DH16" i="8" s="1"/>
  <c r="DI16" i="8" s="1"/>
  <c r="DJ16" i="8" s="1"/>
  <c r="DK16" i="8" s="1"/>
  <c r="DL16" i="8" s="1"/>
  <c r="DM16" i="8" s="1"/>
  <c r="DN16" i="8" s="1"/>
  <c r="DO16" i="8" s="1"/>
  <c r="DP16" i="8" s="1"/>
  <c r="DQ16" i="8" s="1"/>
  <c r="DR16" i="8" s="1"/>
  <c r="DS16" i="8" s="1"/>
  <c r="DT16" i="8" s="1"/>
  <c r="DU16" i="8" s="1"/>
  <c r="DV16" i="8" s="1"/>
  <c r="DW16" i="8" s="1"/>
  <c r="DX16" i="8" s="1"/>
  <c r="DY16" i="8" s="1"/>
  <c r="DZ16" i="8" s="1"/>
  <c r="EA16" i="8" s="1"/>
  <c r="EB16" i="8" s="1"/>
  <c r="EC16" i="8" s="1"/>
  <c r="ED16" i="8" s="1"/>
  <c r="EE16" i="8" s="1"/>
  <c r="EF16" i="8" s="1"/>
  <c r="E15" i="8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AH15" i="8" s="1"/>
  <c r="AI15" i="8" s="1"/>
  <c r="AJ15" i="8" s="1"/>
  <c r="AK15" i="8" s="1"/>
  <c r="AL15" i="8" s="1"/>
  <c r="AM15" i="8" s="1"/>
  <c r="AN15" i="8" s="1"/>
  <c r="AO15" i="8" s="1"/>
  <c r="AP15" i="8" s="1"/>
  <c r="AQ15" i="8" s="1"/>
  <c r="AR15" i="8" s="1"/>
  <c r="AS15" i="8" s="1"/>
  <c r="AT15" i="8" s="1"/>
  <c r="AU15" i="8" s="1"/>
  <c r="AV15" i="8" s="1"/>
  <c r="AW15" i="8" s="1"/>
  <c r="AX15" i="8" s="1"/>
  <c r="AY15" i="8" s="1"/>
  <c r="AZ15" i="8" s="1"/>
  <c r="BA15" i="8" s="1"/>
  <c r="BB15" i="8" s="1"/>
  <c r="BC15" i="8" s="1"/>
  <c r="BD15" i="8" s="1"/>
  <c r="BE15" i="8" s="1"/>
  <c r="BF15" i="8" s="1"/>
  <c r="BG15" i="8" s="1"/>
  <c r="BH15" i="8" s="1"/>
  <c r="BI15" i="8" s="1"/>
  <c r="BJ15" i="8" s="1"/>
  <c r="BK15" i="8" s="1"/>
  <c r="BL15" i="8" s="1"/>
  <c r="BM15" i="8" s="1"/>
  <c r="BN15" i="8" s="1"/>
  <c r="BO15" i="8" s="1"/>
  <c r="BP15" i="8" s="1"/>
  <c r="BQ15" i="8" s="1"/>
  <c r="BR15" i="8" s="1"/>
  <c r="BS15" i="8" s="1"/>
  <c r="BT15" i="8" s="1"/>
  <c r="BU15" i="8" s="1"/>
  <c r="BV15" i="8" s="1"/>
  <c r="BW15" i="8" s="1"/>
  <c r="BX15" i="8" s="1"/>
  <c r="BY15" i="8" s="1"/>
  <c r="BZ15" i="8" s="1"/>
  <c r="CA15" i="8" s="1"/>
  <c r="CB15" i="8" s="1"/>
  <c r="CC15" i="8" s="1"/>
  <c r="CD15" i="8" s="1"/>
  <c r="CE15" i="8" s="1"/>
  <c r="CF15" i="8" s="1"/>
  <c r="CG15" i="8" s="1"/>
  <c r="CH15" i="8" s="1"/>
  <c r="CI15" i="8" s="1"/>
  <c r="CJ15" i="8" s="1"/>
  <c r="CK15" i="8" s="1"/>
  <c r="CL15" i="8" s="1"/>
  <c r="CM15" i="8" s="1"/>
  <c r="CN15" i="8" s="1"/>
  <c r="CO15" i="8" s="1"/>
  <c r="CP15" i="8" s="1"/>
  <c r="CQ15" i="8" s="1"/>
  <c r="CR15" i="8" s="1"/>
  <c r="CS15" i="8" s="1"/>
  <c r="CT15" i="8" s="1"/>
  <c r="CU15" i="8" s="1"/>
  <c r="CV15" i="8" s="1"/>
  <c r="CW15" i="8" s="1"/>
  <c r="CX15" i="8" s="1"/>
  <c r="CY15" i="8" s="1"/>
  <c r="CZ15" i="8" s="1"/>
  <c r="DA15" i="8" s="1"/>
  <c r="DB15" i="8" s="1"/>
  <c r="DC15" i="8" s="1"/>
  <c r="DD15" i="8" s="1"/>
  <c r="DE15" i="8" s="1"/>
  <c r="DF15" i="8" s="1"/>
  <c r="DG15" i="8" s="1"/>
  <c r="DH15" i="8" s="1"/>
  <c r="DI15" i="8" s="1"/>
  <c r="DJ15" i="8" s="1"/>
  <c r="DK15" i="8" s="1"/>
  <c r="DL15" i="8" s="1"/>
  <c r="DM15" i="8" s="1"/>
  <c r="DN15" i="8" s="1"/>
  <c r="DO15" i="8" s="1"/>
  <c r="DP15" i="8" s="1"/>
  <c r="DQ15" i="8" s="1"/>
  <c r="DR15" i="8" s="1"/>
  <c r="DS15" i="8" s="1"/>
  <c r="DT15" i="8" s="1"/>
  <c r="DU15" i="8" s="1"/>
  <c r="DV15" i="8" s="1"/>
  <c r="DW15" i="8" s="1"/>
  <c r="DX15" i="8" s="1"/>
  <c r="DY15" i="8" s="1"/>
  <c r="DZ15" i="8" s="1"/>
  <c r="EA15" i="8" s="1"/>
  <c r="EB15" i="8" s="1"/>
  <c r="EC15" i="8" s="1"/>
  <c r="ED15" i="8" s="1"/>
  <c r="EE15" i="8" s="1"/>
  <c r="EF15" i="8" s="1"/>
  <c r="D15" i="8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AJ14" i="8" s="1"/>
  <c r="AK14" i="8" s="1"/>
  <c r="AL14" i="8" s="1"/>
  <c r="AM14" i="8" s="1"/>
  <c r="AN14" i="8" s="1"/>
  <c r="AO14" i="8" s="1"/>
  <c r="AP14" i="8" s="1"/>
  <c r="AQ14" i="8" s="1"/>
  <c r="AR14" i="8" s="1"/>
  <c r="AS14" i="8" s="1"/>
  <c r="AT14" i="8" s="1"/>
  <c r="AU14" i="8" s="1"/>
  <c r="AV14" i="8" s="1"/>
  <c r="AW14" i="8" s="1"/>
  <c r="AX14" i="8" s="1"/>
  <c r="AY14" i="8" s="1"/>
  <c r="AZ14" i="8" s="1"/>
  <c r="BA14" i="8" s="1"/>
  <c r="BB14" i="8" s="1"/>
  <c r="BC14" i="8" s="1"/>
  <c r="BD14" i="8" s="1"/>
  <c r="BE14" i="8" s="1"/>
  <c r="BF14" i="8" s="1"/>
  <c r="BG14" i="8" s="1"/>
  <c r="BH14" i="8" s="1"/>
  <c r="BI14" i="8" s="1"/>
  <c r="BJ14" i="8" s="1"/>
  <c r="BK14" i="8" s="1"/>
  <c r="BL14" i="8" s="1"/>
  <c r="BM14" i="8" s="1"/>
  <c r="BN14" i="8" s="1"/>
  <c r="BO14" i="8" s="1"/>
  <c r="BP14" i="8" s="1"/>
  <c r="BQ14" i="8" s="1"/>
  <c r="BR14" i="8" s="1"/>
  <c r="BS14" i="8" s="1"/>
  <c r="BT14" i="8" s="1"/>
  <c r="BU14" i="8" s="1"/>
  <c r="BV14" i="8" s="1"/>
  <c r="BW14" i="8" s="1"/>
  <c r="BX14" i="8" s="1"/>
  <c r="BY14" i="8" s="1"/>
  <c r="BZ14" i="8" s="1"/>
  <c r="CA14" i="8" s="1"/>
  <c r="CB14" i="8" s="1"/>
  <c r="CC14" i="8" s="1"/>
  <c r="CD14" i="8" s="1"/>
  <c r="CE14" i="8" s="1"/>
  <c r="CF14" i="8" s="1"/>
  <c r="CG14" i="8" s="1"/>
  <c r="CH14" i="8" s="1"/>
  <c r="CI14" i="8" s="1"/>
  <c r="CJ14" i="8" s="1"/>
  <c r="CK14" i="8" s="1"/>
  <c r="CL14" i="8" s="1"/>
  <c r="CM14" i="8" s="1"/>
  <c r="CN14" i="8" s="1"/>
  <c r="CO14" i="8" s="1"/>
  <c r="CP14" i="8" s="1"/>
  <c r="CQ14" i="8" s="1"/>
  <c r="CR14" i="8" s="1"/>
  <c r="CS14" i="8" s="1"/>
  <c r="CT14" i="8" s="1"/>
  <c r="CU14" i="8" s="1"/>
  <c r="CV14" i="8" s="1"/>
  <c r="CW14" i="8" s="1"/>
  <c r="CX14" i="8" s="1"/>
  <c r="CY14" i="8" s="1"/>
  <c r="CZ14" i="8" s="1"/>
  <c r="DA14" i="8" s="1"/>
  <c r="DB14" i="8" s="1"/>
  <c r="DC14" i="8" s="1"/>
  <c r="DD14" i="8" s="1"/>
  <c r="DE14" i="8" s="1"/>
  <c r="DF14" i="8" s="1"/>
  <c r="DG14" i="8" s="1"/>
  <c r="DH14" i="8" s="1"/>
  <c r="DI14" i="8" s="1"/>
  <c r="DJ14" i="8" s="1"/>
  <c r="DK14" i="8" s="1"/>
  <c r="DL14" i="8" s="1"/>
  <c r="DM14" i="8" s="1"/>
  <c r="DN14" i="8" s="1"/>
  <c r="DO14" i="8" s="1"/>
  <c r="DP14" i="8" s="1"/>
  <c r="DQ14" i="8" s="1"/>
  <c r="DR14" i="8" s="1"/>
  <c r="DS14" i="8" s="1"/>
  <c r="DT14" i="8" s="1"/>
  <c r="DU14" i="8" s="1"/>
  <c r="DV14" i="8" s="1"/>
  <c r="DW14" i="8" s="1"/>
  <c r="DX14" i="8" s="1"/>
  <c r="DY14" i="8" s="1"/>
  <c r="DZ14" i="8" s="1"/>
  <c r="EA14" i="8" s="1"/>
  <c r="EB14" i="8" s="1"/>
  <c r="EC14" i="8" s="1"/>
  <c r="ED14" i="8" s="1"/>
  <c r="EE14" i="8" s="1"/>
  <c r="EF14" i="8" s="1"/>
  <c r="N13" i="8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AH13" i="8" s="1"/>
  <c r="AI13" i="8" s="1"/>
  <c r="AJ13" i="8" s="1"/>
  <c r="AK13" i="8" s="1"/>
  <c r="AL13" i="8" s="1"/>
  <c r="AM13" i="8" s="1"/>
  <c r="AN13" i="8" s="1"/>
  <c r="AO13" i="8" s="1"/>
  <c r="AP13" i="8" s="1"/>
  <c r="AQ13" i="8" s="1"/>
  <c r="AR13" i="8" s="1"/>
  <c r="AS13" i="8" s="1"/>
  <c r="AT13" i="8" s="1"/>
  <c r="AU13" i="8" s="1"/>
  <c r="AV13" i="8" s="1"/>
  <c r="AW13" i="8" s="1"/>
  <c r="AX13" i="8" s="1"/>
  <c r="AY13" i="8" s="1"/>
  <c r="AZ13" i="8" s="1"/>
  <c r="BA13" i="8" s="1"/>
  <c r="BB13" i="8" s="1"/>
  <c r="BC13" i="8" s="1"/>
  <c r="BD13" i="8" s="1"/>
  <c r="BE13" i="8" s="1"/>
  <c r="BF13" i="8" s="1"/>
  <c r="BG13" i="8" s="1"/>
  <c r="BH13" i="8" s="1"/>
  <c r="BI13" i="8" s="1"/>
  <c r="BJ13" i="8" s="1"/>
  <c r="BK13" i="8" s="1"/>
  <c r="BL13" i="8" s="1"/>
  <c r="BM13" i="8" s="1"/>
  <c r="BN13" i="8" s="1"/>
  <c r="BO13" i="8" s="1"/>
  <c r="BP13" i="8" s="1"/>
  <c r="BQ13" i="8" s="1"/>
  <c r="BR13" i="8" s="1"/>
  <c r="BS13" i="8" s="1"/>
  <c r="BT13" i="8" s="1"/>
  <c r="BU13" i="8" s="1"/>
  <c r="BV13" i="8" s="1"/>
  <c r="BW13" i="8" s="1"/>
  <c r="BX13" i="8" s="1"/>
  <c r="BY13" i="8" s="1"/>
  <c r="BZ13" i="8" s="1"/>
  <c r="CA13" i="8" s="1"/>
  <c r="CB13" i="8" s="1"/>
  <c r="CC13" i="8" s="1"/>
  <c r="CD13" i="8" s="1"/>
  <c r="CE13" i="8" s="1"/>
  <c r="CF13" i="8" s="1"/>
  <c r="CG13" i="8" s="1"/>
  <c r="CH13" i="8" s="1"/>
  <c r="CI13" i="8" s="1"/>
  <c r="CJ13" i="8" s="1"/>
  <c r="CK13" i="8" s="1"/>
  <c r="CL13" i="8" s="1"/>
  <c r="CM13" i="8" s="1"/>
  <c r="CN13" i="8" s="1"/>
  <c r="CO13" i="8" s="1"/>
  <c r="CP13" i="8" s="1"/>
  <c r="CQ13" i="8" s="1"/>
  <c r="CR13" i="8" s="1"/>
  <c r="CS13" i="8" s="1"/>
  <c r="CT13" i="8" s="1"/>
  <c r="CU13" i="8" s="1"/>
  <c r="CV13" i="8" s="1"/>
  <c r="CW13" i="8" s="1"/>
  <c r="CX13" i="8" s="1"/>
  <c r="CY13" i="8" s="1"/>
  <c r="CZ13" i="8" s="1"/>
  <c r="DA13" i="8" s="1"/>
  <c r="DB13" i="8" s="1"/>
  <c r="DC13" i="8" s="1"/>
  <c r="DD13" i="8" s="1"/>
  <c r="DE13" i="8" s="1"/>
  <c r="DF13" i="8" s="1"/>
  <c r="DG13" i="8" s="1"/>
  <c r="DH13" i="8" s="1"/>
  <c r="DI13" i="8" s="1"/>
  <c r="DJ13" i="8" s="1"/>
  <c r="DK13" i="8" s="1"/>
  <c r="DL13" i="8" s="1"/>
  <c r="DM13" i="8" s="1"/>
  <c r="DN13" i="8" s="1"/>
  <c r="DO13" i="8" s="1"/>
  <c r="DP13" i="8" s="1"/>
  <c r="DQ13" i="8" s="1"/>
  <c r="DR13" i="8" s="1"/>
  <c r="DS13" i="8" s="1"/>
  <c r="DT13" i="8" s="1"/>
  <c r="DU13" i="8" s="1"/>
  <c r="DV13" i="8" s="1"/>
  <c r="DW13" i="8" s="1"/>
  <c r="DX13" i="8" s="1"/>
  <c r="DY13" i="8" s="1"/>
  <c r="DZ13" i="8" s="1"/>
  <c r="EA13" i="8" s="1"/>
  <c r="EB13" i="8" s="1"/>
  <c r="EC13" i="8" s="1"/>
  <c r="ED13" i="8" s="1"/>
  <c r="EE13" i="8" s="1"/>
  <c r="EF13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AJ12" i="8" s="1"/>
  <c r="AK12" i="8" s="1"/>
  <c r="AL12" i="8" s="1"/>
  <c r="AM12" i="8" s="1"/>
  <c r="AN12" i="8" s="1"/>
  <c r="AO12" i="8" s="1"/>
  <c r="AP12" i="8" s="1"/>
  <c r="AQ12" i="8" s="1"/>
  <c r="AR12" i="8" s="1"/>
  <c r="AS12" i="8" s="1"/>
  <c r="AT12" i="8" s="1"/>
  <c r="AU12" i="8" s="1"/>
  <c r="AV12" i="8" s="1"/>
  <c r="AW12" i="8" s="1"/>
  <c r="AX12" i="8" s="1"/>
  <c r="AY12" i="8" s="1"/>
  <c r="AZ12" i="8" s="1"/>
  <c r="BA12" i="8" s="1"/>
  <c r="BB12" i="8" s="1"/>
  <c r="BC12" i="8" s="1"/>
  <c r="BD12" i="8" s="1"/>
  <c r="BE12" i="8" s="1"/>
  <c r="BF12" i="8" s="1"/>
  <c r="BG12" i="8" s="1"/>
  <c r="BH12" i="8" s="1"/>
  <c r="BI12" i="8" s="1"/>
  <c r="BJ12" i="8" s="1"/>
  <c r="BK12" i="8" s="1"/>
  <c r="BL12" i="8" s="1"/>
  <c r="BM12" i="8" s="1"/>
  <c r="BN12" i="8" s="1"/>
  <c r="BO12" i="8" s="1"/>
  <c r="BP12" i="8" s="1"/>
  <c r="BQ12" i="8" s="1"/>
  <c r="BR12" i="8" s="1"/>
  <c r="BS12" i="8" s="1"/>
  <c r="BT12" i="8" s="1"/>
  <c r="BU12" i="8" s="1"/>
  <c r="BV12" i="8" s="1"/>
  <c r="BW12" i="8" s="1"/>
  <c r="BX12" i="8" s="1"/>
  <c r="BY12" i="8" s="1"/>
  <c r="BZ12" i="8" s="1"/>
  <c r="CA12" i="8" s="1"/>
  <c r="CB12" i="8" s="1"/>
  <c r="CC12" i="8" s="1"/>
  <c r="CD12" i="8" s="1"/>
  <c r="CE12" i="8" s="1"/>
  <c r="CF12" i="8" s="1"/>
  <c r="CG12" i="8" s="1"/>
  <c r="CH12" i="8" s="1"/>
  <c r="CI12" i="8" s="1"/>
  <c r="CJ12" i="8" s="1"/>
  <c r="CK12" i="8" s="1"/>
  <c r="CL12" i="8" s="1"/>
  <c r="CM12" i="8" s="1"/>
  <c r="CN12" i="8" s="1"/>
  <c r="CO12" i="8" s="1"/>
  <c r="CP12" i="8" s="1"/>
  <c r="CQ12" i="8" s="1"/>
  <c r="CR12" i="8" s="1"/>
  <c r="CS12" i="8" s="1"/>
  <c r="CT12" i="8" s="1"/>
  <c r="CU12" i="8" s="1"/>
  <c r="CV12" i="8" s="1"/>
  <c r="CW12" i="8" s="1"/>
  <c r="CX12" i="8" s="1"/>
  <c r="CY12" i="8" s="1"/>
  <c r="CZ12" i="8" s="1"/>
  <c r="DA12" i="8" s="1"/>
  <c r="DB12" i="8" s="1"/>
  <c r="DC12" i="8" s="1"/>
  <c r="DD12" i="8" s="1"/>
  <c r="DE12" i="8" s="1"/>
  <c r="DF12" i="8" s="1"/>
  <c r="DG12" i="8" s="1"/>
  <c r="DH12" i="8" s="1"/>
  <c r="DI12" i="8" s="1"/>
  <c r="DJ12" i="8" s="1"/>
  <c r="DK12" i="8" s="1"/>
  <c r="DL12" i="8" s="1"/>
  <c r="DM12" i="8" s="1"/>
  <c r="DN12" i="8" s="1"/>
  <c r="DO12" i="8" s="1"/>
  <c r="DP12" i="8" s="1"/>
  <c r="DQ12" i="8" s="1"/>
  <c r="DR12" i="8" s="1"/>
  <c r="DS12" i="8" s="1"/>
  <c r="DT12" i="8" s="1"/>
  <c r="DU12" i="8" s="1"/>
  <c r="DV12" i="8" s="1"/>
  <c r="DW12" i="8" s="1"/>
  <c r="DX12" i="8" s="1"/>
  <c r="DY12" i="8" s="1"/>
  <c r="DZ12" i="8" s="1"/>
  <c r="EA12" i="8" s="1"/>
  <c r="EB12" i="8" s="1"/>
  <c r="EC12" i="8" s="1"/>
  <c r="ED12" i="8" s="1"/>
  <c r="EE12" i="8" s="1"/>
  <c r="EF12" i="8" s="1"/>
  <c r="EI25" i="10"/>
  <c r="EH25" i="10"/>
  <c r="EG25" i="10"/>
  <c r="L15" i="11"/>
  <c r="B21" i="11"/>
  <c r="G17" i="11"/>
  <c r="EG19" i="11"/>
  <c r="EF19" i="11"/>
  <c r="EE19" i="11"/>
  <c r="ED19" i="11"/>
  <c r="EC19" i="11"/>
  <c r="EB19" i="11"/>
  <c r="EA19" i="11"/>
  <c r="DZ19" i="11"/>
  <c r="DY19" i="11"/>
  <c r="DX19" i="11"/>
  <c r="DW19" i="11"/>
  <c r="DV19" i="11"/>
  <c r="DU19" i="11"/>
  <c r="DT19" i="11"/>
  <c r="DS19" i="11"/>
  <c r="DR19" i="11"/>
  <c r="DQ19" i="11"/>
  <c r="DP19" i="11"/>
  <c r="DO19" i="11"/>
  <c r="DN19" i="11"/>
  <c r="DM19" i="11"/>
  <c r="DL19" i="11"/>
  <c r="DK19" i="11"/>
  <c r="DJ19" i="11"/>
  <c r="DI19" i="11"/>
  <c r="DH19" i="11"/>
  <c r="DG19" i="11"/>
  <c r="DF19" i="11"/>
  <c r="DE19" i="11"/>
  <c r="DD19" i="11"/>
  <c r="DC19" i="11"/>
  <c r="DB19" i="11"/>
  <c r="DA19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EF18" i="11"/>
  <c r="EE18" i="11"/>
  <c r="ED18" i="11"/>
  <c r="EC18" i="11"/>
  <c r="EB18" i="11"/>
  <c r="EA18" i="11"/>
  <c r="DZ18" i="11"/>
  <c r="DY18" i="11"/>
  <c r="DX18" i="11"/>
  <c r="DW18" i="11"/>
  <c r="DV18" i="11"/>
  <c r="DU18" i="11"/>
  <c r="DT18" i="11"/>
  <c r="DS18" i="11"/>
  <c r="DR18" i="11"/>
  <c r="DQ18" i="11"/>
  <c r="DP18" i="11"/>
  <c r="DO18" i="11"/>
  <c r="DN18" i="11"/>
  <c r="DM18" i="11"/>
  <c r="DL18" i="11"/>
  <c r="DK18" i="11"/>
  <c r="DJ18" i="11"/>
  <c r="DI18" i="11"/>
  <c r="DH18" i="11"/>
  <c r="DG18" i="11"/>
  <c r="DF18" i="11"/>
  <c r="DE18" i="11"/>
  <c r="DD18" i="11"/>
  <c r="DC18" i="11"/>
  <c r="DB18" i="11"/>
  <c r="DA18" i="11"/>
  <c r="CZ18" i="11"/>
  <c r="CY18" i="11"/>
  <c r="CX18" i="11"/>
  <c r="CW18" i="11"/>
  <c r="CV18" i="11"/>
  <c r="CU18" i="11"/>
  <c r="CT18" i="11"/>
  <c r="CS18" i="11"/>
  <c r="CR18" i="11"/>
  <c r="CQ18" i="11"/>
  <c r="CP18" i="11"/>
  <c r="CO18" i="11"/>
  <c r="CN18" i="11"/>
  <c r="CM18" i="11"/>
  <c r="CL18" i="11"/>
  <c r="CK18" i="11"/>
  <c r="CJ18" i="11"/>
  <c r="CI18" i="11"/>
  <c r="CH18" i="11"/>
  <c r="CG18" i="11"/>
  <c r="CF18" i="11"/>
  <c r="CE18" i="11"/>
  <c r="CD18" i="11"/>
  <c r="CC18" i="11"/>
  <c r="CB18" i="11"/>
  <c r="CA18" i="11"/>
  <c r="BZ18" i="11"/>
  <c r="BY18" i="11"/>
  <c r="BX18" i="11"/>
  <c r="BW18" i="11"/>
  <c r="BV18" i="11"/>
  <c r="BU18" i="11"/>
  <c r="BT18" i="11"/>
  <c r="BS18" i="11"/>
  <c r="BR18" i="11"/>
  <c r="BQ18" i="11"/>
  <c r="BP18" i="11"/>
  <c r="BO18" i="11"/>
  <c r="BN18" i="11"/>
  <c r="BM18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EF17" i="11"/>
  <c r="EE17" i="11"/>
  <c r="ED17" i="11"/>
  <c r="EC17" i="11"/>
  <c r="EB17" i="11"/>
  <c r="EA17" i="11"/>
  <c r="DZ17" i="11"/>
  <c r="DY17" i="11"/>
  <c r="DX17" i="11"/>
  <c r="DW17" i="11"/>
  <c r="DV17" i="11"/>
  <c r="DU17" i="11"/>
  <c r="DT17" i="11"/>
  <c r="DS17" i="11"/>
  <c r="DR17" i="11"/>
  <c r="DQ17" i="11"/>
  <c r="DP17" i="11"/>
  <c r="DO17" i="11"/>
  <c r="DN17" i="11"/>
  <c r="DM17" i="11"/>
  <c r="DL17" i="11"/>
  <c r="DK17" i="11"/>
  <c r="DJ17" i="11"/>
  <c r="DI17" i="11"/>
  <c r="DH17" i="11"/>
  <c r="DG17" i="11"/>
  <c r="DF17" i="11"/>
  <c r="DE17" i="11"/>
  <c r="DD17" i="11"/>
  <c r="DC17" i="11"/>
  <c r="DB17" i="11"/>
  <c r="DA17" i="11"/>
  <c r="CZ17" i="11"/>
  <c r="CY17" i="11"/>
  <c r="CX17" i="11"/>
  <c r="CW17" i="11"/>
  <c r="CV17" i="11"/>
  <c r="CU17" i="11"/>
  <c r="CT17" i="11"/>
  <c r="CS17" i="11"/>
  <c r="CR17" i="11"/>
  <c r="CQ17" i="11"/>
  <c r="CP17" i="11"/>
  <c r="CO17" i="11"/>
  <c r="CN17" i="11"/>
  <c r="CM17" i="11"/>
  <c r="CL17" i="11"/>
  <c r="CK17" i="11"/>
  <c r="CJ17" i="11"/>
  <c r="CI17" i="11"/>
  <c r="CH17" i="11"/>
  <c r="CG17" i="11"/>
  <c r="CF17" i="11"/>
  <c r="CE17" i="11"/>
  <c r="CD17" i="11"/>
  <c r="CC17" i="11"/>
  <c r="CB17" i="11"/>
  <c r="CA17" i="11"/>
  <c r="BZ17" i="1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F17" i="11"/>
  <c r="E17" i="11"/>
  <c r="D17" i="11"/>
  <c r="C17" i="11"/>
  <c r="EG15" i="11"/>
  <c r="EF15" i="11"/>
  <c r="EE15" i="11"/>
  <c r="ED15" i="11"/>
  <c r="EC15" i="11"/>
  <c r="EB15" i="11"/>
  <c r="EA15" i="11"/>
  <c r="DZ15" i="11"/>
  <c r="DY15" i="11"/>
  <c r="DX15" i="11"/>
  <c r="DW15" i="11"/>
  <c r="DV15" i="11"/>
  <c r="DU15" i="11"/>
  <c r="DT15" i="11"/>
  <c r="DS15" i="11"/>
  <c r="DR15" i="11"/>
  <c r="DQ15" i="11"/>
  <c r="DP15" i="11"/>
  <c r="DO15" i="11"/>
  <c r="DN15" i="11"/>
  <c r="DM15" i="11"/>
  <c r="DL15" i="11"/>
  <c r="DK15" i="11"/>
  <c r="DJ15" i="11"/>
  <c r="DI15" i="11"/>
  <c r="DH15" i="11"/>
  <c r="DG15" i="11"/>
  <c r="DF15" i="11"/>
  <c r="DE15" i="11"/>
  <c r="DD15" i="11"/>
  <c r="DC15" i="11"/>
  <c r="DB15" i="11"/>
  <c r="DA15" i="11"/>
  <c r="CZ15" i="11"/>
  <c r="CY15" i="11"/>
  <c r="CX15" i="11"/>
  <c r="CW15" i="11"/>
  <c r="CV15" i="11"/>
  <c r="CU15" i="11"/>
  <c r="CT15" i="11"/>
  <c r="CS15" i="11"/>
  <c r="CR15" i="11"/>
  <c r="CQ15" i="11"/>
  <c r="CP15" i="11"/>
  <c r="CO15" i="11"/>
  <c r="CN15" i="11"/>
  <c r="CM15" i="11"/>
  <c r="CL15" i="11"/>
  <c r="CK15" i="11"/>
  <c r="CJ15" i="11"/>
  <c r="CI15" i="11"/>
  <c r="CH15" i="11"/>
  <c r="CG15" i="11"/>
  <c r="CF15" i="11"/>
  <c r="CE15" i="11"/>
  <c r="CD15" i="11"/>
  <c r="CC15" i="11"/>
  <c r="CB15" i="11"/>
  <c r="CA15" i="11"/>
  <c r="BZ15" i="11"/>
  <c r="BY15" i="11"/>
  <c r="BX15" i="11"/>
  <c r="BW15" i="11"/>
  <c r="BV15" i="11"/>
  <c r="BU15" i="11"/>
  <c r="BT15" i="11"/>
  <c r="BS15" i="11"/>
  <c r="BR15" i="11"/>
  <c r="BQ15" i="11"/>
  <c r="BP15" i="11"/>
  <c r="BO15" i="11"/>
  <c r="BN15" i="11"/>
  <c r="BM15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K15" i="11"/>
  <c r="J15" i="11"/>
  <c r="I15" i="11"/>
  <c r="H15" i="11"/>
  <c r="G15" i="11"/>
  <c r="F15" i="11"/>
  <c r="E15" i="11"/>
  <c r="D15" i="11"/>
  <c r="C15" i="11"/>
  <c r="EF14" i="11"/>
  <c r="EE14" i="11"/>
  <c r="ED14" i="11"/>
  <c r="EC14" i="11"/>
  <c r="EB14" i="11"/>
  <c r="EA14" i="11"/>
  <c r="DZ14" i="11"/>
  <c r="DY14" i="11"/>
  <c r="DX14" i="11"/>
  <c r="DW14" i="11"/>
  <c r="DV14" i="11"/>
  <c r="DU14" i="11"/>
  <c r="DT14" i="11"/>
  <c r="DS14" i="11"/>
  <c r="DR14" i="11"/>
  <c r="DQ14" i="11"/>
  <c r="DP14" i="11"/>
  <c r="DO14" i="11"/>
  <c r="DN14" i="11"/>
  <c r="DM14" i="11"/>
  <c r="DL14" i="11"/>
  <c r="DK14" i="11"/>
  <c r="DJ14" i="11"/>
  <c r="DI14" i="11"/>
  <c r="DH14" i="11"/>
  <c r="DG14" i="11"/>
  <c r="DF14" i="11"/>
  <c r="DE14" i="11"/>
  <c r="DD14" i="11"/>
  <c r="DC14" i="11"/>
  <c r="DB14" i="11"/>
  <c r="DA14" i="11"/>
  <c r="CZ14" i="11"/>
  <c r="CY14" i="11"/>
  <c r="CX14" i="11"/>
  <c r="CW14" i="11"/>
  <c r="CV14" i="11"/>
  <c r="CU14" i="11"/>
  <c r="CT14" i="11"/>
  <c r="CS14" i="11"/>
  <c r="CR14" i="11"/>
  <c r="CQ14" i="11"/>
  <c r="CP14" i="11"/>
  <c r="CO14" i="11"/>
  <c r="CN14" i="11"/>
  <c r="CM14" i="11"/>
  <c r="CL14" i="11"/>
  <c r="CK14" i="11"/>
  <c r="CJ14" i="11"/>
  <c r="CI14" i="11"/>
  <c r="CH14" i="11"/>
  <c r="CG14" i="11"/>
  <c r="CF14" i="11"/>
  <c r="CE14" i="11"/>
  <c r="CD14" i="11"/>
  <c r="CC14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EF13" i="11"/>
  <c r="EE13" i="11"/>
  <c r="ED13" i="11"/>
  <c r="EC13" i="11"/>
  <c r="EB13" i="11"/>
  <c r="EA13" i="11"/>
  <c r="DZ13" i="11"/>
  <c r="DY13" i="11"/>
  <c r="DX13" i="11"/>
  <c r="DW13" i="11"/>
  <c r="DV13" i="11"/>
  <c r="DU13" i="11"/>
  <c r="DT13" i="11"/>
  <c r="DS13" i="11"/>
  <c r="DR13" i="11"/>
  <c r="DQ13" i="11"/>
  <c r="DP13" i="11"/>
  <c r="DO13" i="11"/>
  <c r="DN13" i="11"/>
  <c r="DM13" i="11"/>
  <c r="DL13" i="11"/>
  <c r="DK13" i="11"/>
  <c r="DJ13" i="11"/>
  <c r="DI13" i="11"/>
  <c r="DH13" i="11"/>
  <c r="DG13" i="11"/>
  <c r="DF13" i="11"/>
  <c r="DE13" i="11"/>
  <c r="DD13" i="11"/>
  <c r="DC13" i="11"/>
  <c r="DB13" i="11"/>
  <c r="DA13" i="11"/>
  <c r="CZ13" i="11"/>
  <c r="CY13" i="11"/>
  <c r="CX13" i="11"/>
  <c r="CW13" i="11"/>
  <c r="CV13" i="11"/>
  <c r="CU13" i="11"/>
  <c r="CT13" i="11"/>
  <c r="CS13" i="11"/>
  <c r="CR13" i="11"/>
  <c r="CQ13" i="11"/>
  <c r="CP13" i="11"/>
  <c r="CO13" i="11"/>
  <c r="CN13" i="11"/>
  <c r="CM13" i="11"/>
  <c r="CL13" i="11"/>
  <c r="CK13" i="11"/>
  <c r="CJ13" i="11"/>
  <c r="CI13" i="11"/>
  <c r="CH13" i="11"/>
  <c r="CG13" i="11"/>
  <c r="CF13" i="11"/>
  <c r="CE13" i="11"/>
  <c r="CD13" i="11"/>
  <c r="CC13" i="11"/>
  <c r="CB13" i="11"/>
  <c r="CA13" i="11"/>
  <c r="BZ13" i="11"/>
  <c r="BY13" i="11"/>
  <c r="BX13" i="11"/>
  <c r="BW13" i="11"/>
  <c r="BV13" i="11"/>
  <c r="BU13" i="11"/>
  <c r="BT13" i="1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EG10" i="11"/>
  <c r="EG18" i="11" s="1"/>
  <c r="EG9" i="11"/>
  <c r="EG17" i="11" s="1"/>
  <c r="EH14" i="10"/>
  <c r="EI14" i="10"/>
  <c r="EH15" i="10"/>
  <c r="EI15" i="10" s="1"/>
  <c r="EH16" i="10"/>
  <c r="EI16" i="10"/>
  <c r="EH17" i="10"/>
  <c r="EI17" i="10"/>
  <c r="EH18" i="10"/>
  <c r="EI18" i="10"/>
  <c r="EH19" i="10"/>
  <c r="EI19" i="10"/>
  <c r="EH20" i="10"/>
  <c r="EI20" i="10" s="1"/>
  <c r="EH24" i="10"/>
  <c r="EG24" i="10"/>
  <c r="EI24" i="10" s="1"/>
  <c r="EH23" i="10"/>
  <c r="EG23" i="10"/>
  <c r="EI23" i="10" s="1"/>
  <c r="EH22" i="10"/>
  <c r="EG22" i="10"/>
  <c r="EH21" i="10"/>
  <c r="EG21" i="10"/>
  <c r="EG20" i="10"/>
  <c r="EG19" i="10"/>
  <c r="EG18" i="10"/>
  <c r="EG17" i="10"/>
  <c r="EG16" i="10"/>
  <c r="EG15" i="10"/>
  <c r="EG14" i="10"/>
  <c r="EH13" i="10"/>
  <c r="EG13" i="10"/>
  <c r="EI13" i="10" s="1"/>
  <c r="EG12" i="10"/>
  <c r="EI12" i="10" s="1"/>
  <c r="EH12" i="10"/>
  <c r="EG6" i="10" a="1"/>
  <c r="EG6" i="10" s="1"/>
  <c r="EF6" i="10"/>
  <c r="EF8" i="10" s="1"/>
  <c r="EF6" i="10" a="1"/>
  <c r="EE6" i="10" a="1"/>
  <c r="EE6" i="10" s="1"/>
  <c r="ED6" i="10" a="1"/>
  <c r="ED6" i="10" s="1"/>
  <c r="EC6" i="10" a="1"/>
  <c r="EC6" i="10" s="1"/>
  <c r="EB6" i="10" a="1"/>
  <c r="EB6" i="10" s="1"/>
  <c r="EA6" i="10" a="1"/>
  <c r="EA6" i="10" s="1"/>
  <c r="DZ6" i="10" a="1"/>
  <c r="DZ6" i="10" s="1"/>
  <c r="DZ8" i="10" s="1"/>
  <c r="DY6" i="10" a="1"/>
  <c r="DY6" i="10" s="1"/>
  <c r="DX6" i="10"/>
  <c r="DX8" i="10" s="1"/>
  <c r="DX6" i="10" a="1"/>
  <c r="DW6" i="10" a="1"/>
  <c r="DW6" i="10" s="1"/>
  <c r="DV6" i="10" a="1"/>
  <c r="DV6" i="10" s="1"/>
  <c r="DU6" i="10" a="1"/>
  <c r="DU6" i="10" s="1"/>
  <c r="DT6" i="10" a="1"/>
  <c r="DT6" i="10" s="1"/>
  <c r="DS6" i="10" a="1"/>
  <c r="DS6" i="10" s="1"/>
  <c r="DR6" i="10" a="1"/>
  <c r="DR6" i="10" s="1"/>
  <c r="DR7" i="10" s="1"/>
  <c r="DQ6" i="10" a="1"/>
  <c r="DQ6" i="10" s="1"/>
  <c r="DP6" i="10" a="1"/>
  <c r="DP6" i="10" s="1"/>
  <c r="DP8" i="10" s="1"/>
  <c r="DO6" i="10" a="1"/>
  <c r="DO6" i="10" s="1"/>
  <c r="DN6" i="10" a="1"/>
  <c r="DN6" i="10" s="1"/>
  <c r="DM6" i="10" a="1"/>
  <c r="DM6" i="10" s="1"/>
  <c r="DL6" i="10" a="1"/>
  <c r="DL6" i="10" s="1"/>
  <c r="DK6" i="10" a="1"/>
  <c r="DK6" i="10" s="1"/>
  <c r="DJ6" i="10" a="1"/>
  <c r="DJ6" i="10" s="1"/>
  <c r="DJ8" i="10" s="1"/>
  <c r="DI6" i="10" a="1"/>
  <c r="DI6" i="10" s="1"/>
  <c r="DH6" i="10"/>
  <c r="DH8" i="10" s="1"/>
  <c r="DH6" i="10" a="1"/>
  <c r="DG6" i="10" a="1"/>
  <c r="DG6" i="10" s="1"/>
  <c r="DF6" i="10" a="1"/>
  <c r="DF6" i="10" s="1"/>
  <c r="DE6" i="10" a="1"/>
  <c r="DE6" i="10" s="1"/>
  <c r="DD6" i="10" a="1"/>
  <c r="DD6" i="10" s="1"/>
  <c r="DC6" i="10" a="1"/>
  <c r="DC6" i="10" s="1"/>
  <c r="DB6" i="10"/>
  <c r="DB7" i="10" s="1"/>
  <c r="DB6" i="10" a="1"/>
  <c r="DA6" i="10" a="1"/>
  <c r="DA6" i="10" s="1"/>
  <c r="CZ6" i="10" a="1"/>
  <c r="CZ6" i="10" s="1"/>
  <c r="CZ8" i="10" s="1"/>
  <c r="CY6" i="10" a="1"/>
  <c r="CY6" i="10" s="1"/>
  <c r="CX6" i="10" a="1"/>
  <c r="CX6" i="10" s="1"/>
  <c r="CW6" i="10" a="1"/>
  <c r="CW6" i="10" s="1"/>
  <c r="CV6" i="10" a="1"/>
  <c r="CV6" i="10" s="1"/>
  <c r="CU6" i="10" a="1"/>
  <c r="CU6" i="10" s="1"/>
  <c r="CT6" i="10" a="1"/>
  <c r="CT6" i="10" s="1"/>
  <c r="CT8" i="10" s="1"/>
  <c r="CS6" i="10" a="1"/>
  <c r="CS6" i="10" s="1"/>
  <c r="CR6" i="10" a="1"/>
  <c r="CR6" i="10" s="1"/>
  <c r="CR8" i="10" s="1"/>
  <c r="CQ6" i="10" a="1"/>
  <c r="CQ6" i="10" s="1"/>
  <c r="CP6" i="10" a="1"/>
  <c r="CP6" i="10" s="1"/>
  <c r="CO6" i="10" a="1"/>
  <c r="CO6" i="10" s="1"/>
  <c r="CN6" i="10" a="1"/>
  <c r="CN6" i="10" s="1"/>
  <c r="CM6" i="10" a="1"/>
  <c r="CM6" i="10" s="1"/>
  <c r="CL6" i="10" a="1"/>
  <c r="CL6" i="10" s="1"/>
  <c r="CL7" i="10" s="1"/>
  <c r="CK6" i="10" a="1"/>
  <c r="CK6" i="10" s="1"/>
  <c r="CJ6" i="10" a="1"/>
  <c r="CJ6" i="10" s="1"/>
  <c r="CJ8" i="10" s="1"/>
  <c r="CI6" i="10" a="1"/>
  <c r="CI6" i="10" s="1"/>
  <c r="CH6" i="10" a="1"/>
  <c r="CH6" i="10" s="1"/>
  <c r="CG6" i="10" a="1"/>
  <c r="CG6" i="10" s="1"/>
  <c r="CF6" i="10" a="1"/>
  <c r="CF6" i="10" s="1"/>
  <c r="CE6" i="10" a="1"/>
  <c r="CE6" i="10" s="1"/>
  <c r="CD6" i="10" a="1"/>
  <c r="CD6" i="10" s="1"/>
  <c r="CD8" i="10" s="1"/>
  <c r="CC6" i="10" a="1"/>
  <c r="CC6" i="10" s="1"/>
  <c r="CB6" i="10" a="1"/>
  <c r="CB6" i="10" s="1"/>
  <c r="CB8" i="10" s="1"/>
  <c r="CA6" i="10" a="1"/>
  <c r="CA6" i="10" s="1"/>
  <c r="BZ6" i="10" a="1"/>
  <c r="BZ6" i="10" s="1"/>
  <c r="BY6" i="10" a="1"/>
  <c r="BY6" i="10" s="1"/>
  <c r="BX6" i="10" a="1"/>
  <c r="BX6" i="10" s="1"/>
  <c r="BW6" i="10" a="1"/>
  <c r="BW6" i="10" s="1"/>
  <c r="BV6" i="10"/>
  <c r="BV7" i="10" s="1"/>
  <c r="BV6" i="10" a="1"/>
  <c r="BU6" i="10" a="1"/>
  <c r="BU6" i="10" s="1"/>
  <c r="BT6" i="10"/>
  <c r="BT8" i="10" s="1"/>
  <c r="BT6" i="10" a="1"/>
  <c r="BS6" i="10" a="1"/>
  <c r="BS6" i="10" s="1"/>
  <c r="BR6" i="10" a="1"/>
  <c r="BR6" i="10" s="1"/>
  <c r="BQ6" i="10" a="1"/>
  <c r="BQ6" i="10" s="1"/>
  <c r="BP6" i="10" a="1"/>
  <c r="BP6" i="10" s="1"/>
  <c r="BO6" i="10" a="1"/>
  <c r="BO6" i="10" s="1"/>
  <c r="BN6" i="10" a="1"/>
  <c r="BN6" i="10" s="1"/>
  <c r="BN8" i="10" s="1"/>
  <c r="BM6" i="10" a="1"/>
  <c r="BM6" i="10" s="1"/>
  <c r="BL6" i="10"/>
  <c r="BL8" i="10" s="1"/>
  <c r="BL6" i="10" a="1"/>
  <c r="BK6" i="10" a="1"/>
  <c r="BK6" i="10" s="1"/>
  <c r="BJ6" i="10" a="1"/>
  <c r="BJ6" i="10" s="1"/>
  <c r="BI6" i="10" a="1"/>
  <c r="BI6" i="10" s="1"/>
  <c r="BH6" i="10" a="1"/>
  <c r="BH6" i="10" s="1"/>
  <c r="BG6" i="10" a="1"/>
  <c r="BG6" i="10" s="1"/>
  <c r="BF6" i="10" a="1"/>
  <c r="BF6" i="10" s="1"/>
  <c r="BF7" i="10" s="1"/>
  <c r="BE6" i="10" a="1"/>
  <c r="BE6" i="10" s="1"/>
  <c r="BD6" i="10" a="1"/>
  <c r="BD6" i="10" s="1"/>
  <c r="BD8" i="10" s="1"/>
  <c r="BC6" i="10" a="1"/>
  <c r="BC6" i="10" s="1"/>
  <c r="BB6" i="10" a="1"/>
  <c r="BB6" i="10" s="1"/>
  <c r="BA6" i="10" a="1"/>
  <c r="BA6" i="10" s="1"/>
  <c r="AZ6" i="10" a="1"/>
  <c r="AZ6" i="10" s="1"/>
  <c r="AY6" i="10" a="1"/>
  <c r="AY6" i="10" s="1"/>
  <c r="AX6" i="10" a="1"/>
  <c r="AX6" i="10" s="1"/>
  <c r="AX8" i="10" s="1"/>
  <c r="AW6" i="10" a="1"/>
  <c r="AW6" i="10" s="1"/>
  <c r="AV6" i="10"/>
  <c r="AV8" i="10" s="1"/>
  <c r="AV6" i="10" a="1"/>
  <c r="AU6" i="10" a="1"/>
  <c r="AU6" i="10" s="1"/>
  <c r="AT6" i="10" a="1"/>
  <c r="AT6" i="10" s="1"/>
  <c r="AS6" i="10" a="1"/>
  <c r="AS6" i="10" s="1"/>
  <c r="AR6" i="10" a="1"/>
  <c r="AR6" i="10" s="1"/>
  <c r="AQ6" i="10" a="1"/>
  <c r="AQ6" i="10" s="1"/>
  <c r="AP6" i="10"/>
  <c r="AP7" i="10" s="1"/>
  <c r="AP6" i="10" a="1"/>
  <c r="AO6" i="10" a="1"/>
  <c r="AO6" i="10" s="1"/>
  <c r="AN6" i="10" a="1"/>
  <c r="AN6" i="10" s="1"/>
  <c r="AN8" i="10" s="1"/>
  <c r="AM6" i="10" a="1"/>
  <c r="AM6" i="10" s="1"/>
  <c r="AL6" i="10" a="1"/>
  <c r="AL6" i="10" s="1"/>
  <c r="AK6" i="10" a="1"/>
  <c r="AK6" i="10" s="1"/>
  <c r="AJ6" i="10" a="1"/>
  <c r="AJ6" i="10" s="1"/>
  <c r="AI6" i="10" a="1"/>
  <c r="AI6" i="10" s="1"/>
  <c r="AH6" i="10" a="1"/>
  <c r="AH6" i="10" s="1"/>
  <c r="AH8" i="10" s="1"/>
  <c r="AG6" i="10" a="1"/>
  <c r="AG6" i="10" s="1"/>
  <c r="AF6" i="10" a="1"/>
  <c r="AF6" i="10" s="1"/>
  <c r="AF8" i="10" s="1"/>
  <c r="AE6" i="10" a="1"/>
  <c r="AE6" i="10" s="1"/>
  <c r="AD6" i="10" a="1"/>
  <c r="AD6" i="10" s="1"/>
  <c r="AC6" i="10" a="1"/>
  <c r="AC6" i="10" s="1"/>
  <c r="AB6" i="10" a="1"/>
  <c r="AB6" i="10" s="1"/>
  <c r="AA6" i="10" a="1"/>
  <c r="AA6" i="10" s="1"/>
  <c r="Z6" i="10" a="1"/>
  <c r="Z6" i="10" s="1"/>
  <c r="Z7" i="10" s="1"/>
  <c r="Y6" i="10" a="1"/>
  <c r="Y6" i="10" s="1"/>
  <c r="X6" i="10" a="1"/>
  <c r="X6" i="10" s="1"/>
  <c r="X8" i="10" s="1"/>
  <c r="W6" i="10" a="1"/>
  <c r="W6" i="10" s="1"/>
  <c r="V6" i="10" a="1"/>
  <c r="V6" i="10" s="1"/>
  <c r="U6" i="10" a="1"/>
  <c r="U6" i="10" s="1"/>
  <c r="T6" i="10" a="1"/>
  <c r="T6" i="10" s="1"/>
  <c r="S6" i="10" a="1"/>
  <c r="S6" i="10" s="1"/>
  <c r="R6" i="10" a="1"/>
  <c r="R6" i="10" s="1"/>
  <c r="R8" i="10" s="1"/>
  <c r="Q6" i="10" a="1"/>
  <c r="Q6" i="10" s="1"/>
  <c r="P6" i="10" a="1"/>
  <c r="P6" i="10" s="1"/>
  <c r="P8" i="10" s="1"/>
  <c r="O6" i="10" a="1"/>
  <c r="O6" i="10" s="1"/>
  <c r="N6" i="10" a="1"/>
  <c r="N6" i="10" s="1"/>
  <c r="M6" i="10" a="1"/>
  <c r="M6" i="10" s="1"/>
  <c r="L6" i="10" a="1"/>
  <c r="L6" i="10" s="1"/>
  <c r="K6" i="10" a="1"/>
  <c r="K6" i="10" s="1"/>
  <c r="J6" i="10"/>
  <c r="J7" i="10" s="1"/>
  <c r="J6" i="10" a="1"/>
  <c r="I6" i="10" a="1"/>
  <c r="I6" i="10" s="1"/>
  <c r="H6" i="10"/>
  <c r="H8" i="10" s="1"/>
  <c r="H6" i="10" a="1"/>
  <c r="G6" i="10" a="1"/>
  <c r="G6" i="10" s="1"/>
  <c r="F6" i="10" a="1"/>
  <c r="F6" i="10" s="1"/>
  <c r="E6" i="10" a="1"/>
  <c r="E6" i="10" s="1"/>
  <c r="D6" i="10" a="1"/>
  <c r="D6" i="10" s="1"/>
  <c r="C6" i="10" a="1"/>
  <c r="C6" i="10" s="1"/>
  <c r="D25" i="6"/>
  <c r="E25" i="6" s="1"/>
  <c r="F25" i="6" s="1"/>
  <c r="G25" i="6" s="1"/>
  <c r="H25" i="6" s="1"/>
  <c r="I25" i="6" s="1"/>
  <c r="J25" i="6" s="1"/>
  <c r="K25" i="6" s="1"/>
  <c r="L25" i="6" s="1"/>
  <c r="M25" i="6" s="1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AJ25" i="6" s="1"/>
  <c r="AK25" i="6" s="1"/>
  <c r="AL25" i="6" s="1"/>
  <c r="AM25" i="6" s="1"/>
  <c r="AN25" i="6" s="1"/>
  <c r="AO25" i="6" s="1"/>
  <c r="AP25" i="6" s="1"/>
  <c r="AQ25" i="6" s="1"/>
  <c r="AR25" i="6" s="1"/>
  <c r="AS25" i="6" s="1"/>
  <c r="AT25" i="6" s="1"/>
  <c r="AU25" i="6" s="1"/>
  <c r="AV25" i="6" s="1"/>
  <c r="AW25" i="6" s="1"/>
  <c r="AX25" i="6" s="1"/>
  <c r="AY25" i="6" s="1"/>
  <c r="AZ25" i="6" s="1"/>
  <c r="BA25" i="6" s="1"/>
  <c r="BB25" i="6" s="1"/>
  <c r="BC25" i="6" s="1"/>
  <c r="BD25" i="6" s="1"/>
  <c r="BE25" i="6" s="1"/>
  <c r="BF25" i="6" s="1"/>
  <c r="BG25" i="6" s="1"/>
  <c r="BH25" i="6" s="1"/>
  <c r="BI25" i="6" s="1"/>
  <c r="BJ25" i="6" s="1"/>
  <c r="BK25" i="6" s="1"/>
  <c r="BL25" i="6" s="1"/>
  <c r="BM25" i="6" s="1"/>
  <c r="BN25" i="6" s="1"/>
  <c r="BO25" i="6" s="1"/>
  <c r="BP25" i="6" s="1"/>
  <c r="BQ25" i="6" s="1"/>
  <c r="BR25" i="6" s="1"/>
  <c r="BS25" i="6" s="1"/>
  <c r="BT25" i="6" s="1"/>
  <c r="BU25" i="6" s="1"/>
  <c r="BV25" i="6" s="1"/>
  <c r="BW25" i="6" s="1"/>
  <c r="BX25" i="6" s="1"/>
  <c r="BY25" i="6" s="1"/>
  <c r="BZ25" i="6" s="1"/>
  <c r="CA25" i="6" s="1"/>
  <c r="CB25" i="6" s="1"/>
  <c r="CC25" i="6" s="1"/>
  <c r="CD25" i="6" s="1"/>
  <c r="CE25" i="6" s="1"/>
  <c r="CF25" i="6" s="1"/>
  <c r="CG25" i="6" s="1"/>
  <c r="CH25" i="6" s="1"/>
  <c r="CI25" i="6" s="1"/>
  <c r="CJ25" i="6" s="1"/>
  <c r="CK25" i="6" s="1"/>
  <c r="CL25" i="6" s="1"/>
  <c r="CM25" i="6" s="1"/>
  <c r="CN25" i="6" s="1"/>
  <c r="CO25" i="6" s="1"/>
  <c r="CP25" i="6" s="1"/>
  <c r="CQ25" i="6" s="1"/>
  <c r="CR25" i="6" s="1"/>
  <c r="CS25" i="6" s="1"/>
  <c r="CT25" i="6" s="1"/>
  <c r="CU25" i="6" s="1"/>
  <c r="CV25" i="6" s="1"/>
  <c r="CW25" i="6" s="1"/>
  <c r="CX25" i="6" s="1"/>
  <c r="CY25" i="6" s="1"/>
  <c r="CZ25" i="6" s="1"/>
  <c r="DA25" i="6" s="1"/>
  <c r="DB25" i="6" s="1"/>
  <c r="DC25" i="6" s="1"/>
  <c r="DD25" i="6" s="1"/>
  <c r="DE25" i="6" s="1"/>
  <c r="DF25" i="6" s="1"/>
  <c r="DG25" i="6" s="1"/>
  <c r="DH25" i="6" s="1"/>
  <c r="DI25" i="6" s="1"/>
  <c r="DJ25" i="6" s="1"/>
  <c r="DK25" i="6" s="1"/>
  <c r="DL25" i="6" s="1"/>
  <c r="DM25" i="6" s="1"/>
  <c r="DN25" i="6" s="1"/>
  <c r="DO25" i="6" s="1"/>
  <c r="DP25" i="6" s="1"/>
  <c r="DQ25" i="6" s="1"/>
  <c r="DR25" i="6" s="1"/>
  <c r="DS25" i="6" s="1"/>
  <c r="DT25" i="6" s="1"/>
  <c r="DU25" i="6" s="1"/>
  <c r="DV25" i="6" s="1"/>
  <c r="DW25" i="6" s="1"/>
  <c r="DX25" i="6" s="1"/>
  <c r="DY25" i="6" s="1"/>
  <c r="DZ25" i="6" s="1"/>
  <c r="EA25" i="6" s="1"/>
  <c r="EB25" i="6" s="1"/>
  <c r="EC25" i="6" s="1"/>
  <c r="ED25" i="6" s="1"/>
  <c r="EE25" i="6" s="1"/>
  <c r="EF25" i="6" s="1"/>
  <c r="D24" i="6"/>
  <c r="E24" i="6" s="1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AJ24" i="6" s="1"/>
  <c r="AK24" i="6" s="1"/>
  <c r="AL24" i="6" s="1"/>
  <c r="AM24" i="6" s="1"/>
  <c r="AN24" i="6" s="1"/>
  <c r="AO24" i="6" s="1"/>
  <c r="AP24" i="6" s="1"/>
  <c r="AQ24" i="6" s="1"/>
  <c r="AR24" i="6" s="1"/>
  <c r="AS24" i="6" s="1"/>
  <c r="AT24" i="6" s="1"/>
  <c r="AU24" i="6" s="1"/>
  <c r="AV24" i="6" s="1"/>
  <c r="AW24" i="6" s="1"/>
  <c r="AX24" i="6" s="1"/>
  <c r="AY24" i="6" s="1"/>
  <c r="AZ24" i="6" s="1"/>
  <c r="BA24" i="6" s="1"/>
  <c r="BB24" i="6" s="1"/>
  <c r="BC24" i="6" s="1"/>
  <c r="BD24" i="6" s="1"/>
  <c r="BE24" i="6" s="1"/>
  <c r="BF24" i="6" s="1"/>
  <c r="BG24" i="6" s="1"/>
  <c r="BH24" i="6" s="1"/>
  <c r="BI24" i="6" s="1"/>
  <c r="BJ24" i="6" s="1"/>
  <c r="BK24" i="6" s="1"/>
  <c r="BL24" i="6" s="1"/>
  <c r="BM24" i="6" s="1"/>
  <c r="BN24" i="6" s="1"/>
  <c r="BO24" i="6" s="1"/>
  <c r="BP24" i="6" s="1"/>
  <c r="BQ24" i="6" s="1"/>
  <c r="BR24" i="6" s="1"/>
  <c r="BS24" i="6" s="1"/>
  <c r="BT24" i="6" s="1"/>
  <c r="BU24" i="6" s="1"/>
  <c r="BV24" i="6" s="1"/>
  <c r="BW24" i="6" s="1"/>
  <c r="BX24" i="6" s="1"/>
  <c r="BY24" i="6" s="1"/>
  <c r="BZ24" i="6" s="1"/>
  <c r="CA24" i="6" s="1"/>
  <c r="CB24" i="6" s="1"/>
  <c r="CC24" i="6" s="1"/>
  <c r="CD24" i="6" s="1"/>
  <c r="CE24" i="6" s="1"/>
  <c r="CF24" i="6" s="1"/>
  <c r="CG24" i="6" s="1"/>
  <c r="CH24" i="6" s="1"/>
  <c r="CI24" i="6" s="1"/>
  <c r="CJ24" i="6" s="1"/>
  <c r="CK24" i="6" s="1"/>
  <c r="CL24" i="6" s="1"/>
  <c r="CM24" i="6" s="1"/>
  <c r="CN24" i="6" s="1"/>
  <c r="CO24" i="6" s="1"/>
  <c r="CP24" i="6" s="1"/>
  <c r="CQ24" i="6" s="1"/>
  <c r="CR24" i="6" s="1"/>
  <c r="CS24" i="6" s="1"/>
  <c r="CT24" i="6" s="1"/>
  <c r="CU24" i="6" s="1"/>
  <c r="CV24" i="6" s="1"/>
  <c r="CW24" i="6" s="1"/>
  <c r="CX24" i="6" s="1"/>
  <c r="CY24" i="6" s="1"/>
  <c r="CZ24" i="6" s="1"/>
  <c r="DA24" i="6" s="1"/>
  <c r="DB24" i="6" s="1"/>
  <c r="DC24" i="6" s="1"/>
  <c r="DD24" i="6" s="1"/>
  <c r="DE24" i="6" s="1"/>
  <c r="DF24" i="6" s="1"/>
  <c r="DG24" i="6" s="1"/>
  <c r="DH24" i="6" s="1"/>
  <c r="DI24" i="6" s="1"/>
  <c r="DJ24" i="6" s="1"/>
  <c r="DK24" i="6" s="1"/>
  <c r="DL24" i="6" s="1"/>
  <c r="DM24" i="6" s="1"/>
  <c r="DN24" i="6" s="1"/>
  <c r="DO24" i="6" s="1"/>
  <c r="DP24" i="6" s="1"/>
  <c r="DQ24" i="6" s="1"/>
  <c r="DR24" i="6" s="1"/>
  <c r="DS24" i="6" s="1"/>
  <c r="DT24" i="6" s="1"/>
  <c r="DU24" i="6" s="1"/>
  <c r="DV24" i="6" s="1"/>
  <c r="DW24" i="6" s="1"/>
  <c r="DX24" i="6" s="1"/>
  <c r="DY24" i="6" s="1"/>
  <c r="DZ24" i="6" s="1"/>
  <c r="EA24" i="6" s="1"/>
  <c r="EB24" i="6" s="1"/>
  <c r="EC24" i="6" s="1"/>
  <c r="ED24" i="6" s="1"/>
  <c r="EE24" i="6" s="1"/>
  <c r="EF24" i="6" s="1"/>
  <c r="D23" i="6"/>
  <c r="E23" i="6" s="1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CV23" i="6" s="1"/>
  <c r="CW23" i="6" s="1"/>
  <c r="CX23" i="6" s="1"/>
  <c r="CY23" i="6" s="1"/>
  <c r="CZ23" i="6" s="1"/>
  <c r="DA23" i="6" s="1"/>
  <c r="DB23" i="6" s="1"/>
  <c r="DC23" i="6" s="1"/>
  <c r="DD23" i="6" s="1"/>
  <c r="DE23" i="6" s="1"/>
  <c r="DF23" i="6" s="1"/>
  <c r="DG23" i="6" s="1"/>
  <c r="DH23" i="6" s="1"/>
  <c r="DI23" i="6" s="1"/>
  <c r="DJ23" i="6" s="1"/>
  <c r="DK23" i="6" s="1"/>
  <c r="DL23" i="6" s="1"/>
  <c r="DM23" i="6" s="1"/>
  <c r="DN23" i="6" s="1"/>
  <c r="DO23" i="6" s="1"/>
  <c r="DP23" i="6" s="1"/>
  <c r="DQ23" i="6" s="1"/>
  <c r="DR23" i="6" s="1"/>
  <c r="DS23" i="6" s="1"/>
  <c r="DT23" i="6" s="1"/>
  <c r="DU23" i="6" s="1"/>
  <c r="DV23" i="6" s="1"/>
  <c r="DW23" i="6" s="1"/>
  <c r="DX23" i="6" s="1"/>
  <c r="DY23" i="6" s="1"/>
  <c r="DZ23" i="6" s="1"/>
  <c r="EA23" i="6" s="1"/>
  <c r="EB23" i="6" s="1"/>
  <c r="EC23" i="6" s="1"/>
  <c r="ED23" i="6" s="1"/>
  <c r="EE23" i="6" s="1"/>
  <c r="EF23" i="6" s="1"/>
  <c r="D22" i="6"/>
  <c r="E22" i="6" s="1"/>
  <c r="F22" i="6" s="1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CV22" i="6" s="1"/>
  <c r="CW22" i="6" s="1"/>
  <c r="CX22" i="6" s="1"/>
  <c r="CY22" i="6" s="1"/>
  <c r="CZ22" i="6" s="1"/>
  <c r="DA22" i="6" s="1"/>
  <c r="DB22" i="6" s="1"/>
  <c r="DC22" i="6" s="1"/>
  <c r="DD22" i="6" s="1"/>
  <c r="DE22" i="6" s="1"/>
  <c r="DF22" i="6" s="1"/>
  <c r="DG22" i="6" s="1"/>
  <c r="DH22" i="6" s="1"/>
  <c r="DI22" i="6" s="1"/>
  <c r="DJ22" i="6" s="1"/>
  <c r="DK22" i="6" s="1"/>
  <c r="DL22" i="6" s="1"/>
  <c r="DM22" i="6" s="1"/>
  <c r="DN22" i="6" s="1"/>
  <c r="DO22" i="6" s="1"/>
  <c r="DP22" i="6" s="1"/>
  <c r="DQ22" i="6" s="1"/>
  <c r="DR22" i="6" s="1"/>
  <c r="DS22" i="6" s="1"/>
  <c r="DT22" i="6" s="1"/>
  <c r="DU22" i="6" s="1"/>
  <c r="DV22" i="6" s="1"/>
  <c r="DW22" i="6" s="1"/>
  <c r="DX22" i="6" s="1"/>
  <c r="DY22" i="6" s="1"/>
  <c r="DZ22" i="6" s="1"/>
  <c r="EA22" i="6" s="1"/>
  <c r="EB22" i="6" s="1"/>
  <c r="EC22" i="6" s="1"/>
  <c r="ED22" i="6" s="1"/>
  <c r="EE22" i="6" s="1"/>
  <c r="EF22" i="6" s="1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I21" i="6" s="1"/>
  <c r="DJ21" i="6" s="1"/>
  <c r="DK21" i="6" s="1"/>
  <c r="DL21" i="6" s="1"/>
  <c r="DM21" i="6" s="1"/>
  <c r="DN21" i="6" s="1"/>
  <c r="DO21" i="6" s="1"/>
  <c r="DP21" i="6" s="1"/>
  <c r="DQ21" i="6" s="1"/>
  <c r="DR21" i="6" s="1"/>
  <c r="DS21" i="6" s="1"/>
  <c r="DT21" i="6" s="1"/>
  <c r="DU21" i="6" s="1"/>
  <c r="DV21" i="6" s="1"/>
  <c r="DW21" i="6" s="1"/>
  <c r="DX21" i="6" s="1"/>
  <c r="DY21" i="6" s="1"/>
  <c r="DZ21" i="6" s="1"/>
  <c r="EA21" i="6" s="1"/>
  <c r="EB21" i="6" s="1"/>
  <c r="EC21" i="6" s="1"/>
  <c r="ED21" i="6" s="1"/>
  <c r="EE21" i="6" s="1"/>
  <c r="EF21" i="6" s="1"/>
  <c r="D21" i="6"/>
  <c r="E21" i="6" s="1"/>
  <c r="D20" i="6"/>
  <c r="E20" i="6" s="1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CV20" i="6" s="1"/>
  <c r="CW20" i="6" s="1"/>
  <c r="CX20" i="6" s="1"/>
  <c r="CY20" i="6" s="1"/>
  <c r="CZ20" i="6" s="1"/>
  <c r="DA20" i="6" s="1"/>
  <c r="DB20" i="6" s="1"/>
  <c r="DC20" i="6" s="1"/>
  <c r="DD20" i="6" s="1"/>
  <c r="DE20" i="6" s="1"/>
  <c r="DF20" i="6" s="1"/>
  <c r="DG20" i="6" s="1"/>
  <c r="DH20" i="6" s="1"/>
  <c r="DI20" i="6" s="1"/>
  <c r="DJ20" i="6" s="1"/>
  <c r="DK20" i="6" s="1"/>
  <c r="DL20" i="6" s="1"/>
  <c r="DM20" i="6" s="1"/>
  <c r="DN20" i="6" s="1"/>
  <c r="DO20" i="6" s="1"/>
  <c r="DP20" i="6" s="1"/>
  <c r="DQ20" i="6" s="1"/>
  <c r="DR20" i="6" s="1"/>
  <c r="DS20" i="6" s="1"/>
  <c r="DT20" i="6" s="1"/>
  <c r="DU20" i="6" s="1"/>
  <c r="DV20" i="6" s="1"/>
  <c r="DW20" i="6" s="1"/>
  <c r="DX20" i="6" s="1"/>
  <c r="DY20" i="6" s="1"/>
  <c r="DZ20" i="6" s="1"/>
  <c r="EA20" i="6" s="1"/>
  <c r="EB20" i="6" s="1"/>
  <c r="EC20" i="6" s="1"/>
  <c r="ED20" i="6" s="1"/>
  <c r="EE20" i="6" s="1"/>
  <c r="EF20" i="6" s="1"/>
  <c r="H19" i="6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CV19" i="6" s="1"/>
  <c r="CW19" i="6" s="1"/>
  <c r="CX19" i="6" s="1"/>
  <c r="CY19" i="6" s="1"/>
  <c r="CZ19" i="6" s="1"/>
  <c r="DA19" i="6" s="1"/>
  <c r="DB19" i="6" s="1"/>
  <c r="DC19" i="6" s="1"/>
  <c r="DD19" i="6" s="1"/>
  <c r="DE19" i="6" s="1"/>
  <c r="DF19" i="6" s="1"/>
  <c r="DG19" i="6" s="1"/>
  <c r="DH19" i="6" s="1"/>
  <c r="DI19" i="6" s="1"/>
  <c r="DJ19" i="6" s="1"/>
  <c r="DK19" i="6" s="1"/>
  <c r="DL19" i="6" s="1"/>
  <c r="DM19" i="6" s="1"/>
  <c r="DN19" i="6" s="1"/>
  <c r="DO19" i="6" s="1"/>
  <c r="DP19" i="6" s="1"/>
  <c r="DQ19" i="6" s="1"/>
  <c r="DR19" i="6" s="1"/>
  <c r="DS19" i="6" s="1"/>
  <c r="DT19" i="6" s="1"/>
  <c r="DU19" i="6" s="1"/>
  <c r="DV19" i="6" s="1"/>
  <c r="DW19" i="6" s="1"/>
  <c r="DX19" i="6" s="1"/>
  <c r="DY19" i="6" s="1"/>
  <c r="DZ19" i="6" s="1"/>
  <c r="EA19" i="6" s="1"/>
  <c r="EB19" i="6" s="1"/>
  <c r="EC19" i="6" s="1"/>
  <c r="ED19" i="6" s="1"/>
  <c r="EE19" i="6" s="1"/>
  <c r="EF19" i="6" s="1"/>
  <c r="G19" i="6"/>
  <c r="F19" i="6"/>
  <c r="E19" i="6"/>
  <c r="D19" i="6"/>
  <c r="F18" i="6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18" i="6"/>
  <c r="D18" i="6"/>
  <c r="D17" i="6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CV17" i="6" s="1"/>
  <c r="CW17" i="6" s="1"/>
  <c r="CX17" i="6" s="1"/>
  <c r="CY17" i="6" s="1"/>
  <c r="CZ17" i="6" s="1"/>
  <c r="DA17" i="6" s="1"/>
  <c r="DB17" i="6" s="1"/>
  <c r="DC17" i="6" s="1"/>
  <c r="DD17" i="6" s="1"/>
  <c r="DE17" i="6" s="1"/>
  <c r="DF17" i="6" s="1"/>
  <c r="DG17" i="6" s="1"/>
  <c r="DH17" i="6" s="1"/>
  <c r="DI17" i="6" s="1"/>
  <c r="DJ17" i="6" s="1"/>
  <c r="DK17" i="6" s="1"/>
  <c r="DL17" i="6" s="1"/>
  <c r="DM17" i="6" s="1"/>
  <c r="DN17" i="6" s="1"/>
  <c r="DO17" i="6" s="1"/>
  <c r="DP17" i="6" s="1"/>
  <c r="DQ17" i="6" s="1"/>
  <c r="DR17" i="6" s="1"/>
  <c r="DS17" i="6" s="1"/>
  <c r="DT17" i="6" s="1"/>
  <c r="DU17" i="6" s="1"/>
  <c r="DV17" i="6" s="1"/>
  <c r="DW17" i="6" s="1"/>
  <c r="DX17" i="6" s="1"/>
  <c r="DY17" i="6" s="1"/>
  <c r="DZ17" i="6" s="1"/>
  <c r="EA17" i="6" s="1"/>
  <c r="EB17" i="6" s="1"/>
  <c r="EC17" i="6" s="1"/>
  <c r="ED17" i="6" s="1"/>
  <c r="EE17" i="6" s="1"/>
  <c r="EF17" i="6" s="1"/>
  <c r="D16" i="6"/>
  <c r="E16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CV16" i="6" s="1"/>
  <c r="CW16" i="6" s="1"/>
  <c r="CX16" i="6" s="1"/>
  <c r="CY16" i="6" s="1"/>
  <c r="CZ16" i="6" s="1"/>
  <c r="DA16" i="6" s="1"/>
  <c r="DB16" i="6" s="1"/>
  <c r="DC16" i="6" s="1"/>
  <c r="DD16" i="6" s="1"/>
  <c r="DE16" i="6" s="1"/>
  <c r="DF16" i="6" s="1"/>
  <c r="DG16" i="6" s="1"/>
  <c r="DH16" i="6" s="1"/>
  <c r="DI16" i="6" s="1"/>
  <c r="DJ16" i="6" s="1"/>
  <c r="DK16" i="6" s="1"/>
  <c r="DL16" i="6" s="1"/>
  <c r="DM16" i="6" s="1"/>
  <c r="DN16" i="6" s="1"/>
  <c r="DO16" i="6" s="1"/>
  <c r="DP16" i="6" s="1"/>
  <c r="DQ16" i="6" s="1"/>
  <c r="DR16" i="6" s="1"/>
  <c r="DS16" i="6" s="1"/>
  <c r="DT16" i="6" s="1"/>
  <c r="DU16" i="6" s="1"/>
  <c r="DV16" i="6" s="1"/>
  <c r="DW16" i="6" s="1"/>
  <c r="DX16" i="6" s="1"/>
  <c r="DY16" i="6" s="1"/>
  <c r="DZ16" i="6" s="1"/>
  <c r="EA16" i="6" s="1"/>
  <c r="EB16" i="6" s="1"/>
  <c r="EC16" i="6" s="1"/>
  <c r="ED16" i="6" s="1"/>
  <c r="EE16" i="6" s="1"/>
  <c r="EF16" i="6" s="1"/>
  <c r="E15" i="6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CV15" i="6" s="1"/>
  <c r="CW15" i="6" s="1"/>
  <c r="CX15" i="6" s="1"/>
  <c r="CY15" i="6" s="1"/>
  <c r="CZ15" i="6" s="1"/>
  <c r="DA15" i="6" s="1"/>
  <c r="DB15" i="6" s="1"/>
  <c r="DC15" i="6" s="1"/>
  <c r="DD15" i="6" s="1"/>
  <c r="DE15" i="6" s="1"/>
  <c r="DF15" i="6" s="1"/>
  <c r="DG15" i="6" s="1"/>
  <c r="DH15" i="6" s="1"/>
  <c r="DI15" i="6" s="1"/>
  <c r="DJ15" i="6" s="1"/>
  <c r="DK15" i="6" s="1"/>
  <c r="DL15" i="6" s="1"/>
  <c r="DM15" i="6" s="1"/>
  <c r="DN15" i="6" s="1"/>
  <c r="DO15" i="6" s="1"/>
  <c r="DP15" i="6" s="1"/>
  <c r="DQ15" i="6" s="1"/>
  <c r="DR15" i="6" s="1"/>
  <c r="DS15" i="6" s="1"/>
  <c r="DT15" i="6" s="1"/>
  <c r="DU15" i="6" s="1"/>
  <c r="DV15" i="6" s="1"/>
  <c r="DW15" i="6" s="1"/>
  <c r="DX15" i="6" s="1"/>
  <c r="DY15" i="6" s="1"/>
  <c r="DZ15" i="6" s="1"/>
  <c r="EA15" i="6" s="1"/>
  <c r="EB15" i="6" s="1"/>
  <c r="EC15" i="6" s="1"/>
  <c r="ED15" i="6" s="1"/>
  <c r="EE15" i="6" s="1"/>
  <c r="EF15" i="6" s="1"/>
  <c r="D15" i="6"/>
  <c r="F14" i="6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CV14" i="6" s="1"/>
  <c r="CW14" i="6" s="1"/>
  <c r="CX14" i="6" s="1"/>
  <c r="CY14" i="6" s="1"/>
  <c r="CZ14" i="6" s="1"/>
  <c r="DA14" i="6" s="1"/>
  <c r="DB14" i="6" s="1"/>
  <c r="DC14" i="6" s="1"/>
  <c r="DD14" i="6" s="1"/>
  <c r="DE14" i="6" s="1"/>
  <c r="DF14" i="6" s="1"/>
  <c r="DG14" i="6" s="1"/>
  <c r="DH14" i="6" s="1"/>
  <c r="DI14" i="6" s="1"/>
  <c r="DJ14" i="6" s="1"/>
  <c r="DK14" i="6" s="1"/>
  <c r="DL14" i="6" s="1"/>
  <c r="DM14" i="6" s="1"/>
  <c r="DN14" i="6" s="1"/>
  <c r="DO14" i="6" s="1"/>
  <c r="DP14" i="6" s="1"/>
  <c r="DQ14" i="6" s="1"/>
  <c r="DR14" i="6" s="1"/>
  <c r="DS14" i="6" s="1"/>
  <c r="DT14" i="6" s="1"/>
  <c r="DU14" i="6" s="1"/>
  <c r="DV14" i="6" s="1"/>
  <c r="DW14" i="6" s="1"/>
  <c r="DX14" i="6" s="1"/>
  <c r="DY14" i="6" s="1"/>
  <c r="DZ14" i="6" s="1"/>
  <c r="EA14" i="6" s="1"/>
  <c r="EB14" i="6" s="1"/>
  <c r="EC14" i="6" s="1"/>
  <c r="ED14" i="6" s="1"/>
  <c r="EE14" i="6" s="1"/>
  <c r="EF14" i="6" s="1"/>
  <c r="D14" i="6"/>
  <c r="E14" i="6" s="1"/>
  <c r="D13" i="6"/>
  <c r="E13" i="6" s="1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CV13" i="6" s="1"/>
  <c r="CW13" i="6" s="1"/>
  <c r="CX13" i="6" s="1"/>
  <c r="CY13" i="6" s="1"/>
  <c r="CZ13" i="6" s="1"/>
  <c r="DA13" i="6" s="1"/>
  <c r="DB13" i="6" s="1"/>
  <c r="DC13" i="6" s="1"/>
  <c r="DD13" i="6" s="1"/>
  <c r="DE13" i="6" s="1"/>
  <c r="DF13" i="6" s="1"/>
  <c r="DG13" i="6" s="1"/>
  <c r="DH13" i="6" s="1"/>
  <c r="DI13" i="6" s="1"/>
  <c r="DJ13" i="6" s="1"/>
  <c r="DK13" i="6" s="1"/>
  <c r="DL13" i="6" s="1"/>
  <c r="DM13" i="6" s="1"/>
  <c r="DN13" i="6" s="1"/>
  <c r="DO13" i="6" s="1"/>
  <c r="DP13" i="6" s="1"/>
  <c r="DQ13" i="6" s="1"/>
  <c r="DR13" i="6" s="1"/>
  <c r="DS13" i="6" s="1"/>
  <c r="DT13" i="6" s="1"/>
  <c r="DU13" i="6" s="1"/>
  <c r="DV13" i="6" s="1"/>
  <c r="DW13" i="6" s="1"/>
  <c r="DX13" i="6" s="1"/>
  <c r="DY13" i="6" s="1"/>
  <c r="DZ13" i="6" s="1"/>
  <c r="EA13" i="6" s="1"/>
  <c r="EB13" i="6" s="1"/>
  <c r="EC13" i="6" s="1"/>
  <c r="ED13" i="6" s="1"/>
  <c r="EE13" i="6" s="1"/>
  <c r="EF13" i="6" s="1"/>
  <c r="K12" i="6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F12" i="6"/>
  <c r="G12" i="6" s="1"/>
  <c r="H12" i="6" s="1"/>
  <c r="I12" i="6" s="1"/>
  <c r="J12" i="6" s="1"/>
  <c r="E12" i="6"/>
  <c r="D12" i="6"/>
  <c r="D12" i="5"/>
  <c r="EG6" i="6" a="1"/>
  <c r="EG6" i="6" s="1"/>
  <c r="EF6" i="6" a="1"/>
  <c r="EF6" i="6" s="1"/>
  <c r="EE6" i="6" a="1"/>
  <c r="EE6" i="6" s="1"/>
  <c r="ED6" i="6" a="1"/>
  <c r="ED6" i="6" s="1"/>
  <c r="EC6" i="6" a="1"/>
  <c r="EC6" i="6" s="1"/>
  <c r="EB6" i="6" a="1"/>
  <c r="EB6" i="6" s="1"/>
  <c r="EA6" i="6" a="1"/>
  <c r="EA6" i="6" s="1"/>
  <c r="DZ6" i="6"/>
  <c r="DZ8" i="6" s="1"/>
  <c r="DZ6" i="6" a="1"/>
  <c r="DY6" i="6" a="1"/>
  <c r="DY6" i="6" s="1"/>
  <c r="DX6" i="6" a="1"/>
  <c r="DX6" i="6" s="1"/>
  <c r="DW6" i="6" a="1"/>
  <c r="DW6" i="6" s="1"/>
  <c r="DV6" i="6" a="1"/>
  <c r="DV6" i="6" s="1"/>
  <c r="DU6" i="6" a="1"/>
  <c r="DU6" i="6" s="1"/>
  <c r="DT6" i="6" a="1"/>
  <c r="DT6" i="6" s="1"/>
  <c r="DS6" i="6" a="1"/>
  <c r="DS6" i="6" s="1"/>
  <c r="DR6" i="6"/>
  <c r="DR7" i="6" s="1"/>
  <c r="DR6" i="6" a="1"/>
  <c r="DQ6" i="6" a="1"/>
  <c r="DQ6" i="6" s="1"/>
  <c r="DP6" i="6" a="1"/>
  <c r="DP6" i="6" s="1"/>
  <c r="DO6" i="6" a="1"/>
  <c r="DO6" i="6" s="1"/>
  <c r="DN6" i="6" a="1"/>
  <c r="DN6" i="6" s="1"/>
  <c r="DM6" i="6" a="1"/>
  <c r="DM6" i="6" s="1"/>
  <c r="DL6" i="6" a="1"/>
  <c r="DL6" i="6" s="1"/>
  <c r="DK6" i="6" a="1"/>
  <c r="DK6" i="6" s="1"/>
  <c r="DJ6" i="6"/>
  <c r="DJ8" i="6" s="1"/>
  <c r="DJ6" i="6" a="1"/>
  <c r="DI6" i="6" a="1"/>
  <c r="DI6" i="6" s="1"/>
  <c r="DH6" i="6" a="1"/>
  <c r="DH6" i="6" s="1"/>
  <c r="DG6" i="6" a="1"/>
  <c r="DG6" i="6" s="1"/>
  <c r="DF6" i="6" a="1"/>
  <c r="DF6" i="6" s="1"/>
  <c r="DE6" i="6" a="1"/>
  <c r="DE6" i="6" s="1"/>
  <c r="DD6" i="6" a="1"/>
  <c r="DD6" i="6" s="1"/>
  <c r="DC6" i="6" a="1"/>
  <c r="DC6" i="6" s="1"/>
  <c r="DB6" i="6"/>
  <c r="DB7" i="6" s="1"/>
  <c r="DB6" i="6" a="1"/>
  <c r="DA6" i="6" a="1"/>
  <c r="DA6" i="6" s="1"/>
  <c r="CZ6" i="6" a="1"/>
  <c r="CZ6" i="6" s="1"/>
  <c r="CY6" i="6" a="1"/>
  <c r="CY6" i="6" s="1"/>
  <c r="CX6" i="6" a="1"/>
  <c r="CX6" i="6" s="1"/>
  <c r="CW6" i="6" a="1"/>
  <c r="CW6" i="6" s="1"/>
  <c r="CV6" i="6" a="1"/>
  <c r="CV6" i="6" s="1"/>
  <c r="CU6" i="6" a="1"/>
  <c r="CU6" i="6" s="1"/>
  <c r="CT6" i="6"/>
  <c r="CT8" i="6" s="1"/>
  <c r="CT6" i="6" a="1"/>
  <c r="CS6" i="6" a="1"/>
  <c r="CS6" i="6" s="1"/>
  <c r="CR6" i="6" a="1"/>
  <c r="CR6" i="6" s="1"/>
  <c r="CQ6" i="6" a="1"/>
  <c r="CQ6" i="6" s="1"/>
  <c r="CP6" i="6" a="1"/>
  <c r="CP6" i="6" s="1"/>
  <c r="CO6" i="6" a="1"/>
  <c r="CO6" i="6" s="1"/>
  <c r="CN6" i="6" a="1"/>
  <c r="CN6" i="6" s="1"/>
  <c r="CM6" i="6" a="1"/>
  <c r="CM6" i="6" s="1"/>
  <c r="CL6" i="6"/>
  <c r="CL7" i="6" s="1"/>
  <c r="CL6" i="6" a="1"/>
  <c r="CK6" i="6" a="1"/>
  <c r="CK6" i="6" s="1"/>
  <c r="CJ6" i="6" a="1"/>
  <c r="CJ6" i="6" s="1"/>
  <c r="CI6" i="6" a="1"/>
  <c r="CI6" i="6" s="1"/>
  <c r="CH6" i="6" a="1"/>
  <c r="CH6" i="6" s="1"/>
  <c r="CG6" i="6" a="1"/>
  <c r="CG6" i="6" s="1"/>
  <c r="CF6" i="6" a="1"/>
  <c r="CF6" i="6" s="1"/>
  <c r="CE6" i="6" a="1"/>
  <c r="CE6" i="6" s="1"/>
  <c r="CD6" i="6"/>
  <c r="CD8" i="6" s="1"/>
  <c r="CD6" i="6" a="1"/>
  <c r="CC6" i="6" a="1"/>
  <c r="CC6" i="6" s="1"/>
  <c r="CB6" i="6" a="1"/>
  <c r="CB6" i="6" s="1"/>
  <c r="CA6" i="6" a="1"/>
  <c r="CA6" i="6" s="1"/>
  <c r="BZ6" i="6" a="1"/>
  <c r="BZ6" i="6" s="1"/>
  <c r="BY6" i="6" a="1"/>
  <c r="BY6" i="6" s="1"/>
  <c r="BX6" i="6" a="1"/>
  <c r="BX6" i="6" s="1"/>
  <c r="BW6" i="6" a="1"/>
  <c r="BW6" i="6" s="1"/>
  <c r="BV6" i="6"/>
  <c r="BV7" i="6" s="1"/>
  <c r="BV6" i="6" a="1"/>
  <c r="BU6" i="6" a="1"/>
  <c r="BU6" i="6" s="1"/>
  <c r="BT6" i="6" a="1"/>
  <c r="BT6" i="6" s="1"/>
  <c r="BS6" i="6" a="1"/>
  <c r="BS6" i="6" s="1"/>
  <c r="BR6" i="6" a="1"/>
  <c r="BR6" i="6" s="1"/>
  <c r="BQ6" i="6" a="1"/>
  <c r="BQ6" i="6" s="1"/>
  <c r="BP6" i="6" a="1"/>
  <c r="BP6" i="6" s="1"/>
  <c r="BO6" i="6" a="1"/>
  <c r="BO6" i="6" s="1"/>
  <c r="BN6" i="6"/>
  <c r="BN8" i="6" s="1"/>
  <c r="BN6" i="6" a="1"/>
  <c r="BM6" i="6" a="1"/>
  <c r="BM6" i="6" s="1"/>
  <c r="BL6" i="6" a="1"/>
  <c r="BL6" i="6" s="1"/>
  <c r="BK6" i="6" a="1"/>
  <c r="BK6" i="6" s="1"/>
  <c r="BJ6" i="6" a="1"/>
  <c r="BJ6" i="6" s="1"/>
  <c r="BI6" i="6" a="1"/>
  <c r="BI6" i="6" s="1"/>
  <c r="BH6" i="6" a="1"/>
  <c r="BH6" i="6" s="1"/>
  <c r="BG6" i="6" a="1"/>
  <c r="BG6" i="6" s="1"/>
  <c r="BF6" i="6"/>
  <c r="BF7" i="6" s="1"/>
  <c r="BF6" i="6" a="1"/>
  <c r="BE6" i="6" a="1"/>
  <c r="BE6" i="6" s="1"/>
  <c r="BD6" i="6" a="1"/>
  <c r="BD6" i="6" s="1"/>
  <c r="BC6" i="6" a="1"/>
  <c r="BC6" i="6" s="1"/>
  <c r="BB6" i="6" a="1"/>
  <c r="BB6" i="6" s="1"/>
  <c r="BA6" i="6" a="1"/>
  <c r="BA6" i="6" s="1"/>
  <c r="AZ6" i="6" a="1"/>
  <c r="AZ6" i="6" s="1"/>
  <c r="AY6" i="6" a="1"/>
  <c r="AY6" i="6" s="1"/>
  <c r="AX6" i="6"/>
  <c r="AX8" i="6" s="1"/>
  <c r="AX6" i="6" a="1"/>
  <c r="AW6" i="6" a="1"/>
  <c r="AW6" i="6" s="1"/>
  <c r="AV6" i="6" a="1"/>
  <c r="AV6" i="6" s="1"/>
  <c r="AU6" i="6" a="1"/>
  <c r="AU6" i="6" s="1"/>
  <c r="AT6" i="6" a="1"/>
  <c r="AT6" i="6" s="1"/>
  <c r="AS6" i="6" a="1"/>
  <c r="AS6" i="6" s="1"/>
  <c r="AR6" i="6" a="1"/>
  <c r="AR6" i="6" s="1"/>
  <c r="AQ6" i="6" a="1"/>
  <c r="AQ6" i="6" s="1"/>
  <c r="AP6" i="6"/>
  <c r="AP7" i="6" s="1"/>
  <c r="AP6" i="6" a="1"/>
  <c r="AO6" i="6" a="1"/>
  <c r="AO6" i="6" s="1"/>
  <c r="AN6" i="6" a="1"/>
  <c r="AN6" i="6" s="1"/>
  <c r="AM6" i="6" a="1"/>
  <c r="AM6" i="6" s="1"/>
  <c r="AL6" i="6" a="1"/>
  <c r="AL6" i="6" s="1"/>
  <c r="AK6" i="6" a="1"/>
  <c r="AK6" i="6" s="1"/>
  <c r="AJ6" i="6" a="1"/>
  <c r="AJ6" i="6" s="1"/>
  <c r="AI6" i="6" a="1"/>
  <c r="AI6" i="6" s="1"/>
  <c r="AH6" i="6"/>
  <c r="AH7" i="6" s="1"/>
  <c r="AH6" i="6" a="1"/>
  <c r="AG6" i="6" a="1"/>
  <c r="AG6" i="6" s="1"/>
  <c r="AF6" i="6" a="1"/>
  <c r="AF6" i="6" s="1"/>
  <c r="AE6" i="6" a="1"/>
  <c r="AE6" i="6" s="1"/>
  <c r="AD6" i="6" a="1"/>
  <c r="AD6" i="6" s="1"/>
  <c r="AC6" i="6" a="1"/>
  <c r="AC6" i="6" s="1"/>
  <c r="AB6" i="6" a="1"/>
  <c r="AB6" i="6" s="1"/>
  <c r="AA6" i="6" a="1"/>
  <c r="AA6" i="6" s="1"/>
  <c r="Z6" i="6"/>
  <c r="Z7" i="6" s="1"/>
  <c r="Z6" i="6" a="1"/>
  <c r="Y6" i="6" a="1"/>
  <c r="Y6" i="6" s="1"/>
  <c r="X6" i="6" a="1"/>
  <c r="X6" i="6" s="1"/>
  <c r="W6" i="6" a="1"/>
  <c r="W6" i="6" s="1"/>
  <c r="V6" i="6" a="1"/>
  <c r="V6" i="6" s="1"/>
  <c r="U6" i="6" a="1"/>
  <c r="U6" i="6" s="1"/>
  <c r="T6" i="6" a="1"/>
  <c r="T6" i="6" s="1"/>
  <c r="S6" i="6" a="1"/>
  <c r="S6" i="6" s="1"/>
  <c r="R6" i="6"/>
  <c r="R8" i="6" s="1"/>
  <c r="R6" i="6" a="1"/>
  <c r="Q6" i="6" a="1"/>
  <c r="Q6" i="6" s="1"/>
  <c r="P6" i="6" a="1"/>
  <c r="P6" i="6" s="1"/>
  <c r="O6" i="6" a="1"/>
  <c r="O6" i="6" s="1"/>
  <c r="N6" i="6" a="1"/>
  <c r="N6" i="6" s="1"/>
  <c r="M6" i="6" a="1"/>
  <c r="M6" i="6" s="1"/>
  <c r="L6" i="6" a="1"/>
  <c r="L6" i="6" s="1"/>
  <c r="K6" i="6" a="1"/>
  <c r="K6" i="6" s="1"/>
  <c r="J6" i="6"/>
  <c r="J7" i="6" s="1"/>
  <c r="J6" i="6" a="1"/>
  <c r="I6" i="6" a="1"/>
  <c r="I6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C6" i="6" a="1"/>
  <c r="C6" i="6" s="1"/>
  <c r="AH8" i="4"/>
  <c r="EG7" i="4"/>
  <c r="DQ7" i="4"/>
  <c r="EG6" i="4"/>
  <c r="EG8" i="4" s="1"/>
  <c r="EG6" i="4" a="1"/>
  <c r="EF6" i="4" a="1"/>
  <c r="EF6" i="4" s="1"/>
  <c r="EE6" i="4" a="1"/>
  <c r="EE6" i="4" s="1"/>
  <c r="ED6" i="4" a="1"/>
  <c r="ED6" i="4" s="1"/>
  <c r="EC6" i="4" a="1"/>
  <c r="EC6" i="4" s="1"/>
  <c r="EB6" i="4" a="1"/>
  <c r="EB6" i="4" s="1"/>
  <c r="EA6" i="4" a="1"/>
  <c r="EA6" i="4" s="1"/>
  <c r="DZ6" i="4"/>
  <c r="DZ8" i="4" s="1"/>
  <c r="DZ6" i="4" a="1"/>
  <c r="DY6" i="4"/>
  <c r="DY8" i="4" s="1"/>
  <c r="DY6" i="4" a="1"/>
  <c r="DX6" i="4" a="1"/>
  <c r="DX6" i="4" s="1"/>
  <c r="DW6" i="4" a="1"/>
  <c r="DW6" i="4" s="1"/>
  <c r="DV6" i="4" a="1"/>
  <c r="DV6" i="4" s="1"/>
  <c r="DU6" i="4" a="1"/>
  <c r="DU6" i="4" s="1"/>
  <c r="DT6" i="4" a="1"/>
  <c r="DT6" i="4" s="1"/>
  <c r="DS6" i="4" a="1"/>
  <c r="DS6" i="4" s="1"/>
  <c r="DR6" i="4"/>
  <c r="DR7" i="4" s="1"/>
  <c r="DR6" i="4" a="1"/>
  <c r="DQ6" i="4"/>
  <c r="DQ8" i="4" s="1"/>
  <c r="DQ6" i="4" a="1"/>
  <c r="DP6" i="4" a="1"/>
  <c r="DP6" i="4" s="1"/>
  <c r="DO6" i="4" a="1"/>
  <c r="DO6" i="4" s="1"/>
  <c r="DN6" i="4" a="1"/>
  <c r="DN6" i="4" s="1"/>
  <c r="DM6" i="4" a="1"/>
  <c r="DM6" i="4" s="1"/>
  <c r="DL6" i="4" a="1"/>
  <c r="DL6" i="4" s="1"/>
  <c r="DK6" i="4" a="1"/>
  <c r="DK6" i="4" s="1"/>
  <c r="DJ6" i="4"/>
  <c r="DJ7" i="4" s="1"/>
  <c r="DJ6" i="4" a="1"/>
  <c r="DI6" i="4" a="1"/>
  <c r="DI6" i="4" s="1"/>
  <c r="DH6" i="4" a="1"/>
  <c r="DH6" i="4" s="1"/>
  <c r="DG6" i="4" a="1"/>
  <c r="DG6" i="4" s="1"/>
  <c r="DF6" i="4" a="1"/>
  <c r="DF6" i="4" s="1"/>
  <c r="DE6" i="4" a="1"/>
  <c r="DE6" i="4" s="1"/>
  <c r="DD6" i="4" a="1"/>
  <c r="DD6" i="4" s="1"/>
  <c r="DC6" i="4" a="1"/>
  <c r="DC6" i="4" s="1"/>
  <c r="DB6" i="4"/>
  <c r="DB8" i="4" s="1"/>
  <c r="DB6" i="4" a="1"/>
  <c r="DA6" i="4" a="1"/>
  <c r="DA6" i="4" s="1"/>
  <c r="CZ6" i="4" a="1"/>
  <c r="CZ6" i="4" s="1"/>
  <c r="CY6" i="4" a="1"/>
  <c r="CY6" i="4" s="1"/>
  <c r="CX6" i="4" a="1"/>
  <c r="CX6" i="4" s="1"/>
  <c r="CW6" i="4" a="1"/>
  <c r="CW6" i="4" s="1"/>
  <c r="CV6" i="4" a="1"/>
  <c r="CV6" i="4" s="1"/>
  <c r="CU6" i="4" a="1"/>
  <c r="CU6" i="4" s="1"/>
  <c r="CT6" i="4"/>
  <c r="CT8" i="4" s="1"/>
  <c r="CT6" i="4" a="1"/>
  <c r="CS6" i="4" a="1"/>
  <c r="CS6" i="4" s="1"/>
  <c r="CR6" i="4" a="1"/>
  <c r="CR6" i="4" s="1"/>
  <c r="CQ6" i="4" a="1"/>
  <c r="CQ6" i="4" s="1"/>
  <c r="CP6" i="4" a="1"/>
  <c r="CP6" i="4" s="1"/>
  <c r="CO6" i="4" a="1"/>
  <c r="CO6" i="4" s="1"/>
  <c r="CN6" i="4" a="1"/>
  <c r="CN6" i="4" s="1"/>
  <c r="CM6" i="4" a="1"/>
  <c r="CM6" i="4" s="1"/>
  <c r="CL6" i="4"/>
  <c r="CL8" i="4" s="1"/>
  <c r="CL6" i="4" a="1"/>
  <c r="CK6" i="4" a="1"/>
  <c r="CK6" i="4" s="1"/>
  <c r="CJ6" i="4" a="1"/>
  <c r="CJ6" i="4" s="1"/>
  <c r="CI6" i="4" a="1"/>
  <c r="CI6" i="4" s="1"/>
  <c r="CH6" i="4" a="1"/>
  <c r="CH6" i="4" s="1"/>
  <c r="CG6" i="4" a="1"/>
  <c r="CG6" i="4" s="1"/>
  <c r="CF6" i="4" a="1"/>
  <c r="CF6" i="4" s="1"/>
  <c r="CE6" i="4" a="1"/>
  <c r="CE6" i="4" s="1"/>
  <c r="CD6" i="4"/>
  <c r="CD8" i="4" s="1"/>
  <c r="CD6" i="4" a="1"/>
  <c r="CC6" i="4" a="1"/>
  <c r="CC6" i="4" s="1"/>
  <c r="CB6" i="4" a="1"/>
  <c r="CB6" i="4" s="1"/>
  <c r="CA6" i="4" a="1"/>
  <c r="CA6" i="4" s="1"/>
  <c r="BZ6" i="4" a="1"/>
  <c r="BZ6" i="4" s="1"/>
  <c r="BY6" i="4" a="1"/>
  <c r="BY6" i="4" s="1"/>
  <c r="BX6" i="4" a="1"/>
  <c r="BX6" i="4" s="1"/>
  <c r="BW6" i="4" a="1"/>
  <c r="BW6" i="4" s="1"/>
  <c r="BV6" i="4"/>
  <c r="BV7" i="4" s="1"/>
  <c r="BV6" i="4" a="1"/>
  <c r="BU6" i="4" a="1"/>
  <c r="BU6" i="4" s="1"/>
  <c r="BT6" i="4" a="1"/>
  <c r="BT6" i="4" s="1"/>
  <c r="BS6" i="4" a="1"/>
  <c r="BS6" i="4" s="1"/>
  <c r="BR6" i="4" a="1"/>
  <c r="BR6" i="4" s="1"/>
  <c r="BQ6" i="4" a="1"/>
  <c r="BQ6" i="4" s="1"/>
  <c r="BP6" i="4" a="1"/>
  <c r="BP6" i="4" s="1"/>
  <c r="BO6" i="4" a="1"/>
  <c r="BO6" i="4" s="1"/>
  <c r="BN6" i="4"/>
  <c r="BN8" i="4" s="1"/>
  <c r="BN6" i="4" a="1"/>
  <c r="BM6" i="4" a="1"/>
  <c r="BM6" i="4" s="1"/>
  <c r="BL6" i="4" a="1"/>
  <c r="BL6" i="4" s="1"/>
  <c r="BK6" i="4" a="1"/>
  <c r="BK6" i="4" s="1"/>
  <c r="BJ6" i="4" a="1"/>
  <c r="BJ6" i="4" s="1"/>
  <c r="BI6" i="4" a="1"/>
  <c r="BI6" i="4" s="1"/>
  <c r="BH6" i="4" a="1"/>
  <c r="BH6" i="4" s="1"/>
  <c r="BG6" i="4" a="1"/>
  <c r="BG6" i="4" s="1"/>
  <c r="BF6" i="4"/>
  <c r="BF7" i="4" s="1"/>
  <c r="BF6" i="4" a="1"/>
  <c r="BE6" i="4" a="1"/>
  <c r="BE6" i="4" s="1"/>
  <c r="BD6" i="4" a="1"/>
  <c r="BD6" i="4" s="1"/>
  <c r="BC6" i="4" a="1"/>
  <c r="BC6" i="4" s="1"/>
  <c r="BB6" i="4" a="1"/>
  <c r="BB6" i="4" s="1"/>
  <c r="BA6" i="4" a="1"/>
  <c r="BA6" i="4" s="1"/>
  <c r="AZ6" i="4" a="1"/>
  <c r="AZ6" i="4" s="1"/>
  <c r="AY6" i="4" a="1"/>
  <c r="AY6" i="4" s="1"/>
  <c r="AX6" i="4"/>
  <c r="AX8" i="4" s="1"/>
  <c r="AX6" i="4" a="1"/>
  <c r="AW6" i="4" a="1"/>
  <c r="AW6" i="4" s="1"/>
  <c r="AV6" i="4" a="1"/>
  <c r="AV6" i="4" s="1"/>
  <c r="AU6" i="4" a="1"/>
  <c r="AU6" i="4" s="1"/>
  <c r="AT6" i="4" a="1"/>
  <c r="AT6" i="4" s="1"/>
  <c r="AS6" i="4" a="1"/>
  <c r="AS6" i="4" s="1"/>
  <c r="AR6" i="4" a="1"/>
  <c r="AR6" i="4" s="1"/>
  <c r="AQ6" i="4" a="1"/>
  <c r="AQ6" i="4" s="1"/>
  <c r="AP6" i="4"/>
  <c r="AP8" i="4" s="1"/>
  <c r="AP6" i="4" a="1"/>
  <c r="AO6" i="4" a="1"/>
  <c r="AO6" i="4" s="1"/>
  <c r="AN6" i="4" a="1"/>
  <c r="AN6" i="4" s="1"/>
  <c r="AM6" i="4" a="1"/>
  <c r="AM6" i="4" s="1"/>
  <c r="AL6" i="4" a="1"/>
  <c r="AL6" i="4" s="1"/>
  <c r="AK6" i="4" a="1"/>
  <c r="AK6" i="4" s="1"/>
  <c r="AJ6" i="4" a="1"/>
  <c r="AJ6" i="4" s="1"/>
  <c r="AI6" i="4" a="1"/>
  <c r="AI6" i="4" s="1"/>
  <c r="AH6" i="4"/>
  <c r="AH7" i="4" s="1"/>
  <c r="AH6" i="4" a="1"/>
  <c r="AG6" i="4" a="1"/>
  <c r="AG6" i="4" s="1"/>
  <c r="AF6" i="4" a="1"/>
  <c r="AF6" i="4" s="1"/>
  <c r="AE6" i="4" a="1"/>
  <c r="AE6" i="4" s="1"/>
  <c r="AD6" i="4" a="1"/>
  <c r="AD6" i="4" s="1"/>
  <c r="AC6" i="4" a="1"/>
  <c r="AC6" i="4" s="1"/>
  <c r="AB6" i="4" a="1"/>
  <c r="AB6" i="4" s="1"/>
  <c r="AA6" i="4" a="1"/>
  <c r="AA6" i="4" s="1"/>
  <c r="Z6" i="4"/>
  <c r="Z7" i="4" s="1"/>
  <c r="Z6" i="4" a="1"/>
  <c r="Y6" i="4" a="1"/>
  <c r="Y6" i="4" s="1"/>
  <c r="X6" i="4" a="1"/>
  <c r="X6" i="4" s="1"/>
  <c r="W6" i="4" a="1"/>
  <c r="W6" i="4" s="1"/>
  <c r="V6" i="4" a="1"/>
  <c r="V6" i="4" s="1"/>
  <c r="U6" i="4" a="1"/>
  <c r="U6" i="4" s="1"/>
  <c r="T6" i="4" a="1"/>
  <c r="T6" i="4" s="1"/>
  <c r="S6" i="4" a="1"/>
  <c r="S6" i="4" s="1"/>
  <c r="R6" i="4"/>
  <c r="R8" i="4" s="1"/>
  <c r="R6" i="4" a="1"/>
  <c r="Q6" i="4" a="1"/>
  <c r="Q6" i="4" s="1"/>
  <c r="P6" i="4" a="1"/>
  <c r="P6" i="4" s="1"/>
  <c r="O6" i="4" a="1"/>
  <c r="O6" i="4" s="1"/>
  <c r="N6" i="4" a="1"/>
  <c r="N6" i="4" s="1"/>
  <c r="M6" i="4" a="1"/>
  <c r="M6" i="4" s="1"/>
  <c r="L6" i="4" a="1"/>
  <c r="L6" i="4" s="1"/>
  <c r="K6" i="4" a="1"/>
  <c r="K6" i="4" s="1"/>
  <c r="J6" i="4"/>
  <c r="J7" i="4" s="1"/>
  <c r="J6" i="4" a="1"/>
  <c r="I6" i="4" a="1"/>
  <c r="I6" i="4" s="1"/>
  <c r="H6" i="4" a="1"/>
  <c r="H6" i="4" s="1"/>
  <c r="G6" i="4" a="1"/>
  <c r="G6" i="4" s="1"/>
  <c r="F6" i="4" a="1"/>
  <c r="F6" i="4" s="1"/>
  <c r="E6" i="4" a="1"/>
  <c r="E6" i="4" s="1"/>
  <c r="D6" i="4" a="1"/>
  <c r="D6" i="4" s="1"/>
  <c r="C6" i="4" a="1"/>
  <c r="C6" i="4" s="1"/>
  <c r="EG12" i="3"/>
  <c r="C12" i="4"/>
  <c r="EG8" i="8"/>
  <c r="DZ8" i="8"/>
  <c r="DP8" i="8"/>
  <c r="CJ8" i="8"/>
  <c r="BT8" i="8"/>
  <c r="BS8" i="8"/>
  <c r="BB8" i="8"/>
  <c r="AY8" i="8"/>
  <c r="Y8" i="8"/>
  <c r="O8" i="8"/>
  <c r="C8" i="8"/>
  <c r="EG7" i="8"/>
  <c r="EB7" i="8"/>
  <c r="DA7" i="8"/>
  <c r="CX7" i="8"/>
  <c r="CW7" i="8"/>
  <c r="CQ7" i="8"/>
  <c r="CN7" i="8"/>
  <c r="CK7" i="8"/>
  <c r="CB7" i="8"/>
  <c r="BK7" i="8"/>
  <c r="BB7" i="8"/>
  <c r="BA7" i="8"/>
  <c r="AZ7" i="8"/>
  <c r="AT7" i="8"/>
  <c r="AJ7" i="8"/>
  <c r="AF7" i="8"/>
  <c r="EG6" i="8" a="1"/>
  <c r="EG6" i="8" s="1"/>
  <c r="EF6" i="8" a="1"/>
  <c r="EF6" i="8"/>
  <c r="EE6" i="8" a="1"/>
  <c r="EE6" i="8" s="1"/>
  <c r="ED6" i="8" a="1"/>
  <c r="ED6" i="8" s="1"/>
  <c r="EC6" i="8" a="1"/>
  <c r="EC6" i="8" s="1"/>
  <c r="EB6" i="8" a="1"/>
  <c r="EB6" i="8" s="1"/>
  <c r="EB8" i="8" s="1"/>
  <c r="EA6" i="8" a="1"/>
  <c r="EA6" i="8"/>
  <c r="DZ6" i="8" a="1"/>
  <c r="DZ6" i="8" s="1"/>
  <c r="DZ7" i="8" s="1"/>
  <c r="DY6" i="8" a="1"/>
  <c r="DY6" i="8" s="1"/>
  <c r="DX6" i="8" a="1"/>
  <c r="DX6" i="8" s="1"/>
  <c r="DW6" i="8" a="1"/>
  <c r="DW6" i="8" s="1"/>
  <c r="DV6" i="8" a="1"/>
  <c r="DV6" i="8" s="1"/>
  <c r="DU6" i="8" a="1"/>
  <c r="DU6" i="8"/>
  <c r="DT6" i="8" a="1"/>
  <c r="DT6" i="8" s="1"/>
  <c r="DS6" i="8" a="1"/>
  <c r="DS6" i="8" s="1"/>
  <c r="DR6" i="8" a="1"/>
  <c r="DR6" i="8"/>
  <c r="DQ6" i="8" a="1"/>
  <c r="DQ6" i="8"/>
  <c r="DP6" i="8" a="1"/>
  <c r="DP6" i="8" s="1"/>
  <c r="DP7" i="8" s="1"/>
  <c r="DO6" i="8" a="1"/>
  <c r="DO6" i="8"/>
  <c r="DO7" i="8" s="1"/>
  <c r="DN6" i="8" a="1"/>
  <c r="DN6" i="8"/>
  <c r="DM6" i="8" a="1"/>
  <c r="DM6" i="8" s="1"/>
  <c r="DL6" i="8" a="1"/>
  <c r="DL6" i="8" s="1"/>
  <c r="DK6" i="8" a="1"/>
  <c r="DK6" i="8"/>
  <c r="DJ6" i="8" a="1"/>
  <c r="DJ6" i="8"/>
  <c r="DJ7" i="8" s="1"/>
  <c r="DI6" i="8" a="1"/>
  <c r="DI6" i="8" s="1"/>
  <c r="DH6" i="8" a="1"/>
  <c r="DH6" i="8" s="1"/>
  <c r="DG6" i="8" a="1"/>
  <c r="DG6" i="8" s="1"/>
  <c r="DF6" i="8" a="1"/>
  <c r="DF6" i="8" s="1"/>
  <c r="DE6" i="8" a="1"/>
  <c r="DE6" i="8" s="1"/>
  <c r="DD6" i="8" a="1"/>
  <c r="DD6" i="8" s="1"/>
  <c r="DC6" i="8" a="1"/>
  <c r="DC6" i="8" s="1"/>
  <c r="DB6" i="8" a="1"/>
  <c r="DB6" i="8" s="1"/>
  <c r="DA6" i="8" a="1"/>
  <c r="DA6" i="8"/>
  <c r="DA8" i="8" s="1"/>
  <c r="CZ6" i="8" a="1"/>
  <c r="CZ6" i="8"/>
  <c r="CZ7" i="8" s="1"/>
  <c r="CY6" i="8" a="1"/>
  <c r="CY6" i="8" s="1"/>
  <c r="CX6" i="8" a="1"/>
  <c r="CX6" i="8"/>
  <c r="CX8" i="8" s="1"/>
  <c r="CW6" i="8" a="1"/>
  <c r="CW6" i="8"/>
  <c r="CW8" i="8" s="1"/>
  <c r="CV6" i="8" a="1"/>
  <c r="CV6" i="8" s="1"/>
  <c r="CU6" i="8" a="1"/>
  <c r="CU6" i="8"/>
  <c r="CT6" i="8" a="1"/>
  <c r="CT6" i="8" s="1"/>
  <c r="CS6" i="8" a="1"/>
  <c r="CS6" i="8"/>
  <c r="CR6" i="8" a="1"/>
  <c r="CR6" i="8" s="1"/>
  <c r="CQ6" i="8" a="1"/>
  <c r="CQ6" i="8" s="1"/>
  <c r="CQ8" i="8" s="1"/>
  <c r="CP6" i="8" a="1"/>
  <c r="CP6" i="8" s="1"/>
  <c r="CO6" i="8" a="1"/>
  <c r="CO6" i="8" s="1"/>
  <c r="CN6" i="8" a="1"/>
  <c r="CN6" i="8" s="1"/>
  <c r="CN8" i="8" s="1"/>
  <c r="CM6" i="8" a="1"/>
  <c r="CM6" i="8"/>
  <c r="CL6" i="8" a="1"/>
  <c r="CL6" i="8" s="1"/>
  <c r="CK6" i="8" a="1"/>
  <c r="CK6" i="8" s="1"/>
  <c r="CK8" i="8" s="1"/>
  <c r="CJ6" i="8" a="1"/>
  <c r="CJ6" i="8"/>
  <c r="CJ7" i="8" s="1"/>
  <c r="CI6" i="8" a="1"/>
  <c r="CI6" i="8"/>
  <c r="CH6" i="8" a="1"/>
  <c r="CH6" i="8"/>
  <c r="CG6" i="8" a="1"/>
  <c r="CG6" i="8"/>
  <c r="CF6" i="8" a="1"/>
  <c r="CF6" i="8" s="1"/>
  <c r="CF8" i="8" s="1"/>
  <c r="CE6" i="8" a="1"/>
  <c r="CE6" i="8"/>
  <c r="CD6" i="8" a="1"/>
  <c r="CD6" i="8"/>
  <c r="CC6" i="8" a="1"/>
  <c r="CC6" i="8" s="1"/>
  <c r="CB6" i="8" a="1"/>
  <c r="CB6" i="8"/>
  <c r="CB8" i="8" s="1"/>
  <c r="CA6" i="8" a="1"/>
  <c r="CA6" i="8" s="1"/>
  <c r="BZ6" i="8" a="1"/>
  <c r="BZ6" i="8"/>
  <c r="BY6" i="8" a="1"/>
  <c r="BY6" i="8" s="1"/>
  <c r="BX6" i="8" a="1"/>
  <c r="BX6" i="8" s="1"/>
  <c r="BW6" i="8" a="1"/>
  <c r="BW6" i="8"/>
  <c r="BV6" i="8" a="1"/>
  <c r="BV6" i="8"/>
  <c r="BU6" i="8" a="1"/>
  <c r="BU6" i="8" s="1"/>
  <c r="BT6" i="8" a="1"/>
  <c r="BT6" i="8" s="1"/>
  <c r="BT7" i="8" s="1"/>
  <c r="BS6" i="8" a="1"/>
  <c r="BS6" i="8"/>
  <c r="BS7" i="8" s="1"/>
  <c r="BR6" i="8" a="1"/>
  <c r="BR6" i="8"/>
  <c r="BQ6" i="8" a="1"/>
  <c r="BQ6" i="8" s="1"/>
  <c r="BP6" i="8" a="1"/>
  <c r="BP6" i="8" s="1"/>
  <c r="BO6" i="8" a="1"/>
  <c r="BO6" i="8" s="1"/>
  <c r="BN6" i="8" a="1"/>
  <c r="BN6" i="8" s="1"/>
  <c r="BM6" i="8" a="1"/>
  <c r="BM6" i="8"/>
  <c r="BL6" i="8" a="1"/>
  <c r="BL6" i="8" s="1"/>
  <c r="BK6" i="8" a="1"/>
  <c r="BK6" i="8"/>
  <c r="BK8" i="8" s="1"/>
  <c r="BJ6" i="8" a="1"/>
  <c r="BJ6" i="8" s="1"/>
  <c r="BI6" i="8" a="1"/>
  <c r="BI6" i="8" s="1"/>
  <c r="BH6" i="8" a="1"/>
  <c r="BH6" i="8" s="1"/>
  <c r="BG6" i="8" a="1"/>
  <c r="BG6" i="8"/>
  <c r="BF6" i="8" a="1"/>
  <c r="BF6" i="8"/>
  <c r="BE6" i="8" a="1"/>
  <c r="BE6" i="8"/>
  <c r="BD6" i="8" a="1"/>
  <c r="BD6" i="8"/>
  <c r="BC6" i="8" a="1"/>
  <c r="BC6" i="8" s="1"/>
  <c r="BB6" i="8" a="1"/>
  <c r="BB6" i="8"/>
  <c r="BA6" i="8" a="1"/>
  <c r="BA6" i="8"/>
  <c r="BA8" i="8" s="1"/>
  <c r="AZ6" i="8" a="1"/>
  <c r="AZ6" i="8" s="1"/>
  <c r="AZ8" i="8" s="1"/>
  <c r="AY6" i="8" a="1"/>
  <c r="AY6" i="8" s="1"/>
  <c r="AY7" i="8" s="1"/>
  <c r="AX6" i="8" a="1"/>
  <c r="AX6" i="8" s="1"/>
  <c r="AW6" i="8" a="1"/>
  <c r="AW6" i="8" s="1"/>
  <c r="AV6" i="8" a="1"/>
  <c r="AV6" i="8" s="1"/>
  <c r="AV8" i="8" s="1"/>
  <c r="AU6" i="8" a="1"/>
  <c r="AU6" i="8"/>
  <c r="AT6" i="8" a="1"/>
  <c r="AT6" i="8"/>
  <c r="AT8" i="8" s="1"/>
  <c r="AS6" i="8" a="1"/>
  <c r="AS6" i="8" s="1"/>
  <c r="AR6" i="8" a="1"/>
  <c r="AR6" i="8" s="1"/>
  <c r="AQ6" i="8" a="1"/>
  <c r="AQ6" i="8"/>
  <c r="AP6" i="8" a="1"/>
  <c r="AP6" i="8"/>
  <c r="AO6" i="8" a="1"/>
  <c r="AO6" i="8"/>
  <c r="AO8" i="8" s="1"/>
  <c r="AN6" i="8" a="1"/>
  <c r="AN6" i="8"/>
  <c r="AM6" i="8" a="1"/>
  <c r="AM6" i="8" s="1"/>
  <c r="AL6" i="8" a="1"/>
  <c r="AL6" i="8" s="1"/>
  <c r="AK6" i="8" a="1"/>
  <c r="AK6" i="8" s="1"/>
  <c r="AJ6" i="8" a="1"/>
  <c r="AJ6" i="8" s="1"/>
  <c r="AJ8" i="8" s="1"/>
  <c r="AI6" i="8" a="1"/>
  <c r="AI6" i="8"/>
  <c r="AH6" i="8" a="1"/>
  <c r="AH6" i="8" s="1"/>
  <c r="AG6" i="8" a="1"/>
  <c r="AG6" i="8" s="1"/>
  <c r="AF6" i="8" a="1"/>
  <c r="AF6" i="8" s="1"/>
  <c r="AF8" i="8" s="1"/>
  <c r="AE6" i="8" a="1"/>
  <c r="AE6" i="8"/>
  <c r="AD6" i="8" a="1"/>
  <c r="AD6" i="8" s="1"/>
  <c r="AC6" i="8" a="1"/>
  <c r="AC6" i="8"/>
  <c r="AB6" i="8" a="1"/>
  <c r="AB6" i="8" s="1"/>
  <c r="AA6" i="8" a="1"/>
  <c r="AA6" i="8"/>
  <c r="Z6" i="8" a="1"/>
  <c r="Z6" i="8" s="1"/>
  <c r="Y6" i="8" a="1"/>
  <c r="Y6" i="8"/>
  <c r="Y7" i="8" s="1"/>
  <c r="X6" i="8" a="1"/>
  <c r="X6" i="8"/>
  <c r="W6" i="8" a="1"/>
  <c r="W6" i="8" s="1"/>
  <c r="V6" i="8" a="1"/>
  <c r="V6" i="8" s="1"/>
  <c r="U6" i="8" a="1"/>
  <c r="U6" i="8" s="1"/>
  <c r="T6" i="8" a="1"/>
  <c r="T6" i="8" s="1"/>
  <c r="S6" i="8" a="1"/>
  <c r="S6" i="8" s="1"/>
  <c r="R6" i="8" a="1"/>
  <c r="R6" i="8" s="1"/>
  <c r="Q6" i="8" a="1"/>
  <c r="Q6" i="8" s="1"/>
  <c r="P6" i="8" a="1"/>
  <c r="P6" i="8" s="1"/>
  <c r="O6" i="8" a="1"/>
  <c r="O6" i="8" s="1"/>
  <c r="O7" i="8" s="1"/>
  <c r="N6" i="8" a="1"/>
  <c r="N6" i="8"/>
  <c r="M6" i="8" a="1"/>
  <c r="M6" i="8" s="1"/>
  <c r="L6" i="8" a="1"/>
  <c r="L6" i="8" s="1"/>
  <c r="L8" i="8" s="1"/>
  <c r="K6" i="8" a="1"/>
  <c r="K6" i="8"/>
  <c r="J6" i="8" a="1"/>
  <c r="J6" i="8"/>
  <c r="I6" i="8" a="1"/>
  <c r="I6" i="8" s="1"/>
  <c r="H6" i="8" a="1"/>
  <c r="H6" i="8"/>
  <c r="G6" i="8" a="1"/>
  <c r="G6" i="8"/>
  <c r="F6" i="8" a="1"/>
  <c r="F6" i="8" s="1"/>
  <c r="F7" i="8" s="1"/>
  <c r="E6" i="8" a="1"/>
  <c r="E6" i="8" s="1"/>
  <c r="D6" i="8" a="1"/>
  <c r="D6" i="8" s="1"/>
  <c r="C6" i="8" a="1"/>
  <c r="C6" i="8"/>
  <c r="C7" i="8" s="1"/>
  <c r="CP25" i="7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25" i="7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D25" i="7"/>
  <c r="CK24" i="7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C24" i="7"/>
  <c r="D24" i="7" s="1"/>
  <c r="E24" i="7" s="1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I23" i="7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D23" i="7"/>
  <c r="E23" i="7" s="1"/>
  <c r="F23" i="7" s="1"/>
  <c r="G23" i="7" s="1"/>
  <c r="H23" i="7" s="1"/>
  <c r="C23" i="7"/>
  <c r="AP22" i="7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X22" i="7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H22" i="7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G22" i="7"/>
  <c r="F22" i="7"/>
  <c r="E22" i="7"/>
  <c r="D22" i="7"/>
  <c r="C22" i="7"/>
  <c r="DD21" i="7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G21" i="7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C21" i="7"/>
  <c r="D21" i="7" s="1"/>
  <c r="E21" i="7" s="1"/>
  <c r="F21" i="7" s="1"/>
  <c r="I20" i="7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C20" i="7"/>
  <c r="D20" i="7" s="1"/>
  <c r="E20" i="7" s="1"/>
  <c r="F20" i="7" s="1"/>
  <c r="G20" i="7" s="1"/>
  <c r="H20" i="7" s="1"/>
  <c r="D19" i="7"/>
  <c r="E19" i="7" s="1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C19" i="7"/>
  <c r="CT18" i="7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J18" i="7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H18" i="7"/>
  <c r="I18" i="7" s="1"/>
  <c r="G18" i="7"/>
  <c r="F18" i="7"/>
  <c r="E18" i="7"/>
  <c r="C18" i="7"/>
  <c r="D18" i="7" s="1"/>
  <c r="AB17" i="7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C17" i="7"/>
  <c r="D17" i="7" s="1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T16" i="7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D16" i="7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C16" i="7"/>
  <c r="AO15" i="7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G15" i="7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F15" i="7"/>
  <c r="E15" i="7"/>
  <c r="D15" i="7"/>
  <c r="C15" i="7"/>
  <c r="AR14" i="7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C14" i="7"/>
  <c r="D14" i="7" s="1"/>
  <c r="E14" i="7" s="1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CY13" i="7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X13" i="7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F13" i="7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D13" i="7"/>
  <c r="E13" i="7" s="1"/>
  <c r="C13" i="7"/>
  <c r="E12" i="7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D12" i="7"/>
  <c r="C12" i="7"/>
  <c r="DZ8" i="7"/>
  <c r="DS8" i="7"/>
  <c r="DM8" i="7"/>
  <c r="DJ8" i="7"/>
  <c r="DH8" i="7"/>
  <c r="DG8" i="7"/>
  <c r="DC8" i="7"/>
  <c r="DB8" i="7"/>
  <c r="CR8" i="7"/>
  <c r="CN8" i="7"/>
  <c r="CK8" i="7"/>
  <c r="CJ8" i="7"/>
  <c r="CI8" i="7"/>
  <c r="CE8" i="7"/>
  <c r="BY8" i="7"/>
  <c r="BT8" i="7"/>
  <c r="BG8" i="7"/>
  <c r="AW8" i="7"/>
  <c r="AV8" i="7"/>
  <c r="AS8" i="7"/>
  <c r="AL8" i="7"/>
  <c r="AB8" i="7"/>
  <c r="S8" i="7"/>
  <c r="K8" i="7"/>
  <c r="EE7" i="7"/>
  <c r="ED7" i="7"/>
  <c r="DZ7" i="7"/>
  <c r="DU7" i="7"/>
  <c r="DL7" i="7"/>
  <c r="DK7" i="7"/>
  <c r="DJ7" i="7"/>
  <c r="DI7" i="7"/>
  <c r="DH7" i="7"/>
  <c r="DG7" i="7"/>
  <c r="DB7" i="7"/>
  <c r="CU7" i="7"/>
  <c r="CR7" i="7"/>
  <c r="CK7" i="7"/>
  <c r="BW7" i="7"/>
  <c r="BT7" i="7"/>
  <c r="BR7" i="7"/>
  <c r="BN7" i="7"/>
  <c r="BJ7" i="7"/>
  <c r="BG7" i="7"/>
  <c r="AS7" i="7"/>
  <c r="AR7" i="7"/>
  <c r="AO7" i="7"/>
  <c r="AL7" i="7"/>
  <c r="AD7" i="7"/>
  <c r="AB7" i="7"/>
  <c r="AA7" i="7"/>
  <c r="S7" i="7"/>
  <c r="R7" i="7"/>
  <c r="J7" i="7"/>
  <c r="H7" i="7"/>
  <c r="C7" i="7"/>
  <c r="EG6" i="7" a="1"/>
  <c r="EF6" i="7" a="1"/>
  <c r="EF6" i="7" s="1"/>
  <c r="EE6" i="7" a="1"/>
  <c r="EE6" i="7"/>
  <c r="EE8" i="7" s="1"/>
  <c r="ED6" i="7" a="1"/>
  <c r="ED6" i="7" s="1"/>
  <c r="ED8" i="7" s="1"/>
  <c r="EC6" i="7" a="1"/>
  <c r="EC6" i="7" s="1"/>
  <c r="EB6" i="7" a="1"/>
  <c r="EB6" i="7" s="1"/>
  <c r="EB7" i="7" s="1"/>
  <c r="EA6" i="7" a="1"/>
  <c r="EA6" i="7" s="1"/>
  <c r="DZ6" i="7" a="1"/>
  <c r="DZ6" i="7" s="1"/>
  <c r="DY6" i="7" a="1"/>
  <c r="DY6" i="7"/>
  <c r="DX6" i="7" a="1"/>
  <c r="DX6" i="7"/>
  <c r="DW6" i="7" a="1"/>
  <c r="DW6" i="7" s="1"/>
  <c r="DV6" i="7" a="1"/>
  <c r="DV6" i="7"/>
  <c r="DU6" i="7" a="1"/>
  <c r="DU6" i="7" s="1"/>
  <c r="DU8" i="7" s="1"/>
  <c r="DT6" i="7" a="1"/>
  <c r="DT6" i="7" s="1"/>
  <c r="DS6" i="7" a="1"/>
  <c r="DS6" i="7" s="1"/>
  <c r="DS7" i="7" s="1"/>
  <c r="DR6" i="7" a="1"/>
  <c r="DR6" i="7"/>
  <c r="DQ6" i="7" a="1"/>
  <c r="DQ6" i="7"/>
  <c r="DP6" i="7" a="1"/>
  <c r="DP6" i="7"/>
  <c r="DO6" i="7" a="1"/>
  <c r="DO6" i="7" s="1"/>
  <c r="DN6" i="7" a="1"/>
  <c r="DN6" i="7" s="1"/>
  <c r="DM6" i="7" a="1"/>
  <c r="DM6" i="7" s="1"/>
  <c r="DM7" i="7" s="1"/>
  <c r="DL6" i="7" a="1"/>
  <c r="DL6" i="7"/>
  <c r="DL8" i="7" s="1"/>
  <c r="DK6" i="7" a="1"/>
  <c r="DK6" i="7" s="1"/>
  <c r="DK8" i="7" s="1"/>
  <c r="DJ6" i="7" a="1"/>
  <c r="DJ6" i="7"/>
  <c r="DI6" i="7" a="1"/>
  <c r="DI6" i="7" s="1"/>
  <c r="DI8" i="7" s="1"/>
  <c r="DH6" i="7" a="1"/>
  <c r="DH6" i="7"/>
  <c r="DG6" i="7" a="1"/>
  <c r="DG6" i="7"/>
  <c r="DF6" i="7" a="1"/>
  <c r="DF6" i="7" s="1"/>
  <c r="DE6" i="7" a="1"/>
  <c r="DE6" i="7"/>
  <c r="DD6" i="7" a="1"/>
  <c r="DD6" i="7" s="1"/>
  <c r="DC6" i="7" a="1"/>
  <c r="DC6" i="7" s="1"/>
  <c r="DC7" i="7" s="1"/>
  <c r="DB6" i="7" a="1"/>
  <c r="DB6" i="7" s="1"/>
  <c r="DA6" i="7" a="1"/>
  <c r="DA6" i="7" s="1"/>
  <c r="CZ6" i="7" a="1"/>
  <c r="CZ6" i="7"/>
  <c r="CZ7" i="7" s="1"/>
  <c r="CY6" i="7" a="1"/>
  <c r="CY6" i="7"/>
  <c r="CX6" i="7" a="1"/>
  <c r="CX6" i="7"/>
  <c r="CW6" i="7" a="1"/>
  <c r="CW6" i="7" s="1"/>
  <c r="CV6" i="7" a="1"/>
  <c r="CV6" i="7"/>
  <c r="CU6" i="7" a="1"/>
  <c r="CU6" i="7" s="1"/>
  <c r="CU8" i="7" s="1"/>
  <c r="CT6" i="7" a="1"/>
  <c r="CT6" i="7"/>
  <c r="CS6" i="7" a="1"/>
  <c r="CS6" i="7"/>
  <c r="CR6" i="7" a="1"/>
  <c r="CR6" i="7" s="1"/>
  <c r="CQ6" i="7" a="1"/>
  <c r="CQ6" i="7" s="1"/>
  <c r="CP6" i="7" a="1"/>
  <c r="CP6" i="7"/>
  <c r="CP8" i="7" s="1"/>
  <c r="CO6" i="7" a="1"/>
  <c r="CO6" i="7"/>
  <c r="CO7" i="7" s="1"/>
  <c r="CN6" i="7" a="1"/>
  <c r="CN6" i="7" s="1"/>
  <c r="CN7" i="7" s="1"/>
  <c r="CM6" i="7" a="1"/>
  <c r="CM6" i="7" s="1"/>
  <c r="CL6" i="7" a="1"/>
  <c r="CL6" i="7"/>
  <c r="CK6" i="7" a="1"/>
  <c r="CK6" i="7"/>
  <c r="CJ6" i="7" a="1"/>
  <c r="CJ6" i="7"/>
  <c r="CJ7" i="7" s="1"/>
  <c r="CI6" i="7" a="1"/>
  <c r="CI6" i="7"/>
  <c r="CI7" i="7" s="1"/>
  <c r="CH6" i="7" a="1"/>
  <c r="CH6" i="7" s="1"/>
  <c r="CG6" i="7" a="1"/>
  <c r="CG6" i="7" s="1"/>
  <c r="CF6" i="7" a="1"/>
  <c r="CF6" i="7"/>
  <c r="CE6" i="7" a="1"/>
  <c r="CE6" i="7" s="1"/>
  <c r="CE7" i="7" s="1"/>
  <c r="CD6" i="7" a="1"/>
  <c r="CD6" i="7" s="1"/>
  <c r="CC6" i="7" a="1"/>
  <c r="CC6" i="7" s="1"/>
  <c r="CB6" i="7" a="1"/>
  <c r="CB6" i="7" s="1"/>
  <c r="CA6" i="7" a="1"/>
  <c r="CA6" i="7" s="1"/>
  <c r="BZ6" i="7" a="1"/>
  <c r="BZ6" i="7" s="1"/>
  <c r="BY6" i="7" a="1"/>
  <c r="BY6" i="7"/>
  <c r="BY7" i="7" s="1"/>
  <c r="BX6" i="7" a="1"/>
  <c r="BX6" i="7" s="1"/>
  <c r="BW6" i="7" a="1"/>
  <c r="BW6" i="7" s="1"/>
  <c r="BW8" i="7" s="1"/>
  <c r="BV6" i="7" a="1"/>
  <c r="BV6" i="7"/>
  <c r="BU6" i="7" a="1"/>
  <c r="BU6" i="7"/>
  <c r="BT6" i="7" a="1"/>
  <c r="BT6" i="7" s="1"/>
  <c r="BS6" i="7" a="1"/>
  <c r="BS6" i="7" s="1"/>
  <c r="BS8" i="7" s="1"/>
  <c r="BR6" i="7" a="1"/>
  <c r="BR6" i="7"/>
  <c r="BR8" i="7" s="1"/>
  <c r="BQ6" i="7" a="1"/>
  <c r="BQ6" i="7" s="1"/>
  <c r="BQ7" i="7" s="1"/>
  <c r="BP6" i="7" a="1"/>
  <c r="BP6" i="7"/>
  <c r="BO6" i="7" a="1"/>
  <c r="BO6" i="7" s="1"/>
  <c r="BO7" i="7" s="1"/>
  <c r="BN6" i="7" a="1"/>
  <c r="BN6" i="7"/>
  <c r="BN8" i="7" s="1"/>
  <c r="BM6" i="7" a="1"/>
  <c r="BM6" i="7"/>
  <c r="BL6" i="7" a="1"/>
  <c r="BL6" i="7"/>
  <c r="BK6" i="7" a="1"/>
  <c r="BK6" i="7"/>
  <c r="BJ6" i="7" a="1"/>
  <c r="BJ6" i="7" s="1"/>
  <c r="BJ8" i="7" s="1"/>
  <c r="BI6" i="7" a="1"/>
  <c r="BI6" i="7"/>
  <c r="BH6" i="7" a="1"/>
  <c r="BH6" i="7" s="1"/>
  <c r="BG6" i="7" a="1"/>
  <c r="BG6" i="7" s="1"/>
  <c r="BF6" i="7" a="1"/>
  <c r="BF6" i="7" s="1"/>
  <c r="BE6" i="7" a="1"/>
  <c r="BE6" i="7"/>
  <c r="BE8" i="7" s="1"/>
  <c r="BD6" i="7" a="1"/>
  <c r="BD6" i="7"/>
  <c r="BC6" i="7" a="1"/>
  <c r="BC6" i="7"/>
  <c r="BB6" i="7" a="1"/>
  <c r="BB6" i="7"/>
  <c r="BA6" i="7" a="1"/>
  <c r="BA6" i="7"/>
  <c r="AZ6" i="7" a="1"/>
  <c r="AZ6" i="7"/>
  <c r="AY6" i="7" a="1"/>
  <c r="AY6" i="7" s="1"/>
  <c r="AY8" i="7" s="1"/>
  <c r="AX6" i="7" a="1"/>
  <c r="AX6" i="7"/>
  <c r="AW6" i="7" a="1"/>
  <c r="AW6" i="7" s="1"/>
  <c r="AW7" i="7" s="1"/>
  <c r="AV6" i="7" a="1"/>
  <c r="AV6" i="7" s="1"/>
  <c r="AV7" i="7" s="1"/>
  <c r="AU6" i="7" a="1"/>
  <c r="AU6" i="7" s="1"/>
  <c r="AT6" i="7" a="1"/>
  <c r="AT6" i="7" s="1"/>
  <c r="AS6" i="7" a="1"/>
  <c r="AS6" i="7" s="1"/>
  <c r="AR6" i="7" a="1"/>
  <c r="AR6" i="7" s="1"/>
  <c r="AR8" i="7" s="1"/>
  <c r="AQ6" i="7" a="1"/>
  <c r="AQ6" i="7" s="1"/>
  <c r="AQ8" i="7" s="1"/>
  <c r="AP6" i="7" a="1"/>
  <c r="AP6" i="7"/>
  <c r="AO6" i="7" a="1"/>
  <c r="AO6" i="7" s="1"/>
  <c r="AO8" i="7" s="1"/>
  <c r="AN6" i="7" a="1"/>
  <c r="AN6" i="7" s="1"/>
  <c r="AM6" i="7" a="1"/>
  <c r="AM6" i="7"/>
  <c r="AL6" i="7" a="1"/>
  <c r="AL6" i="7"/>
  <c r="AK6" i="7" a="1"/>
  <c r="AK6" i="7" s="1"/>
  <c r="AJ6" i="7" a="1"/>
  <c r="AJ6" i="7"/>
  <c r="AI6" i="7" a="1"/>
  <c r="AI6" i="7" s="1"/>
  <c r="AH6" i="7" a="1"/>
  <c r="AH6" i="7" s="1"/>
  <c r="AG6" i="7" a="1"/>
  <c r="AG6" i="7" s="1"/>
  <c r="AF6" i="7" a="1"/>
  <c r="AF6" i="7" s="1"/>
  <c r="AE6" i="7" a="1"/>
  <c r="AE6" i="7"/>
  <c r="AD6" i="7" a="1"/>
  <c r="AD6" i="7"/>
  <c r="AD8" i="7" s="1"/>
  <c r="AC6" i="7" a="1"/>
  <c r="AC6" i="7"/>
  <c r="AC7" i="7" s="1"/>
  <c r="AB6" i="7" a="1"/>
  <c r="AB6" i="7" s="1"/>
  <c r="AA6" i="7" a="1"/>
  <c r="AA6" i="7" s="1"/>
  <c r="AA8" i="7" s="1"/>
  <c r="Z6" i="7" a="1"/>
  <c r="Z6" i="7"/>
  <c r="Y6" i="7" a="1"/>
  <c r="Y6" i="7"/>
  <c r="X6" i="7" a="1"/>
  <c r="X6" i="7"/>
  <c r="W6" i="7" a="1"/>
  <c r="W6" i="7" s="1"/>
  <c r="V6" i="7" a="1"/>
  <c r="V6" i="7" s="1"/>
  <c r="V7" i="7" s="1"/>
  <c r="U6" i="7" a="1"/>
  <c r="U6" i="7" s="1"/>
  <c r="T6" i="7" a="1"/>
  <c r="T6" i="7"/>
  <c r="T8" i="7" s="1"/>
  <c r="S6" i="7" a="1"/>
  <c r="S6" i="7" s="1"/>
  <c r="R6" i="7" a="1"/>
  <c r="R6" i="7"/>
  <c r="R8" i="7" s="1"/>
  <c r="Q6" i="7" a="1"/>
  <c r="Q6" i="7"/>
  <c r="P6" i="7" a="1"/>
  <c r="P6" i="7"/>
  <c r="O6" i="7" a="1"/>
  <c r="O6" i="7"/>
  <c r="N6" i="7" a="1"/>
  <c r="N6" i="7"/>
  <c r="M6" i="7" a="1"/>
  <c r="M6" i="7" s="1"/>
  <c r="L6" i="7" a="1"/>
  <c r="L6" i="7" s="1"/>
  <c r="K6" i="7" a="1"/>
  <c r="K6" i="7" s="1"/>
  <c r="K7" i="7" s="1"/>
  <c r="J6" i="7" a="1"/>
  <c r="J6" i="7"/>
  <c r="J8" i="7" s="1"/>
  <c r="I6" i="7" a="1"/>
  <c r="I6" i="7"/>
  <c r="H6" i="7" a="1"/>
  <c r="H6" i="7"/>
  <c r="H8" i="7" s="1"/>
  <c r="G6" i="7" a="1"/>
  <c r="G6" i="7"/>
  <c r="F6" i="7" a="1"/>
  <c r="F6" i="7" s="1"/>
  <c r="F8" i="7" s="1"/>
  <c r="E6" i="7" a="1"/>
  <c r="E6" i="7" s="1"/>
  <c r="D6" i="7" a="1"/>
  <c r="D6" i="7"/>
  <c r="C6" i="7" a="1"/>
  <c r="C6" i="7" s="1"/>
  <c r="C8" i="7" s="1"/>
  <c r="EG4" i="7"/>
  <c r="EG3" i="7"/>
  <c r="E25" i="5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D25" i="5"/>
  <c r="D24" i="5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C24" i="5"/>
  <c r="V23" i="5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R23" i="5"/>
  <c r="S23" i="5" s="1"/>
  <c r="T23" i="5" s="1"/>
  <c r="U23" i="5" s="1"/>
  <c r="E23" i="5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C23" i="5"/>
  <c r="D23" i="5" s="1"/>
  <c r="M22" i="5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L22" i="5"/>
  <c r="F22" i="5"/>
  <c r="G22" i="5" s="1"/>
  <c r="H22" i="5" s="1"/>
  <c r="I22" i="5" s="1"/>
  <c r="J22" i="5" s="1"/>
  <c r="K22" i="5" s="1"/>
  <c r="C22" i="5"/>
  <c r="D22" i="5" s="1"/>
  <c r="E22" i="5" s="1"/>
  <c r="C21" i="5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AB20" i="5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C20" i="5"/>
  <c r="AZ19" i="5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K19" i="5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H19" i="5"/>
  <c r="I19" i="5" s="1"/>
  <c r="J19" i="5" s="1"/>
  <c r="F19" i="5"/>
  <c r="G19" i="5" s="1"/>
  <c r="C19" i="5"/>
  <c r="D19" i="5" s="1"/>
  <c r="E19" i="5" s="1"/>
  <c r="T18" i="5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D18" i="5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C18" i="5"/>
  <c r="O17" i="5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F17" i="5"/>
  <c r="G17" i="5" s="1"/>
  <c r="H17" i="5" s="1"/>
  <c r="I17" i="5" s="1"/>
  <c r="J17" i="5" s="1"/>
  <c r="K17" i="5" s="1"/>
  <c r="L17" i="5" s="1"/>
  <c r="M17" i="5" s="1"/>
  <c r="N17" i="5" s="1"/>
  <c r="E17" i="5"/>
  <c r="C17" i="5"/>
  <c r="D17" i="5" s="1"/>
  <c r="Q16" i="5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H16" i="5"/>
  <c r="I16" i="5" s="1"/>
  <c r="J16" i="5" s="1"/>
  <c r="K16" i="5" s="1"/>
  <c r="L16" i="5" s="1"/>
  <c r="M16" i="5" s="1"/>
  <c r="N16" i="5" s="1"/>
  <c r="O16" i="5" s="1"/>
  <c r="P16" i="5" s="1"/>
  <c r="C16" i="5"/>
  <c r="D16" i="5" s="1"/>
  <c r="E16" i="5" s="1"/>
  <c r="F16" i="5" s="1"/>
  <c r="G16" i="5" s="1"/>
  <c r="Q15" i="5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G15" i="5"/>
  <c r="H15" i="5" s="1"/>
  <c r="I15" i="5" s="1"/>
  <c r="J15" i="5" s="1"/>
  <c r="K15" i="5" s="1"/>
  <c r="L15" i="5" s="1"/>
  <c r="M15" i="5" s="1"/>
  <c r="N15" i="5" s="1"/>
  <c r="O15" i="5" s="1"/>
  <c r="P15" i="5" s="1"/>
  <c r="F15" i="5"/>
  <c r="C15" i="5"/>
  <c r="D15" i="5" s="1"/>
  <c r="E15" i="5" s="1"/>
  <c r="M14" i="5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C14" i="5"/>
  <c r="D14" i="5" s="1"/>
  <c r="E14" i="5" s="1"/>
  <c r="F14" i="5" s="1"/>
  <c r="G14" i="5" s="1"/>
  <c r="H14" i="5" s="1"/>
  <c r="I14" i="5" s="1"/>
  <c r="J14" i="5" s="1"/>
  <c r="K14" i="5" s="1"/>
  <c r="L14" i="5" s="1"/>
  <c r="E13" i="5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3" i="5"/>
  <c r="C13" i="5"/>
  <c r="C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EF8" i="5"/>
  <c r="EC8" i="5"/>
  <c r="DX8" i="5"/>
  <c r="DS8" i="5"/>
  <c r="DQ8" i="5"/>
  <c r="DP8" i="5"/>
  <c r="DK8" i="5"/>
  <c r="DG8" i="5"/>
  <c r="CM8" i="5"/>
  <c r="BV8" i="5"/>
  <c r="BU8" i="5"/>
  <c r="BT8" i="5"/>
  <c r="BH8" i="5"/>
  <c r="AY8" i="5"/>
  <c r="AW8" i="5"/>
  <c r="AP8" i="5"/>
  <c r="AK8" i="5"/>
  <c r="X8" i="5"/>
  <c r="T8" i="5"/>
  <c r="P8" i="5"/>
  <c r="C8" i="5"/>
  <c r="EF7" i="5"/>
  <c r="ED7" i="5"/>
  <c r="DV7" i="5"/>
  <c r="DQ7" i="5"/>
  <c r="DP7" i="5"/>
  <c r="DF7" i="5"/>
  <c r="CU7" i="5"/>
  <c r="CO7" i="5"/>
  <c r="CH7" i="5"/>
  <c r="BY7" i="5"/>
  <c r="BW7" i="5"/>
  <c r="BV7" i="5"/>
  <c r="BU7" i="5"/>
  <c r="BT7" i="5"/>
  <c r="BJ7" i="5"/>
  <c r="AP7" i="5"/>
  <c r="AI7" i="5"/>
  <c r="AC7" i="5"/>
  <c r="Z7" i="5"/>
  <c r="M7" i="5"/>
  <c r="K7" i="5"/>
  <c r="H7" i="5"/>
  <c r="F7" i="5"/>
  <c r="EF6" i="5" a="1"/>
  <c r="EF6" i="5"/>
  <c r="EE6" i="5" a="1"/>
  <c r="EE6" i="5" s="1"/>
  <c r="ED6" i="5" a="1"/>
  <c r="ED6" i="5"/>
  <c r="ED8" i="5" s="1"/>
  <c r="EC6" i="5" a="1"/>
  <c r="EC6" i="5" s="1"/>
  <c r="EC7" i="5" s="1"/>
  <c r="EB6" i="5" a="1"/>
  <c r="EB6" i="5"/>
  <c r="EA6" i="5" a="1"/>
  <c r="EA6" i="5" s="1"/>
  <c r="EA7" i="5" s="1"/>
  <c r="DZ6" i="5" a="1"/>
  <c r="DZ6" i="5"/>
  <c r="DY6" i="5" a="1"/>
  <c r="DY6" i="5" s="1"/>
  <c r="DX6" i="5" a="1"/>
  <c r="DX6" i="5"/>
  <c r="DX7" i="5" s="1"/>
  <c r="DW6" i="5" a="1"/>
  <c r="DW6" i="5" s="1"/>
  <c r="DV6" i="5" a="1"/>
  <c r="DV6" i="5"/>
  <c r="DV8" i="5" s="1"/>
  <c r="DU6" i="5" a="1"/>
  <c r="DU6" i="5" s="1"/>
  <c r="DT6" i="5" a="1"/>
  <c r="DT6" i="5"/>
  <c r="DS6" i="5" a="1"/>
  <c r="DS6" i="5" s="1"/>
  <c r="DS7" i="5" s="1"/>
  <c r="DR6" i="5" a="1"/>
  <c r="DR6" i="5" s="1"/>
  <c r="DQ6" i="5" a="1"/>
  <c r="DQ6" i="5" s="1"/>
  <c r="DP6" i="5" a="1"/>
  <c r="DP6" i="5" s="1"/>
  <c r="DO6" i="5" a="1"/>
  <c r="DO6" i="5"/>
  <c r="DN6" i="5" a="1"/>
  <c r="DN6" i="5" s="1"/>
  <c r="DN8" i="5" s="1"/>
  <c r="DM6" i="5" a="1"/>
  <c r="DM6" i="5"/>
  <c r="DL6" i="5" a="1"/>
  <c r="DL6" i="5" s="1"/>
  <c r="DL8" i="5" s="1"/>
  <c r="DK6" i="5" a="1"/>
  <c r="DK6" i="5" s="1"/>
  <c r="DK7" i="5" s="1"/>
  <c r="DJ6" i="5" a="1"/>
  <c r="DJ6" i="5" s="1"/>
  <c r="DI6" i="5" a="1"/>
  <c r="DI6" i="5" s="1"/>
  <c r="DH6" i="5" a="1"/>
  <c r="DH6" i="5" s="1"/>
  <c r="DG6" i="5" a="1"/>
  <c r="DG6" i="5" s="1"/>
  <c r="DG7" i="5" s="1"/>
  <c r="DF6" i="5" a="1"/>
  <c r="DF6" i="5"/>
  <c r="DF8" i="5" s="1"/>
  <c r="DE6" i="5" a="1"/>
  <c r="DE6" i="5" s="1"/>
  <c r="DD6" i="5" a="1"/>
  <c r="DD6" i="5"/>
  <c r="DD7" i="5" s="1"/>
  <c r="DC6" i="5" a="1"/>
  <c r="DC6" i="5" s="1"/>
  <c r="DB6" i="5" a="1"/>
  <c r="DB6" i="5" s="1"/>
  <c r="DA6" i="5" a="1"/>
  <c r="DA6" i="5" s="1"/>
  <c r="CZ6" i="5" a="1"/>
  <c r="CZ6" i="5" s="1"/>
  <c r="CZ8" i="5" s="1"/>
  <c r="CY6" i="5" a="1"/>
  <c r="CY6" i="5"/>
  <c r="CX6" i="5" a="1"/>
  <c r="CX6" i="5" s="1"/>
  <c r="CW6" i="5" a="1"/>
  <c r="CW6" i="5"/>
  <c r="CV6" i="5" a="1"/>
  <c r="CV6" i="5" s="1"/>
  <c r="CV8" i="5" s="1"/>
  <c r="CU6" i="5" a="1"/>
  <c r="CU6" i="5" s="1"/>
  <c r="CU8" i="5" s="1"/>
  <c r="CT6" i="5" a="1"/>
  <c r="CT6" i="5"/>
  <c r="CS6" i="5" a="1"/>
  <c r="CS6" i="5" s="1"/>
  <c r="CS7" i="5" s="1"/>
  <c r="CR6" i="5" a="1"/>
  <c r="CR6" i="5" s="1"/>
  <c r="CR7" i="5" s="1"/>
  <c r="CQ6" i="5" a="1"/>
  <c r="CQ6" i="5" s="1"/>
  <c r="CP6" i="5" a="1"/>
  <c r="CP6" i="5"/>
  <c r="CO6" i="5" a="1"/>
  <c r="CO6" i="5" s="1"/>
  <c r="CO8" i="5" s="1"/>
  <c r="CN6" i="5" a="1"/>
  <c r="CN6" i="5"/>
  <c r="CM6" i="5" a="1"/>
  <c r="CM6" i="5" s="1"/>
  <c r="CM7" i="5" s="1"/>
  <c r="CL6" i="5" a="1"/>
  <c r="CL6" i="5" s="1"/>
  <c r="CK6" i="5" a="1"/>
  <c r="CK6" i="5"/>
  <c r="CJ6" i="5" a="1"/>
  <c r="CJ6" i="5" s="1"/>
  <c r="CJ7" i="5" s="1"/>
  <c r="CI6" i="5" a="1"/>
  <c r="CI6" i="5"/>
  <c r="CI7" i="5" s="1"/>
  <c r="CH6" i="5" a="1"/>
  <c r="CH6" i="5" s="1"/>
  <c r="CH8" i="5" s="1"/>
  <c r="CG6" i="5" a="1"/>
  <c r="CG6" i="5"/>
  <c r="CF6" i="5" a="1"/>
  <c r="CF6" i="5" s="1"/>
  <c r="CE6" i="5" a="1"/>
  <c r="CE6" i="5" s="1"/>
  <c r="CE8" i="5" s="1"/>
  <c r="CD6" i="5" a="1"/>
  <c r="CD6" i="5" s="1"/>
  <c r="CC6" i="5" a="1"/>
  <c r="CC6" i="5" s="1"/>
  <c r="CB6" i="5" a="1"/>
  <c r="CB6" i="5" s="1"/>
  <c r="CA6" i="5" a="1"/>
  <c r="CA6" i="5" s="1"/>
  <c r="BZ6" i="5" a="1"/>
  <c r="BZ6" i="5"/>
  <c r="BY6" i="5" a="1"/>
  <c r="BY6" i="5" s="1"/>
  <c r="BY8" i="5" s="1"/>
  <c r="BX6" i="5" a="1"/>
  <c r="BX6" i="5"/>
  <c r="BW6" i="5" a="1"/>
  <c r="BW6" i="5" s="1"/>
  <c r="BW8" i="5" s="1"/>
  <c r="BV6" i="5" a="1"/>
  <c r="BV6" i="5"/>
  <c r="BU6" i="5" a="1"/>
  <c r="BU6" i="5" s="1"/>
  <c r="BT6" i="5" a="1"/>
  <c r="BT6" i="5" s="1"/>
  <c r="BS6" i="5" a="1"/>
  <c r="BS6" i="5"/>
  <c r="BS8" i="5" s="1"/>
  <c r="BR6" i="5" a="1"/>
  <c r="BR6" i="5" s="1"/>
  <c r="BR8" i="5" s="1"/>
  <c r="BQ6" i="5" a="1"/>
  <c r="BQ6" i="5"/>
  <c r="BQ7" i="5" s="1"/>
  <c r="BP6" i="5" a="1"/>
  <c r="BP6" i="5" s="1"/>
  <c r="BO6" i="5" a="1"/>
  <c r="BO6" i="5" s="1"/>
  <c r="BO8" i="5" s="1"/>
  <c r="BN6" i="5" a="1"/>
  <c r="BN6" i="5" s="1"/>
  <c r="BM6" i="5" a="1"/>
  <c r="BM6" i="5" s="1"/>
  <c r="BL6" i="5" a="1"/>
  <c r="BL6" i="5" s="1"/>
  <c r="BK6" i="5" a="1"/>
  <c r="BK6" i="5" s="1"/>
  <c r="BJ6" i="5" a="1"/>
  <c r="BJ6" i="5"/>
  <c r="BJ8" i="5" s="1"/>
  <c r="BI6" i="5" a="1"/>
  <c r="BI6" i="5" s="1"/>
  <c r="BH6" i="5" a="1"/>
  <c r="BH6" i="5"/>
  <c r="BH7" i="5" s="1"/>
  <c r="BG6" i="5" a="1"/>
  <c r="BG6" i="5" s="1"/>
  <c r="BF6" i="5" a="1"/>
  <c r="BF6" i="5" s="1"/>
  <c r="BE6" i="5" a="1"/>
  <c r="BE6" i="5" s="1"/>
  <c r="BE8" i="5" s="1"/>
  <c r="BD6" i="5" a="1"/>
  <c r="BD6" i="5" s="1"/>
  <c r="BD8" i="5" s="1"/>
  <c r="BC6" i="5" a="1"/>
  <c r="BC6" i="5"/>
  <c r="BB6" i="5" a="1"/>
  <c r="BB6" i="5" s="1"/>
  <c r="BB8" i="5" s="1"/>
  <c r="BA6" i="5" a="1"/>
  <c r="BA6" i="5"/>
  <c r="BA7" i="5" s="1"/>
  <c r="AZ6" i="5" a="1"/>
  <c r="AZ6" i="5" s="1"/>
  <c r="AZ8" i="5" s="1"/>
  <c r="AY6" i="5" a="1"/>
  <c r="AY6" i="5" s="1"/>
  <c r="AY7" i="5" s="1"/>
  <c r="AX6" i="5" a="1"/>
  <c r="AX6" i="5"/>
  <c r="AW6" i="5" a="1"/>
  <c r="AW6" i="5" s="1"/>
  <c r="AW7" i="5" s="1"/>
  <c r="AV6" i="5" a="1"/>
  <c r="AV6" i="5" s="1"/>
  <c r="AU6" i="5" a="1"/>
  <c r="AU6" i="5"/>
  <c r="AT6" i="5" a="1"/>
  <c r="AT6" i="5"/>
  <c r="AS6" i="5" a="1"/>
  <c r="AS6" i="5" s="1"/>
  <c r="AR6" i="5" a="1"/>
  <c r="AR6" i="5"/>
  <c r="AR8" i="5" s="1"/>
  <c r="AQ6" i="5" a="1"/>
  <c r="AQ6" i="5" s="1"/>
  <c r="AP6" i="5" a="1"/>
  <c r="AP6" i="5"/>
  <c r="AO6" i="5" a="1"/>
  <c r="AO6" i="5"/>
  <c r="AN6" i="5" a="1"/>
  <c r="AN6" i="5" s="1"/>
  <c r="AN8" i="5" s="1"/>
  <c r="AM6" i="5" a="1"/>
  <c r="AM6" i="5"/>
  <c r="AL6" i="5" a="1"/>
  <c r="AL6" i="5"/>
  <c r="AL8" i="5" s="1"/>
  <c r="AK6" i="5" a="1"/>
  <c r="AK6" i="5"/>
  <c r="AK7" i="5" s="1"/>
  <c r="AJ6" i="5" a="1"/>
  <c r="AJ6" i="5" s="1"/>
  <c r="AI6" i="5" a="1"/>
  <c r="AI6" i="5" s="1"/>
  <c r="AI8" i="5" s="1"/>
  <c r="AH6" i="5" a="1"/>
  <c r="AH6" i="5"/>
  <c r="AG6" i="5" a="1"/>
  <c r="AG6" i="5" s="1"/>
  <c r="AF6" i="5" a="1"/>
  <c r="AF6" i="5" s="1"/>
  <c r="AE6" i="5" a="1"/>
  <c r="AE6" i="5" s="1"/>
  <c r="AE7" i="5" s="1"/>
  <c r="AD6" i="5" a="1"/>
  <c r="AD6" i="5"/>
  <c r="AD8" i="5" s="1"/>
  <c r="AC6" i="5" a="1"/>
  <c r="AC6" i="5"/>
  <c r="AC8" i="5" s="1"/>
  <c r="AB6" i="5" a="1"/>
  <c r="AB6" i="5"/>
  <c r="AA6" i="5" a="1"/>
  <c r="AA6" i="5" s="1"/>
  <c r="AA8" i="5" s="1"/>
  <c r="Z6" i="5" a="1"/>
  <c r="Z6" i="5" s="1"/>
  <c r="Z8" i="5" s="1"/>
  <c r="Y6" i="5" a="1"/>
  <c r="Y6" i="5"/>
  <c r="X6" i="5" a="1"/>
  <c r="X6" i="5" s="1"/>
  <c r="X7" i="5" s="1"/>
  <c r="W6" i="5" a="1"/>
  <c r="W6" i="5"/>
  <c r="V6" i="5" a="1"/>
  <c r="V6" i="5" s="1"/>
  <c r="U6" i="5" a="1"/>
  <c r="U6" i="5"/>
  <c r="T6" i="5" a="1"/>
  <c r="T6" i="5"/>
  <c r="T7" i="5" s="1"/>
  <c r="S6" i="5" a="1"/>
  <c r="S6" i="5" s="1"/>
  <c r="S8" i="5" s="1"/>
  <c r="R6" i="5" a="1"/>
  <c r="R6" i="5" s="1"/>
  <c r="Q6" i="5" a="1"/>
  <c r="Q6" i="5" s="1"/>
  <c r="P6" i="5" a="1"/>
  <c r="P6" i="5" s="1"/>
  <c r="P7" i="5" s="1"/>
  <c r="O6" i="5" a="1"/>
  <c r="O6" i="5" s="1"/>
  <c r="N6" i="5" a="1"/>
  <c r="N6" i="5"/>
  <c r="M6" i="5" a="1"/>
  <c r="M6" i="5" s="1"/>
  <c r="M8" i="5" s="1"/>
  <c r="L6" i="5" a="1"/>
  <c r="L6" i="5"/>
  <c r="K6" i="5" a="1"/>
  <c r="K6" i="5" s="1"/>
  <c r="K8" i="5" s="1"/>
  <c r="J6" i="5" a="1"/>
  <c r="J6" i="5" s="1"/>
  <c r="I6" i="5" a="1"/>
  <c r="I6" i="5" s="1"/>
  <c r="I8" i="5" s="1"/>
  <c r="H6" i="5" a="1"/>
  <c r="H6" i="5" s="1"/>
  <c r="H8" i="5" s="1"/>
  <c r="G6" i="5" a="1"/>
  <c r="G6" i="5"/>
  <c r="G8" i="5" s="1"/>
  <c r="F6" i="5" a="1"/>
  <c r="F6" i="5" s="1"/>
  <c r="F8" i="5" s="1"/>
  <c r="E6" i="5" a="1"/>
  <c r="E6" i="5"/>
  <c r="D6" i="5" a="1"/>
  <c r="D6" i="5" s="1"/>
  <c r="C6" i="5" a="1"/>
  <c r="C6" i="5" s="1"/>
  <c r="C7" i="5" s="1"/>
  <c r="EG4" i="5"/>
  <c r="EG3" i="5"/>
  <c r="EF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EF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EF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EF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EF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EF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EH18" i="4"/>
  <c r="EF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EF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EH16" i="4" s="1"/>
  <c r="G16" i="4"/>
  <c r="F16" i="4"/>
  <c r="E16" i="4"/>
  <c r="D16" i="4"/>
  <c r="C16" i="4"/>
  <c r="EF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EF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EF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EF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EH23" i="3" s="1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G21" i="3" s="1"/>
  <c r="E21" i="3"/>
  <c r="EH21" i="3" s="1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G19" i="3" s="1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H17" i="3" s="1"/>
  <c r="EH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EG14" i="3" s="1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EH12" i="3" s="1"/>
  <c r="C12" i="3"/>
  <c r="EC8" i="3"/>
  <c r="EB8" i="3"/>
  <c r="DY8" i="3"/>
  <c r="DL8" i="3"/>
  <c r="DJ8" i="3"/>
  <c r="DF8" i="3"/>
  <c r="CY8" i="3"/>
  <c r="CQ8" i="3"/>
  <c r="CP8" i="3"/>
  <c r="CO8" i="3"/>
  <c r="CN8" i="3"/>
  <c r="CM8" i="3"/>
  <c r="CH8" i="3"/>
  <c r="CF8" i="3"/>
  <c r="CE8" i="3"/>
  <c r="BZ8" i="3"/>
  <c r="BY8" i="3"/>
  <c r="BW8" i="3"/>
  <c r="BQ8" i="3"/>
  <c r="BN8" i="3"/>
  <c r="BM8" i="3"/>
  <c r="BK8" i="3"/>
  <c r="BI8" i="3"/>
  <c r="BH8" i="3"/>
  <c r="BF8" i="3"/>
  <c r="AZ8" i="3"/>
  <c r="AR8" i="3"/>
  <c r="AQ8" i="3"/>
  <c r="AP8" i="3"/>
  <c r="AO8" i="3"/>
  <c r="AN8" i="3"/>
  <c r="AK8" i="3"/>
  <c r="AI8" i="3"/>
  <c r="X8" i="3"/>
  <c r="T8" i="3"/>
  <c r="R8" i="3"/>
  <c r="M8" i="3"/>
  <c r="L8" i="3"/>
  <c r="K8" i="3"/>
  <c r="J8" i="3"/>
  <c r="G8" i="3"/>
  <c r="DY7" i="3"/>
  <c r="DW7" i="3"/>
  <c r="DV7" i="3"/>
  <c r="DU7" i="3"/>
  <c r="DT7" i="3"/>
  <c r="DQ7" i="3"/>
  <c r="DN7" i="3"/>
  <c r="DH7" i="3"/>
  <c r="CZ7" i="3"/>
  <c r="CW7" i="3"/>
  <c r="CS7" i="3"/>
  <c r="CR7" i="3"/>
  <c r="CQ7" i="3"/>
  <c r="CN7" i="3"/>
  <c r="CF7" i="3"/>
  <c r="BZ7" i="3"/>
  <c r="BY7" i="3"/>
  <c r="BX7" i="3"/>
  <c r="BW7" i="3"/>
  <c r="BV7" i="3"/>
  <c r="BI7" i="3"/>
  <c r="BH7" i="3"/>
  <c r="BG7" i="3"/>
  <c r="BF7" i="3"/>
  <c r="BD7" i="3"/>
  <c r="AZ7" i="3"/>
  <c r="AX7" i="3"/>
  <c r="AT7" i="3"/>
  <c r="AR7" i="3"/>
  <c r="AO7" i="3"/>
  <c r="AN7" i="3"/>
  <c r="AI7" i="3"/>
  <c r="AD7" i="3"/>
  <c r="AB7" i="3"/>
  <c r="AA7" i="3"/>
  <c r="Z7" i="3"/>
  <c r="X7" i="3"/>
  <c r="V7" i="3"/>
  <c r="L7" i="3"/>
  <c r="D7" i="3"/>
  <c r="EF6" i="3" a="1"/>
  <c r="EF6" i="3"/>
  <c r="EF8" i="3" s="1"/>
  <c r="EE6" i="3" a="1"/>
  <c r="EE6" i="3"/>
  <c r="EE7" i="3" s="1"/>
  <c r="ED6" i="3" a="1"/>
  <c r="ED6" i="3" s="1"/>
  <c r="EC6" i="3" a="1"/>
  <c r="EC6" i="3"/>
  <c r="EC7" i="3" s="1"/>
  <c r="EB6" i="3" a="1"/>
  <c r="EB6" i="3" s="1"/>
  <c r="EB7" i="3" s="1"/>
  <c r="EA6" i="3" a="1"/>
  <c r="EA6" i="3"/>
  <c r="EA8" i="3" s="1"/>
  <c r="DZ6" i="3" a="1"/>
  <c r="DZ6" i="3"/>
  <c r="DZ8" i="3" s="1"/>
  <c r="DY6" i="3" a="1"/>
  <c r="DY6" i="3"/>
  <c r="DX6" i="3" a="1"/>
  <c r="DX6" i="3" s="1"/>
  <c r="DX8" i="3" s="1"/>
  <c r="DW6" i="3" a="1"/>
  <c r="DW6" i="3" s="1"/>
  <c r="DW8" i="3" s="1"/>
  <c r="DV6" i="3" a="1"/>
  <c r="DV6" i="3"/>
  <c r="DV8" i="3" s="1"/>
  <c r="DU6" i="3" a="1"/>
  <c r="DU6" i="3"/>
  <c r="DU8" i="3" s="1"/>
  <c r="DT6" i="3" a="1"/>
  <c r="DT6" i="3" s="1"/>
  <c r="DT8" i="3" s="1"/>
  <c r="DS6" i="3" a="1"/>
  <c r="DS6" i="3"/>
  <c r="DR6" i="3" a="1"/>
  <c r="DR6" i="3" s="1"/>
  <c r="DQ6" i="3" a="1"/>
  <c r="DQ6" i="3" s="1"/>
  <c r="DQ8" i="3" s="1"/>
  <c r="DP6" i="3" a="1"/>
  <c r="DP6" i="3"/>
  <c r="DP7" i="3" s="1"/>
  <c r="DO6" i="3" a="1"/>
  <c r="DO6" i="3"/>
  <c r="DN6" i="3" a="1"/>
  <c r="DN6" i="3"/>
  <c r="DN8" i="3" s="1"/>
  <c r="DM6" i="3" a="1"/>
  <c r="DM6" i="3" s="1"/>
  <c r="DL6" i="3" a="1"/>
  <c r="DL6" i="3" s="1"/>
  <c r="DL7" i="3" s="1"/>
  <c r="DK6" i="3" a="1"/>
  <c r="DK6" i="3" s="1"/>
  <c r="DJ6" i="3" a="1"/>
  <c r="DJ6" i="3"/>
  <c r="DJ7" i="3" s="1"/>
  <c r="DI6" i="3" a="1"/>
  <c r="DI6" i="3" s="1"/>
  <c r="DH6" i="3" a="1"/>
  <c r="DH6" i="3"/>
  <c r="DH8" i="3" s="1"/>
  <c r="DG6" i="3" a="1"/>
  <c r="DG6" i="3" s="1"/>
  <c r="DG7" i="3" s="1"/>
  <c r="DF6" i="3" a="1"/>
  <c r="DF6" i="3" s="1"/>
  <c r="DF7" i="3" s="1"/>
  <c r="DE6" i="3" a="1"/>
  <c r="DE6" i="3"/>
  <c r="DE7" i="3" s="1"/>
  <c r="DD6" i="3" a="1"/>
  <c r="DD6" i="3" s="1"/>
  <c r="DD8" i="3" s="1"/>
  <c r="DC6" i="3" a="1"/>
  <c r="DC6" i="3" s="1"/>
  <c r="DB6" i="3" a="1"/>
  <c r="DB6" i="3"/>
  <c r="DA6" i="3" a="1"/>
  <c r="DA6" i="3"/>
  <c r="DA7" i="3" s="1"/>
  <c r="CZ6" i="3" a="1"/>
  <c r="CZ6" i="3" s="1"/>
  <c r="CZ8" i="3" s="1"/>
  <c r="CY6" i="3" a="1"/>
  <c r="CY6" i="3"/>
  <c r="CY7" i="3" s="1"/>
  <c r="CX6" i="3" a="1"/>
  <c r="CX6" i="3"/>
  <c r="CW6" i="3" a="1"/>
  <c r="CW6" i="3"/>
  <c r="CW8" i="3" s="1"/>
  <c r="CV6" i="3" a="1"/>
  <c r="CV6" i="3" s="1"/>
  <c r="CV7" i="3" s="1"/>
  <c r="CU6" i="3" a="1"/>
  <c r="CU6" i="3" s="1"/>
  <c r="CT6" i="3" a="1"/>
  <c r="CT6" i="3" s="1"/>
  <c r="CS6" i="3" a="1"/>
  <c r="CS6" i="3"/>
  <c r="CS8" i="3" s="1"/>
  <c r="CR6" i="3" a="1"/>
  <c r="CR6" i="3"/>
  <c r="CR8" i="3" s="1"/>
  <c r="CQ6" i="3" a="1"/>
  <c r="CQ6" i="3"/>
  <c r="CP6" i="3" a="1"/>
  <c r="CP6" i="3" s="1"/>
  <c r="CP7" i="3" s="1"/>
  <c r="CO6" i="3" a="1"/>
  <c r="CO6" i="3" s="1"/>
  <c r="CO7" i="3" s="1"/>
  <c r="CN6" i="3" a="1"/>
  <c r="CN6" i="3" s="1"/>
  <c r="CM6" i="3" a="1"/>
  <c r="CM6" i="3"/>
  <c r="CM7" i="3" s="1"/>
  <c r="CL6" i="3" a="1"/>
  <c r="CL6" i="3"/>
  <c r="CL8" i="3" s="1"/>
  <c r="CK6" i="3" a="1"/>
  <c r="CK6" i="3"/>
  <c r="CJ6" i="3" a="1"/>
  <c r="CJ6" i="3" s="1"/>
  <c r="CI6" i="3" a="1"/>
  <c r="CI6" i="3" s="1"/>
  <c r="CH6" i="3" a="1"/>
  <c r="CH6" i="3"/>
  <c r="CH7" i="3" s="1"/>
  <c r="CG6" i="3" a="1"/>
  <c r="CG6" i="3"/>
  <c r="CF6" i="3" a="1"/>
  <c r="CF6" i="3" s="1"/>
  <c r="CE6" i="3" a="1"/>
  <c r="CE6" i="3"/>
  <c r="CE7" i="3" s="1"/>
  <c r="CD6" i="3" a="1"/>
  <c r="CD6" i="3"/>
  <c r="CD7" i="3" s="1"/>
  <c r="CC6" i="3" a="1"/>
  <c r="CC6" i="3"/>
  <c r="CC8" i="3" s="1"/>
  <c r="CB6" i="3" a="1"/>
  <c r="CB6" i="3"/>
  <c r="CB8" i="3" s="1"/>
  <c r="CA6" i="3" a="1"/>
  <c r="CA6" i="3" s="1"/>
  <c r="BZ6" i="3" a="1"/>
  <c r="BZ6" i="3"/>
  <c r="BY6" i="3" a="1"/>
  <c r="BY6" i="3" s="1"/>
  <c r="BX6" i="3" a="1"/>
  <c r="BX6" i="3" s="1"/>
  <c r="BX8" i="3" s="1"/>
  <c r="BW6" i="3" a="1"/>
  <c r="BW6" i="3"/>
  <c r="BV6" i="3" a="1"/>
  <c r="BV6" i="3"/>
  <c r="BV8" i="3" s="1"/>
  <c r="BU6" i="3" a="1"/>
  <c r="BU6" i="3"/>
  <c r="BU8" i="3" s="1"/>
  <c r="BT6" i="3" a="1"/>
  <c r="BT6" i="3"/>
  <c r="BS6" i="3" a="1"/>
  <c r="BS6" i="3"/>
  <c r="BS7" i="3" s="1"/>
  <c r="BR6" i="3" a="1"/>
  <c r="BR6" i="3" s="1"/>
  <c r="BQ6" i="3" a="1"/>
  <c r="BQ6" i="3"/>
  <c r="BQ7" i="3" s="1"/>
  <c r="BP6" i="3" a="1"/>
  <c r="BP6" i="3" s="1"/>
  <c r="BP7" i="3" s="1"/>
  <c r="BO6" i="3" a="1"/>
  <c r="BO6" i="3" s="1"/>
  <c r="BO8" i="3" s="1"/>
  <c r="BN6" i="3" a="1"/>
  <c r="BN6" i="3"/>
  <c r="BN7" i="3" s="1"/>
  <c r="BM6" i="3" a="1"/>
  <c r="BM6" i="3"/>
  <c r="BM7" i="3" s="1"/>
  <c r="BL6" i="3" a="1"/>
  <c r="BL6" i="3"/>
  <c r="BL8" i="3" s="1"/>
  <c r="BK6" i="3" a="1"/>
  <c r="BK6" i="3"/>
  <c r="BK7" i="3" s="1"/>
  <c r="BJ6" i="3" a="1"/>
  <c r="BJ6" i="3" s="1"/>
  <c r="BI6" i="3" a="1"/>
  <c r="BI6" i="3"/>
  <c r="BH6" i="3" a="1"/>
  <c r="BH6" i="3" s="1"/>
  <c r="BG6" i="3" a="1"/>
  <c r="BG6" i="3"/>
  <c r="BG8" i="3" s="1"/>
  <c r="BF6" i="3" a="1"/>
  <c r="BF6" i="3"/>
  <c r="BE6" i="3" a="1"/>
  <c r="BE6" i="3" s="1"/>
  <c r="BD6" i="3" a="1"/>
  <c r="BD6" i="3"/>
  <c r="BD8" i="3" s="1"/>
  <c r="BC6" i="3" a="1"/>
  <c r="BC6" i="3"/>
  <c r="BB6" i="3" a="1"/>
  <c r="BB6" i="3"/>
  <c r="BB7" i="3" s="1"/>
  <c r="BA6" i="3" a="1"/>
  <c r="BA6" i="3" s="1"/>
  <c r="AZ6" i="3" a="1"/>
  <c r="AZ6" i="3" s="1"/>
  <c r="AY6" i="3" a="1"/>
  <c r="AY6" i="3" s="1"/>
  <c r="AX6" i="3" a="1"/>
  <c r="AX6" i="3" s="1"/>
  <c r="AX8" i="3" s="1"/>
  <c r="AW6" i="3" a="1"/>
  <c r="AW6" i="3"/>
  <c r="AW7" i="3" s="1"/>
  <c r="AV6" i="3" a="1"/>
  <c r="AV6" i="3"/>
  <c r="AU6" i="3" a="1"/>
  <c r="AU6" i="3" s="1"/>
  <c r="AT6" i="3" a="1"/>
  <c r="AT6" i="3"/>
  <c r="AT8" i="3" s="1"/>
  <c r="AS6" i="3" a="1"/>
  <c r="AS6" i="3"/>
  <c r="AS8" i="3" s="1"/>
  <c r="AR6" i="3" a="1"/>
  <c r="AR6" i="3" s="1"/>
  <c r="AQ6" i="3" a="1"/>
  <c r="AQ6" i="3"/>
  <c r="AQ7" i="3" s="1"/>
  <c r="AP6" i="3" a="1"/>
  <c r="AP6" i="3"/>
  <c r="AP7" i="3" s="1"/>
  <c r="AO6" i="3" a="1"/>
  <c r="AO6" i="3"/>
  <c r="AN6" i="3" a="1"/>
  <c r="AN6" i="3"/>
  <c r="AM6" i="3" a="1"/>
  <c r="AM6" i="3" s="1"/>
  <c r="AL6" i="3" a="1"/>
  <c r="AL6" i="3"/>
  <c r="AL8" i="3" s="1"/>
  <c r="AK6" i="3" a="1"/>
  <c r="AK6" i="3"/>
  <c r="AK7" i="3" s="1"/>
  <c r="AJ6" i="3" a="1"/>
  <c r="AJ6" i="3" s="1"/>
  <c r="AI6" i="3" a="1"/>
  <c r="AI6" i="3"/>
  <c r="AH6" i="3" a="1"/>
  <c r="AH6" i="3" s="1"/>
  <c r="AG6" i="3" a="1"/>
  <c r="AG6" i="3" s="1"/>
  <c r="AG8" i="3" s="1"/>
  <c r="AF6" i="3" a="1"/>
  <c r="AF6" i="3"/>
  <c r="AE6" i="3" a="1"/>
  <c r="AE6" i="3"/>
  <c r="AE7" i="3" s="1"/>
  <c r="AD6" i="3" a="1"/>
  <c r="AD6" i="3"/>
  <c r="AD8" i="3" s="1"/>
  <c r="AC6" i="3" a="1"/>
  <c r="AC6" i="3" s="1"/>
  <c r="AB6" i="3" a="1"/>
  <c r="AB6" i="3" s="1"/>
  <c r="AB8" i="3" s="1"/>
  <c r="AA6" i="3" a="1"/>
  <c r="AA6" i="3" s="1"/>
  <c r="AA8" i="3" s="1"/>
  <c r="Z6" i="3" a="1"/>
  <c r="Z6" i="3"/>
  <c r="Z8" i="3" s="1"/>
  <c r="Y6" i="3" a="1"/>
  <c r="Y6" i="3"/>
  <c r="Y8" i="3" s="1"/>
  <c r="X6" i="3" a="1"/>
  <c r="X6" i="3"/>
  <c r="W6" i="3" a="1"/>
  <c r="W6" i="3" s="1"/>
  <c r="V6" i="3" a="1"/>
  <c r="V6" i="3"/>
  <c r="V8" i="3" s="1"/>
  <c r="U6" i="3" a="1"/>
  <c r="U6" i="3"/>
  <c r="U8" i="3" s="1"/>
  <c r="T6" i="3" a="1"/>
  <c r="T6" i="3" s="1"/>
  <c r="T7" i="3" s="1"/>
  <c r="S6" i="3" a="1"/>
  <c r="S6" i="3"/>
  <c r="R6" i="3" a="1"/>
  <c r="R6" i="3"/>
  <c r="R7" i="3" s="1"/>
  <c r="Q6" i="3" a="1"/>
  <c r="Q6" i="3" s="1"/>
  <c r="P6" i="3" a="1"/>
  <c r="P6" i="3" s="1"/>
  <c r="P8" i="3" s="1"/>
  <c r="O6" i="3" a="1"/>
  <c r="O6" i="3"/>
  <c r="N6" i="3" a="1"/>
  <c r="N6" i="3" s="1"/>
  <c r="M6" i="3" a="1"/>
  <c r="M6" i="3"/>
  <c r="M7" i="3" s="1"/>
  <c r="L6" i="3" a="1"/>
  <c r="L6" i="3" s="1"/>
  <c r="K6" i="3" a="1"/>
  <c r="K6" i="3"/>
  <c r="K7" i="3" s="1"/>
  <c r="J6" i="3" a="1"/>
  <c r="J6" i="3" s="1"/>
  <c r="J7" i="3" s="1"/>
  <c r="I6" i="3" a="1"/>
  <c r="I6" i="3"/>
  <c r="I8" i="3" s="1"/>
  <c r="H6" i="3" a="1"/>
  <c r="H6" i="3"/>
  <c r="H8" i="3" s="1"/>
  <c r="G6" i="3" a="1"/>
  <c r="G6" i="3"/>
  <c r="G7" i="3" s="1"/>
  <c r="F6" i="3" a="1"/>
  <c r="F6" i="3" s="1"/>
  <c r="E6" i="3" a="1"/>
  <c r="E6" i="3" s="1"/>
  <c r="D6" i="3" a="1"/>
  <c r="D6" i="3" s="1"/>
  <c r="D8" i="3" s="1"/>
  <c r="C6" i="3" a="1"/>
  <c r="C6" i="3"/>
  <c r="C7" i="3" s="1"/>
  <c r="EG4" i="3"/>
  <c r="EG3" i="3"/>
  <c r="EG6" i="3" s="1" a="1"/>
  <c r="EC8" i="2"/>
  <c r="DY8" i="2"/>
  <c r="DX8" i="2"/>
  <c r="DW8" i="2"/>
  <c r="DU8" i="2"/>
  <c r="DT8" i="2"/>
  <c r="DL8" i="2"/>
  <c r="DD8" i="2"/>
  <c r="DC8" i="2"/>
  <c r="DB8" i="2"/>
  <c r="CX8" i="2"/>
  <c r="CW8" i="2"/>
  <c r="CN8" i="2"/>
  <c r="CM8" i="2"/>
  <c r="CD8" i="2"/>
  <c r="CA8" i="2"/>
  <c r="BY8" i="2"/>
  <c r="BS8" i="2"/>
  <c r="BM8" i="2"/>
  <c r="BI8" i="2"/>
  <c r="BD8" i="2"/>
  <c r="BC8" i="2"/>
  <c r="BB8" i="2"/>
  <c r="AR8" i="2"/>
  <c r="AL8" i="2"/>
  <c r="AK8" i="2"/>
  <c r="AJ8" i="2"/>
  <c r="AH8" i="2"/>
  <c r="AG8" i="2"/>
  <c r="S8" i="2"/>
  <c r="P8" i="2"/>
  <c r="J8" i="2"/>
  <c r="I8" i="2"/>
  <c r="G8" i="2"/>
  <c r="EG7" i="2"/>
  <c r="DX7" i="2"/>
  <c r="DW7" i="2"/>
  <c r="DV7" i="2"/>
  <c r="DU7" i="2"/>
  <c r="DT7" i="2"/>
  <c r="DS7" i="2"/>
  <c r="DG7" i="2"/>
  <c r="DF7" i="2"/>
  <c r="DC7" i="2"/>
  <c r="DB7" i="2"/>
  <c r="CV7" i="2"/>
  <c r="CS7" i="2"/>
  <c r="CN7" i="2"/>
  <c r="CE7" i="2"/>
  <c r="CD7" i="2"/>
  <c r="CB7" i="2"/>
  <c r="BY7" i="2"/>
  <c r="BX7" i="2"/>
  <c r="BV7" i="2"/>
  <c r="BD7" i="2"/>
  <c r="BC7" i="2"/>
  <c r="BB7" i="2"/>
  <c r="AZ7" i="2"/>
  <c r="AT7" i="2"/>
  <c r="AQ7" i="2"/>
  <c r="AL7" i="2"/>
  <c r="AJ7" i="2"/>
  <c r="AH7" i="2"/>
  <c r="AF7" i="2"/>
  <c r="I7" i="2"/>
  <c r="G7" i="2"/>
  <c r="F7" i="2"/>
  <c r="EG6" i="2" a="1"/>
  <c r="EG6" i="2"/>
  <c r="EG8" i="2" s="1"/>
  <c r="EF6" i="2" a="1"/>
  <c r="EF6" i="2" s="1"/>
  <c r="EF7" i="2" s="1"/>
  <c r="EE6" i="2" a="1"/>
  <c r="EE6" i="2" s="1"/>
  <c r="ED6" i="2" a="1"/>
  <c r="ED6" i="2"/>
  <c r="ED8" i="2" s="1"/>
  <c r="EC6" i="2" a="1"/>
  <c r="EC6" i="2"/>
  <c r="EC7" i="2" s="1"/>
  <c r="EB6" i="2" a="1"/>
  <c r="EB6" i="2"/>
  <c r="EA6" i="2" a="1"/>
  <c r="EA6" i="2" s="1"/>
  <c r="EA8" i="2" s="1"/>
  <c r="DZ6" i="2" a="1"/>
  <c r="DZ6" i="2" s="1"/>
  <c r="DY6" i="2" a="1"/>
  <c r="DY6" i="2"/>
  <c r="DY7" i="2" s="1"/>
  <c r="DX6" i="2" a="1"/>
  <c r="DX6" i="2"/>
  <c r="DW6" i="2" a="1"/>
  <c r="DW6" i="2"/>
  <c r="DV6" i="2" a="1"/>
  <c r="DV6" i="2" s="1"/>
  <c r="DV8" i="2" s="1"/>
  <c r="DU6" i="2" a="1"/>
  <c r="DU6" i="2" s="1"/>
  <c r="DT6" i="2" a="1"/>
  <c r="DT6" i="2"/>
  <c r="DS6" i="2" a="1"/>
  <c r="DS6" i="2"/>
  <c r="DS8" i="2" s="1"/>
  <c r="DR6" i="2" a="1"/>
  <c r="DR6" i="2"/>
  <c r="DR7" i="2" s="1"/>
  <c r="DQ6" i="2" a="1"/>
  <c r="DQ6" i="2" s="1"/>
  <c r="DP6" i="2" a="1"/>
  <c r="DP6" i="2"/>
  <c r="DP8" i="2" s="1"/>
  <c r="DO6" i="2" a="1"/>
  <c r="DO6" i="2"/>
  <c r="DO7" i="2" s="1"/>
  <c r="DN6" i="2" a="1"/>
  <c r="DN6" i="2" s="1"/>
  <c r="DN7" i="2" s="1"/>
  <c r="DM6" i="2" a="1"/>
  <c r="DM6" i="2" s="1"/>
  <c r="DL6" i="2" a="1"/>
  <c r="DL6" i="2"/>
  <c r="DL7" i="2" s="1"/>
  <c r="DK6" i="2" a="1"/>
  <c r="DK6" i="2"/>
  <c r="DJ6" i="2" a="1"/>
  <c r="DJ6" i="2"/>
  <c r="DJ8" i="2" s="1"/>
  <c r="DI6" i="2" a="1"/>
  <c r="DI6" i="2"/>
  <c r="DI7" i="2" s="1"/>
  <c r="DH6" i="2" a="1"/>
  <c r="DH6" i="2" s="1"/>
  <c r="DG6" i="2" a="1"/>
  <c r="DG6" i="2"/>
  <c r="DG8" i="2" s="1"/>
  <c r="DF6" i="2" a="1"/>
  <c r="DF6" i="2" s="1"/>
  <c r="DF8" i="2" s="1"/>
  <c r="DE6" i="2" a="1"/>
  <c r="DE6" i="2" s="1"/>
  <c r="DE7" i="2" s="1"/>
  <c r="DD6" i="2" a="1"/>
  <c r="DD6" i="2"/>
  <c r="DD7" i="2" s="1"/>
  <c r="DC6" i="2" a="1"/>
  <c r="DC6" i="2"/>
  <c r="DB6" i="2" a="1"/>
  <c r="DB6" i="2"/>
  <c r="DA6" i="2" a="1"/>
  <c r="DA6" i="2"/>
  <c r="DA7" i="2" s="1"/>
  <c r="CZ6" i="2" a="1"/>
  <c r="CZ6" i="2"/>
  <c r="CZ7" i="2" s="1"/>
  <c r="CY6" i="2" a="1"/>
  <c r="CY6" i="2" s="1"/>
  <c r="CX6" i="2" a="1"/>
  <c r="CX6" i="2" s="1"/>
  <c r="CX7" i="2" s="1"/>
  <c r="CW6" i="2" a="1"/>
  <c r="CW6" i="2" s="1"/>
  <c r="CW7" i="2" s="1"/>
  <c r="CV6" i="2" a="1"/>
  <c r="CV6" i="2"/>
  <c r="CV8" i="2" s="1"/>
  <c r="CU6" i="2" a="1"/>
  <c r="CU6" i="2" s="1"/>
  <c r="CT6" i="2" a="1"/>
  <c r="CT6" i="2"/>
  <c r="CS6" i="2" a="1"/>
  <c r="CS6" i="2"/>
  <c r="CS8" i="2" s="1"/>
  <c r="CR6" i="2" a="1"/>
  <c r="CR6" i="2"/>
  <c r="CR7" i="2" s="1"/>
  <c r="CQ6" i="2" a="1"/>
  <c r="CQ6" i="2"/>
  <c r="CQ7" i="2" s="1"/>
  <c r="CP6" i="2" a="1"/>
  <c r="CP6" i="2" s="1"/>
  <c r="CP8" i="2" s="1"/>
  <c r="CO6" i="2" a="1"/>
  <c r="CO6" i="2" s="1"/>
  <c r="CO7" i="2" s="1"/>
  <c r="CN6" i="2" a="1"/>
  <c r="CN6" i="2"/>
  <c r="CM6" i="2" a="1"/>
  <c r="CM6" i="2"/>
  <c r="CM7" i="2" s="1"/>
  <c r="CL6" i="2" a="1"/>
  <c r="CL6" i="2" s="1"/>
  <c r="CK6" i="2" a="1"/>
  <c r="CK6" i="2"/>
  <c r="CK7" i="2" s="1"/>
  <c r="CJ6" i="2" a="1"/>
  <c r="CJ6" i="2"/>
  <c r="CJ7" i="2" s="1"/>
  <c r="CI6" i="2" a="1"/>
  <c r="CI6" i="2"/>
  <c r="CI8" i="2" s="1"/>
  <c r="CH6" i="2" a="1"/>
  <c r="CH6" i="2" s="1"/>
  <c r="CH8" i="2" s="1"/>
  <c r="CG6" i="2" a="1"/>
  <c r="CG6" i="2" s="1"/>
  <c r="CG7" i="2" s="1"/>
  <c r="CF6" i="2" a="1"/>
  <c r="CF6" i="2"/>
  <c r="CF7" i="2" s="1"/>
  <c r="CE6" i="2" a="1"/>
  <c r="CE6" i="2"/>
  <c r="CE8" i="2" s="1"/>
  <c r="CD6" i="2" a="1"/>
  <c r="CD6" i="2"/>
  <c r="CC6" i="2" a="1"/>
  <c r="CC6" i="2" s="1"/>
  <c r="CB6" i="2" a="1"/>
  <c r="CB6" i="2"/>
  <c r="CB8" i="2" s="1"/>
  <c r="CA6" i="2" a="1"/>
  <c r="CA6" i="2"/>
  <c r="CA7" i="2" s="1"/>
  <c r="BZ6" i="2" a="1"/>
  <c r="BZ6" i="2" s="1"/>
  <c r="BY6" i="2" a="1"/>
  <c r="BY6" i="2" s="1"/>
  <c r="BX6" i="2" a="1"/>
  <c r="BX6" i="2"/>
  <c r="BX8" i="2" s="1"/>
  <c r="BW6" i="2" a="1"/>
  <c r="BW6" i="2" s="1"/>
  <c r="BV6" i="2" a="1"/>
  <c r="BV6" i="2"/>
  <c r="BV8" i="2" s="1"/>
  <c r="BU6" i="2" a="1"/>
  <c r="BU6" i="2"/>
  <c r="BU7" i="2" s="1"/>
  <c r="BT6" i="2" a="1"/>
  <c r="BT6" i="2" s="1"/>
  <c r="BS6" i="2" a="1"/>
  <c r="BS6" i="2"/>
  <c r="BS7" i="2" s="1"/>
  <c r="BR6" i="2" a="1"/>
  <c r="BR6" i="2" s="1"/>
  <c r="BR7" i="2" s="1"/>
  <c r="BQ6" i="2" a="1"/>
  <c r="BQ6" i="2" s="1"/>
  <c r="BP6" i="2" a="1"/>
  <c r="BP6" i="2"/>
  <c r="BP7" i="2" s="1"/>
  <c r="BO6" i="2" a="1"/>
  <c r="BO6" i="2"/>
  <c r="BO7" i="2" s="1"/>
  <c r="BN6" i="2" a="1"/>
  <c r="BN6" i="2" s="1"/>
  <c r="BM6" i="2" a="1"/>
  <c r="BM6" i="2"/>
  <c r="BM7" i="2" s="1"/>
  <c r="BL6" i="2" a="1"/>
  <c r="BL6" i="2"/>
  <c r="BK6" i="2" a="1"/>
  <c r="BK6" i="2" s="1"/>
  <c r="BJ6" i="2" a="1"/>
  <c r="BJ6" i="2" s="1"/>
  <c r="BI6" i="2" a="1"/>
  <c r="BI6" i="2" s="1"/>
  <c r="BI7" i="2" s="1"/>
  <c r="BH6" i="2" a="1"/>
  <c r="BH6" i="2"/>
  <c r="BH8" i="2" s="1"/>
  <c r="BG6" i="2" a="1"/>
  <c r="BG6" i="2"/>
  <c r="BG7" i="2" s="1"/>
  <c r="BF6" i="2" a="1"/>
  <c r="BF6" i="2"/>
  <c r="BF7" i="2" s="1"/>
  <c r="BE6" i="2" a="1"/>
  <c r="BE6" i="2" s="1"/>
  <c r="BD6" i="2" a="1"/>
  <c r="BD6" i="2"/>
  <c r="BC6" i="2" a="1"/>
  <c r="BC6" i="2"/>
  <c r="BB6" i="2" a="1"/>
  <c r="BB6" i="2" s="1"/>
  <c r="BA6" i="2" a="1"/>
  <c r="BA6" i="2" s="1"/>
  <c r="BA7" i="2" s="1"/>
  <c r="AZ6" i="2" a="1"/>
  <c r="AZ6" i="2"/>
  <c r="AZ8" i="2" s="1"/>
  <c r="AY6" i="2" a="1"/>
  <c r="AY6" i="2"/>
  <c r="AY7" i="2" s="1"/>
  <c r="AX6" i="2" a="1"/>
  <c r="AX6" i="2"/>
  <c r="AX7" i="2" s="1"/>
  <c r="AW6" i="2" a="1"/>
  <c r="AW6" i="2"/>
  <c r="AW8" i="2" s="1"/>
  <c r="AV6" i="2" a="1"/>
  <c r="AV6" i="2" s="1"/>
  <c r="AU6" i="2" a="1"/>
  <c r="AU6" i="2"/>
  <c r="AT6" i="2" a="1"/>
  <c r="AT6" i="2" s="1"/>
  <c r="AT8" i="2" s="1"/>
  <c r="AS6" i="2" a="1"/>
  <c r="AS6" i="2" s="1"/>
  <c r="AR6" i="2" a="1"/>
  <c r="AR6" i="2"/>
  <c r="AR7" i="2" s="1"/>
  <c r="AQ6" i="2" a="1"/>
  <c r="AQ6" i="2"/>
  <c r="AQ8" i="2" s="1"/>
  <c r="AP6" i="2" a="1"/>
  <c r="AP6" i="2"/>
  <c r="AP7" i="2" s="1"/>
  <c r="AO6" i="2" a="1"/>
  <c r="AO6" i="2"/>
  <c r="AO7" i="2" s="1"/>
  <c r="AN6" i="2" a="1"/>
  <c r="AN6" i="2"/>
  <c r="AN7" i="2" s="1"/>
  <c r="AM6" i="2" a="1"/>
  <c r="AM6" i="2" s="1"/>
  <c r="AL6" i="2" a="1"/>
  <c r="AL6" i="2" s="1"/>
  <c r="AK6" i="2" a="1"/>
  <c r="AK6" i="2" s="1"/>
  <c r="AK7" i="2" s="1"/>
  <c r="AJ6" i="2" a="1"/>
  <c r="AJ6" i="2"/>
  <c r="AI6" i="2" a="1"/>
  <c r="AI6" i="2" s="1"/>
  <c r="AH6" i="2" a="1"/>
  <c r="AH6" i="2"/>
  <c r="AG6" i="2" a="1"/>
  <c r="AG6" i="2"/>
  <c r="AG7" i="2" s="1"/>
  <c r="AF6" i="2" a="1"/>
  <c r="AF6" i="2"/>
  <c r="AF8" i="2" s="1"/>
  <c r="AE6" i="2" a="1"/>
  <c r="AE6" i="2"/>
  <c r="AE7" i="2" s="1"/>
  <c r="AD6" i="2" a="1"/>
  <c r="AD6" i="2" s="1"/>
  <c r="AC6" i="2" a="1"/>
  <c r="AC6" i="2" s="1"/>
  <c r="AC8" i="2" s="1"/>
  <c r="AB6" i="2" a="1"/>
  <c r="AB6" i="2"/>
  <c r="AA6" i="2" a="1"/>
  <c r="AA6" i="2"/>
  <c r="AA7" i="2" s="1"/>
  <c r="Z6" i="2" a="1"/>
  <c r="Z6" i="2" s="1"/>
  <c r="Y6" i="2" a="1"/>
  <c r="Y6" i="2"/>
  <c r="Y7" i="2" s="1"/>
  <c r="X6" i="2" a="1"/>
  <c r="X6" i="2"/>
  <c r="X8" i="2" s="1"/>
  <c r="W6" i="2" a="1"/>
  <c r="W6" i="2"/>
  <c r="W7" i="2" s="1"/>
  <c r="V6" i="2" a="1"/>
  <c r="V6" i="2" s="1"/>
  <c r="V7" i="2" s="1"/>
  <c r="U6" i="2" a="1"/>
  <c r="U6" i="2" s="1"/>
  <c r="U7" i="2" s="1"/>
  <c r="T6" i="2" a="1"/>
  <c r="T6" i="2"/>
  <c r="T7" i="2" s="1"/>
  <c r="S6" i="2" a="1"/>
  <c r="S6" i="2"/>
  <c r="S7" i="2" s="1"/>
  <c r="R6" i="2" a="1"/>
  <c r="R6" i="2"/>
  <c r="R8" i="2" s="1"/>
  <c r="Q6" i="2" a="1"/>
  <c r="Q6" i="2" s="1"/>
  <c r="P6" i="2" a="1"/>
  <c r="P6" i="2"/>
  <c r="P7" i="2" s="1"/>
  <c r="O6" i="2" a="1"/>
  <c r="O6" i="2"/>
  <c r="O8" i="2" s="1"/>
  <c r="N6" i="2" a="1"/>
  <c r="N6" i="2" s="1"/>
  <c r="N8" i="2" s="1"/>
  <c r="M6" i="2" a="1"/>
  <c r="M6" i="2" s="1"/>
  <c r="M7" i="2" s="1"/>
  <c r="L6" i="2" a="1"/>
  <c r="L6" i="2"/>
  <c r="L8" i="2" s="1"/>
  <c r="K6" i="2" a="1"/>
  <c r="K6" i="2" s="1"/>
  <c r="J6" i="2" a="1"/>
  <c r="J6" i="2"/>
  <c r="J7" i="2" s="1"/>
  <c r="I6" i="2" a="1"/>
  <c r="I6" i="2"/>
  <c r="H6" i="2" a="1"/>
  <c r="H6" i="2" s="1"/>
  <c r="G6" i="2" a="1"/>
  <c r="G6" i="2"/>
  <c r="F6" i="2" a="1"/>
  <c r="F6" i="2" s="1"/>
  <c r="F8" i="2" s="1"/>
  <c r="E6" i="2" a="1"/>
  <c r="E6" i="2" s="1"/>
  <c r="E7" i="2" s="1"/>
  <c r="D6" i="2" a="1"/>
  <c r="D6" i="2"/>
  <c r="D7" i="2" s="1"/>
  <c r="C6" i="2" a="1"/>
  <c r="C6" i="2"/>
  <c r="C7" i="2" s="1"/>
  <c r="EH24" i="1"/>
  <c r="EG24" i="1"/>
  <c r="EH23" i="1"/>
  <c r="EG23" i="1"/>
  <c r="EH22" i="1"/>
  <c r="EG22" i="1"/>
  <c r="EH21" i="1"/>
  <c r="EG21" i="1"/>
  <c r="EH20" i="1"/>
  <c r="EG20" i="1"/>
  <c r="EH19" i="1"/>
  <c r="EG19" i="1"/>
  <c r="EH18" i="1"/>
  <c r="EG18" i="1"/>
  <c r="EH17" i="1"/>
  <c r="EG17" i="1"/>
  <c r="EH16" i="1"/>
  <c r="EG16" i="1"/>
  <c r="EH15" i="1"/>
  <c r="EG15" i="1"/>
  <c r="EH14" i="1"/>
  <c r="EG14" i="1"/>
  <c r="EH13" i="1"/>
  <c r="EG13" i="1"/>
  <c r="EH12" i="1"/>
  <c r="EG12" i="1"/>
  <c r="ED8" i="1"/>
  <c r="EC8" i="1"/>
  <c r="EA8" i="1"/>
  <c r="DZ8" i="1"/>
  <c r="DL8" i="1"/>
  <c r="DK8" i="1"/>
  <c r="DI8" i="1"/>
  <c r="DH8" i="1"/>
  <c r="DG8" i="1"/>
  <c r="CT8" i="1"/>
  <c r="CS8" i="1"/>
  <c r="CR8" i="1"/>
  <c r="CP8" i="1"/>
  <c r="CO8" i="1"/>
  <c r="CN8" i="1"/>
  <c r="CK8" i="1"/>
  <c r="CB8" i="1"/>
  <c r="CA8" i="1"/>
  <c r="BZ8" i="1"/>
  <c r="BX8" i="1"/>
  <c r="BW8" i="1"/>
  <c r="BR8" i="1"/>
  <c r="BQ8" i="1"/>
  <c r="BE8" i="1"/>
  <c r="AZ8" i="1"/>
  <c r="AY8" i="1"/>
  <c r="AW8" i="1"/>
  <c r="AQ8" i="1"/>
  <c r="AH8" i="1"/>
  <c r="AG8" i="1"/>
  <c r="AF8" i="1"/>
  <c r="AD8" i="1"/>
  <c r="Y8" i="1"/>
  <c r="P8" i="1"/>
  <c r="O8" i="1"/>
  <c r="N8" i="1"/>
  <c r="L8" i="1"/>
  <c r="K8" i="1"/>
  <c r="ED7" i="1"/>
  <c r="EC7" i="1"/>
  <c r="EA7" i="1"/>
  <c r="DZ7" i="1"/>
  <c r="DL7" i="1"/>
  <c r="DK7" i="1"/>
  <c r="DH7" i="1"/>
  <c r="DF7" i="1"/>
  <c r="CZ7" i="1"/>
  <c r="CT7" i="1"/>
  <c r="CR7" i="1"/>
  <c r="CP7" i="1"/>
  <c r="CO7" i="1"/>
  <c r="CN7" i="1"/>
  <c r="CB7" i="1"/>
  <c r="BZ7" i="1"/>
  <c r="BX7" i="1"/>
  <c r="BW7" i="1"/>
  <c r="BV7" i="1"/>
  <c r="BI7" i="1"/>
  <c r="BH7" i="1"/>
  <c r="BF7" i="1"/>
  <c r="BE7" i="1"/>
  <c r="BD7" i="1"/>
  <c r="AQ7" i="1"/>
  <c r="AP7" i="1"/>
  <c r="AO7" i="1"/>
  <c r="AN7" i="1"/>
  <c r="AM7" i="1"/>
  <c r="AL7" i="1"/>
  <c r="Y7" i="1"/>
  <c r="X7" i="1"/>
  <c r="W7" i="1"/>
  <c r="U7" i="1"/>
  <c r="T7" i="1"/>
  <c r="F7" i="1"/>
  <c r="E7" i="1"/>
  <c r="C7" i="1"/>
  <c r="EG6" i="1" a="1"/>
  <c r="EF6" i="1" a="1"/>
  <c r="EF6" i="1" s="1"/>
  <c r="EF8" i="1" s="1"/>
  <c r="EE6" i="1" a="1"/>
  <c r="EE6" i="1" s="1"/>
  <c r="ED6" i="1" a="1"/>
  <c r="ED6" i="1"/>
  <c r="EC6" i="1" a="1"/>
  <c r="EC6" i="1"/>
  <c r="EB6" i="1" a="1"/>
  <c r="EB6" i="1" s="1"/>
  <c r="EA6" i="1" a="1"/>
  <c r="EA6" i="1"/>
  <c r="DZ6" i="1" a="1"/>
  <c r="DZ6" i="1"/>
  <c r="DY6" i="1" a="1"/>
  <c r="DY6" i="1" s="1"/>
  <c r="DY7" i="1" s="1"/>
  <c r="DX6" i="1" a="1"/>
  <c r="DX6" i="1" s="1"/>
  <c r="DX7" i="1" s="1"/>
  <c r="DW6" i="1" a="1"/>
  <c r="DW6" i="1" s="1"/>
  <c r="DV6" i="1" a="1"/>
  <c r="DV6" i="1" s="1"/>
  <c r="DU6" i="1" a="1"/>
  <c r="DU6" i="1"/>
  <c r="DU7" i="1" s="1"/>
  <c r="DT6" i="1" a="1"/>
  <c r="DT6" i="1"/>
  <c r="DT7" i="1" s="1"/>
  <c r="DS6" i="1" a="1"/>
  <c r="DS6" i="1" s="1"/>
  <c r="DR6" i="1" a="1"/>
  <c r="DR6" i="1"/>
  <c r="DR8" i="1" s="1"/>
  <c r="DQ6" i="1" a="1"/>
  <c r="DQ6" i="1" s="1"/>
  <c r="DQ7" i="1" s="1"/>
  <c r="DP6" i="1" a="1"/>
  <c r="DP6" i="1" s="1"/>
  <c r="DP8" i="1" s="1"/>
  <c r="DO6" i="1" a="1"/>
  <c r="DO6" i="1"/>
  <c r="DO8" i="1" s="1"/>
  <c r="DN6" i="1" a="1"/>
  <c r="DN6" i="1" s="1"/>
  <c r="DM6" i="1" a="1"/>
  <c r="DM6" i="1" s="1"/>
  <c r="DL6" i="1" a="1"/>
  <c r="DL6" i="1"/>
  <c r="DK6" i="1" a="1"/>
  <c r="DK6" i="1"/>
  <c r="DJ6" i="1" a="1"/>
  <c r="DJ6" i="1" s="1"/>
  <c r="DI6" i="1" a="1"/>
  <c r="DI6" i="1" s="1"/>
  <c r="DI7" i="1" s="1"/>
  <c r="DH6" i="1" a="1"/>
  <c r="DH6" i="1" s="1"/>
  <c r="DG6" i="1" a="1"/>
  <c r="DG6" i="1"/>
  <c r="DG7" i="1" s="1"/>
  <c r="DF6" i="1" a="1"/>
  <c r="DF6" i="1"/>
  <c r="DF8" i="1" s="1"/>
  <c r="DE6" i="1" a="1"/>
  <c r="DE6" i="1" s="1"/>
  <c r="DD6" i="1" a="1"/>
  <c r="DD6" i="1" s="1"/>
  <c r="DC6" i="1" a="1"/>
  <c r="DC6" i="1"/>
  <c r="DC7" i="1" s="1"/>
  <c r="DB6" i="1" a="1"/>
  <c r="DB6" i="1"/>
  <c r="DB8" i="1" s="1"/>
  <c r="DA6" i="1" a="1"/>
  <c r="DA6" i="1" s="1"/>
  <c r="DA8" i="1" s="1"/>
  <c r="CZ6" i="1" a="1"/>
  <c r="CZ6" i="1" s="1"/>
  <c r="CZ8" i="1" s="1"/>
  <c r="CY6" i="1" a="1"/>
  <c r="CY6" i="1"/>
  <c r="CY8" i="1" s="1"/>
  <c r="CX6" i="1" a="1"/>
  <c r="CX6" i="1"/>
  <c r="CX8" i="1" s="1"/>
  <c r="CW6" i="1" a="1"/>
  <c r="CW6" i="1"/>
  <c r="CW8" i="1" s="1"/>
  <c r="CV6" i="1" a="1"/>
  <c r="CV6" i="1" s="1"/>
  <c r="CU6" i="1" a="1"/>
  <c r="CU6" i="1" s="1"/>
  <c r="CT6" i="1" a="1"/>
  <c r="CT6" i="1"/>
  <c r="CS6" i="1" a="1"/>
  <c r="CS6" i="1" s="1"/>
  <c r="CS7" i="1" s="1"/>
  <c r="CR6" i="1" a="1"/>
  <c r="CR6" i="1" s="1"/>
  <c r="CQ6" i="1" a="1"/>
  <c r="CQ6" i="1" s="1"/>
  <c r="CP6" i="1" a="1"/>
  <c r="CP6" i="1"/>
  <c r="CO6" i="1" a="1"/>
  <c r="CO6" i="1"/>
  <c r="CN6" i="1" a="1"/>
  <c r="CN6" i="1"/>
  <c r="CM6" i="1" a="1"/>
  <c r="CM6" i="1" s="1"/>
  <c r="CL6" i="1" a="1"/>
  <c r="CL6" i="1" s="1"/>
  <c r="CK6" i="1" a="1"/>
  <c r="CK6" i="1" s="1"/>
  <c r="CK7" i="1" s="1"/>
  <c r="CJ6" i="1" a="1"/>
  <c r="CJ6" i="1" s="1"/>
  <c r="CJ8" i="1" s="1"/>
  <c r="CI6" i="1" a="1"/>
  <c r="CI6" i="1"/>
  <c r="CI8" i="1" s="1"/>
  <c r="CH6" i="1" a="1"/>
  <c r="CH6" i="1" s="1"/>
  <c r="CG6" i="1" a="1"/>
  <c r="CG6" i="1"/>
  <c r="CG8" i="1" s="1"/>
  <c r="CF6" i="1" a="1"/>
  <c r="CF6" i="1"/>
  <c r="CF8" i="1" s="1"/>
  <c r="CE6" i="1" a="1"/>
  <c r="CE6" i="1"/>
  <c r="CE8" i="1" s="1"/>
  <c r="CD6" i="1" a="1"/>
  <c r="CD6" i="1" s="1"/>
  <c r="CC6" i="1" a="1"/>
  <c r="CC6" i="1" s="1"/>
  <c r="CC7" i="1" s="1"/>
  <c r="CB6" i="1" a="1"/>
  <c r="CB6" i="1" s="1"/>
  <c r="CA6" i="1" a="1"/>
  <c r="CA6" i="1"/>
  <c r="CA7" i="1" s="1"/>
  <c r="BZ6" i="1" a="1"/>
  <c r="BZ6" i="1"/>
  <c r="BY6" i="1" a="1"/>
  <c r="BY6" i="1" s="1"/>
  <c r="BX6" i="1" a="1"/>
  <c r="BX6" i="1"/>
  <c r="BW6" i="1" a="1"/>
  <c r="BW6" i="1"/>
  <c r="BV6" i="1" a="1"/>
  <c r="BV6" i="1"/>
  <c r="BV8" i="1" s="1"/>
  <c r="BU6" i="1" a="1"/>
  <c r="BU6" i="1" s="1"/>
  <c r="BU8" i="1" s="1"/>
  <c r="BT6" i="1" a="1"/>
  <c r="BT6" i="1" s="1"/>
  <c r="BT8" i="1" s="1"/>
  <c r="BS6" i="1" a="1"/>
  <c r="BS6" i="1" s="1"/>
  <c r="BR6" i="1" a="1"/>
  <c r="BR6" i="1"/>
  <c r="BR7" i="1" s="1"/>
  <c r="BQ6" i="1" a="1"/>
  <c r="BQ6" i="1"/>
  <c r="BQ7" i="1" s="1"/>
  <c r="BP6" i="1" a="1"/>
  <c r="BP6" i="1" s="1"/>
  <c r="BO6" i="1" a="1"/>
  <c r="BO6" i="1"/>
  <c r="BO8" i="1" s="1"/>
  <c r="BN6" i="1" a="1"/>
  <c r="BN6" i="1"/>
  <c r="BN8" i="1" s="1"/>
  <c r="BM6" i="1" a="1"/>
  <c r="BM6" i="1" s="1"/>
  <c r="BM7" i="1" s="1"/>
  <c r="BL6" i="1" a="1"/>
  <c r="BL6" i="1" s="1"/>
  <c r="BL8" i="1" s="1"/>
  <c r="BK6" i="1" a="1"/>
  <c r="BK6" i="1" s="1"/>
  <c r="BJ6" i="1" a="1"/>
  <c r="BJ6" i="1" s="1"/>
  <c r="BI6" i="1" a="1"/>
  <c r="BI6" i="1"/>
  <c r="BI8" i="1" s="1"/>
  <c r="BH6" i="1" a="1"/>
  <c r="BH6" i="1"/>
  <c r="BH8" i="1" s="1"/>
  <c r="BG6" i="1" a="1"/>
  <c r="BG6" i="1" s="1"/>
  <c r="BF6" i="1" a="1"/>
  <c r="BF6" i="1"/>
  <c r="BF8" i="1" s="1"/>
  <c r="BE6" i="1" a="1"/>
  <c r="BE6" i="1" s="1"/>
  <c r="BD6" i="1" a="1"/>
  <c r="BD6" i="1" s="1"/>
  <c r="BD8" i="1" s="1"/>
  <c r="BC6" i="1" a="1"/>
  <c r="BC6" i="1"/>
  <c r="BC8" i="1" s="1"/>
  <c r="BB6" i="1" a="1"/>
  <c r="BB6" i="1" s="1"/>
  <c r="BA6" i="1" a="1"/>
  <c r="BA6" i="1" s="1"/>
  <c r="AZ6" i="1" a="1"/>
  <c r="AZ6" i="1"/>
  <c r="AZ7" i="1" s="1"/>
  <c r="AY6" i="1" a="1"/>
  <c r="AY6" i="1"/>
  <c r="AY7" i="1" s="1"/>
  <c r="AX6" i="1" a="1"/>
  <c r="AX6" i="1" s="1"/>
  <c r="AW6" i="1" a="1"/>
  <c r="AW6" i="1" s="1"/>
  <c r="AW7" i="1" s="1"/>
  <c r="AV6" i="1" a="1"/>
  <c r="AV6" i="1" s="1"/>
  <c r="AV8" i="1" s="1"/>
  <c r="AU6" i="1" a="1"/>
  <c r="AU6" i="1"/>
  <c r="AU7" i="1" s="1"/>
  <c r="AT6" i="1" a="1"/>
  <c r="AT6" i="1"/>
  <c r="AT8" i="1" s="1"/>
  <c r="AS6" i="1" a="1"/>
  <c r="AS6" i="1" s="1"/>
  <c r="AR6" i="1" a="1"/>
  <c r="AR6" i="1" s="1"/>
  <c r="AQ6" i="1" a="1"/>
  <c r="AQ6" i="1"/>
  <c r="AP6" i="1" a="1"/>
  <c r="AP6" i="1"/>
  <c r="AP8" i="1" s="1"/>
  <c r="AO6" i="1" a="1"/>
  <c r="AO6" i="1" s="1"/>
  <c r="AO8" i="1" s="1"/>
  <c r="AN6" i="1" a="1"/>
  <c r="AN6" i="1" s="1"/>
  <c r="AN8" i="1" s="1"/>
  <c r="AM6" i="1" a="1"/>
  <c r="AM6" i="1"/>
  <c r="AM8" i="1" s="1"/>
  <c r="AL6" i="1" a="1"/>
  <c r="AL6" i="1"/>
  <c r="AL8" i="1" s="1"/>
  <c r="AK6" i="1" a="1"/>
  <c r="AK6" i="1"/>
  <c r="AK8" i="1" s="1"/>
  <c r="AJ6" i="1" a="1"/>
  <c r="AJ6" i="1" s="1"/>
  <c r="AI6" i="1" a="1"/>
  <c r="AI6" i="1" s="1"/>
  <c r="AH6" i="1" a="1"/>
  <c r="AH6" i="1"/>
  <c r="AH7" i="1" s="1"/>
  <c r="AG6" i="1" a="1"/>
  <c r="AG6" i="1" s="1"/>
  <c r="AG7" i="1" s="1"/>
  <c r="AF6" i="1" a="1"/>
  <c r="AF6" i="1" s="1"/>
  <c r="AF7" i="1" s="1"/>
  <c r="AE6" i="1" a="1"/>
  <c r="AE6" i="1" s="1"/>
  <c r="AD6" i="1" a="1"/>
  <c r="AD6" i="1"/>
  <c r="AD7" i="1" s="1"/>
  <c r="AC6" i="1" a="1"/>
  <c r="AC6" i="1"/>
  <c r="AC8" i="1" s="1"/>
  <c r="AB6" i="1" a="1"/>
  <c r="AB6" i="1"/>
  <c r="AB8" i="1" s="1"/>
  <c r="AA6" i="1" a="1"/>
  <c r="AA6" i="1" s="1"/>
  <c r="Z6" i="1" a="1"/>
  <c r="Z6" i="1" s="1"/>
  <c r="Y6" i="1" a="1"/>
  <c r="Y6" i="1" s="1"/>
  <c r="X6" i="1" a="1"/>
  <c r="X6" i="1" s="1"/>
  <c r="X8" i="1" s="1"/>
  <c r="W6" i="1" a="1"/>
  <c r="W6" i="1"/>
  <c r="W8" i="1" s="1"/>
  <c r="V6" i="1" a="1"/>
  <c r="V6" i="1" s="1"/>
  <c r="U6" i="1" a="1"/>
  <c r="U6" i="1"/>
  <c r="U8" i="1" s="1"/>
  <c r="T6" i="1" a="1"/>
  <c r="T6" i="1"/>
  <c r="T8" i="1" s="1"/>
  <c r="S6" i="1" a="1"/>
  <c r="S6" i="1"/>
  <c r="S8" i="1" s="1"/>
  <c r="R6" i="1" a="1"/>
  <c r="R6" i="1" s="1"/>
  <c r="Q6" i="1" a="1"/>
  <c r="Q6" i="1" s="1"/>
  <c r="Q7" i="1" s="1"/>
  <c r="P6" i="1" a="1"/>
  <c r="P6" i="1" s="1"/>
  <c r="P7" i="1" s="1"/>
  <c r="O6" i="1" a="1"/>
  <c r="O6" i="1"/>
  <c r="O7" i="1" s="1"/>
  <c r="N6" i="1" a="1"/>
  <c r="N6" i="1"/>
  <c r="N7" i="1" s="1"/>
  <c r="M6" i="1" a="1"/>
  <c r="M6" i="1" s="1"/>
  <c r="L6" i="1" a="1"/>
  <c r="L6" i="1"/>
  <c r="L7" i="1" s="1"/>
  <c r="K6" i="1" a="1"/>
  <c r="K6" i="1"/>
  <c r="K7" i="1" s="1"/>
  <c r="J6" i="1" a="1"/>
  <c r="J6" i="1"/>
  <c r="J8" i="1" s="1"/>
  <c r="I6" i="1" a="1"/>
  <c r="I6" i="1" s="1"/>
  <c r="I8" i="1" s="1"/>
  <c r="H6" i="1" a="1"/>
  <c r="H6" i="1" s="1"/>
  <c r="H8" i="1" s="1"/>
  <c r="G6" i="1" a="1"/>
  <c r="G6" i="1" s="1"/>
  <c r="F6" i="1" a="1"/>
  <c r="F6" i="1"/>
  <c r="F8" i="1" s="1"/>
  <c r="E6" i="1" a="1"/>
  <c r="E6" i="1"/>
  <c r="E8" i="1" s="1"/>
  <c r="D6" i="1" a="1"/>
  <c r="D6" i="1" s="1"/>
  <c r="C6" i="1" a="1"/>
  <c r="C6" i="1"/>
  <c r="C8" i="1" s="1"/>
  <c r="EG4" i="1"/>
  <c r="EG3" i="1"/>
  <c r="C7" i="12" l="1"/>
  <c r="C8" i="12"/>
  <c r="R8" i="12"/>
  <c r="R7" i="12"/>
  <c r="D7" i="12"/>
  <c r="D8" i="12"/>
  <c r="S8" i="12"/>
  <c r="S7" i="12"/>
  <c r="BI7" i="12"/>
  <c r="BI8" i="12"/>
  <c r="DK8" i="12"/>
  <c r="DK7" i="12"/>
  <c r="AJ8" i="12"/>
  <c r="AJ7" i="12"/>
  <c r="AY8" i="12"/>
  <c r="AY7" i="12"/>
  <c r="AZ8" i="12"/>
  <c r="AZ7" i="12"/>
  <c r="BY8" i="12"/>
  <c r="BY7" i="12"/>
  <c r="I7" i="12"/>
  <c r="I8" i="12"/>
  <c r="BA8" i="12"/>
  <c r="BA7" i="12"/>
  <c r="BZ7" i="12"/>
  <c r="BZ8" i="12"/>
  <c r="DB7" i="12"/>
  <c r="DB8" i="12"/>
  <c r="J7" i="12"/>
  <c r="J8" i="12"/>
  <c r="Y7" i="12"/>
  <c r="Y8" i="12"/>
  <c r="DC7" i="12"/>
  <c r="DC8" i="12"/>
  <c r="L8" i="12"/>
  <c r="L7" i="12"/>
  <c r="AR7" i="12"/>
  <c r="AR8" i="12"/>
  <c r="Z7" i="12"/>
  <c r="Z8" i="12"/>
  <c r="AB8" i="12"/>
  <c r="AB7" i="12"/>
  <c r="AP7" i="12"/>
  <c r="AP8" i="12"/>
  <c r="BQ7" i="12"/>
  <c r="BQ8" i="12"/>
  <c r="CT8" i="12"/>
  <c r="CT7" i="12"/>
  <c r="CH7" i="12"/>
  <c r="CH8" i="12"/>
  <c r="T7" i="12"/>
  <c r="T8" i="12"/>
  <c r="AH8" i="12"/>
  <c r="AH7" i="12"/>
  <c r="BJ8" i="12"/>
  <c r="BJ7" i="12"/>
  <c r="CK7" i="12"/>
  <c r="CK8" i="12"/>
  <c r="AI8" i="12"/>
  <c r="AI7" i="12"/>
  <c r="K8" i="12"/>
  <c r="K7" i="12"/>
  <c r="CB8" i="12"/>
  <c r="CB7" i="12"/>
  <c r="AQ7" i="12"/>
  <c r="AQ8" i="12"/>
  <c r="CS8" i="12"/>
  <c r="CS7" i="12"/>
  <c r="AC8" i="12"/>
  <c r="AC7" i="12"/>
  <c r="CG8" i="12"/>
  <c r="CG7" i="12"/>
  <c r="DD7" i="12"/>
  <c r="DD8" i="12"/>
  <c r="EA8" i="12"/>
  <c r="EA7" i="12"/>
  <c r="AE7" i="12"/>
  <c r="AE8" i="12"/>
  <c r="BL7" i="12"/>
  <c r="BL8" i="12"/>
  <c r="BB8" i="12"/>
  <c r="BB7" i="12"/>
  <c r="BM7" i="12"/>
  <c r="BM8" i="12"/>
  <c r="BX8" i="12"/>
  <c r="BX7" i="12"/>
  <c r="DF7" i="12"/>
  <c r="DF8" i="12"/>
  <c r="CU7" i="12"/>
  <c r="CU8" i="12"/>
  <c r="M8" i="12"/>
  <c r="M7" i="12"/>
  <c r="AS8" i="12"/>
  <c r="AS7" i="12"/>
  <c r="CL7" i="12"/>
  <c r="CL8" i="12"/>
  <c r="CX8" i="12"/>
  <c r="CX7" i="12"/>
  <c r="EG7" i="12"/>
  <c r="EG8" i="12"/>
  <c r="V8" i="12"/>
  <c r="N7" i="12"/>
  <c r="N8" i="12"/>
  <c r="AT7" i="12"/>
  <c r="AT8" i="12"/>
  <c r="BP8" i="12"/>
  <c r="BP7" i="12"/>
  <c r="DJ8" i="12"/>
  <c r="DJ7" i="12"/>
  <c r="F7" i="12"/>
  <c r="W8" i="12"/>
  <c r="CJ7" i="12"/>
  <c r="CJ8" i="12"/>
  <c r="X7" i="12"/>
  <c r="X8" i="12"/>
  <c r="BE7" i="12"/>
  <c r="BE8" i="12"/>
  <c r="O7" i="12"/>
  <c r="O8" i="12"/>
  <c r="G7" i="12"/>
  <c r="AN8" i="12"/>
  <c r="DM7" i="12"/>
  <c r="DM8" i="12"/>
  <c r="CF8" i="12"/>
  <c r="CF7" i="12"/>
  <c r="DN8" i="12"/>
  <c r="DN7" i="12"/>
  <c r="BU7" i="12"/>
  <c r="BU8" i="12"/>
  <c r="CR8" i="12"/>
  <c r="CR7" i="12"/>
  <c r="AD8" i="12"/>
  <c r="AD7" i="12"/>
  <c r="EB8" i="12"/>
  <c r="EB7" i="12"/>
  <c r="CP7" i="12"/>
  <c r="CW8" i="12"/>
  <c r="CW7" i="12"/>
  <c r="EF8" i="12"/>
  <c r="EF7" i="12"/>
  <c r="U8" i="12"/>
  <c r="P8" i="12"/>
  <c r="P7" i="12"/>
  <c r="AV7" i="12"/>
  <c r="AV8" i="12"/>
  <c r="BG8" i="12"/>
  <c r="BG7" i="12"/>
  <c r="H7" i="12"/>
  <c r="Q8" i="12"/>
  <c r="Q7" i="12"/>
  <c r="AA7" i="12"/>
  <c r="AA8" i="12"/>
  <c r="AL8" i="12"/>
  <c r="AL7" i="12"/>
  <c r="AX8" i="12"/>
  <c r="AX7" i="12"/>
  <c r="BH7" i="12"/>
  <c r="BH8" i="12"/>
  <c r="BR8" i="12"/>
  <c r="BR7" i="12"/>
  <c r="CD8" i="12"/>
  <c r="CD7" i="12"/>
  <c r="DL7" i="12"/>
  <c r="DL8" i="12"/>
  <c r="AG8" i="12"/>
  <c r="AG7" i="12"/>
  <c r="BD8" i="12"/>
  <c r="BD7" i="12"/>
  <c r="E7" i="12"/>
  <c r="E8" i="12"/>
  <c r="AK8" i="12"/>
  <c r="AK7" i="12"/>
  <c r="CC7" i="12"/>
  <c r="CC8" i="12"/>
  <c r="BC8" i="12"/>
  <c r="BC7" i="12"/>
  <c r="DE7" i="12"/>
  <c r="DE8" i="12"/>
  <c r="AM8" i="12"/>
  <c r="AM7" i="12"/>
  <c r="BN8" i="12"/>
  <c r="BN7" i="12"/>
  <c r="DR8" i="12"/>
  <c r="DR7" i="12"/>
  <c r="CE8" i="12"/>
  <c r="AW7" i="12"/>
  <c r="AW8" i="12"/>
  <c r="BW8" i="12"/>
  <c r="BW7" i="12"/>
  <c r="DH7" i="12"/>
  <c r="DH8" i="12"/>
  <c r="AF7" i="12"/>
  <c r="AF8" i="12"/>
  <c r="BF8" i="12"/>
  <c r="BF7" i="12"/>
  <c r="BO8" i="12"/>
  <c r="BO7" i="12"/>
  <c r="DS8" i="12"/>
  <c r="DS7" i="12"/>
  <c r="DY7" i="12"/>
  <c r="DY8" i="12"/>
  <c r="DZ8" i="12"/>
  <c r="DZ7" i="12"/>
  <c r="CV7" i="12"/>
  <c r="CV8" i="12"/>
  <c r="DP8" i="12"/>
  <c r="DP7" i="12"/>
  <c r="BK8" i="12"/>
  <c r="AU7" i="12"/>
  <c r="AU8" i="12"/>
  <c r="DQ7" i="12"/>
  <c r="DQ8" i="12"/>
  <c r="ED7" i="12"/>
  <c r="ED8" i="12"/>
  <c r="CZ8" i="12"/>
  <c r="DX8" i="12"/>
  <c r="DO7" i="12"/>
  <c r="CA7" i="12"/>
  <c r="EC8" i="12"/>
  <c r="CY7" i="12"/>
  <c r="CQ8" i="12"/>
  <c r="EG14" i="11"/>
  <c r="EG6" i="7"/>
  <c r="EG13" i="11"/>
  <c r="EG6" i="3"/>
  <c r="EG7" i="3" s="1"/>
  <c r="EG6" i="1"/>
  <c r="EG7" i="1" s="1"/>
  <c r="EG8" i="10"/>
  <c r="EG7" i="10"/>
  <c r="EI21" i="10"/>
  <c r="EI22" i="10"/>
  <c r="CM7" i="10"/>
  <c r="CM8" i="10"/>
  <c r="DN8" i="10"/>
  <c r="DN7" i="10"/>
  <c r="F8" i="10"/>
  <c r="F7" i="10"/>
  <c r="DQ7" i="10"/>
  <c r="DQ8" i="10"/>
  <c r="DF7" i="10"/>
  <c r="DF8" i="10"/>
  <c r="L7" i="10"/>
  <c r="L8" i="10"/>
  <c r="Y7" i="10"/>
  <c r="Y8" i="10"/>
  <c r="AL8" i="10"/>
  <c r="AL7" i="10"/>
  <c r="BX7" i="10"/>
  <c r="BX8" i="10"/>
  <c r="CK7" i="10"/>
  <c r="CK8" i="10"/>
  <c r="CX8" i="10"/>
  <c r="CX7" i="10"/>
  <c r="CN7" i="10"/>
  <c r="CN8" i="10"/>
  <c r="DE7" i="10"/>
  <c r="DE8" i="10"/>
  <c r="CS8" i="10"/>
  <c r="CS7" i="10"/>
  <c r="M7" i="10"/>
  <c r="M8" i="10"/>
  <c r="AM8" i="10"/>
  <c r="AM7" i="10"/>
  <c r="AY8" i="10"/>
  <c r="AY7" i="10"/>
  <c r="BY8" i="10"/>
  <c r="BY7" i="10"/>
  <c r="CY8" i="10"/>
  <c r="CY7" i="10"/>
  <c r="DK8" i="10"/>
  <c r="DK7" i="10"/>
  <c r="CA7" i="10"/>
  <c r="CA8" i="10"/>
  <c r="T7" i="10"/>
  <c r="T8" i="10"/>
  <c r="AG8" i="10"/>
  <c r="AG7" i="10"/>
  <c r="AT7" i="10"/>
  <c r="AT8" i="10"/>
  <c r="N7" i="10"/>
  <c r="N8" i="10"/>
  <c r="AZ8" i="10"/>
  <c r="AZ7" i="10"/>
  <c r="BM8" i="10"/>
  <c r="BM7" i="10"/>
  <c r="BZ7" i="10"/>
  <c r="BZ8" i="10"/>
  <c r="DL8" i="10"/>
  <c r="DL7" i="10"/>
  <c r="DY8" i="10"/>
  <c r="DY7" i="10"/>
  <c r="DM8" i="10"/>
  <c r="DM7" i="10"/>
  <c r="AB7" i="10"/>
  <c r="AB8" i="10"/>
  <c r="AO7" i="10"/>
  <c r="AO8" i="10"/>
  <c r="BB8" i="10"/>
  <c r="BB7" i="10"/>
  <c r="C8" i="10"/>
  <c r="C7" i="10"/>
  <c r="AC7" i="10"/>
  <c r="AC8" i="10"/>
  <c r="BC8" i="10"/>
  <c r="BC7" i="10"/>
  <c r="BO8" i="10"/>
  <c r="BO7" i="10"/>
  <c r="CO8" i="10"/>
  <c r="CO7" i="10"/>
  <c r="DO8" i="10"/>
  <c r="DO7" i="10"/>
  <c r="EA8" i="10"/>
  <c r="EA7" i="10"/>
  <c r="D8" i="10"/>
  <c r="D7" i="10"/>
  <c r="Q8" i="10"/>
  <c r="Q7" i="10"/>
  <c r="AD7" i="10"/>
  <c r="AD8" i="10"/>
  <c r="BP8" i="10"/>
  <c r="BP7" i="10"/>
  <c r="CC8" i="10"/>
  <c r="CC7" i="10"/>
  <c r="CP7" i="10"/>
  <c r="CP8" i="10"/>
  <c r="EB7" i="10"/>
  <c r="EB8" i="10"/>
  <c r="E8" i="10"/>
  <c r="E7" i="10"/>
  <c r="AE7" i="10"/>
  <c r="AE8" i="10"/>
  <c r="AQ7" i="10"/>
  <c r="AQ8" i="10"/>
  <c r="BQ8" i="10"/>
  <c r="BQ7" i="10"/>
  <c r="CQ7" i="10"/>
  <c r="CQ8" i="10"/>
  <c r="DC7" i="10"/>
  <c r="DC8" i="10"/>
  <c r="EC8" i="10"/>
  <c r="EC7" i="10"/>
  <c r="O7" i="10"/>
  <c r="O8" i="10"/>
  <c r="DA7" i="10"/>
  <c r="DA8" i="10"/>
  <c r="AR7" i="10"/>
  <c r="AR8" i="10"/>
  <c r="ED8" i="10"/>
  <c r="ED7" i="10"/>
  <c r="G8" i="10"/>
  <c r="G7" i="10"/>
  <c r="S8" i="10"/>
  <c r="S7" i="10"/>
  <c r="AS7" i="10"/>
  <c r="AS8" i="10"/>
  <c r="EE8" i="10"/>
  <c r="EE7" i="10"/>
  <c r="U8" i="10"/>
  <c r="U7" i="10"/>
  <c r="AU7" i="10"/>
  <c r="AU8" i="10"/>
  <c r="BG7" i="10"/>
  <c r="BG8" i="10"/>
  <c r="CG8" i="10"/>
  <c r="CG7" i="10"/>
  <c r="DG7" i="10"/>
  <c r="DG8" i="10"/>
  <c r="DS7" i="10"/>
  <c r="DS8" i="10"/>
  <c r="AA7" i="10"/>
  <c r="AA8" i="10"/>
  <c r="BR8" i="10"/>
  <c r="BR7" i="10"/>
  <c r="BS8" i="10"/>
  <c r="BS7" i="10"/>
  <c r="I7" i="10"/>
  <c r="I8" i="10"/>
  <c r="V8" i="10"/>
  <c r="V7" i="10"/>
  <c r="BH7" i="10"/>
  <c r="BH8" i="10"/>
  <c r="BU7" i="10"/>
  <c r="BU8" i="10"/>
  <c r="CH8" i="10"/>
  <c r="CH7" i="10"/>
  <c r="DT7" i="10"/>
  <c r="DT8" i="10"/>
  <c r="BA8" i="10"/>
  <c r="BA7" i="10"/>
  <c r="DD7" i="10"/>
  <c r="DD8" i="10"/>
  <c r="W8" i="10"/>
  <c r="W7" i="10"/>
  <c r="AI8" i="10"/>
  <c r="AI7" i="10"/>
  <c r="BI7" i="10"/>
  <c r="BI8" i="10"/>
  <c r="CI8" i="10"/>
  <c r="CI7" i="10"/>
  <c r="CU8" i="10"/>
  <c r="CU7" i="10"/>
  <c r="DU7" i="10"/>
  <c r="DU8" i="10"/>
  <c r="CE8" i="10"/>
  <c r="CE7" i="10"/>
  <c r="AJ8" i="10"/>
  <c r="AJ7" i="10"/>
  <c r="AW8" i="10"/>
  <c r="AW7" i="10"/>
  <c r="BJ8" i="10"/>
  <c r="BJ7" i="10"/>
  <c r="CV8" i="10"/>
  <c r="CV7" i="10"/>
  <c r="DI8" i="10"/>
  <c r="DI7" i="10"/>
  <c r="DV7" i="10"/>
  <c r="DV8" i="10"/>
  <c r="BE7" i="10"/>
  <c r="BE8" i="10"/>
  <c r="CF8" i="10"/>
  <c r="CF7" i="10"/>
  <c r="K7" i="10"/>
  <c r="K8" i="10"/>
  <c r="AK8" i="10"/>
  <c r="AK7" i="10"/>
  <c r="BK7" i="10"/>
  <c r="BK8" i="10"/>
  <c r="BW7" i="10"/>
  <c r="BW8" i="10"/>
  <c r="CW8" i="10"/>
  <c r="CW7" i="10"/>
  <c r="DW7" i="10"/>
  <c r="DW8" i="10"/>
  <c r="J8" i="10"/>
  <c r="Z8" i="10"/>
  <c r="AP8" i="10"/>
  <c r="BF8" i="10"/>
  <c r="BV8" i="10"/>
  <c r="CL8" i="10"/>
  <c r="DB8" i="10"/>
  <c r="DR8" i="10"/>
  <c r="R7" i="10"/>
  <c r="AH7" i="10"/>
  <c r="AX7" i="10"/>
  <c r="BN7" i="10"/>
  <c r="CD7" i="10"/>
  <c r="CT7" i="10"/>
  <c r="DJ7" i="10"/>
  <c r="DZ7" i="10"/>
  <c r="P7" i="10"/>
  <c r="AF7" i="10"/>
  <c r="AV7" i="10"/>
  <c r="BL7" i="10"/>
  <c r="CB7" i="10"/>
  <c r="CR7" i="10"/>
  <c r="DH7" i="10"/>
  <c r="DX7" i="10"/>
  <c r="H7" i="10"/>
  <c r="X7" i="10"/>
  <c r="AN7" i="10"/>
  <c r="BD7" i="10"/>
  <c r="BT7" i="10"/>
  <c r="CJ7" i="10"/>
  <c r="CZ7" i="10"/>
  <c r="DP7" i="10"/>
  <c r="EF7" i="10"/>
  <c r="BC8" i="6"/>
  <c r="BC7" i="6"/>
  <c r="DL8" i="6"/>
  <c r="DL7" i="6"/>
  <c r="CK8" i="6"/>
  <c r="CK7" i="6"/>
  <c r="BI7" i="6"/>
  <c r="BI8" i="6"/>
  <c r="X8" i="6"/>
  <c r="X7" i="6"/>
  <c r="AL8" i="6"/>
  <c r="AL7" i="6"/>
  <c r="AZ8" i="6"/>
  <c r="AZ7" i="6"/>
  <c r="CC8" i="6"/>
  <c r="CC7" i="6"/>
  <c r="CQ7" i="6"/>
  <c r="CQ8" i="6"/>
  <c r="DE7" i="6"/>
  <c r="DE8" i="6"/>
  <c r="DS7" i="6"/>
  <c r="DS8" i="6"/>
  <c r="AO8" i="6"/>
  <c r="AO7" i="6"/>
  <c r="AS8" i="6"/>
  <c r="AS7" i="6"/>
  <c r="AF7" i="6"/>
  <c r="AF8" i="6"/>
  <c r="AU7" i="6"/>
  <c r="AU8" i="6"/>
  <c r="Y8" i="6"/>
  <c r="Y7" i="6"/>
  <c r="AM8" i="6"/>
  <c r="AM7" i="6"/>
  <c r="BA8" i="6"/>
  <c r="BA7" i="6"/>
  <c r="BO8" i="6"/>
  <c r="BO7" i="6"/>
  <c r="CR7" i="6"/>
  <c r="CR8" i="6"/>
  <c r="DF7" i="6"/>
  <c r="DF8" i="6"/>
  <c r="DT7" i="6"/>
  <c r="DT8" i="6"/>
  <c r="CE8" i="6"/>
  <c r="CE7" i="6"/>
  <c r="BG7" i="6"/>
  <c r="BG8" i="6"/>
  <c r="AT7" i="6"/>
  <c r="AT8" i="6"/>
  <c r="K7" i="6"/>
  <c r="K8" i="6"/>
  <c r="AN8" i="6"/>
  <c r="AN7" i="6"/>
  <c r="BB8" i="6"/>
  <c r="BB7" i="6"/>
  <c r="BP8" i="6"/>
  <c r="BP7" i="6"/>
  <c r="CS8" i="6"/>
  <c r="CS7" i="6"/>
  <c r="DG7" i="6"/>
  <c r="DG8" i="6"/>
  <c r="DU7" i="6"/>
  <c r="DU8" i="6"/>
  <c r="DV7" i="6"/>
  <c r="DV8" i="6"/>
  <c r="M7" i="6"/>
  <c r="M8" i="6"/>
  <c r="AA7" i="6"/>
  <c r="AA8" i="6"/>
  <c r="BD8" i="6"/>
  <c r="BD7" i="6"/>
  <c r="BR8" i="6"/>
  <c r="BR7" i="6"/>
  <c r="CF8" i="6"/>
  <c r="CF7" i="6"/>
  <c r="DI8" i="6"/>
  <c r="DI7" i="6"/>
  <c r="DW7" i="6"/>
  <c r="DW8" i="6"/>
  <c r="N8" i="6"/>
  <c r="N7" i="6"/>
  <c r="AB7" i="6"/>
  <c r="AB8" i="6"/>
  <c r="BE8" i="6"/>
  <c r="BE7" i="6"/>
  <c r="BS8" i="6"/>
  <c r="BS7" i="6"/>
  <c r="CG8" i="6"/>
  <c r="CG7" i="6"/>
  <c r="CU8" i="6"/>
  <c r="CU7" i="6"/>
  <c r="DX7" i="6"/>
  <c r="DX8" i="6"/>
  <c r="O7" i="6"/>
  <c r="O8" i="6"/>
  <c r="AC7" i="6"/>
  <c r="AC8" i="6"/>
  <c r="AQ7" i="6"/>
  <c r="AQ8" i="6"/>
  <c r="BT8" i="6"/>
  <c r="BT7" i="6"/>
  <c r="CH8" i="6"/>
  <c r="CH7" i="6"/>
  <c r="CV7" i="6"/>
  <c r="CV8" i="6"/>
  <c r="DY8" i="6"/>
  <c r="DY7" i="6"/>
  <c r="P7" i="6"/>
  <c r="P8" i="6"/>
  <c r="AD7" i="6"/>
  <c r="AD8" i="6"/>
  <c r="AR7" i="6"/>
  <c r="AR8" i="6"/>
  <c r="BU8" i="6"/>
  <c r="BU7" i="6"/>
  <c r="CI8" i="6"/>
  <c r="CI7" i="6"/>
  <c r="CW8" i="6"/>
  <c r="CW7" i="6"/>
  <c r="DK8" i="6"/>
  <c r="DK7" i="6"/>
  <c r="Q8" i="6"/>
  <c r="Q7" i="6"/>
  <c r="C8" i="6"/>
  <c r="C7" i="6"/>
  <c r="EA8" i="6"/>
  <c r="EA7" i="6"/>
  <c r="AG8" i="6"/>
  <c r="AG7" i="6"/>
  <c r="DN8" i="6"/>
  <c r="DN7" i="6"/>
  <c r="E8" i="6"/>
  <c r="E7" i="6"/>
  <c r="S8" i="6"/>
  <c r="S7" i="6"/>
  <c r="BJ7" i="6"/>
  <c r="BJ8" i="6"/>
  <c r="BX7" i="6"/>
  <c r="BX8" i="6"/>
  <c r="DA8" i="6"/>
  <c r="DA7" i="6"/>
  <c r="EC8" i="6"/>
  <c r="EC7" i="6"/>
  <c r="BQ8" i="6"/>
  <c r="BQ7" i="6"/>
  <c r="CZ8" i="6"/>
  <c r="CZ7" i="6"/>
  <c r="DO8" i="6"/>
  <c r="DO7" i="6"/>
  <c r="F8" i="6"/>
  <c r="F7" i="6"/>
  <c r="T8" i="6"/>
  <c r="T7" i="6"/>
  <c r="AW8" i="6"/>
  <c r="AW7" i="6"/>
  <c r="BK7" i="6"/>
  <c r="BK8" i="6"/>
  <c r="BY7" i="6"/>
  <c r="BY8" i="6"/>
  <c r="CM7" i="6"/>
  <c r="CM8" i="6"/>
  <c r="DP8" i="6"/>
  <c r="DP7" i="6"/>
  <c r="ED8" i="6"/>
  <c r="ED7" i="6"/>
  <c r="L7" i="6"/>
  <c r="L8" i="6"/>
  <c r="CX8" i="6"/>
  <c r="CX7" i="6"/>
  <c r="DM8" i="6"/>
  <c r="DM7" i="6"/>
  <c r="G8" i="6"/>
  <c r="G7" i="6"/>
  <c r="U8" i="6"/>
  <c r="U7" i="6"/>
  <c r="AI8" i="6"/>
  <c r="AI7" i="6"/>
  <c r="BL7" i="6"/>
  <c r="BL8" i="6"/>
  <c r="BZ7" i="6"/>
  <c r="BZ8" i="6"/>
  <c r="CN7" i="6"/>
  <c r="CN8" i="6"/>
  <c r="DQ8" i="6"/>
  <c r="DQ7" i="6"/>
  <c r="EE8" i="6"/>
  <c r="EE7" i="6"/>
  <c r="DH7" i="6"/>
  <c r="DH8" i="6"/>
  <c r="AE7" i="6"/>
  <c r="AE8" i="6"/>
  <c r="BH7" i="6"/>
  <c r="BH8" i="6"/>
  <c r="BW7" i="6"/>
  <c r="BW8" i="6"/>
  <c r="AV7" i="6"/>
  <c r="AV8" i="6"/>
  <c r="H8" i="6"/>
  <c r="H7" i="6"/>
  <c r="V8" i="6"/>
  <c r="V7" i="6"/>
  <c r="AJ8" i="6"/>
  <c r="AJ7" i="6"/>
  <c r="BM8" i="6"/>
  <c r="BM7" i="6"/>
  <c r="CA7" i="6"/>
  <c r="CA8" i="6"/>
  <c r="CO7" i="6"/>
  <c r="CO8" i="6"/>
  <c r="DC7" i="6"/>
  <c r="DC8" i="6"/>
  <c r="EF8" i="6"/>
  <c r="EF7" i="6"/>
  <c r="CJ8" i="6"/>
  <c r="CJ7" i="6"/>
  <c r="CY8" i="6"/>
  <c r="CY7" i="6"/>
  <c r="D8" i="6"/>
  <c r="D7" i="6"/>
  <c r="EB7" i="6"/>
  <c r="EB8" i="6"/>
  <c r="I8" i="6"/>
  <c r="I7" i="6"/>
  <c r="W8" i="6"/>
  <c r="W7" i="6"/>
  <c r="AK8" i="6"/>
  <c r="AK7" i="6"/>
  <c r="AY8" i="6"/>
  <c r="AY7" i="6"/>
  <c r="CB7" i="6"/>
  <c r="CB8" i="6"/>
  <c r="CP8" i="6"/>
  <c r="CP7" i="6"/>
  <c r="DD7" i="6"/>
  <c r="DD8" i="6"/>
  <c r="EG8" i="6"/>
  <c r="EG7" i="6"/>
  <c r="J8" i="6"/>
  <c r="Z8" i="6"/>
  <c r="AP8" i="6"/>
  <c r="BF8" i="6"/>
  <c r="BV8" i="6"/>
  <c r="CL8" i="6"/>
  <c r="DB8" i="6"/>
  <c r="DR8" i="6"/>
  <c r="AH8" i="6"/>
  <c r="R7" i="6"/>
  <c r="AX7" i="6"/>
  <c r="BN7" i="6"/>
  <c r="CD7" i="6"/>
  <c r="CT7" i="6"/>
  <c r="DJ7" i="6"/>
  <c r="DZ7" i="6"/>
  <c r="O7" i="4"/>
  <c r="O8" i="4"/>
  <c r="AC7" i="4"/>
  <c r="AC8" i="4"/>
  <c r="AQ7" i="4"/>
  <c r="AQ8" i="4"/>
  <c r="BT8" i="4"/>
  <c r="BT7" i="4"/>
  <c r="CH8" i="4"/>
  <c r="CH7" i="4"/>
  <c r="CV8" i="4"/>
  <c r="CV7" i="4"/>
  <c r="DX7" i="4"/>
  <c r="DX8" i="4"/>
  <c r="P7" i="4"/>
  <c r="P8" i="4"/>
  <c r="AD7" i="4"/>
  <c r="AD8" i="4"/>
  <c r="AR7" i="4"/>
  <c r="AR8" i="4"/>
  <c r="BU8" i="4"/>
  <c r="BU7" i="4"/>
  <c r="CI8" i="4"/>
  <c r="CI7" i="4"/>
  <c r="CW8" i="4"/>
  <c r="CW7" i="4"/>
  <c r="DK7" i="4"/>
  <c r="DK8" i="4"/>
  <c r="Q8" i="4"/>
  <c r="Q7" i="4"/>
  <c r="AE7" i="4"/>
  <c r="AE8" i="4"/>
  <c r="AS7" i="4"/>
  <c r="AS8" i="4"/>
  <c r="BG7" i="4"/>
  <c r="BG8" i="4"/>
  <c r="CJ8" i="4"/>
  <c r="CJ7" i="4"/>
  <c r="CX8" i="4"/>
  <c r="CX7" i="4"/>
  <c r="DL8" i="4"/>
  <c r="DL7" i="4"/>
  <c r="CY8" i="4"/>
  <c r="CY7" i="4"/>
  <c r="E8" i="4"/>
  <c r="E7" i="4"/>
  <c r="S7" i="4"/>
  <c r="S8" i="4"/>
  <c r="AV7" i="4"/>
  <c r="AV8" i="4"/>
  <c r="BJ7" i="4"/>
  <c r="BJ8" i="4"/>
  <c r="BX7" i="4"/>
  <c r="BX8" i="4"/>
  <c r="DA8" i="4"/>
  <c r="DA7" i="4"/>
  <c r="DO8" i="4"/>
  <c r="DO7" i="4"/>
  <c r="EA7" i="4"/>
  <c r="EA8" i="4"/>
  <c r="F8" i="4"/>
  <c r="F7" i="4"/>
  <c r="T7" i="4"/>
  <c r="T8" i="4"/>
  <c r="AW8" i="4"/>
  <c r="AW7" i="4"/>
  <c r="BK7" i="4"/>
  <c r="BK8" i="4"/>
  <c r="BY7" i="4"/>
  <c r="BY8" i="4"/>
  <c r="CM7" i="4"/>
  <c r="CM8" i="4"/>
  <c r="DP8" i="4"/>
  <c r="DP7" i="4"/>
  <c r="EB8" i="4"/>
  <c r="EB7" i="4"/>
  <c r="G8" i="4"/>
  <c r="G7" i="4"/>
  <c r="U8" i="4"/>
  <c r="U7" i="4"/>
  <c r="AI7" i="4"/>
  <c r="AI8" i="4"/>
  <c r="BL7" i="4"/>
  <c r="BL8" i="4"/>
  <c r="BZ7" i="4"/>
  <c r="BZ8" i="4"/>
  <c r="CN7" i="4"/>
  <c r="CN8" i="4"/>
  <c r="EC8" i="4"/>
  <c r="EC7" i="4"/>
  <c r="DM8" i="4"/>
  <c r="DM7" i="4"/>
  <c r="D8" i="4"/>
  <c r="D7" i="4"/>
  <c r="AG8" i="4"/>
  <c r="AG7" i="4"/>
  <c r="BI7" i="4"/>
  <c r="BI8" i="4"/>
  <c r="CZ8" i="4"/>
  <c r="CZ7" i="4"/>
  <c r="H8" i="4"/>
  <c r="H7" i="4"/>
  <c r="AJ7" i="4"/>
  <c r="AJ8" i="4"/>
  <c r="BM8" i="4"/>
  <c r="BM7" i="4"/>
  <c r="CA7" i="4"/>
  <c r="CA8" i="4"/>
  <c r="ED8" i="4"/>
  <c r="ED7" i="4"/>
  <c r="W8" i="4"/>
  <c r="W7" i="4"/>
  <c r="AY8" i="4"/>
  <c r="AY7" i="4"/>
  <c r="CB7" i="4"/>
  <c r="CB8" i="4"/>
  <c r="X8" i="4"/>
  <c r="X7" i="4"/>
  <c r="AL8" i="4"/>
  <c r="AL7" i="4"/>
  <c r="AZ8" i="4"/>
  <c r="AZ7" i="4"/>
  <c r="CC8" i="4"/>
  <c r="CC7" i="4"/>
  <c r="EF8" i="4"/>
  <c r="EF7" i="4"/>
  <c r="CK8" i="4"/>
  <c r="CK7" i="4"/>
  <c r="CO7" i="4"/>
  <c r="CO8" i="4"/>
  <c r="DD7" i="4"/>
  <c r="DD8" i="4"/>
  <c r="Y8" i="4"/>
  <c r="Y7" i="4"/>
  <c r="AM8" i="4"/>
  <c r="AM7" i="4"/>
  <c r="BA8" i="4"/>
  <c r="BA7" i="4"/>
  <c r="BO8" i="4"/>
  <c r="BO7" i="4"/>
  <c r="CR7" i="4"/>
  <c r="CR8" i="4"/>
  <c r="DF7" i="4"/>
  <c r="DF8" i="4"/>
  <c r="DS8" i="4"/>
  <c r="DS7" i="4"/>
  <c r="CP7" i="4"/>
  <c r="CP8" i="4"/>
  <c r="CQ7" i="4"/>
  <c r="CQ8" i="4"/>
  <c r="K7" i="4"/>
  <c r="K8" i="4"/>
  <c r="AN8" i="4"/>
  <c r="AN7" i="4"/>
  <c r="BB8" i="4"/>
  <c r="BB7" i="4"/>
  <c r="BP7" i="4"/>
  <c r="BP8" i="4"/>
  <c r="CS8" i="4"/>
  <c r="CS7" i="4"/>
  <c r="DG7" i="4"/>
  <c r="DG8" i="4"/>
  <c r="DT7" i="4"/>
  <c r="DT8" i="4"/>
  <c r="C7" i="4"/>
  <c r="C8" i="4"/>
  <c r="AF7" i="4"/>
  <c r="AF8" i="4"/>
  <c r="AT7" i="4"/>
  <c r="AT8" i="4"/>
  <c r="BH7" i="4"/>
  <c r="BH8" i="4"/>
  <c r="AU7" i="4"/>
  <c r="AU8" i="4"/>
  <c r="DN8" i="4"/>
  <c r="DN7" i="4"/>
  <c r="V8" i="4"/>
  <c r="V7" i="4"/>
  <c r="I8" i="4"/>
  <c r="I7" i="4"/>
  <c r="AK8" i="4"/>
  <c r="AK7" i="4"/>
  <c r="EE8" i="4"/>
  <c r="EE7" i="4"/>
  <c r="DE7" i="4"/>
  <c r="DE8" i="4"/>
  <c r="L7" i="4"/>
  <c r="L8" i="4"/>
  <c r="AO8" i="4"/>
  <c r="AO7" i="4"/>
  <c r="BC8" i="4"/>
  <c r="BC7" i="4"/>
  <c r="BQ8" i="4"/>
  <c r="BQ7" i="4"/>
  <c r="CE8" i="4"/>
  <c r="CE7" i="4"/>
  <c r="DH7" i="4"/>
  <c r="DH8" i="4"/>
  <c r="DU7" i="4"/>
  <c r="DU8" i="4"/>
  <c r="BW7" i="4"/>
  <c r="BW8" i="4"/>
  <c r="M7" i="4"/>
  <c r="M8" i="4"/>
  <c r="AA8" i="4"/>
  <c r="AA7" i="4"/>
  <c r="BD8" i="4"/>
  <c r="BD7" i="4"/>
  <c r="BR8" i="4"/>
  <c r="BR7" i="4"/>
  <c r="CF8" i="4"/>
  <c r="CF7" i="4"/>
  <c r="DI8" i="4"/>
  <c r="DI7" i="4"/>
  <c r="DV7" i="4"/>
  <c r="DV8" i="4"/>
  <c r="DC8" i="4"/>
  <c r="DC7" i="4"/>
  <c r="N7" i="4"/>
  <c r="N8" i="4"/>
  <c r="AB7" i="4"/>
  <c r="AB8" i="4"/>
  <c r="BE8" i="4"/>
  <c r="BE7" i="4"/>
  <c r="BS8" i="4"/>
  <c r="BS7" i="4"/>
  <c r="CG8" i="4"/>
  <c r="CG7" i="4"/>
  <c r="CU8" i="4"/>
  <c r="CU7" i="4"/>
  <c r="DW7" i="4"/>
  <c r="DW8" i="4"/>
  <c r="DJ8" i="4"/>
  <c r="AP7" i="4"/>
  <c r="CL7" i="4"/>
  <c r="DB7" i="4"/>
  <c r="DY7" i="4"/>
  <c r="J8" i="4"/>
  <c r="Z8" i="4"/>
  <c r="BF8" i="4"/>
  <c r="BV8" i="4"/>
  <c r="DR8" i="4"/>
  <c r="R7" i="4"/>
  <c r="AX7" i="4"/>
  <c r="BN7" i="4"/>
  <c r="CD7" i="4"/>
  <c r="CT7" i="4"/>
  <c r="DZ7" i="4"/>
  <c r="AR8" i="1"/>
  <c r="AR7" i="1"/>
  <c r="AS8" i="1"/>
  <c r="AS7" i="1"/>
  <c r="BW7" i="2"/>
  <c r="BW8" i="2"/>
  <c r="M7" i="1"/>
  <c r="M8" i="1"/>
  <c r="BP7" i="1"/>
  <c r="BP8" i="1"/>
  <c r="AI8" i="2"/>
  <c r="AI7" i="2"/>
  <c r="EE7" i="2"/>
  <c r="EE8" i="2"/>
  <c r="V8" i="1"/>
  <c r="V7" i="1"/>
  <c r="BY8" i="1"/>
  <c r="BY7" i="1"/>
  <c r="CU7" i="1"/>
  <c r="CU8" i="1"/>
  <c r="EB7" i="1"/>
  <c r="EB8" i="1"/>
  <c r="AJ8" i="1"/>
  <c r="AJ7" i="1"/>
  <c r="CL8" i="1"/>
  <c r="CL7" i="1"/>
  <c r="DS8" i="1"/>
  <c r="DS7" i="1"/>
  <c r="Z7" i="2"/>
  <c r="Z8" i="2"/>
  <c r="BN8" i="2"/>
  <c r="BN7" i="2"/>
  <c r="AC8" i="3"/>
  <c r="AC7" i="3"/>
  <c r="AM7" i="3"/>
  <c r="AM8" i="3"/>
  <c r="CJ7" i="3"/>
  <c r="CJ8" i="3"/>
  <c r="CT8" i="3"/>
  <c r="CT7" i="3"/>
  <c r="BE7" i="3"/>
  <c r="BE8" i="3"/>
  <c r="CV8" i="1"/>
  <c r="CV7" i="1"/>
  <c r="AI7" i="1"/>
  <c r="AI8" i="1"/>
  <c r="D8" i="1"/>
  <c r="D7" i="1"/>
  <c r="CM8" i="1"/>
  <c r="CM7" i="1"/>
  <c r="Q8" i="2"/>
  <c r="Q7" i="2"/>
  <c r="CA8" i="3"/>
  <c r="CA7" i="3"/>
  <c r="CU7" i="3"/>
  <c r="CU8" i="3"/>
  <c r="AA8" i="1"/>
  <c r="AA7" i="1"/>
  <c r="DR7" i="3"/>
  <c r="DR8" i="3"/>
  <c r="CD8" i="1"/>
  <c r="CD7" i="1"/>
  <c r="AX7" i="1"/>
  <c r="AX8" i="1"/>
  <c r="CL7" i="2"/>
  <c r="CL8" i="2"/>
  <c r="DI7" i="3"/>
  <c r="DI8" i="3"/>
  <c r="ED7" i="3"/>
  <c r="ED8" i="3"/>
  <c r="H7" i="2"/>
  <c r="H8" i="2"/>
  <c r="AV8" i="2"/>
  <c r="AV7" i="2"/>
  <c r="DJ7" i="5"/>
  <c r="DJ8" i="5"/>
  <c r="AM8" i="2"/>
  <c r="AM7" i="2"/>
  <c r="DV8" i="1"/>
  <c r="DV7" i="1"/>
  <c r="CU7" i="2"/>
  <c r="CU8" i="2"/>
  <c r="G8" i="1"/>
  <c r="G7" i="1"/>
  <c r="R8" i="1"/>
  <c r="R7" i="1"/>
  <c r="DW7" i="1"/>
  <c r="DW8" i="1"/>
  <c r="CC7" i="2"/>
  <c r="CC8" i="2"/>
  <c r="DZ7" i="2"/>
  <c r="DZ8" i="2"/>
  <c r="W7" i="3"/>
  <c r="W8" i="3"/>
  <c r="Z8" i="1"/>
  <c r="Z7" i="1"/>
  <c r="BG8" i="1"/>
  <c r="BG7" i="1"/>
  <c r="EE8" i="1"/>
  <c r="EE7" i="1"/>
  <c r="BE7" i="2"/>
  <c r="BE8" i="2"/>
  <c r="CQ7" i="1"/>
  <c r="CQ8" i="1"/>
  <c r="DM8" i="1"/>
  <c r="DM7" i="1"/>
  <c r="K7" i="2"/>
  <c r="K8" i="2"/>
  <c r="DQ8" i="2"/>
  <c r="DQ7" i="2"/>
  <c r="DJ8" i="1"/>
  <c r="DJ7" i="1"/>
  <c r="BS8" i="1"/>
  <c r="BS7" i="1"/>
  <c r="BJ7" i="3"/>
  <c r="BJ8" i="3"/>
  <c r="BJ8" i="1"/>
  <c r="BJ7" i="1"/>
  <c r="BK7" i="1"/>
  <c r="BK8" i="1"/>
  <c r="DN8" i="1"/>
  <c r="DN7" i="1"/>
  <c r="BT7" i="2"/>
  <c r="BT8" i="2"/>
  <c r="DH7" i="2"/>
  <c r="DH8" i="2"/>
  <c r="N7" i="3"/>
  <c r="N8" i="3"/>
  <c r="DK7" i="3"/>
  <c r="DK8" i="3"/>
  <c r="AE7" i="1"/>
  <c r="AE8" i="1"/>
  <c r="BA7" i="1"/>
  <c r="BA8" i="1"/>
  <c r="CY8" i="2"/>
  <c r="CY7" i="2"/>
  <c r="BB8" i="1"/>
  <c r="BB7" i="1"/>
  <c r="CH8" i="1"/>
  <c r="CH7" i="1"/>
  <c r="DD8" i="1"/>
  <c r="DD7" i="1"/>
  <c r="BK8" i="2"/>
  <c r="BK7" i="2"/>
  <c r="E8" i="3"/>
  <c r="E7" i="3"/>
  <c r="DM7" i="3"/>
  <c r="DM8" i="3"/>
  <c r="DE7" i="1"/>
  <c r="DE8" i="1"/>
  <c r="F7" i="3"/>
  <c r="F8" i="3"/>
  <c r="AU8" i="3"/>
  <c r="AU7" i="3"/>
  <c r="DC8" i="3"/>
  <c r="DC7" i="3"/>
  <c r="BT7" i="1"/>
  <c r="DX8" i="1"/>
  <c r="AC7" i="2"/>
  <c r="AE8" i="2"/>
  <c r="DR8" i="2"/>
  <c r="AY7" i="3"/>
  <c r="AY8" i="3"/>
  <c r="BR8" i="3"/>
  <c r="BR7" i="3"/>
  <c r="AS7" i="3"/>
  <c r="BU7" i="3"/>
  <c r="DE8" i="3"/>
  <c r="S7" i="1"/>
  <c r="AK7" i="1"/>
  <c r="BC7" i="1"/>
  <c r="BU7" i="1"/>
  <c r="DY8" i="1"/>
  <c r="AD8" i="2"/>
  <c r="AD7" i="2"/>
  <c r="CK7" i="3"/>
  <c r="CK8" i="3"/>
  <c r="O7" i="3"/>
  <c r="O8" i="3"/>
  <c r="AH7" i="3"/>
  <c r="AH8" i="3"/>
  <c r="BA8" i="3"/>
  <c r="BA7" i="3"/>
  <c r="Y7" i="3"/>
  <c r="DG8" i="3"/>
  <c r="EB7" i="2"/>
  <c r="EB8" i="2"/>
  <c r="CZ8" i="2"/>
  <c r="BZ7" i="5"/>
  <c r="BZ8" i="5"/>
  <c r="BN7" i="5"/>
  <c r="BN8" i="5"/>
  <c r="DA8" i="2"/>
  <c r="EG14" i="4"/>
  <c r="J8" i="5"/>
  <c r="J7" i="5"/>
  <c r="V8" i="5"/>
  <c r="V7" i="5"/>
  <c r="AG8" i="5"/>
  <c r="AG7" i="5"/>
  <c r="AQ8" i="5"/>
  <c r="AQ7" i="5"/>
  <c r="CY7" i="5"/>
  <c r="CY8" i="5"/>
  <c r="DW8" i="5"/>
  <c r="DW7" i="5"/>
  <c r="N7" i="2"/>
  <c r="W7" i="5"/>
  <c r="W8" i="5"/>
  <c r="AH7" i="5"/>
  <c r="AH8" i="5"/>
  <c r="BC8" i="5"/>
  <c r="BC7" i="5"/>
  <c r="CA7" i="5"/>
  <c r="CA8" i="5"/>
  <c r="CN8" i="5"/>
  <c r="CN7" i="5"/>
  <c r="I7" i="5"/>
  <c r="E7" i="7"/>
  <c r="E8" i="7"/>
  <c r="EH24" i="4"/>
  <c r="EG24" i="4"/>
  <c r="L7" i="2"/>
  <c r="DO7" i="3"/>
  <c r="DO8" i="3"/>
  <c r="BG8" i="2"/>
  <c r="EH24" i="3"/>
  <c r="EG24" i="3"/>
  <c r="EH19" i="4"/>
  <c r="BP8" i="5"/>
  <c r="BP7" i="5"/>
  <c r="DA7" i="5"/>
  <c r="DA8" i="5"/>
  <c r="DY7" i="5"/>
  <c r="DY8" i="5"/>
  <c r="DE8" i="2"/>
  <c r="S8" i="3"/>
  <c r="S7" i="3"/>
  <c r="I7" i="3"/>
  <c r="AG7" i="3"/>
  <c r="CC7" i="3"/>
  <c r="EH22" i="3"/>
  <c r="EG22" i="3"/>
  <c r="Y8" i="5"/>
  <c r="Y7" i="5"/>
  <c r="AJ8" i="5"/>
  <c r="AJ7" i="5"/>
  <c r="AT8" i="5"/>
  <c r="AT7" i="5"/>
  <c r="CD7" i="5"/>
  <c r="CD8" i="5"/>
  <c r="CP8" i="5"/>
  <c r="CP7" i="5"/>
  <c r="DB8" i="5"/>
  <c r="DB7" i="5"/>
  <c r="DZ7" i="5"/>
  <c r="DZ8" i="5"/>
  <c r="CL8" i="5"/>
  <c r="CL7" i="5"/>
  <c r="BF8" i="2"/>
  <c r="BZ8" i="2"/>
  <c r="BZ7" i="2"/>
  <c r="CF8" i="2"/>
  <c r="Q8" i="1"/>
  <c r="BQ7" i="2"/>
  <c r="BQ8" i="2"/>
  <c r="O7" i="2"/>
  <c r="CG8" i="2"/>
  <c r="L8" i="5"/>
  <c r="L7" i="5"/>
  <c r="AN8" i="2"/>
  <c r="CX7" i="3"/>
  <c r="CX8" i="3"/>
  <c r="H7" i="3"/>
  <c r="CB7" i="3"/>
  <c r="DD7" i="3"/>
  <c r="BS8" i="3"/>
  <c r="EH14" i="3"/>
  <c r="EG12" i="4"/>
  <c r="H7" i="1"/>
  <c r="EF7" i="1"/>
  <c r="CT7" i="2"/>
  <c r="CT8" i="2"/>
  <c r="R7" i="2"/>
  <c r="CI7" i="2"/>
  <c r="EA7" i="2"/>
  <c r="T8" i="2"/>
  <c r="AO8" i="2"/>
  <c r="CJ8" i="2"/>
  <c r="EA7" i="3"/>
  <c r="DP8" i="3"/>
  <c r="EH15" i="3"/>
  <c r="I7" i="1"/>
  <c r="BL7" i="1"/>
  <c r="CE7" i="1"/>
  <c r="CW7" i="1"/>
  <c r="DO7" i="1"/>
  <c r="BJ8" i="2"/>
  <c r="BJ7" i="2"/>
  <c r="ED7" i="2"/>
  <c r="U8" i="2"/>
  <c r="AP8" i="2"/>
  <c r="BO8" i="2"/>
  <c r="CK8" i="2"/>
  <c r="N8" i="5"/>
  <c r="N7" i="5"/>
  <c r="BF8" i="5"/>
  <c r="BF7" i="5"/>
  <c r="DL7" i="5"/>
  <c r="BQ8" i="5"/>
  <c r="BT7" i="3"/>
  <c r="BT8" i="3"/>
  <c r="EH19" i="3"/>
  <c r="AF8" i="5"/>
  <c r="AF7" i="5"/>
  <c r="CX7" i="5"/>
  <c r="CX8" i="5"/>
  <c r="M8" i="2"/>
  <c r="AJ8" i="3"/>
  <c r="AJ7" i="3"/>
  <c r="DX7" i="3"/>
  <c r="J7" i="1"/>
  <c r="AB7" i="1"/>
  <c r="AT7" i="1"/>
  <c r="BN7" i="1"/>
  <c r="CF7" i="1"/>
  <c r="CX7" i="1"/>
  <c r="DP7" i="1"/>
  <c r="CC8" i="1"/>
  <c r="DQ8" i="1"/>
  <c r="DM7" i="2"/>
  <c r="DM8" i="2"/>
  <c r="V8" i="2"/>
  <c r="BP8" i="2"/>
  <c r="EF8" i="2"/>
  <c r="CG7" i="3"/>
  <c r="CG8" i="3"/>
  <c r="AL7" i="3"/>
  <c r="EF7" i="3"/>
  <c r="AW8" i="3"/>
  <c r="EH20" i="3"/>
  <c r="EG20" i="3"/>
  <c r="EH14" i="4"/>
  <c r="DN7" i="5"/>
  <c r="Q7" i="3"/>
  <c r="Q8" i="3"/>
  <c r="BC7" i="3"/>
  <c r="BC8" i="3"/>
  <c r="BH7" i="2"/>
  <c r="AV8" i="3"/>
  <c r="AV7" i="3"/>
  <c r="DS7" i="3"/>
  <c r="DS8" i="3"/>
  <c r="CL7" i="3"/>
  <c r="C8" i="3"/>
  <c r="EH13" i="3"/>
  <c r="EG13" i="3"/>
  <c r="EH20" i="4"/>
  <c r="O8" i="5"/>
  <c r="O7" i="5"/>
  <c r="DZ7" i="3"/>
  <c r="BB8" i="3"/>
  <c r="CV8" i="3"/>
  <c r="BB7" i="5"/>
  <c r="AC7" i="1"/>
  <c r="CI7" i="1"/>
  <c r="BM8" i="1"/>
  <c r="DU8" i="1"/>
  <c r="X7" i="2"/>
  <c r="D8" i="2"/>
  <c r="Y8" i="2"/>
  <c r="AX8" i="2"/>
  <c r="CO8" i="2"/>
  <c r="DN8" i="2"/>
  <c r="P7" i="3"/>
  <c r="BL7" i="3"/>
  <c r="EH18" i="3"/>
  <c r="EH12" i="4"/>
  <c r="BE7" i="5"/>
  <c r="CH7" i="2"/>
  <c r="BR8" i="2"/>
  <c r="DT8" i="1"/>
  <c r="AB7" i="2"/>
  <c r="AB8" i="2"/>
  <c r="DA8" i="3"/>
  <c r="EG13" i="4"/>
  <c r="DK7" i="2"/>
  <c r="DK8" i="2"/>
  <c r="EG17" i="3"/>
  <c r="AV7" i="1"/>
  <c r="BO7" i="1"/>
  <c r="CG7" i="1"/>
  <c r="CY7" i="1"/>
  <c r="W8" i="2"/>
  <c r="DI8" i="2"/>
  <c r="DR7" i="1"/>
  <c r="AS7" i="2"/>
  <c r="AS8" i="2"/>
  <c r="BL7" i="2"/>
  <c r="BL8" i="2"/>
  <c r="DJ7" i="2"/>
  <c r="C8" i="2"/>
  <c r="DA7" i="1"/>
  <c r="CJ7" i="1"/>
  <c r="DB7" i="1"/>
  <c r="AU8" i="1"/>
  <c r="DC8" i="1"/>
  <c r="AU7" i="2"/>
  <c r="AU8" i="2"/>
  <c r="AW7" i="2"/>
  <c r="E8" i="2"/>
  <c r="AY8" i="2"/>
  <c r="BU8" i="2"/>
  <c r="CQ8" i="2"/>
  <c r="DO8" i="2"/>
  <c r="CI7" i="3"/>
  <c r="CI8" i="3"/>
  <c r="DB7" i="3"/>
  <c r="DB8" i="3"/>
  <c r="BO7" i="3"/>
  <c r="EG15" i="3"/>
  <c r="CP7" i="2"/>
  <c r="DP7" i="2"/>
  <c r="AA8" i="2"/>
  <c r="BA8" i="2"/>
  <c r="CR8" i="2"/>
  <c r="AF8" i="3"/>
  <c r="AF7" i="3"/>
  <c r="U7" i="3"/>
  <c r="AE8" i="3"/>
  <c r="CD8" i="3"/>
  <c r="BR7" i="5"/>
  <c r="EG16" i="4"/>
  <c r="AO8" i="5"/>
  <c r="AO7" i="5"/>
  <c r="BK8" i="5"/>
  <c r="BK7" i="5"/>
  <c r="BX8" i="5"/>
  <c r="BX7" i="5"/>
  <c r="DT7" i="5"/>
  <c r="DT8" i="5"/>
  <c r="CR8" i="5"/>
  <c r="EH21" i="4"/>
  <c r="BL7" i="5"/>
  <c r="BL8" i="5"/>
  <c r="CK7" i="5"/>
  <c r="CK8" i="5"/>
  <c r="CW7" i="5"/>
  <c r="CW8" i="5"/>
  <c r="DH7" i="5"/>
  <c r="DH8" i="5"/>
  <c r="EE8" i="5"/>
  <c r="EE7" i="5"/>
  <c r="CV7" i="5"/>
  <c r="CS8" i="5"/>
  <c r="U7" i="5"/>
  <c r="U8" i="5"/>
  <c r="BM8" i="5"/>
  <c r="BM7" i="5"/>
  <c r="DI8" i="5"/>
  <c r="DI7" i="5"/>
  <c r="DU8" i="5"/>
  <c r="DU7" i="5"/>
  <c r="AZ7" i="5"/>
  <c r="AE8" i="5"/>
  <c r="EH17" i="4"/>
  <c r="EH22" i="4"/>
  <c r="EG22" i="4"/>
  <c r="AS8" i="5"/>
  <c r="AS7" i="5"/>
  <c r="CC8" i="5"/>
  <c r="CC7" i="5"/>
  <c r="EH15" i="4"/>
  <c r="EG15" i="4"/>
  <c r="EG20" i="4"/>
  <c r="BG8" i="5"/>
  <c r="BG7" i="5"/>
  <c r="CF7" i="5"/>
  <c r="CF8" i="5"/>
  <c r="CQ7" i="5"/>
  <c r="CQ8" i="5"/>
  <c r="DC7" i="5"/>
  <c r="DC8" i="5"/>
  <c r="DO8" i="5"/>
  <c r="DO7" i="5"/>
  <c r="CG7" i="5"/>
  <c r="CG8" i="5"/>
  <c r="EG18" i="3"/>
  <c r="EH13" i="4"/>
  <c r="D7" i="5"/>
  <c r="D8" i="5"/>
  <c r="AB8" i="5"/>
  <c r="AB7" i="5"/>
  <c r="AV7" i="5"/>
  <c r="AV8" i="5"/>
  <c r="EB7" i="5"/>
  <c r="EB8" i="5"/>
  <c r="EE8" i="3"/>
  <c r="BP8" i="3"/>
  <c r="EG16" i="3"/>
  <c r="EG18" i="4"/>
  <c r="EH23" i="4"/>
  <c r="E7" i="5"/>
  <c r="E8" i="5"/>
  <c r="Q8" i="5"/>
  <c r="Q7" i="5"/>
  <c r="AM8" i="5"/>
  <c r="AM7" i="5"/>
  <c r="BI8" i="5"/>
  <c r="BI7" i="5"/>
  <c r="CT7" i="5"/>
  <c r="CT8" i="5"/>
  <c r="DE8" i="5"/>
  <c r="DE7" i="5"/>
  <c r="AD7" i="5"/>
  <c r="CI8" i="5"/>
  <c r="R7" i="5"/>
  <c r="R8" i="5"/>
  <c r="AX8" i="5"/>
  <c r="AX7" i="5"/>
  <c r="DR8" i="5"/>
  <c r="DR7" i="5"/>
  <c r="EG23" i="3"/>
  <c r="G7" i="5"/>
  <c r="AA7" i="5"/>
  <c r="BS7" i="5"/>
  <c r="EG17" i="4"/>
  <c r="EG19" i="4"/>
  <c r="EG21" i="4"/>
  <c r="EG23" i="4"/>
  <c r="BD7" i="5"/>
  <c r="BA8" i="5"/>
  <c r="G8" i="7"/>
  <c r="G7" i="7"/>
  <c r="BH8" i="7"/>
  <c r="BH7" i="7"/>
  <c r="CB7" i="5"/>
  <c r="CB8" i="5"/>
  <c r="DM7" i="5"/>
  <c r="DM8" i="5"/>
  <c r="AL7" i="5"/>
  <c r="S7" i="5"/>
  <c r="AN7" i="5"/>
  <c r="CE7" i="5"/>
  <c r="CZ7" i="5"/>
  <c r="EA8" i="5"/>
  <c r="DD8" i="5"/>
  <c r="CJ8" i="5"/>
  <c r="AU8" i="5"/>
  <c r="AU7" i="5"/>
  <c r="AR7" i="5"/>
  <c r="BO7" i="5"/>
  <c r="EG6" i="5" a="1"/>
  <c r="EG6" i="5" s="1"/>
  <c r="P8" i="7"/>
  <c r="P7" i="7"/>
  <c r="EF7" i="7"/>
  <c r="EF8" i="7"/>
  <c r="DN8" i="7"/>
  <c r="DN7" i="7"/>
  <c r="DD8" i="7"/>
  <c r="DD7" i="7"/>
  <c r="U7" i="7"/>
  <c r="U8" i="7"/>
  <c r="AG7" i="7"/>
  <c r="AG8" i="7"/>
  <c r="BD7" i="7"/>
  <c r="BD8" i="7"/>
  <c r="DF8" i="7"/>
  <c r="DF7" i="7"/>
  <c r="BQ8" i="7"/>
  <c r="N8" i="7"/>
  <c r="N7" i="7"/>
  <c r="X8" i="7"/>
  <c r="X7" i="7"/>
  <c r="D7" i="7"/>
  <c r="D8" i="7"/>
  <c r="AJ7" i="7"/>
  <c r="AJ8" i="7"/>
  <c r="AH8" i="7"/>
  <c r="AH7" i="7"/>
  <c r="AT8" i="7"/>
  <c r="AT7" i="7"/>
  <c r="CV7" i="7"/>
  <c r="CV8" i="7"/>
  <c r="O7" i="7"/>
  <c r="O8" i="7"/>
  <c r="CF8" i="7"/>
  <c r="CF7" i="7"/>
  <c r="BS7" i="7"/>
  <c r="AN8" i="7"/>
  <c r="AN7" i="7"/>
  <c r="BU7" i="7"/>
  <c r="BU8" i="7"/>
  <c r="CG7" i="7"/>
  <c r="CG8" i="7"/>
  <c r="CQ8" i="7"/>
  <c r="CQ7" i="7"/>
  <c r="DW7" i="7"/>
  <c r="DW8" i="7"/>
  <c r="DX8" i="7"/>
  <c r="DX7" i="7"/>
  <c r="AE7" i="7"/>
  <c r="AE8" i="7"/>
  <c r="AP8" i="7"/>
  <c r="AP7" i="7"/>
  <c r="BB7" i="7"/>
  <c r="BB8" i="7"/>
  <c r="V8" i="7"/>
  <c r="DY7" i="7"/>
  <c r="DY8" i="7"/>
  <c r="AF7" i="7"/>
  <c r="AF8" i="7"/>
  <c r="BM7" i="7"/>
  <c r="BM8" i="7"/>
  <c r="DE8" i="7"/>
  <c r="DE7" i="7"/>
  <c r="DO7" i="7"/>
  <c r="DO8" i="7"/>
  <c r="M7" i="7"/>
  <c r="M8" i="7"/>
  <c r="W8" i="7"/>
  <c r="W7" i="7"/>
  <c r="BL8" i="7"/>
  <c r="BL7" i="7"/>
  <c r="F7" i="7"/>
  <c r="BC8" i="7"/>
  <c r="BC7" i="7"/>
  <c r="BV8" i="7"/>
  <c r="BV7" i="7"/>
  <c r="Y8" i="7"/>
  <c r="Y7" i="7"/>
  <c r="AU7" i="7"/>
  <c r="AU8" i="7"/>
  <c r="DP7" i="7"/>
  <c r="DP8" i="7"/>
  <c r="Z7" i="7"/>
  <c r="Z8" i="7"/>
  <c r="BF8" i="7"/>
  <c r="BF7" i="7"/>
  <c r="BP7" i="7"/>
  <c r="BP8" i="7"/>
  <c r="CL7" i="7"/>
  <c r="CL8" i="7"/>
  <c r="Q7" i="7"/>
  <c r="Q8" i="7"/>
  <c r="CA8" i="7"/>
  <c r="CA7" i="7"/>
  <c r="CW7" i="7"/>
  <c r="CW8" i="7"/>
  <c r="CB8" i="7"/>
  <c r="CB7" i="7"/>
  <c r="DR7" i="7"/>
  <c r="DR8" i="7"/>
  <c r="EC7" i="7"/>
  <c r="EC8" i="7"/>
  <c r="AM7" i="7"/>
  <c r="AM8" i="7"/>
  <c r="CD7" i="7"/>
  <c r="CD8" i="7"/>
  <c r="AQ7" i="7"/>
  <c r="U8" i="8"/>
  <c r="U7" i="8"/>
  <c r="BY8" i="8"/>
  <c r="BY7" i="8"/>
  <c r="CI7" i="8"/>
  <c r="CI8" i="8"/>
  <c r="CU7" i="8"/>
  <c r="CU8" i="8"/>
  <c r="ED8" i="8"/>
  <c r="ED7" i="8"/>
  <c r="BK8" i="7"/>
  <c r="BK7" i="7"/>
  <c r="DV8" i="7"/>
  <c r="DV7" i="7"/>
  <c r="AY7" i="7"/>
  <c r="AU8" i="8"/>
  <c r="AU7" i="8"/>
  <c r="AX7" i="7"/>
  <c r="AX8" i="7"/>
  <c r="BZ8" i="7"/>
  <c r="BZ7" i="7"/>
  <c r="AZ8" i="7"/>
  <c r="AZ7" i="7"/>
  <c r="BI8" i="7"/>
  <c r="BI7" i="7"/>
  <c r="CC8" i="7"/>
  <c r="CC7" i="7"/>
  <c r="CM8" i="7"/>
  <c r="CM7" i="7"/>
  <c r="T7" i="7"/>
  <c r="DQ8" i="7"/>
  <c r="DQ7" i="7"/>
  <c r="EA8" i="7"/>
  <c r="EA7" i="7"/>
  <c r="L8" i="7"/>
  <c r="L7" i="7"/>
  <c r="BA7" i="7"/>
  <c r="BA8" i="7"/>
  <c r="CT8" i="7"/>
  <c r="CT7" i="7"/>
  <c r="CX7" i="7"/>
  <c r="CX8" i="7"/>
  <c r="R7" i="8"/>
  <c r="R8" i="8"/>
  <c r="AD8" i="8"/>
  <c r="AD7" i="8"/>
  <c r="S7" i="8"/>
  <c r="S8" i="8"/>
  <c r="CH7" i="8"/>
  <c r="CH8" i="8"/>
  <c r="DD8" i="8"/>
  <c r="DD7" i="8"/>
  <c r="AI8" i="7"/>
  <c r="AI7" i="7"/>
  <c r="CY8" i="7"/>
  <c r="CY7" i="7"/>
  <c r="BM8" i="8"/>
  <c r="BM7" i="8"/>
  <c r="CH7" i="7"/>
  <c r="CH8" i="7"/>
  <c r="CO8" i="7"/>
  <c r="I8" i="8"/>
  <c r="I7" i="8"/>
  <c r="V7" i="8"/>
  <c r="V8" i="8"/>
  <c r="BD7" i="8"/>
  <c r="BD8" i="8"/>
  <c r="BN7" i="8"/>
  <c r="BN8" i="8"/>
  <c r="BZ8" i="8"/>
  <c r="BZ7" i="8"/>
  <c r="DR8" i="8"/>
  <c r="DR7" i="8"/>
  <c r="EE7" i="8"/>
  <c r="EE8" i="8"/>
  <c r="I7" i="7"/>
  <c r="I8" i="7"/>
  <c r="AK7" i="7"/>
  <c r="AK8" i="7"/>
  <c r="BE7" i="7"/>
  <c r="J8" i="8"/>
  <c r="J7" i="8"/>
  <c r="AS8" i="8"/>
  <c r="AS7" i="8"/>
  <c r="BO7" i="8"/>
  <c r="BO8" i="8"/>
  <c r="BX8" i="7"/>
  <c r="BX7" i="7"/>
  <c r="DA7" i="7"/>
  <c r="DA8" i="7"/>
  <c r="DT7" i="7"/>
  <c r="DT8" i="7"/>
  <c r="BO8" i="7"/>
  <c r="EB8" i="7"/>
  <c r="CS8" i="7"/>
  <c r="CS7" i="7"/>
  <c r="CP7" i="7"/>
  <c r="AC8" i="7"/>
  <c r="CZ8" i="7"/>
  <c r="BQ7" i="8"/>
  <c r="BQ8" i="8"/>
  <c r="AI7" i="8"/>
  <c r="AI8" i="8"/>
  <c r="BE7" i="8"/>
  <c r="BE8" i="8"/>
  <c r="DH8" i="8"/>
  <c r="DH7" i="8"/>
  <c r="EF7" i="8"/>
  <c r="EF8" i="8"/>
  <c r="K8" i="8"/>
  <c r="K7" i="8"/>
  <c r="CA8" i="8"/>
  <c r="CA7" i="8"/>
  <c r="DI8" i="8"/>
  <c r="DI7" i="8"/>
  <c r="AK8" i="8"/>
  <c r="AK7" i="8"/>
  <c r="BR8" i="8"/>
  <c r="BR7" i="8"/>
  <c r="CL8" i="8"/>
  <c r="CL7" i="8"/>
  <c r="Z8" i="8"/>
  <c r="Z7" i="8"/>
  <c r="AL7" i="8"/>
  <c r="AL8" i="8"/>
  <c r="AW8" i="8"/>
  <c r="AW7" i="8"/>
  <c r="AV7" i="8"/>
  <c r="BC7" i="8"/>
  <c r="BC8" i="8"/>
  <c r="CT7" i="8"/>
  <c r="CT8" i="8"/>
  <c r="EC7" i="8"/>
  <c r="EC8" i="8"/>
  <c r="AM7" i="8"/>
  <c r="AM8" i="8"/>
  <c r="BG8" i="8"/>
  <c r="BG7" i="8"/>
  <c r="CC8" i="8"/>
  <c r="CC7" i="8"/>
  <c r="P8" i="8"/>
  <c r="P7" i="8"/>
  <c r="AB8" i="8"/>
  <c r="AB7" i="8"/>
  <c r="AN7" i="8"/>
  <c r="AN8" i="8"/>
  <c r="CY7" i="8"/>
  <c r="CY8" i="8"/>
  <c r="DV8" i="8"/>
  <c r="DV7" i="8"/>
  <c r="G7" i="8"/>
  <c r="G8" i="8"/>
  <c r="AC7" i="8"/>
  <c r="AC8" i="8"/>
  <c r="AX7" i="8"/>
  <c r="AX8" i="8"/>
  <c r="BH8" i="8"/>
  <c r="BH7" i="8"/>
  <c r="AO7" i="8"/>
  <c r="BI8" i="8"/>
  <c r="BI7" i="8"/>
  <c r="CE7" i="8"/>
  <c r="CE8" i="8"/>
  <c r="CO7" i="8"/>
  <c r="CO8" i="8"/>
  <c r="DM8" i="8"/>
  <c r="DM7" i="8"/>
  <c r="DX8" i="8"/>
  <c r="DX7" i="8"/>
  <c r="DN7" i="8"/>
  <c r="DN8" i="8"/>
  <c r="F8" i="8"/>
  <c r="T8" i="8"/>
  <c r="T7" i="8"/>
  <c r="DB8" i="8"/>
  <c r="DB7" i="8"/>
  <c r="BL8" i="8"/>
  <c r="BL7" i="8"/>
  <c r="DC8" i="8"/>
  <c r="DC7" i="8"/>
  <c r="BF8" i="8"/>
  <c r="BF7" i="8"/>
  <c r="DE8" i="8"/>
  <c r="DE7" i="8"/>
  <c r="AE7" i="8"/>
  <c r="AE8" i="8"/>
  <c r="DT8" i="8"/>
  <c r="DT7" i="8"/>
  <c r="DK7" i="8"/>
  <c r="DK8" i="8"/>
  <c r="DU8" i="8"/>
  <c r="DU7" i="8"/>
  <c r="W7" i="8"/>
  <c r="W8" i="8"/>
  <c r="BU8" i="8"/>
  <c r="BU7" i="8"/>
  <c r="CP8" i="8"/>
  <c r="CP7" i="8"/>
  <c r="BV8" i="8"/>
  <c r="BV7" i="8"/>
  <c r="DL8" i="8"/>
  <c r="DL7" i="8"/>
  <c r="M8" i="8"/>
  <c r="M7" i="8"/>
  <c r="AR8" i="8"/>
  <c r="AR7" i="8"/>
  <c r="CR8" i="8"/>
  <c r="CR7" i="8"/>
  <c r="DW8" i="8"/>
  <c r="DW7" i="8"/>
  <c r="E8" i="8"/>
  <c r="E7" i="8"/>
  <c r="BX8" i="8"/>
  <c r="BX7" i="8"/>
  <c r="DY8" i="8"/>
  <c r="DY7" i="8"/>
  <c r="H7" i="8"/>
  <c r="H8" i="8"/>
  <c r="Q8" i="8"/>
  <c r="Q7" i="8"/>
  <c r="AA8" i="8"/>
  <c r="AA7" i="8"/>
  <c r="BW8" i="8"/>
  <c r="BW7" i="8"/>
  <c r="CG8" i="8"/>
  <c r="CG7" i="8"/>
  <c r="DS8" i="8"/>
  <c r="DS7" i="8"/>
  <c r="D8" i="8"/>
  <c r="D7" i="8"/>
  <c r="AP8" i="8"/>
  <c r="AP7" i="8"/>
  <c r="CV8" i="8"/>
  <c r="CV7" i="8"/>
  <c r="X7" i="8"/>
  <c r="X8" i="8"/>
  <c r="BJ8" i="8"/>
  <c r="BJ7" i="8"/>
  <c r="DF8" i="8"/>
  <c r="DF7" i="8"/>
  <c r="N8" i="8"/>
  <c r="N7" i="8"/>
  <c r="AG8" i="8"/>
  <c r="AG7" i="8"/>
  <c r="AQ8" i="8"/>
  <c r="AQ7" i="8"/>
  <c r="CD7" i="8"/>
  <c r="CD8" i="8"/>
  <c r="CM8" i="8"/>
  <c r="CM7" i="8"/>
  <c r="DG8" i="8"/>
  <c r="DG7" i="8"/>
  <c r="EA7" i="8"/>
  <c r="EA8" i="8"/>
  <c r="CZ8" i="8"/>
  <c r="AH7" i="8"/>
  <c r="AH8" i="8"/>
  <c r="DQ8" i="8"/>
  <c r="DQ7" i="8"/>
  <c r="CS8" i="8"/>
  <c r="CS7" i="8"/>
  <c r="CF7" i="8"/>
  <c r="DJ8" i="8"/>
  <c r="BP8" i="8"/>
  <c r="BP7" i="8"/>
  <c r="DO8" i="8"/>
  <c r="L7" i="8"/>
  <c r="EG8" i="1" l="1"/>
  <c r="EG8" i="3"/>
  <c r="EG8" i="7"/>
  <c r="EG7" i="7"/>
  <c r="EG8" i="5"/>
  <c r="EG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<sst xmlns="http://schemas.openxmlformats.org/spreadsheetml/2006/main" count="3129" uniqueCount="170">
  <si>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</si>
  <si>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</si>
  <si>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</si>
  <si>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</si>
  <si>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</si>
  <si>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</si>
  <si>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</si>
  <si>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</si>
  <si>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</si>
  <si>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</si>
  <si>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</si>
  <si>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</si>
  <si>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</si>
  <si>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</si>
  <si>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</si>
  <si>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</si>
  <si>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</si>
  <si>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</si>
  <si>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</si>
  <si>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</si>
  <si>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</si>
  <si>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</si>
  <si>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</si>
  <si>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</si>
  <si>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</si>
  <si>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</si>
  <si>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</si>
  <si>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</si>
  <si>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</si>
  <si>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</si>
  <si>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</si>
  <si>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</si>
  <si>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</si>
  <si>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</si>
  <si>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</si>
  <si>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</si>
  <si>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</si>
  <si>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</si>
  <si>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</si>
  <si>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</si>
  <si>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</si>
  <si>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</si>
  <si>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</si>
  <si>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</si>
  <si>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</si>
  <si>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</si>
  <si>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</si>
  <si>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</si>
  <si>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</si>
  <si>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</si>
  <si>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</si>
  <si>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</si>
  <si>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</si>
  <si>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</si>
  <si>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</si>
  <si>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</si>
  <si>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</si>
  <si>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</si>
  <si>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</si>
  <si>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</si>
  <si>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</si>
  <si>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</si>
  <si>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</si>
  <si>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</si>
  <si>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</si>
  <si>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</si>
  <si>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</si>
  <si>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</si>
  <si>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</si>
  <si>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</si>
  <si>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</si>
  <si>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</si>
  <si>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</si>
  <si>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</si>
  <si>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</si>
  <si>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</si>
  <si>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</si>
  <si>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</si>
  <si>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</si>
  <si>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</si>
  <si>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</si>
  <si>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</si>
  <si>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</si>
  <si>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</si>
  <si>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</si>
  <si>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</si>
  <si>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</si>
  <si>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</si>
  <si>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</si>
  <si>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</si>
  <si>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</si>
  <si>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</si>
  <si>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</si>
  <si>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</si>
  <si>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</si>
  <si>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</si>
  <si>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</si>
  <si>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</si>
  <si>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</si>
  <si>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</si>
  <si>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</si>
  <si>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</si>
  <si>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</si>
  <si>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</si>
  <si>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</si>
  <si>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</si>
  <si>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</si>
  <si>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</si>
  <si>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</si>
  <si>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</si>
  <si>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</si>
  <si>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</si>
  <si>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</si>
  <si>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</si>
  <si>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</si>
  <si>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</si>
  <si>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</si>
  <si>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</si>
  <si>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</si>
  <si>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</si>
  <si>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</si>
  <si>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</si>
  <si>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</si>
  <si>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</si>
  <si>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</si>
  <si>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</si>
  <si>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</si>
  <si>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</si>
  <si>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</si>
  <si>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</si>
  <si>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</si>
  <si>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</si>
  <si>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</si>
  <si>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</si>
  <si>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</si>
  <si>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</si>
  <si>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</si>
  <si>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</si>
  <si>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</si>
  <si>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</si>
  <si>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</si>
  <si>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</si>
  <si>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</si>
  <si>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</si>
  <si>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2025/02</t>
  </si>
  <si>
    <t>SUM</t>
  </si>
  <si>
    <t>勝率</t>
  </si>
  <si>
    <t>大盤</t>
  </si>
  <si>
    <t>TWII</t>
  </si>
  <si>
    <t>RF</t>
    <phoneticPr fontId="1" type="noConversion"/>
  </si>
  <si>
    <t>平均值</t>
    <phoneticPr fontId="1" type="noConversion"/>
  </si>
  <si>
    <t>標準差</t>
    <phoneticPr fontId="1" type="noConversion"/>
  </si>
  <si>
    <t>夏普比率</t>
    <phoneticPr fontId="1" type="noConversion"/>
  </si>
  <si>
    <t>(預測-真實)**2</t>
    <phoneticPr fontId="1" type="noConversion"/>
  </si>
  <si>
    <t>真實**2</t>
    <phoneticPr fontId="1" type="noConversion"/>
  </si>
  <si>
    <t>R**2</t>
    <phoneticPr fontId="1" type="noConversion"/>
  </si>
  <si>
    <t>10等分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</si>
  <si>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</si>
  <si>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</si>
  <si>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</si>
  <si>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120等分</t>
    <phoneticPr fontId="1" type="noConversion"/>
  </si>
  <si>
    <t>107等分</t>
    <phoneticPr fontId="1" type="noConversion"/>
  </si>
  <si>
    <t>137等分</t>
    <phoneticPr fontId="1" type="noConversion"/>
  </si>
  <si>
    <t>964等分</t>
    <phoneticPr fontId="1" type="noConversion"/>
  </si>
  <si>
    <t>482等分</t>
    <phoneticPr fontId="1" type="noConversion"/>
  </si>
  <si>
    <t>241等分</t>
    <phoneticPr fontId="1" type="noConversion"/>
  </si>
  <si>
    <t>192等分</t>
    <phoneticPr fontId="1" type="noConversion"/>
  </si>
  <si>
    <t>160等分</t>
    <phoneticPr fontId="1" type="noConversion"/>
  </si>
  <si>
    <t>321等分</t>
    <phoneticPr fontId="1" type="noConversion"/>
  </si>
  <si>
    <t>家數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</si>
</sst>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"/>
    <numFmt numFmtId="177" formatCode="0.000"/>
    <numFmt numFmtId="178" formatCode="0.0000"/>
    <numFmt numFmtId="179" formatCode="0.000000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name val="新細明體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2" fillId="3" borderId="1" xfId="0" applyFont="1" applyFill="1" applyBorder="1"/>
    <xf numFmtId="0" fontId="0" fillId="4" borderId="1" xfId="0" applyFill="1" applyBorder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0" fillId="5" borderId="1" xfId="0" applyFill="1" applyBorder="1"/>
    <xf numFmtId="177" fontId="0" fillId="6" borderId="0" xfId="0" applyNumberFormat="1" applyFill="1"/>
    <xf numFmtId="0" fontId="2" fillId="3" borderId="0" xfId="0" applyFont="1" applyFill="1"/>
    <xf numFmtId="177" fontId="0" fillId="3" borderId="0" xfId="0" applyNumberFormat="1" applyFill="1"/>
    <xf numFmtId="0" fontId="2" fillId="7" borderId="1" xfId="0" applyFont="1" applyFill="1" applyBorder="1"/>
    <xf numFmtId="176" fontId="2" fillId="7" borderId="0" xfId="0" applyNumberFormat="1" applyFont="1" applyFill="1" applyAlignment="1">
      <alignment horizontal="center" vertical="center"/>
    </xf>
    <xf numFmtId="178" fontId="0" fillId="7" borderId="1" xfId="0" applyNumberFormat="1" applyFill="1" applyBorder="1"/>
    <xf numFmtId="0" fontId="0" fillId="2" borderId="0" xfId="0" applyFill="1"/>
    <xf numFmtId="177" fontId="4" fillId="8" borderId="0" xfId="0" applyNumberFormat="1" applyFont="1" applyFill="1"/>
    <xf numFmtId="0" fontId="0" fillId="0" borderId="4" xfId="0" applyBorder="1"/>
    <xf numFmtId="179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RF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RF預測累積畫圖!$B$12:$B$12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RF預測累積畫圖!$C$12:$EF$12</c:f>
              <c:numCache>
                <c:formatCode>General</c:formatCode>
                <c:ptCount val="134"/>
                <c:pt idx="0">
                  <c:v>8.4653346747999555E-2</c:v>
                </c:pt>
                <c:pt idx="1">
                  <c:v>0.19934197579322305</c:v>
                </c:pt>
                <c:pt idx="2">
                  <c:v>0.24736879918042559</c:v>
                </c:pt>
                <c:pt idx="3">
                  <c:v>0.26078990356998405</c:v>
                </c:pt>
                <c:pt idx="4">
                  <c:v>0.27251457134600876</c:v>
                </c:pt>
                <c:pt idx="5">
                  <c:v>0.31104508359589667</c:v>
                </c:pt>
                <c:pt idx="6">
                  <c:v>0.32385487228906218</c:v>
                </c:pt>
                <c:pt idx="7">
                  <c:v>0.29444674945007232</c:v>
                </c:pt>
                <c:pt idx="8">
                  <c:v>0.31322112958740356</c:v>
                </c:pt>
                <c:pt idx="9">
                  <c:v>0.27133018853742985</c:v>
                </c:pt>
                <c:pt idx="10">
                  <c:v>0.25577838433726874</c:v>
                </c:pt>
                <c:pt idx="11">
                  <c:v>0.3251053711156216</c:v>
                </c:pt>
                <c:pt idx="12">
                  <c:v>0.34234611017067418</c:v>
                </c:pt>
                <c:pt idx="13">
                  <c:v>0.34257608145860874</c:v>
                </c:pt>
                <c:pt idx="14">
                  <c:v>0.37784596691108713</c:v>
                </c:pt>
                <c:pt idx="15">
                  <c:v>0.38450885070632401</c:v>
                </c:pt>
                <c:pt idx="16">
                  <c:v>0.368036455964392</c:v>
                </c:pt>
                <c:pt idx="17">
                  <c:v>0.32479296714487882</c:v>
                </c:pt>
                <c:pt idx="18">
                  <c:v>0.30861436826199995</c:v>
                </c:pt>
                <c:pt idx="19">
                  <c:v>0.31481883833134439</c:v>
                </c:pt>
                <c:pt idx="20">
                  <c:v>0.33709728030465613</c:v>
                </c:pt>
                <c:pt idx="21">
                  <c:v>0.36417117072920324</c:v>
                </c:pt>
                <c:pt idx="22">
                  <c:v>0.37961153914276402</c:v>
                </c:pt>
                <c:pt idx="23">
                  <c:v>0.38477744675256753</c:v>
                </c:pt>
                <c:pt idx="24">
                  <c:v>0.37326490104034177</c:v>
                </c:pt>
                <c:pt idx="25">
                  <c:v>0.36253157143620302</c:v>
                </c:pt>
                <c:pt idx="26">
                  <c:v>0.36769895119665957</c:v>
                </c:pt>
                <c:pt idx="27">
                  <c:v>0.37022938102788311</c:v>
                </c:pt>
                <c:pt idx="28">
                  <c:v>0.31191241795678426</c:v>
                </c:pt>
                <c:pt idx="29">
                  <c:v>0.3323445692606492</c:v>
                </c:pt>
                <c:pt idx="30">
                  <c:v>0.34442369722385058</c:v>
                </c:pt>
                <c:pt idx="31">
                  <c:v>0.35782950187348384</c:v>
                </c:pt>
                <c:pt idx="32">
                  <c:v>0.37733555305366978</c:v>
                </c:pt>
                <c:pt idx="33">
                  <c:v>0.39031930059972436</c:v>
                </c:pt>
                <c:pt idx="34">
                  <c:v>0.43844300475185877</c:v>
                </c:pt>
                <c:pt idx="35">
                  <c:v>0.45630200777378083</c:v>
                </c:pt>
                <c:pt idx="36">
                  <c:v>0.48638812338637877</c:v>
                </c:pt>
                <c:pt idx="37">
                  <c:v>0.55562135769980725</c:v>
                </c:pt>
                <c:pt idx="38">
                  <c:v>0.5578501507394803</c:v>
                </c:pt>
                <c:pt idx="39">
                  <c:v>0.5241318059576312</c:v>
                </c:pt>
                <c:pt idx="40">
                  <c:v>0.51650986956904743</c:v>
                </c:pt>
                <c:pt idx="41">
                  <c:v>0.53003612901901387</c:v>
                </c:pt>
                <c:pt idx="42">
                  <c:v>0.54913584747371447</c:v>
                </c:pt>
                <c:pt idx="43">
                  <c:v>0.56297075218138559</c:v>
                </c:pt>
                <c:pt idx="44">
                  <c:v>0.58367941086226105</c:v>
                </c:pt>
                <c:pt idx="45">
                  <c:v>0.54231932611723599</c:v>
                </c:pt>
                <c:pt idx="46">
                  <c:v>0.54294080313525206</c:v>
                </c:pt>
                <c:pt idx="47">
                  <c:v>0.58653927038867493</c:v>
                </c:pt>
                <c:pt idx="48">
                  <c:v>0.61149456345634823</c:v>
                </c:pt>
                <c:pt idx="49">
                  <c:v>0.60919453738469054</c:v>
                </c:pt>
                <c:pt idx="50">
                  <c:v>0.68047069366562551</c:v>
                </c:pt>
                <c:pt idx="51">
                  <c:v>0.68625608857990072</c:v>
                </c:pt>
                <c:pt idx="52">
                  <c:v>0.69852887761837723</c:v>
                </c:pt>
                <c:pt idx="53">
                  <c:v>0.71215943456002984</c:v>
                </c:pt>
                <c:pt idx="54">
                  <c:v>0.73076824439941512</c:v>
                </c:pt>
                <c:pt idx="55">
                  <c:v>0.79856059688261527</c:v>
                </c:pt>
                <c:pt idx="56">
                  <c:v>0.8322314593238781</c:v>
                </c:pt>
                <c:pt idx="57">
                  <c:v>0.84645481933520006</c:v>
                </c:pt>
                <c:pt idx="58">
                  <c:v>0.89647607236619087</c:v>
                </c:pt>
                <c:pt idx="59">
                  <c:v>0.895680079046273</c:v>
                </c:pt>
                <c:pt idx="60">
                  <c:v>0.87439541408613908</c:v>
                </c:pt>
                <c:pt idx="61">
                  <c:v>0.89910465991628774</c:v>
                </c:pt>
                <c:pt idx="62">
                  <c:v>0.84879897539296323</c:v>
                </c:pt>
                <c:pt idx="63">
                  <c:v>0.86031551090505975</c:v>
                </c:pt>
                <c:pt idx="64">
                  <c:v>0.88456182116129667</c:v>
                </c:pt>
                <c:pt idx="65">
                  <c:v>0.87405283585600257</c:v>
                </c:pt>
                <c:pt idx="66">
                  <c:v>0.88794958547474923</c:v>
                </c:pt>
                <c:pt idx="67">
                  <c:v>0.8856885770213504</c:v>
                </c:pt>
                <c:pt idx="68">
                  <c:v>0.90455187040574636</c:v>
                </c:pt>
                <c:pt idx="69">
                  <c:v>0.92658333908319057</c:v>
                </c:pt>
                <c:pt idx="70">
                  <c:v>0.93536485622328702</c:v>
                </c:pt>
                <c:pt idx="71">
                  <c:v>0.95842731195647801</c:v>
                </c:pt>
                <c:pt idx="72">
                  <c:v>0.9289435432369485</c:v>
                </c:pt>
                <c:pt idx="73">
                  <c:v>0.9404207052408986</c:v>
                </c:pt>
                <c:pt idx="74">
                  <c:v>0.90704990490932713</c:v>
                </c:pt>
                <c:pt idx="75">
                  <c:v>0.95240685060060015</c:v>
                </c:pt>
                <c:pt idx="76">
                  <c:v>0.91800656316025764</c:v>
                </c:pt>
                <c:pt idx="77">
                  <c:v>0.91994980529202053</c:v>
                </c:pt>
                <c:pt idx="78">
                  <c:v>0.98551641791971045</c:v>
                </c:pt>
                <c:pt idx="79">
                  <c:v>1.0297749064836517</c:v>
                </c:pt>
                <c:pt idx="80">
                  <c:v>1.1837819193733936</c:v>
                </c:pt>
                <c:pt idx="81">
                  <c:v>1.1878598146571684</c:v>
                </c:pt>
                <c:pt idx="82">
                  <c:v>1.1881684631545204</c:v>
                </c:pt>
                <c:pt idx="83">
                  <c:v>1.2514658355324804</c:v>
                </c:pt>
                <c:pt idx="84">
                  <c:v>1.2168099231202747</c:v>
                </c:pt>
                <c:pt idx="85">
                  <c:v>1.2322551035989635</c:v>
                </c:pt>
                <c:pt idx="86">
                  <c:v>1.2450582477537984</c:v>
                </c:pt>
                <c:pt idx="87">
                  <c:v>1.3630738554234088</c:v>
                </c:pt>
                <c:pt idx="88">
                  <c:v>1.347854129256068</c:v>
                </c:pt>
                <c:pt idx="89">
                  <c:v>1.3207704280415087</c:v>
                </c:pt>
                <c:pt idx="90">
                  <c:v>1.2935043011614029</c:v>
                </c:pt>
                <c:pt idx="91">
                  <c:v>1.3388033226288967</c:v>
                </c:pt>
                <c:pt idx="92">
                  <c:v>1.2761189756253219</c:v>
                </c:pt>
                <c:pt idx="93">
                  <c:v>1.3242656009126237</c:v>
                </c:pt>
                <c:pt idx="94">
                  <c:v>1.3097559504741541</c:v>
                </c:pt>
                <c:pt idx="95">
                  <c:v>1.3089319144506231</c:v>
                </c:pt>
                <c:pt idx="96">
                  <c:v>1.3445556301128183</c:v>
                </c:pt>
                <c:pt idx="97">
                  <c:v>1.3526682564883554</c:v>
                </c:pt>
                <c:pt idx="98">
                  <c:v>1.3582161812328877</c:v>
                </c:pt>
                <c:pt idx="99">
                  <c:v>1.4192060637698796</c:v>
                </c:pt>
                <c:pt idx="100">
                  <c:v>1.413223121558389</c:v>
                </c:pt>
                <c:pt idx="101">
                  <c:v>1.4910154488978897</c:v>
                </c:pt>
                <c:pt idx="102">
                  <c:v>1.4966192329682502</c:v>
                </c:pt>
                <c:pt idx="103">
                  <c:v>1.5856010494662951</c:v>
                </c:pt>
                <c:pt idx="104">
                  <c:v>1.5970740227577851</c:v>
                </c:pt>
                <c:pt idx="105">
                  <c:v>1.5579820254262779</c:v>
                </c:pt>
                <c:pt idx="106">
                  <c:v>1.5591801338074991</c:v>
                </c:pt>
                <c:pt idx="107">
                  <c:v>1.5523456080714586</c:v>
                </c:pt>
                <c:pt idx="108">
                  <c:v>1.5513978991321418</c:v>
                </c:pt>
                <c:pt idx="109">
                  <c:v>1.5475752171607091</c:v>
                </c:pt>
                <c:pt idx="110">
                  <c:v>1.4931320441685767</c:v>
                </c:pt>
                <c:pt idx="111">
                  <c:v>1.5082502522946688</c:v>
                </c:pt>
                <c:pt idx="112">
                  <c:v>1.4923042991676525</c:v>
                </c:pt>
                <c:pt idx="113">
                  <c:v>1.4919496231450087</c:v>
                </c:pt>
                <c:pt idx="114">
                  <c:v>1.4871092738999288</c:v>
                </c:pt>
                <c:pt idx="115">
                  <c:v>1.5295196392859935</c:v>
                </c:pt>
                <c:pt idx="116">
                  <c:v>1.5521193729663223</c:v>
                </c:pt>
                <c:pt idx="117">
                  <c:v>1.5847038225666195</c:v>
                </c:pt>
                <c:pt idx="118">
                  <c:v>1.550841702213571</c:v>
                </c:pt>
                <c:pt idx="119">
                  <c:v>1.569620645492958</c:v>
                </c:pt>
                <c:pt idx="120">
                  <c:v>1.5338944900412601</c:v>
                </c:pt>
                <c:pt idx="121">
                  <c:v>1.5590121060720963</c:v>
                </c:pt>
                <c:pt idx="122">
                  <c:v>1.5017818229277877</c:v>
                </c:pt>
                <c:pt idx="123">
                  <c:v>1.5503326474053185</c:v>
                </c:pt>
                <c:pt idx="124">
                  <c:v>1.5940582116253559</c:v>
                </c:pt>
                <c:pt idx="125">
                  <c:v>1.5439061310829945</c:v>
                </c:pt>
                <c:pt idx="126">
                  <c:v>1.5970514419706046</c:v>
                </c:pt>
                <c:pt idx="127">
                  <c:v>1.6032785913190928</c:v>
                </c:pt>
                <c:pt idx="128">
                  <c:v>1.654376223856624</c:v>
                </c:pt>
                <c:pt idx="129">
                  <c:v>1.6572045506314768</c:v>
                </c:pt>
                <c:pt idx="130">
                  <c:v>1.6473981692960924</c:v>
                </c:pt>
                <c:pt idx="131">
                  <c:v>1.5868900164876083</c:v>
                </c:pt>
                <c:pt idx="132">
                  <c:v>1.5988071127600958</c:v>
                </c:pt>
                <c:pt idx="133">
                  <c:v>1.6380404607988914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2-4470-8B2C-C0284C09E6E5}"/>
            </c:ext>
          </c:extLst>
        </c:ser>
        <c:ser>
          <c:idx val="1"/>
          <c:order val="1"/>
          <c:tx>
            <c:strRef>
              <c:f>RF預測累積畫圖!$B$13:$B$13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RF預測累積畫圖!$C$13:$EF$13</c:f>
              <c:numCache>
                <c:formatCode>General</c:formatCode>
                <c:ptCount val="134"/>
                <c:pt idx="0">
                  <c:v>0.104112750252762</c:v>
                </c:pt>
                <c:pt idx="1">
                  <c:v>0.22785777904553428</c:v>
                </c:pt>
                <c:pt idx="2">
                  <c:v>0.29771933539834072</c:v>
                </c:pt>
                <c:pt idx="3">
                  <c:v>0.28626409552296395</c:v>
                </c:pt>
                <c:pt idx="4">
                  <c:v>0.30200852157741448</c:v>
                </c:pt>
                <c:pt idx="5">
                  <c:v>0.33199815330313576</c:v>
                </c:pt>
                <c:pt idx="6">
                  <c:v>0.36112874822683338</c:v>
                </c:pt>
                <c:pt idx="7">
                  <c:v>0.31722952114942127</c:v>
                </c:pt>
                <c:pt idx="8">
                  <c:v>0.31586221432297379</c:v>
                </c:pt>
                <c:pt idx="9">
                  <c:v>0.30983705302932013</c:v>
                </c:pt>
                <c:pt idx="10">
                  <c:v>0.31754570929181236</c:v>
                </c:pt>
                <c:pt idx="11">
                  <c:v>0.41735262624848296</c:v>
                </c:pt>
                <c:pt idx="12">
                  <c:v>0.45714191787511538</c:v>
                </c:pt>
                <c:pt idx="13">
                  <c:v>0.473933545613206</c:v>
                </c:pt>
                <c:pt idx="14">
                  <c:v>0.54715791410076342</c:v>
                </c:pt>
                <c:pt idx="15">
                  <c:v>0.56131785858679994</c:v>
                </c:pt>
                <c:pt idx="16">
                  <c:v>0.54907418737788694</c:v>
                </c:pt>
                <c:pt idx="17">
                  <c:v>0.4961743844691936</c:v>
                </c:pt>
                <c:pt idx="18">
                  <c:v>0.49777140070237941</c:v>
                </c:pt>
                <c:pt idx="19">
                  <c:v>0.4776770726885049</c:v>
                </c:pt>
                <c:pt idx="20">
                  <c:v>0.50878016057287478</c:v>
                </c:pt>
                <c:pt idx="21">
                  <c:v>0.56205705529881844</c:v>
                </c:pt>
                <c:pt idx="22">
                  <c:v>0.57597804785646711</c:v>
                </c:pt>
                <c:pt idx="23">
                  <c:v>0.59656180902559541</c:v>
                </c:pt>
                <c:pt idx="24">
                  <c:v>0.58012118957527103</c:v>
                </c:pt>
                <c:pt idx="25">
                  <c:v>0.56511961624629259</c:v>
                </c:pt>
                <c:pt idx="26">
                  <c:v>0.57315105604224303</c:v>
                </c:pt>
                <c:pt idx="27">
                  <c:v>0.59359128441603548</c:v>
                </c:pt>
                <c:pt idx="28">
                  <c:v>0.52787190238842496</c:v>
                </c:pt>
                <c:pt idx="29">
                  <c:v>0.55981236622272623</c:v>
                </c:pt>
                <c:pt idx="30">
                  <c:v>0.56309467640367872</c:v>
                </c:pt>
                <c:pt idx="31">
                  <c:v>0.5727360156431951</c:v>
                </c:pt>
                <c:pt idx="32">
                  <c:v>0.58480356571726788</c:v>
                </c:pt>
                <c:pt idx="33">
                  <c:v>0.56852309572899218</c:v>
                </c:pt>
                <c:pt idx="34">
                  <c:v>0.63451100853964815</c:v>
                </c:pt>
                <c:pt idx="35">
                  <c:v>0.6576624371348192</c:v>
                </c:pt>
                <c:pt idx="36">
                  <c:v>0.70394488067164818</c:v>
                </c:pt>
                <c:pt idx="37">
                  <c:v>0.80927511880768233</c:v>
                </c:pt>
                <c:pt idx="38">
                  <c:v>0.81858630670709731</c:v>
                </c:pt>
                <c:pt idx="39">
                  <c:v>0.75903546634509955</c:v>
                </c:pt>
                <c:pt idx="40">
                  <c:v>0.7529861775761999</c:v>
                </c:pt>
                <c:pt idx="41">
                  <c:v>0.76367536311213557</c:v>
                </c:pt>
                <c:pt idx="42">
                  <c:v>0.80498848159636971</c:v>
                </c:pt>
                <c:pt idx="43">
                  <c:v>0.84545156945080946</c:v>
                </c:pt>
                <c:pt idx="44">
                  <c:v>0.88642769592678827</c:v>
                </c:pt>
                <c:pt idx="45">
                  <c:v>0.87695222328723521</c:v>
                </c:pt>
                <c:pt idx="46">
                  <c:v>0.88103223687029864</c:v>
                </c:pt>
                <c:pt idx="47">
                  <c:v>0.94818602465340895</c:v>
                </c:pt>
                <c:pt idx="48">
                  <c:v>0.96575037100203387</c:v>
                </c:pt>
                <c:pt idx="49">
                  <c:v>0.95764690353253445</c:v>
                </c:pt>
                <c:pt idx="50">
                  <c:v>1.0374760238763228</c:v>
                </c:pt>
                <c:pt idx="51">
                  <c:v>1.0635223694092188</c:v>
                </c:pt>
                <c:pt idx="52">
                  <c:v>1.0748061365208765</c:v>
                </c:pt>
                <c:pt idx="53">
                  <c:v>1.078150564904558</c:v>
                </c:pt>
                <c:pt idx="54">
                  <c:v>1.1055423712101995</c:v>
                </c:pt>
                <c:pt idx="55">
                  <c:v>1.1894717865176963</c:v>
                </c:pt>
                <c:pt idx="56">
                  <c:v>1.2360382488564079</c:v>
                </c:pt>
                <c:pt idx="57">
                  <c:v>1.244513978668027</c:v>
                </c:pt>
                <c:pt idx="58">
                  <c:v>1.2969231111247284</c:v>
                </c:pt>
                <c:pt idx="59">
                  <c:v>1.2800760251344634</c:v>
                </c:pt>
                <c:pt idx="60">
                  <c:v>1.261685000254714</c:v>
                </c:pt>
                <c:pt idx="61">
                  <c:v>1.2936328604678891</c:v>
                </c:pt>
                <c:pt idx="62">
                  <c:v>1.2402610917726984</c:v>
                </c:pt>
                <c:pt idx="63">
                  <c:v>1.2513136336479747</c:v>
                </c:pt>
                <c:pt idx="64">
                  <c:v>1.2821923498814487</c:v>
                </c:pt>
                <c:pt idx="65">
                  <c:v>1.2916250455761003</c:v>
                </c:pt>
                <c:pt idx="66">
                  <c:v>1.3332781093655259</c:v>
                </c:pt>
                <c:pt idx="67">
                  <c:v>1.3265966918819685</c:v>
                </c:pt>
                <c:pt idx="68">
                  <c:v>1.3340161637221881</c:v>
                </c:pt>
                <c:pt idx="69">
                  <c:v>1.3723596693386608</c:v>
                </c:pt>
                <c:pt idx="70">
                  <c:v>1.3900662243752147</c:v>
                </c:pt>
                <c:pt idx="71">
                  <c:v>1.4107198212514234</c:v>
                </c:pt>
                <c:pt idx="72">
                  <c:v>1.4124830590621005</c:v>
                </c:pt>
                <c:pt idx="73">
                  <c:v>1.433561126586127</c:v>
                </c:pt>
                <c:pt idx="74">
                  <c:v>1.4190487289156366</c:v>
                </c:pt>
                <c:pt idx="75">
                  <c:v>1.4951868519746867</c:v>
                </c:pt>
                <c:pt idx="76">
                  <c:v>1.4616552863742898</c:v>
                </c:pt>
                <c:pt idx="77">
                  <c:v>1.4550594596490696</c:v>
                </c:pt>
                <c:pt idx="78">
                  <c:v>1.5751776333873029</c:v>
                </c:pt>
                <c:pt idx="79">
                  <c:v>1.6304336814087337</c:v>
                </c:pt>
                <c:pt idx="80">
                  <c:v>1.8142615178643424</c:v>
                </c:pt>
                <c:pt idx="81">
                  <c:v>1.8324904587009698</c:v>
                </c:pt>
                <c:pt idx="82">
                  <c:v>1.8400507273773441</c:v>
                </c:pt>
                <c:pt idx="83">
                  <c:v>1.8983853392045513</c:v>
                </c:pt>
                <c:pt idx="84">
                  <c:v>1.846531830070288</c:v>
                </c:pt>
                <c:pt idx="85">
                  <c:v>1.8434257420983369</c:v>
                </c:pt>
                <c:pt idx="86">
                  <c:v>1.8754710113348008</c:v>
                </c:pt>
                <c:pt idx="87">
                  <c:v>1.9569243774369816</c:v>
                </c:pt>
                <c:pt idx="88">
                  <c:v>1.9466275736805865</c:v>
                </c:pt>
                <c:pt idx="89">
                  <c:v>1.9197400076817341</c:v>
                </c:pt>
                <c:pt idx="90">
                  <c:v>1.9062825491185067</c:v>
                </c:pt>
                <c:pt idx="91">
                  <c:v>1.976009089396241</c:v>
                </c:pt>
                <c:pt idx="92">
                  <c:v>1.904830224427837</c:v>
                </c:pt>
                <c:pt idx="93">
                  <c:v>1.9692108731652493</c:v>
                </c:pt>
                <c:pt idx="94">
                  <c:v>1.9731585238282099</c:v>
                </c:pt>
                <c:pt idx="95">
                  <c:v>1.9812293231445885</c:v>
                </c:pt>
                <c:pt idx="96">
                  <c:v>2.0183907254268996</c:v>
                </c:pt>
                <c:pt idx="97">
                  <c:v>2.0154374132536415</c:v>
                </c:pt>
                <c:pt idx="98">
                  <c:v>2.0214144441098876</c:v>
                </c:pt>
                <c:pt idx="99">
                  <c:v>2.0814476993499405</c:v>
                </c:pt>
                <c:pt idx="100">
                  <c:v>2.0683289592349277</c:v>
                </c:pt>
                <c:pt idx="101">
                  <c:v>2.1255531795884126</c:v>
                </c:pt>
                <c:pt idx="102">
                  <c:v>2.1199695026625913</c:v>
                </c:pt>
                <c:pt idx="103">
                  <c:v>2.2262048239655448</c:v>
                </c:pt>
                <c:pt idx="104">
                  <c:v>2.249745822633983</c:v>
                </c:pt>
                <c:pt idx="105">
                  <c:v>2.1983391690311644</c:v>
                </c:pt>
                <c:pt idx="106">
                  <c:v>2.2042681261572392</c:v>
                </c:pt>
                <c:pt idx="107">
                  <c:v>2.1757493293636045</c:v>
                </c:pt>
                <c:pt idx="108">
                  <c:v>2.1741186721907146</c:v>
                </c:pt>
                <c:pt idx="109">
                  <c:v>2.1854144400726296</c:v>
                </c:pt>
                <c:pt idx="110">
                  <c:v>2.1394374149779529</c:v>
                </c:pt>
                <c:pt idx="111">
                  <c:v>2.1454209996147657</c:v>
                </c:pt>
                <c:pt idx="112">
                  <c:v>2.1578300738333933</c:v>
                </c:pt>
                <c:pt idx="113">
                  <c:v>2.1415298273420786</c:v>
                </c:pt>
                <c:pt idx="114">
                  <c:v>2.1348709582936349</c:v>
                </c:pt>
                <c:pt idx="115">
                  <c:v>2.146370536216148</c:v>
                </c:pt>
                <c:pt idx="116">
                  <c:v>2.1932619486042797</c:v>
                </c:pt>
                <c:pt idx="117">
                  <c:v>2.2420485844605493</c:v>
                </c:pt>
                <c:pt idx="118">
                  <c:v>2.2080821222085865</c:v>
                </c:pt>
                <c:pt idx="119">
                  <c:v>2.2218533314808986</c:v>
                </c:pt>
                <c:pt idx="120">
                  <c:v>2.1829657036412287</c:v>
                </c:pt>
                <c:pt idx="121">
                  <c:v>2.2337969635317338</c:v>
                </c:pt>
                <c:pt idx="122">
                  <c:v>2.2007908040891153</c:v>
                </c:pt>
                <c:pt idx="123">
                  <c:v>2.2804109481133037</c:v>
                </c:pt>
                <c:pt idx="124">
                  <c:v>2.3248287377376542</c:v>
                </c:pt>
                <c:pt idx="125">
                  <c:v>2.2603053581591581</c:v>
                </c:pt>
                <c:pt idx="126">
                  <c:v>2.317286697206717</c:v>
                </c:pt>
                <c:pt idx="127">
                  <c:v>2.3355888213530185</c:v>
                </c:pt>
                <c:pt idx="128">
                  <c:v>2.3977074985290483</c:v>
                </c:pt>
                <c:pt idx="129">
                  <c:v>2.4190807167284345</c:v>
                </c:pt>
                <c:pt idx="130">
                  <c:v>2.4003047131330524</c:v>
                </c:pt>
                <c:pt idx="131">
                  <c:v>2.3346226194738176</c:v>
                </c:pt>
                <c:pt idx="132">
                  <c:v>2.3425752130487822</c:v>
                </c:pt>
                <c:pt idx="133">
                  <c:v>2.4091524284123387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2-4470-8B2C-C0284C09E6E5}"/>
            </c:ext>
          </c:extLst>
        </c:ser>
        <c:ser>
          <c:idx val="2"/>
          <c:order val="2"/>
          <c:tx>
            <c:strRef>
              <c:f>RF預測累積畫圖!$B$14:$B$14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RF預測累積畫圖!$C$14:$EF$14</c:f>
              <c:numCache>
                <c:formatCode>General</c:formatCode>
                <c:ptCount val="134"/>
                <c:pt idx="0">
                  <c:v>0.1199414897527061</c:v>
                </c:pt>
                <c:pt idx="1">
                  <c:v>0.34224993829333211</c:v>
                </c:pt>
                <c:pt idx="2">
                  <c:v>0.44101818643555424</c:v>
                </c:pt>
                <c:pt idx="3">
                  <c:v>0.47556065060125385</c:v>
                </c:pt>
                <c:pt idx="4">
                  <c:v>0.56070941238498795</c:v>
                </c:pt>
                <c:pt idx="5">
                  <c:v>0.6202972188204281</c:v>
                </c:pt>
                <c:pt idx="6">
                  <c:v>0.69741218125179305</c:v>
                </c:pt>
                <c:pt idx="7">
                  <c:v>0.59231779446908484</c:v>
                </c:pt>
                <c:pt idx="8">
                  <c:v>0.60476895598487723</c:v>
                </c:pt>
                <c:pt idx="9">
                  <c:v>0.59628850841932868</c:v>
                </c:pt>
                <c:pt idx="10">
                  <c:v>0.60128302848611648</c:v>
                </c:pt>
                <c:pt idx="11">
                  <c:v>0.80611560362734236</c:v>
                </c:pt>
                <c:pt idx="12">
                  <c:v>0.84575791169687675</c:v>
                </c:pt>
                <c:pt idx="13">
                  <c:v>0.89353767597968403</c:v>
                </c:pt>
                <c:pt idx="14">
                  <c:v>0.95177562213431888</c:v>
                </c:pt>
                <c:pt idx="15">
                  <c:v>0.93762382582879433</c:v>
                </c:pt>
                <c:pt idx="16">
                  <c:v>0.97615792535481205</c:v>
                </c:pt>
                <c:pt idx="17">
                  <c:v>0.90631644583391613</c:v>
                </c:pt>
                <c:pt idx="18">
                  <c:v>0.94289557535361801</c:v>
                </c:pt>
                <c:pt idx="19">
                  <c:v>0.90452002908911344</c:v>
                </c:pt>
                <c:pt idx="20">
                  <c:v>0.97852818847736645</c:v>
                </c:pt>
                <c:pt idx="21">
                  <c:v>1.0321098969915496</c:v>
                </c:pt>
                <c:pt idx="22">
                  <c:v>1.0153472336348601</c:v>
                </c:pt>
                <c:pt idx="23">
                  <c:v>1.036599434738311</c:v>
                </c:pt>
                <c:pt idx="24">
                  <c:v>1.0339720349714969</c:v>
                </c:pt>
                <c:pt idx="25">
                  <c:v>1.0066360563659429</c:v>
                </c:pt>
                <c:pt idx="26">
                  <c:v>0.9773439726003792</c:v>
                </c:pt>
                <c:pt idx="27">
                  <c:v>1.0472185643355214</c:v>
                </c:pt>
                <c:pt idx="28">
                  <c:v>1.043199657512641</c:v>
                </c:pt>
                <c:pt idx="29">
                  <c:v>1.08362036005504</c:v>
                </c:pt>
                <c:pt idx="30">
                  <c:v>1.090010561068933</c:v>
                </c:pt>
                <c:pt idx="31">
                  <c:v>1.0952608389994389</c:v>
                </c:pt>
                <c:pt idx="32">
                  <c:v>1.1673337899265599</c:v>
                </c:pt>
                <c:pt idx="33">
                  <c:v>1.182392826009711</c:v>
                </c:pt>
                <c:pt idx="34">
                  <c:v>1.2593042568680131</c:v>
                </c:pt>
                <c:pt idx="35">
                  <c:v>1.2972734465904738</c:v>
                </c:pt>
                <c:pt idx="36">
                  <c:v>1.3585156129690992</c:v>
                </c:pt>
                <c:pt idx="37">
                  <c:v>1.4571102797386428</c:v>
                </c:pt>
                <c:pt idx="38">
                  <c:v>1.5180159852040527</c:v>
                </c:pt>
                <c:pt idx="39">
                  <c:v>1.4480394600519684</c:v>
                </c:pt>
                <c:pt idx="40">
                  <c:v>1.4476714923142084</c:v>
                </c:pt>
                <c:pt idx="41">
                  <c:v>1.4853173320764714</c:v>
                </c:pt>
                <c:pt idx="42">
                  <c:v>1.5706943180295183</c:v>
                </c:pt>
                <c:pt idx="43">
                  <c:v>1.6052008977146628</c:v>
                </c:pt>
                <c:pt idx="44">
                  <c:v>1.6451925467179667</c:v>
                </c:pt>
                <c:pt idx="45">
                  <c:v>1.6265096612843495</c:v>
                </c:pt>
                <c:pt idx="46">
                  <c:v>1.608146729778392</c:v>
                </c:pt>
                <c:pt idx="47">
                  <c:v>1.7450977580727847</c:v>
                </c:pt>
                <c:pt idx="48">
                  <c:v>1.7601658768445463</c:v>
                </c:pt>
                <c:pt idx="49">
                  <c:v>1.7068173076723903</c:v>
                </c:pt>
                <c:pt idx="50">
                  <c:v>1.8031546330283643</c:v>
                </c:pt>
                <c:pt idx="51">
                  <c:v>1.9050529732868222</c:v>
                </c:pt>
                <c:pt idx="52">
                  <c:v>1.8952319743315449</c:v>
                </c:pt>
                <c:pt idx="53">
                  <c:v>1.9385597559989503</c:v>
                </c:pt>
                <c:pt idx="54">
                  <c:v>1.9823468185344373</c:v>
                </c:pt>
                <c:pt idx="55">
                  <c:v>2.0231173400801272</c:v>
                </c:pt>
                <c:pt idx="56">
                  <c:v>2.06449160415406</c:v>
                </c:pt>
                <c:pt idx="57">
                  <c:v>2.0698343597226607</c:v>
                </c:pt>
                <c:pt idx="58">
                  <c:v>2.1200195726135145</c:v>
                </c:pt>
                <c:pt idx="59">
                  <c:v>2.1000023489422812</c:v>
                </c:pt>
                <c:pt idx="60">
                  <c:v>2.0944085972852085</c:v>
                </c:pt>
                <c:pt idx="61">
                  <c:v>2.1541463641275787</c:v>
                </c:pt>
                <c:pt idx="62">
                  <c:v>2.1078680391245781</c:v>
                </c:pt>
                <c:pt idx="63">
                  <c:v>2.1288045771971293</c:v>
                </c:pt>
                <c:pt idx="64">
                  <c:v>2.1624136228743938</c:v>
                </c:pt>
                <c:pt idx="65">
                  <c:v>2.1780873563673531</c:v>
                </c:pt>
                <c:pt idx="66">
                  <c:v>2.1939308802373039</c:v>
                </c:pt>
                <c:pt idx="67">
                  <c:v>2.1660014507046861</c:v>
                </c:pt>
                <c:pt idx="68">
                  <c:v>2.124507495560108</c:v>
                </c:pt>
                <c:pt idx="69">
                  <c:v>2.1985204578964193</c:v>
                </c:pt>
                <c:pt idx="70">
                  <c:v>2.1896656225383886</c:v>
                </c:pt>
                <c:pt idx="71">
                  <c:v>2.2153928045548161</c:v>
                </c:pt>
                <c:pt idx="72">
                  <c:v>2.2279007528124093</c:v>
                </c:pt>
                <c:pt idx="73">
                  <c:v>2.2828715129343622</c:v>
                </c:pt>
                <c:pt idx="74">
                  <c:v>2.2762752195693974</c:v>
                </c:pt>
                <c:pt idx="75">
                  <c:v>2.3363092763981799</c:v>
                </c:pt>
                <c:pt idx="76">
                  <c:v>2.3118440102832429</c:v>
                </c:pt>
                <c:pt idx="77">
                  <c:v>2.3339716268254178</c:v>
                </c:pt>
                <c:pt idx="78">
                  <c:v>2.4545677854146004</c:v>
                </c:pt>
                <c:pt idx="79">
                  <c:v>2.502489626327185</c:v>
                </c:pt>
                <c:pt idx="80">
                  <c:v>2.6730449288157354</c:v>
                </c:pt>
                <c:pt idx="81">
                  <c:v>2.6527347118932156</c:v>
                </c:pt>
                <c:pt idx="82">
                  <c:v>2.7916613884111556</c:v>
                </c:pt>
                <c:pt idx="83">
                  <c:v>2.8563227806893727</c:v>
                </c:pt>
                <c:pt idx="84">
                  <c:v>2.7504380033260141</c:v>
                </c:pt>
                <c:pt idx="85">
                  <c:v>2.7217701483818395</c:v>
                </c:pt>
                <c:pt idx="86">
                  <c:v>2.7357865127724854</c:v>
                </c:pt>
                <c:pt idx="87">
                  <c:v>2.798056467651322</c:v>
                </c:pt>
                <c:pt idx="88">
                  <c:v>2.8300964780196392</c:v>
                </c:pt>
                <c:pt idx="89">
                  <c:v>2.8070697893487129</c:v>
                </c:pt>
                <c:pt idx="90">
                  <c:v>2.7334820693098201</c:v>
                </c:pt>
                <c:pt idx="91">
                  <c:v>2.8332914007915728</c:v>
                </c:pt>
                <c:pt idx="92">
                  <c:v>2.8010635009041853</c:v>
                </c:pt>
                <c:pt idx="93">
                  <c:v>2.8637041562806331</c:v>
                </c:pt>
                <c:pt idx="94">
                  <c:v>2.8598880429371132</c:v>
                </c:pt>
                <c:pt idx="95">
                  <c:v>2.8789886194877981</c:v>
                </c:pt>
                <c:pt idx="96">
                  <c:v>2.8350715167905833</c:v>
                </c:pt>
                <c:pt idx="97">
                  <c:v>2.8578172319288386</c:v>
                </c:pt>
                <c:pt idx="98">
                  <c:v>2.8544188494653677</c:v>
                </c:pt>
                <c:pt idx="99">
                  <c:v>2.8907182583536071</c:v>
                </c:pt>
                <c:pt idx="100">
                  <c:v>2.861959138062133</c:v>
                </c:pt>
                <c:pt idx="101">
                  <c:v>2.9260227014125162</c:v>
                </c:pt>
                <c:pt idx="102">
                  <c:v>2.9017184122419315</c:v>
                </c:pt>
                <c:pt idx="103">
                  <c:v>3.0063258533421613</c:v>
                </c:pt>
                <c:pt idx="104">
                  <c:v>3.0210796148391887</c:v>
                </c:pt>
                <c:pt idx="105">
                  <c:v>2.9671796480903949</c:v>
                </c:pt>
                <c:pt idx="106">
                  <c:v>2.9725639476981596</c:v>
                </c:pt>
                <c:pt idx="107">
                  <c:v>2.9367073171410971</c:v>
                </c:pt>
                <c:pt idx="108">
                  <c:v>2.9481538735344142</c:v>
                </c:pt>
                <c:pt idx="109">
                  <c:v>2.9529287107773259</c:v>
                </c:pt>
                <c:pt idx="110">
                  <c:v>2.8943308910684089</c:v>
                </c:pt>
                <c:pt idx="111">
                  <c:v>2.9102284828811786</c:v>
                </c:pt>
                <c:pt idx="112">
                  <c:v>2.9292995459988345</c:v>
                </c:pt>
                <c:pt idx="113">
                  <c:v>2.9141343844439458</c:v>
                </c:pt>
                <c:pt idx="114">
                  <c:v>2.9196386535375964</c:v>
                </c:pt>
                <c:pt idx="115">
                  <c:v>2.9623011494308606</c:v>
                </c:pt>
                <c:pt idx="116">
                  <c:v>3.003676794593658</c:v>
                </c:pt>
                <c:pt idx="117">
                  <c:v>3.0472165109513099</c:v>
                </c:pt>
                <c:pt idx="118">
                  <c:v>2.9911972249651195</c:v>
                </c:pt>
                <c:pt idx="119">
                  <c:v>3.0438197444241193</c:v>
                </c:pt>
                <c:pt idx="120">
                  <c:v>3.0087748381532027</c:v>
                </c:pt>
                <c:pt idx="121">
                  <c:v>3.1264473514849591</c:v>
                </c:pt>
                <c:pt idx="122">
                  <c:v>3.057652078292795</c:v>
                </c:pt>
                <c:pt idx="123">
                  <c:v>3.1659144328229023</c:v>
                </c:pt>
                <c:pt idx="124">
                  <c:v>3.2642587998406802</c:v>
                </c:pt>
                <c:pt idx="125">
                  <c:v>3.162327294288259</c:v>
                </c:pt>
                <c:pt idx="126">
                  <c:v>3.2365859943670094</c:v>
                </c:pt>
                <c:pt idx="127">
                  <c:v>3.2716169942307896</c:v>
                </c:pt>
                <c:pt idx="128">
                  <c:v>3.3791424774283132</c:v>
                </c:pt>
                <c:pt idx="129">
                  <c:v>3.4123198105409038</c:v>
                </c:pt>
                <c:pt idx="130">
                  <c:v>3.3930283508751544</c:v>
                </c:pt>
                <c:pt idx="131">
                  <c:v>3.2903986416889675</c:v>
                </c:pt>
                <c:pt idx="132">
                  <c:v>3.3092657985338598</c:v>
                </c:pt>
                <c:pt idx="133">
                  <c:v>3.3792222190324179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2-4470-8B2C-C0284C09E6E5}"/>
            </c:ext>
          </c:extLst>
        </c:ser>
        <c:ser>
          <c:idx val="3"/>
          <c:order val="3"/>
          <c:tx>
            <c:strRef>
              <c:f>RF預測累積畫圖!$B$15:$B$15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RF預測累積畫圖!$C$15:$EF$15</c:f>
              <c:numCache>
                <c:formatCode>General</c:formatCode>
                <c:ptCount val="134"/>
                <c:pt idx="0">
                  <c:v>0.22764465877785839</c:v>
                </c:pt>
                <c:pt idx="1">
                  <c:v>0.60035387438778398</c:v>
                </c:pt>
                <c:pt idx="2">
                  <c:v>0.66239955450474175</c:v>
                </c:pt>
                <c:pt idx="3">
                  <c:v>0.75270326751449845</c:v>
                </c:pt>
                <c:pt idx="4">
                  <c:v>0.84930885806476009</c:v>
                </c:pt>
                <c:pt idx="5">
                  <c:v>0.96815256177211939</c:v>
                </c:pt>
                <c:pt idx="6">
                  <c:v>1.0948813028916313</c:v>
                </c:pt>
                <c:pt idx="7">
                  <c:v>1.0303566127818757</c:v>
                </c:pt>
                <c:pt idx="8">
                  <c:v>1.026146246396535</c:v>
                </c:pt>
                <c:pt idx="9">
                  <c:v>1.0391133313575753</c:v>
                </c:pt>
                <c:pt idx="10">
                  <c:v>1.0646110408370626</c:v>
                </c:pt>
                <c:pt idx="11">
                  <c:v>1.3949203777018697</c:v>
                </c:pt>
                <c:pt idx="12">
                  <c:v>1.4410238709549952</c:v>
                </c:pt>
                <c:pt idx="13">
                  <c:v>1.4940071541473507</c:v>
                </c:pt>
                <c:pt idx="14">
                  <c:v>1.5943825037312416</c:v>
                </c:pt>
                <c:pt idx="15">
                  <c:v>1.6111379400218597</c:v>
                </c:pt>
                <c:pt idx="16">
                  <c:v>1.5681040062485283</c:v>
                </c:pt>
                <c:pt idx="17">
                  <c:v>1.5013038813054163</c:v>
                </c:pt>
                <c:pt idx="18">
                  <c:v>1.548094124464048</c:v>
                </c:pt>
                <c:pt idx="19">
                  <c:v>1.4624132425851746</c:v>
                </c:pt>
                <c:pt idx="20">
                  <c:v>1.5649568365679176</c:v>
                </c:pt>
                <c:pt idx="21">
                  <c:v>1.643393249013505</c:v>
                </c:pt>
                <c:pt idx="22">
                  <c:v>1.6192046304663501</c:v>
                </c:pt>
                <c:pt idx="23">
                  <c:v>1.5955482117806794</c:v>
                </c:pt>
                <c:pt idx="24">
                  <c:v>1.6421343357064724</c:v>
                </c:pt>
                <c:pt idx="25">
                  <c:v>1.6199679349655394</c:v>
                </c:pt>
                <c:pt idx="26">
                  <c:v>1.5799128053954232</c:v>
                </c:pt>
                <c:pt idx="27">
                  <c:v>1.6616261802836056</c:v>
                </c:pt>
                <c:pt idx="28">
                  <c:v>1.7089126565293091</c:v>
                </c:pt>
                <c:pt idx="29">
                  <c:v>1.774732269026349</c:v>
                </c:pt>
                <c:pt idx="30">
                  <c:v>1.7649869584244442</c:v>
                </c:pt>
                <c:pt idx="31">
                  <c:v>1.7313825850667677</c:v>
                </c:pt>
                <c:pt idx="32">
                  <c:v>1.8168126958823747</c:v>
                </c:pt>
                <c:pt idx="33">
                  <c:v>1.8262775558498505</c:v>
                </c:pt>
                <c:pt idx="34">
                  <c:v>1.8880371755082954</c:v>
                </c:pt>
                <c:pt idx="35">
                  <c:v>1.93246883800411</c:v>
                </c:pt>
                <c:pt idx="36">
                  <c:v>1.987591460138737</c:v>
                </c:pt>
                <c:pt idx="37">
                  <c:v>2.0892801660511204</c:v>
                </c:pt>
                <c:pt idx="38">
                  <c:v>2.1526499785145874</c:v>
                </c:pt>
                <c:pt idx="39">
                  <c:v>2.0743642846218333</c:v>
                </c:pt>
                <c:pt idx="40">
                  <c:v>2.0369971578257116</c:v>
                </c:pt>
                <c:pt idx="41">
                  <c:v>2.1272910133016283</c:v>
                </c:pt>
                <c:pt idx="42">
                  <c:v>2.1811121923387424</c:v>
                </c:pt>
                <c:pt idx="43">
                  <c:v>2.2463671829911709</c:v>
                </c:pt>
                <c:pt idx="44">
                  <c:v>2.286310444080637</c:v>
                </c:pt>
                <c:pt idx="45">
                  <c:v>2.2390836257531981</c:v>
                </c:pt>
                <c:pt idx="46">
                  <c:v>2.2547435650077792</c:v>
                </c:pt>
                <c:pt idx="47">
                  <c:v>2.3799775421825142</c:v>
                </c:pt>
                <c:pt idx="48">
                  <c:v>2.4079946062925472</c:v>
                </c:pt>
                <c:pt idx="49">
                  <c:v>2.3166713262240437</c:v>
                </c:pt>
                <c:pt idx="50">
                  <c:v>2.4743592746323824</c:v>
                </c:pt>
                <c:pt idx="51">
                  <c:v>2.5831483744485051</c:v>
                </c:pt>
                <c:pt idx="52">
                  <c:v>2.6453035181163354</c:v>
                </c:pt>
                <c:pt idx="53">
                  <c:v>2.6983467920211313</c:v>
                </c:pt>
                <c:pt idx="54">
                  <c:v>2.7467895130387943</c:v>
                </c:pt>
                <c:pt idx="55">
                  <c:v>2.7944524924955463</c:v>
                </c:pt>
                <c:pt idx="56">
                  <c:v>2.7969420312301114</c:v>
                </c:pt>
                <c:pt idx="57">
                  <c:v>2.8313838767118007</c:v>
                </c:pt>
                <c:pt idx="58">
                  <c:v>2.8999705358267702</c:v>
                </c:pt>
                <c:pt idx="59">
                  <c:v>2.8887055087393252</c:v>
                </c:pt>
                <c:pt idx="60">
                  <c:v>2.889529261007131</c:v>
                </c:pt>
                <c:pt idx="61">
                  <c:v>2.9489331323484795</c:v>
                </c:pt>
                <c:pt idx="62">
                  <c:v>2.9007141278607356</c:v>
                </c:pt>
                <c:pt idx="63">
                  <c:v>2.9408566975939254</c:v>
                </c:pt>
                <c:pt idx="64">
                  <c:v>2.9685911735488566</c:v>
                </c:pt>
                <c:pt idx="65">
                  <c:v>2.9827753942566613</c:v>
                </c:pt>
                <c:pt idx="66">
                  <c:v>2.995578325546989</c:v>
                </c:pt>
                <c:pt idx="67">
                  <c:v>2.9454208964249293</c:v>
                </c:pt>
                <c:pt idx="68">
                  <c:v>2.9285971189746429</c:v>
                </c:pt>
                <c:pt idx="69">
                  <c:v>3.0176573247059775</c:v>
                </c:pt>
                <c:pt idx="70">
                  <c:v>3.0371337445017708</c:v>
                </c:pt>
                <c:pt idx="71">
                  <c:v>3.0960487122543197</c:v>
                </c:pt>
                <c:pt idx="72">
                  <c:v>3.0601028221249158</c:v>
                </c:pt>
                <c:pt idx="73">
                  <c:v>3.0887387171906471</c:v>
                </c:pt>
                <c:pt idx="74">
                  <c:v>3.0270446257115871</c:v>
                </c:pt>
                <c:pt idx="75">
                  <c:v>3.1299510946889342</c:v>
                </c:pt>
                <c:pt idx="76">
                  <c:v>3.1113590738924919</c:v>
                </c:pt>
                <c:pt idx="77">
                  <c:v>3.1264159679043164</c:v>
                </c:pt>
                <c:pt idx="78">
                  <c:v>3.3000676736264363</c:v>
                </c:pt>
                <c:pt idx="79">
                  <c:v>3.3891621933022567</c:v>
                </c:pt>
                <c:pt idx="80">
                  <c:v>3.4625303133507073</c:v>
                </c:pt>
                <c:pt idx="81">
                  <c:v>3.4589034964203846</c:v>
                </c:pt>
                <c:pt idx="82">
                  <c:v>3.6846347236855119</c:v>
                </c:pt>
                <c:pt idx="83">
                  <c:v>3.7475206819692133</c:v>
                </c:pt>
                <c:pt idx="84">
                  <c:v>3.7087222670742324</c:v>
                </c:pt>
                <c:pt idx="85">
                  <c:v>3.6216779110015143</c:v>
                </c:pt>
                <c:pt idx="86">
                  <c:v>3.6783505567736139</c:v>
                </c:pt>
                <c:pt idx="87">
                  <c:v>3.7097725317668622</c:v>
                </c:pt>
                <c:pt idx="88">
                  <c:v>3.7844036478953158</c:v>
                </c:pt>
                <c:pt idx="89">
                  <c:v>3.7417695320961557</c:v>
                </c:pt>
                <c:pt idx="90">
                  <c:v>3.6123205072141142</c:v>
                </c:pt>
                <c:pt idx="91">
                  <c:v>3.7398563426470641</c:v>
                </c:pt>
                <c:pt idx="92">
                  <c:v>3.7648197031035031</c:v>
                </c:pt>
                <c:pt idx="93">
                  <c:v>3.7891940218012583</c:v>
                </c:pt>
                <c:pt idx="94">
                  <c:v>3.8061050085055137</c:v>
                </c:pt>
                <c:pt idx="95">
                  <c:v>3.8134995834809686</c:v>
                </c:pt>
                <c:pt idx="96">
                  <c:v>3.7503209235661958</c:v>
                </c:pt>
                <c:pt idx="97">
                  <c:v>3.7441790766613869</c:v>
                </c:pt>
                <c:pt idx="98">
                  <c:v>3.7316944164809467</c:v>
                </c:pt>
                <c:pt idx="99">
                  <c:v>3.7557340235342775</c:v>
                </c:pt>
                <c:pt idx="100">
                  <c:v>3.7132633504565153</c:v>
                </c:pt>
                <c:pt idx="101">
                  <c:v>3.7931502984008576</c:v>
                </c:pt>
                <c:pt idx="102">
                  <c:v>3.7667744629589812</c:v>
                </c:pt>
                <c:pt idx="103">
                  <c:v>3.8638227044844462</c:v>
                </c:pt>
                <c:pt idx="104">
                  <c:v>3.9405497288174152</c:v>
                </c:pt>
                <c:pt idx="105">
                  <c:v>3.8730233197496799</c:v>
                </c:pt>
                <c:pt idx="106">
                  <c:v>3.8979720344947228</c:v>
                </c:pt>
                <c:pt idx="107">
                  <c:v>3.8555807280953283</c:v>
                </c:pt>
                <c:pt idx="108">
                  <c:v>3.8717774597135692</c:v>
                </c:pt>
                <c:pt idx="109">
                  <c:v>3.8530684486696773</c:v>
                </c:pt>
                <c:pt idx="110">
                  <c:v>3.8413499996602196</c:v>
                </c:pt>
                <c:pt idx="111">
                  <c:v>3.8889166221012839</c:v>
                </c:pt>
                <c:pt idx="112">
                  <c:v>3.990691456152752</c:v>
                </c:pt>
                <c:pt idx="113">
                  <c:v>4.0533269502411899</c:v>
                </c:pt>
                <c:pt idx="114">
                  <c:v>4.0295184033735216</c:v>
                </c:pt>
                <c:pt idx="115">
                  <c:v>4.0735149007971412</c:v>
                </c:pt>
                <c:pt idx="116">
                  <c:v>4.1198116280309423</c:v>
                </c:pt>
                <c:pt idx="117">
                  <c:v>4.1435472300378349</c:v>
                </c:pt>
                <c:pt idx="118">
                  <c:v>4.0706091501336923</c:v>
                </c:pt>
                <c:pt idx="119">
                  <c:v>4.1406197167516305</c:v>
                </c:pt>
                <c:pt idx="120">
                  <c:v>4.0643778083398336</c:v>
                </c:pt>
                <c:pt idx="121">
                  <c:v>4.0986742072510012</c:v>
                </c:pt>
                <c:pt idx="122">
                  <c:v>3.9815465537403534</c:v>
                </c:pt>
                <c:pt idx="123">
                  <c:v>4.1213149106812246</c:v>
                </c:pt>
                <c:pt idx="124">
                  <c:v>4.1468535378280569</c:v>
                </c:pt>
                <c:pt idx="125">
                  <c:v>4.0282372871780705</c:v>
                </c:pt>
                <c:pt idx="126">
                  <c:v>4.1718468615588531</c:v>
                </c:pt>
                <c:pt idx="127">
                  <c:v>4.2123025148628628</c:v>
                </c:pt>
                <c:pt idx="128">
                  <c:v>4.3214794477727416</c:v>
                </c:pt>
                <c:pt idx="129">
                  <c:v>4.3699980209039868</c:v>
                </c:pt>
                <c:pt idx="130">
                  <c:v>4.3522125025092624</c:v>
                </c:pt>
                <c:pt idx="131">
                  <c:v>4.2388554465739512</c:v>
                </c:pt>
                <c:pt idx="132">
                  <c:v>4.2226100320378626</c:v>
                </c:pt>
                <c:pt idx="133">
                  <c:v>4.2883110231767052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72-4470-8B2C-C0284C09E6E5}"/>
            </c:ext>
          </c:extLst>
        </c:ser>
        <c:ser>
          <c:idx val="4"/>
          <c:order val="4"/>
          <c:tx>
            <c:strRef>
              <c:f>RF預測累積畫圖!$B$16:$B$16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RF預測累積畫圖!$C$16:$EF$16</c:f>
              <c:numCache>
                <c:formatCode>General</c:formatCode>
                <c:ptCount val="134"/>
                <c:pt idx="0">
                  <c:v>0.20787477708292909</c:v>
                </c:pt>
                <c:pt idx="1">
                  <c:v>0.61606975581550971</c:v>
                </c:pt>
                <c:pt idx="2">
                  <c:v>0.68107633292683789</c:v>
                </c:pt>
                <c:pt idx="3">
                  <c:v>0.80533612083453709</c:v>
                </c:pt>
                <c:pt idx="4">
                  <c:v>0.91434863353130869</c:v>
                </c:pt>
                <c:pt idx="5">
                  <c:v>0.98719668981895614</c:v>
                </c:pt>
                <c:pt idx="6">
                  <c:v>1.0989889917988633</c:v>
                </c:pt>
                <c:pt idx="7">
                  <c:v>1.0302949585456356</c:v>
                </c:pt>
                <c:pt idx="8">
                  <c:v>1.0482200630638987</c:v>
                </c:pt>
                <c:pt idx="9">
                  <c:v>1.0792472140293718</c:v>
                </c:pt>
                <c:pt idx="10">
                  <c:v>1.1195816687546125</c:v>
                </c:pt>
                <c:pt idx="11">
                  <c:v>1.4865692778771988</c:v>
                </c:pt>
                <c:pt idx="12">
                  <c:v>1.5021903701025092</c:v>
                </c:pt>
                <c:pt idx="13">
                  <c:v>1.5641701053834172</c:v>
                </c:pt>
                <c:pt idx="14">
                  <c:v>1.6607882785583268</c:v>
                </c:pt>
                <c:pt idx="15">
                  <c:v>1.6799710408139619</c:v>
                </c:pt>
                <c:pt idx="16">
                  <c:v>1.6375558576030078</c:v>
                </c:pt>
                <c:pt idx="17">
                  <c:v>1.5703367974454066</c:v>
                </c:pt>
                <c:pt idx="18">
                  <c:v>1.6189883132382084</c:v>
                </c:pt>
                <c:pt idx="19">
                  <c:v>1.5146721376367667</c:v>
                </c:pt>
                <c:pt idx="20">
                  <c:v>1.6163378136845785</c:v>
                </c:pt>
                <c:pt idx="21">
                  <c:v>1.6900160913420457</c:v>
                </c:pt>
                <c:pt idx="22">
                  <c:v>1.6857286442503092</c:v>
                </c:pt>
                <c:pt idx="23">
                  <c:v>1.6656528493718845</c:v>
                </c:pt>
                <c:pt idx="24">
                  <c:v>1.7158783762377989</c:v>
                </c:pt>
                <c:pt idx="25">
                  <c:v>1.6835829618037312</c:v>
                </c:pt>
                <c:pt idx="26">
                  <c:v>1.6425424390946481</c:v>
                </c:pt>
                <c:pt idx="27">
                  <c:v>1.695678494642505</c:v>
                </c:pt>
                <c:pt idx="28">
                  <c:v>1.7472134865244069</c:v>
                </c:pt>
                <c:pt idx="29">
                  <c:v>1.810899329105996</c:v>
                </c:pt>
                <c:pt idx="30">
                  <c:v>1.80259742150311</c:v>
                </c:pt>
                <c:pt idx="31">
                  <c:v>1.7708320210536694</c:v>
                </c:pt>
                <c:pt idx="32">
                  <c:v>1.8199100642302375</c:v>
                </c:pt>
                <c:pt idx="33">
                  <c:v>1.8128840981583614</c:v>
                </c:pt>
                <c:pt idx="34">
                  <c:v>1.8773054989907334</c:v>
                </c:pt>
                <c:pt idx="35">
                  <c:v>1.9259944320952567</c:v>
                </c:pt>
                <c:pt idx="36">
                  <c:v>1.9920711626970546</c:v>
                </c:pt>
                <c:pt idx="37">
                  <c:v>2.0985273627867302</c:v>
                </c:pt>
                <c:pt idx="38">
                  <c:v>2.1599520346126426</c:v>
                </c:pt>
                <c:pt idx="39">
                  <c:v>2.0821536664670539</c:v>
                </c:pt>
                <c:pt idx="40">
                  <c:v>2.0436874663209852</c:v>
                </c:pt>
                <c:pt idx="41">
                  <c:v>2.1469786453814774</c:v>
                </c:pt>
                <c:pt idx="42">
                  <c:v>2.2120468708554468</c:v>
                </c:pt>
                <c:pt idx="43">
                  <c:v>2.261594026173817</c:v>
                </c:pt>
                <c:pt idx="44">
                  <c:v>2.3034208644287122</c:v>
                </c:pt>
                <c:pt idx="45">
                  <c:v>2.2943483576486936</c:v>
                </c:pt>
                <c:pt idx="46">
                  <c:v>2.3336012877233441</c:v>
                </c:pt>
                <c:pt idx="47">
                  <c:v>2.434431060967317</c:v>
                </c:pt>
                <c:pt idx="48">
                  <c:v>2.468243650811663</c:v>
                </c:pt>
                <c:pt idx="49">
                  <c:v>2.363334015632951</c:v>
                </c:pt>
                <c:pt idx="50">
                  <c:v>2.523324715807572</c:v>
                </c:pt>
                <c:pt idx="51">
                  <c:v>2.6557994534041436</c:v>
                </c:pt>
                <c:pt idx="52">
                  <c:v>2.7229209195118353</c:v>
                </c:pt>
                <c:pt idx="53">
                  <c:v>2.7588576310577393</c:v>
                </c:pt>
                <c:pt idx="54">
                  <c:v>2.8102686254522142</c:v>
                </c:pt>
                <c:pt idx="55">
                  <c:v>2.8745366797719325</c:v>
                </c:pt>
                <c:pt idx="56">
                  <c:v>2.8880099618198893</c:v>
                </c:pt>
                <c:pt idx="57">
                  <c:v>2.8742343473359275</c:v>
                </c:pt>
                <c:pt idx="58">
                  <c:v>2.9156781550991893</c:v>
                </c:pt>
                <c:pt idx="59">
                  <c:v>2.8951743388159819</c:v>
                </c:pt>
                <c:pt idx="60">
                  <c:v>2.8981463291111789</c:v>
                </c:pt>
                <c:pt idx="61">
                  <c:v>2.9687698948187022</c:v>
                </c:pt>
                <c:pt idx="62">
                  <c:v>2.9292719093275963</c:v>
                </c:pt>
                <c:pt idx="63">
                  <c:v>2.9771777419316234</c:v>
                </c:pt>
                <c:pt idx="64">
                  <c:v>2.9990681018852809</c:v>
                </c:pt>
                <c:pt idx="65">
                  <c:v>3.0199112854328614</c:v>
                </c:pt>
                <c:pt idx="66">
                  <c:v>3.0363893016877901</c:v>
                </c:pt>
                <c:pt idx="67">
                  <c:v>3.0100924536663456</c:v>
                </c:pt>
                <c:pt idx="68">
                  <c:v>2.9969008805188815</c:v>
                </c:pt>
                <c:pt idx="69">
                  <c:v>3.0823840717866813</c:v>
                </c:pt>
                <c:pt idx="70">
                  <c:v>3.1401491819714815</c:v>
                </c:pt>
                <c:pt idx="71">
                  <c:v>3.2008604214183225</c:v>
                </c:pt>
                <c:pt idx="72">
                  <c:v>3.1351194939917879</c:v>
                </c:pt>
                <c:pt idx="73">
                  <c:v>3.1666787315129188</c:v>
                </c:pt>
                <c:pt idx="74">
                  <c:v>3.116114998665676</c:v>
                </c:pt>
                <c:pt idx="75">
                  <c:v>3.2276408471673252</c:v>
                </c:pt>
                <c:pt idx="76">
                  <c:v>3.1979264574117621</c:v>
                </c:pt>
                <c:pt idx="77">
                  <c:v>3.1964984124225446</c:v>
                </c:pt>
                <c:pt idx="78">
                  <c:v>3.2408865655927506</c:v>
                </c:pt>
                <c:pt idx="79">
                  <c:v>3.3286376558583441</c:v>
                </c:pt>
                <c:pt idx="80">
                  <c:v>3.4222518863262601</c:v>
                </c:pt>
                <c:pt idx="81">
                  <c:v>3.4075558233598309</c:v>
                </c:pt>
                <c:pt idx="82">
                  <c:v>3.5537518633859726</c:v>
                </c:pt>
                <c:pt idx="83">
                  <c:v>3.5954492780889997</c:v>
                </c:pt>
                <c:pt idx="84">
                  <c:v>3.5567393962604821</c:v>
                </c:pt>
                <c:pt idx="85">
                  <c:v>3.5112158454728153</c:v>
                </c:pt>
                <c:pt idx="86">
                  <c:v>3.5876888291905056</c:v>
                </c:pt>
                <c:pt idx="87">
                  <c:v>3.603567511525215</c:v>
                </c:pt>
                <c:pt idx="88">
                  <c:v>3.6925561396747266</c:v>
                </c:pt>
                <c:pt idx="89">
                  <c:v>3.6594986245337768</c:v>
                </c:pt>
                <c:pt idx="90">
                  <c:v>3.4770466699939475</c:v>
                </c:pt>
                <c:pt idx="91">
                  <c:v>3.6136783594760389</c:v>
                </c:pt>
                <c:pt idx="92">
                  <c:v>3.6340121392964</c:v>
                </c:pt>
                <c:pt idx="93">
                  <c:v>3.6592407958085595</c:v>
                </c:pt>
                <c:pt idx="94">
                  <c:v>3.6810478047181818</c:v>
                </c:pt>
                <c:pt idx="95">
                  <c:v>3.6861152112190227</c:v>
                </c:pt>
                <c:pt idx="96">
                  <c:v>3.6226805568600482</c:v>
                </c:pt>
                <c:pt idx="97">
                  <c:v>3.6059294727793274</c:v>
                </c:pt>
                <c:pt idx="98">
                  <c:v>3.5967353132467057</c:v>
                </c:pt>
                <c:pt idx="99">
                  <c:v>3.6089755980009555</c:v>
                </c:pt>
                <c:pt idx="100">
                  <c:v>3.5598585488843302</c:v>
                </c:pt>
                <c:pt idx="101">
                  <c:v>3.6624918080624629</c:v>
                </c:pt>
                <c:pt idx="102">
                  <c:v>3.6326870140952274</c:v>
                </c:pt>
                <c:pt idx="103">
                  <c:v>3.730704296981024</c:v>
                </c:pt>
                <c:pt idx="104">
                  <c:v>3.7944449554890691</c:v>
                </c:pt>
                <c:pt idx="105">
                  <c:v>3.7200738404864717</c:v>
                </c:pt>
                <c:pt idx="106">
                  <c:v>3.7545182128277004</c:v>
                </c:pt>
                <c:pt idx="107">
                  <c:v>3.7313717796021413</c:v>
                </c:pt>
                <c:pt idx="108">
                  <c:v>3.7458247272335798</c:v>
                </c:pt>
                <c:pt idx="109">
                  <c:v>3.7266953838156089</c:v>
                </c:pt>
                <c:pt idx="110">
                  <c:v>3.7134619581030868</c:v>
                </c:pt>
                <c:pt idx="111">
                  <c:v>3.7652151791756419</c:v>
                </c:pt>
                <c:pt idx="112">
                  <c:v>3.8988095358012225</c:v>
                </c:pt>
                <c:pt idx="113">
                  <c:v>3.9639225719298672</c:v>
                </c:pt>
                <c:pt idx="114">
                  <c:v>3.9335916221715261</c:v>
                </c:pt>
                <c:pt idx="115">
                  <c:v>3.9760294755309333</c:v>
                </c:pt>
                <c:pt idx="116">
                  <c:v>4.0292513830870771</c:v>
                </c:pt>
                <c:pt idx="117">
                  <c:v>4.0490933316663034</c:v>
                </c:pt>
                <c:pt idx="118">
                  <c:v>3.9815328117206672</c:v>
                </c:pt>
                <c:pt idx="119">
                  <c:v>4.0367240633701824</c:v>
                </c:pt>
                <c:pt idx="120">
                  <c:v>3.9429719983804281</c:v>
                </c:pt>
                <c:pt idx="121">
                  <c:v>3.9750314905336679</c:v>
                </c:pt>
                <c:pt idx="122">
                  <c:v>3.8522594440107039</c:v>
                </c:pt>
                <c:pt idx="123">
                  <c:v>3.9892131760284975</c:v>
                </c:pt>
                <c:pt idx="124">
                  <c:v>4.0301309057281882</c:v>
                </c:pt>
                <c:pt idx="125">
                  <c:v>3.904846199404211</c:v>
                </c:pt>
                <c:pt idx="126">
                  <c:v>4.0624183321395835</c:v>
                </c:pt>
                <c:pt idx="127">
                  <c:v>4.1212290803306297</c:v>
                </c:pt>
                <c:pt idx="128">
                  <c:v>4.2610280990740197</c:v>
                </c:pt>
                <c:pt idx="129">
                  <c:v>4.339638737817153</c:v>
                </c:pt>
                <c:pt idx="130">
                  <c:v>4.3147007412750327</c:v>
                </c:pt>
                <c:pt idx="131">
                  <c:v>4.1992839937761115</c:v>
                </c:pt>
                <c:pt idx="132">
                  <c:v>4.1761932822515</c:v>
                </c:pt>
                <c:pt idx="133">
                  <c:v>4.2186676837454069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72-4470-8B2C-C0284C09E6E5}"/>
            </c:ext>
          </c:extLst>
        </c:ser>
        <c:ser>
          <c:idx val="5"/>
          <c:order val="5"/>
          <c:tx>
            <c:strRef>
              <c:f>RF預測累積畫圖!$B$17:$B$17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RF預測累積畫圖!$C$17:$EF$17</c:f>
              <c:numCache>
                <c:formatCode>General</c:formatCode>
                <c:ptCount val="134"/>
                <c:pt idx="0">
                  <c:v>0.2060921883792059</c:v>
                </c:pt>
                <c:pt idx="1">
                  <c:v>0.64568067700382725</c:v>
                </c:pt>
                <c:pt idx="2">
                  <c:v>0.72527052639458023</c:v>
                </c:pt>
                <c:pt idx="3">
                  <c:v>0.87204234070709252</c:v>
                </c:pt>
                <c:pt idx="4">
                  <c:v>0.98917382090222716</c:v>
                </c:pt>
                <c:pt idx="5">
                  <c:v>1.0941678745299681</c:v>
                </c:pt>
                <c:pt idx="6">
                  <c:v>1.1616575296163092</c:v>
                </c:pt>
                <c:pt idx="8">
                  <c:v>3.9444991917733881E-2</c:v>
                </c:pt>
                <c:pt idx="9">
                  <c:v>7.3220921456372018E-2</c:v>
                </c:pt>
                <c:pt idx="10">
                  <c:v>0.1381529564398582</c:v>
                </c:pt>
                <c:pt idx="11">
                  <c:v>0.54326096537932034</c:v>
                </c:pt>
                <c:pt idx="12">
                  <c:v>0.56789302059126601</c:v>
                </c:pt>
                <c:pt idx="13">
                  <c:v>0.64480862409416695</c:v>
                </c:pt>
                <c:pt idx="14">
                  <c:v>0.75123887738064377</c:v>
                </c:pt>
                <c:pt idx="15">
                  <c:v>0.75321412866131321</c:v>
                </c:pt>
                <c:pt idx="16">
                  <c:v>0.69808210292334083</c:v>
                </c:pt>
                <c:pt idx="17">
                  <c:v>0.62688008839053377</c:v>
                </c:pt>
                <c:pt idx="18">
                  <c:v>0.67917032233734997</c:v>
                </c:pt>
                <c:pt idx="19">
                  <c:v>0.56281402031194983</c:v>
                </c:pt>
                <c:pt idx="20">
                  <c:v>0.68241800432425737</c:v>
                </c:pt>
                <c:pt idx="21">
                  <c:v>0.78260397132824566</c:v>
                </c:pt>
                <c:pt idx="22">
                  <c:v>0.78410447265478289</c:v>
                </c:pt>
                <c:pt idx="23">
                  <c:v>0.76249598286051656</c:v>
                </c:pt>
                <c:pt idx="24">
                  <c:v>0.82475017994698829</c:v>
                </c:pt>
                <c:pt idx="25">
                  <c:v>0.78021187667754865</c:v>
                </c:pt>
                <c:pt idx="26">
                  <c:v>0.73941286568986642</c:v>
                </c:pt>
                <c:pt idx="27">
                  <c:v>0.78919024115062053</c:v>
                </c:pt>
                <c:pt idx="28">
                  <c:v>0.84863374084631293</c:v>
                </c:pt>
                <c:pt idx="29">
                  <c:v>0.91006305096825302</c:v>
                </c:pt>
                <c:pt idx="30">
                  <c:v>0.90871138016244124</c:v>
                </c:pt>
                <c:pt idx="31">
                  <c:v>0.87323876098955244</c:v>
                </c:pt>
                <c:pt idx="32">
                  <c:v>0.90382646963106605</c:v>
                </c:pt>
                <c:pt idx="33">
                  <c:v>0.8612238391121092</c:v>
                </c:pt>
                <c:pt idx="34">
                  <c:v>0.93494011385114562</c:v>
                </c:pt>
                <c:pt idx="35">
                  <c:v>0.98566451959970214</c:v>
                </c:pt>
                <c:pt idx="36">
                  <c:v>1.061033887187359</c:v>
                </c:pt>
                <c:pt idx="37">
                  <c:v>1.1743210075332766</c:v>
                </c:pt>
                <c:pt idx="38">
                  <c:v>1.1869533421290008</c:v>
                </c:pt>
                <c:pt idx="39">
                  <c:v>1.1097105277094153</c:v>
                </c:pt>
                <c:pt idx="40">
                  <c:v>1.0491833903079162</c:v>
                </c:pt>
                <c:pt idx="41">
                  <c:v>1.1631141002027334</c:v>
                </c:pt>
                <c:pt idx="42">
                  <c:v>1.2194376622372092</c:v>
                </c:pt>
                <c:pt idx="43">
                  <c:v>1.2717054686869314</c:v>
                </c:pt>
                <c:pt idx="44">
                  <c:v>1.3262609759736192</c:v>
                </c:pt>
                <c:pt idx="45">
                  <c:v>1.3050550731913508</c:v>
                </c:pt>
                <c:pt idx="46">
                  <c:v>1.3134769612331876</c:v>
                </c:pt>
                <c:pt idx="47">
                  <c:v>1.4097175197419864</c:v>
                </c:pt>
                <c:pt idx="48">
                  <c:v>1.4371412164325874</c:v>
                </c:pt>
                <c:pt idx="49">
                  <c:v>1.3119836141723964</c:v>
                </c:pt>
                <c:pt idx="50">
                  <c:v>1.4747900239821592</c:v>
                </c:pt>
                <c:pt idx="51">
                  <c:v>1.628061308260544</c:v>
                </c:pt>
                <c:pt idx="52">
                  <c:v>1.7119245034383577</c:v>
                </c:pt>
                <c:pt idx="53">
                  <c:v>1.7342809856845625</c:v>
                </c:pt>
                <c:pt idx="54">
                  <c:v>1.8116312279226228</c:v>
                </c:pt>
                <c:pt idx="55">
                  <c:v>1.8668287245315764</c:v>
                </c:pt>
                <c:pt idx="56">
                  <c:v>1.8314344884435392</c:v>
                </c:pt>
                <c:pt idx="57">
                  <c:v>1.8449539492952922</c:v>
                </c:pt>
                <c:pt idx="58">
                  <c:v>1.9320658947352394</c:v>
                </c:pt>
                <c:pt idx="59">
                  <c:v>1.9222078304620029</c:v>
                </c:pt>
                <c:pt idx="60">
                  <c:v>1.9083848783918975</c:v>
                </c:pt>
                <c:pt idx="61">
                  <c:v>1.9858678451918437</c:v>
                </c:pt>
                <c:pt idx="62">
                  <c:v>1.9568088340394894</c:v>
                </c:pt>
                <c:pt idx="63">
                  <c:v>2.0037243596333671</c:v>
                </c:pt>
                <c:pt idx="64">
                  <c:v>2.0389039750500908</c:v>
                </c:pt>
                <c:pt idx="65">
                  <c:v>2.0748999547045717</c:v>
                </c:pt>
                <c:pt idx="66">
                  <c:v>2.0862764651510233</c:v>
                </c:pt>
                <c:pt idx="67">
                  <c:v>2.0766300900262733</c:v>
                </c:pt>
                <c:pt idx="68">
                  <c:v>2.0725266209156668</c:v>
                </c:pt>
                <c:pt idx="69">
                  <c:v>2.1819429997860902</c:v>
                </c:pt>
                <c:pt idx="70">
                  <c:v>2.2530708185368424</c:v>
                </c:pt>
                <c:pt idx="71">
                  <c:v>2.3232811215564708</c:v>
                </c:pt>
                <c:pt idx="72">
                  <c:v>2.2428494089572051</c:v>
                </c:pt>
                <c:pt idx="73">
                  <c:v>2.271672373576878</c:v>
                </c:pt>
                <c:pt idx="74">
                  <c:v>2.1874269059481835</c:v>
                </c:pt>
                <c:pt idx="75">
                  <c:v>2.3080050618292689</c:v>
                </c:pt>
                <c:pt idx="76">
                  <c:v>2.2800702294707795</c:v>
                </c:pt>
                <c:pt idx="77">
                  <c:v>2.2695925219787871</c:v>
                </c:pt>
                <c:pt idx="78">
                  <c:v>2.3113527744530229</c:v>
                </c:pt>
                <c:pt idx="79">
                  <c:v>2.3754587197183503</c:v>
                </c:pt>
                <c:pt idx="80">
                  <c:v>2.4711667933798456</c:v>
                </c:pt>
                <c:pt idx="81">
                  <c:v>2.3760434444416418</c:v>
                </c:pt>
                <c:pt idx="82">
                  <c:v>2.5530780517649934</c:v>
                </c:pt>
                <c:pt idx="83">
                  <c:v>2.6117144983720433</c:v>
                </c:pt>
                <c:pt idx="84">
                  <c:v>2.5971833133824549</c:v>
                </c:pt>
                <c:pt idx="85">
                  <c:v>2.5464409918980127</c:v>
                </c:pt>
                <c:pt idx="86">
                  <c:v>2.6381795645559256</c:v>
                </c:pt>
                <c:pt idx="87">
                  <c:v>2.6287532197868941</c:v>
                </c:pt>
                <c:pt idx="88">
                  <c:v>2.7633225642184684</c:v>
                </c:pt>
                <c:pt idx="89">
                  <c:v>2.7366045030674813</c:v>
                </c:pt>
                <c:pt idx="90">
                  <c:v>2.5340658758044916</c:v>
                </c:pt>
                <c:pt idx="91">
                  <c:v>2.6822251450018353</c:v>
                </c:pt>
                <c:pt idx="92">
                  <c:v>2.6303180416601086</c:v>
                </c:pt>
                <c:pt idx="93">
                  <c:v>2.6533238711981069</c:v>
                </c:pt>
                <c:pt idx="94">
                  <c:v>2.6648693869151119</c:v>
                </c:pt>
                <c:pt idx="95">
                  <c:v>2.7141294433043051</c:v>
                </c:pt>
                <c:pt idx="96">
                  <c:v>2.639721135721051</c:v>
                </c:pt>
                <c:pt idx="97">
                  <c:v>2.6436007436609783</c:v>
                </c:pt>
                <c:pt idx="98">
                  <c:v>2.6238388897516254</c:v>
                </c:pt>
                <c:pt idx="99">
                  <c:v>2.6346112842755733</c:v>
                </c:pt>
                <c:pt idx="100">
                  <c:v>2.5852279855594835</c:v>
                </c:pt>
                <c:pt idx="101">
                  <c:v>2.7094768234071038</c:v>
                </c:pt>
                <c:pt idx="102">
                  <c:v>2.6655809642619697</c:v>
                </c:pt>
                <c:pt idx="103">
                  <c:v>2.769852590165053</c:v>
                </c:pt>
                <c:pt idx="104">
                  <c:v>2.8237409121139354</c:v>
                </c:pt>
                <c:pt idx="105">
                  <c:v>2.7756103227754236</c:v>
                </c:pt>
                <c:pt idx="106">
                  <c:v>2.8193337385587269</c:v>
                </c:pt>
                <c:pt idx="107">
                  <c:v>2.8081023682320678</c:v>
                </c:pt>
                <c:pt idx="108">
                  <c:v>2.8062630863031592</c:v>
                </c:pt>
                <c:pt idx="109">
                  <c:v>2.7675364353651464</c:v>
                </c:pt>
                <c:pt idx="110">
                  <c:v>2.7622431910413638</c:v>
                </c:pt>
                <c:pt idx="111">
                  <c:v>2.8193896913687073</c:v>
                </c:pt>
                <c:pt idx="112">
                  <c:v>2.9754261194852534</c:v>
                </c:pt>
                <c:pt idx="113">
                  <c:v>3.0489417204224245</c:v>
                </c:pt>
                <c:pt idx="114">
                  <c:v>2.9966888098401085</c:v>
                </c:pt>
                <c:pt idx="115">
                  <c:v>3.0321778425544474</c:v>
                </c:pt>
                <c:pt idx="116">
                  <c:v>3.085629212894351</c:v>
                </c:pt>
                <c:pt idx="117">
                  <c:v>3.0691107046377275</c:v>
                </c:pt>
                <c:pt idx="118">
                  <c:v>3.0038663565039654</c:v>
                </c:pt>
                <c:pt idx="119">
                  <c:v>3.0597511713802938</c:v>
                </c:pt>
                <c:pt idx="120">
                  <c:v>2.9354350115754828</c:v>
                </c:pt>
                <c:pt idx="121">
                  <c:v>2.9521782014946756</c:v>
                </c:pt>
                <c:pt idx="122">
                  <c:v>2.8226852451746858</c:v>
                </c:pt>
                <c:pt idx="123">
                  <c:v>2.9404506432856401</c:v>
                </c:pt>
                <c:pt idx="124">
                  <c:v>2.9891321266997903</c:v>
                </c:pt>
                <c:pt idx="125">
                  <c:v>2.8595931441033162</c:v>
                </c:pt>
                <c:pt idx="126">
                  <c:v>2.9668760397051681</c:v>
                </c:pt>
                <c:pt idx="127">
                  <c:v>3.0160886688749762</c:v>
                </c:pt>
                <c:pt idx="128">
                  <c:v>3.1806601921070912</c:v>
                </c:pt>
                <c:pt idx="129">
                  <c:v>3.2677605413018305</c:v>
                </c:pt>
                <c:pt idx="130">
                  <c:v>3.2473993822080685</c:v>
                </c:pt>
                <c:pt idx="131">
                  <c:v>3.1190749382791556</c:v>
                </c:pt>
                <c:pt idx="132">
                  <c:v>3.0936615779691219</c:v>
                </c:pt>
                <c:pt idx="133">
                  <c:v>3.1413713449789737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72-4470-8B2C-C0284C09E6E5}"/>
            </c:ext>
          </c:extLst>
        </c:ser>
        <c:ser>
          <c:idx val="6"/>
          <c:order val="6"/>
          <c:tx>
            <c:strRef>
              <c:f>RF預測累積畫圖!$B$18:$B$18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RF預測累積畫圖!$C$18:$EF$18</c:f>
              <c:numCache>
                <c:formatCode>General</c:formatCode>
                <c:ptCount val="134"/>
                <c:pt idx="0">
                  <c:v>0.18975112249235829</c:v>
                </c:pt>
                <c:pt idx="1">
                  <c:v>0.59163480391442624</c:v>
                </c:pt>
                <c:pt idx="2">
                  <c:v>0.64507415418215031</c:v>
                </c:pt>
                <c:pt idx="3">
                  <c:v>0.85716480534019279</c:v>
                </c:pt>
                <c:pt idx="4">
                  <c:v>0.99022286265980353</c:v>
                </c:pt>
                <c:pt idx="5">
                  <c:v>1.1187624244343748</c:v>
                </c:pt>
                <c:pt idx="6">
                  <c:v>1.1737150873431763</c:v>
                </c:pt>
                <c:pt idx="7">
                  <c:v>1.0485532942546345</c:v>
                </c:pt>
                <c:pt idx="8">
                  <c:v>1.0801397445655483</c:v>
                </c:pt>
                <c:pt idx="9">
                  <c:v>1.1268124649062214</c:v>
                </c:pt>
                <c:pt idx="10">
                  <c:v>1.206515042020198</c:v>
                </c:pt>
                <c:pt idx="11">
                  <c:v>1.6683350600908111</c:v>
                </c:pt>
                <c:pt idx="12">
                  <c:v>1.692658934933631</c:v>
                </c:pt>
                <c:pt idx="13">
                  <c:v>1.747228548044615</c:v>
                </c:pt>
                <c:pt idx="14">
                  <c:v>1.8689649197092502</c:v>
                </c:pt>
                <c:pt idx="15">
                  <c:v>1.8882911186361064</c:v>
                </c:pt>
                <c:pt idx="16">
                  <c:v>1.8192777782423977</c:v>
                </c:pt>
                <c:pt idx="17">
                  <c:v>1.765033338210789</c:v>
                </c:pt>
                <c:pt idx="18">
                  <c:v>1.7931688658433798</c:v>
                </c:pt>
                <c:pt idx="19">
                  <c:v>1.6619149389039387</c:v>
                </c:pt>
                <c:pt idx="20">
                  <c:v>1.799832176819645</c:v>
                </c:pt>
                <c:pt idx="21">
                  <c:v>1.9269549854451353</c:v>
                </c:pt>
                <c:pt idx="22">
                  <c:v>1.9511687931657162</c:v>
                </c:pt>
                <c:pt idx="23">
                  <c:v>1.9342630769783324</c:v>
                </c:pt>
                <c:pt idx="24">
                  <c:v>1.9890675749585476</c:v>
                </c:pt>
                <c:pt idx="25">
                  <c:v>1.9264227696958867</c:v>
                </c:pt>
                <c:pt idx="26">
                  <c:v>1.8517029463166199</c:v>
                </c:pt>
                <c:pt idx="27">
                  <c:v>1.9241467354051514</c:v>
                </c:pt>
                <c:pt idx="28">
                  <c:v>2.0013483270240311</c:v>
                </c:pt>
                <c:pt idx="29">
                  <c:v>2.0332217451846568</c:v>
                </c:pt>
                <c:pt idx="30">
                  <c:v>2.0246033808045132</c:v>
                </c:pt>
                <c:pt idx="31">
                  <c:v>1.9844059198359985</c:v>
                </c:pt>
                <c:pt idx="32">
                  <c:v>2.0312614611897546</c:v>
                </c:pt>
                <c:pt idx="33">
                  <c:v>1.9838677050233056</c:v>
                </c:pt>
                <c:pt idx="34">
                  <c:v>2.0140201856209314</c:v>
                </c:pt>
                <c:pt idx="35">
                  <c:v>2.061547949253189</c:v>
                </c:pt>
                <c:pt idx="36">
                  <c:v>2.1281913546779601</c:v>
                </c:pt>
                <c:pt idx="37">
                  <c:v>2.2074859946331618</c:v>
                </c:pt>
                <c:pt idx="38">
                  <c:v>2.2129135296008546</c:v>
                </c:pt>
                <c:pt idx="39">
                  <c:v>2.1346349376670477</c:v>
                </c:pt>
                <c:pt idx="40">
                  <c:v>2.0584040923405977</c:v>
                </c:pt>
                <c:pt idx="41">
                  <c:v>2.1829495987035421</c:v>
                </c:pt>
                <c:pt idx="42">
                  <c:v>2.2687761502575112</c:v>
                </c:pt>
                <c:pt idx="43">
                  <c:v>2.3121018000780897</c:v>
                </c:pt>
                <c:pt idx="44">
                  <c:v>2.3766774441576812</c:v>
                </c:pt>
                <c:pt idx="45">
                  <c:v>2.3479086882759641</c:v>
                </c:pt>
                <c:pt idx="46">
                  <c:v>2.3724467225170716</c:v>
                </c:pt>
                <c:pt idx="47">
                  <c:v>2.4800075907729076</c:v>
                </c:pt>
                <c:pt idx="48">
                  <c:v>2.5147908694140555</c:v>
                </c:pt>
                <c:pt idx="49">
                  <c:v>2.3663817870251562</c:v>
                </c:pt>
                <c:pt idx="50">
                  <c:v>2.5468615516947026</c:v>
                </c:pt>
                <c:pt idx="51">
                  <c:v>2.7141195701754954</c:v>
                </c:pt>
                <c:pt idx="52">
                  <c:v>2.797321142768816</c:v>
                </c:pt>
                <c:pt idx="53">
                  <c:v>2.7733048710815158</c:v>
                </c:pt>
                <c:pt idx="54">
                  <c:v>2.8416660843196788</c:v>
                </c:pt>
                <c:pt idx="55">
                  <c:v>2.8875506206192578</c:v>
                </c:pt>
                <c:pt idx="56">
                  <c:v>2.8707443793930536</c:v>
                </c:pt>
                <c:pt idx="57">
                  <c:v>2.8912482324568591</c:v>
                </c:pt>
                <c:pt idx="58">
                  <c:v>3.0002482393755248</c:v>
                </c:pt>
                <c:pt idx="59">
                  <c:v>3.0062043034259842</c:v>
                </c:pt>
                <c:pt idx="60">
                  <c:v>2.9482010592557817</c:v>
                </c:pt>
                <c:pt idx="61">
                  <c:v>3.0293587330759859</c:v>
                </c:pt>
                <c:pt idx="62">
                  <c:v>3.0012773767028906</c:v>
                </c:pt>
                <c:pt idx="63">
                  <c:v>3.0540517663267206</c:v>
                </c:pt>
                <c:pt idx="64">
                  <c:v>3.074279262433095</c:v>
                </c:pt>
                <c:pt idx="65">
                  <c:v>3.1211368027677771</c:v>
                </c:pt>
                <c:pt idx="66">
                  <c:v>3.1230535868776261</c:v>
                </c:pt>
                <c:pt idx="67">
                  <c:v>3.1173053932936714</c:v>
                </c:pt>
                <c:pt idx="68">
                  <c:v>3.1133217681965522</c:v>
                </c:pt>
                <c:pt idx="69">
                  <c:v>3.2285585162324386</c:v>
                </c:pt>
                <c:pt idx="70">
                  <c:v>3.3092359602724795</c:v>
                </c:pt>
                <c:pt idx="71">
                  <c:v>3.390159355549522</c:v>
                </c:pt>
                <c:pt idx="72">
                  <c:v>3.3048482686163263</c:v>
                </c:pt>
                <c:pt idx="73">
                  <c:v>3.3238667433323621</c:v>
                </c:pt>
                <c:pt idx="74">
                  <c:v>3.2007917675083375</c:v>
                </c:pt>
                <c:pt idx="75">
                  <c:v>3.3541117553109356</c:v>
                </c:pt>
                <c:pt idx="76">
                  <c:v>3.3380352114180747</c:v>
                </c:pt>
                <c:pt idx="77">
                  <c:v>3.3134578548056264</c:v>
                </c:pt>
                <c:pt idx="78">
                  <c:v>3.4181184786472714</c:v>
                </c:pt>
                <c:pt idx="79">
                  <c:v>3.4685642732023099</c:v>
                </c:pt>
                <c:pt idx="80">
                  <c:v>3.5458246680805328</c:v>
                </c:pt>
                <c:pt idx="81">
                  <c:v>3.4439660525475388</c:v>
                </c:pt>
                <c:pt idx="82">
                  <c:v>3.6706074584491586</c:v>
                </c:pt>
                <c:pt idx="83">
                  <c:v>3.8332645051363916</c:v>
                </c:pt>
                <c:pt idx="84">
                  <c:v>3.7943953652587021</c:v>
                </c:pt>
                <c:pt idx="85">
                  <c:v>3.7320816874337925</c:v>
                </c:pt>
                <c:pt idx="86">
                  <c:v>3.8227494717260764</c:v>
                </c:pt>
                <c:pt idx="87">
                  <c:v>3.7917599266678832</c:v>
                </c:pt>
                <c:pt idx="88">
                  <c:v>3.9354084698322769</c:v>
                </c:pt>
                <c:pt idx="89">
                  <c:v>3.9003222158541004</c:v>
                </c:pt>
                <c:pt idx="90">
                  <c:v>3.6687483373046712</c:v>
                </c:pt>
                <c:pt idx="91">
                  <c:v>3.8315874462526818</c:v>
                </c:pt>
                <c:pt idx="92">
                  <c:v>3.7933447706577392</c:v>
                </c:pt>
                <c:pt idx="93">
                  <c:v>3.8270880729289316</c:v>
                </c:pt>
                <c:pt idx="94">
                  <c:v>3.8552166333430202</c:v>
                </c:pt>
                <c:pt idx="95">
                  <c:v>3.9457320623452699</c:v>
                </c:pt>
                <c:pt idx="96">
                  <c:v>3.8740833711401597</c:v>
                </c:pt>
                <c:pt idx="97">
                  <c:v>3.9651236533704481</c:v>
                </c:pt>
                <c:pt idx="98">
                  <c:v>3.9566675678059222</c:v>
                </c:pt>
                <c:pt idx="99">
                  <c:v>4.0182277536397004</c:v>
                </c:pt>
                <c:pt idx="100">
                  <c:v>3.9668703398649181</c:v>
                </c:pt>
                <c:pt idx="101">
                  <c:v>4.0997132031666892</c:v>
                </c:pt>
                <c:pt idx="102">
                  <c:v>4.0523322636479957</c:v>
                </c:pt>
                <c:pt idx="103">
                  <c:v>4.1704469819332077</c:v>
                </c:pt>
                <c:pt idx="104">
                  <c:v>4.21965584935732</c:v>
                </c:pt>
                <c:pt idx="105">
                  <c:v>4.1485845494497564</c:v>
                </c:pt>
                <c:pt idx="106">
                  <c:v>4.1977579943413978</c:v>
                </c:pt>
                <c:pt idx="107">
                  <c:v>4.1627152155590279</c:v>
                </c:pt>
                <c:pt idx="108">
                  <c:v>4.1550957424014001</c:v>
                </c:pt>
                <c:pt idx="109">
                  <c:v>4.1270577291527513</c:v>
                </c:pt>
                <c:pt idx="110">
                  <c:v>4.1109430999147243</c:v>
                </c:pt>
                <c:pt idx="111">
                  <c:v>4.1615976113246189</c:v>
                </c:pt>
                <c:pt idx="112">
                  <c:v>4.3201112384170459</c:v>
                </c:pt>
                <c:pt idx="113">
                  <c:v>4.4015089813332873</c:v>
                </c:pt>
                <c:pt idx="114">
                  <c:v>4.335000840601249</c:v>
                </c:pt>
                <c:pt idx="115">
                  <c:v>4.3182787765232273</c:v>
                </c:pt>
                <c:pt idx="116">
                  <c:v>4.3603836840738577</c:v>
                </c:pt>
                <c:pt idx="117">
                  <c:v>4.3397789976069916</c:v>
                </c:pt>
                <c:pt idx="118">
                  <c:v>4.2778234686396246</c:v>
                </c:pt>
                <c:pt idx="119">
                  <c:v>4.3546641234115855</c:v>
                </c:pt>
                <c:pt idx="120">
                  <c:v>4.2069421249598529</c:v>
                </c:pt>
                <c:pt idx="121">
                  <c:v>4.1995347350003582</c:v>
                </c:pt>
                <c:pt idx="122">
                  <c:v>4.0408199122836805</c:v>
                </c:pt>
                <c:pt idx="123">
                  <c:v>4.1464605210837426</c:v>
                </c:pt>
                <c:pt idx="124">
                  <c:v>4.2283692133681159</c:v>
                </c:pt>
                <c:pt idx="125">
                  <c:v>4.074766235905634</c:v>
                </c:pt>
                <c:pt idx="126">
                  <c:v>4.211599350843886</c:v>
                </c:pt>
                <c:pt idx="127">
                  <c:v>4.2662297250004677</c:v>
                </c:pt>
                <c:pt idx="128">
                  <c:v>4.4651754731648046</c:v>
                </c:pt>
                <c:pt idx="129">
                  <c:v>4.5650218511431255</c:v>
                </c:pt>
                <c:pt idx="130">
                  <c:v>4.5454213352261643</c:v>
                </c:pt>
                <c:pt idx="131">
                  <c:v>4.4349433133603986</c:v>
                </c:pt>
                <c:pt idx="132">
                  <c:v>4.4210895593858917</c:v>
                </c:pt>
                <c:pt idx="133">
                  <c:v>4.4700445764963082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72-4470-8B2C-C0284C09E6E5}"/>
            </c:ext>
          </c:extLst>
        </c:ser>
        <c:ser>
          <c:idx val="7"/>
          <c:order val="7"/>
          <c:tx>
            <c:strRef>
              <c:f>RF預測累積畫圖!$B$19:$B$19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RF預測累積畫圖!$C$19:$EF$19</c:f>
              <c:numCache>
                <c:formatCode>General</c:formatCode>
                <c:ptCount val="134"/>
                <c:pt idx="0">
                  <c:v>0.19660026531165431</c:v>
                </c:pt>
                <c:pt idx="1">
                  <c:v>0.60412097540112364</c:v>
                </c:pt>
                <c:pt idx="2">
                  <c:v>0.6699351827311415</c:v>
                </c:pt>
                <c:pt idx="3">
                  <c:v>0.90610564810687577</c:v>
                </c:pt>
                <c:pt idx="4">
                  <c:v>1.0589699899938483</c:v>
                </c:pt>
                <c:pt idx="5">
                  <c:v>1.2365803088165004</c:v>
                </c:pt>
                <c:pt idx="6">
                  <c:v>1.2840437141529</c:v>
                </c:pt>
                <c:pt idx="7">
                  <c:v>1.1278133610666961</c:v>
                </c:pt>
                <c:pt idx="8">
                  <c:v>1.1843543306282613</c:v>
                </c:pt>
                <c:pt idx="9">
                  <c:v>1.2147171636842906</c:v>
                </c:pt>
                <c:pt idx="10">
                  <c:v>1.3009275027104084</c:v>
                </c:pt>
                <c:pt idx="11">
                  <c:v>1.8333015403986495</c:v>
                </c:pt>
                <c:pt idx="12">
                  <c:v>1.8135041063972646</c:v>
                </c:pt>
                <c:pt idx="13">
                  <c:v>1.8362893195093579</c:v>
                </c:pt>
                <c:pt idx="14">
                  <c:v>2.006751611589376</c:v>
                </c:pt>
                <c:pt idx="15">
                  <c:v>2.048694241038592</c:v>
                </c:pt>
                <c:pt idx="16">
                  <c:v>1.9699979797254312</c:v>
                </c:pt>
                <c:pt idx="17">
                  <c:v>1.942843701739132</c:v>
                </c:pt>
                <c:pt idx="18">
                  <c:v>1.9870305597374569</c:v>
                </c:pt>
                <c:pt idx="19">
                  <c:v>1.8683461012185358</c:v>
                </c:pt>
                <c:pt idx="20">
                  <c:v>2.0149670919360458</c:v>
                </c:pt>
                <c:pt idx="21">
                  <c:v>2.1378902381817628</c:v>
                </c:pt>
                <c:pt idx="22">
                  <c:v>2.1619545435268206</c:v>
                </c:pt>
                <c:pt idx="23">
                  <c:v>2.1397313042279182</c:v>
                </c:pt>
                <c:pt idx="24">
                  <c:v>2.187031426026953</c:v>
                </c:pt>
                <c:pt idx="25">
                  <c:v>2.1353126732161956</c:v>
                </c:pt>
                <c:pt idx="26">
                  <c:v>2.0517998063233169</c:v>
                </c:pt>
                <c:pt idx="27">
                  <c:v>2.0757972635843775</c:v>
                </c:pt>
                <c:pt idx="28">
                  <c:v>2.1910291335474446</c:v>
                </c:pt>
                <c:pt idx="29">
                  <c:v>2.2298148003563445</c:v>
                </c:pt>
                <c:pt idx="30">
                  <c:v>2.2491123455803792</c:v>
                </c:pt>
                <c:pt idx="31">
                  <c:v>2.1925546303586758</c:v>
                </c:pt>
                <c:pt idx="32">
                  <c:v>2.2743247551481724</c:v>
                </c:pt>
                <c:pt idx="33">
                  <c:v>2.2227794648209103</c:v>
                </c:pt>
                <c:pt idx="34">
                  <c:v>2.2303315073268628</c:v>
                </c:pt>
                <c:pt idx="35">
                  <c:v>2.3006024529976683</c:v>
                </c:pt>
                <c:pt idx="36">
                  <c:v>2.3437084648090734</c:v>
                </c:pt>
                <c:pt idx="37">
                  <c:v>2.4272767591747555</c:v>
                </c:pt>
                <c:pt idx="38">
                  <c:v>2.4531696622201697</c:v>
                </c:pt>
                <c:pt idx="39">
                  <c:v>2.3655955419473176</c:v>
                </c:pt>
                <c:pt idx="40">
                  <c:v>2.2773427848866667</c:v>
                </c:pt>
                <c:pt idx="41">
                  <c:v>2.4308603471995243</c:v>
                </c:pt>
                <c:pt idx="42">
                  <c:v>2.5286573024678387</c:v>
                </c:pt>
                <c:pt idx="43">
                  <c:v>2.5779522842335401</c:v>
                </c:pt>
                <c:pt idx="44">
                  <c:v>2.6543809999471941</c:v>
                </c:pt>
                <c:pt idx="45">
                  <c:v>2.6043479792502162</c:v>
                </c:pt>
                <c:pt idx="46">
                  <c:v>2.6267041474043529</c:v>
                </c:pt>
                <c:pt idx="47">
                  <c:v>2.706910561714766</c:v>
                </c:pt>
                <c:pt idx="48">
                  <c:v>2.7364395321081458</c:v>
                </c:pt>
                <c:pt idx="49">
                  <c:v>2.5495599139399716</c:v>
                </c:pt>
                <c:pt idx="50">
                  <c:v>2.7365566914947523</c:v>
                </c:pt>
                <c:pt idx="51">
                  <c:v>2.93835860215796</c:v>
                </c:pt>
                <c:pt idx="52">
                  <c:v>3.0024140885041457</c:v>
                </c:pt>
                <c:pt idx="53">
                  <c:v>2.9991796958740777</c:v>
                </c:pt>
                <c:pt idx="54">
                  <c:v>3.0503115698377443</c:v>
                </c:pt>
                <c:pt idx="55">
                  <c:v>3.0638825439868831</c:v>
                </c:pt>
                <c:pt idx="56">
                  <c:v>3.0475388856540411</c:v>
                </c:pt>
                <c:pt idx="57">
                  <c:v>3.0495570873554723</c:v>
                </c:pt>
                <c:pt idx="58">
                  <c:v>3.177355716174691</c:v>
                </c:pt>
                <c:pt idx="59">
                  <c:v>3.1990630177132702</c:v>
                </c:pt>
                <c:pt idx="60">
                  <c:v>3.1473134916212779</c:v>
                </c:pt>
                <c:pt idx="61">
                  <c:v>3.2272781497677809</c:v>
                </c:pt>
                <c:pt idx="62">
                  <c:v>3.1954918848986358</c:v>
                </c:pt>
                <c:pt idx="63">
                  <c:v>3.2627445323659074</c:v>
                </c:pt>
                <c:pt idx="64">
                  <c:v>3.2884734936310229</c:v>
                </c:pt>
                <c:pt idx="65">
                  <c:v>3.351292301165155</c:v>
                </c:pt>
                <c:pt idx="66">
                  <c:v>3.3612263456194782</c:v>
                </c:pt>
                <c:pt idx="67">
                  <c:v>3.3679015916429984</c:v>
                </c:pt>
                <c:pt idx="68">
                  <c:v>3.3436452528985163</c:v>
                </c:pt>
                <c:pt idx="69">
                  <c:v>3.4852779327520897</c:v>
                </c:pt>
                <c:pt idx="70">
                  <c:v>3.5612141839863276</c:v>
                </c:pt>
                <c:pt idx="71">
                  <c:v>3.6548694251396738</c:v>
                </c:pt>
                <c:pt idx="72">
                  <c:v>3.545902463756029</c:v>
                </c:pt>
                <c:pt idx="73">
                  <c:v>3.5799902490278872</c:v>
                </c:pt>
                <c:pt idx="74">
                  <c:v>3.4723405124722388</c:v>
                </c:pt>
                <c:pt idx="75">
                  <c:v>3.5410426372942929</c:v>
                </c:pt>
                <c:pt idx="76">
                  <c:v>3.5117138820705183</c:v>
                </c:pt>
                <c:pt idx="77">
                  <c:v>3.4636727135622736</c:v>
                </c:pt>
                <c:pt idx="78">
                  <c:v>3.4861789464607909</c:v>
                </c:pt>
                <c:pt idx="79">
                  <c:v>3.5738438948221072</c:v>
                </c:pt>
                <c:pt idx="80">
                  <c:v>3.662318753759775</c:v>
                </c:pt>
                <c:pt idx="81">
                  <c:v>3.5506202662947581</c:v>
                </c:pt>
                <c:pt idx="82">
                  <c:v>3.8145133998602967</c:v>
                </c:pt>
                <c:pt idx="83">
                  <c:v>3.9674032669102228</c:v>
                </c:pt>
                <c:pt idx="84">
                  <c:v>3.9303363207500275</c:v>
                </c:pt>
                <c:pt idx="85">
                  <c:v>3.8683958207839915</c:v>
                </c:pt>
                <c:pt idx="86">
                  <c:v>3.9723635386010896</c:v>
                </c:pt>
                <c:pt idx="87">
                  <c:v>3.9291232586262996</c:v>
                </c:pt>
                <c:pt idx="88">
                  <c:v>4.1044709002080149</c:v>
                </c:pt>
                <c:pt idx="89">
                  <c:v>4.0275382455407112</c:v>
                </c:pt>
                <c:pt idx="90">
                  <c:v>3.7550838409122047</c:v>
                </c:pt>
                <c:pt idx="91">
                  <c:v>3.9141164398945376</c:v>
                </c:pt>
                <c:pt idx="92">
                  <c:v>3.8817218323781191</c:v>
                </c:pt>
                <c:pt idx="93">
                  <c:v>3.9060210348418458</c:v>
                </c:pt>
                <c:pt idx="94">
                  <c:v>3.9497960218201502</c:v>
                </c:pt>
                <c:pt idx="95">
                  <c:v>4.0724164484501806</c:v>
                </c:pt>
                <c:pt idx="96">
                  <c:v>3.9889800513362874</c:v>
                </c:pt>
                <c:pt idx="97">
                  <c:v>4.090959912852691</c:v>
                </c:pt>
                <c:pt idx="98">
                  <c:v>4.0690581050707921</c:v>
                </c:pt>
                <c:pt idx="99">
                  <c:v>4.1266928314389775</c:v>
                </c:pt>
                <c:pt idx="100">
                  <c:v>4.0557709618746083</c:v>
                </c:pt>
                <c:pt idx="101">
                  <c:v>4.1686227905160722</c:v>
                </c:pt>
                <c:pt idx="102">
                  <c:v>4.1103989138128352</c:v>
                </c:pt>
                <c:pt idx="103">
                  <c:v>4.2583607605824518</c:v>
                </c:pt>
                <c:pt idx="104">
                  <c:v>4.2886372177606056</c:v>
                </c:pt>
                <c:pt idx="105">
                  <c:v>4.2250897536081027</c:v>
                </c:pt>
                <c:pt idx="106">
                  <c:v>4.2791147089907122</c:v>
                </c:pt>
                <c:pt idx="107">
                  <c:v>4.2094216620976894</c:v>
                </c:pt>
                <c:pt idx="108">
                  <c:v>4.19667518718704</c:v>
                </c:pt>
                <c:pt idx="109">
                  <c:v>4.196518204057635</c:v>
                </c:pt>
                <c:pt idx="110">
                  <c:v>4.2001846285000566</c:v>
                </c:pt>
                <c:pt idx="111">
                  <c:v>4.2806842309100865</c:v>
                </c:pt>
                <c:pt idx="112">
                  <c:v>4.4048288186942939</c:v>
                </c:pt>
                <c:pt idx="113">
                  <c:v>4.474996226494163</c:v>
                </c:pt>
                <c:pt idx="114">
                  <c:v>4.3930439714601688</c:v>
                </c:pt>
                <c:pt idx="115">
                  <c:v>4.3955190945578071</c:v>
                </c:pt>
                <c:pt idx="116">
                  <c:v>4.4506456579577511</c:v>
                </c:pt>
                <c:pt idx="117">
                  <c:v>4.4784836724407446</c:v>
                </c:pt>
                <c:pt idx="118">
                  <c:v>4.4278605009910121</c:v>
                </c:pt>
                <c:pt idx="119">
                  <c:v>4.5038228543160601</c:v>
                </c:pt>
                <c:pt idx="120">
                  <c:v>4.3258273073620899</c:v>
                </c:pt>
                <c:pt idx="121">
                  <c:v>4.3227511801698606</c:v>
                </c:pt>
                <c:pt idx="122">
                  <c:v>4.1721692582135477</c:v>
                </c:pt>
                <c:pt idx="123">
                  <c:v>4.2836939646541525</c:v>
                </c:pt>
                <c:pt idx="124">
                  <c:v>4.3443031039948368</c:v>
                </c:pt>
                <c:pt idx="125">
                  <c:v>4.2059379697566595</c:v>
                </c:pt>
                <c:pt idx="126">
                  <c:v>4.3451866484422581</c:v>
                </c:pt>
                <c:pt idx="127">
                  <c:v>4.4237245960647913</c:v>
                </c:pt>
                <c:pt idx="128">
                  <c:v>4.6567704263700715</c:v>
                </c:pt>
                <c:pt idx="129">
                  <c:v>4.6785431963828499</c:v>
                </c:pt>
                <c:pt idx="130">
                  <c:v>4.6472180864968697</c:v>
                </c:pt>
                <c:pt idx="131">
                  <c:v>4.4962827695067125</c:v>
                </c:pt>
                <c:pt idx="132">
                  <c:v>4.5089168124471346</c:v>
                </c:pt>
                <c:pt idx="133">
                  <c:v>4.5258947673219039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72-4470-8B2C-C0284C09E6E5}"/>
            </c:ext>
          </c:extLst>
        </c:ser>
        <c:ser>
          <c:idx val="8"/>
          <c:order val="8"/>
          <c:tx>
            <c:strRef>
              <c:f>RF預測累積畫圖!$B$20:$B$20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RF預測累積畫圖!$C$20:$EF$20</c:f>
              <c:numCache>
                <c:formatCode>General</c:formatCode>
                <c:ptCount val="134"/>
                <c:pt idx="0">
                  <c:v>0.2015510478639157</c:v>
                </c:pt>
                <c:pt idx="1">
                  <c:v>0.58357606791126559</c:v>
                </c:pt>
                <c:pt idx="2">
                  <c:v>0.64091241823804623</c:v>
                </c:pt>
                <c:pt idx="3">
                  <c:v>0.82333203693118739</c:v>
                </c:pt>
                <c:pt idx="4">
                  <c:v>0.98135940050327097</c:v>
                </c:pt>
                <c:pt idx="5">
                  <c:v>1.1252916827589463</c:v>
                </c:pt>
                <c:pt idx="6">
                  <c:v>1.1532272244033492</c:v>
                </c:pt>
                <c:pt idx="7">
                  <c:v>1.0200199313263221</c:v>
                </c:pt>
                <c:pt idx="8">
                  <c:v>1.0574246161784338</c:v>
                </c:pt>
                <c:pt idx="9">
                  <c:v>1.0881200991795292</c:v>
                </c:pt>
                <c:pt idx="10">
                  <c:v>1.1882535135436152</c:v>
                </c:pt>
                <c:pt idx="11">
                  <c:v>1.6882649915530892</c:v>
                </c:pt>
                <c:pt idx="12">
                  <c:v>1.5781504664497821</c:v>
                </c:pt>
                <c:pt idx="13">
                  <c:v>1.6181789612015522</c:v>
                </c:pt>
                <c:pt idx="14">
                  <c:v>1.8430037721939474</c:v>
                </c:pt>
                <c:pt idx="15">
                  <c:v>1.909473405282804</c:v>
                </c:pt>
                <c:pt idx="16">
                  <c:v>1.8521323227100028</c:v>
                </c:pt>
                <c:pt idx="17">
                  <c:v>1.8677952332292622</c:v>
                </c:pt>
                <c:pt idx="18">
                  <c:v>1.9000328916487694</c:v>
                </c:pt>
                <c:pt idx="19">
                  <c:v>1.7637448282811927</c:v>
                </c:pt>
                <c:pt idx="20">
                  <c:v>1.9368302044587735</c:v>
                </c:pt>
                <c:pt idx="21">
                  <c:v>2.086872516086312</c:v>
                </c:pt>
                <c:pt idx="22">
                  <c:v>2.0820167582259965</c:v>
                </c:pt>
                <c:pt idx="23">
                  <c:v>2.111174108280343</c:v>
                </c:pt>
                <c:pt idx="24">
                  <c:v>2.1781360870625832</c:v>
                </c:pt>
                <c:pt idx="25">
                  <c:v>2.145237541742357</c:v>
                </c:pt>
                <c:pt idx="26">
                  <c:v>2.048928498917058</c:v>
                </c:pt>
                <c:pt idx="27">
                  <c:v>2.075915802487736</c:v>
                </c:pt>
                <c:pt idx="28">
                  <c:v>2.0932269521147733</c:v>
                </c:pt>
                <c:pt idx="29">
                  <c:v>2.1322716305023532</c:v>
                </c:pt>
                <c:pt idx="30">
                  <c:v>2.1260298901302055</c:v>
                </c:pt>
                <c:pt idx="31">
                  <c:v>2.035851689415423</c:v>
                </c:pt>
                <c:pt idx="32">
                  <c:v>2.1140062343365917</c:v>
                </c:pt>
                <c:pt idx="33">
                  <c:v>2.052016199789044</c:v>
                </c:pt>
                <c:pt idx="34">
                  <c:v>2.038421084293041</c:v>
                </c:pt>
                <c:pt idx="35">
                  <c:v>2.1113145363300179</c:v>
                </c:pt>
                <c:pt idx="36">
                  <c:v>2.1444105170788204</c:v>
                </c:pt>
                <c:pt idx="37">
                  <c:v>2.2198807105978187</c:v>
                </c:pt>
                <c:pt idx="38">
                  <c:v>2.2651657925625068</c:v>
                </c:pt>
                <c:pt idx="39">
                  <c:v>2.133435331307119</c:v>
                </c:pt>
                <c:pt idx="40">
                  <c:v>2.16088781664007</c:v>
                </c:pt>
                <c:pt idx="41">
                  <c:v>2.330936821318994</c:v>
                </c:pt>
                <c:pt idx="42">
                  <c:v>2.4430326310018109</c:v>
                </c:pt>
                <c:pt idx="43">
                  <c:v>2.4488914047620165</c:v>
                </c:pt>
                <c:pt idx="44">
                  <c:v>2.5245837916571423</c:v>
                </c:pt>
                <c:pt idx="45">
                  <c:v>2.4699580778746641</c:v>
                </c:pt>
                <c:pt idx="46">
                  <c:v>2.4768233460538149</c:v>
                </c:pt>
                <c:pt idx="47">
                  <c:v>2.5875558940525165</c:v>
                </c:pt>
                <c:pt idx="48">
                  <c:v>2.6262305924954261</c:v>
                </c:pt>
                <c:pt idx="49">
                  <c:v>2.4124281613183376</c:v>
                </c:pt>
                <c:pt idx="50">
                  <c:v>2.5637658868242506</c:v>
                </c:pt>
                <c:pt idx="51">
                  <c:v>2.7949795130123274</c:v>
                </c:pt>
                <c:pt idx="52">
                  <c:v>2.8655850806900678</c:v>
                </c:pt>
                <c:pt idx="53">
                  <c:v>2.8121552674684707</c:v>
                </c:pt>
                <c:pt idx="54">
                  <c:v>2.8062084703292105</c:v>
                </c:pt>
                <c:pt idx="55">
                  <c:v>2.8118970526605391</c:v>
                </c:pt>
                <c:pt idx="56">
                  <c:v>2.8049709099518458</c:v>
                </c:pt>
                <c:pt idx="57">
                  <c:v>2.7333644628377347</c:v>
                </c:pt>
                <c:pt idx="58">
                  <c:v>2.8651097299229096</c:v>
                </c:pt>
                <c:pt idx="59">
                  <c:v>2.8867392417560964</c:v>
                </c:pt>
                <c:pt idx="60">
                  <c:v>2.8275060739132689</c:v>
                </c:pt>
                <c:pt idx="61">
                  <c:v>2.9137983050897236</c:v>
                </c:pt>
                <c:pt idx="62">
                  <c:v>2.8663297536255348</c:v>
                </c:pt>
                <c:pt idx="63">
                  <c:v>2.984886995070906</c:v>
                </c:pt>
                <c:pt idx="64">
                  <c:v>2.9464252775549267</c:v>
                </c:pt>
                <c:pt idx="65">
                  <c:v>3.0068327983178817</c:v>
                </c:pt>
                <c:pt idx="66">
                  <c:v>3.0222845052787246</c:v>
                </c:pt>
                <c:pt idx="67">
                  <c:v>3.034358137009197</c:v>
                </c:pt>
                <c:pt idx="68">
                  <c:v>3.0397656432003881</c:v>
                </c:pt>
                <c:pt idx="69">
                  <c:v>3.1875686763790352</c:v>
                </c:pt>
                <c:pt idx="70">
                  <c:v>3.2863236257467419</c:v>
                </c:pt>
                <c:pt idx="71">
                  <c:v>3.4022419573098137</c:v>
                </c:pt>
                <c:pt idx="72">
                  <c:v>3.2667387054973376</c:v>
                </c:pt>
                <c:pt idx="73">
                  <c:v>3.2974323421805818</c:v>
                </c:pt>
                <c:pt idx="74">
                  <c:v>3.1921983758112784</c:v>
                </c:pt>
                <c:pt idx="75">
                  <c:v>3.2824697800715619</c:v>
                </c:pt>
                <c:pt idx="76">
                  <c:v>3.2423670520198091</c:v>
                </c:pt>
                <c:pt idx="77">
                  <c:v>3.2041151020088812</c:v>
                </c:pt>
                <c:pt idx="78">
                  <c:v>3.2170302494869616</c:v>
                </c:pt>
                <c:pt idx="79">
                  <c:v>3.3130948971295568</c:v>
                </c:pt>
                <c:pt idx="80">
                  <c:v>3.3988730697319971</c:v>
                </c:pt>
                <c:pt idx="81">
                  <c:v>3.2676645139671825</c:v>
                </c:pt>
                <c:pt idx="82">
                  <c:v>3.589603036266567</c:v>
                </c:pt>
                <c:pt idx="83">
                  <c:v>3.6614670618637053</c:v>
                </c:pt>
                <c:pt idx="84">
                  <c:v>3.6310723880946232</c:v>
                </c:pt>
                <c:pt idx="85">
                  <c:v>3.5076320682072724</c:v>
                </c:pt>
                <c:pt idx="86">
                  <c:v>3.5986104649573791</c:v>
                </c:pt>
                <c:pt idx="87">
                  <c:v>3.5064255307682499</c:v>
                </c:pt>
                <c:pt idx="88">
                  <c:v>3.6954766959388707</c:v>
                </c:pt>
                <c:pt idx="89">
                  <c:v>3.7176361073093553</c:v>
                </c:pt>
                <c:pt idx="90">
                  <c:v>3.3016647721403429</c:v>
                </c:pt>
                <c:pt idx="91">
                  <c:v>3.4936959772493701</c:v>
                </c:pt>
                <c:pt idx="92">
                  <c:v>3.4705779319490873</c:v>
                </c:pt>
                <c:pt idx="93">
                  <c:v>3.4959404847231013</c:v>
                </c:pt>
                <c:pt idx="94">
                  <c:v>3.5182335228824608</c:v>
                </c:pt>
                <c:pt idx="95">
                  <c:v>3.6087075602967271</c:v>
                </c:pt>
                <c:pt idx="96">
                  <c:v>3.5138399020302149</c:v>
                </c:pt>
                <c:pt idx="97">
                  <c:v>3.6063509777256408</c:v>
                </c:pt>
                <c:pt idx="98">
                  <c:v>3.6163040406469236</c:v>
                </c:pt>
                <c:pt idx="99">
                  <c:v>3.7066025915146881</c:v>
                </c:pt>
                <c:pt idx="100">
                  <c:v>3.694122858846391</c:v>
                </c:pt>
                <c:pt idx="101">
                  <c:v>3.8492845039955892</c:v>
                </c:pt>
                <c:pt idx="102">
                  <c:v>3.8018126108404116</c:v>
                </c:pt>
                <c:pt idx="103">
                  <c:v>3.8787806806111957</c:v>
                </c:pt>
                <c:pt idx="104">
                  <c:v>3.9076818413137993</c:v>
                </c:pt>
                <c:pt idx="105">
                  <c:v>3.8395188290000148</c:v>
                </c:pt>
                <c:pt idx="106">
                  <c:v>3.8127689650790861</c:v>
                </c:pt>
                <c:pt idx="107">
                  <c:v>3.8136280866115069</c:v>
                </c:pt>
                <c:pt idx="108">
                  <c:v>3.8094258759911361</c:v>
                </c:pt>
                <c:pt idx="109">
                  <c:v>3.7984504642486092</c:v>
                </c:pt>
                <c:pt idx="110">
                  <c:v>3.7755737324635565</c:v>
                </c:pt>
                <c:pt idx="111">
                  <c:v>3.8568507526233593</c:v>
                </c:pt>
                <c:pt idx="112">
                  <c:v>3.941804734069414</c:v>
                </c:pt>
                <c:pt idx="113">
                  <c:v>4.0176313702479565</c:v>
                </c:pt>
                <c:pt idx="114">
                  <c:v>4.0269150205273938</c:v>
                </c:pt>
                <c:pt idx="115">
                  <c:v>4.0849342271815932</c:v>
                </c:pt>
                <c:pt idx="116">
                  <c:v>4.1507500290195631</c:v>
                </c:pt>
                <c:pt idx="117">
                  <c:v>4.1605805604104509</c:v>
                </c:pt>
                <c:pt idx="118">
                  <c:v>4.1220402493260826</c:v>
                </c:pt>
                <c:pt idx="119">
                  <c:v>4.2005529093543732</c:v>
                </c:pt>
                <c:pt idx="120">
                  <c:v>3.9944718117760187</c:v>
                </c:pt>
                <c:pt idx="121">
                  <c:v>3.9993011559600014</c:v>
                </c:pt>
                <c:pt idx="122">
                  <c:v>3.8229259870296048</c:v>
                </c:pt>
                <c:pt idx="123">
                  <c:v>3.9522714588684638</c:v>
                </c:pt>
                <c:pt idx="124">
                  <c:v>4.021331662826503</c:v>
                </c:pt>
                <c:pt idx="125">
                  <c:v>3.8674653332201885</c:v>
                </c:pt>
                <c:pt idx="126">
                  <c:v>3.9890567909955901</c:v>
                </c:pt>
                <c:pt idx="127">
                  <c:v>4.079256437154565</c:v>
                </c:pt>
                <c:pt idx="128">
                  <c:v>4.3729464211187361</c:v>
                </c:pt>
                <c:pt idx="129">
                  <c:v>4.4120140544697017</c:v>
                </c:pt>
                <c:pt idx="130">
                  <c:v>4.4349904665779141</c:v>
                </c:pt>
                <c:pt idx="131">
                  <c:v>4.2580716055109038</c:v>
                </c:pt>
                <c:pt idx="132">
                  <c:v>4.2604388364382855</c:v>
                </c:pt>
                <c:pt idx="133">
                  <c:v>4.2807202530541923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72-4470-8B2C-C0284C09E6E5}"/>
            </c:ext>
          </c:extLst>
        </c:ser>
        <c:ser>
          <c:idx val="9"/>
          <c:order val="9"/>
          <c:tx>
            <c:strRef>
              <c:f>RF預測累積畫圖!$B$21:$B$21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RF預測累積畫圖!$C$21:$EF$21</c:f>
              <c:numCache>
                <c:formatCode>General</c:formatCode>
                <c:ptCount val="134"/>
                <c:pt idx="0">
                  <c:v>0.21462957980695321</c:v>
                </c:pt>
                <c:pt idx="1">
                  <c:v>0.34101749657377678</c:v>
                </c:pt>
                <c:pt idx="2">
                  <c:v>0.32732732628798616</c:v>
                </c:pt>
                <c:pt idx="3">
                  <c:v>0.53074082384731358</c:v>
                </c:pt>
                <c:pt idx="4">
                  <c:v>0.67607268265431397</c:v>
                </c:pt>
                <c:pt idx="5">
                  <c:v>0.83823677044815192</c:v>
                </c:pt>
                <c:pt idx="6">
                  <c:v>0.85234804892913385</c:v>
                </c:pt>
                <c:pt idx="7">
                  <c:v>0.71560513358927724</c:v>
                </c:pt>
                <c:pt idx="8">
                  <c:v>0.71707542954941317</c:v>
                </c:pt>
                <c:pt idx="9">
                  <c:v>0.71204627624335248</c:v>
                </c:pt>
                <c:pt idx="10">
                  <c:v>0.78770692617011306</c:v>
                </c:pt>
                <c:pt idx="11">
                  <c:v>1.3725981907908382</c:v>
                </c:pt>
                <c:pt idx="12">
                  <c:v>1.2333206973438491</c:v>
                </c:pt>
                <c:pt idx="13">
                  <c:v>1.2787478903613523</c:v>
                </c:pt>
                <c:pt idx="14">
                  <c:v>1.552831335632042</c:v>
                </c:pt>
                <c:pt idx="15">
                  <c:v>1.6377365668253825</c:v>
                </c:pt>
                <c:pt idx="16">
                  <c:v>1.6011732751686856</c:v>
                </c:pt>
                <c:pt idx="17">
                  <c:v>1.5871329108284806</c:v>
                </c:pt>
                <c:pt idx="18">
                  <c:v>1.5773082700940837</c:v>
                </c:pt>
                <c:pt idx="19">
                  <c:v>1.4455577814415812</c:v>
                </c:pt>
                <c:pt idx="20">
                  <c:v>1.6033462610570437</c:v>
                </c:pt>
                <c:pt idx="21">
                  <c:v>1.8111475284103815</c:v>
                </c:pt>
                <c:pt idx="22">
                  <c:v>1.8010038680371789</c:v>
                </c:pt>
                <c:pt idx="23">
                  <c:v>1.8404615837171361</c:v>
                </c:pt>
                <c:pt idx="24">
                  <c:v>1.8684950399093445</c:v>
                </c:pt>
                <c:pt idx="25">
                  <c:v>1.8465390960202104</c:v>
                </c:pt>
                <c:pt idx="26">
                  <c:v>1.6869968235560087</c:v>
                </c:pt>
                <c:pt idx="27">
                  <c:v>1.6610635475585738</c:v>
                </c:pt>
                <c:pt idx="28">
                  <c:v>1.6713751582526337</c:v>
                </c:pt>
                <c:pt idx="29">
                  <c:v>1.7245007681391966</c:v>
                </c:pt>
                <c:pt idx="30">
                  <c:v>1.7139300150992383</c:v>
                </c:pt>
                <c:pt idx="31">
                  <c:v>1.6063486525344399</c:v>
                </c:pt>
                <c:pt idx="32">
                  <c:v>1.685942861867731</c:v>
                </c:pt>
                <c:pt idx="33">
                  <c:v>1.6155375199212623</c:v>
                </c:pt>
                <c:pt idx="34">
                  <c:v>1.5797343523031522</c:v>
                </c:pt>
                <c:pt idx="35">
                  <c:v>1.6451141750362628</c:v>
                </c:pt>
                <c:pt idx="36">
                  <c:v>1.7136499824838933</c:v>
                </c:pt>
                <c:pt idx="37">
                  <c:v>1.8256060385469877</c:v>
                </c:pt>
                <c:pt idx="38">
                  <c:v>1.8733324341907143</c:v>
                </c:pt>
                <c:pt idx="39">
                  <c:v>1.800797290620695</c:v>
                </c:pt>
                <c:pt idx="40">
                  <c:v>1.8776627976312428</c:v>
                </c:pt>
                <c:pt idx="41">
                  <c:v>2.0828450758617238</c:v>
                </c:pt>
                <c:pt idx="42">
                  <c:v>2.1473009445083533</c:v>
                </c:pt>
                <c:pt idx="43">
                  <c:v>2.1448080332311981</c:v>
                </c:pt>
                <c:pt idx="44">
                  <c:v>2.1926176647401552</c:v>
                </c:pt>
                <c:pt idx="45">
                  <c:v>2.1370968846780216</c:v>
                </c:pt>
                <c:pt idx="46">
                  <c:v>2.1468879146321189</c:v>
                </c:pt>
                <c:pt idx="47">
                  <c:v>2.2900356021018755</c:v>
                </c:pt>
                <c:pt idx="48">
                  <c:v>2.3370568930799136</c:v>
                </c:pt>
                <c:pt idx="49">
                  <c:v>2.0821456231827771</c:v>
                </c:pt>
                <c:pt idx="50">
                  <c:v>2.221738305344104</c:v>
                </c:pt>
                <c:pt idx="51">
                  <c:v>2.5162509423214257</c:v>
                </c:pt>
                <c:pt idx="52">
                  <c:v>2.5545720900466193</c:v>
                </c:pt>
                <c:pt idx="53">
                  <c:v>2.5328212266759915</c:v>
                </c:pt>
                <c:pt idx="54">
                  <c:v>2.5391717600733932</c:v>
                </c:pt>
                <c:pt idx="55">
                  <c:v>2.5427488602538277</c:v>
                </c:pt>
                <c:pt idx="56">
                  <c:v>2.5793840494706402</c:v>
                </c:pt>
                <c:pt idx="57">
                  <c:v>2.503062686331885</c:v>
                </c:pt>
                <c:pt idx="58">
                  <c:v>2.669032282510277</c:v>
                </c:pt>
                <c:pt idx="59">
                  <c:v>2.6926113086919945</c:v>
                </c:pt>
                <c:pt idx="60">
                  <c:v>2.6241614283124597</c:v>
                </c:pt>
                <c:pt idx="61">
                  <c:v>2.7668825209588093</c:v>
                </c:pt>
                <c:pt idx="62">
                  <c:v>2.7260872349300884</c:v>
                </c:pt>
                <c:pt idx="63">
                  <c:v>2.7897351829223362</c:v>
                </c:pt>
                <c:pt idx="64">
                  <c:v>2.725877946508656</c:v>
                </c:pt>
                <c:pt idx="65">
                  <c:v>2.8303870759280705</c:v>
                </c:pt>
                <c:pt idx="66">
                  <c:v>2.8849293067625754</c:v>
                </c:pt>
                <c:pt idx="67">
                  <c:v>2.89725316894644</c:v>
                </c:pt>
                <c:pt idx="68">
                  <c:v>2.9031133417016162</c:v>
                </c:pt>
                <c:pt idx="69">
                  <c:v>3.035358035676059</c:v>
                </c:pt>
                <c:pt idx="70">
                  <c:v>3.170854497874628</c:v>
                </c:pt>
                <c:pt idx="71">
                  <c:v>3.3129974980600814</c:v>
                </c:pt>
                <c:pt idx="72">
                  <c:v>3.1663183011243503</c:v>
                </c:pt>
                <c:pt idx="73">
                  <c:v>3.1633274818399362</c:v>
                </c:pt>
                <c:pt idx="74">
                  <c:v>3.1129476306218198</c:v>
                </c:pt>
                <c:pt idx="75">
                  <c:v>3.1606105593425355</c:v>
                </c:pt>
                <c:pt idx="76">
                  <c:v>3.1000929560401369</c:v>
                </c:pt>
                <c:pt idx="77">
                  <c:v>3.0366715648418787</c:v>
                </c:pt>
                <c:pt idx="78">
                  <c:v>3.0286526105709126</c:v>
                </c:pt>
                <c:pt idx="79">
                  <c:v>3.1130761615634279</c:v>
                </c:pt>
                <c:pt idx="80">
                  <c:v>3.174591043917582</c:v>
                </c:pt>
                <c:pt idx="81">
                  <c:v>3.0474205678259736</c:v>
                </c:pt>
                <c:pt idx="82">
                  <c:v>3.36758735120645</c:v>
                </c:pt>
                <c:pt idx="83">
                  <c:v>3.4476876722826617</c:v>
                </c:pt>
                <c:pt idx="84">
                  <c:v>3.3671880558916794</c:v>
                </c:pt>
                <c:pt idx="85">
                  <c:v>3.2815602988751769</c:v>
                </c:pt>
                <c:pt idx="86">
                  <c:v>3.408610845605311</c:v>
                </c:pt>
                <c:pt idx="87">
                  <c:v>3.2747204209823462</c:v>
                </c:pt>
                <c:pt idx="88">
                  <c:v>3.5002234093857174</c:v>
                </c:pt>
                <c:pt idx="89">
                  <c:v>3.5307622995894929</c:v>
                </c:pt>
                <c:pt idx="90">
                  <c:v>3.0158970509919003</c:v>
                </c:pt>
                <c:pt idx="91">
                  <c:v>3.2385971118698129</c:v>
                </c:pt>
                <c:pt idx="92">
                  <c:v>3.2156849177003166</c:v>
                </c:pt>
                <c:pt idx="93">
                  <c:v>3.2273007065604196</c:v>
                </c:pt>
                <c:pt idx="94">
                  <c:v>3.2582084522429171</c:v>
                </c:pt>
                <c:pt idx="95">
                  <c:v>3.3405013250972559</c:v>
                </c:pt>
                <c:pt idx="96">
                  <c:v>3.2778277649277645</c:v>
                </c:pt>
                <c:pt idx="97">
                  <c:v>3.3760533969491515</c:v>
                </c:pt>
                <c:pt idx="98">
                  <c:v>3.4410588142301402</c:v>
                </c:pt>
                <c:pt idx="99">
                  <c:v>3.543180989887547</c:v>
                </c:pt>
                <c:pt idx="100">
                  <c:v>3.5346990734836328</c:v>
                </c:pt>
                <c:pt idx="101">
                  <c:v>3.7721504443094629</c:v>
                </c:pt>
                <c:pt idx="102">
                  <c:v>3.7733427007661948</c:v>
                </c:pt>
                <c:pt idx="103">
                  <c:v>3.8448039145401931</c:v>
                </c:pt>
                <c:pt idx="104">
                  <c:v>3.8931130619056997</c:v>
                </c:pt>
                <c:pt idx="105">
                  <c:v>3.8260855657049579</c:v>
                </c:pt>
                <c:pt idx="106">
                  <c:v>3.8383236742932767</c:v>
                </c:pt>
                <c:pt idx="107">
                  <c:v>3.8598845549911514</c:v>
                </c:pt>
                <c:pt idx="108">
                  <c:v>3.8677309331196845</c:v>
                </c:pt>
                <c:pt idx="109">
                  <c:v>3.8818077533321391</c:v>
                </c:pt>
                <c:pt idx="110">
                  <c:v>3.9162152316123184</c:v>
                </c:pt>
                <c:pt idx="111">
                  <c:v>3.9895180231143939</c:v>
                </c:pt>
                <c:pt idx="112">
                  <c:v>4.1290207299332984</c:v>
                </c:pt>
                <c:pt idx="113">
                  <c:v>4.2273856687726745</c:v>
                </c:pt>
                <c:pt idx="114">
                  <c:v>4.1975515491304343</c:v>
                </c:pt>
                <c:pt idx="115">
                  <c:v>4.2687491616244273</c:v>
                </c:pt>
                <c:pt idx="116">
                  <c:v>4.3511949539551074</c:v>
                </c:pt>
                <c:pt idx="117">
                  <c:v>4.3754611090486737</c:v>
                </c:pt>
                <c:pt idx="118">
                  <c:v>4.3472450569962771</c:v>
                </c:pt>
                <c:pt idx="119">
                  <c:v>4.3974159160333581</c:v>
                </c:pt>
                <c:pt idx="120">
                  <c:v>4.1965764421960623</c:v>
                </c:pt>
                <c:pt idx="121">
                  <c:v>4.1868677992537995</c:v>
                </c:pt>
                <c:pt idx="122">
                  <c:v>4.0382530826153857</c:v>
                </c:pt>
                <c:pt idx="123">
                  <c:v>4.178529059485264</c:v>
                </c:pt>
                <c:pt idx="124">
                  <c:v>4.3067769281493851</c:v>
                </c:pt>
                <c:pt idx="125">
                  <c:v>4.1208107141182015</c:v>
                </c:pt>
                <c:pt idx="126">
                  <c:v>4.2875416852067936</c:v>
                </c:pt>
                <c:pt idx="127">
                  <c:v>4.3864722588666991</c:v>
                </c:pt>
                <c:pt idx="128">
                  <c:v>4.6525290911460448</c:v>
                </c:pt>
                <c:pt idx="129">
                  <c:v>4.6609372373166309</c:v>
                </c:pt>
                <c:pt idx="130">
                  <c:v>4.6881261689263969</c:v>
                </c:pt>
                <c:pt idx="131">
                  <c:v>4.6336273125782164</c:v>
                </c:pt>
                <c:pt idx="132">
                  <c:v>4.6480561646866345</c:v>
                </c:pt>
                <c:pt idx="133">
                  <c:v>4.6292849006445156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D72-4470-8B2C-C0284C09E6E5}"/>
            </c:ext>
          </c:extLst>
        </c:ser>
        <c:ser>
          <c:idx val="10"/>
          <c:order val="10"/>
          <c:tx>
            <c:strRef>
              <c:f>RF預測累積畫圖!$B$22:$B$22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RF預測累積畫圖!$C$22:$EF$22</c:f>
              <c:numCache>
                <c:formatCode>General</c:formatCode>
                <c:ptCount val="134"/>
                <c:pt idx="0">
                  <c:v>0.20528030103697539</c:v>
                </c:pt>
                <c:pt idx="1">
                  <c:v>0.34770815311437386</c:v>
                </c:pt>
                <c:pt idx="2">
                  <c:v>0.33035305419791489</c:v>
                </c:pt>
                <c:pt idx="3">
                  <c:v>0.19048560388852789</c:v>
                </c:pt>
                <c:pt idx="4">
                  <c:v>0.42343102848385061</c:v>
                </c:pt>
                <c:pt idx="5">
                  <c:v>0.54760909144449688</c:v>
                </c:pt>
                <c:pt idx="6">
                  <c:v>0.56504643465078708</c:v>
                </c:pt>
                <c:pt idx="7">
                  <c:v>0.4607929319141576</c:v>
                </c:pt>
                <c:pt idx="8">
                  <c:v>0.4894497120305516</c:v>
                </c:pt>
                <c:pt idx="9">
                  <c:v>0.50372292071553382</c:v>
                </c:pt>
                <c:pt idx="10">
                  <c:v>0.27856431565195211</c:v>
                </c:pt>
                <c:pt idx="11">
                  <c:v>1.034707758769291</c:v>
                </c:pt>
                <c:pt idx="12">
                  <c:v>0.96826542660433679</c:v>
                </c:pt>
                <c:pt idx="13">
                  <c:v>1.0588963010309711</c:v>
                </c:pt>
                <c:pt idx="14">
                  <c:v>1.1861671912623613</c:v>
                </c:pt>
                <c:pt idx="15">
                  <c:v>1.2528654838686928</c:v>
                </c:pt>
                <c:pt idx="16">
                  <c:v>1.2136313403315135</c:v>
                </c:pt>
                <c:pt idx="17">
                  <c:v>1.1933927278546794</c:v>
                </c:pt>
                <c:pt idx="18">
                  <c:v>1.2458816343503012</c:v>
                </c:pt>
                <c:pt idx="19">
                  <c:v>1.0702567318798888</c:v>
                </c:pt>
                <c:pt idx="20">
                  <c:v>1.2777369989041862</c:v>
                </c:pt>
                <c:pt idx="21">
                  <c:v>1.5349393501176833</c:v>
                </c:pt>
                <c:pt idx="22">
                  <c:v>1.4650860184148826</c:v>
                </c:pt>
                <c:pt idx="23">
                  <c:v>1.488952140205239</c:v>
                </c:pt>
                <c:pt idx="24">
                  <c:v>1.607072754575122</c:v>
                </c:pt>
                <c:pt idx="25">
                  <c:v>1.6109379847004615</c:v>
                </c:pt>
                <c:pt idx="26">
                  <c:v>1.4337249065515987</c:v>
                </c:pt>
                <c:pt idx="27">
                  <c:v>1.4151311573369374</c:v>
                </c:pt>
                <c:pt idx="28">
                  <c:v>1.3299834713792302</c:v>
                </c:pt>
                <c:pt idx="29">
                  <c:v>1.3771657875372543</c:v>
                </c:pt>
                <c:pt idx="30">
                  <c:v>1.3311919745295653</c:v>
                </c:pt>
                <c:pt idx="31">
                  <c:v>1.2253260151090926</c:v>
                </c:pt>
                <c:pt idx="32">
                  <c:v>1.3194672757664785</c:v>
                </c:pt>
                <c:pt idx="33">
                  <c:v>1.2877674264400703</c:v>
                </c:pt>
                <c:pt idx="34">
                  <c:v>1.389055987180466</c:v>
                </c:pt>
                <c:pt idx="35">
                  <c:v>1.4293969539873663</c:v>
                </c:pt>
                <c:pt idx="36">
                  <c:v>1.5134858574550698</c:v>
                </c:pt>
                <c:pt idx="37">
                  <c:v>1.6246186671186291</c:v>
                </c:pt>
                <c:pt idx="38">
                  <c:v>1.6993360405123348</c:v>
                </c:pt>
                <c:pt idx="39">
                  <c:v>1.6367996866243422</c:v>
                </c:pt>
                <c:pt idx="40">
                  <c:v>1.7162258041029352</c:v>
                </c:pt>
                <c:pt idx="41">
                  <c:v>1.9667584822613176</c:v>
                </c:pt>
                <c:pt idx="42">
                  <c:v>2.0495689211598673</c:v>
                </c:pt>
                <c:pt idx="43">
                  <c:v>2.0244325593198411</c:v>
                </c:pt>
                <c:pt idx="44">
                  <c:v>2.0579330112307108</c:v>
                </c:pt>
                <c:pt idx="45">
                  <c:v>1.9981198345548308</c:v>
                </c:pt>
                <c:pt idx="46">
                  <c:v>1.9679704453478217</c:v>
                </c:pt>
                <c:pt idx="47">
                  <c:v>2.1417338453278458</c:v>
                </c:pt>
                <c:pt idx="48">
                  <c:v>2.2134672306620766</c:v>
                </c:pt>
                <c:pt idx="49">
                  <c:v>2.0585634523409246</c:v>
                </c:pt>
                <c:pt idx="50">
                  <c:v>2.1083384099251115</c:v>
                </c:pt>
                <c:pt idx="51">
                  <c:v>2.4778889932215993</c:v>
                </c:pt>
                <c:pt idx="52">
                  <c:v>2.347052055098644</c:v>
                </c:pt>
                <c:pt idx="53">
                  <c:v>2.3248778736328157</c:v>
                </c:pt>
                <c:pt idx="54">
                  <c:v>2.347094057027296</c:v>
                </c:pt>
                <c:pt idx="55">
                  <c:v>2.3607328743656155</c:v>
                </c:pt>
                <c:pt idx="56">
                  <c:v>2.4070123865340016</c:v>
                </c:pt>
                <c:pt idx="57">
                  <c:v>2.2790518441958696</c:v>
                </c:pt>
                <c:pt idx="58">
                  <c:v>2.3901405636057764</c:v>
                </c:pt>
                <c:pt idx="59">
                  <c:v>2.4451369787564974</c:v>
                </c:pt>
                <c:pt idx="60">
                  <c:v>2.4032973428228321</c:v>
                </c:pt>
                <c:pt idx="61">
                  <c:v>2.5650776818938676</c:v>
                </c:pt>
                <c:pt idx="62">
                  <c:v>2.5626471986483343</c:v>
                </c:pt>
                <c:pt idx="63">
                  <c:v>2.5473196466252919</c:v>
                </c:pt>
                <c:pt idx="64">
                  <c:v>2.4968352175125412</c:v>
                </c:pt>
                <c:pt idx="65">
                  <c:v>2.5716707676676478</c:v>
                </c:pt>
                <c:pt idx="66">
                  <c:v>2.5995008650659606</c:v>
                </c:pt>
                <c:pt idx="67">
                  <c:v>2.6203144745324134</c:v>
                </c:pt>
                <c:pt idx="68">
                  <c:v>2.6039416921556144</c:v>
                </c:pt>
                <c:pt idx="69">
                  <c:v>2.7344723954921606</c:v>
                </c:pt>
                <c:pt idx="70">
                  <c:v>2.9474211616301709</c:v>
                </c:pt>
                <c:pt idx="71">
                  <c:v>3.1059651340277799</c:v>
                </c:pt>
                <c:pt idx="72">
                  <c:v>2.9312966361001727</c:v>
                </c:pt>
                <c:pt idx="73">
                  <c:v>2.9679340817921451</c:v>
                </c:pt>
                <c:pt idx="74">
                  <c:v>2.9631872953894103</c:v>
                </c:pt>
                <c:pt idx="75">
                  <c:v>3.0104450312523023</c:v>
                </c:pt>
                <c:pt idx="76">
                  <c:v>2.982954952771979</c:v>
                </c:pt>
                <c:pt idx="77">
                  <c:v>2.8339616745260523</c:v>
                </c:pt>
                <c:pt idx="78">
                  <c:v>2.7088576792060195</c:v>
                </c:pt>
                <c:pt idx="79">
                  <c:v>2.8043762220710158</c:v>
                </c:pt>
                <c:pt idx="80">
                  <c:v>2.8712163677078335</c:v>
                </c:pt>
                <c:pt idx="81">
                  <c:v>2.7156437992853668</c:v>
                </c:pt>
                <c:pt idx="82">
                  <c:v>3.159444614339777</c:v>
                </c:pt>
                <c:pt idx="83">
                  <c:v>3.275363385619225</c:v>
                </c:pt>
                <c:pt idx="84">
                  <c:v>3.1575836393408658</c:v>
                </c:pt>
                <c:pt idx="85">
                  <c:v>3.0542041342513033</c:v>
                </c:pt>
                <c:pt idx="86">
                  <c:v>3.0903674768559859</c:v>
                </c:pt>
                <c:pt idx="87">
                  <c:v>2.849715678230945</c:v>
                </c:pt>
                <c:pt idx="88">
                  <c:v>3.1701476818887704</c:v>
                </c:pt>
                <c:pt idx="89">
                  <c:v>3.1616009100678628</c:v>
                </c:pt>
                <c:pt idx="90">
                  <c:v>2.5116444418187074</c:v>
                </c:pt>
                <c:pt idx="91">
                  <c:v>2.7710529987881101</c:v>
                </c:pt>
                <c:pt idx="92">
                  <c:v>2.7538933832689865</c:v>
                </c:pt>
                <c:pt idx="93">
                  <c:v>2.7254711781898258</c:v>
                </c:pt>
                <c:pt idx="94">
                  <c:v>2.7499107650218586</c:v>
                </c:pt>
                <c:pt idx="95">
                  <c:v>2.8081432863778439</c:v>
                </c:pt>
                <c:pt idx="96">
                  <c:v>2.6879115744137461</c:v>
                </c:pt>
                <c:pt idx="97">
                  <c:v>2.8001452696208005</c:v>
                </c:pt>
                <c:pt idx="98">
                  <c:v>2.8365965229469658</c:v>
                </c:pt>
                <c:pt idx="99">
                  <c:v>2.8403461162148149</c:v>
                </c:pt>
                <c:pt idx="100">
                  <c:v>2.8323572904413057</c:v>
                </c:pt>
                <c:pt idx="101">
                  <c:v>3.0952777750405449</c:v>
                </c:pt>
                <c:pt idx="102">
                  <c:v>3.0912860211586208</c:v>
                </c:pt>
                <c:pt idx="103">
                  <c:v>3.1453276428691428</c:v>
                </c:pt>
                <c:pt idx="104">
                  <c:v>3.2176696766020867</c:v>
                </c:pt>
                <c:pt idx="105">
                  <c:v>3.2017070987865242</c:v>
                </c:pt>
                <c:pt idx="106">
                  <c:v>3.1962153408045739</c:v>
                </c:pt>
                <c:pt idx="107">
                  <c:v>3.2132471160781271</c:v>
                </c:pt>
                <c:pt idx="108">
                  <c:v>3.2452321591590145</c:v>
                </c:pt>
                <c:pt idx="109">
                  <c:v>3.2591775053425183</c:v>
                </c:pt>
                <c:pt idx="110">
                  <c:v>3.3227385046047675</c:v>
                </c:pt>
                <c:pt idx="111">
                  <c:v>3.3655154267294463</c:v>
                </c:pt>
                <c:pt idx="112">
                  <c:v>3.5446501405522866</c:v>
                </c:pt>
                <c:pt idx="113">
                  <c:v>3.6695917882896696</c:v>
                </c:pt>
                <c:pt idx="114">
                  <c:v>3.6061257372516362</c:v>
                </c:pt>
                <c:pt idx="115">
                  <c:v>3.6528890654556436</c:v>
                </c:pt>
                <c:pt idx="116">
                  <c:v>3.7763265667672816</c:v>
                </c:pt>
                <c:pt idx="117">
                  <c:v>3.7865538246201855</c:v>
                </c:pt>
                <c:pt idx="118">
                  <c:v>3.7347036227825643</c:v>
                </c:pt>
                <c:pt idx="119">
                  <c:v>3.7286110701672461</c:v>
                </c:pt>
                <c:pt idx="120">
                  <c:v>3.5315601486048869</c:v>
                </c:pt>
                <c:pt idx="121">
                  <c:v>3.4878787022807987</c:v>
                </c:pt>
                <c:pt idx="122">
                  <c:v>3.3263317913980686</c:v>
                </c:pt>
                <c:pt idx="123">
                  <c:v>3.4520369090762464</c:v>
                </c:pt>
                <c:pt idx="124">
                  <c:v>3.5304266327832434</c:v>
                </c:pt>
                <c:pt idx="125">
                  <c:v>3.3079840243349485</c:v>
                </c:pt>
                <c:pt idx="126">
                  <c:v>3.4279400490536105</c:v>
                </c:pt>
                <c:pt idx="127">
                  <c:v>3.5387745538413218</c:v>
                </c:pt>
                <c:pt idx="128">
                  <c:v>3.6791307158420152</c:v>
                </c:pt>
                <c:pt idx="129">
                  <c:v>3.5985339883066971</c:v>
                </c:pt>
                <c:pt idx="130">
                  <c:v>3.6866194357331215</c:v>
                </c:pt>
                <c:pt idx="131">
                  <c:v>3.609205868675514</c:v>
                </c:pt>
                <c:pt idx="132">
                  <c:v>3.6426521724877272</c:v>
                </c:pt>
                <c:pt idx="133">
                  <c:v>3.6078619261155547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D72-4470-8B2C-C0284C09E6E5}"/>
            </c:ext>
          </c:extLst>
        </c:ser>
        <c:ser>
          <c:idx val="11"/>
          <c:order val="11"/>
          <c:tx>
            <c:strRef>
              <c:f>RF預測累積畫圖!$B$23:$B$23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RF預測累積畫圖!$C$23:$EF$23</c:f>
              <c:numCache>
                <c:formatCode>General</c:formatCode>
                <c:ptCount val="134"/>
                <c:pt idx="0">
                  <c:v>0.28298926569632887</c:v>
                </c:pt>
                <c:pt idx="1">
                  <c:v>0.53708189314779009</c:v>
                </c:pt>
                <c:pt idx="2">
                  <c:v>0.67008708720396104</c:v>
                </c:pt>
                <c:pt idx="3">
                  <c:v>0.66634685426205031</c:v>
                </c:pt>
                <c:pt idx="4">
                  <c:v>1.0279789750404831</c:v>
                </c:pt>
                <c:pt idx="5">
                  <c:v>1.0097905041989985</c:v>
                </c:pt>
                <c:pt idx="6">
                  <c:v>0.97340401533259147</c:v>
                </c:pt>
                <c:pt idx="7">
                  <c:v>0.85852650940214636</c:v>
                </c:pt>
                <c:pt idx="8">
                  <c:v>0.79860862489408346</c:v>
                </c:pt>
                <c:pt idx="9">
                  <c:v>0.84937945859926645</c:v>
                </c:pt>
                <c:pt idx="10">
                  <c:v>0.58681011155192619</c:v>
                </c:pt>
                <c:pt idx="11">
                  <c:v>1.5627115548232062</c:v>
                </c:pt>
                <c:pt idx="12">
                  <c:v>1.4398118475160377</c:v>
                </c:pt>
                <c:pt idx="13">
                  <c:v>1.4944933735505856</c:v>
                </c:pt>
                <c:pt idx="14">
                  <c:v>1.7856668670172904</c:v>
                </c:pt>
                <c:pt idx="15">
                  <c:v>1.848488844987052</c:v>
                </c:pt>
                <c:pt idx="16">
                  <c:v>1.7759161805369899</c:v>
                </c:pt>
                <c:pt idx="17">
                  <c:v>1.7755428113285112</c:v>
                </c:pt>
                <c:pt idx="18">
                  <c:v>1.8347846008096127</c:v>
                </c:pt>
                <c:pt idx="19">
                  <c:v>1.6023073974386879</c:v>
                </c:pt>
                <c:pt idx="20">
                  <c:v>1.9339265476878325</c:v>
                </c:pt>
                <c:pt idx="21">
                  <c:v>2.1284830091454769</c:v>
                </c:pt>
                <c:pt idx="22">
                  <c:v>2.0605330875541261</c:v>
                </c:pt>
                <c:pt idx="23">
                  <c:v>2.1015850540743775</c:v>
                </c:pt>
                <c:pt idx="24">
                  <c:v>2.2532343859204236</c:v>
                </c:pt>
                <c:pt idx="25">
                  <c:v>2.2842257709764158</c:v>
                </c:pt>
                <c:pt idx="26">
                  <c:v>2.0502171500299711</c:v>
                </c:pt>
                <c:pt idx="27">
                  <c:v>2.047221858459487</c:v>
                </c:pt>
                <c:pt idx="28">
                  <c:v>1.8255086226378379</c:v>
                </c:pt>
                <c:pt idx="29">
                  <c:v>1.8924148827275891</c:v>
                </c:pt>
                <c:pt idx="30">
                  <c:v>1.8903572056771618</c:v>
                </c:pt>
                <c:pt idx="31">
                  <c:v>1.8061856211539786</c:v>
                </c:pt>
                <c:pt idx="32">
                  <c:v>1.8294138877764605</c:v>
                </c:pt>
                <c:pt idx="33">
                  <c:v>1.8350570256246148</c:v>
                </c:pt>
                <c:pt idx="34">
                  <c:v>1.9491681249718058</c:v>
                </c:pt>
                <c:pt idx="35">
                  <c:v>2.0805998381643414</c:v>
                </c:pt>
                <c:pt idx="36">
                  <c:v>2.0883693271692065</c:v>
                </c:pt>
                <c:pt idx="37">
                  <c:v>2.3306840265265074</c:v>
                </c:pt>
                <c:pt idx="38">
                  <c:v>2.3253470743350833</c:v>
                </c:pt>
                <c:pt idx="39">
                  <c:v>2.3284681736873889</c:v>
                </c:pt>
                <c:pt idx="40">
                  <c:v>2.4178931659469995</c:v>
                </c:pt>
                <c:pt idx="41">
                  <c:v>2.7546372097920671</c:v>
                </c:pt>
                <c:pt idx="42">
                  <c:v>2.7399303217946893</c:v>
                </c:pt>
                <c:pt idx="43">
                  <c:v>2.6985025999810395</c:v>
                </c:pt>
                <c:pt idx="44">
                  <c:v>2.731648126109544</c:v>
                </c:pt>
                <c:pt idx="45">
                  <c:v>2.7040091319121697</c:v>
                </c:pt>
                <c:pt idx="46">
                  <c:v>2.6519822220737668</c:v>
                </c:pt>
                <c:pt idx="47">
                  <c:v>2.7218203759008111</c:v>
                </c:pt>
                <c:pt idx="48">
                  <c:v>2.8920543567413932</c:v>
                </c:pt>
                <c:pt idx="49">
                  <c:v>2.828300739340333</c:v>
                </c:pt>
                <c:pt idx="50">
                  <c:v>2.8822990779701905</c:v>
                </c:pt>
                <c:pt idx="51">
                  <c:v>3.449125604017631</c:v>
                </c:pt>
                <c:pt idx="52">
                  <c:v>3.1482973548445652</c:v>
                </c:pt>
                <c:pt idx="53">
                  <c:v>3.2431282361910156</c:v>
                </c:pt>
                <c:pt idx="54">
                  <c:v>3.1716974737937189</c:v>
                </c:pt>
                <c:pt idx="55">
                  <c:v>3.1488504831890327</c:v>
                </c:pt>
                <c:pt idx="56">
                  <c:v>3.2236119543857851</c:v>
                </c:pt>
                <c:pt idx="57">
                  <c:v>3.020127973030498</c:v>
                </c:pt>
                <c:pt idx="58">
                  <c:v>3.211240052353697</c:v>
                </c:pt>
                <c:pt idx="59">
                  <c:v>3.315243367621624</c:v>
                </c:pt>
                <c:pt idx="60">
                  <c:v>3.3172774759581016</c:v>
                </c:pt>
                <c:pt idx="61">
                  <c:v>3.4668117722083411</c:v>
                </c:pt>
                <c:pt idx="62">
                  <c:v>3.5363072342327917</c:v>
                </c:pt>
                <c:pt idx="63">
                  <c:v>3.5293600634739786</c:v>
                </c:pt>
                <c:pt idx="64">
                  <c:v>3.5658850052199775</c:v>
                </c:pt>
                <c:pt idx="65">
                  <c:v>3.6641514044314341</c:v>
                </c:pt>
                <c:pt idx="66">
                  <c:v>3.7361993058667</c:v>
                </c:pt>
                <c:pt idx="67">
                  <c:v>3.7540436273306628</c:v>
                </c:pt>
                <c:pt idx="68">
                  <c:v>3.6807682386727509</c:v>
                </c:pt>
                <c:pt idx="69">
                  <c:v>3.8244180446987479</c:v>
                </c:pt>
                <c:pt idx="70">
                  <c:v>4.0301057805446936</c:v>
                </c:pt>
                <c:pt idx="71">
                  <c:v>4.1435733489048818</c:v>
                </c:pt>
                <c:pt idx="72">
                  <c:v>3.9414210156291904</c:v>
                </c:pt>
                <c:pt idx="73">
                  <c:v>3.9332078959019374</c:v>
                </c:pt>
                <c:pt idx="74">
                  <c:v>3.9230022032075897</c:v>
                </c:pt>
                <c:pt idx="75">
                  <c:v>3.9306719656394344</c:v>
                </c:pt>
                <c:pt idx="76">
                  <c:v>3.8550187658928055</c:v>
                </c:pt>
                <c:pt idx="77">
                  <c:v>3.6374045629003655</c:v>
                </c:pt>
                <c:pt idx="78">
                  <c:v>3.5528599481845902</c:v>
                </c:pt>
                <c:pt idx="79">
                  <c:v>3.6941018923461391</c:v>
                </c:pt>
                <c:pt idx="80">
                  <c:v>3.7537041941838565</c:v>
                </c:pt>
                <c:pt idx="81">
                  <c:v>3.570270957898297</c:v>
                </c:pt>
                <c:pt idx="82">
                  <c:v>3.8631748960160341</c:v>
                </c:pt>
                <c:pt idx="83">
                  <c:v>4.0433713449374622</c:v>
                </c:pt>
                <c:pt idx="84">
                  <c:v>3.7334719278093651</c:v>
                </c:pt>
                <c:pt idx="85">
                  <c:v>3.7135965602589547</c:v>
                </c:pt>
                <c:pt idx="86">
                  <c:v>3.8097135549869163</c:v>
                </c:pt>
                <c:pt idx="87">
                  <c:v>3.4010525423194977</c:v>
                </c:pt>
                <c:pt idx="88">
                  <c:v>3.787785488842407</c:v>
                </c:pt>
                <c:pt idx="89">
                  <c:v>3.7347803104726038</c:v>
                </c:pt>
                <c:pt idx="90">
                  <c:v>2.8258570231069839</c:v>
                </c:pt>
                <c:pt idx="91">
                  <c:v>3.1372177662697407</c:v>
                </c:pt>
                <c:pt idx="92">
                  <c:v>3.1619200363491218</c:v>
                </c:pt>
                <c:pt idx="93">
                  <c:v>3.1236871971779019</c:v>
                </c:pt>
                <c:pt idx="94">
                  <c:v>3.1927025680348069</c:v>
                </c:pt>
                <c:pt idx="95">
                  <c:v>3.2383651097460606</c:v>
                </c:pt>
                <c:pt idx="96">
                  <c:v>3.2173085140327737</c:v>
                </c:pt>
                <c:pt idx="97">
                  <c:v>3.1950633765439682</c:v>
                </c:pt>
                <c:pt idx="98">
                  <c:v>3.295964708346387</c:v>
                </c:pt>
                <c:pt idx="99">
                  <c:v>3.2072477142498608</c:v>
                </c:pt>
                <c:pt idx="100">
                  <c:v>3.2292942450032394</c:v>
                </c:pt>
                <c:pt idx="101">
                  <c:v>3.4112930388605904</c:v>
                </c:pt>
                <c:pt idx="102">
                  <c:v>3.38031090263468</c:v>
                </c:pt>
                <c:pt idx="103">
                  <c:v>3.3990579690778997</c:v>
                </c:pt>
                <c:pt idx="104">
                  <c:v>3.4714740027343258</c:v>
                </c:pt>
                <c:pt idx="105">
                  <c:v>3.4530661764613244</c:v>
                </c:pt>
                <c:pt idx="106">
                  <c:v>3.4436709505096794</c:v>
                </c:pt>
                <c:pt idx="107">
                  <c:v>3.5056130775545848</c:v>
                </c:pt>
                <c:pt idx="108">
                  <c:v>3.5438830894293019</c:v>
                </c:pt>
                <c:pt idx="109">
                  <c:v>3.5992965367380445</c:v>
                </c:pt>
                <c:pt idx="110">
                  <c:v>3.6527761336540654</c:v>
                </c:pt>
                <c:pt idx="111">
                  <c:v>3.6189515573586695</c:v>
                </c:pt>
                <c:pt idx="112">
                  <c:v>3.8967847739175125</c:v>
                </c:pt>
                <c:pt idx="113">
                  <c:v>4.1128858334577858</c:v>
                </c:pt>
                <c:pt idx="114">
                  <c:v>4.0933885285384202</c:v>
                </c:pt>
                <c:pt idx="115">
                  <c:v>4.0998857245823901</c:v>
                </c:pt>
                <c:pt idx="116">
                  <c:v>4.2639770283162237</c:v>
                </c:pt>
                <c:pt idx="117">
                  <c:v>4.3110652609719464</c:v>
                </c:pt>
                <c:pt idx="118">
                  <c:v>4.1899332197144892</c:v>
                </c:pt>
                <c:pt idx="119">
                  <c:v>4.1000472169831825</c:v>
                </c:pt>
                <c:pt idx="120">
                  <c:v>3.8119506400641363</c:v>
                </c:pt>
                <c:pt idx="121">
                  <c:v>3.7577001793955236</c:v>
                </c:pt>
                <c:pt idx="122">
                  <c:v>3.7020607006872415</c:v>
                </c:pt>
                <c:pt idx="123">
                  <c:v>3.9783323090166811</c:v>
                </c:pt>
                <c:pt idx="124">
                  <c:v>4.1195605415995198</c:v>
                </c:pt>
                <c:pt idx="125">
                  <c:v>3.8060673352205536</c:v>
                </c:pt>
                <c:pt idx="126">
                  <c:v>3.7521411106829627</c:v>
                </c:pt>
                <c:pt idx="127">
                  <c:v>3.5349671229305213</c:v>
                </c:pt>
                <c:pt idx="128">
                  <c:v>3.5062083431541162</c:v>
                </c:pt>
                <c:pt idx="129">
                  <c:v>3.443454903443441</c:v>
                </c:pt>
                <c:pt idx="130">
                  <c:v>3.537099436603961</c:v>
                </c:pt>
                <c:pt idx="131">
                  <c:v>3.44567353198418</c:v>
                </c:pt>
                <c:pt idx="132">
                  <c:v>3.5047242158724203</c:v>
                </c:pt>
                <c:pt idx="133">
                  <c:v>3.4569419372807606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D72-4470-8B2C-C0284C09E6E5}"/>
            </c:ext>
          </c:extLst>
        </c:ser>
        <c:ser>
          <c:idx val="12"/>
          <c:order val="12"/>
          <c:tx>
            <c:strRef>
              <c:f>RF預測累積畫圖!$B$24:$B$24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RF預測累積畫圖!$C$24:$EF$24</c:f>
              <c:numCache>
                <c:formatCode>General</c:formatCode>
                <c:ptCount val="134"/>
                <c:pt idx="0">
                  <c:v>9.9113364206882743E-2</c:v>
                </c:pt>
                <c:pt idx="1">
                  <c:v>0.19972327710611135</c:v>
                </c:pt>
                <c:pt idx="2">
                  <c:v>0.48423577479661328</c:v>
                </c:pt>
                <c:pt idx="3">
                  <c:v>0.55956226862831993</c:v>
                </c:pt>
                <c:pt idx="4">
                  <c:v>0.78916932048648369</c:v>
                </c:pt>
                <c:pt idx="5">
                  <c:v>0.82502511714144033</c:v>
                </c:pt>
                <c:pt idx="6">
                  <c:v>0.84195220632218415</c:v>
                </c:pt>
                <c:pt idx="7">
                  <c:v>0.72648940810816165</c:v>
                </c:pt>
                <c:pt idx="8">
                  <c:v>0.78022240477639571</c:v>
                </c:pt>
                <c:pt idx="9">
                  <c:v>0.87402209803314612</c:v>
                </c:pt>
                <c:pt idx="10">
                  <c:v>0.41099455383300765</c:v>
                </c:pt>
                <c:pt idx="11">
                  <c:v>2.1800259229455765</c:v>
                </c:pt>
                <c:pt idx="12">
                  <c:v>1.935748059557393</c:v>
                </c:pt>
                <c:pt idx="13">
                  <c:v>1.9374843484217403</c:v>
                </c:pt>
                <c:pt idx="14">
                  <c:v>1.934637212819343</c:v>
                </c:pt>
                <c:pt idx="15">
                  <c:v>1.9068143889342548</c:v>
                </c:pt>
                <c:pt idx="16">
                  <c:v>1.8957599287268061</c:v>
                </c:pt>
                <c:pt idx="17">
                  <c:v>2.0194509728185954</c:v>
                </c:pt>
                <c:pt idx="18">
                  <c:v>2.305307262799996</c:v>
                </c:pt>
                <c:pt idx="19">
                  <c:v>2.206628751540666</c:v>
                </c:pt>
                <c:pt idx="20">
                  <c:v>2.7023407374966086</c:v>
                </c:pt>
                <c:pt idx="21">
                  <c:v>2.7014418610315913</c:v>
                </c:pt>
                <c:pt idx="22">
                  <c:v>2.5811243679670608</c:v>
                </c:pt>
                <c:pt idx="23">
                  <c:v>2.5567298192174848</c:v>
                </c:pt>
                <c:pt idx="24">
                  <c:v>2.6510894020312792</c:v>
                </c:pt>
                <c:pt idx="25">
                  <c:v>2.9514831955882617</c:v>
                </c:pt>
                <c:pt idx="26">
                  <c:v>2.7053142368035621</c:v>
                </c:pt>
                <c:pt idx="27">
                  <c:v>2.6453920899927432</c:v>
                </c:pt>
                <c:pt idx="28">
                  <c:v>2.4701232749854012</c:v>
                </c:pt>
                <c:pt idx="29">
                  <c:v>2.4926452850201919</c:v>
                </c:pt>
                <c:pt idx="30">
                  <c:v>2.5985457574945925</c:v>
                </c:pt>
                <c:pt idx="31">
                  <c:v>2.5418483974268029</c:v>
                </c:pt>
                <c:pt idx="32">
                  <c:v>2.5330400663283754</c:v>
                </c:pt>
                <c:pt idx="33">
                  <c:v>2.4521488223290002</c:v>
                </c:pt>
                <c:pt idx="34">
                  <c:v>2.5370327753971926</c:v>
                </c:pt>
                <c:pt idx="35">
                  <c:v>2.4823558399065573</c:v>
                </c:pt>
                <c:pt idx="36">
                  <c:v>2.4634365584860305</c:v>
                </c:pt>
                <c:pt idx="37">
                  <c:v>2.6846260236314619</c:v>
                </c:pt>
                <c:pt idx="38">
                  <c:v>2.7507161354604519</c:v>
                </c:pt>
                <c:pt idx="39">
                  <c:v>2.7278644199713553</c:v>
                </c:pt>
                <c:pt idx="40">
                  <c:v>2.774941392805601</c:v>
                </c:pt>
                <c:pt idx="41">
                  <c:v>2.7845806494132082</c:v>
                </c:pt>
                <c:pt idx="42">
                  <c:v>2.756624572146618</c:v>
                </c:pt>
                <c:pt idx="43">
                  <c:v>2.7870837796313266</c:v>
                </c:pt>
                <c:pt idx="44">
                  <c:v>2.8311790994965511</c:v>
                </c:pt>
                <c:pt idx="45">
                  <c:v>2.7440271473096551</c:v>
                </c:pt>
                <c:pt idx="46">
                  <c:v>2.7490146888206941</c:v>
                </c:pt>
                <c:pt idx="47">
                  <c:v>2.7773208754091185</c:v>
                </c:pt>
                <c:pt idx="48">
                  <c:v>2.945448169294008</c:v>
                </c:pt>
                <c:pt idx="49">
                  <c:v>2.9833152428936733</c:v>
                </c:pt>
                <c:pt idx="50">
                  <c:v>3.0338065483056855</c:v>
                </c:pt>
                <c:pt idx="51">
                  <c:v>3.7245830796863575</c:v>
                </c:pt>
                <c:pt idx="52">
                  <c:v>2.92136706664198</c:v>
                </c:pt>
                <c:pt idx="53">
                  <c:v>3.1069622858884154</c:v>
                </c:pt>
                <c:pt idx="54">
                  <c:v>3.0608979318567284</c:v>
                </c:pt>
                <c:pt idx="55">
                  <c:v>3.1485492679108207</c:v>
                </c:pt>
                <c:pt idx="56">
                  <c:v>3.1753852337771318</c:v>
                </c:pt>
                <c:pt idx="57">
                  <c:v>2.7891298968635967</c:v>
                </c:pt>
                <c:pt idx="58">
                  <c:v>3.012759002933644</c:v>
                </c:pt>
                <c:pt idx="59">
                  <c:v>3.0161073186885283</c:v>
                </c:pt>
                <c:pt idx="60">
                  <c:v>3.0201308655828147</c:v>
                </c:pt>
                <c:pt idx="61">
                  <c:v>3.3372951595075313</c:v>
                </c:pt>
                <c:pt idx="62">
                  <c:v>3.2525122196685432</c:v>
                </c:pt>
                <c:pt idx="63">
                  <c:v>3.259361561514118</c:v>
                </c:pt>
                <c:pt idx="64">
                  <c:v>3.0982518704184763</c:v>
                </c:pt>
                <c:pt idx="65">
                  <c:v>3.221603051547798</c:v>
                </c:pt>
                <c:pt idx="66">
                  <c:v>3.1574334182176829</c:v>
                </c:pt>
                <c:pt idx="67">
                  <c:v>3.1997896415211007</c:v>
                </c:pt>
                <c:pt idx="68">
                  <c:v>3.1985049240366439</c:v>
                </c:pt>
                <c:pt idx="69">
                  <c:v>3.3147756200908312</c:v>
                </c:pt>
                <c:pt idx="70">
                  <c:v>3.543102251650772</c:v>
                </c:pt>
                <c:pt idx="71">
                  <c:v>3.650830705538755</c:v>
                </c:pt>
                <c:pt idx="72">
                  <c:v>3.588994821903162</c:v>
                </c:pt>
                <c:pt idx="73">
                  <c:v>3.4560347661927042</c:v>
                </c:pt>
                <c:pt idx="74">
                  <c:v>3.5657804353601215</c:v>
                </c:pt>
                <c:pt idx="75">
                  <c:v>3.8246733342101185</c:v>
                </c:pt>
                <c:pt idx="76">
                  <c:v>3.7094516534367039</c:v>
                </c:pt>
                <c:pt idx="77">
                  <c:v>3.9182136277245729</c:v>
                </c:pt>
                <c:pt idx="78">
                  <c:v>3.7357437478370112</c:v>
                </c:pt>
                <c:pt idx="79">
                  <c:v>3.7656972737070276</c:v>
                </c:pt>
                <c:pt idx="80">
                  <c:v>3.931262147698142</c:v>
                </c:pt>
                <c:pt idx="81">
                  <c:v>3.7661307946887459</c:v>
                </c:pt>
                <c:pt idx="82">
                  <c:v>4.0034086295486713</c:v>
                </c:pt>
                <c:pt idx="83">
                  <c:v>4.3576859263911745</c:v>
                </c:pt>
                <c:pt idx="84">
                  <c:v>4.6861377471004388</c:v>
                </c:pt>
                <c:pt idx="85">
                  <c:v>4.6992472325198582</c:v>
                </c:pt>
                <c:pt idx="86">
                  <c:v>4.7927773118355548</c:v>
                </c:pt>
                <c:pt idx="87">
                  <c:v>4.9345326452080958</c:v>
                </c:pt>
                <c:pt idx="88">
                  <c:v>5.4841197551671961</c:v>
                </c:pt>
                <c:pt idx="89">
                  <c:v>5.3763809887099825</c:v>
                </c:pt>
                <c:pt idx="90">
                  <c:v>4.5997277703737511</c:v>
                </c:pt>
                <c:pt idx="91">
                  <c:v>4.7600719751885929</c:v>
                </c:pt>
                <c:pt idx="92">
                  <c:v>4.9202616218160937</c:v>
                </c:pt>
                <c:pt idx="93">
                  <c:v>4.8234437146247551</c:v>
                </c:pt>
                <c:pt idx="94">
                  <c:v>4.7965887921036465</c:v>
                </c:pt>
                <c:pt idx="95">
                  <c:v>4.8930078002510422</c:v>
                </c:pt>
                <c:pt idx="96">
                  <c:v>4.8202564525943323</c:v>
                </c:pt>
                <c:pt idx="97">
                  <c:v>4.8353205001337081</c:v>
                </c:pt>
                <c:pt idx="98">
                  <c:v>5.0104376662057151</c:v>
                </c:pt>
                <c:pt idx="99">
                  <c:v>5.0656448599144017</c:v>
                </c:pt>
                <c:pt idx="100">
                  <c:v>4.9855779552775825</c:v>
                </c:pt>
                <c:pt idx="101">
                  <c:v>5.0977845837221496</c:v>
                </c:pt>
                <c:pt idx="102">
                  <c:v>5.1222957878849043</c:v>
                </c:pt>
                <c:pt idx="103">
                  <c:v>5.1057939220359083</c:v>
                </c:pt>
                <c:pt idx="104">
                  <c:v>5.2853470372752565</c:v>
                </c:pt>
                <c:pt idx="105">
                  <c:v>5.3346468099460314</c:v>
                </c:pt>
                <c:pt idx="106">
                  <c:v>5.1585840524364963</c:v>
                </c:pt>
                <c:pt idx="107">
                  <c:v>5.0539190764159354</c:v>
                </c:pt>
                <c:pt idx="108">
                  <c:v>5.1130249105402799</c:v>
                </c:pt>
                <c:pt idx="109">
                  <c:v>5.1138714356056463</c:v>
                </c:pt>
                <c:pt idx="110">
                  <c:v>5.2557468945439156</c:v>
                </c:pt>
                <c:pt idx="111">
                  <c:v>5.2768283657017667</c:v>
                </c:pt>
                <c:pt idx="112">
                  <c:v>5.6163375763322101</c:v>
                </c:pt>
                <c:pt idx="113">
                  <c:v>5.8294420026180909</c:v>
                </c:pt>
                <c:pt idx="114">
                  <c:v>5.6880024753912162</c:v>
                </c:pt>
                <c:pt idx="115">
                  <c:v>5.9213370461659123</c:v>
                </c:pt>
                <c:pt idx="116">
                  <c:v>6.1067778487986004</c:v>
                </c:pt>
                <c:pt idx="117">
                  <c:v>6.2211512742846145</c:v>
                </c:pt>
                <c:pt idx="118">
                  <c:v>6.1706650838056891</c:v>
                </c:pt>
                <c:pt idx="119">
                  <c:v>6.1501494535936603</c:v>
                </c:pt>
                <c:pt idx="120">
                  <c:v>5.9338879125608148</c:v>
                </c:pt>
                <c:pt idx="121">
                  <c:v>5.8591545672948104</c:v>
                </c:pt>
                <c:pt idx="122">
                  <c:v>5.8809359626560402</c:v>
                </c:pt>
                <c:pt idx="123">
                  <c:v>6.0391606612998547</c:v>
                </c:pt>
                <c:pt idx="124">
                  <c:v>6.1480177511911851</c:v>
                </c:pt>
                <c:pt idx="125">
                  <c:v>5.8364246233986812</c:v>
                </c:pt>
                <c:pt idx="126">
                  <c:v>5.8331847467901383</c:v>
                </c:pt>
                <c:pt idx="127">
                  <c:v>5.3996781680534465</c:v>
                </c:pt>
                <c:pt idx="128">
                  <c:v>5.3447579842119435</c:v>
                </c:pt>
                <c:pt idx="129">
                  <c:v>5.3151758078466491</c:v>
                </c:pt>
                <c:pt idx="130">
                  <c:v>5.4588192814063579</c:v>
                </c:pt>
                <c:pt idx="131">
                  <c:v>5.4026464361079958</c:v>
                </c:pt>
                <c:pt idx="132">
                  <c:v>5.5160758752992143</c:v>
                </c:pt>
                <c:pt idx="133">
                  <c:v>5.5833525523431824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D72-4470-8B2C-C0284C09E6E5}"/>
            </c:ext>
          </c:extLst>
        </c:ser>
        <c:ser>
          <c:idx val="13"/>
          <c:order val="13"/>
          <c:tx>
            <c:strRef>
              <c:f>RF預測累積畫圖!$A$25:$B$25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RF預測累積畫圖!$C$25:$EF$25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D72-4470-8B2C-C0284C09E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617423"/>
        <c:axId val="732617903"/>
      </c:lineChart>
      <c:catAx>
        <c:axId val="73261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903"/>
        <c:crosses val="autoZero"/>
        <c:auto val="1"/>
        <c:lblAlgn val="ctr"/>
        <c:lblOffset val="100"/>
        <c:noMultiLvlLbl val="0"/>
      </c:catAx>
      <c:valAx>
        <c:axId val="7326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RF</a:t>
            </a:r>
            <a:r>
              <a:rPr lang="zh-TW" altLang="en-US" sz="1400" b="0" i="0" u="none" strike="noStrike" baseline="0"/>
              <a:t>再投資累積報酬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RF再投資累積報酬!$A$12:$B$12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RF再投資累積報酬!$C$12:$EF$12</c:f>
              <c:numCache>
                <c:formatCode>General</c:formatCode>
                <c:ptCount val="134"/>
                <c:pt idx="0">
                  <c:v>8.4653346747999514E-2</c:v>
                </c:pt>
                <c:pt idx="1">
                  <c:v>0.20905075207584112</c:v>
                </c:pt>
                <c:pt idx="2">
                  <c:v>0.26711761901195197</c:v>
                </c:pt>
                <c:pt idx="3">
                  <c:v>0.28412373685056025</c:v>
                </c:pt>
                <c:pt idx="4">
                  <c:v>0.29917966104844052</c:v>
                </c:pt>
                <c:pt idx="5">
                  <c:v>0.34923771889327271</c:v>
                </c:pt>
                <c:pt idx="6">
                  <c:v>0.36652116896914411</c:v>
                </c:pt>
                <c:pt idx="7">
                  <c:v>0.32633434657001947</c:v>
                </c:pt>
                <c:pt idx="8">
                  <c:v>0.35123545178172377</c:v>
                </c:pt>
                <c:pt idx="9">
                  <c:v>0.29463092712650107</c:v>
                </c:pt>
                <c:pt idx="10">
                  <c:v>0.27449708043635668</c:v>
                </c:pt>
                <c:pt idx="11">
                  <c:v>0.36285412268081729</c:v>
                </c:pt>
                <c:pt idx="12">
                  <c:v>0.3863507349800599</c:v>
                </c:pt>
                <c:pt idx="13">
                  <c:v>0.38666955584411222</c:v>
                </c:pt>
                <c:pt idx="14">
                  <c:v>0.43557723223917333</c:v>
                </c:pt>
                <c:pt idx="15">
                  <c:v>0.4451423165166708</c:v>
                </c:pt>
                <c:pt idx="16">
                  <c:v>0.42133736182073811</c:v>
                </c:pt>
                <c:pt idx="17">
                  <c:v>0.35987377550608679</c:v>
                </c:pt>
                <c:pt idx="18">
                  <c:v>0.33787292316082773</c:v>
                </c:pt>
                <c:pt idx="19">
                  <c:v>0.34617371566916533</c:v>
                </c:pt>
                <c:pt idx="20">
                  <c:v>0.37616436867969827</c:v>
                </c:pt>
                <c:pt idx="21">
                  <c:v>0.41342249200349857</c:v>
                </c:pt>
                <c:pt idx="22">
                  <c:v>0.43524625600404554</c:v>
                </c:pt>
                <c:pt idx="23">
                  <c:v>0.44266060555987896</c:v>
                </c:pt>
                <c:pt idx="24">
                  <c:v>0.42605190939114368</c:v>
                </c:pt>
                <c:pt idx="25">
                  <c:v>0.41074562421503713</c:v>
                </c:pt>
                <c:pt idx="26">
                  <c:v>0.41803548260075862</c:v>
                </c:pt>
                <c:pt idx="27">
                  <c:v>0.42162372188766484</c:v>
                </c:pt>
                <c:pt idx="28">
                  <c:v>0.33871894379734369</c:v>
                </c:pt>
                <c:pt idx="29">
                  <c:v>0.36607185181036139</c:v>
                </c:pt>
                <c:pt idx="30">
                  <c:v>0.38257280851530617</c:v>
                </c:pt>
                <c:pt idx="31">
                  <c:v>0.40110730950015716</c:v>
                </c:pt>
                <c:pt idx="32">
                  <c:v>0.42843738038819978</c:v>
                </c:pt>
                <c:pt idx="33">
                  <c:v>0.44698385072050772</c:v>
                </c:pt>
                <c:pt idx="34">
                  <c:v>0.51661807346549771</c:v>
                </c:pt>
                <c:pt idx="35">
                  <c:v>0.54370336022261978</c:v>
                </c:pt>
                <c:pt idx="36">
                  <c:v>0.59014739798983351</c:v>
                </c:pt>
                <c:pt idx="37">
                  <c:v>0.70023844538775237</c:v>
                </c:pt>
                <c:pt idx="38">
                  <c:v>0.70402792500061739</c:v>
                </c:pt>
                <c:pt idx="39">
                  <c:v>0.64657092390754745</c:v>
                </c:pt>
                <c:pt idx="40">
                  <c:v>0.63402086506623245</c:v>
                </c:pt>
                <c:pt idx="41">
                  <c:v>0.65612305523377668</c:v>
                </c:pt>
                <c:pt idx="42">
                  <c:v>0.68775453931508035</c:v>
                </c:pt>
                <c:pt idx="43">
                  <c:v>0.71110446253644377</c:v>
                </c:pt>
                <c:pt idx="44">
                  <c:v>0.74653914081843364</c:v>
                </c:pt>
                <c:pt idx="45">
                  <c:v>0.67430213394367988</c:v>
                </c:pt>
                <c:pt idx="46">
                  <c:v>0.67534267424114125</c:v>
                </c:pt>
                <c:pt idx="47">
                  <c:v>0.74838504696230546</c:v>
                </c:pt>
                <c:pt idx="48">
                  <c:v>0.79201650820438751</c:v>
                </c:pt>
                <c:pt idx="49">
                  <c:v>0.78789482351467655</c:v>
                </c:pt>
                <c:pt idx="50">
                  <c:v>0.91532909436938326</c:v>
                </c:pt>
                <c:pt idx="51">
                  <c:v>0.92641002957111129</c:v>
                </c:pt>
                <c:pt idx="52">
                  <c:v>0.95005245346564271</c:v>
                </c:pt>
                <c:pt idx="53">
                  <c:v>0.97663275447181541</c:v>
                </c:pt>
                <c:pt idx="54">
                  <c:v>1.0134155375220817</c:v>
                </c:pt>
                <c:pt idx="55">
                  <c:v>1.1499097133369305</c:v>
                </c:pt>
                <c:pt idx="56">
                  <c:v>1.2222990275558328</c:v>
                </c:pt>
                <c:pt idx="57">
                  <c:v>1.25390758667757</c:v>
                </c:pt>
                <c:pt idx="58">
                  <c:v>1.3666508683792382</c:v>
                </c:pt>
                <c:pt idx="59">
                  <c:v>1.3647670300974304</c:v>
                </c:pt>
                <c:pt idx="60">
                  <c:v>1.3144337561530355</c:v>
                </c:pt>
                <c:pt idx="61">
                  <c:v>1.3716216687914149</c:v>
                </c:pt>
                <c:pt idx="62">
                  <c:v>1.2523156173125134</c:v>
                </c:pt>
                <c:pt idx="63">
                  <c:v>1.2782544901037425</c:v>
                </c:pt>
                <c:pt idx="64">
                  <c:v>1.3334937553134627</c:v>
                </c:pt>
                <c:pt idx="65">
                  <c:v>1.308971103728878</c:v>
                </c:pt>
                <c:pt idx="66">
                  <c:v>1.3410582970343197</c:v>
                </c:pt>
                <c:pt idx="67">
                  <c:v>1.3357651444348257</c:v>
                </c:pt>
                <c:pt idx="68">
                  <c:v>1.3798253676313457</c:v>
                </c:pt>
                <c:pt idx="69">
                  <c:v>1.4322564156761031</c:v>
                </c:pt>
                <c:pt idx="70">
                  <c:v>1.4536153170794721</c:v>
                </c:pt>
                <c:pt idx="71">
                  <c:v>1.5102017117158972</c:v>
                </c:pt>
                <c:pt idx="72">
                  <c:v>1.4361915050082987</c:v>
                </c:pt>
                <c:pt idx="73">
                  <c:v>1.4641520695839256</c:v>
                </c:pt>
                <c:pt idx="74">
                  <c:v>1.3819213428832118</c:v>
                </c:pt>
                <c:pt idx="75">
                  <c:v>1.4899580198732498</c:v>
                </c:pt>
                <c:pt idx="76">
                  <c:v>1.4043027482752239</c:v>
                </c:pt>
                <c:pt idx="77">
                  <c:v>1.4089748906731856</c:v>
                </c:pt>
                <c:pt idx="78">
                  <c:v>1.566923214159786</c:v>
                </c:pt>
                <c:pt idx="79">
                  <c:v>1.680531355878192</c:v>
                </c:pt>
                <c:pt idx="80">
                  <c:v>2.0933519829542822</c:v>
                </c:pt>
                <c:pt idx="81">
                  <c:v>2.1059663484166267</c:v>
                </c:pt>
                <c:pt idx="82">
                  <c:v>2.1069250002628914</c:v>
                </c:pt>
                <c:pt idx="83">
                  <c:v>2.303585188954925</c:v>
                </c:pt>
                <c:pt idx="84">
                  <c:v>2.1890964300002431</c:v>
                </c:pt>
                <c:pt idx="85">
                  <c:v>2.2383525999255389</c:v>
                </c:pt>
                <c:pt idx="86">
                  <c:v>2.2798136950865699</c:v>
                </c:pt>
                <c:pt idx="87">
                  <c:v>2.6668829013553217</c:v>
                </c:pt>
                <c:pt idx="88">
                  <c:v>2.6110739477089897</c:v>
                </c:pt>
                <c:pt idx="89">
                  <c:v>2.5132726998455599</c:v>
                </c:pt>
                <c:pt idx="90">
                  <c:v>2.417479360647159</c:v>
                </c:pt>
                <c:pt idx="91">
                  <c:v>2.5722878315698314</c:v>
                </c:pt>
                <c:pt idx="92">
                  <c:v>2.3483613015390605</c:v>
                </c:pt>
                <c:pt idx="93">
                  <c:v>2.5095735984507637</c:v>
                </c:pt>
                <c:pt idx="94">
                  <c:v>2.4586509123491616</c:v>
                </c:pt>
                <c:pt idx="95">
                  <c:v>2.4558008594045675</c:v>
                </c:pt>
                <c:pt idx="96">
                  <c:v>2.5789093266051659</c:v>
                </c:pt>
                <c:pt idx="97">
                  <c:v>2.6079436808038388</c:v>
                </c:pt>
                <c:pt idx="98">
                  <c:v>2.6279602808274491</c:v>
                </c:pt>
                <c:pt idx="99">
                  <c:v>2.8492291522039865</c:v>
                </c:pt>
                <c:pt idx="100">
                  <c:v>2.8261994366275656</c:v>
                </c:pt>
                <c:pt idx="101">
                  <c:v>3.1238483956679106</c:v>
                </c:pt>
                <c:pt idx="102">
                  <c:v>3.1469575516161363</c:v>
                </c:pt>
                <c:pt idx="103">
                  <c:v>3.5159613674992247</c:v>
                </c:pt>
                <c:pt idx="104">
                  <c:v>3.5677728716539443</c:v>
                </c:pt>
                <c:pt idx="105">
                  <c:v>3.3892095067443178</c:v>
                </c:pt>
                <c:pt idx="106">
                  <c:v>3.3944682554412839</c:v>
                </c:pt>
                <c:pt idx="107">
                  <c:v>3.3644341490532579</c:v>
                </c:pt>
                <c:pt idx="108">
                  <c:v>3.3602979357951401</c:v>
                </c:pt>
                <c:pt idx="109">
                  <c:v>3.3436299034859012</c:v>
                </c:pt>
                <c:pt idx="110">
                  <c:v>3.1071489092366189</c:v>
                </c:pt>
                <c:pt idx="111">
                  <c:v>3.1692416412513102</c:v>
                </c:pt>
                <c:pt idx="112">
                  <c:v>3.1027591094647127</c:v>
                </c:pt>
                <c:pt idx="113">
                  <c:v>3.1013039591819025</c:v>
                </c:pt>
                <c:pt idx="114">
                  <c:v>3.0814522156592332</c:v>
                </c:pt>
                <c:pt idx="115">
                  <c:v>3.2545480954311055</c:v>
                </c:pt>
                <c:pt idx="116">
                  <c:v>3.3506997493179984</c:v>
                </c:pt>
                <c:pt idx="117">
                  <c:v>3.4924649060256758</c:v>
                </c:pt>
                <c:pt idx="118">
                  <c:v>3.3403405186959878</c:v>
                </c:pt>
                <c:pt idx="119">
                  <c:v>3.4218475271098052</c:v>
                </c:pt>
                <c:pt idx="120">
                  <c:v>3.263871914972575</c:v>
                </c:pt>
                <c:pt idx="121">
                  <c:v>3.3709702125375225</c:v>
                </c:pt>
                <c:pt idx="122">
                  <c:v>3.120818349658661</c:v>
                </c:pt>
                <c:pt idx="123">
                  <c:v>3.3208874780567266</c:v>
                </c:pt>
                <c:pt idx="124">
                  <c:v>3.5098207209660517</c:v>
                </c:pt>
                <c:pt idx="125">
                  <c:v>3.283643828936551</c:v>
                </c:pt>
                <c:pt idx="126">
                  <c:v>3.5112994119571761</c:v>
                </c:pt>
                <c:pt idx="127">
                  <c:v>3.5393919471511808</c:v>
                </c:pt>
                <c:pt idx="128">
                  <c:v>3.77134412881054</c:v>
                </c:pt>
                <c:pt idx="129">
                  <c:v>3.7848390491620911</c:v>
                </c:pt>
                <c:pt idx="130">
                  <c:v>3.7379170928175691</c:v>
                </c:pt>
                <c:pt idx="131">
                  <c:v>3.4512344813714346</c:v>
                </c:pt>
                <c:pt idx="132">
                  <c:v>3.504280271217354</c:v>
                </c:pt>
                <c:pt idx="133">
                  <c:v>3.6809982667623053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9-40EA-AE52-C5373219FEB0}"/>
            </c:ext>
          </c:extLst>
        </c:ser>
        <c:ser>
          <c:idx val="1"/>
          <c:order val="1"/>
          <c:tx>
            <c:strRef>
              <c:f>RF再投資累積報酬!$A$13:$B$13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RF再投資累積報酬!$C$13:$EF$13</c:f>
              <c:numCache>
                <c:formatCode>General</c:formatCode>
                <c:ptCount val="134"/>
                <c:pt idx="0">
                  <c:v>0.1041127502527619</c:v>
                </c:pt>
                <c:pt idx="1">
                  <c:v>0.24074121432325701</c:v>
                </c:pt>
                <c:pt idx="2">
                  <c:v>0.32742132658695078</c:v>
                </c:pt>
                <c:pt idx="3">
                  <c:v>0.31221539687520639</c:v>
                </c:pt>
                <c:pt idx="4">
                  <c:v>0.33287547515881966</c:v>
                </c:pt>
                <c:pt idx="5">
                  <c:v>0.37284791979507848</c:v>
                </c:pt>
                <c:pt idx="6">
                  <c:v>0.41283979643847002</c:v>
                </c:pt>
                <c:pt idx="7">
                  <c:v>0.35081722139061289</c:v>
                </c:pt>
                <c:pt idx="8">
                  <c:v>0.34897023978252273</c:v>
                </c:pt>
                <c:pt idx="9">
                  <c:v>0.34084247650749444</c:v>
                </c:pt>
                <c:pt idx="10">
                  <c:v>0.35117857026103949</c:v>
                </c:pt>
                <c:pt idx="11">
                  <c:v>0.48603553761671603</c:v>
                </c:pt>
                <c:pt idx="12">
                  <c:v>0.54516383899048715</c:v>
                </c:pt>
                <c:pt idx="13">
                  <c:v>0.57110965496917432</c:v>
                </c:pt>
                <c:pt idx="14">
                  <c:v>0.68615316727899645</c:v>
                </c:pt>
                <c:pt idx="15">
                  <c:v>0.71002900252262169</c:v>
                </c:pt>
                <c:pt idx="16">
                  <c:v>0.68909196965802932</c:v>
                </c:pt>
                <c:pt idx="17">
                  <c:v>0.59973933736846297</c:v>
                </c:pt>
                <c:pt idx="18">
                  <c:v>0.60229414705910633</c:v>
                </c:pt>
                <c:pt idx="19">
                  <c:v>0.57009712289338954</c:v>
                </c:pt>
                <c:pt idx="20">
                  <c:v>0.61893199169373903</c:v>
                </c:pt>
                <c:pt idx="21">
                  <c:v>0.70518366098366858</c:v>
                </c:pt>
                <c:pt idx="22">
                  <c:v>0.72892151003764627</c:v>
                </c:pt>
                <c:pt idx="23">
                  <c:v>0.76450921748042955</c:v>
                </c:pt>
                <c:pt idx="24">
                  <c:v>0.73549959291924405</c:v>
                </c:pt>
                <c:pt idx="25">
                  <c:v>0.70946436851365369</c:v>
                </c:pt>
                <c:pt idx="26">
                  <c:v>0.72319382867269355</c:v>
                </c:pt>
                <c:pt idx="27">
                  <c:v>0.75841630406307292</c:v>
                </c:pt>
                <c:pt idx="28">
                  <c:v>0.64285427121277294</c:v>
                </c:pt>
                <c:pt idx="29">
                  <c:v>0.69532779864747196</c:v>
                </c:pt>
                <c:pt idx="30">
                  <c:v>0.70089239034102424</c:v>
                </c:pt>
                <c:pt idx="31">
                  <c:v>0.71729127088621425</c:v>
                </c:pt>
                <c:pt idx="32">
                  <c:v>0.73801476928940168</c:v>
                </c:pt>
                <c:pt idx="33">
                  <c:v>0.70971907199880557</c:v>
                </c:pt>
                <c:pt idx="34">
                  <c:v>0.82253986505257837</c:v>
                </c:pt>
                <c:pt idx="35">
                  <c:v>0.86473426660019581</c:v>
                </c:pt>
                <c:pt idx="36">
                  <c:v>0.95103872500530962</c:v>
                </c:pt>
                <c:pt idx="37">
                  <c:v>1.1565420985227433</c:v>
                </c:pt>
                <c:pt idx="38">
                  <c:v>1.1766220672150873</c:v>
                </c:pt>
                <c:pt idx="39">
                  <c:v>1.0470023939619599</c:v>
                </c:pt>
                <c:pt idx="40">
                  <c:v>1.0346194853702553</c:v>
                </c:pt>
                <c:pt idx="41">
                  <c:v>1.0563679105444077</c:v>
                </c:pt>
                <c:pt idx="42">
                  <c:v>1.1413228816799057</c:v>
                </c:pt>
                <c:pt idx="43">
                  <c:v>1.2279674175660418</c:v>
                </c:pt>
                <c:pt idx="44">
                  <c:v>1.3192608922525881</c:v>
                </c:pt>
                <c:pt idx="45">
                  <c:v>1.2972847991240632</c:v>
                </c:pt>
                <c:pt idx="46">
                  <c:v>1.3066577523086544</c:v>
                </c:pt>
                <c:pt idx="47">
                  <c:v>1.4615585574954562</c:v>
                </c:pt>
                <c:pt idx="48">
                  <c:v>1.5047942245567283</c:v>
                </c:pt>
                <c:pt idx="49">
                  <c:v>1.4844967060402428</c:v>
                </c:pt>
                <c:pt idx="50">
                  <c:v>1.6828318925804751</c:v>
                </c:pt>
                <c:pt idx="51">
                  <c:v>1.7527098590612997</c:v>
                </c:pt>
                <c:pt idx="52">
                  <c:v>1.7837707960369116</c:v>
                </c:pt>
                <c:pt idx="53">
                  <c:v>1.7930809181008409</c:v>
                </c:pt>
                <c:pt idx="54">
                  <c:v>1.8695884496054425</c:v>
                </c:pt>
                <c:pt idx="55">
                  <c:v>2.1104313303539732</c:v>
                </c:pt>
                <c:pt idx="56">
                  <c:v>2.2552731137560502</c:v>
                </c:pt>
                <c:pt idx="57">
                  <c:v>2.282863929131274</c:v>
                </c:pt>
                <c:pt idx="58">
                  <c:v>2.4549159796304418</c:v>
                </c:pt>
                <c:pt idx="59">
                  <c:v>2.3967107130324679</c:v>
                </c:pt>
                <c:pt idx="60">
                  <c:v>2.3342417217997764</c:v>
                </c:pt>
                <c:pt idx="61">
                  <c:v>2.4407636102447721</c:v>
                </c:pt>
                <c:pt idx="62">
                  <c:v>2.257123970703959</c:v>
                </c:pt>
                <c:pt idx="63">
                  <c:v>2.2931234697831306</c:v>
                </c:pt>
                <c:pt idx="64">
                  <c:v>2.3948108949283573</c:v>
                </c:pt>
                <c:pt idx="65">
                  <c:v>2.4268331130411043</c:v>
                </c:pt>
                <c:pt idx="66">
                  <c:v>2.5695712112943214</c:v>
                </c:pt>
                <c:pt idx="67">
                  <c:v>2.5457214157943762</c:v>
                </c:pt>
                <c:pt idx="68">
                  <c:v>2.5720287959921264</c:v>
                </c:pt>
                <c:pt idx="69">
                  <c:v>2.7089929021934536</c:v>
                </c:pt>
                <c:pt idx="70">
                  <c:v>2.7746663891463297</c:v>
                </c:pt>
                <c:pt idx="71">
                  <c:v>2.8526268270899324</c:v>
                </c:pt>
                <c:pt idx="72">
                  <c:v>2.8594199243818865</c:v>
                </c:pt>
                <c:pt idx="73">
                  <c:v>2.9407690381515814</c:v>
                </c:pt>
                <c:pt idx="74">
                  <c:v>2.8835790307423692</c:v>
                </c:pt>
                <c:pt idx="75">
                  <c:v>3.1792674488945787</c:v>
                </c:pt>
                <c:pt idx="76">
                  <c:v>3.0391300682703672</c:v>
                </c:pt>
                <c:pt idx="77">
                  <c:v>3.0124886662194292</c:v>
                </c:pt>
                <c:pt idx="78">
                  <c:v>3.4944614769510665</c:v>
                </c:pt>
                <c:pt idx="79">
                  <c:v>3.7428076561519452</c:v>
                </c:pt>
                <c:pt idx="80">
                  <c:v>4.614667726307454</c:v>
                </c:pt>
                <c:pt idx="81">
                  <c:v>4.7170171721076342</c:v>
                </c:pt>
                <c:pt idx="82">
                  <c:v>4.7602393579562134</c:v>
                </c:pt>
                <c:pt idx="83">
                  <c:v>5.0962606849343901</c:v>
                </c:pt>
                <c:pt idx="84">
                  <c:v>4.7801481758232942</c:v>
                </c:pt>
                <c:pt idx="85">
                  <c:v>4.7621945270982735</c:v>
                </c:pt>
                <c:pt idx="86">
                  <c:v>4.9468456021120168</c:v>
                </c:pt>
                <c:pt idx="87">
                  <c:v>5.4312361940939908</c:v>
                </c:pt>
                <c:pt idx="88">
                  <c:v>5.3650150170923805</c:v>
                </c:pt>
                <c:pt idx="89">
                  <c:v>5.1938752557366232</c:v>
                </c:pt>
                <c:pt idx="90">
                  <c:v>5.1105214361367475</c:v>
                </c:pt>
                <c:pt idx="91">
                  <c:v>5.5365869551714955</c:v>
                </c:pt>
                <c:pt idx="92">
                  <c:v>5.071320114935113</c:v>
                </c:pt>
                <c:pt idx="93">
                  <c:v>5.4621956426271367</c:v>
                </c:pt>
                <c:pt idx="94">
                  <c:v>5.4877061335399349</c:v>
                </c:pt>
                <c:pt idx="95">
                  <c:v>5.5400671077673742</c:v>
                </c:pt>
                <c:pt idx="96">
                  <c:v>5.7831051725124292</c:v>
                </c:pt>
                <c:pt idx="97">
                  <c:v>5.7630725454339595</c:v>
                </c:pt>
                <c:pt idx="98">
                  <c:v>5.8034956387210492</c:v>
                </c:pt>
                <c:pt idx="99">
                  <c:v>6.2119316289249777</c:v>
                </c:pt>
                <c:pt idx="100">
                  <c:v>6.1173201721578705</c:v>
                </c:pt>
                <c:pt idx="101">
                  <c:v>6.5246032700157377</c:v>
                </c:pt>
                <c:pt idx="102">
                  <c:v>6.4825883163609905</c:v>
                </c:pt>
                <c:pt idx="103">
                  <c:v>7.2775034903273266</c:v>
                </c:pt>
                <c:pt idx="104">
                  <c:v>7.4723641889711168</c:v>
                </c:pt>
                <c:pt idx="105">
                  <c:v>7.0368282979117538</c:v>
                </c:pt>
                <c:pt idx="106">
                  <c:v>7.0844783083196994</c:v>
                </c:pt>
                <c:pt idx="107">
                  <c:v>6.853918714262182</c:v>
                </c:pt>
                <c:pt idx="108">
                  <c:v>6.8411116653754762</c:v>
                </c:pt>
                <c:pt idx="109">
                  <c:v>6.9296830426837337</c:v>
                </c:pt>
                <c:pt idx="110">
                  <c:v>6.5650998064374306</c:v>
                </c:pt>
                <c:pt idx="111">
                  <c:v>6.6103662214151848</c:v>
                </c:pt>
                <c:pt idx="112">
                  <c:v>6.7048038206876619</c:v>
                </c:pt>
                <c:pt idx="113">
                  <c:v>6.5792136192432311</c:v>
                </c:pt>
                <c:pt idx="114">
                  <c:v>6.5287446282625075</c:v>
                </c:pt>
                <c:pt idx="115">
                  <c:v>6.6153220137739144</c:v>
                </c:pt>
                <c:pt idx="116">
                  <c:v>6.9724152187902044</c:v>
                </c:pt>
                <c:pt idx="117">
                  <c:v>7.3613625369643021</c:v>
                </c:pt>
                <c:pt idx="118">
                  <c:v>7.0773566319775298</c:v>
                </c:pt>
                <c:pt idx="119">
                  <c:v>7.1885916005235888</c:v>
                </c:pt>
                <c:pt idx="120">
                  <c:v>6.8701566978313817</c:v>
                </c:pt>
                <c:pt idx="121">
                  <c:v>7.2702066783178498</c:v>
                </c:pt>
                <c:pt idx="122">
                  <c:v>6.9972389180698835</c:v>
                </c:pt>
                <c:pt idx="123">
                  <c:v>7.6339802325224539</c:v>
                </c:pt>
                <c:pt idx="124">
                  <c:v>8.0174825501114348</c:v>
                </c:pt>
                <c:pt idx="125">
                  <c:v>7.4356441006881298</c:v>
                </c:pt>
                <c:pt idx="126">
                  <c:v>7.9163183972739795</c:v>
                </c:pt>
                <c:pt idx="127">
                  <c:v>8.0795059635088418</c:v>
                </c:pt>
                <c:pt idx="128">
                  <c:v>8.6435128633738856</c:v>
                </c:pt>
                <c:pt idx="129">
                  <c:v>8.8496257680113661</c:v>
                </c:pt>
                <c:pt idx="130">
                  <c:v>8.6646891591780157</c:v>
                </c:pt>
                <c:pt idx="131">
                  <c:v>8.029892140637493</c:v>
                </c:pt>
                <c:pt idx="132">
                  <c:v>8.1017032028577489</c:v>
                </c:pt>
                <c:pt idx="133">
                  <c:v>8.7076692571695791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C9-40EA-AE52-C5373219FEB0}"/>
            </c:ext>
          </c:extLst>
        </c:ser>
        <c:ser>
          <c:idx val="2"/>
          <c:order val="2"/>
          <c:tx>
            <c:strRef>
              <c:f>RF再投資累積報酬!$A$14:$B$14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RF再投資累積報酬!$C$14:$EF$14</c:f>
              <c:numCache>
                <c:formatCode>General</c:formatCode>
                <c:ptCount val="134"/>
                <c:pt idx="0">
                  <c:v>0.11994148975270602</c:v>
                </c:pt>
                <c:pt idx="1">
                  <c:v>0.36891394479590733</c:v>
                </c:pt>
                <c:pt idx="2">
                  <c:v>0.50411917698085751</c:v>
                </c:pt>
                <c:pt idx="3">
                  <c:v>0.55607515975266053</c:v>
                </c:pt>
                <c:pt idx="4">
                  <c:v>0.68857303284802573</c:v>
                </c:pt>
                <c:pt idx="5">
                  <c:v>0.7891913958814778</c:v>
                </c:pt>
                <c:pt idx="6">
                  <c:v>0.92716482315739945</c:v>
                </c:pt>
                <c:pt idx="7">
                  <c:v>0.72463061783846627</c:v>
                </c:pt>
                <c:pt idx="8">
                  <c:v>0.74610427221625364</c:v>
                </c:pt>
                <c:pt idx="9">
                  <c:v>0.73129652649174348</c:v>
                </c:pt>
                <c:pt idx="10">
                  <c:v>0.73994352173486644</c:v>
                </c:pt>
                <c:pt idx="11">
                  <c:v>1.0963406338921127</c:v>
                </c:pt>
                <c:pt idx="12">
                  <c:v>1.1794444151195469</c:v>
                </c:pt>
                <c:pt idx="13">
                  <c:v>1.2835777555414398</c:v>
                </c:pt>
                <c:pt idx="14">
                  <c:v>1.4165686339085846</c:v>
                </c:pt>
                <c:pt idx="15">
                  <c:v>1.3823698468431904</c:v>
                </c:pt>
                <c:pt idx="16">
                  <c:v>1.4741723236292295</c:v>
                </c:pt>
                <c:pt idx="17">
                  <c:v>1.3013724679573113</c:v>
                </c:pt>
                <c:pt idx="18">
                  <c:v>1.3855546695357974</c:v>
                </c:pt>
                <c:pt idx="19">
                  <c:v>1.2940077059485215</c:v>
                </c:pt>
                <c:pt idx="20">
                  <c:v>1.4637829938882403</c:v>
                </c:pt>
                <c:pt idx="21">
                  <c:v>1.5957966961089616</c:v>
                </c:pt>
                <c:pt idx="22">
                  <c:v>1.5522842299496804</c:v>
                </c:pt>
                <c:pt idx="23">
                  <c:v>1.6065258876777371</c:v>
                </c:pt>
                <c:pt idx="24">
                  <c:v>1.5996775021682579</c:v>
                </c:pt>
                <c:pt idx="25">
                  <c:v>1.5286127735876458</c:v>
                </c:pt>
                <c:pt idx="26">
                  <c:v>1.454544436413042</c:v>
                </c:pt>
                <c:pt idx="27">
                  <c:v>1.6260547268031682</c:v>
                </c:pt>
                <c:pt idx="28">
                  <c:v>1.6155008575443612</c:v>
                </c:pt>
                <c:pt idx="29">
                  <c:v>1.7212212397065514</c:v>
                </c:pt>
                <c:pt idx="30">
                  <c:v>1.7386103904315515</c:v>
                </c:pt>
                <c:pt idx="31">
                  <c:v>1.7529888561246887</c:v>
                </c:pt>
                <c:pt idx="32">
                  <c:v>1.9514048868550744</c:v>
                </c:pt>
                <c:pt idx="33">
                  <c:v>1.9958501995422133</c:v>
                </c:pt>
                <c:pt idx="34">
                  <c:v>2.2262653250261346</c:v>
                </c:pt>
                <c:pt idx="35">
                  <c:v>2.3487640052470486</c:v>
                </c:pt>
                <c:pt idx="36">
                  <c:v>2.5538495676191402</c:v>
                </c:pt>
                <c:pt idx="37">
                  <c:v>2.9042401814876362</c:v>
                </c:pt>
                <c:pt idx="38">
                  <c:v>3.1420306840475405</c:v>
                </c:pt>
                <c:pt idx="39">
                  <c:v>2.8521857697045832</c:v>
                </c:pt>
                <c:pt idx="40">
                  <c:v>2.8507682896214739</c:v>
                </c:pt>
                <c:pt idx="41">
                  <c:v>2.9957336956141676</c:v>
                </c:pt>
                <c:pt idx="42">
                  <c:v>3.3368773952167343</c:v>
                </c:pt>
                <c:pt idx="43">
                  <c:v>3.4865282006394827</c:v>
                </c:pt>
                <c:pt idx="44">
                  <c:v>3.6659518616828812</c:v>
                </c:pt>
                <c:pt idx="45">
                  <c:v>3.5787784176122868</c:v>
                </c:pt>
                <c:pt idx="46">
                  <c:v>3.4946986231487163</c:v>
                </c:pt>
                <c:pt idx="47">
                  <c:v>4.1102522214623241</c:v>
                </c:pt>
                <c:pt idx="48">
                  <c:v>4.1872541088889772</c:v>
                </c:pt>
                <c:pt idx="49">
                  <c:v>3.910521524247363</c:v>
                </c:pt>
                <c:pt idx="50">
                  <c:v>4.3835880339962952</c:v>
                </c:pt>
                <c:pt idx="51">
                  <c:v>4.9321667192958119</c:v>
                </c:pt>
                <c:pt idx="52">
                  <c:v>4.8739069161430759</c:v>
                </c:pt>
                <c:pt idx="53">
                  <c:v>5.1284102725403855</c:v>
                </c:pt>
                <c:pt idx="54">
                  <c:v>5.3967553563872324</c:v>
                </c:pt>
                <c:pt idx="55">
                  <c:v>5.6575544084673242</c:v>
                </c:pt>
                <c:pt idx="56">
                  <c:v>5.9330058226498261</c:v>
                </c:pt>
                <c:pt idx="57">
                  <c:v>5.9700471781159301</c:v>
                </c:pt>
                <c:pt idx="58">
                  <c:v>6.3198404796089722</c:v>
                </c:pt>
                <c:pt idx="59">
                  <c:v>6.1733175954908921</c:v>
                </c:pt>
                <c:pt idx="60">
                  <c:v>6.1331918383044046</c:v>
                </c:pt>
                <c:pt idx="61">
                  <c:v>6.5593127891829326</c:v>
                </c:pt>
                <c:pt idx="62">
                  <c:v>6.2094804551257878</c:v>
                </c:pt>
                <c:pt idx="63">
                  <c:v>6.3604220171578447</c:v>
                </c:pt>
                <c:pt idx="64">
                  <c:v>6.6077987769364457</c:v>
                </c:pt>
                <c:pt idx="65">
                  <c:v>6.7270413874342072</c:v>
                </c:pt>
                <c:pt idx="66">
                  <c:v>6.849464952100119</c:v>
                </c:pt>
                <c:pt idx="67">
                  <c:v>6.6302338738516848</c:v>
                </c:pt>
                <c:pt idx="68">
                  <c:v>6.313625291747444</c:v>
                </c:pt>
                <c:pt idx="69">
                  <c:v>6.8549283650074413</c:v>
                </c:pt>
                <c:pt idx="70">
                  <c:v>6.7853742675861737</c:v>
                </c:pt>
                <c:pt idx="71">
                  <c:v>6.985670008434373</c:v>
                </c:pt>
                <c:pt idx="72">
                  <c:v>7.0855543557020848</c:v>
                </c:pt>
                <c:pt idx="73">
                  <c:v>7.5300234246423976</c:v>
                </c:pt>
                <c:pt idx="74">
                  <c:v>7.4737568877234324</c:v>
                </c:pt>
                <c:pt idx="75">
                  <c:v>7.9824708902743069</c:v>
                </c:pt>
                <c:pt idx="76">
                  <c:v>7.7627123495740697</c:v>
                </c:pt>
                <c:pt idx="77">
                  <c:v>7.9566102883148258</c:v>
                </c:pt>
                <c:pt idx="78">
                  <c:v>9.0367430830659448</c:v>
                </c:pt>
                <c:pt idx="79">
                  <c:v>9.5177222883731147</c:v>
                </c:pt>
                <c:pt idx="80">
                  <c:v>11.31157559475716</c:v>
                </c:pt>
                <c:pt idx="81">
                  <c:v>11.061524823769645</c:v>
                </c:pt>
                <c:pt idx="82">
                  <c:v>12.737192381274593</c:v>
                </c:pt>
                <c:pt idx="83">
                  <c:v>13.625458366641524</c:v>
                </c:pt>
                <c:pt idx="84">
                  <c:v>12.076844963652613</c:v>
                </c:pt>
                <c:pt idx="85">
                  <c:v>11.70195986910716</c:v>
                </c:pt>
                <c:pt idx="86">
                  <c:v>11.87999516710793</c:v>
                </c:pt>
                <c:pt idx="87">
                  <c:v>12.682031885003374</c:v>
                </c:pt>
                <c:pt idx="88">
                  <c:v>13.120404328458529</c:v>
                </c:pt>
                <c:pt idx="89">
                  <c:v>12.795258174079517</c:v>
                </c:pt>
                <c:pt idx="90">
                  <c:v>11.780096577701103</c:v>
                </c:pt>
                <c:pt idx="91">
                  <c:v>13.055669473393687</c:v>
                </c:pt>
                <c:pt idx="92">
                  <c:v>12.602684764754944</c:v>
                </c:pt>
                <c:pt idx="93">
                  <c:v>13.454765853298419</c:v>
                </c:pt>
                <c:pt idx="94">
                  <c:v>13.39960482844819</c:v>
                </c:pt>
                <c:pt idx="95">
                  <c:v>13.674645582773577</c:v>
                </c:pt>
                <c:pt idx="96">
                  <c:v>13.030177665669683</c:v>
                </c:pt>
                <c:pt idx="97">
                  <c:v>13.349304090192117</c:v>
                </c:pt>
                <c:pt idx="98">
                  <c:v>13.300539666808998</c:v>
                </c:pt>
                <c:pt idx="99">
                  <c:v>13.819640803496981</c:v>
                </c:pt>
                <c:pt idx="100">
                  <c:v>13.393440970952772</c:v>
                </c:pt>
                <c:pt idx="101">
                  <c:v>14.315536088425409</c:v>
                </c:pt>
                <c:pt idx="102">
                  <c:v>13.943302870529795</c:v>
                </c:pt>
                <c:pt idx="103">
                  <c:v>15.506483545401636</c:v>
                </c:pt>
                <c:pt idx="104">
                  <c:v>15.750016266785103</c:v>
                </c:pt>
                <c:pt idx="105">
                  <c:v>14.847190946963632</c:v>
                </c:pt>
                <c:pt idx="106">
                  <c:v>14.932516970963537</c:v>
                </c:pt>
                <c:pt idx="107">
                  <c:v>14.361230596091568</c:v>
                </c:pt>
                <c:pt idx="108">
                  <c:v>14.537063788380481</c:v>
                </c:pt>
                <c:pt idx="109">
                  <c:v>14.611250739202731</c:v>
                </c:pt>
                <c:pt idx="110">
                  <c:v>13.696465482956231</c:v>
                </c:pt>
                <c:pt idx="111">
                  <c:v>13.930103892294733</c:v>
                </c:pt>
                <c:pt idx="112">
                  <c:v>14.214836845977844</c:v>
                </c:pt>
                <c:pt idx="113">
                  <c:v>13.984101387177319</c:v>
                </c:pt>
                <c:pt idx="114">
                  <c:v>14.066577913338882</c:v>
                </c:pt>
                <c:pt idx="115">
                  <c:v>14.709355731692249</c:v>
                </c:pt>
                <c:pt idx="116">
                  <c:v>15.359340460182903</c:v>
                </c:pt>
                <c:pt idx="117">
                  <c:v>16.071621503617529</c:v>
                </c:pt>
                <c:pt idx="118">
                  <c:v>15.115281456358378</c:v>
                </c:pt>
                <c:pt idx="119">
                  <c:v>15.963308168382852</c:v>
                </c:pt>
                <c:pt idx="120">
                  <c:v>15.368830623577196</c:v>
                </c:pt>
                <c:pt idx="121">
                  <c:v>17.294992063355348</c:v>
                </c:pt>
                <c:pt idx="122">
                  <c:v>16.036383086308337</c:v>
                </c:pt>
                <c:pt idx="123">
                  <c:v>17.880782031908975</c:v>
                </c:pt>
                <c:pt idx="124">
                  <c:v>19.737600589637694</c:v>
                </c:pt>
                <c:pt idx="125">
                  <c:v>17.623785739991146</c:v>
                </c:pt>
                <c:pt idx="126">
                  <c:v>19.006763859588062</c:v>
                </c:pt>
                <c:pt idx="127">
                  <c:v>19.707620801627971</c:v>
                </c:pt>
                <c:pt idx="128">
                  <c:v>21.934217734194114</c:v>
                </c:pt>
                <c:pt idx="129">
                  <c:v>22.69511391563816</c:v>
                </c:pt>
                <c:pt idx="130">
                  <c:v>22.238000581259289</c:v>
                </c:pt>
                <c:pt idx="131">
                  <c:v>19.853091339536206</c:v>
                </c:pt>
                <c:pt idx="132">
                  <c:v>20.246529884540106</c:v>
                </c:pt>
                <c:pt idx="133">
                  <c:v>21.732861063278175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C9-40EA-AE52-C5373219FEB0}"/>
            </c:ext>
          </c:extLst>
        </c:ser>
        <c:ser>
          <c:idx val="3"/>
          <c:order val="3"/>
          <c:tx>
            <c:strRef>
              <c:f>RF再投資累積報酬!$A$15:$B$15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RF再投資累積報酬!$C$15:$EF$15</c:f>
              <c:numCache>
                <c:formatCode>General</c:formatCode>
                <c:ptCount val="134"/>
                <c:pt idx="0">
                  <c:v>0.22764465877785844</c:v>
                </c:pt>
                <c:pt idx="1">
                  <c:v>0.68519913659866893</c:v>
                </c:pt>
                <c:pt idx="2">
                  <c:v>0.78975846316144338</c:v>
                </c:pt>
                <c:pt idx="3">
                  <c:v>0.95138029777555744</c:v>
                </c:pt>
                <c:pt idx="4">
                  <c:v>1.1398945438303105</c:v>
                </c:pt>
                <c:pt idx="5">
                  <c:v>1.3942075369622748</c:v>
                </c:pt>
                <c:pt idx="6">
                  <c:v>1.6976224441003511</c:v>
                </c:pt>
                <c:pt idx="7">
                  <c:v>1.5235591918616547</c:v>
                </c:pt>
                <c:pt idx="8">
                  <c:v>1.5129340830688225</c:v>
                </c:pt>
                <c:pt idx="9">
                  <c:v>1.5455195128254702</c:v>
                </c:pt>
                <c:pt idx="10">
                  <c:v>1.61042442983786</c:v>
                </c:pt>
                <c:pt idx="11">
                  <c:v>2.4726719921932951</c:v>
                </c:pt>
                <c:pt idx="12">
                  <c:v>2.6327743019556964</c:v>
                </c:pt>
                <c:pt idx="13">
                  <c:v>2.825250611570127</c:v>
                </c:pt>
                <c:pt idx="14">
                  <c:v>3.2092114789524704</c:v>
                </c:pt>
                <c:pt idx="15">
                  <c:v>3.2797386537217967</c:v>
                </c:pt>
                <c:pt idx="16">
                  <c:v>3.0955646639303671</c:v>
                </c:pt>
                <c:pt idx="17">
                  <c:v>2.8219804326672238</c:v>
                </c:pt>
                <c:pt idx="18">
                  <c:v>3.0008118264592563</c:v>
                </c:pt>
                <c:pt idx="19">
                  <c:v>2.6580187409368006</c:v>
                </c:pt>
                <c:pt idx="20">
                  <c:v>3.0331251294886892</c:v>
                </c:pt>
                <c:pt idx="21">
                  <c:v>3.3494689955899268</c:v>
                </c:pt>
                <c:pt idx="22">
                  <c:v>3.2442613491729251</c:v>
                </c:pt>
                <c:pt idx="23">
                  <c:v>3.14385732568548</c:v>
                </c:pt>
                <c:pt idx="24">
                  <c:v>3.3369035765906689</c:v>
                </c:pt>
                <c:pt idx="25">
                  <c:v>3.2407700339371743</c:v>
                </c:pt>
                <c:pt idx="26">
                  <c:v>3.0709054407507548</c:v>
                </c:pt>
                <c:pt idx="27">
                  <c:v>3.4035528631651628</c:v>
                </c:pt>
                <c:pt idx="28">
                  <c:v>3.6117813610259217</c:v>
                </c:pt>
                <c:pt idx="29">
                  <c:v>3.915327023129719</c:v>
                </c:pt>
                <c:pt idx="30">
                  <c:v>3.8674256345793836</c:v>
                </c:pt>
                <c:pt idx="31">
                  <c:v>3.7038588462642528</c:v>
                </c:pt>
                <c:pt idx="32">
                  <c:v>4.1057100287615818</c:v>
                </c:pt>
                <c:pt idx="33">
                  <c:v>4.1540348592183474</c:v>
                </c:pt>
                <c:pt idx="34">
                  <c:v>4.4723460918300395</c:v>
                </c:pt>
                <c:pt idx="35">
                  <c:v>4.7154915264425217</c:v>
                </c:pt>
                <c:pt idx="36">
                  <c:v>5.0305444061682758</c:v>
                </c:pt>
                <c:pt idx="37">
                  <c:v>5.6437826627786905</c:v>
                </c:pt>
                <c:pt idx="38">
                  <c:v>6.0647979241670109</c:v>
                </c:pt>
                <c:pt idx="39">
                  <c:v>5.511725316461507</c:v>
                </c:pt>
                <c:pt idx="40">
                  <c:v>5.2684008508997744</c:v>
                </c:pt>
                <c:pt idx="41">
                  <c:v>5.8343989313960325</c:v>
                </c:pt>
                <c:pt idx="42">
                  <c:v>6.2022343398937583</c:v>
                </c:pt>
                <c:pt idx="43">
                  <c:v>6.6722160744201249</c:v>
                </c:pt>
                <c:pt idx="44">
                  <c:v>6.9786694042154886</c:v>
                </c:pt>
                <c:pt idx="45">
                  <c:v>6.6018622337679087</c:v>
                </c:pt>
                <c:pt idx="46">
                  <c:v>6.7209069345704062</c:v>
                </c:pt>
                <c:pt idx="47">
                  <c:v>7.6878268173826516</c:v>
                </c:pt>
                <c:pt idx="48">
                  <c:v>7.9312342183021247</c:v>
                </c:pt>
                <c:pt idx="49">
                  <c:v>7.1156046144267169</c:v>
                </c:pt>
                <c:pt idx="50">
                  <c:v>8.3953376561689126</c:v>
                </c:pt>
                <c:pt idx="51">
                  <c:v>9.4174479822520496</c:v>
                </c:pt>
                <c:pt idx="52">
                  <c:v>10.064945958241074</c:v>
                </c:pt>
                <c:pt idx="53">
                  <c:v>10.651866917445822</c:v>
                </c:pt>
                <c:pt idx="54">
                  <c:v>11.216315055862591</c:v>
                </c:pt>
                <c:pt idx="55">
                  <c:v>11.798581029407382</c:v>
                </c:pt>
                <c:pt idx="56">
                  <c:v>11.830443592627562</c:v>
                </c:pt>
                <c:pt idx="57">
                  <c:v>12.272347748306373</c:v>
                </c:pt>
                <c:pt idx="58">
                  <c:v>13.182653738974796</c:v>
                </c:pt>
                <c:pt idx="59">
                  <c:v>13.022885760433388</c:v>
                </c:pt>
                <c:pt idx="60">
                  <c:v>13.03443714437973</c:v>
                </c:pt>
                <c:pt idx="61">
                  <c:v>13.868137042852705</c:v>
                </c:pt>
                <c:pt idx="62">
                  <c:v>13.151210276058997</c:v>
                </c:pt>
                <c:pt idx="63">
                  <c:v>13.719276221374727</c:v>
                </c:pt>
                <c:pt idx="64">
                  <c:v>14.127507633810431</c:v>
                </c:pt>
                <c:pt idx="65">
                  <c:v>14.342079540847399</c:v>
                </c:pt>
                <c:pt idx="66">
                  <c:v>14.538503131059612</c:v>
                </c:pt>
                <c:pt idx="67">
                  <c:v>13.759131761600587</c:v>
                </c:pt>
                <c:pt idx="68">
                  <c:v>13.510827413483966</c:v>
                </c:pt>
                <c:pt idx="69">
                  <c:v>14.803164688260734</c:v>
                </c:pt>
                <c:pt idx="70">
                  <c:v>15.110953757831361</c:v>
                </c:pt>
                <c:pt idx="71">
                  <c:v>16.060130078936798</c:v>
                </c:pt>
                <c:pt idx="72">
                  <c:v>15.446888517525998</c:v>
                </c:pt>
                <c:pt idx="73">
                  <c:v>15.917859891271657</c:v>
                </c:pt>
                <c:pt idx="74">
                  <c:v>14.874127895509627</c:v>
                </c:pt>
                <c:pt idx="75">
                  <c:v>16.507678345331332</c:v>
                </c:pt>
                <c:pt idx="76">
                  <c:v>16.182175225437508</c:v>
                </c:pt>
                <c:pt idx="77">
                  <c:v>16.440885416699519</c:v>
                </c:pt>
                <c:pt idx="78">
                  <c:v>19.469524918613434</c:v>
                </c:pt>
                <c:pt idx="79">
                  <c:v>21.293247409229529</c:v>
                </c:pt>
                <c:pt idx="80">
                  <c:v>22.928861061419692</c:v>
                </c:pt>
                <c:pt idx="81">
                  <c:v>22.8420754629988</c:v>
                </c:pt>
                <c:pt idx="82">
                  <c:v>28.223976417809297</c:v>
                </c:pt>
                <c:pt idx="83">
                  <c:v>30.061754179703524</c:v>
                </c:pt>
                <c:pt idx="84">
                  <c:v>28.856607353673482</c:v>
                </c:pt>
                <c:pt idx="85">
                  <c:v>26.257758192056993</c:v>
                </c:pt>
                <c:pt idx="86">
                  <c:v>27.802527466616979</c:v>
                </c:pt>
                <c:pt idx="87">
                  <c:v>28.707559764415365</c:v>
                </c:pt>
                <c:pt idx="88">
                  <c:v>30.924668107086433</c:v>
                </c:pt>
                <c:pt idx="89">
                  <c:v>29.563588110159149</c:v>
                </c:pt>
                <c:pt idx="90">
                  <c:v>25.607161432402691</c:v>
                </c:pt>
                <c:pt idx="91">
                  <c:v>29.000527994183525</c:v>
                </c:pt>
                <c:pt idx="92">
                  <c:v>29.749441988385811</c:v>
                </c:pt>
                <c:pt idx="93">
                  <c:v>30.498938687188868</c:v>
                </c:pt>
                <c:pt idx="94">
                  <c:v>31.031616820526082</c:v>
                </c:pt>
                <c:pt idx="95">
                  <c:v>31.268477012690497</c:v>
                </c:pt>
                <c:pt idx="96">
                  <c:v>29.229797877538061</c:v>
                </c:pt>
                <c:pt idx="97">
                  <c:v>29.044131087010907</c:v>
                </c:pt>
                <c:pt idx="98">
                  <c:v>28.669040319972979</c:v>
                </c:pt>
                <c:pt idx="99">
                  <c:v>29.382272390914558</c:v>
                </c:pt>
                <c:pt idx="100">
                  <c:v>28.091916832840504</c:v>
                </c:pt>
                <c:pt idx="101">
                  <c:v>30.415981278466766</c:v>
                </c:pt>
                <c:pt idx="102">
                  <c:v>29.587358526020854</c:v>
                </c:pt>
                <c:pt idx="103">
                  <c:v>32.555807883880121</c:v>
                </c:pt>
                <c:pt idx="104">
                  <c:v>35.130445171899034</c:v>
                </c:pt>
                <c:pt idx="105">
                  <c:v>32.690685951421997</c:v>
                </c:pt>
                <c:pt idx="106">
                  <c:v>33.531225264788851</c:v>
                </c:pt>
                <c:pt idx="107">
                  <c:v>32.067401514242661</c:v>
                </c:pt>
                <c:pt idx="108">
                  <c:v>32.602985341881471</c:v>
                </c:pt>
                <c:pt idx="109">
                  <c:v>31.974306718012464</c:v>
                </c:pt>
                <c:pt idx="110">
                  <c:v>31.587898986115214</c:v>
                </c:pt>
                <c:pt idx="111">
                  <c:v>33.137995273335292</c:v>
                </c:pt>
                <c:pt idx="112">
                  <c:v>36.612384077128787</c:v>
                </c:pt>
                <c:pt idx="113">
                  <c:v>38.968254337643842</c:v>
                </c:pt>
                <c:pt idx="114">
                  <c:v>38.016668281027151</c:v>
                </c:pt>
                <c:pt idx="115">
                  <c:v>39.733265026531583</c:v>
                </c:pt>
                <c:pt idx="116">
                  <c:v>41.619081886807038</c:v>
                </c:pt>
                <c:pt idx="117">
                  <c:v>42.630671452371459</c:v>
                </c:pt>
                <c:pt idx="118">
                  <c:v>39.448334051706986</c:v>
                </c:pt>
                <c:pt idx="119">
                  <c:v>42.280144837418646</c:v>
                </c:pt>
                <c:pt idx="120">
                  <c:v>38.98038399867486</c:v>
                </c:pt>
                <c:pt idx="121">
                  <c:v>40.351567196915063</c:v>
                </c:pt>
                <c:pt idx="122">
                  <c:v>35.508155162152519</c:v>
                </c:pt>
                <c:pt idx="123">
                  <c:v>40.610840024108967</c:v>
                </c:pt>
                <c:pt idx="124">
                  <c:v>41.67352375275118</c:v>
                </c:pt>
                <c:pt idx="125">
                  <c:v>36.611750363176697</c:v>
                </c:pt>
                <c:pt idx="126">
                  <c:v>42.013157824548749</c:v>
                </c:pt>
                <c:pt idx="127">
                  <c:v>43.753283225009326</c:v>
                </c:pt>
                <c:pt idx="128">
                  <c:v>48.639309425162963</c:v>
                </c:pt>
                <c:pt idx="129">
                  <c:v>51.047737889692229</c:v>
                </c:pt>
                <c:pt idx="130">
                  <c:v>50.122041890051328</c:v>
                </c:pt>
                <c:pt idx="131">
                  <c:v>44.326997727993444</c:v>
                </c:pt>
                <c:pt idx="132">
                  <c:v>43.590641860225858</c:v>
                </c:pt>
                <c:pt idx="133">
                  <c:v>46.520291225959845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C9-40EA-AE52-C5373219FEB0}"/>
            </c:ext>
          </c:extLst>
        </c:ser>
        <c:ser>
          <c:idx val="4"/>
          <c:order val="4"/>
          <c:tx>
            <c:strRef>
              <c:f>RF再投資累積報酬!$A$16:$B$16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RF再投資累積報酬!$C$16:$EF$16</c:f>
              <c:numCache>
                <c:formatCode>General</c:formatCode>
                <c:ptCount val="134"/>
                <c:pt idx="0">
                  <c:v>0.20787477708292901</c:v>
                </c:pt>
                <c:pt idx="1">
                  <c:v>0.70092319602591591</c:v>
                </c:pt>
                <c:pt idx="2">
                  <c:v>0.81149439092882147</c:v>
                </c:pt>
                <c:pt idx="3">
                  <c:v>1.0365902997416234</c:v>
                </c:pt>
                <c:pt idx="4">
                  <c:v>1.2586041256503289</c:v>
                </c:pt>
                <c:pt idx="5">
                  <c:v>1.4231390461272166</c:v>
                </c:pt>
                <c:pt idx="6">
                  <c:v>1.6940273381111748</c:v>
                </c:pt>
                <c:pt idx="7">
                  <c:v>1.5089637345618612</c:v>
                </c:pt>
                <c:pt idx="8">
                  <c:v>1.5539371717364143</c:v>
                </c:pt>
                <c:pt idx="9">
                  <c:v>1.6331785659202134</c:v>
                </c:pt>
                <c:pt idx="10">
                  <c:v>1.7393863875707964</c:v>
                </c:pt>
                <c:pt idx="11">
                  <c:v>2.7447072484083614</c:v>
                </c:pt>
                <c:pt idx="12">
                  <c:v>2.8032036656925365</c:v>
                </c:pt>
                <c:pt idx="13">
                  <c:v>3.0389252221115388</c:v>
                </c:pt>
                <c:pt idx="14">
                  <c:v>3.4291587986620229</c:v>
                </c:pt>
                <c:pt idx="15">
                  <c:v>3.5141222988892107</c:v>
                </c:pt>
                <c:pt idx="16">
                  <c:v>3.3226549745451717</c:v>
                </c:pt>
                <c:pt idx="17">
                  <c:v>3.0320901697706653</c:v>
                </c:pt>
                <c:pt idx="18">
                  <c:v>3.2282574683432639</c:v>
                </c:pt>
                <c:pt idx="19">
                  <c:v>2.7871818197874605</c:v>
                </c:pt>
                <c:pt idx="20">
                  <c:v>3.1722082198121351</c:v>
                </c:pt>
                <c:pt idx="21">
                  <c:v>3.4796093354762201</c:v>
                </c:pt>
                <c:pt idx="22">
                  <c:v>3.460403247458717</c:v>
                </c:pt>
                <c:pt idx="23">
                  <c:v>3.3708571067876756</c:v>
                </c:pt>
                <c:pt idx="24">
                  <c:v>3.5903857078317127</c:v>
                </c:pt>
                <c:pt idx="25">
                  <c:v>3.4421372989850658</c:v>
                </c:pt>
                <c:pt idx="26">
                  <c:v>3.2598296622892038</c:v>
                </c:pt>
                <c:pt idx="27">
                  <c:v>3.4861802078490109</c:v>
                </c:pt>
                <c:pt idx="28">
                  <c:v>3.7173754684412588</c:v>
                </c:pt>
                <c:pt idx="29">
                  <c:v>4.0178054999226589</c:v>
                </c:pt>
                <c:pt idx="30">
                  <c:v>3.9761481422930478</c:v>
                </c:pt>
                <c:pt idx="31">
                  <c:v>3.8180788038573699</c:v>
                </c:pt>
                <c:pt idx="32">
                  <c:v>4.0545406834211892</c:v>
                </c:pt>
                <c:pt idx="33">
                  <c:v>4.0190276520705552</c:v>
                </c:pt>
                <c:pt idx="34">
                  <c:v>4.3423604442333517</c:v>
                </c:pt>
                <c:pt idx="35">
                  <c:v>4.6024742745228808</c:v>
                </c:pt>
                <c:pt idx="36">
                  <c:v>4.9726674578640324</c:v>
                </c:pt>
                <c:pt idx="37">
                  <c:v>5.6084949398274997</c:v>
                </c:pt>
                <c:pt idx="38">
                  <c:v>6.0144195727696061</c:v>
                </c:pt>
                <c:pt idx="39">
                  <c:v>5.4687091765196545</c:v>
                </c:pt>
                <c:pt idx="40">
                  <c:v>5.2198825146489387</c:v>
                </c:pt>
                <c:pt idx="41">
                  <c:v>5.8623415132047683</c:v>
                </c:pt>
                <c:pt idx="42">
                  <c:v>6.3088618980653566</c:v>
                </c:pt>
                <c:pt idx="43">
                  <c:v>6.6709952137293174</c:v>
                </c:pt>
                <c:pt idx="44">
                  <c:v>6.991848689788049</c:v>
                </c:pt>
                <c:pt idx="45">
                  <c:v>6.9193425883650637</c:v>
                </c:pt>
                <c:pt idx="46">
                  <c:v>7.2301999892233599</c:v>
                </c:pt>
                <c:pt idx="47">
                  <c:v>8.0600491878892999</c:v>
                </c:pt>
                <c:pt idx="48">
                  <c:v>8.3663929150490013</c:v>
                </c:pt>
                <c:pt idx="49">
                  <c:v>7.3837680513907351</c:v>
                </c:pt>
                <c:pt idx="50">
                  <c:v>8.7250929720343553</c:v>
                </c:pt>
                <c:pt idx="51">
                  <c:v>10.013422111606872</c:v>
                </c:pt>
                <c:pt idx="52">
                  <c:v>10.752659150600795</c:v>
                </c:pt>
                <c:pt idx="53">
                  <c:v>11.175011072393264</c:v>
                </c:pt>
                <c:pt idx="54">
                  <c:v>11.800940498388744</c:v>
                </c:pt>
                <c:pt idx="55">
                  <c:v>12.623632037682674</c:v>
                </c:pt>
                <c:pt idx="56">
                  <c:v>12.80718707464395</c:v>
                </c:pt>
                <c:pt idx="57">
                  <c:v>12.616984588395715</c:v>
                </c:pt>
                <c:pt idx="58">
                  <c:v>13.181324279992488</c:v>
                </c:pt>
                <c:pt idx="59">
                  <c:v>12.890553012302931</c:v>
                </c:pt>
                <c:pt idx="60">
                  <c:v>12.931835601050414</c:v>
                </c:pt>
                <c:pt idx="61">
                  <c:v>13.915751508047608</c:v>
                </c:pt>
                <c:pt idx="62">
                  <c:v>13.326609371393799</c:v>
                </c:pt>
                <c:pt idx="63">
                  <c:v>14.012937521723076</c:v>
                </c:pt>
                <c:pt idx="64">
                  <c:v>14.341576128035369</c:v>
                </c:pt>
                <c:pt idx="65">
                  <c:v>14.661343415181191</c:v>
                </c:pt>
                <c:pt idx="66">
                  <c:v>14.919411286550565</c:v>
                </c:pt>
                <c:pt idx="67">
                  <c:v>14.500780947357278</c:v>
                </c:pt>
                <c:pt idx="68">
                  <c:v>14.296301261647395</c:v>
                </c:pt>
                <c:pt idx="69">
                  <c:v>15.603877908086684</c:v>
                </c:pt>
                <c:pt idx="70">
                  <c:v>16.563002744942285</c:v>
                </c:pt>
                <c:pt idx="71">
                  <c:v>17.629274409995997</c:v>
                </c:pt>
                <c:pt idx="72">
                  <c:v>16.404568632999453</c:v>
                </c:pt>
                <c:pt idx="73">
                  <c:v>16.953843548441107</c:v>
                </c:pt>
                <c:pt idx="74">
                  <c:v>16.046030199676533</c:v>
                </c:pt>
                <c:pt idx="75">
                  <c:v>17.947103181280195</c:v>
                </c:pt>
                <c:pt idx="76">
                  <c:v>17.384101572612764</c:v>
                </c:pt>
                <c:pt idx="77">
                  <c:v>17.357848248480732</c:v>
                </c:pt>
                <c:pt idx="78">
                  <c:v>18.172719228409687</c:v>
                </c:pt>
                <c:pt idx="79">
                  <c:v>19.855146244058751</c:v>
                </c:pt>
                <c:pt idx="80">
                  <c:v>21.807484710992153</c:v>
                </c:pt>
                <c:pt idx="81">
                  <c:v>21.472304479573534</c:v>
                </c:pt>
                <c:pt idx="82">
                  <c:v>24.75766640474891</c:v>
                </c:pt>
                <c:pt idx="83">
                  <c:v>25.831694502609956</c:v>
                </c:pt>
                <c:pt idx="84">
                  <c:v>24.793042779155041</c:v>
                </c:pt>
                <c:pt idx="85">
                  <c:v>23.61885188622972</c:v>
                </c:pt>
                <c:pt idx="86">
                  <c:v>25.501528945673595</c:v>
                </c:pt>
                <c:pt idx="87">
                  <c:v>25.922338305186049</c:v>
                </c:pt>
                <c:pt idx="88">
                  <c:v>28.318120257541601</c:v>
                </c:pt>
                <c:pt idx="89">
                  <c:v>27.348936053223728</c:v>
                </c:pt>
                <c:pt idx="90">
                  <c:v>22.176617261188422</c:v>
                </c:pt>
                <c:pt idx="91">
                  <c:v>25.343277634064396</c:v>
                </c:pt>
                <c:pt idx="92">
                  <c:v>25.878936041222101</c:v>
                </c:pt>
                <c:pt idx="93">
                  <c:v>26.557055486018399</c:v>
                </c:pt>
                <c:pt idx="94">
                  <c:v>27.15799244052495</c:v>
                </c:pt>
                <c:pt idx="95">
                  <c:v>27.300680434468696</c:v>
                </c:pt>
                <c:pt idx="96">
                  <c:v>25.505436552984378</c:v>
                </c:pt>
                <c:pt idx="97">
                  <c:v>25.061441756689124</c:v>
                </c:pt>
                <c:pt idx="98">
                  <c:v>24.821828703527995</c:v>
                </c:pt>
                <c:pt idx="99">
                  <c:v>25.137895239734643</c:v>
                </c:pt>
                <c:pt idx="100">
                  <c:v>23.854078955439387</c:v>
                </c:pt>
                <c:pt idx="101">
                  <c:v>26.404934082506767</c:v>
                </c:pt>
                <c:pt idx="102">
                  <c:v>25.588135668491979</c:v>
                </c:pt>
                <c:pt idx="103">
                  <c:v>28.194232483716497</c:v>
                </c:pt>
                <c:pt idx="104">
                  <c:v>30.055092086865542</c:v>
                </c:pt>
                <c:pt idx="105">
                  <c:v>27.745490261857018</c:v>
                </c:pt>
                <c:pt idx="106">
                  <c:v>28.735610631567585</c:v>
                </c:pt>
                <c:pt idx="107">
                  <c:v>28.047337305662783</c:v>
                </c:pt>
                <c:pt idx="108">
                  <c:v>28.46715695057426</c:v>
                </c:pt>
                <c:pt idx="109">
                  <c:v>27.90346958571547</c:v>
                </c:pt>
                <c:pt idx="110">
                  <c:v>27.520977668118757</c:v>
                </c:pt>
                <c:pt idx="111">
                  <c:v>28.997030130582313</c:v>
                </c:pt>
                <c:pt idx="112">
                  <c:v>33.004464071555617</c:v>
                </c:pt>
                <c:pt idx="113">
                  <c:v>35.218597969182028</c:v>
                </c:pt>
                <c:pt idx="114">
                  <c:v>34.120053493861221</c:v>
                </c:pt>
                <c:pt idx="115">
                  <c:v>35.610473174008241</c:v>
                </c:pt>
                <c:pt idx="116">
                  <c:v>37.55895239286199</c:v>
                </c:pt>
                <c:pt idx="117">
                  <c:v>38.324037143509983</c:v>
                </c:pt>
                <c:pt idx="118">
                  <c:v>35.66728474773295</c:v>
                </c:pt>
                <c:pt idx="119">
                  <c:v>37.690998087549509</c:v>
                </c:pt>
                <c:pt idx="120">
                  <c:v>34.063637120327108</c:v>
                </c:pt>
                <c:pt idx="121">
                  <c:v>35.187759519450282</c:v>
                </c:pt>
                <c:pt idx="122">
                  <c:v>30.744914224166489</c:v>
                </c:pt>
                <c:pt idx="123">
                  <c:v>35.092498699750834</c:v>
                </c:pt>
                <c:pt idx="124">
                  <c:v>36.569321805733679</c:v>
                </c:pt>
                <c:pt idx="125">
                  <c:v>31.862460356511335</c:v>
                </c:pt>
                <c:pt idx="126">
                  <c:v>37.040668321818458</c:v>
                </c:pt>
                <c:pt idx="127">
                  <c:v>39.277868487512023</c:v>
                </c:pt>
                <c:pt idx="128">
                  <c:v>44.908674979141502</c:v>
                </c:pt>
                <c:pt idx="129">
                  <c:v>48.517585243102729</c:v>
                </c:pt>
                <c:pt idx="130">
                  <c:v>47.282715873536084</c:v>
                </c:pt>
                <c:pt idx="131">
                  <c:v>41.710081846998023</c:v>
                </c:pt>
                <c:pt idx="132">
                  <c:v>40.723875667876449</c:v>
                </c:pt>
                <c:pt idx="133">
                  <c:v>42.496072314875697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C9-40EA-AE52-C5373219FEB0}"/>
            </c:ext>
          </c:extLst>
        </c:ser>
        <c:ser>
          <c:idx val="5"/>
          <c:order val="5"/>
          <c:tx>
            <c:strRef>
              <c:f>RF再投資累積報酬!$A$17:$B$17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RF再投資累積報酬!$C$17:$EF$17</c:f>
              <c:numCache>
                <c:formatCode>General</c:formatCode>
                <c:ptCount val="134"/>
                <c:pt idx="0">
                  <c:v>0.20609218837920595</c:v>
                </c:pt>
                <c:pt idx="1">
                  <c:v>0.73627643061078318</c:v>
                </c:pt>
                <c:pt idx="2">
                  <c:v>0.87446641022380955</c:v>
                </c:pt>
                <c:pt idx="3">
                  <c:v>1.1495852461202198</c:v>
                </c:pt>
                <c:pt idx="4">
                  <c:v>1.4013693478039042</c:v>
                </c:pt>
                <c:pt idx="5">
                  <c:v>1.6534988498872405</c:v>
                </c:pt>
                <c:pt idx="6">
                  <c:v>1.8325825720381332</c:v>
                </c:pt>
                <c:pt idx="7">
                  <c:v>1.5059884266008376</c:v>
                </c:pt>
                <c:pt idx="8">
                  <c:v>1.6048371198340425</c:v>
                </c:pt>
                <c:pt idx="9">
                  <c:v>1.6928179148531863</c:v>
                </c:pt>
                <c:pt idx="10">
                  <c:v>1.8676680619045913</c:v>
                </c:pt>
                <c:pt idx="11">
                  <c:v>3.0293833607620471</c:v>
                </c:pt>
                <c:pt idx="12">
                  <c:v>3.1286353541744329</c:v>
                </c:pt>
                <c:pt idx="13">
                  <c:v>3.4461918340841731</c:v>
                </c:pt>
                <c:pt idx="14">
                  <c:v>3.9194011571460159</c:v>
                </c:pt>
                <c:pt idx="15">
                  <c:v>3.9291182105817954</c:v>
                </c:pt>
                <c:pt idx="16">
                  <c:v>3.657365938530492</c:v>
                </c:pt>
                <c:pt idx="17">
                  <c:v>3.325752101290643</c:v>
                </c:pt>
                <c:pt idx="18">
                  <c:v>3.5519466906630619</c:v>
                </c:pt>
                <c:pt idx="19">
                  <c:v>3.0222990067207496</c:v>
                </c:pt>
                <c:pt idx="20">
                  <c:v>3.5033819928132983</c:v>
                </c:pt>
                <c:pt idx="21">
                  <c:v>3.9545576725516458</c:v>
                </c:pt>
                <c:pt idx="22">
                  <c:v>3.9619919929117149</c:v>
                </c:pt>
                <c:pt idx="23">
                  <c:v>3.8547708395736509</c:v>
                </c:pt>
                <c:pt idx="24">
                  <c:v>4.1570007002301246</c:v>
                </c:pt>
                <c:pt idx="25">
                  <c:v>3.9273166390825631</c:v>
                </c:pt>
                <c:pt idx="26">
                  <c:v>3.7262869933848446</c:v>
                </c:pt>
                <c:pt idx="27">
                  <c:v>3.9615491555898403</c:v>
                </c:pt>
                <c:pt idx="28">
                  <c:v>4.2564810013103074</c:v>
                </c:pt>
                <c:pt idx="29">
                  <c:v>4.5793830028898848</c:v>
                </c:pt>
                <c:pt idx="30">
                  <c:v>4.571841513770436</c:v>
                </c:pt>
                <c:pt idx="31">
                  <c:v>4.3741937016607642</c:v>
                </c:pt>
                <c:pt idx="32">
                  <c:v>4.5385779727902209</c:v>
                </c:pt>
                <c:pt idx="33">
                  <c:v>4.3026199818150062</c:v>
                </c:pt>
                <c:pt idx="34">
                  <c:v>4.6935093732311861</c:v>
                </c:pt>
                <c:pt idx="35">
                  <c:v>4.9823092528121746</c:v>
                </c:pt>
                <c:pt idx="36">
                  <c:v>5.4331921179104175</c:v>
                </c:pt>
                <c:pt idx="37">
                  <c:v>6.161989927580545</c:v>
                </c:pt>
                <c:pt idx="38">
                  <c:v>6.2524625807169487</c:v>
                </c:pt>
                <c:pt idx="39">
                  <c:v>5.6922619595096418</c:v>
                </c:pt>
                <c:pt idx="40">
                  <c:v>5.2871985003595761</c:v>
                </c:pt>
                <c:pt idx="41">
                  <c:v>6.0035034887551726</c:v>
                </c:pt>
                <c:pt idx="42">
                  <c:v>6.397965751962742</c:v>
                </c:pt>
                <c:pt idx="43">
                  <c:v>6.784641194008004</c:v>
                </c:pt>
                <c:pt idx="44">
                  <c:v>7.2093362433919577</c:v>
                </c:pt>
                <c:pt idx="45">
                  <c:v>7.035249857107635</c:v>
                </c:pt>
                <c:pt idx="46">
                  <c:v>7.102921831792381</c:v>
                </c:pt>
                <c:pt idx="47">
                  <c:v>7.8827515544372204</c:v>
                </c:pt>
                <c:pt idx="48">
                  <c:v>8.1263494388440716</c:v>
                </c:pt>
                <c:pt idx="49">
                  <c:v>6.9841174256897069</c:v>
                </c:pt>
                <c:pt idx="50">
                  <c:v>8.2839829192658136</c:v>
                </c:pt>
                <c:pt idx="51">
                  <c:v>9.7069509045202729</c:v>
                </c:pt>
                <c:pt idx="52">
                  <c:v>10.604870017985325</c:v>
                </c:pt>
                <c:pt idx="53">
                  <c:v>10.864314088511929</c:v>
                </c:pt>
                <c:pt idx="54">
                  <c:v>11.782021657246759</c:v>
                </c:pt>
                <c:pt idx="55">
                  <c:v>12.487557254328209</c:v>
                </c:pt>
                <c:pt idx="56">
                  <c:v>12.010175468617597</c:v>
                </c:pt>
                <c:pt idx="57">
                  <c:v>12.18606602654001</c:v>
                </c:pt>
                <c:pt idx="58">
                  <c:v>13.334729890811504</c:v>
                </c:pt>
                <c:pt idx="59">
                  <c:v>13.193417202208401</c:v>
                </c:pt>
                <c:pt idx="60">
                  <c:v>12.997222276511263</c:v>
                </c:pt>
                <c:pt idx="61">
                  <c:v>14.081768585453652</c:v>
                </c:pt>
                <c:pt idx="62">
                  <c:v>13.643507303931729</c:v>
                </c:pt>
                <c:pt idx="63">
                  <c:v>14.330515145633479</c:v>
                </c:pt>
                <c:pt idx="64">
                  <c:v>14.869836772597122</c:v>
                </c:pt>
                <c:pt idx="65">
                  <c:v>15.441087094183459</c:v>
                </c:pt>
                <c:pt idx="66">
                  <c:v>15.628129293261459</c:v>
                </c:pt>
                <c:pt idx="67">
                  <c:v>15.467728120475819</c:v>
                </c:pt>
                <c:pt idx="68">
                  <c:v>15.400153306811578</c:v>
                </c:pt>
                <c:pt idx="69">
                  <c:v>17.1945986945627</c:v>
                </c:pt>
                <c:pt idx="70">
                  <c:v>18.488740812752233</c:v>
                </c:pt>
                <c:pt idx="71">
                  <c:v>19.857051210686567</c:v>
                </c:pt>
                <c:pt idx="72">
                  <c:v>18.179482862040452</c:v>
                </c:pt>
                <c:pt idx="73">
                  <c:v>18.732292417996664</c:v>
                </c:pt>
                <c:pt idx="74">
                  <c:v>17.069936215856394</c:v>
                </c:pt>
                <c:pt idx="75">
                  <c:v>19.248775801653196</c:v>
                </c:pt>
                <c:pt idx="76">
                  <c:v>18.683129644169373</c:v>
                </c:pt>
                <c:pt idx="77">
                  <c:v>18.476895569230798</c:v>
                </c:pt>
                <c:pt idx="78">
                  <c:v>19.290255645616195</c:v>
                </c:pt>
                <c:pt idx="79">
                  <c:v>20.590981663453569</c:v>
                </c:pt>
                <c:pt idx="80">
                  <c:v>22.657412926923371</c:v>
                </c:pt>
                <c:pt idx="81">
                  <c:v>20.407040582100461</c:v>
                </c:pt>
                <c:pt idx="82">
                  <c:v>24.196827605507664</c:v>
                </c:pt>
                <c:pt idx="83">
                  <c:v>25.674280042065057</c:v>
                </c:pt>
                <c:pt idx="84">
                  <c:v>25.286671144309722</c:v>
                </c:pt>
                <c:pt idx="85">
                  <c:v>23.952824426349352</c:v>
                </c:pt>
                <c:pt idx="86">
                  <c:v>26.241960923006147</c:v>
                </c:pt>
                <c:pt idx="87">
                  <c:v>25.985168807161415</c:v>
                </c:pt>
                <c:pt idx="88">
                  <c:v>29.616545282916494</c:v>
                </c:pt>
                <c:pt idx="89">
                  <c:v>28.798530553815571</c:v>
                </c:pt>
                <c:pt idx="90">
                  <c:v>22.763177080991518</c:v>
                </c:pt>
                <c:pt idx="91">
                  <c:v>26.283912031118287</c:v>
                </c:pt>
                <c:pt idx="92">
                  <c:v>24.867683189752455</c:v>
                </c:pt>
                <c:pt idx="93">
                  <c:v>25.462790699758841</c:v>
                </c:pt>
                <c:pt idx="94">
                  <c:v>25.768317265698727</c:v>
                </c:pt>
                <c:pt idx="95">
                  <c:v>27.086926083650859</c:v>
                </c:pt>
                <c:pt idx="96">
                  <c:v>24.997025448550449</c:v>
                </c:pt>
                <c:pt idx="97">
                  <c:v>25.097883714895143</c:v>
                </c:pt>
                <c:pt idx="98">
                  <c:v>24.582141149578106</c:v>
                </c:pt>
                <c:pt idx="99">
                  <c:v>24.85772206680868</c:v>
                </c:pt>
                <c:pt idx="100">
                  <c:v>23.580782453865833</c:v>
                </c:pt>
                <c:pt idx="101">
                  <c:v>26.634916107143844</c:v>
                </c:pt>
                <c:pt idx="102">
                  <c:v>25.421857722217059</c:v>
                </c:pt>
                <c:pt idx="103">
                  <c:v>28.176907786292571</c:v>
                </c:pt>
                <c:pt idx="104">
                  <c:v>29.749202386553165</c:v>
                </c:pt>
                <c:pt idx="105">
                  <c:v>28.269225153999191</c:v>
                </c:pt>
                <c:pt idx="106">
                  <c:v>29.548975655062616</c:v>
                </c:pt>
                <c:pt idx="107">
                  <c:v>29.205868796380507</c:v>
                </c:pt>
                <c:pt idx="108">
                  <c:v>29.150311687756346</c:v>
                </c:pt>
                <c:pt idx="109">
                  <c:v>27.982691091352319</c:v>
                </c:pt>
                <c:pt idx="110">
                  <c:v>27.829278626245078</c:v>
                </c:pt>
                <c:pt idx="111">
                  <c:v>29.476771006696861</c:v>
                </c:pt>
                <c:pt idx="112">
                  <c:v>34.23225749510776</c:v>
                </c:pt>
                <c:pt idx="113">
                  <c:v>36.822378077233758</c:v>
                </c:pt>
                <c:pt idx="114">
                  <c:v>34.84604873755351</c:v>
                </c:pt>
                <c:pt idx="115">
                  <c:v>36.118190333880335</c:v>
                </c:pt>
                <c:pt idx="116">
                  <c:v>38.102208471763596</c:v>
                </c:pt>
                <c:pt idx="117">
                  <c:v>37.456298318270555</c:v>
                </c:pt>
                <c:pt idx="118">
                  <c:v>34.947242202857495</c:v>
                </c:pt>
                <c:pt idx="119">
                  <c:v>36.956147178678719</c:v>
                </c:pt>
                <c:pt idx="120">
                  <c:v>32.237584720439173</c:v>
                </c:pt>
                <c:pt idx="121">
                  <c:v>32.794087913868744</c:v>
                </c:pt>
                <c:pt idx="122">
                  <c:v>28.41799156376425</c:v>
                </c:pt>
                <c:pt idx="123">
                  <c:v>31.882413051895639</c:v>
                </c:pt>
                <c:pt idx="124">
                  <c:v>33.483177697498732</c:v>
                </c:pt>
                <c:pt idx="125">
                  <c:v>29.016261941871324</c:v>
                </c:pt>
                <c:pt idx="126">
                  <c:v>32.236493438138943</c:v>
                </c:pt>
                <c:pt idx="127">
                  <c:v>33.872148664614841</c:v>
                </c:pt>
                <c:pt idx="128">
                  <c:v>39.611111288727265</c:v>
                </c:pt>
                <c:pt idx="129">
                  <c:v>43.14835326316183</c:v>
                </c:pt>
                <c:pt idx="130">
                  <c:v>42.249441618642997</c:v>
                </c:pt>
                <c:pt idx="131">
                  <c:v>36.69948107269466</c:v>
                </c:pt>
                <c:pt idx="132">
                  <c:v>35.741410576692971</c:v>
                </c:pt>
                <c:pt idx="133">
                  <c:v>37.494334714920299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C9-40EA-AE52-C5373219FEB0}"/>
            </c:ext>
          </c:extLst>
        </c:ser>
        <c:ser>
          <c:idx val="6"/>
          <c:order val="6"/>
          <c:tx>
            <c:strRef>
              <c:f>RF再投資累積報酬!$A$18:$B$18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RF再投資累積報酬!$C$18:$EF$18</c:f>
              <c:numCache>
                <c:formatCode>General</c:formatCode>
                <c:ptCount val="134"/>
                <c:pt idx="0">
                  <c:v>0.18975112249235826</c:v>
                </c:pt>
                <c:pt idx="1">
                  <c:v>0.66789268357562492</c:v>
                </c:pt>
                <c:pt idx="2">
                  <c:v>0.75702378490219679</c:v>
                </c:pt>
                <c:pt idx="3">
                  <c:v>1.1296721035422719</c:v>
                </c:pt>
                <c:pt idx="4">
                  <c:v>1.4130421363673755</c:v>
                </c:pt>
                <c:pt idx="5">
                  <c:v>1.7232135151196131</c:v>
                </c:pt>
                <c:pt idx="6">
                  <c:v>1.8728613494446735</c:v>
                </c:pt>
                <c:pt idx="7">
                  <c:v>1.5132888716534101</c:v>
                </c:pt>
                <c:pt idx="8">
                  <c:v>1.5926747457148629</c:v>
                </c:pt>
                <c:pt idx="9">
                  <c:v>1.7136819290559386</c:v>
                </c:pt>
                <c:pt idx="10">
                  <c:v>1.9299693722693241</c:v>
                </c:pt>
                <c:pt idx="11">
                  <c:v>3.283087880717086</c:v>
                </c:pt>
                <c:pt idx="12">
                  <c:v>3.3872691742684466</c:v>
                </c:pt>
                <c:pt idx="13">
                  <c:v>3.6266807557220222</c:v>
                </c:pt>
                <c:pt idx="14">
                  <c:v>4.1899160837742135</c:v>
                </c:pt>
                <c:pt idx="15">
                  <c:v>4.2902174344229245</c:v>
                </c:pt>
                <c:pt idx="16">
                  <c:v>3.9251218578643634</c:v>
                </c:pt>
                <c:pt idx="17">
                  <c:v>3.657961380597075</c:v>
                </c:pt>
                <c:pt idx="18">
                  <c:v>3.7890155817324045</c:v>
                </c:pt>
                <c:pt idx="19">
                  <c:v>3.1604384804558547</c:v>
                </c:pt>
                <c:pt idx="20">
                  <c:v>3.734234664198544</c:v>
                </c:pt>
                <c:pt idx="21">
                  <c:v>4.3360638714036179</c:v>
                </c:pt>
                <c:pt idx="22">
                  <c:v>4.4652702959705239</c:v>
                </c:pt>
                <c:pt idx="23">
                  <c:v>4.3728759874595067</c:v>
                </c:pt>
                <c:pt idx="24">
                  <c:v>4.6673337586621777</c:v>
                </c:pt>
                <c:pt idx="25">
                  <c:v>4.3123047389922817</c:v>
                </c:pt>
                <c:pt idx="26">
                  <c:v>3.9153702671579369</c:v>
                </c:pt>
                <c:pt idx="27">
                  <c:v>4.271458314083965</c:v>
                </c:pt>
                <c:pt idx="28">
                  <c:v>4.6784232860838237</c:v>
                </c:pt>
                <c:pt idx="29">
                  <c:v>4.8594140459742068</c:v>
                </c:pt>
                <c:pt idx="30">
                  <c:v>4.8089154806718684</c:v>
                </c:pt>
                <c:pt idx="31">
                  <c:v>4.5754118273681597</c:v>
                </c:pt>
                <c:pt idx="32">
                  <c:v>4.8366507668096279</c:v>
                </c:pt>
                <c:pt idx="33">
                  <c:v>4.5600299635387342</c:v>
                </c:pt>
                <c:pt idx="34">
                  <c:v>4.727678659136556</c:v>
                </c:pt>
                <c:pt idx="35">
                  <c:v>4.9999024166095252</c:v>
                </c:pt>
                <c:pt idx="36">
                  <c:v>5.3997563458686972</c:v>
                </c:pt>
                <c:pt idx="37">
                  <c:v>5.9072227211153727</c:v>
                </c:pt>
                <c:pt idx="38">
                  <c:v>5.9447119139638689</c:v>
                </c:pt>
                <c:pt idx="39">
                  <c:v>5.4010896439528437</c:v>
                </c:pt>
                <c:pt idx="40">
                  <c:v>4.9131291693839341</c:v>
                </c:pt>
                <c:pt idx="41">
                  <c:v>5.6495828359743516</c:v>
                </c:pt>
                <c:pt idx="42">
                  <c:v>6.2202936000584925</c:v>
                </c:pt>
                <c:pt idx="43">
                  <c:v>6.5331175121763927</c:v>
                </c:pt>
                <c:pt idx="44">
                  <c:v>7.0195734274524337</c:v>
                </c:pt>
                <c:pt idx="45">
                  <c:v>6.7888602772425486</c:v>
                </c:pt>
                <c:pt idx="46">
                  <c:v>6.9799835974247282</c:v>
                </c:pt>
                <c:pt idx="47">
                  <c:v>7.8383175618310617</c:v>
                </c:pt>
                <c:pt idx="48">
                  <c:v>8.1457432243031853</c:v>
                </c:pt>
                <c:pt idx="49">
                  <c:v>6.7884318646198585</c:v>
                </c:pt>
                <c:pt idx="50">
                  <c:v>8.1940862146912465</c:v>
                </c:pt>
                <c:pt idx="51">
                  <c:v>9.7318708567020753</c:v>
                </c:pt>
                <c:pt idx="52">
                  <c:v>10.624779388848115</c:v>
                </c:pt>
                <c:pt idx="53">
                  <c:v>10.345595528740608</c:v>
                </c:pt>
                <c:pt idx="54">
                  <c:v>11.121194203994792</c:v>
                </c:pt>
                <c:pt idx="55">
                  <c:v>11.677369579442235</c:v>
                </c:pt>
                <c:pt idx="56">
                  <c:v>11.464310648176387</c:v>
                </c:pt>
                <c:pt idx="57">
                  <c:v>11.719877042248221</c:v>
                </c:pt>
                <c:pt idx="58">
                  <c:v>13.106343727857853</c:v>
                </c:pt>
                <c:pt idx="59">
                  <c:v>13.190362014618771</c:v>
                </c:pt>
                <c:pt idx="60">
                  <c:v>12.36727498182127</c:v>
                </c:pt>
                <c:pt idx="61">
                  <c:v>13.452131924660893</c:v>
                </c:pt>
                <c:pt idx="62">
                  <c:v>13.046296457733503</c:v>
                </c:pt>
                <c:pt idx="63">
                  <c:v>13.787581179765755</c:v>
                </c:pt>
                <c:pt idx="64">
                  <c:v>14.086696920502167</c:v>
                </c:pt>
                <c:pt idx="65">
                  <c:v>14.79362242997172</c:v>
                </c:pt>
                <c:pt idx="66">
                  <c:v>14.823895394482445</c:v>
                </c:pt>
                <c:pt idx="67">
                  <c:v>14.732936580502711</c:v>
                </c:pt>
                <c:pt idx="68">
                  <c:v>14.670262459489235</c:v>
                </c:pt>
                <c:pt idx="69">
                  <c:v>16.47605254618961</c:v>
                </c:pt>
                <c:pt idx="70">
                  <c:v>17.885975797525635</c:v>
                </c:pt>
                <c:pt idx="71">
                  <c:v>19.414293082181455</c:v>
                </c:pt>
                <c:pt idx="72">
                  <c:v>17.672727550367743</c:v>
                </c:pt>
                <c:pt idx="73">
                  <c:v>18.027854347163832</c:v>
                </c:pt>
                <c:pt idx="74">
                  <c:v>15.686001633403578</c:v>
                </c:pt>
                <c:pt idx="75">
                  <c:v>18.244299200311147</c:v>
                </c:pt>
                <c:pt idx="76">
                  <c:v>17.934917379529999</c:v>
                </c:pt>
                <c:pt idx="77">
                  <c:v>17.469547162666046</c:v>
                </c:pt>
                <c:pt idx="78">
                  <c:v>19.402581490783358</c:v>
                </c:pt>
                <c:pt idx="79">
                  <c:v>20.431805925059841</c:v>
                </c:pt>
                <c:pt idx="80">
                  <c:v>22.087635713783396</c:v>
                </c:pt>
                <c:pt idx="81">
                  <c:v>19.735961104047309</c:v>
                </c:pt>
                <c:pt idx="82">
                  <c:v>24.4355884813899</c:v>
                </c:pt>
                <c:pt idx="83">
                  <c:v>28.572866184524589</c:v>
                </c:pt>
                <c:pt idx="84">
                  <c:v>27.423394312214111</c:v>
                </c:pt>
                <c:pt idx="85">
                  <c:v>25.652228076352429</c:v>
                </c:pt>
                <c:pt idx="86">
                  <c:v>28.068726542487902</c:v>
                </c:pt>
                <c:pt idx="87">
                  <c:v>27.16789993151518</c:v>
                </c:pt>
                <c:pt idx="88">
                  <c:v>31.21417772067776</c:v>
                </c:pt>
                <c:pt idx="89">
                  <c:v>30.083902899471941</c:v>
                </c:pt>
                <c:pt idx="90">
                  <c:v>22.885682944587373</c:v>
                </c:pt>
                <c:pt idx="91">
                  <c:v>26.775206271898679</c:v>
                </c:pt>
                <c:pt idx="92">
                  <c:v>25.713008068859839</c:v>
                </c:pt>
                <c:pt idx="93">
                  <c:v>26.614393174700183</c:v>
                </c:pt>
                <c:pt idx="94">
                  <c:v>27.391146301413134</c:v>
                </c:pt>
                <c:pt idx="95">
                  <c:v>29.960983088751171</c:v>
                </c:pt>
                <c:pt idx="96">
                  <c:v>27.742669172018605</c:v>
                </c:pt>
                <c:pt idx="97">
                  <c:v>30.359409885490997</c:v>
                </c:pt>
                <c:pt idx="98">
                  <c:v>30.09423203224625</c:v>
                </c:pt>
                <c:pt idx="99">
                  <c:v>32.008398734509939</c:v>
                </c:pt>
                <c:pt idx="100">
                  <c:v>30.313172742658715</c:v>
                </c:pt>
                <c:pt idx="101">
                  <c:v>34.472904268856475</c:v>
                </c:pt>
                <c:pt idx="102">
                  <c:v>32.792164737141377</c:v>
                </c:pt>
                <c:pt idx="103">
                  <c:v>36.783516755316292</c:v>
                </c:pt>
                <c:pt idx="104">
                  <c:v>38.642800822145382</c:v>
                </c:pt>
                <c:pt idx="105">
                  <c:v>35.825335435738893</c:v>
                </c:pt>
                <c:pt idx="106">
                  <c:v>37.636164038404395</c:v>
                </c:pt>
                <c:pt idx="107">
                  <c:v>36.282245489007224</c:v>
                </c:pt>
                <c:pt idx="108">
                  <c:v>35.998174420247651</c:v>
                </c:pt>
                <c:pt idx="109">
                  <c:v>34.960819115676919</c:v>
                </c:pt>
                <c:pt idx="110">
                  <c:v>34.381323848532041</c:v>
                </c:pt>
                <c:pt idx="111">
                  <c:v>36.173547521114692</c:v>
                </c:pt>
                <c:pt idx="112">
                  <c:v>42.066061370579298</c:v>
                </c:pt>
                <c:pt idx="113">
                  <c:v>45.571541562436778</c:v>
                </c:pt>
                <c:pt idx="114">
                  <c:v>42.474154922094272</c:v>
                </c:pt>
                <c:pt idx="115">
                  <c:v>41.747177317749191</c:v>
                </c:pt>
                <c:pt idx="116">
                  <c:v>43.547043266763431</c:v>
                </c:pt>
                <c:pt idx="117">
                  <c:v>42.629165407225869</c:v>
                </c:pt>
                <c:pt idx="118">
                  <c:v>39.926097386016423</c:v>
                </c:pt>
                <c:pt idx="119">
                  <c:v>43.070885506418968</c:v>
                </c:pt>
                <c:pt idx="120">
                  <c:v>36.560646225873256</c:v>
                </c:pt>
                <c:pt idx="121">
                  <c:v>36.282419872147578</c:v>
                </c:pt>
                <c:pt idx="122">
                  <c:v>30.365147211690939</c:v>
                </c:pt>
                <c:pt idx="123">
                  <c:v>33.678580458237533</c:v>
                </c:pt>
                <c:pt idx="124">
                  <c:v>36.519057633850188</c:v>
                </c:pt>
                <c:pt idx="125">
                  <c:v>30.756018669704339</c:v>
                </c:pt>
                <c:pt idx="126">
                  <c:v>35.101293622317279</c:v>
                </c:pt>
                <c:pt idx="127">
                  <c:v>37.073520800441102</c:v>
                </c:pt>
                <c:pt idx="128">
                  <c:v>44.648085881335312</c:v>
                </c:pt>
                <c:pt idx="129">
                  <c:v>49.205881918229956</c:v>
                </c:pt>
                <c:pt idx="130">
                  <c:v>48.221820730566591</c:v>
                </c:pt>
                <c:pt idx="131">
                  <c:v>42.783891343622258</c:v>
                </c:pt>
                <c:pt idx="132">
                  <c:v>42.177320084901169</c:v>
                </c:pt>
                <c:pt idx="133">
                  <c:v>44.291066528439437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C9-40EA-AE52-C5373219FEB0}"/>
            </c:ext>
          </c:extLst>
        </c:ser>
        <c:ser>
          <c:idx val="7"/>
          <c:order val="7"/>
          <c:tx>
            <c:strRef>
              <c:f>RF再投資累積報酬!$A$19:$B$19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RF再投資累積報酬!$C$19:$EF$19</c:f>
              <c:numCache>
                <c:formatCode>General</c:formatCode>
                <c:ptCount val="134"/>
                <c:pt idx="0">
                  <c:v>0.19660026531165431</c:v>
                </c:pt>
                <c:pt idx="1">
                  <c:v>0.68423965512470697</c:v>
                </c:pt>
                <c:pt idx="2">
                  <c:v>0.79508655298052222</c:v>
                </c:pt>
                <c:pt idx="3">
                  <c:v>1.2190329795876549</c:v>
                </c:pt>
                <c:pt idx="4">
                  <c:v>1.5582439956378096</c:v>
                </c:pt>
                <c:pt idx="5">
                  <c:v>2.0126145273291756</c:v>
                </c:pt>
                <c:pt idx="6">
                  <c:v>2.155603471762126</c:v>
                </c:pt>
                <c:pt idx="7">
                  <c:v>1.6626024271686779</c:v>
                </c:pt>
                <c:pt idx="8">
                  <c:v>1.8131485499577722</c:v>
                </c:pt>
                <c:pt idx="9">
                  <c:v>1.8985637097419508</c:v>
                </c:pt>
                <c:pt idx="10">
                  <c:v>2.1484498698476058</c:v>
                </c:pt>
                <c:pt idx="11">
                  <c:v>3.8246028395173939</c:v>
                </c:pt>
                <c:pt idx="12">
                  <c:v>3.7290880832191542</c:v>
                </c:pt>
                <c:pt idx="13">
                  <c:v>3.836841363021164</c:v>
                </c:pt>
                <c:pt idx="14">
                  <c:v>4.6613404281891899</c:v>
                </c:pt>
                <c:pt idx="15">
                  <c:v>4.8987919319545954</c:v>
                </c:pt>
                <c:pt idx="16">
                  <c:v>4.4345790606455324</c:v>
                </c:pt>
                <c:pt idx="17">
                  <c:v>4.2870069900942438</c:v>
                </c:pt>
                <c:pt idx="18">
                  <c:v>4.5206232172016891</c:v>
                </c:pt>
                <c:pt idx="19">
                  <c:v>3.8654110399811223</c:v>
                </c:pt>
                <c:pt idx="20">
                  <c:v>4.578782426911066</c:v>
                </c:pt>
                <c:pt idx="21">
                  <c:v>5.264543915047291</c:v>
                </c:pt>
                <c:pt idx="22">
                  <c:v>5.4152958126665123</c:v>
                </c:pt>
                <c:pt idx="23">
                  <c:v>5.2727271586483777</c:v>
                </c:pt>
                <c:pt idx="24">
                  <c:v>5.5694279172645578</c:v>
                </c:pt>
                <c:pt idx="25">
                  <c:v>5.2296652987034635</c:v>
                </c:pt>
                <c:pt idx="26">
                  <c:v>4.7094080898256561</c:v>
                </c:pt>
                <c:pt idx="27">
                  <c:v>4.8464193664472006</c:v>
                </c:pt>
                <c:pt idx="28">
                  <c:v>5.5201132026312001</c:v>
                </c:pt>
                <c:pt idx="29">
                  <c:v>5.7730001408647622</c:v>
                </c:pt>
                <c:pt idx="30">
                  <c:v>5.9037024173854933</c:v>
                </c:pt>
                <c:pt idx="31">
                  <c:v>5.513244782087618</c:v>
                </c:pt>
                <c:pt idx="32">
                  <c:v>6.0458336207034593</c:v>
                </c:pt>
                <c:pt idx="33">
                  <c:v>5.6826540811267137</c:v>
                </c:pt>
                <c:pt idx="34">
                  <c:v>5.7331217687999612</c:v>
                </c:pt>
                <c:pt idx="35">
                  <c:v>6.2062646028102213</c:v>
                </c:pt>
                <c:pt idx="36">
                  <c:v>6.5168979298950687</c:v>
                </c:pt>
                <c:pt idx="37">
                  <c:v>7.1450722688173265</c:v>
                </c:pt>
                <c:pt idx="38">
                  <c:v>7.3559718353717081</c:v>
                </c:pt>
                <c:pt idx="39">
                  <c:v>6.6242049528643019</c:v>
                </c:pt>
                <c:pt idx="40">
                  <c:v>5.9513478453785593</c:v>
                </c:pt>
                <c:pt idx="41">
                  <c:v>7.01850182138981</c:v>
                </c:pt>
                <c:pt idx="42">
                  <c:v>7.8026868853351665</c:v>
                </c:pt>
                <c:pt idx="43">
                  <c:v>8.2366151748369418</c:v>
                </c:pt>
                <c:pt idx="44">
                  <c:v>8.9425578101909782</c:v>
                </c:pt>
                <c:pt idx="45">
                  <c:v>8.4451016094927933</c:v>
                </c:pt>
                <c:pt idx="46">
                  <c:v>8.6562578893075184</c:v>
                </c:pt>
                <c:pt idx="47">
                  <c:v>9.4307517102655094</c:v>
                </c:pt>
                <c:pt idx="48">
                  <c:v>9.7387610686986363</c:v>
                </c:pt>
                <c:pt idx="49">
                  <c:v>7.7319055005809787</c:v>
                </c:pt>
                <c:pt idx="50">
                  <c:v>9.3647436911024862</c:v>
                </c:pt>
                <c:pt idx="51">
                  <c:v>11.456368771501397</c:v>
                </c:pt>
                <c:pt idx="52">
                  <c:v>12.254267531267359</c:v>
                </c:pt>
                <c:pt idx="53">
                  <c:v>12.211398026047275</c:v>
                </c:pt>
                <c:pt idx="54">
                  <c:v>12.886921564798959</c:v>
                </c:pt>
                <c:pt idx="55">
                  <c:v>13.07538061836596</c:v>
                </c:pt>
                <c:pt idx="56">
                  <c:v>12.845337406634679</c:v>
                </c:pt>
                <c:pt idx="57">
                  <c:v>12.873280090145634</c:v>
                </c:pt>
                <c:pt idx="58">
                  <c:v>14.646266262891213</c:v>
                </c:pt>
                <c:pt idx="59">
                  <c:v>14.985904482612691</c:v>
                </c:pt>
                <c:pt idx="60">
                  <c:v>14.158641501485628</c:v>
                </c:pt>
                <c:pt idx="61">
                  <c:v>15.370797087117317</c:v>
                </c:pt>
                <c:pt idx="62">
                  <c:v>14.850430594787175</c:v>
                </c:pt>
                <c:pt idx="63">
                  <c:v>15.916414015782856</c:v>
                </c:pt>
                <c:pt idx="64">
                  <c:v>16.351655776739591</c:v>
                </c:pt>
                <c:pt idx="65">
                  <c:v>17.441666101377105</c:v>
                </c:pt>
                <c:pt idx="66">
                  <c:v>17.624866432239966</c:v>
                </c:pt>
                <c:pt idx="67">
                  <c:v>17.749191997830366</c:v>
                </c:pt>
                <c:pt idx="68">
                  <c:v>17.294405245545661</c:v>
                </c:pt>
                <c:pt idx="69">
                  <c:v>19.885490886799563</c:v>
                </c:pt>
                <c:pt idx="70">
                  <c:v>21.471456769929965</c:v>
                </c:pt>
                <c:pt idx="71">
                  <c:v>23.576026472784754</c:v>
                </c:pt>
                <c:pt idx="72">
                  <c:v>20.89805154516138</c:v>
                </c:pt>
                <c:pt idx="73">
                  <c:v>21.644507624104921</c:v>
                </c:pt>
                <c:pt idx="74">
                  <c:v>19.206832343937659</c:v>
                </c:pt>
                <c:pt idx="75">
                  <c:v>20.595084661889178</c:v>
                </c:pt>
                <c:pt idx="76">
                  <c:v>19.961727709803942</c:v>
                </c:pt>
                <c:pt idx="77">
                  <c:v>18.954701816673307</c:v>
                </c:pt>
                <c:pt idx="78">
                  <c:v>19.403806983179827</c:v>
                </c:pt>
                <c:pt idx="79">
                  <c:v>21.192505668734551</c:v>
                </c:pt>
                <c:pt idx="80">
                  <c:v>23.155984477249234</c:v>
                </c:pt>
                <c:pt idx="81">
                  <c:v>20.457797547912072</c:v>
                </c:pt>
                <c:pt idx="82">
                  <c:v>26.120362982245513</c:v>
                </c:pt>
                <c:pt idx="83">
                  <c:v>30.266791672946773</c:v>
                </c:pt>
                <c:pt idx="84">
                  <c:v>29.107827189403615</c:v>
                </c:pt>
                <c:pt idx="85">
                  <c:v>27.24293332040094</c:v>
                </c:pt>
                <c:pt idx="86">
                  <c:v>30.179286642183502</c:v>
                </c:pt>
                <c:pt idx="87">
                  <c:v>28.831085558361259</c:v>
                </c:pt>
                <c:pt idx="88">
                  <c:v>34.061896056842265</c:v>
                </c:pt>
                <c:pt idx="89">
                  <c:v>31.364491315520333</c:v>
                </c:pt>
                <c:pt idx="90">
                  <c:v>22.546643103045774</c:v>
                </c:pt>
                <c:pt idx="91">
                  <c:v>26.291326953032563</c:v>
                </c:pt>
                <c:pt idx="92">
                  <c:v>25.407235127786816</c:v>
                </c:pt>
                <c:pt idx="93">
                  <c:v>26.048909880664144</c:v>
                </c:pt>
                <c:pt idx="94">
                  <c:v>27.23297555846754</c:v>
                </c:pt>
                <c:pt idx="95">
                  <c:v>30.694915066482064</c:v>
                </c:pt>
                <c:pt idx="96">
                  <c:v>28.050405546503956</c:v>
                </c:pt>
                <c:pt idx="97">
                  <c:v>31.012961881131794</c:v>
                </c:pt>
                <c:pt idx="98">
                  <c:v>30.311820143481999</c:v>
                </c:pt>
                <c:pt idx="99">
                  <c:v>32.116468329541405</c:v>
                </c:pt>
                <c:pt idx="100">
                  <c:v>29.767786482241096</c:v>
                </c:pt>
                <c:pt idx="101">
                  <c:v>33.239987450012116</c:v>
                </c:pt>
                <c:pt idx="102">
                  <c:v>31.246402642402238</c:v>
                </c:pt>
                <c:pt idx="103">
                  <c:v>36.017639929048705</c:v>
                </c:pt>
                <c:pt idx="104">
                  <c:v>37.138402919196849</c:v>
                </c:pt>
                <c:pt idx="105">
                  <c:v>34.714804126855491</c:v>
                </c:pt>
                <c:pt idx="106">
                  <c:v>36.644294826307501</c:v>
                </c:pt>
                <c:pt idx="107">
                  <c:v>34.02074922172288</c:v>
                </c:pt>
                <c:pt idx="108">
                  <c:v>33.574358120416058</c:v>
                </c:pt>
                <c:pt idx="109">
                  <c:v>33.568930529481158</c:v>
                </c:pt>
                <c:pt idx="110">
                  <c:v>33.695674901322803</c:v>
                </c:pt>
                <c:pt idx="111">
                  <c:v>36.488662936226945</c:v>
                </c:pt>
                <c:pt idx="112">
                  <c:v>41.14267754302594</c:v>
                </c:pt>
                <c:pt idx="113">
                  <c:v>44.099719983965841</c:v>
                </c:pt>
                <c:pt idx="114">
                  <c:v>40.403696229878136</c:v>
                </c:pt>
                <c:pt idx="115">
                  <c:v>40.506175474744317</c:v>
                </c:pt>
                <c:pt idx="116">
                  <c:v>42.794268288542</c:v>
                </c:pt>
                <c:pt idx="117">
                  <c:v>44.013413763430542</c:v>
                </c:pt>
                <c:pt idx="118">
                  <c:v>41.734692000946637</c:v>
                </c:pt>
                <c:pt idx="119">
                  <c:v>44.980919773959656</c:v>
                </c:pt>
                <c:pt idx="120">
                  <c:v>36.796520809347079</c:v>
                </c:pt>
                <c:pt idx="121">
                  <c:v>36.680253903913801</c:v>
                </c:pt>
                <c:pt idx="122">
                  <c:v>31.006288851260614</c:v>
                </c:pt>
                <c:pt idx="123">
                  <c:v>34.575780819650646</c:v>
                </c:pt>
                <c:pt idx="124">
                  <c:v>36.731998276502495</c:v>
                </c:pt>
                <c:pt idx="125">
                  <c:v>31.511205269899534</c:v>
                </c:pt>
                <c:pt idx="126">
                  <c:v>36.03834764620931</c:v>
                </c:pt>
                <c:pt idx="127">
                  <c:v>38.94726345367247</c:v>
                </c:pt>
                <c:pt idx="128">
                  <c:v>48.256806633657355</c:v>
                </c:pt>
                <c:pt idx="129">
                  <c:v>49.32926375605588</c:v>
                </c:pt>
                <c:pt idx="130">
                  <c:v>47.752694038416962</c:v>
                </c:pt>
                <c:pt idx="131">
                  <c:v>40.394190709604366</c:v>
                </c:pt>
                <c:pt idx="132">
                  <c:v>40.91716669251354</c:v>
                </c:pt>
                <c:pt idx="133">
                  <c:v>41.628834457097206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C9-40EA-AE52-C5373219FEB0}"/>
            </c:ext>
          </c:extLst>
        </c:ser>
        <c:ser>
          <c:idx val="8"/>
          <c:order val="8"/>
          <c:tx>
            <c:strRef>
              <c:f>RF再投資累積報酬!$A$20:$B$20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RF再投資累積報酬!$C$20:$EF$20</c:f>
              <c:numCache>
                <c:formatCode>General</c:formatCode>
                <c:ptCount val="134"/>
                <c:pt idx="0">
                  <c:v>0.20155104786391576</c:v>
                </c:pt>
                <c:pt idx="1">
                  <c:v>0.66057361101204237</c:v>
                </c:pt>
                <c:pt idx="2">
                  <c:v>0.75578484131643586</c:v>
                </c:pt>
                <c:pt idx="3">
                  <c:v>1.0760744425765774</c:v>
                </c:pt>
                <c:pt idx="4">
                  <c:v>1.4041510133163371</c:v>
                </c:pt>
                <c:pt idx="5">
                  <c:v>1.7501859555502524</c:v>
                </c:pt>
                <c:pt idx="6">
                  <c:v>1.8270138898413784</c:v>
                </c:pt>
                <c:pt idx="7">
                  <c:v>1.4504350220844513</c:v>
                </c:pt>
                <c:pt idx="8">
                  <c:v>1.5420927718360975</c:v>
                </c:pt>
                <c:pt idx="9">
                  <c:v>1.6201235373012</c:v>
                </c:pt>
                <c:pt idx="10">
                  <c:v>1.8824854531468755</c:v>
                </c:pt>
                <c:pt idx="11">
                  <c:v>3.3237612649156532</c:v>
                </c:pt>
                <c:pt idx="12">
                  <c:v>2.847652346569391</c:v>
                </c:pt>
                <c:pt idx="13">
                  <c:v>3.0016680783306802</c:v>
                </c:pt>
                <c:pt idx="14">
                  <c:v>3.9013423476956763</c:v>
                </c:pt>
                <c:pt idx="15">
                  <c:v>4.2271327751898831</c:v>
                </c:pt>
                <c:pt idx="16">
                  <c:v>3.9274033231087246</c:v>
                </c:pt>
                <c:pt idx="17">
                  <c:v>4.0045808004508778</c:v>
                </c:pt>
                <c:pt idx="18">
                  <c:v>4.1659167668286372</c:v>
                </c:pt>
                <c:pt idx="19">
                  <c:v>3.4618639751594689</c:v>
                </c:pt>
                <c:pt idx="20">
                  <c:v>4.2341473797531428</c:v>
                </c:pt>
                <c:pt idx="21">
                  <c:v>5.0194909520105293</c:v>
                </c:pt>
                <c:pt idx="22">
                  <c:v>4.990261761505205</c:v>
                </c:pt>
                <c:pt idx="23">
                  <c:v>5.1649219206025787</c:v>
                </c:pt>
                <c:pt idx="24">
                  <c:v>5.5777372914441363</c:v>
                </c:pt>
                <c:pt idx="25">
                  <c:v>5.3613393030570196</c:v>
                </c:pt>
                <c:pt idx="26">
                  <c:v>4.7486848036926439</c:v>
                </c:pt>
                <c:pt idx="27">
                  <c:v>4.903826305622041</c:v>
                </c:pt>
                <c:pt idx="28">
                  <c:v>5.0060283261707026</c:v>
                </c:pt>
                <c:pt idx="29">
                  <c:v>5.2405317705527326</c:v>
                </c:pt>
                <c:pt idx="30">
                  <c:v>5.2015799914568017</c:v>
                </c:pt>
                <c:pt idx="31">
                  <c:v>4.6423326662384303</c:v>
                </c:pt>
                <c:pt idx="32">
                  <c:v>5.0833066080621379</c:v>
                </c:pt>
                <c:pt idx="33">
                  <c:v>4.7062022212650412</c:v>
                </c:pt>
                <c:pt idx="34">
                  <c:v>4.6286257430233944</c:v>
                </c:pt>
                <c:pt idx="35">
                  <c:v>5.0389157036565635</c:v>
                </c:pt>
                <c:pt idx="36">
                  <c:v>5.2387795415284231</c:v>
                </c:pt>
                <c:pt idx="37">
                  <c:v>5.7096214408499408</c:v>
                </c:pt>
                <c:pt idx="38">
                  <c:v>6.0134671977508614</c:v>
                </c:pt>
                <c:pt idx="39">
                  <c:v>5.0895799287916086</c:v>
                </c:pt>
                <c:pt idx="40">
                  <c:v>5.2567540324705933</c:v>
                </c:pt>
                <c:pt idx="41">
                  <c:v>6.3207088282130632</c:v>
                </c:pt>
                <c:pt idx="42">
                  <c:v>7.1413296117637532</c:v>
                </c:pt>
                <c:pt idx="43">
                  <c:v>7.1890278200663413</c:v>
                </c:pt>
                <c:pt idx="44">
                  <c:v>7.8088748821177507</c:v>
                </c:pt>
                <c:pt idx="45">
                  <c:v>7.3276838040615253</c:v>
                </c:pt>
                <c:pt idx="46">
                  <c:v>7.3848555866875802</c:v>
                </c:pt>
                <c:pt idx="47">
                  <c:v>8.3133320104026431</c:v>
                </c:pt>
                <c:pt idx="48">
                  <c:v>8.6735223174036609</c:v>
                </c:pt>
                <c:pt idx="49">
                  <c:v>6.6052997278969325</c:v>
                </c:pt>
                <c:pt idx="50">
                  <c:v>7.7562684905075905</c:v>
                </c:pt>
                <c:pt idx="51">
                  <c:v>9.7808370800742459</c:v>
                </c:pt>
                <c:pt idx="52">
                  <c:v>10.542024202154119</c:v>
                </c:pt>
                <c:pt idx="53">
                  <c:v>9.9253360048338681</c:v>
                </c:pt>
                <c:pt idx="54">
                  <c:v>9.8603652479348636</c:v>
                </c:pt>
                <c:pt idx="55">
                  <c:v>9.9221453297960416</c:v>
                </c:pt>
                <c:pt idx="56">
                  <c:v>9.8464969925567853</c:v>
                </c:pt>
                <c:pt idx="57">
                  <c:v>9.0698178792859032</c:v>
                </c:pt>
                <c:pt idx="58">
                  <c:v>10.396468725291493</c:v>
                </c:pt>
                <c:pt idx="59">
                  <c:v>10.642968780441727</c:v>
                </c:pt>
                <c:pt idx="60">
                  <c:v>9.9533188564810242</c:v>
                </c:pt>
                <c:pt idx="61">
                  <c:v>10.898505179393904</c:v>
                </c:pt>
                <c:pt idx="62">
                  <c:v>10.333700373938928</c:v>
                </c:pt>
                <c:pt idx="63">
                  <c:v>11.677392625641502</c:v>
                </c:pt>
                <c:pt idx="64">
                  <c:v>11.189798331634922</c:v>
                </c:pt>
                <c:pt idx="65">
                  <c:v>11.926153827449394</c:v>
                </c:pt>
                <c:pt idx="66">
                  <c:v>12.125884968521921</c:v>
                </c:pt>
                <c:pt idx="67">
                  <c:v>12.284362069768401</c:v>
                </c:pt>
                <c:pt idx="68">
                  <c:v>12.356197339906698</c:v>
                </c:pt>
                <c:pt idx="69">
                  <c:v>14.330283818477488</c:v>
                </c:pt>
                <c:pt idx="70">
                  <c:v>15.844225220763807</c:v>
                </c:pt>
                <c:pt idx="71">
                  <c:v>17.796779704827365</c:v>
                </c:pt>
                <c:pt idx="72">
                  <c:v>15.249754931220501</c:v>
                </c:pt>
                <c:pt idx="73">
                  <c:v>15.748519005271138</c:v>
                </c:pt>
                <c:pt idx="74">
                  <c:v>13.986005919534797</c:v>
                </c:pt>
                <c:pt idx="75">
                  <c:v>15.338813718144127</c:v>
                </c:pt>
                <c:pt idx="76">
                  <c:v>14.683582714917142</c:v>
                </c:pt>
                <c:pt idx="77">
                  <c:v>14.08365509291388</c:v>
                </c:pt>
                <c:pt idx="78">
                  <c:v>14.278462722947365</c:v>
                </c:pt>
                <c:pt idx="79">
                  <c:v>15.74618286094783</c:v>
                </c:pt>
                <c:pt idx="80">
                  <c:v>17.182639824826243</c:v>
                </c:pt>
                <c:pt idx="81">
                  <c:v>14.796921913418986</c:v>
                </c:pt>
                <c:pt idx="82">
                  <c:v>19.882559611103858</c:v>
                </c:pt>
                <c:pt idx="83">
                  <c:v>21.383264409529993</c:v>
                </c:pt>
                <c:pt idx="84">
                  <c:v>20.702932389915226</c:v>
                </c:pt>
                <c:pt idx="85">
                  <c:v>18.02391547321054</c:v>
                </c:pt>
                <c:pt idx="86">
                  <c:v>19.75468080287278</c:v>
                </c:pt>
                <c:pt idx="87">
                  <c:v>17.841411918943574</c:v>
                </c:pt>
                <c:pt idx="88">
                  <c:v>21.403402795679479</c:v>
                </c:pt>
                <c:pt idx="89">
                  <c:v>21.899849014327607</c:v>
                </c:pt>
                <c:pt idx="90">
                  <c:v>12.37416824466896</c:v>
                </c:pt>
                <c:pt idx="91">
                  <c:v>14.942425890023625</c:v>
                </c:pt>
                <c:pt idx="92">
                  <c:v>14.573868166101652</c:v>
                </c:pt>
                <c:pt idx="93">
                  <c:v>14.968861219359942</c:v>
                </c:pt>
                <c:pt idx="94">
                  <c:v>15.324855651884651</c:v>
                </c:pt>
                <c:pt idx="95">
                  <c:v>16.801831252915758</c:v>
                </c:pt>
                <c:pt idx="96">
                  <c:v>15.113013209096025</c:v>
                </c:pt>
                <c:pt idx="97">
                  <c:v>16.603645393764108</c:v>
                </c:pt>
                <c:pt idx="98">
                  <c:v>16.778855584012192</c:v>
                </c:pt>
                <c:pt idx="99">
                  <c:v>18.384260479335754</c:v>
                </c:pt>
                <c:pt idx="100">
                  <c:v>18.142350090581012</c:v>
                </c:pt>
                <c:pt idx="101">
                  <c:v>21.112508622657469</c:v>
                </c:pt>
                <c:pt idx="102">
                  <c:v>20.062785975929732</c:v>
                </c:pt>
                <c:pt idx="103">
                  <c:v>21.68394795649218</c:v>
                </c:pt>
                <c:pt idx="104">
                  <c:v>22.339540381752254</c:v>
                </c:pt>
                <c:pt idx="105">
                  <c:v>20.748647003312808</c:v>
                </c:pt>
                <c:pt idx="106">
                  <c:v>20.166873655509882</c:v>
                </c:pt>
                <c:pt idx="107">
                  <c:v>20.185058572441356</c:v>
                </c:pt>
                <c:pt idx="108">
                  <c:v>20.096034494315067</c:v>
                </c:pt>
                <c:pt idx="109">
                  <c:v>19.864496829605407</c:v>
                </c:pt>
                <c:pt idx="110">
                  <c:v>19.387185331804446</c:v>
                </c:pt>
                <c:pt idx="111">
                  <c:v>21.044195005019148</c:v>
                </c:pt>
                <c:pt idx="112">
                  <c:v>22.916937138468761</c:v>
                </c:pt>
                <c:pt idx="113">
                  <c:v>24.730478029372502</c:v>
                </c:pt>
                <c:pt idx="114">
                  <c:v>24.969350788919936</c:v>
                </c:pt>
                <c:pt idx="115">
                  <c:v>26.47607191901767</c:v>
                </c:pt>
                <c:pt idx="116">
                  <c:v>28.28443162372556</c:v>
                </c:pt>
                <c:pt idx="117">
                  <c:v>28.572313148066886</c:v>
                </c:pt>
                <c:pt idx="118">
                  <c:v>27.432586999856028</c:v>
                </c:pt>
                <c:pt idx="119">
                  <c:v>29.664905036700521</c:v>
                </c:pt>
                <c:pt idx="120">
                  <c:v>23.345447749601259</c:v>
                </c:pt>
                <c:pt idx="121">
                  <c:v>23.463020296097245</c:v>
                </c:pt>
                <c:pt idx="122">
                  <c:v>19.148350958825375</c:v>
                </c:pt>
                <c:pt idx="123">
                  <c:v>21.754448920369565</c:v>
                </c:pt>
                <c:pt idx="124">
                  <c:v>23.325875803763083</c:v>
                </c:pt>
                <c:pt idx="125">
                  <c:v>19.582942579378997</c:v>
                </c:pt>
                <c:pt idx="126">
                  <c:v>22.085652572913073</c:v>
                </c:pt>
                <c:pt idx="127">
                  <c:v>24.167970266338852</c:v>
                </c:pt>
                <c:pt idx="128">
                  <c:v>31.559551050270649</c:v>
                </c:pt>
                <c:pt idx="129">
                  <c:v>32.831575652774653</c:v>
                </c:pt>
                <c:pt idx="130">
                  <c:v>33.608903877242966</c:v>
                </c:pt>
                <c:pt idx="131">
                  <c:v>27.485936020503505</c:v>
                </c:pt>
                <c:pt idx="132">
                  <c:v>27.553368809246663</c:v>
                </c:pt>
                <c:pt idx="133">
                  <c:v>28.132471577854648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C9-40EA-AE52-C5373219FEB0}"/>
            </c:ext>
          </c:extLst>
        </c:ser>
        <c:ser>
          <c:idx val="9"/>
          <c:order val="9"/>
          <c:tx>
            <c:strRef>
              <c:f>RF再投資累積報酬!$A$21:$B$21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RF再投資累積報酬!$C$21:$EF$21</c:f>
              <c:numCache>
                <c:formatCode>General</c:formatCode>
                <c:ptCount val="134"/>
                <c:pt idx="0">
                  <c:v>0.2146295798069533</c:v>
                </c:pt>
                <c:pt idx="1">
                  <c:v>0.36814408204211646</c:v>
                </c:pt>
                <c:pt idx="2">
                  <c:v>0.3494139565834633</c:v>
                </c:pt>
                <c:pt idx="3">
                  <c:v>0.62390296914747578</c:v>
                </c:pt>
                <c:pt idx="4">
                  <c:v>0.85990780617588536</c:v>
                </c:pt>
                <c:pt idx="5">
                  <c:v>1.161518058945036</c:v>
                </c:pt>
                <c:pt idx="6">
                  <c:v>1.1920198422164812</c:v>
                </c:pt>
                <c:pt idx="7">
                  <c:v>0.89227665850898696</c:v>
                </c:pt>
                <c:pt idx="8">
                  <c:v>0.89505886523545208</c:v>
                </c:pt>
                <c:pt idx="9">
                  <c:v>0.88552832367817369</c:v>
                </c:pt>
                <c:pt idx="10">
                  <c:v>1.0281886221029795</c:v>
                </c:pt>
                <c:pt idx="11">
                  <c:v>2.2144584301741572</c:v>
                </c:pt>
                <c:pt idx="12">
                  <c:v>1.7667567172299572</c:v>
                </c:pt>
                <c:pt idx="13">
                  <c:v>1.8924427086560351</c:v>
                </c:pt>
                <c:pt idx="14">
                  <c:v>2.685213371492567</c:v>
                </c:pt>
                <c:pt idx="15">
                  <c:v>2.9981072647959333</c:v>
                </c:pt>
                <c:pt idx="16">
                  <c:v>2.8519233027984408</c:v>
                </c:pt>
                <c:pt idx="17">
                  <c:v>2.7978408962166252</c:v>
                </c:pt>
                <c:pt idx="18">
                  <c:v>2.760528473844897</c:v>
                </c:pt>
                <c:pt idx="19">
                  <c:v>2.2650770098241826</c:v>
                </c:pt>
                <c:pt idx="20">
                  <c:v>2.7802685470317408</c:v>
                </c:pt>
                <c:pt idx="21">
                  <c:v>3.5658131420408976</c:v>
                </c:pt>
                <c:pt idx="22">
                  <c:v>3.5194990842005298</c:v>
                </c:pt>
                <c:pt idx="23">
                  <c:v>3.6978281940807411</c:v>
                </c:pt>
                <c:pt idx="24">
                  <c:v>3.8295245549580255</c:v>
                </c:pt>
                <c:pt idx="25">
                  <c:v>3.7234877848181718</c:v>
                </c:pt>
                <c:pt idx="26">
                  <c:v>2.9698918096713824</c:v>
                </c:pt>
                <c:pt idx="27">
                  <c:v>2.866939509691218</c:v>
                </c:pt>
                <c:pt idx="28">
                  <c:v>2.906813884492633</c:v>
                </c:pt>
                <c:pt idx="29">
                  <c:v>3.1143657548195964</c:v>
                </c:pt>
                <c:pt idx="30">
                  <c:v>3.0708738105093367</c:v>
                </c:pt>
                <c:pt idx="31">
                  <c:v>2.6329236591453897</c:v>
                </c:pt>
                <c:pt idx="32">
                  <c:v>2.9220833453632737</c:v>
                </c:pt>
                <c:pt idx="33">
                  <c:v>2.6459477262904225</c:v>
                </c:pt>
                <c:pt idx="34">
                  <c:v>2.5154112487191793</c:v>
                </c:pt>
                <c:pt idx="35">
                  <c:v>2.7452482129944222</c:v>
                </c:pt>
                <c:pt idx="36">
                  <c:v>3.0019318233637904</c:v>
                </c:pt>
                <c:pt idx="37">
                  <c:v>3.4499723269409879</c:v>
                </c:pt>
                <c:pt idx="38">
                  <c:v>3.6623534668202078</c:v>
                </c:pt>
                <c:pt idx="39">
                  <c:v>3.3241689887302277</c:v>
                </c:pt>
                <c:pt idx="40">
                  <c:v>3.6565484304482645</c:v>
                </c:pt>
                <c:pt idx="41">
                  <c:v>4.6119896460982117</c:v>
                </c:pt>
                <c:pt idx="42">
                  <c:v>4.9737153135733623</c:v>
                </c:pt>
                <c:pt idx="43">
                  <c:v>4.9588233713016416</c:v>
                </c:pt>
                <c:pt idx="44">
                  <c:v>5.2437125209105346</c:v>
                </c:pt>
                <c:pt idx="45">
                  <c:v>4.897056731265871</c:v>
                </c:pt>
                <c:pt idx="46">
                  <c:v>4.9547949903627062</c:v>
                </c:pt>
                <c:pt idx="47">
                  <c:v>5.8072101225896189</c:v>
                </c:pt>
                <c:pt idx="48">
                  <c:v>6.1272939305125513</c:v>
                </c:pt>
                <c:pt idx="49">
                  <c:v>4.3104663837554442</c:v>
                </c:pt>
                <c:pt idx="50">
                  <c:v>5.0517686297914279</c:v>
                </c:pt>
                <c:pt idx="51">
                  <c:v>6.834090967327934</c:v>
                </c:pt>
                <c:pt idx="52">
                  <c:v>7.1343023245795152</c:v>
                </c:pt>
                <c:pt idx="53">
                  <c:v>6.9573742261022051</c:v>
                </c:pt>
                <c:pt idx="54">
                  <c:v>7.0079077968806889</c:v>
                </c:pt>
                <c:pt idx="55">
                  <c:v>7.0365528853058166</c:v>
                </c:pt>
                <c:pt idx="56">
                  <c:v>7.3309735209099163</c:v>
                </c:pt>
                <c:pt idx="57">
                  <c:v>6.6951422655211958</c:v>
                </c:pt>
                <c:pt idx="58">
                  <c:v>7.9723019198650231</c:v>
                </c:pt>
                <c:pt idx="59">
                  <c:v>8.1838600617437969</c:v>
                </c:pt>
                <c:pt idx="60">
                  <c:v>7.5552259390950471</c:v>
                </c:pt>
                <c:pt idx="61">
                  <c:v>8.7762371329590856</c:v>
                </c:pt>
                <c:pt idx="62">
                  <c:v>8.3774127428354195</c:v>
                </c:pt>
                <c:pt idx="63">
                  <c:v>8.9742658213932529</c:v>
                </c:pt>
                <c:pt idx="64">
                  <c:v>8.3373367707836525</c:v>
                </c:pt>
                <c:pt idx="65">
                  <c:v>9.313173707794137</c:v>
                </c:pt>
                <c:pt idx="66">
                  <c:v>9.8756772088009921</c:v>
                </c:pt>
                <c:pt idx="67">
                  <c:v>10.00970755587845</c:v>
                </c:pt>
                <c:pt idx="68">
                  <c:v>10.074226344139866</c:v>
                </c:pt>
                <c:pt idx="69">
                  <c:v>11.538734018024355</c:v>
                </c:pt>
                <c:pt idx="70">
                  <c:v>13.237688117915507</c:v>
                </c:pt>
                <c:pt idx="71">
                  <c:v>15.261475822700799</c:v>
                </c:pt>
                <c:pt idx="72">
                  <c:v>12.876255608037239</c:v>
                </c:pt>
                <c:pt idx="73">
                  <c:v>12.834754235169264</c:v>
                </c:pt>
                <c:pt idx="74">
                  <c:v>12.13776137516223</c:v>
                </c:pt>
                <c:pt idx="75">
                  <c:v>12.763945559136356</c:v>
                </c:pt>
                <c:pt idx="76">
                  <c:v>11.930984561912734</c:v>
                </c:pt>
                <c:pt idx="77">
                  <c:v>11.110883531433029</c:v>
                </c:pt>
                <c:pt idx="78">
                  <c:v>11.013766910213468</c:v>
                </c:pt>
                <c:pt idx="79">
                  <c:v>12.02801177357007</c:v>
                </c:pt>
                <c:pt idx="80">
                  <c:v>12.829428385129768</c:v>
                </c:pt>
                <c:pt idx="81">
                  <c:v>11.070733393318015</c:v>
                </c:pt>
                <c:pt idx="82">
                  <c:v>14.935381276899948</c:v>
                </c:pt>
                <c:pt idx="83">
                  <c:v>16.211810433651486</c:v>
                </c:pt>
                <c:pt idx="84">
                  <c:v>14.826266296348233</c:v>
                </c:pt>
                <c:pt idx="85">
                  <c:v>13.471098611446068</c:v>
                </c:pt>
                <c:pt idx="86">
                  <c:v>15.309659601815977</c:v>
                </c:pt>
                <c:pt idx="87">
                  <c:v>13.125952352272822</c:v>
                </c:pt>
                <c:pt idx="88">
                  <c:v>16.311396821753974</c:v>
                </c:pt>
                <c:pt idx="89">
                  <c:v>16.840067668567507</c:v>
                </c:pt>
                <c:pt idx="90">
                  <c:v>7.6548367933926222</c:v>
                </c:pt>
                <c:pt idx="91">
                  <c:v>9.5822694741695571</c:v>
                </c:pt>
                <c:pt idx="92">
                  <c:v>9.3398064612234517</c:v>
                </c:pt>
                <c:pt idx="93">
                  <c:v>9.4599114699313525</c:v>
                </c:pt>
                <c:pt idx="94">
                  <c:v>9.7832037535054326</c:v>
                </c:pt>
                <c:pt idx="95">
                  <c:v>10.670584568955087</c:v>
                </c:pt>
                <c:pt idx="96">
                  <c:v>9.9391474847595429</c:v>
                </c:pt>
                <c:pt idx="97">
                  <c:v>11.013652160225215</c:v>
                </c:pt>
                <c:pt idx="98">
                  <c:v>11.794604631969305</c:v>
                </c:pt>
                <c:pt idx="99">
                  <c:v>13.101217493662348</c:v>
                </c:pt>
                <c:pt idx="100">
                  <c:v>12.981612145687688</c:v>
                </c:pt>
                <c:pt idx="101">
                  <c:v>16.301565116036304</c:v>
                </c:pt>
                <c:pt idx="102">
                  <c:v>16.322193018757464</c:v>
                </c:pt>
                <c:pt idx="103">
                  <c:v>17.560057957105347</c:v>
                </c:pt>
                <c:pt idx="104">
                  <c:v>18.456678532067492</c:v>
                </c:pt>
                <c:pt idx="105">
                  <c:v>17.152546085680285</c:v>
                </c:pt>
                <c:pt idx="106">
                  <c:v>17.374698915831306</c:v>
                </c:pt>
                <c:pt idx="107">
                  <c:v>17.770873607014916</c:v>
                </c:pt>
                <c:pt idx="108">
                  <c:v>17.918156979138463</c:v>
                </c:pt>
                <c:pt idx="109">
                  <c:v>18.184464473684788</c:v>
                </c:pt>
                <c:pt idx="110">
                  <c:v>18.844553518379971</c:v>
                </c:pt>
                <c:pt idx="111">
                  <c:v>20.299214687389554</c:v>
                </c:pt>
                <c:pt idx="112">
                  <c:v>23.270512789397365</c:v>
                </c:pt>
                <c:pt idx="113">
                  <c:v>25.657880295526745</c:v>
                </c:pt>
                <c:pt idx="114">
                  <c:v>24.86256590538148</c:v>
                </c:pt>
                <c:pt idx="115">
                  <c:v>26.703918850813185</c:v>
                </c:pt>
                <c:pt idx="116">
                  <c:v>28.987990391133334</c:v>
                </c:pt>
                <c:pt idx="117">
                  <c:v>29.715683616908944</c:v>
                </c:pt>
                <c:pt idx="118">
                  <c:v>28.849008289149289</c:v>
                </c:pt>
                <c:pt idx="119">
                  <c:v>30.346558676420848</c:v>
                </c:pt>
                <c:pt idx="120">
                  <c:v>24.05093232523857</c:v>
                </c:pt>
                <c:pt idx="121">
                  <c:v>23.807721767922029</c:v>
                </c:pt>
                <c:pt idx="122">
                  <c:v>20.120929226937694</c:v>
                </c:pt>
                <c:pt idx="123">
                  <c:v>23.083688206645938</c:v>
                </c:pt>
                <c:pt idx="124">
                  <c:v>26.172369888719508</c:v>
                </c:pt>
                <c:pt idx="125">
                  <c:v>21.119227134259415</c:v>
                </c:pt>
                <c:pt idx="126">
                  <c:v>24.807187354083617</c:v>
                </c:pt>
                <c:pt idx="127">
                  <c:v>27.360307203571764</c:v>
                </c:pt>
                <c:pt idx="128">
                  <c:v>34.905760700623183</c:v>
                </c:pt>
                <c:pt idx="129">
                  <c:v>35.2076615849601</c:v>
                </c:pt>
                <c:pt idx="130">
                  <c:v>36.192109219543141</c:v>
                </c:pt>
                <c:pt idx="131">
                  <c:v>34.165181801901412</c:v>
                </c:pt>
                <c:pt idx="132">
                  <c:v>34.672575009486678</c:v>
                </c:pt>
                <c:pt idx="133">
                  <c:v>34.002955684921304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C9-40EA-AE52-C5373219FEB0}"/>
            </c:ext>
          </c:extLst>
        </c:ser>
        <c:ser>
          <c:idx val="10"/>
          <c:order val="10"/>
          <c:tx>
            <c:strRef>
              <c:f>RF再投資累積報酬!$A$22:$B$22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RF再投資累積報酬!$C$22:$EF$22</c:f>
              <c:numCache>
                <c:formatCode>General</c:formatCode>
                <c:ptCount val="134"/>
                <c:pt idx="0">
                  <c:v>0.20528030103697548</c:v>
                </c:pt>
                <c:pt idx="1">
                  <c:v>0.37694578546487212</c:v>
                </c:pt>
                <c:pt idx="2">
                  <c:v>0.35304875515552792</c:v>
                </c:pt>
                <c:pt idx="3">
                  <c:v>0.16380127562763414</c:v>
                </c:pt>
                <c:pt idx="4">
                  <c:v>0.43490345792329155</c:v>
                </c:pt>
                <c:pt idx="5">
                  <c:v>0.61308698986373922</c:v>
                </c:pt>
                <c:pt idx="6">
                  <c:v>0.64121494132759471</c:v>
                </c:pt>
                <c:pt idx="7">
                  <c:v>0.47011253495050109</c:v>
                </c:pt>
                <c:pt idx="8">
                  <c:v>0.51224122661093219</c:v>
                </c:pt>
                <c:pt idx="9">
                  <c:v>0.53382576122038339</c:v>
                </c:pt>
                <c:pt idx="10">
                  <c:v>0.18847169241341555</c:v>
                </c:pt>
                <c:pt idx="11">
                  <c:v>1.0871267699623868</c:v>
                </c:pt>
                <c:pt idx="12">
                  <c:v>0.94845319984217791</c:v>
                </c:pt>
                <c:pt idx="13">
                  <c:v>1.1250432171232481</c:v>
                </c:pt>
                <c:pt idx="14">
                  <c:v>1.3954993591467013</c:v>
                </c:pt>
                <c:pt idx="15">
                  <c:v>1.5552750763413479</c:v>
                </c:pt>
                <c:pt idx="16">
                  <c:v>1.4550210472191951</c:v>
                </c:pt>
                <c:pt idx="17">
                  <c:v>1.4053348276220547</c:v>
                </c:pt>
                <c:pt idx="18">
                  <c:v>1.5315882224797712</c:v>
                </c:pt>
                <c:pt idx="19">
                  <c:v>1.0869782878115166</c:v>
                </c:pt>
                <c:pt idx="20">
                  <c:v>1.5199851002405613</c:v>
                </c:pt>
                <c:pt idx="21">
                  <c:v>2.1681311930454132</c:v>
                </c:pt>
                <c:pt idx="22">
                  <c:v>1.9468266739396221</c:v>
                </c:pt>
                <c:pt idx="23">
                  <c:v>2.0171559982349359</c:v>
                </c:pt>
                <c:pt idx="24">
                  <c:v>2.3735443183962239</c:v>
                </c:pt>
                <c:pt idx="25">
                  <c:v>2.386583843524857</c:v>
                </c:pt>
                <c:pt idx="26">
                  <c:v>1.7864368962046107</c:v>
                </c:pt>
                <c:pt idx="27">
                  <c:v>1.7346265873541031</c:v>
                </c:pt>
                <c:pt idx="28">
                  <c:v>1.5017794614824793</c:v>
                </c:pt>
                <c:pt idx="29">
                  <c:v>1.6198192109917966</c:v>
                </c:pt>
                <c:pt idx="30">
                  <c:v>1.4993761324717081</c:v>
                </c:pt>
                <c:pt idx="31">
                  <c:v>1.2347772802549604</c:v>
                </c:pt>
                <c:pt idx="32">
                  <c:v>1.4451620307066464</c:v>
                </c:pt>
                <c:pt idx="33">
                  <c:v>1.3676507627545913</c:v>
                </c:pt>
                <c:pt idx="34">
                  <c:v>1.607466700849904</c:v>
                </c:pt>
                <c:pt idx="35">
                  <c:v>1.712654428478988</c:v>
                </c:pt>
                <c:pt idx="36">
                  <c:v>1.9407585648565959</c:v>
                </c:pt>
                <c:pt idx="37">
                  <c:v>2.2675733267112856</c:v>
                </c:pt>
                <c:pt idx="38">
                  <c:v>2.5117178230544859</c:v>
                </c:pt>
                <c:pt idx="39">
                  <c:v>2.2921077945171793</c:v>
                </c:pt>
                <c:pt idx="40">
                  <c:v>2.5535871349566928</c:v>
                </c:pt>
                <c:pt idx="41">
                  <c:v>3.4438768369465667</c:v>
                </c:pt>
                <c:pt idx="42">
                  <c:v>3.8118762282252119</c:v>
                </c:pt>
                <c:pt idx="43">
                  <c:v>3.6909231662231221</c:v>
                </c:pt>
                <c:pt idx="44">
                  <c:v>3.8480712121707654</c:v>
                </c:pt>
                <c:pt idx="45">
                  <c:v>3.5580926722199484</c:v>
                </c:pt>
                <c:pt idx="46">
                  <c:v>3.4206689622035737</c:v>
                </c:pt>
                <c:pt idx="47">
                  <c:v>4.1888194312622327</c:v>
                </c:pt>
                <c:pt idx="48">
                  <c:v>4.5610310149547093</c:v>
                </c:pt>
                <c:pt idx="49">
                  <c:v>3.6996062993771135</c:v>
                </c:pt>
                <c:pt idx="50">
                  <c:v>3.9335290035909871</c:v>
                </c:pt>
                <c:pt idx="51">
                  <c:v>5.7567175245781765</c:v>
                </c:pt>
                <c:pt idx="52">
                  <c:v>4.872689291900655</c:v>
                </c:pt>
                <c:pt idx="53">
                  <c:v>4.7424672138496238</c:v>
                </c:pt>
                <c:pt idx="54">
                  <c:v>4.8700429186092986</c:v>
                </c:pt>
                <c:pt idx="55">
                  <c:v>4.9501033617443069</c:v>
                </c:pt>
                <c:pt idx="56">
                  <c:v>5.2254712426773073</c:v>
                </c:pt>
                <c:pt idx="57">
                  <c:v>4.4288565661538746</c:v>
                </c:pt>
                <c:pt idx="58">
                  <c:v>5.0319412899479738</c:v>
                </c:pt>
                <c:pt idx="59">
                  <c:v>5.3636764372947283</c:v>
                </c:pt>
                <c:pt idx="60">
                  <c:v>5.0974225319586735</c:v>
                </c:pt>
                <c:pt idx="61">
                  <c:v>6.0838656166383185</c:v>
                </c:pt>
                <c:pt idx="62">
                  <c:v>6.0666483999434702</c:v>
                </c:pt>
                <c:pt idx="63">
                  <c:v>5.958333978964788</c:v>
                </c:pt>
                <c:pt idx="64">
                  <c:v>5.6070464604608974</c:v>
                </c:pt>
                <c:pt idx="65">
                  <c:v>6.1014884172298371</c:v>
                </c:pt>
                <c:pt idx="66">
                  <c:v>6.2991235315543319</c:v>
                </c:pt>
                <c:pt idx="67">
                  <c:v>6.4510446381874997</c:v>
                </c:pt>
                <c:pt idx="68">
                  <c:v>6.3290503058466392</c:v>
                </c:pt>
                <c:pt idx="69">
                  <c:v>7.2857163970577297</c:v>
                </c:pt>
                <c:pt idx="70">
                  <c:v>9.0501494803806537</c:v>
                </c:pt>
                <c:pt idx="71">
                  <c:v>10.643540102189968</c:v>
                </c:pt>
                <c:pt idx="72">
                  <c:v>8.6097804419805879</c:v>
                </c:pt>
                <c:pt idx="73">
                  <c:v>8.9618582510354301</c:v>
                </c:pt>
                <c:pt idx="74">
                  <c:v>8.9145714377434455</c:v>
                </c:pt>
                <c:pt idx="75">
                  <c:v>9.3831116359420985</c:v>
                </c:pt>
                <c:pt idx="76">
                  <c:v>9.0976790822000897</c:v>
                </c:pt>
                <c:pt idx="77">
                  <c:v>7.5931927730677788</c:v>
                </c:pt>
                <c:pt idx="78">
                  <c:v>6.5181500246017672</c:v>
                </c:pt>
                <c:pt idx="79">
                  <c:v>7.236272759992163</c:v>
                </c:pt>
                <c:pt idx="80">
                  <c:v>7.786786430774594</c:v>
                </c:pt>
                <c:pt idx="81">
                  <c:v>6.4198034975593092</c:v>
                </c:pt>
                <c:pt idx="82">
                  <c:v>9.7127183373196946</c:v>
                </c:pt>
                <c:pt idx="83">
                  <c:v>10.954523484044607</c:v>
                </c:pt>
                <c:pt idx="84">
                  <c:v>9.5465227412151474</c:v>
                </c:pt>
                <c:pt idx="85">
                  <c:v>8.4562284398125076</c:v>
                </c:pt>
                <c:pt idx="86">
                  <c:v>8.798197268629588</c:v>
                </c:pt>
                <c:pt idx="87">
                  <c:v>6.4402434726509155</c:v>
                </c:pt>
                <c:pt idx="88">
                  <c:v>8.8243355962945049</c:v>
                </c:pt>
                <c:pt idx="89">
                  <c:v>8.7403692416609573</c:v>
                </c:pt>
                <c:pt idx="90">
                  <c:v>2.4095532499082952</c:v>
                </c:pt>
                <c:pt idx="91">
                  <c:v>3.2940205383773424</c:v>
                </c:pt>
                <c:pt idx="92">
                  <c:v>3.2203367969075662</c:v>
                </c:pt>
                <c:pt idx="93">
                  <c:v>3.1003855189627307</c:v>
                </c:pt>
                <c:pt idx="94">
                  <c:v>3.2005972468982291</c:v>
                </c:pt>
                <c:pt idx="95">
                  <c:v>3.4452086157861235</c:v>
                </c:pt>
                <c:pt idx="96">
                  <c:v>2.9107535738726003</c:v>
                </c:pt>
                <c:pt idx="97">
                  <c:v>3.3496718985125158</c:v>
                </c:pt>
                <c:pt idx="98">
                  <c:v>3.508222890770897</c:v>
                </c:pt>
                <c:pt idx="99">
                  <c:v>3.5251268929720938</c:v>
                </c:pt>
                <c:pt idx="100">
                  <c:v>3.4889764426211194</c:v>
                </c:pt>
                <c:pt idx="101">
                  <c:v>4.6692203042696327</c:v>
                </c:pt>
                <c:pt idx="102">
                  <c:v>4.6465901721125817</c:v>
                </c:pt>
                <c:pt idx="103">
                  <c:v>4.9517410621482414</c:v>
                </c:pt>
                <c:pt idx="104">
                  <c:v>5.3823021148359178</c:v>
                </c:pt>
                <c:pt idx="105">
                  <c:v>5.280424120685419</c:v>
                </c:pt>
                <c:pt idx="106">
                  <c:v>5.2459335513906131</c:v>
                </c:pt>
                <c:pt idx="107">
                  <c:v>5.3523128880114434</c:v>
                </c:pt>
                <c:pt idx="108">
                  <c:v>5.5554918893977678</c:v>
                </c:pt>
                <c:pt idx="109">
                  <c:v>5.6469104931985719</c:v>
                </c:pt>
                <c:pt idx="110">
                  <c:v>6.0693947661530041</c:v>
                </c:pt>
                <c:pt idx="111">
                  <c:v>6.3718017155333442</c:v>
                </c:pt>
                <c:pt idx="112">
                  <c:v>7.6923473062041321</c:v>
                </c:pt>
                <c:pt idx="113">
                  <c:v>8.7783835013468785</c:v>
                </c:pt>
                <c:pt idx="114">
                  <c:v>8.1577881149809333</c:v>
                </c:pt>
                <c:pt idx="115">
                  <c:v>8.5860367662245451</c:v>
                </c:pt>
                <c:pt idx="116">
                  <c:v>9.7693131921288003</c:v>
                </c:pt>
                <c:pt idx="117">
                  <c:v>9.8794537350433806</c:v>
                </c:pt>
                <c:pt idx="118">
                  <c:v>9.3153518629983179</c:v>
                </c:pt>
                <c:pt idx="119">
                  <c:v>9.252505039027481</c:v>
                </c:pt>
                <c:pt idx="120">
                  <c:v>7.2322394727643839</c:v>
                </c:pt>
                <c:pt idx="121">
                  <c:v>6.872643346107786</c:v>
                </c:pt>
                <c:pt idx="122">
                  <c:v>5.6008421330625939</c:v>
                </c:pt>
                <c:pt idx="123">
                  <c:v>6.4306017701743032</c:v>
                </c:pt>
                <c:pt idx="124">
                  <c:v>7.0130845899149907</c:v>
                </c:pt>
                <c:pt idx="125">
                  <c:v>5.2306331520174663</c:v>
                </c:pt>
                <c:pt idx="126">
                  <c:v>5.9780351364137871</c:v>
                </c:pt>
                <c:pt idx="127">
                  <c:v>6.75144220514946</c:v>
                </c:pt>
                <c:pt idx="128">
                  <c:v>7.8394048830344314</c:v>
                </c:pt>
                <c:pt idx="129">
                  <c:v>7.1269777761021462</c:v>
                </c:pt>
                <c:pt idx="130">
                  <c:v>7.8428462497347127</c:v>
                </c:pt>
                <c:pt idx="131">
                  <c:v>7.1582899786007612</c:v>
                </c:pt>
                <c:pt idx="132">
                  <c:v>7.4311546238131783</c:v>
                </c:pt>
                <c:pt idx="133">
                  <c:v>7.1378326772488379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C9-40EA-AE52-C5373219FEB0}"/>
            </c:ext>
          </c:extLst>
        </c:ser>
        <c:ser>
          <c:idx val="11"/>
          <c:order val="11"/>
          <c:tx>
            <c:strRef>
              <c:f>RF再投資累積報酬!$A$23:$B$23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RF再投資累積報酬!$C$23:$EF$23</c:f>
              <c:numCache>
                <c:formatCode>General</c:formatCode>
                <c:ptCount val="134"/>
                <c:pt idx="0">
                  <c:v>0.28298926569632887</c:v>
                </c:pt>
                <c:pt idx="1">
                  <c:v>0.60898737920913004</c:v>
                </c:pt>
                <c:pt idx="2">
                  <c:v>0.82299105781477033</c:v>
                </c:pt>
                <c:pt idx="3">
                  <c:v>0.81617264660752276</c:v>
                </c:pt>
                <c:pt idx="4">
                  <c:v>1.4729590124999805</c:v>
                </c:pt>
                <c:pt idx="5">
                  <c:v>1.4279796696089377</c:v>
                </c:pt>
                <c:pt idx="6">
                  <c:v>1.3396340143928493</c:v>
                </c:pt>
                <c:pt idx="7">
                  <c:v>1.0708626940293637</c:v>
                </c:pt>
                <c:pt idx="8">
                  <c:v>0.94678098229645635</c:v>
                </c:pt>
                <c:pt idx="9">
                  <c:v>1.0456206758090425</c:v>
                </c:pt>
                <c:pt idx="10">
                  <c:v>0.50850339065532335</c:v>
                </c:pt>
                <c:pt idx="11">
                  <c:v>1.9806540267754729</c:v>
                </c:pt>
                <c:pt idx="12">
                  <c:v>1.6143325193008344</c:v>
                </c:pt>
                <c:pt idx="13">
                  <c:v>1.7572882110179484</c:v>
                </c:pt>
                <c:pt idx="14">
                  <c:v>2.5601374519146045</c:v>
                </c:pt>
                <c:pt idx="15">
                  <c:v>2.783792328488107</c:v>
                </c:pt>
                <c:pt idx="16">
                  <c:v>2.5091924374840198</c:v>
                </c:pt>
                <c:pt idx="17">
                  <c:v>2.5078822130812366</c:v>
                </c:pt>
                <c:pt idx="18">
                  <c:v>2.7156954326730958</c:v>
                </c:pt>
                <c:pt idx="19">
                  <c:v>1.8518809499071365</c:v>
                </c:pt>
                <c:pt idx="20">
                  <c:v>2.7976192871270644</c:v>
                </c:pt>
                <c:pt idx="21">
                  <c:v>3.5364706575938074</c:v>
                </c:pt>
                <c:pt idx="22">
                  <c:v>3.2282178321088448</c:v>
                </c:pt>
                <c:pt idx="23">
                  <c:v>3.4017944889929073</c:v>
                </c:pt>
                <c:pt idx="24">
                  <c:v>4.06932368217229</c:v>
                </c:pt>
                <c:pt idx="25">
                  <c:v>4.2264290443799517</c:v>
                </c:pt>
                <c:pt idx="26">
                  <c:v>3.0033995912301537</c:v>
                </c:pt>
                <c:pt idx="27">
                  <c:v>2.991408242181262</c:v>
                </c:pt>
                <c:pt idx="28">
                  <c:v>2.1064602053220538</c:v>
                </c:pt>
                <c:pt idx="29">
                  <c:v>2.314301839777793</c:v>
                </c:pt>
                <c:pt idx="30">
                  <c:v>2.3074820769438928</c:v>
                </c:pt>
                <c:pt idx="31">
                  <c:v>2.0290860697454964</c:v>
                </c:pt>
                <c:pt idx="32">
                  <c:v>2.0994464885959907</c:v>
                </c:pt>
                <c:pt idx="33">
                  <c:v>2.1169370923841155</c:v>
                </c:pt>
                <c:pt idx="34">
                  <c:v>2.4726142105921038</c:v>
                </c:pt>
                <c:pt idx="35">
                  <c:v>2.9290258455469687</c:v>
                </c:pt>
                <c:pt idx="36">
                  <c:v>2.9595523686537768</c:v>
                </c:pt>
                <c:pt idx="37">
                  <c:v>3.9190101104536046</c:v>
                </c:pt>
                <c:pt idx="38">
                  <c:v>3.8927575886649821</c:v>
                </c:pt>
                <c:pt idx="39">
                  <c:v>3.9080283712059529</c:v>
                </c:pt>
                <c:pt idx="40">
                  <c:v>4.3469287703109947</c:v>
                </c:pt>
                <c:pt idx="41">
                  <c:v>6.1474751865770543</c:v>
                </c:pt>
                <c:pt idx="42">
                  <c:v>6.0423580695440302</c:v>
                </c:pt>
                <c:pt idx="43">
                  <c:v>5.7506092185268498</c:v>
                </c:pt>
                <c:pt idx="44">
                  <c:v>5.9743617127628532</c:v>
                </c:pt>
                <c:pt idx="45">
                  <c:v>5.7815973698534133</c:v>
                </c:pt>
                <c:pt idx="46">
                  <c:v>5.428771814931701</c:v>
                </c:pt>
                <c:pt idx="47">
                  <c:v>5.8777453698618665</c:v>
                </c:pt>
                <c:pt idx="48">
                  <c:v>7.0485713433813348</c:v>
                </c:pt>
                <c:pt idx="49">
                  <c:v>6.535445805330264</c:v>
                </c:pt>
                <c:pt idx="50">
                  <c:v>6.9423473596534269</c:v>
                </c:pt>
                <c:pt idx="51">
                  <c:v>11.444280522187839</c:v>
                </c:pt>
                <c:pt idx="52">
                  <c:v>7.7006894004795861</c:v>
                </c:pt>
                <c:pt idx="53">
                  <c:v>8.5257834446487823</c:v>
                </c:pt>
                <c:pt idx="54">
                  <c:v>7.8453494707659726</c:v>
                </c:pt>
                <c:pt idx="55">
                  <c:v>7.6432598545122161</c:v>
                </c:pt>
                <c:pt idx="56">
                  <c:v>8.2894426771713796</c:v>
                </c:pt>
                <c:pt idx="57">
                  <c:v>6.3991898966488288</c:v>
                </c:pt>
                <c:pt idx="58">
                  <c:v>7.8132644631045931</c:v>
                </c:pt>
                <c:pt idx="59">
                  <c:v>8.7298731856004768</c:v>
                </c:pt>
                <c:pt idx="60">
                  <c:v>8.7496648017601757</c:v>
                </c:pt>
                <c:pt idx="61">
                  <c:v>10.207574066567114</c:v>
                </c:pt>
                <c:pt idx="62">
                  <c:v>10.986449604496446</c:v>
                </c:pt>
                <c:pt idx="63">
                  <c:v>10.9031776923021</c:v>
                </c:pt>
                <c:pt idx="64">
                  <c:v>11.337940564105708</c:v>
                </c:pt>
                <c:pt idx="65">
                  <c:v>12.550345557025341</c:v>
                </c:pt>
                <c:pt idx="66">
                  <c:v>13.526619518131699</c:v>
                </c:pt>
                <c:pt idx="67">
                  <c:v>13.785837186597917</c:v>
                </c:pt>
                <c:pt idx="68">
                  <c:v>12.702399220117348</c:v>
                </c:pt>
                <c:pt idx="69">
                  <c:v>14.670746210177981</c:v>
                </c:pt>
                <c:pt idx="70">
                  <c:v>17.894026517165926</c:v>
                </c:pt>
                <c:pt idx="71">
                  <c:v>20.037885762601665</c:v>
                </c:pt>
                <c:pt idx="72">
                  <c:v>15.785028068504296</c:v>
                </c:pt>
                <c:pt idx="73">
                  <c:v>15.647170623352366</c:v>
                </c:pt>
                <c:pt idx="74">
                  <c:v>15.477274715740062</c:v>
                </c:pt>
                <c:pt idx="75">
                  <c:v>15.603651498334035</c:v>
                </c:pt>
                <c:pt idx="76">
                  <c:v>14.347532135007153</c:v>
                </c:pt>
                <c:pt idx="77">
                  <c:v>11.007691161546711</c:v>
                </c:pt>
                <c:pt idx="78">
                  <c:v>9.9925055386677233</c:v>
                </c:pt>
                <c:pt idx="79">
                  <c:v>11.545108392155747</c:v>
                </c:pt>
                <c:pt idx="80">
                  <c:v>12.292825729131895</c:v>
                </c:pt>
                <c:pt idx="81">
                  <c:v>9.8544796862572799</c:v>
                </c:pt>
                <c:pt idx="82">
                  <c:v>13.033799532581018</c:v>
                </c:pt>
                <c:pt idx="83">
                  <c:v>15.562640373227321</c:v>
                </c:pt>
                <c:pt idx="84">
                  <c:v>10.429887775461889</c:v>
                </c:pt>
                <c:pt idx="85">
                  <c:v>10.20271455486464</c:v>
                </c:pt>
                <c:pt idx="86">
                  <c:v>11.279485810673423</c:v>
                </c:pt>
                <c:pt idx="87">
                  <c:v>6.261338704248427</c:v>
                </c:pt>
                <c:pt idx="88">
                  <c:v>9.0695376170432667</c:v>
                </c:pt>
                <c:pt idx="89">
                  <c:v>8.5357999795504451</c:v>
                </c:pt>
                <c:pt idx="90">
                  <c:v>-0.13151068552355538</c:v>
                </c:pt>
                <c:pt idx="91">
                  <c:v>0.13890279286074358</c:v>
                </c:pt>
                <c:pt idx="92">
                  <c:v>0.16703627724415093</c:v>
                </c:pt>
                <c:pt idx="93">
                  <c:v>0.12241716694929616</c:v>
                </c:pt>
                <c:pt idx="94">
                  <c:v>0.19988120398245868</c:v>
                </c:pt>
                <c:pt idx="95">
                  <c:v>0.25467082950785724</c:v>
                </c:pt>
                <c:pt idx="96">
                  <c:v>0.2282517330976559</c:v>
                </c:pt>
                <c:pt idx="97">
                  <c:v>0.20092910442403467</c:v>
                </c:pt>
                <c:pt idx="98">
                  <c:v>0.32210445046070557</c:v>
                </c:pt>
                <c:pt idx="99">
                  <c:v>0.20481131773419192</c:v>
                </c:pt>
                <c:pt idx="100">
                  <c:v>0.23137322750263745</c:v>
                </c:pt>
                <c:pt idx="101">
                  <c:v>0.45548166969635129</c:v>
                </c:pt>
                <c:pt idx="102">
                  <c:v>0.41038773833150333</c:v>
                </c:pt>
                <c:pt idx="103">
                  <c:v>0.43682837097270633</c:v>
                </c:pt>
                <c:pt idx="104">
                  <c:v>0.54087778264357333</c:v>
                </c:pt>
                <c:pt idx="105">
                  <c:v>0.51251357211274318</c:v>
                </c:pt>
                <c:pt idx="106">
                  <c:v>0.49830316534781449</c:v>
                </c:pt>
                <c:pt idx="107">
                  <c:v>0.59111125036757284</c:v>
                </c:pt>
                <c:pt idx="108">
                  <c:v>0.65200309681313562</c:v>
                </c:pt>
                <c:pt idx="109">
                  <c:v>0.74354628337226969</c:v>
                </c:pt>
                <c:pt idx="110">
                  <c:v>0.83679043581144508</c:v>
                </c:pt>
                <c:pt idx="111">
                  <c:v>0.77466177757668686</c:v>
                </c:pt>
                <c:pt idx="112">
                  <c:v>1.267721767544852</c:v>
                </c:pt>
                <c:pt idx="113">
                  <c:v>1.7577788442538367</c:v>
                </c:pt>
                <c:pt idx="114">
                  <c:v>1.7040095892272431</c:v>
                </c:pt>
                <c:pt idx="115">
                  <c:v>1.7215780696332277</c:v>
                </c:pt>
                <c:pt idx="116">
                  <c:v>2.1681653632927556</c:v>
                </c:pt>
                <c:pt idx="117">
                  <c:v>2.3173486710112878</c:v>
                </c:pt>
                <c:pt idx="118">
                  <c:v>1.9155114549289762</c:v>
                </c:pt>
                <c:pt idx="119">
                  <c:v>1.6534477843280739</c:v>
                </c:pt>
                <c:pt idx="120">
                  <c:v>0.88899856062972815</c:v>
                </c:pt>
                <c:pt idx="121">
                  <c:v>0.786519518513219</c:v>
                </c:pt>
                <c:pt idx="122">
                  <c:v>0.68711850380097195</c:v>
                </c:pt>
                <c:pt idx="123">
                  <c:v>1.1532214462884243</c:v>
                </c:pt>
                <c:pt idx="124">
                  <c:v>1.4573171055072023</c:v>
                </c:pt>
                <c:pt idx="125">
                  <c:v>0.6869648870118692</c:v>
                </c:pt>
                <c:pt idx="126">
                  <c:v>0.5959932397278358</c:v>
                </c:pt>
                <c:pt idx="127">
                  <c:v>0.2493850234302033</c:v>
                </c:pt>
                <c:pt idx="128">
                  <c:v>0.21345423468543556</c:v>
                </c:pt>
                <c:pt idx="129">
                  <c:v>0.13730580752743982</c:v>
                </c:pt>
                <c:pt idx="130">
                  <c:v>0.24380827893409518</c:v>
                </c:pt>
                <c:pt idx="131">
                  <c:v>0.13009198185897253</c:v>
                </c:pt>
                <c:pt idx="132">
                  <c:v>0.19682468624436167</c:v>
                </c:pt>
                <c:pt idx="133">
                  <c:v>0.13963767566085794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3C9-40EA-AE52-C5373219FEB0}"/>
            </c:ext>
          </c:extLst>
        </c:ser>
        <c:ser>
          <c:idx val="12"/>
          <c:order val="12"/>
          <c:tx>
            <c:strRef>
              <c:f>RF再投資累積報酬!$A$24:$B$24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RF再投資累積報酬!$C$24:$EF$24</c:f>
              <c:numCache>
                <c:formatCode>General</c:formatCode>
                <c:ptCount val="134"/>
                <c:pt idx="0">
                  <c:v>9.9113364206882659E-2</c:v>
                </c:pt>
                <c:pt idx="1">
                  <c:v>0.20969506404611526</c:v>
                </c:pt>
                <c:pt idx="2">
                  <c:v>0.55386842816174742</c:v>
                </c:pt>
                <c:pt idx="3">
                  <c:v>0.67091588873095698</c:v>
                </c:pt>
                <c:pt idx="4">
                  <c:v>1.0545699598454359</c:v>
                </c:pt>
                <c:pt idx="5">
                  <c:v>1.1282382025390363</c:v>
                </c:pt>
                <c:pt idx="6">
                  <c:v>1.1642630803912803</c:v>
                </c:pt>
                <c:pt idx="7">
                  <c:v>0.91437120905800318</c:v>
                </c:pt>
                <c:pt idx="8">
                  <c:v>1.0172361108560799</c:v>
                </c:pt>
                <c:pt idx="9">
                  <c:v>1.2064522392808206</c:v>
                </c:pt>
                <c:pt idx="10">
                  <c:v>0.1848040775317259</c:v>
                </c:pt>
                <c:pt idx="11">
                  <c:v>2.2807596569378292</c:v>
                </c:pt>
                <c:pt idx="12">
                  <c:v>1.4793426976509063</c:v>
                </c:pt>
                <c:pt idx="13">
                  <c:v>1.4836475527677382</c:v>
                </c:pt>
                <c:pt idx="14">
                  <c:v>1.4765762713964463</c:v>
                </c:pt>
                <c:pt idx="15">
                  <c:v>1.4076709259593945</c:v>
                </c:pt>
                <c:pt idx="16">
                  <c:v>1.3810554235157455</c:v>
                </c:pt>
                <c:pt idx="17">
                  <c:v>1.6755706548908251</c:v>
                </c:pt>
                <c:pt idx="18">
                  <c:v>2.4403993558810231</c:v>
                </c:pt>
                <c:pt idx="19">
                  <c:v>2.1009058693051261</c:v>
                </c:pt>
                <c:pt idx="20">
                  <c:v>3.6380620760408089</c:v>
                </c:pt>
                <c:pt idx="21">
                  <c:v>3.633893031197367</c:v>
                </c:pt>
                <c:pt idx="22">
                  <c:v>3.0763546385545011</c:v>
                </c:pt>
                <c:pt idx="23">
                  <c:v>2.9769138066037226</c:v>
                </c:pt>
                <c:pt idx="24">
                  <c:v>3.3521737342812692</c:v>
                </c:pt>
                <c:pt idx="25">
                  <c:v>4.6595397125410782</c:v>
                </c:pt>
                <c:pt idx="26">
                  <c:v>3.2663367143041828</c:v>
                </c:pt>
                <c:pt idx="27">
                  <c:v>3.0106886593652602</c:v>
                </c:pt>
                <c:pt idx="28">
                  <c:v>2.3077400106749257</c:v>
                </c:pt>
                <c:pt idx="29">
                  <c:v>2.3822369643878245</c:v>
                </c:pt>
                <c:pt idx="30">
                  <c:v>2.7404174569368775</c:v>
                </c:pt>
                <c:pt idx="31">
                  <c:v>2.5283456615770814</c:v>
                </c:pt>
                <c:pt idx="32">
                  <c:v>2.497266824760211</c:v>
                </c:pt>
                <c:pt idx="33">
                  <c:v>2.2143685607076118</c:v>
                </c:pt>
                <c:pt idx="34">
                  <c:v>2.4872168707585898</c:v>
                </c:pt>
                <c:pt idx="35">
                  <c:v>2.2965465388742672</c:v>
                </c:pt>
                <c:pt idx="36">
                  <c:v>2.2341782471894418</c:v>
                </c:pt>
                <c:pt idx="37">
                  <c:v>2.949544403870263</c:v>
                </c:pt>
                <c:pt idx="38">
                  <c:v>3.2105702351956102</c:v>
                </c:pt>
                <c:pt idx="39">
                  <c:v>3.1143514821340625</c:v>
                </c:pt>
                <c:pt idx="40">
                  <c:v>3.3080426950890267</c:v>
                </c:pt>
                <c:pt idx="41">
                  <c:v>3.3495690241035163</c:v>
                </c:pt>
                <c:pt idx="42">
                  <c:v>3.2279721363893117</c:v>
                </c:pt>
                <c:pt idx="43">
                  <c:v>3.3567528169311602</c:v>
                </c:pt>
                <c:pt idx="44">
                  <c:v>3.5488652259674565</c:v>
                </c:pt>
                <c:pt idx="45">
                  <c:v>3.1524227412893078</c:v>
                </c:pt>
                <c:pt idx="46">
                  <c:v>3.1731331220828718</c:v>
                </c:pt>
                <c:pt idx="47">
                  <c:v>3.2912586068948837</c:v>
                </c:pt>
                <c:pt idx="48">
                  <c:v>4.0127363038323614</c:v>
                </c:pt>
                <c:pt idx="49">
                  <c:v>4.2025539583852947</c:v>
                </c:pt>
                <c:pt idx="50">
                  <c:v>4.4652376992205998</c:v>
                </c:pt>
                <c:pt idx="51">
                  <c:v>8.2404956402590894</c:v>
                </c:pt>
                <c:pt idx="52">
                  <c:v>0.81838157353623209</c:v>
                </c:pt>
                <c:pt idx="53">
                  <c:v>1.1558645003503667</c:v>
                </c:pt>
                <c:pt idx="54">
                  <c:v>1.0565559947618817</c:v>
                </c:pt>
                <c:pt idx="55">
                  <c:v>1.2368158753728133</c:v>
                </c:pt>
                <c:pt idx="56">
                  <c:v>1.2968429898535403</c:v>
                </c:pt>
                <c:pt idx="57">
                  <c:v>0.40967512697017017</c:v>
                </c:pt>
                <c:pt idx="58">
                  <c:v>0.72491951546368938</c:v>
                </c:pt>
                <c:pt idx="59">
                  <c:v>0.73069509065322436</c:v>
                </c:pt>
                <c:pt idx="60">
                  <c:v>0.73765862351017852</c:v>
                </c:pt>
                <c:pt idx="61">
                  <c:v>1.2887818939179794</c:v>
                </c:pt>
                <c:pt idx="62">
                  <c:v>1.0947322363013656</c:v>
                </c:pt>
                <c:pt idx="63">
                  <c:v>1.1090797734627391</c:v>
                </c:pt>
                <c:pt idx="64">
                  <c:v>0.76928658266409089</c:v>
                </c:pt>
                <c:pt idx="65">
                  <c:v>0.98753017239196828</c:v>
                </c:pt>
                <c:pt idx="66">
                  <c:v>0.85999108999703533</c:v>
                </c:pt>
                <c:pt idx="67">
                  <c:v>0.93877328794731718</c:v>
                </c:pt>
                <c:pt idx="68">
                  <c:v>0.9362825120058933</c:v>
                </c:pt>
                <c:pt idx="69">
                  <c:v>1.1614154274343687</c:v>
                </c:pt>
                <c:pt idx="70">
                  <c:v>1.6549241313821477</c:v>
                </c:pt>
                <c:pt idx="71">
                  <c:v>1.9409350032458423</c:v>
                </c:pt>
                <c:pt idx="72">
                  <c:v>1.75907968860529</c:v>
                </c:pt>
                <c:pt idx="73">
                  <c:v>1.3922322994987382</c:v>
                </c:pt>
                <c:pt idx="74">
                  <c:v>1.6547694340111363</c:v>
                </c:pt>
                <c:pt idx="75">
                  <c:v>2.3420703885606451</c:v>
                </c:pt>
                <c:pt idx="76">
                  <c:v>1.9569914211276287</c:v>
                </c:pt>
                <c:pt idx="77">
                  <c:v>2.5742987881545241</c:v>
                </c:pt>
                <c:pt idx="78">
                  <c:v>1.922096917597711</c:v>
                </c:pt>
                <c:pt idx="79">
                  <c:v>2.0096240232136688</c:v>
                </c:pt>
                <c:pt idx="80">
                  <c:v>2.5079120453776715</c:v>
                </c:pt>
                <c:pt idx="81">
                  <c:v>1.9286457830864996</c:v>
                </c:pt>
                <c:pt idx="82">
                  <c:v>2.6235485135689141</c:v>
                </c:pt>
                <c:pt idx="83">
                  <c:v>3.907289485933779</c:v>
                </c:pt>
                <c:pt idx="84">
                  <c:v>5.5190976523361597</c:v>
                </c:pt>
                <c:pt idx="85">
                  <c:v>5.6045596679572327</c:v>
                </c:pt>
                <c:pt idx="86">
                  <c:v>6.2222846575465232</c:v>
                </c:pt>
                <c:pt idx="87">
                  <c:v>7.2460820268884163</c:v>
                </c:pt>
                <c:pt idx="88">
                  <c:v>11.778022416531702</c:v>
                </c:pt>
                <c:pt idx="89">
                  <c:v>10.401334043611959</c:v>
                </c:pt>
                <c:pt idx="90">
                  <c:v>1.5464512653142952</c:v>
                </c:pt>
                <c:pt idx="91">
                  <c:v>1.9547599685508641</c:v>
                </c:pt>
                <c:pt idx="92">
                  <c:v>2.4280819237821119</c:v>
                </c:pt>
                <c:pt idx="93">
                  <c:v>2.0961822062410707</c:v>
                </c:pt>
                <c:pt idx="94">
                  <c:v>2.0130344729812317</c:v>
                </c:pt>
                <c:pt idx="95">
                  <c:v>2.3035482683799939</c:v>
                </c:pt>
                <c:pt idx="96">
                  <c:v>2.0632106798063585</c:v>
                </c:pt>
                <c:pt idx="97">
                  <c:v>2.1093550311100837</c:v>
                </c:pt>
                <c:pt idx="98">
                  <c:v>2.6538564724698199</c:v>
                </c:pt>
                <c:pt idx="99">
                  <c:v>2.8555756345292016</c:v>
                </c:pt>
                <c:pt idx="100">
                  <c:v>2.5468716278793093</c:v>
                </c:pt>
                <c:pt idx="101">
                  <c:v>2.9448541347693404</c:v>
                </c:pt>
                <c:pt idx="102">
                  <c:v>3.0415472598589597</c:v>
                </c:pt>
                <c:pt idx="103">
                  <c:v>2.9748541891543887</c:v>
                </c:pt>
                <c:pt idx="104">
                  <c:v>3.6885516414392328</c:v>
                </c:pt>
                <c:pt idx="105">
                  <c:v>3.9196961715173764</c:v>
                </c:pt>
                <c:pt idx="106">
                  <c:v>3.0535208974509249</c:v>
                </c:pt>
                <c:pt idx="107">
                  <c:v>2.6292592299203794</c:v>
                </c:pt>
                <c:pt idx="108">
                  <c:v>2.8437696239582979</c:v>
                </c:pt>
                <c:pt idx="109">
                  <c:v>2.8470234712904716</c:v>
                </c:pt>
                <c:pt idx="110">
                  <c:v>3.3928216918261018</c:v>
                </c:pt>
                <c:pt idx="111">
                  <c:v>3.4854288356239183</c:v>
                </c:pt>
                <c:pt idx="112">
                  <c:v>5.008273238945625</c:v>
                </c:pt>
                <c:pt idx="113">
                  <c:v>6.2886628604999455</c:v>
                </c:pt>
                <c:pt idx="114">
                  <c:v>5.2577578313947511</c:v>
                </c:pt>
                <c:pt idx="115">
                  <c:v>6.7179090689952385</c:v>
                </c:pt>
                <c:pt idx="116">
                  <c:v>8.1491243213958171</c:v>
                </c:pt>
                <c:pt idx="117">
                  <c:v>9.195541010231258</c:v>
                </c:pt>
                <c:pt idx="118">
                  <c:v>8.6808069847530298</c:v>
                </c:pt>
                <c:pt idx="119">
                  <c:v>8.482199128499806</c:v>
                </c:pt>
                <c:pt idx="120">
                  <c:v>6.4315641325901325</c:v>
                </c:pt>
                <c:pt idx="121">
                  <c:v>5.8761784844028169</c:v>
                </c:pt>
                <c:pt idx="122">
                  <c:v>6.0259512465459784</c:v>
                </c:pt>
                <c:pt idx="123">
                  <c:v>7.1376302652168473</c:v>
                </c:pt>
                <c:pt idx="124">
                  <c:v>8.0234690144999679</c:v>
                </c:pt>
                <c:pt idx="125">
                  <c:v>5.2118180807331802</c:v>
                </c:pt>
                <c:pt idx="126">
                  <c:v>5.1916925566368883</c:v>
                </c:pt>
                <c:pt idx="127">
                  <c:v>2.5075530998197917</c:v>
                </c:pt>
                <c:pt idx="128">
                  <c:v>2.3149176387438564</c:v>
                </c:pt>
                <c:pt idx="129">
                  <c:v>2.2168551605181115</c:v>
                </c:pt>
                <c:pt idx="130">
                  <c:v>2.678935409713409</c:v>
                </c:pt>
                <c:pt idx="131">
                  <c:v>2.4722791400809112</c:v>
                </c:pt>
                <c:pt idx="132">
                  <c:v>2.8661378156556561</c:v>
                </c:pt>
                <c:pt idx="133">
                  <c:v>3.1262387208869944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C9-40EA-AE52-C5373219FEB0}"/>
            </c:ext>
          </c:extLst>
        </c:ser>
        <c:ser>
          <c:idx val="13"/>
          <c:order val="13"/>
          <c:tx>
            <c:strRef>
              <c:f>RF再投資累積報酬!$A$25:$B$25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RF再投資累積報酬!$C$11:$EF$11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RF再投資累積報酬!$C$25:$EF$25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3C9-40EA-AE52-C5373219F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445408"/>
        <c:axId val="326463648"/>
      </c:lineChart>
      <c:catAx>
        <c:axId val="3264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6463648"/>
        <c:crosses val="autoZero"/>
        <c:auto val="1"/>
        <c:lblAlgn val="ctr"/>
        <c:lblOffset val="100"/>
        <c:noMultiLvlLbl val="0"/>
      </c:catAx>
      <c:valAx>
        <c:axId val="3264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64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strike="noStrike" baseline="0"/>
              <a:t>真實累積報酬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'畫圖(真實)'!$A$12:$B$12</c:f>
              <c:strCache>
                <c:ptCount val="2"/>
                <c:pt idx="0">
                  <c:v>10</c:v>
                </c:pt>
                <c:pt idx="1">
                  <c:v>96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'畫圖(真實)'!$C$12:$EF$12</c:f>
              <c:numCache>
                <c:formatCode>General</c:formatCode>
                <c:ptCount val="134"/>
                <c:pt idx="0">
                  <c:v>1</c:v>
                </c:pt>
                <c:pt idx="1">
                  <c:v>1.1146886290452236</c:v>
                </c:pt>
                <c:pt idx="2">
                  <c:v>1.1627154524324261</c:v>
                </c:pt>
                <c:pt idx="3">
                  <c:v>1.218674837216885</c:v>
                </c:pt>
                <c:pt idx="4">
                  <c:v>1.2506222857355154</c:v>
                </c:pt>
                <c:pt idx="5">
                  <c:v>1.2891527979854034</c:v>
                </c:pt>
                <c:pt idx="6">
                  <c:v>1.3254567348344555</c:v>
                </c:pt>
                <c:pt idx="7">
                  <c:v>1.3692413135793271</c:v>
                </c:pt>
                <c:pt idx="8">
                  <c:v>1.3984293117130262</c:v>
                </c:pt>
                <c:pt idx="9">
                  <c:v>1.4403202527629999</c:v>
                </c:pt>
                <c:pt idx="10">
                  <c:v>1.4672094265962068</c:v>
                </c:pt>
                <c:pt idx="11">
                  <c:v>1.5365364133745596</c:v>
                </c:pt>
                <c:pt idx="12">
                  <c:v>1.5644511724418</c:v>
                </c:pt>
                <c:pt idx="13">
                  <c:v>1.5858715936462624</c:v>
                </c:pt>
                <c:pt idx="14">
                  <c:v>1.6196643777671702</c:v>
                </c:pt>
                <c:pt idx="15">
                  <c:v>1.6330618840071058</c:v>
                </c:pt>
                <c:pt idx="16">
                  <c:v>1.7041157811017129</c:v>
                </c:pt>
                <c:pt idx="17">
                  <c:v>1.7519834974472377</c:v>
                </c:pt>
                <c:pt idx="18">
                  <c:v>1.7723507180003686</c:v>
                </c:pt>
                <c:pt idx="19">
                  <c:v>1.8173807088032172</c:v>
                </c:pt>
                <c:pt idx="20">
                  <c:v>1.8814201237885981</c:v>
                </c:pt>
                <c:pt idx="21">
                  <c:v>1.9910608751359335</c:v>
                </c:pt>
                <c:pt idx="22">
                  <c:v>2.0078492523877496</c:v>
                </c:pt>
                <c:pt idx="23">
                  <c:v>2.0714729357033237</c:v>
                </c:pt>
                <c:pt idx="24">
                  <c:v>2.0983914151241354</c:v>
                </c:pt>
                <c:pt idx="25">
                  <c:v>2.1330805256756133</c:v>
                </c:pt>
                <c:pt idx="26">
                  <c:v>2.1798534713019246</c:v>
                </c:pt>
                <c:pt idx="27">
                  <c:v>2.1892457146336044</c:v>
                </c:pt>
                <c:pt idx="28">
                  <c:v>2.2356834313005884</c:v>
                </c:pt>
                <c:pt idx="29">
                  <c:v>2.2876955340773559</c:v>
                </c:pt>
                <c:pt idx="30">
                  <c:v>2.3176776790100804</c:v>
                </c:pt>
                <c:pt idx="31">
                  <c:v>2.3310834836597136</c:v>
                </c:pt>
                <c:pt idx="32">
                  <c:v>2.3543299428385782</c:v>
                </c:pt>
                <c:pt idx="33">
                  <c:v>2.3673136903846328</c:v>
                </c:pt>
                <c:pt idx="34">
                  <c:v>2.4154373945367671</c:v>
                </c:pt>
                <c:pt idx="35">
                  <c:v>2.4495430157803435</c:v>
                </c:pt>
                <c:pt idx="36">
                  <c:v>2.4796291313929415</c:v>
                </c:pt>
                <c:pt idx="37">
                  <c:v>2.5488623657063698</c:v>
                </c:pt>
                <c:pt idx="38">
                  <c:v>2.5638578365494973</c:v>
                </c:pt>
                <c:pt idx="39">
                  <c:v>2.5975761813313465</c:v>
                </c:pt>
                <c:pt idx="40">
                  <c:v>2.6042585241171445</c:v>
                </c:pt>
                <c:pt idx="41">
                  <c:v>2.6117629522059045</c:v>
                </c:pt>
                <c:pt idx="42">
                  <c:v>2.6317392251162759</c:v>
                </c:pt>
                <c:pt idx="43">
                  <c:v>2.7039346074687112</c:v>
                </c:pt>
                <c:pt idx="44">
                  <c:v>2.7673448695230825</c:v>
                </c:pt>
                <c:pt idx="45">
                  <c:v>2.8210605001798021</c:v>
                </c:pt>
                <c:pt idx="46">
                  <c:v>2.8382302049432053</c:v>
                </c:pt>
                <c:pt idx="47">
                  <c:v>2.8829262169161032</c:v>
                </c:pt>
                <c:pt idx="48">
                  <c:v>2.9078815099837763</c:v>
                </c:pt>
                <c:pt idx="49">
                  <c:v>2.9744453131630681</c:v>
                </c:pt>
                <c:pt idx="50">
                  <c:v>3.0457214694440031</c:v>
                </c:pt>
                <c:pt idx="51">
                  <c:v>3.0747581240136448</c:v>
                </c:pt>
                <c:pt idx="52">
                  <c:v>3.1014490903059824</c:v>
                </c:pt>
                <c:pt idx="53">
                  <c:v>3.1506827119269532</c:v>
                </c:pt>
                <c:pt idx="54">
                  <c:v>3.1860512570694719</c:v>
                </c:pt>
                <c:pt idx="55">
                  <c:v>3.2536682063171671</c:v>
                </c:pt>
                <c:pt idx="56">
                  <c:v>3.3004259601984507</c:v>
                </c:pt>
                <c:pt idx="57">
                  <c:v>3.3355055492283676</c:v>
                </c:pt>
                <c:pt idx="58">
                  <c:v>3.3855268022593585</c:v>
                </c:pt>
                <c:pt idx="59">
                  <c:v>3.4289493013670307</c:v>
                </c:pt>
                <c:pt idx="60">
                  <c:v>3.4490249533703086</c:v>
                </c:pt>
                <c:pt idx="61">
                  <c:v>3.4811540516708028</c:v>
                </c:pt>
                <c:pt idx="62">
                  <c:v>3.5314597361941273</c:v>
                </c:pt>
                <c:pt idx="63">
                  <c:v>3.5509622744042471</c:v>
                </c:pt>
                <c:pt idx="64">
                  <c:v>3.575208584660484</c:v>
                </c:pt>
                <c:pt idx="65">
                  <c:v>3.601630541994651</c:v>
                </c:pt>
                <c:pt idx="66">
                  <c:v>3.6155272916133976</c:v>
                </c:pt>
                <c:pt idx="67">
                  <c:v>3.6842209067605109</c:v>
                </c:pt>
                <c:pt idx="68">
                  <c:v>3.7168637616489035</c:v>
                </c:pt>
                <c:pt idx="69">
                  <c:v>3.7381518588810021</c:v>
                </c:pt>
                <c:pt idx="70">
                  <c:v>3.7862352284571776</c:v>
                </c:pt>
                <c:pt idx="71">
                  <c:v>3.8285176175431075</c:v>
                </c:pt>
                <c:pt idx="72">
                  <c:v>3.8729946214347577</c:v>
                </c:pt>
                <c:pt idx="73">
                  <c:v>3.8889787730754874</c:v>
                </c:pt>
                <c:pt idx="74">
                  <c:v>3.9479086894330515</c:v>
                </c:pt>
                <c:pt idx="75">
                  <c:v>3.9932656351243243</c:v>
                </c:pt>
                <c:pt idx="76">
                  <c:v>4.0276659225646672</c:v>
                </c:pt>
                <c:pt idx="77">
                  <c:v>4.1001417986368462</c:v>
                </c:pt>
                <c:pt idx="78">
                  <c:v>4.1657084112645357</c:v>
                </c:pt>
                <c:pt idx="79">
                  <c:v>4.2766420448489884</c:v>
                </c:pt>
                <c:pt idx="80">
                  <c:v>4.4306490577387301</c:v>
                </c:pt>
                <c:pt idx="81">
                  <c:v>4.4584166411525024</c:v>
                </c:pt>
                <c:pt idx="82">
                  <c:v>4.507694601115583</c:v>
                </c:pt>
                <c:pt idx="83">
                  <c:v>4.5709919734935429</c:v>
                </c:pt>
                <c:pt idx="84">
                  <c:v>4.605647885905749</c:v>
                </c:pt>
                <c:pt idx="85">
                  <c:v>4.6597679528199443</c:v>
                </c:pt>
                <c:pt idx="86">
                  <c:v>4.7158693934677345</c:v>
                </c:pt>
                <c:pt idx="87">
                  <c:v>4.8338850011373449</c:v>
                </c:pt>
                <c:pt idx="88">
                  <c:v>4.9055933891545571</c:v>
                </c:pt>
                <c:pt idx="89">
                  <c:v>4.9840585931653631</c:v>
                </c:pt>
                <c:pt idx="90">
                  <c:v>5.0553508360389552</c:v>
                </c:pt>
                <c:pt idx="91">
                  <c:v>5.1006498575064487</c:v>
                </c:pt>
                <c:pt idx="92">
                  <c:v>5.1633342045100239</c:v>
                </c:pt>
                <c:pt idx="93">
                  <c:v>5.2204941910315377</c:v>
                </c:pt>
                <c:pt idx="94">
                  <c:v>5.2214727646263901</c:v>
                </c:pt>
                <c:pt idx="95">
                  <c:v>5.2535867752344396</c:v>
                </c:pt>
                <c:pt idx="96">
                  <c:v>5.3283663045157965</c:v>
                </c:pt>
                <c:pt idx="97">
                  <c:v>5.3933996110114855</c:v>
                </c:pt>
                <c:pt idx="98">
                  <c:v>5.4064362803900634</c:v>
                </c:pt>
                <c:pt idx="99">
                  <c:v>5.4674261629270555</c:v>
                </c:pt>
                <c:pt idx="100">
                  <c:v>5.5134991405925105</c:v>
                </c:pt>
                <c:pt idx="101">
                  <c:v>5.5912914679320114</c:v>
                </c:pt>
                <c:pt idx="102">
                  <c:v>5.6282701292912067</c:v>
                </c:pt>
                <c:pt idx="103">
                  <c:v>5.7172519457892514</c:v>
                </c:pt>
                <c:pt idx="104">
                  <c:v>5.7512251486640258</c:v>
                </c:pt>
                <c:pt idx="105">
                  <c:v>5.8211856943983689</c:v>
                </c:pt>
                <c:pt idx="106">
                  <c:v>5.8459233388134635</c:v>
                </c:pt>
                <c:pt idx="107">
                  <c:v>5.9014090728955368</c:v>
                </c:pt>
                <c:pt idx="108">
                  <c:v>5.9478188906750615</c:v>
                </c:pt>
                <c:pt idx="109">
                  <c:v>6.0090140454633785</c:v>
                </c:pt>
                <c:pt idx="110">
                  <c:v>6.0687631132431274</c:v>
                </c:pt>
                <c:pt idx="111">
                  <c:v>6.1101411561787993</c:v>
                </c:pt>
                <c:pt idx="112">
                  <c:v>6.1420693555113948</c:v>
                </c:pt>
                <c:pt idx="113">
                  <c:v>6.1607391888451977</c:v>
                </c:pt>
                <c:pt idx="114">
                  <c:v>6.1799768824257582</c:v>
                </c:pt>
                <c:pt idx="115">
                  <c:v>6.222387247811823</c:v>
                </c:pt>
                <c:pt idx="116">
                  <c:v>6.2529441899133138</c:v>
                </c:pt>
                <c:pt idx="117">
                  <c:v>6.3123528844699743</c:v>
                </c:pt>
                <c:pt idx="118">
                  <c:v>6.386893531950447</c:v>
                </c:pt>
                <c:pt idx="119">
                  <c:v>6.4056724752298342</c:v>
                </c:pt>
                <c:pt idx="120">
                  <c:v>6.4753230272995337</c:v>
                </c:pt>
                <c:pt idx="121">
                  <c:v>6.5001368688621204</c:v>
                </c:pt>
                <c:pt idx="122">
                  <c:v>6.5573671520064289</c:v>
                </c:pt>
                <c:pt idx="123">
                  <c:v>6.6059179764839593</c:v>
                </c:pt>
                <c:pt idx="124">
                  <c:v>6.6508858106964848</c:v>
                </c:pt>
                <c:pt idx="125">
                  <c:v>6.7010378912388466</c:v>
                </c:pt>
                <c:pt idx="126">
                  <c:v>6.7541832021264563</c:v>
                </c:pt>
                <c:pt idx="127">
                  <c:v>6.7604103514749445</c:v>
                </c:pt>
                <c:pt idx="128">
                  <c:v>6.8735373932240815</c:v>
                </c:pt>
                <c:pt idx="129">
                  <c:v>6.9040631700419235</c:v>
                </c:pt>
                <c:pt idx="130">
                  <c:v>6.9307146796215884</c:v>
                </c:pt>
                <c:pt idx="131">
                  <c:v>6.9912228324300729</c:v>
                </c:pt>
                <c:pt idx="132">
                  <c:v>7.0177297245912209</c:v>
                </c:pt>
                <c:pt idx="133">
                  <c:v>7.0469634903464522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D-4121-A691-01B71F4CC7E8}"/>
            </c:ext>
          </c:extLst>
        </c:ser>
        <c:ser>
          <c:idx val="1"/>
          <c:order val="1"/>
          <c:tx>
            <c:strRef>
              <c:f>'畫圖(真實)'!$A$13:$B$13</c:f>
              <c:strCache>
                <c:ptCount val="2"/>
                <c:pt idx="0">
                  <c:v>20</c:v>
                </c:pt>
                <c:pt idx="1">
                  <c:v>48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'畫圖(真實)'!$C$13:$EF$13</c:f>
              <c:numCache>
                <c:formatCode>General</c:formatCode>
                <c:ptCount val="134"/>
                <c:pt idx="0">
                  <c:v>1</c:v>
                </c:pt>
                <c:pt idx="1">
                  <c:v>1.1237450287927724</c:v>
                </c:pt>
                <c:pt idx="2">
                  <c:v>1.1936065851455788</c:v>
                </c:pt>
                <c:pt idx="3">
                  <c:v>1.2535931118385018</c:v>
                </c:pt>
                <c:pt idx="4">
                  <c:v>1.2656405161386077</c:v>
                </c:pt>
                <c:pt idx="5">
                  <c:v>1.2956301478643291</c:v>
                </c:pt>
                <c:pt idx="6">
                  <c:v>1.3283130108490515</c:v>
                </c:pt>
                <c:pt idx="7">
                  <c:v>1.3628629028186963</c:v>
                </c:pt>
                <c:pt idx="8">
                  <c:v>1.4231890420462665</c:v>
                </c:pt>
                <c:pt idx="9">
                  <c:v>1.4292142033399202</c:v>
                </c:pt>
                <c:pt idx="10">
                  <c:v>1.4324939615659249</c:v>
                </c:pt>
                <c:pt idx="11">
                  <c:v>1.5323008785225956</c:v>
                </c:pt>
                <c:pt idx="12">
                  <c:v>1.5497235773335456</c:v>
                </c:pt>
                <c:pt idx="13">
                  <c:v>1.5705804903949512</c:v>
                </c:pt>
                <c:pt idx="14">
                  <c:v>1.6147987546229212</c:v>
                </c:pt>
                <c:pt idx="15">
                  <c:v>1.6212886647989957</c:v>
                </c:pt>
                <c:pt idx="16">
                  <c:v>1.7442039628025463</c:v>
                </c:pt>
                <c:pt idx="17">
                  <c:v>1.8184380443142689</c:v>
                </c:pt>
                <c:pt idx="18">
                  <c:v>1.872599119355963</c:v>
                </c:pt>
                <c:pt idx="19">
                  <c:v>1.9253788582561966</c:v>
                </c:pt>
                <c:pt idx="20">
                  <c:v>2.0008554201163467</c:v>
                </c:pt>
                <c:pt idx="21">
                  <c:v>2.1219831909690847</c:v>
                </c:pt>
                <c:pt idx="22">
                  <c:v>2.1484550741864274</c:v>
                </c:pt>
                <c:pt idx="23">
                  <c:v>2.2268795089916109</c:v>
                </c:pt>
                <c:pt idx="24">
                  <c:v>2.274592157441869</c:v>
                </c:pt>
                <c:pt idx="25">
                  <c:v>2.3212703775632462</c:v>
                </c:pt>
                <c:pt idx="26">
                  <c:v>2.3880420779451761</c:v>
                </c:pt>
                <c:pt idx="27">
                  <c:v>2.4095857677304515</c:v>
                </c:pt>
                <c:pt idx="28">
                  <c:v>2.4866571844572523</c:v>
                </c:pt>
                <c:pt idx="29">
                  <c:v>2.5599383452855635</c:v>
                </c:pt>
                <c:pt idx="30">
                  <c:v>2.5916201283405664</c:v>
                </c:pt>
                <c:pt idx="31">
                  <c:v>2.6012614675800827</c:v>
                </c:pt>
                <c:pt idx="32">
                  <c:v>2.6211713778004961</c:v>
                </c:pt>
                <c:pt idx="33">
                  <c:v>2.6048909078122202</c:v>
                </c:pt>
                <c:pt idx="34">
                  <c:v>2.6708788206228764</c:v>
                </c:pt>
                <c:pt idx="35">
                  <c:v>2.6934291782094131</c:v>
                </c:pt>
                <c:pt idx="36">
                  <c:v>2.7397116217462418</c:v>
                </c:pt>
                <c:pt idx="37">
                  <c:v>2.8450418598822758</c:v>
                </c:pt>
                <c:pt idx="38">
                  <c:v>2.8433330131936403</c:v>
                </c:pt>
                <c:pt idx="39">
                  <c:v>2.9028838535556378</c:v>
                </c:pt>
                <c:pt idx="40">
                  <c:v>2.9139668480187608</c:v>
                </c:pt>
                <c:pt idx="41">
                  <c:v>2.9047161155354848</c:v>
                </c:pt>
                <c:pt idx="42">
                  <c:v>2.9281210790770822</c:v>
                </c:pt>
                <c:pt idx="43">
                  <c:v>3.0145439938046819</c:v>
                </c:pt>
                <c:pt idx="44">
                  <c:v>3.0913283274330561</c:v>
                </c:pt>
                <c:pt idx="45">
                  <c:v>3.1709943030815264</c:v>
                </c:pt>
                <c:pt idx="46">
                  <c:v>3.1978155410519076</c:v>
                </c:pt>
                <c:pt idx="47">
                  <c:v>3.2306153731877632</c:v>
                </c:pt>
                <c:pt idx="48">
                  <c:v>3.2481797195363882</c:v>
                </c:pt>
                <c:pt idx="49">
                  <c:v>3.3036294954919532</c:v>
                </c:pt>
                <c:pt idx="50">
                  <c:v>3.3834586158357416</c:v>
                </c:pt>
                <c:pt idx="51">
                  <c:v>3.4060060168105206</c:v>
                </c:pt>
                <c:pt idx="52">
                  <c:v>3.4251168840853627</c:v>
                </c:pt>
                <c:pt idx="53">
                  <c:v>3.4667931978320325</c:v>
                </c:pt>
                <c:pt idx="54">
                  <c:v>3.5105669872178158</c:v>
                </c:pt>
                <c:pt idx="55">
                  <c:v>3.6322241304837717</c:v>
                </c:pt>
                <c:pt idx="56">
                  <c:v>3.7206216763400923</c:v>
                </c:pt>
                <c:pt idx="57">
                  <c:v>3.7616453325322845</c:v>
                </c:pt>
                <c:pt idx="58">
                  <c:v>3.814054464988986</c:v>
                </c:pt>
                <c:pt idx="59">
                  <c:v>3.8655063839489081</c:v>
                </c:pt>
                <c:pt idx="60">
                  <c:v>3.8906321573121003</c:v>
                </c:pt>
                <c:pt idx="61">
                  <c:v>3.9250921977605513</c:v>
                </c:pt>
                <c:pt idx="62">
                  <c:v>3.9784639664557422</c:v>
                </c:pt>
                <c:pt idx="63">
                  <c:v>3.9736063633973289</c:v>
                </c:pt>
                <c:pt idx="64">
                  <c:v>4.0044850796308031</c:v>
                </c:pt>
                <c:pt idx="65">
                  <c:v>4.0124362260485773</c:v>
                </c:pt>
                <c:pt idx="66">
                  <c:v>4.0540892898380028</c:v>
                </c:pt>
                <c:pt idx="67">
                  <c:v>4.1339207466613361</c:v>
                </c:pt>
                <c:pt idx="68">
                  <c:v>4.174101261022753</c:v>
                </c:pt>
                <c:pt idx="69">
                  <c:v>4.2077690307806721</c:v>
                </c:pt>
                <c:pt idx="70">
                  <c:v>4.2824271987904456</c:v>
                </c:pt>
                <c:pt idx="71">
                  <c:v>4.3623580328915033</c:v>
                </c:pt>
                <c:pt idx="72">
                  <c:v>4.4380720385281824</c:v>
                </c:pt>
                <c:pt idx="73">
                  <c:v>4.4395494733044245</c:v>
                </c:pt>
                <c:pt idx="74">
                  <c:v>4.4787514298795656</c:v>
                </c:pt>
                <c:pt idx="75">
                  <c:v>4.554889552938616</c:v>
                </c:pt>
                <c:pt idx="76">
                  <c:v>4.5884211185390127</c:v>
                </c:pt>
                <c:pt idx="77">
                  <c:v>4.7088480902710481</c:v>
                </c:pt>
                <c:pt idx="78">
                  <c:v>4.8289662640092814</c:v>
                </c:pt>
                <c:pt idx="79">
                  <c:v>4.9340520969016088</c:v>
                </c:pt>
                <c:pt idx="80">
                  <c:v>5.1178799333572176</c:v>
                </c:pt>
                <c:pt idx="81">
                  <c:v>5.1623942000822867</c:v>
                </c:pt>
                <c:pt idx="82">
                  <c:v>5.2204091678895264</c:v>
                </c:pt>
                <c:pt idx="83">
                  <c:v>5.2787437797167334</c:v>
                </c:pt>
                <c:pt idx="84">
                  <c:v>5.3305972888509965</c:v>
                </c:pt>
                <c:pt idx="85">
                  <c:v>5.3854074695298362</c:v>
                </c:pt>
                <c:pt idx="86">
                  <c:v>5.4510945957966337</c:v>
                </c:pt>
                <c:pt idx="87">
                  <c:v>5.5325479618988149</c:v>
                </c:pt>
                <c:pt idx="88">
                  <c:v>5.6340001806128335</c:v>
                </c:pt>
                <c:pt idx="89">
                  <c:v>5.7349943472610274</c:v>
                </c:pt>
                <c:pt idx="90">
                  <c:v>5.8205605865691039</c:v>
                </c:pt>
                <c:pt idx="91">
                  <c:v>5.8902871268468386</c:v>
                </c:pt>
                <c:pt idx="92">
                  <c:v>5.9614659918152428</c:v>
                </c:pt>
                <c:pt idx="93">
                  <c:v>6.0731108781957177</c:v>
                </c:pt>
                <c:pt idx="94">
                  <c:v>6.0826785318608527</c:v>
                </c:pt>
                <c:pt idx="95">
                  <c:v>6.1261407998299049</c:v>
                </c:pt>
                <c:pt idx="96">
                  <c:v>6.233231761543542</c:v>
                </c:pt>
                <c:pt idx="97">
                  <c:v>6.310887812800515</c:v>
                </c:pt>
                <c:pt idx="98">
                  <c:v>6.3471969325569484</c:v>
                </c:pt>
                <c:pt idx="99">
                  <c:v>6.4072301877970013</c:v>
                </c:pt>
                <c:pt idx="100">
                  <c:v>6.4695271348023642</c:v>
                </c:pt>
                <c:pt idx="101">
                  <c:v>6.5267513551558496</c:v>
                </c:pt>
                <c:pt idx="102">
                  <c:v>6.576197388840729</c:v>
                </c:pt>
                <c:pt idx="103">
                  <c:v>6.6824327101436829</c:v>
                </c:pt>
                <c:pt idx="104">
                  <c:v>6.7122082760219755</c:v>
                </c:pt>
                <c:pt idx="105">
                  <c:v>6.7811853349463593</c:v>
                </c:pt>
                <c:pt idx="106">
                  <c:v>6.8036273313755951</c:v>
                </c:pt>
                <c:pt idx="107">
                  <c:v>6.8867495184436258</c:v>
                </c:pt>
                <c:pt idx="108">
                  <c:v>6.9344786020500857</c:v>
                </c:pt>
                <c:pt idx="109">
                  <c:v>7.023199202996393</c:v>
                </c:pt>
                <c:pt idx="110">
                  <c:v>7.1129477665438872</c:v>
                </c:pt>
                <c:pt idx="111">
                  <c:v>7.1199688901594449</c:v>
                </c:pt>
                <c:pt idx="112">
                  <c:v>7.139355524023304</c:v>
                </c:pt>
                <c:pt idx="113">
                  <c:v>7.1614062147013922</c:v>
                </c:pt>
                <c:pt idx="114">
                  <c:v>7.1608745920909191</c:v>
                </c:pt>
                <c:pt idx="115">
                  <c:v>7.1723741700134322</c:v>
                </c:pt>
                <c:pt idx="116">
                  <c:v>7.2102376350982249</c:v>
                </c:pt>
                <c:pt idx="117">
                  <c:v>7.2682699439889262</c:v>
                </c:pt>
                <c:pt idx="118">
                  <c:v>7.3553989553814967</c:v>
                </c:pt>
                <c:pt idx="119">
                  <c:v>7.3691701646538084</c:v>
                </c:pt>
                <c:pt idx="120">
                  <c:v>7.437767017294199</c:v>
                </c:pt>
                <c:pt idx="121">
                  <c:v>7.467612826455202</c:v>
                </c:pt>
                <c:pt idx="122">
                  <c:v>7.5006189858978205</c:v>
                </c:pt>
                <c:pt idx="123">
                  <c:v>7.5802391299220089</c:v>
                </c:pt>
                <c:pt idx="124">
                  <c:v>7.622267815634209</c:v>
                </c:pt>
                <c:pt idx="125">
                  <c:v>7.686791195212705</c:v>
                </c:pt>
                <c:pt idx="126">
                  <c:v>7.7437725342602644</c:v>
                </c:pt>
                <c:pt idx="127">
                  <c:v>7.7620746584065659</c:v>
                </c:pt>
                <c:pt idx="128">
                  <c:v>7.8865436165556364</c:v>
                </c:pt>
                <c:pt idx="129">
                  <c:v>7.9437489093040252</c:v>
                </c:pt>
                <c:pt idx="130">
                  <c:v>7.9854086627392542</c:v>
                </c:pt>
                <c:pt idx="131">
                  <c:v>8.051090756398489</c:v>
                </c:pt>
                <c:pt idx="132">
                  <c:v>8.0923251403944008</c:v>
                </c:pt>
                <c:pt idx="133">
                  <c:v>8.1368387499471204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D-4121-A691-01B71F4CC7E8}"/>
            </c:ext>
          </c:extLst>
        </c:ser>
        <c:ser>
          <c:idx val="2"/>
          <c:order val="2"/>
          <c:tx>
            <c:strRef>
              <c:f>'畫圖(真實)'!$A$14:$B$14</c:f>
              <c:strCache>
                <c:ptCount val="2"/>
                <c:pt idx="0">
                  <c:v>50</c:v>
                </c:pt>
                <c:pt idx="1">
                  <c:v>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'畫圖(真實)'!$C$14:$EF$14</c:f>
              <c:numCache>
                <c:formatCode>General</c:formatCode>
                <c:ptCount val="134"/>
                <c:pt idx="0">
                  <c:v>1</c:v>
                </c:pt>
                <c:pt idx="1">
                  <c:v>1.2223084485406259</c:v>
                </c:pt>
                <c:pt idx="2">
                  <c:v>1.321076696682848</c:v>
                </c:pt>
                <c:pt idx="3">
                  <c:v>1.3814186015888805</c:v>
                </c:pt>
                <c:pt idx="4">
                  <c:v>1.4350752320316611</c:v>
                </c:pt>
                <c:pt idx="5">
                  <c:v>1.4946630384671011</c:v>
                </c:pt>
                <c:pt idx="6">
                  <c:v>1.5384503982902435</c:v>
                </c:pt>
                <c:pt idx="7">
                  <c:v>1.5617603702551544</c:v>
                </c:pt>
                <c:pt idx="8">
                  <c:v>1.6125878365160022</c:v>
                </c:pt>
                <c:pt idx="9">
                  <c:v>1.6210682840815507</c:v>
                </c:pt>
                <c:pt idx="10">
                  <c:v>1.6020465696165667</c:v>
                </c:pt>
                <c:pt idx="11">
                  <c:v>1.8068791447577925</c:v>
                </c:pt>
                <c:pt idx="12">
                  <c:v>1.8083735526963411</c:v>
                </c:pt>
                <c:pt idx="13">
                  <c:v>1.8667194745945823</c:v>
                </c:pt>
                <c:pt idx="14">
                  <c:v>1.9908233457660309</c:v>
                </c:pt>
                <c:pt idx="15">
                  <c:v>1.9748821584689291</c:v>
                </c:pt>
                <c:pt idx="16">
                  <c:v>2.140775385653638</c:v>
                </c:pt>
                <c:pt idx="17">
                  <c:v>2.1757949404880379</c:v>
                </c:pt>
                <c:pt idx="18">
                  <c:v>2.2800616051236853</c:v>
                </c:pt>
                <c:pt idx="19">
                  <c:v>2.3001507323090635</c:v>
                </c:pt>
                <c:pt idx="20">
                  <c:v>2.4163165228409604</c:v>
                </c:pt>
                <c:pt idx="21">
                  <c:v>2.6030022184513073</c:v>
                </c:pt>
                <c:pt idx="22">
                  <c:v>2.6082220930468392</c:v>
                </c:pt>
                <c:pt idx="23">
                  <c:v>2.6467340193271469</c:v>
                </c:pt>
                <c:pt idx="24">
                  <c:v>2.7466398988244718</c:v>
                </c:pt>
                <c:pt idx="25">
                  <c:v>2.817409276171702</c:v>
                </c:pt>
                <c:pt idx="26">
                  <c:v>2.8143227138329125</c:v>
                </c:pt>
                <c:pt idx="27">
                  <c:v>2.8536506060229425</c:v>
                </c:pt>
                <c:pt idx="28">
                  <c:v>2.9704875258625085</c:v>
                </c:pt>
                <c:pt idx="29">
                  <c:v>3.066567621319142</c:v>
                </c:pt>
                <c:pt idx="30">
                  <c:v>3.0870885159657044</c:v>
                </c:pt>
                <c:pt idx="31">
                  <c:v>3.0923387938962104</c:v>
                </c:pt>
                <c:pt idx="32">
                  <c:v>3.1033033645787844</c:v>
                </c:pt>
                <c:pt idx="33">
                  <c:v>3.1183624006619355</c:v>
                </c:pt>
                <c:pt idx="34">
                  <c:v>3.1952738315202374</c:v>
                </c:pt>
                <c:pt idx="35">
                  <c:v>3.2138333737784444</c:v>
                </c:pt>
                <c:pt idx="36">
                  <c:v>3.2750755401570695</c:v>
                </c:pt>
                <c:pt idx="37">
                  <c:v>3.3736702069266133</c:v>
                </c:pt>
                <c:pt idx="38">
                  <c:v>3.3356258543845518</c:v>
                </c:pt>
                <c:pt idx="39">
                  <c:v>3.4056023795366359</c:v>
                </c:pt>
                <c:pt idx="40">
                  <c:v>3.4137307962444647</c:v>
                </c:pt>
                <c:pt idx="41">
                  <c:v>3.3955599732255797</c:v>
                </c:pt>
                <c:pt idx="42">
                  <c:v>3.38889063483589</c:v>
                </c:pt>
                <c:pt idx="43">
                  <c:v>3.468294114546528</c:v>
                </c:pt>
                <c:pt idx="44">
                  <c:v>3.6061465905992636</c:v>
                </c:pt>
                <c:pt idx="45">
                  <c:v>3.6724053398155223</c:v>
                </c:pt>
                <c:pt idx="46">
                  <c:v>3.7263340210449498</c:v>
                </c:pt>
                <c:pt idx="47">
                  <c:v>3.7457042344204403</c:v>
                </c:pt>
                <c:pt idx="48">
                  <c:v>3.7607723531922019</c:v>
                </c:pt>
                <c:pt idx="49">
                  <c:v>3.7864012807016665</c:v>
                </c:pt>
                <c:pt idx="50">
                  <c:v>3.8827386060576403</c:v>
                </c:pt>
                <c:pt idx="51">
                  <c:v>3.9930498549587607</c:v>
                </c:pt>
                <c:pt idx="52">
                  <c:v>3.9645441714594547</c:v>
                </c:pt>
                <c:pt idx="53">
                  <c:v>3.9809616812704003</c:v>
                </c:pt>
                <c:pt idx="54">
                  <c:v>4.0510434514197291</c:v>
                </c:pt>
                <c:pt idx="55">
                  <c:v>4.2048727129937378</c:v>
                </c:pt>
                <c:pt idx="56">
                  <c:v>4.3301780194333279</c:v>
                </c:pt>
                <c:pt idx="57">
                  <c:v>4.4035914836120531</c:v>
                </c:pt>
                <c:pt idx="58">
                  <c:v>4.4537766965029073</c:v>
                </c:pt>
                <c:pt idx="59">
                  <c:v>4.4777936301885433</c:v>
                </c:pt>
                <c:pt idx="60">
                  <c:v>4.4445562482102119</c:v>
                </c:pt>
                <c:pt idx="61">
                  <c:v>4.5045531437376525</c:v>
                </c:pt>
                <c:pt idx="62">
                  <c:v>4.550831468740653</c:v>
                </c:pt>
                <c:pt idx="63">
                  <c:v>4.5042548245442369</c:v>
                </c:pt>
                <c:pt idx="64">
                  <c:v>4.5378638702215017</c:v>
                </c:pt>
                <c:pt idx="65">
                  <c:v>4.4875315868937564</c:v>
                </c:pt>
                <c:pt idx="66">
                  <c:v>4.5033751107637068</c:v>
                </c:pt>
                <c:pt idx="67">
                  <c:v>4.6034275338390929</c:v>
                </c:pt>
                <c:pt idx="68">
                  <c:v>4.6337602578258634</c:v>
                </c:pt>
                <c:pt idx="69">
                  <c:v>4.6184723299224908</c:v>
                </c:pt>
                <c:pt idx="70">
                  <c:v>4.7296317842362354</c:v>
                </c:pt>
                <c:pt idx="71">
                  <c:v>4.8376134174362297</c:v>
                </c:pt>
                <c:pt idx="72">
                  <c:v>4.9685109259934146</c:v>
                </c:pt>
                <c:pt idx="73">
                  <c:v>4.9682037917687483</c:v>
                </c:pt>
                <c:pt idx="74">
                  <c:v>4.9255993021153994</c:v>
                </c:pt>
                <c:pt idx="75">
                  <c:v>4.9856333589441819</c:v>
                </c:pt>
                <c:pt idx="76">
                  <c:v>5.0100986250591193</c:v>
                </c:pt>
                <c:pt idx="77">
                  <c:v>5.1745641263810258</c:v>
                </c:pt>
                <c:pt idx="78">
                  <c:v>5.2951602849702084</c:v>
                </c:pt>
                <c:pt idx="79">
                  <c:v>5.3931769949024062</c:v>
                </c:pt>
                <c:pt idx="80">
                  <c:v>5.5637322973909571</c:v>
                </c:pt>
                <c:pt idx="81">
                  <c:v>5.6560629806730187</c:v>
                </c:pt>
                <c:pt idx="82">
                  <c:v>5.7133836443408397</c:v>
                </c:pt>
                <c:pt idx="83">
                  <c:v>5.7780450366190568</c:v>
                </c:pt>
                <c:pt idx="84">
                  <c:v>5.8839298139824159</c:v>
                </c:pt>
                <c:pt idx="85">
                  <c:v>5.9017259303315575</c:v>
                </c:pt>
                <c:pt idx="86">
                  <c:v>5.9555180168455504</c:v>
                </c:pt>
                <c:pt idx="87">
                  <c:v>6.0177879717243865</c:v>
                </c:pt>
                <c:pt idx="88">
                  <c:v>6.1278569446970961</c:v>
                </c:pt>
                <c:pt idx="89">
                  <c:v>6.3024526193821533</c:v>
                </c:pt>
                <c:pt idx="90">
                  <c:v>6.475701773336108</c:v>
                </c:pt>
                <c:pt idx="91">
                  <c:v>6.5755111048178607</c:v>
                </c:pt>
                <c:pt idx="92">
                  <c:v>6.6077390047052482</c:v>
                </c:pt>
                <c:pt idx="93">
                  <c:v>6.815458717295896</c:v>
                </c:pt>
                <c:pt idx="94">
                  <c:v>6.8110460837626468</c:v>
                </c:pt>
                <c:pt idx="95">
                  <c:v>6.8729184361542481</c:v>
                </c:pt>
                <c:pt idx="96">
                  <c:v>6.9744634361109625</c:v>
                </c:pt>
                <c:pt idx="97">
                  <c:v>7.1258602772685959</c:v>
                </c:pt>
                <c:pt idx="98">
                  <c:v>7.1706241617118556</c:v>
                </c:pt>
                <c:pt idx="99">
                  <c:v>7.2069235706000949</c:v>
                </c:pt>
                <c:pt idx="100">
                  <c:v>7.2570613140740443</c:v>
                </c:pt>
                <c:pt idx="101">
                  <c:v>7.3211248774244275</c:v>
                </c:pt>
                <c:pt idx="102">
                  <c:v>7.3865182048489677</c:v>
                </c:pt>
                <c:pt idx="103">
                  <c:v>7.4911256459491975</c:v>
                </c:pt>
                <c:pt idx="104">
                  <c:v>7.5147582551540451</c:v>
                </c:pt>
                <c:pt idx="105">
                  <c:v>7.5939636070022294</c:v>
                </c:pt>
                <c:pt idx="106">
                  <c:v>7.6564905310086884</c:v>
                </c:pt>
                <c:pt idx="107">
                  <c:v>7.8580533704758002</c:v>
                </c:pt>
                <c:pt idx="108">
                  <c:v>7.9036367662026983</c:v>
                </c:pt>
                <c:pt idx="109">
                  <c:v>7.9623779603690723</c:v>
                </c:pt>
                <c:pt idx="110">
                  <c:v>8.0490244086675578</c:v>
                </c:pt>
                <c:pt idx="111">
                  <c:v>8.0578184380548787</c:v>
                </c:pt>
                <c:pt idx="112">
                  <c:v>8.1394399875587382</c:v>
                </c:pt>
                <c:pt idx="113">
                  <c:v>8.1801948593906371</c:v>
                </c:pt>
                <c:pt idx="114">
                  <c:v>8.1813160091283983</c:v>
                </c:pt>
                <c:pt idx="115">
                  <c:v>8.2239785050216625</c:v>
                </c:pt>
                <c:pt idx="116">
                  <c:v>8.3265706943848965</c:v>
                </c:pt>
                <c:pt idx="117">
                  <c:v>8.3894855024551962</c:v>
                </c:pt>
                <c:pt idx="118">
                  <c:v>8.4606580670363289</c:v>
                </c:pt>
                <c:pt idx="119">
                  <c:v>8.5132805864953287</c:v>
                </c:pt>
                <c:pt idx="120">
                  <c:v>8.5693324064238929</c:v>
                </c:pt>
                <c:pt idx="121">
                  <c:v>8.5770866967629757</c:v>
                </c:pt>
                <c:pt idx="122">
                  <c:v>8.6458819699551395</c:v>
                </c:pt>
                <c:pt idx="123">
                  <c:v>8.7541443244852459</c:v>
                </c:pt>
                <c:pt idx="124">
                  <c:v>8.7559536339937623</c:v>
                </c:pt>
                <c:pt idx="125">
                  <c:v>8.857885139546184</c:v>
                </c:pt>
                <c:pt idx="126">
                  <c:v>8.9321438396249349</c:v>
                </c:pt>
                <c:pt idx="127">
                  <c:v>8.967174839488715</c:v>
                </c:pt>
                <c:pt idx="128">
                  <c:v>9.0300875240614573</c:v>
                </c:pt>
                <c:pt idx="129">
                  <c:v>9.1082673547617201</c:v>
                </c:pt>
                <c:pt idx="130">
                  <c:v>9.1143467369098534</c:v>
                </c:pt>
                <c:pt idx="131">
                  <c:v>9.2169764460960408</c:v>
                </c:pt>
                <c:pt idx="132">
                  <c:v>9.2135771925779686</c:v>
                </c:pt>
                <c:pt idx="133">
                  <c:v>9.239102547779849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2D-4121-A691-01B71F4CC7E8}"/>
            </c:ext>
          </c:extLst>
        </c:ser>
        <c:ser>
          <c:idx val="3"/>
          <c:order val="3"/>
          <c:tx>
            <c:strRef>
              <c:f>'畫圖(真實)'!$A$15:$B$15</c:f>
              <c:strCache>
                <c:ptCount val="2"/>
                <c:pt idx="0">
                  <c:v>100</c:v>
                </c:pt>
                <c:pt idx="1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'畫圖(真實)'!$C$15:$EF$15</c:f>
              <c:numCache>
                <c:formatCode>General</c:formatCode>
                <c:ptCount val="134"/>
                <c:pt idx="0">
                  <c:v>1</c:v>
                </c:pt>
                <c:pt idx="1">
                  <c:v>1.3727092156099256</c:v>
                </c:pt>
                <c:pt idx="2">
                  <c:v>1.4347548957268834</c:v>
                </c:pt>
                <c:pt idx="3">
                  <c:v>1.399833459170186</c:v>
                </c:pt>
                <c:pt idx="4">
                  <c:v>1.4342373801372226</c:v>
                </c:pt>
                <c:pt idx="5">
                  <c:v>1.5530810838445819</c:v>
                </c:pt>
                <c:pt idx="6">
                  <c:v>1.6115125281244473</c:v>
                </c:pt>
                <c:pt idx="7">
                  <c:v>1.661473993371837</c:v>
                </c:pt>
                <c:pt idx="8">
                  <c:v>1.7559887909637679</c:v>
                </c:pt>
                <c:pt idx="9">
                  <c:v>1.7430217060027275</c:v>
                </c:pt>
                <c:pt idx="10">
                  <c:v>1.7408886895664399</c:v>
                </c:pt>
                <c:pt idx="11">
                  <c:v>2.0711980264312468</c:v>
                </c:pt>
                <c:pt idx="12">
                  <c:v>2.058927230672094</c:v>
                </c:pt>
                <c:pt idx="13">
                  <c:v>2.1230434136937557</c:v>
                </c:pt>
                <c:pt idx="14">
                  <c:v>2.2785802558015682</c:v>
                </c:pt>
                <c:pt idx="15">
                  <c:v>2.2264505656964508</c:v>
                </c:pt>
                <c:pt idx="16">
                  <c:v>2.4964584607786047</c:v>
                </c:pt>
                <c:pt idx="17">
                  <c:v>2.542349537895789</c:v>
                </c:pt>
                <c:pt idx="18">
                  <c:v>2.6793175995630576</c:v>
                </c:pt>
                <c:pt idx="19">
                  <c:v>2.662185746214945</c:v>
                </c:pt>
                <c:pt idx="20">
                  <c:v>2.7691203013728782</c:v>
                </c:pt>
                <c:pt idx="21">
                  <c:v>2.9803066287032598</c:v>
                </c:pt>
                <c:pt idx="22">
                  <c:v>2.9596766543374398</c:v>
                </c:pt>
                <c:pt idx="23">
                  <c:v>3.0063966263907984</c:v>
                </c:pt>
                <c:pt idx="24">
                  <c:v>3.1672470106038628</c:v>
                </c:pt>
                <c:pt idx="25">
                  <c:v>3.2509471831196932</c:v>
                </c:pt>
                <c:pt idx="26">
                  <c:v>3.2552648519677483</c:v>
                </c:pt>
                <c:pt idx="27">
                  <c:v>3.2949553330954564</c:v>
                </c:pt>
                <c:pt idx="28">
                  <c:v>3.5067479761427283</c:v>
                </c:pt>
                <c:pt idx="29">
                  <c:v>3.6444742633203826</c:v>
                </c:pt>
                <c:pt idx="30">
                  <c:v>3.6545977415820383</c:v>
                </c:pt>
                <c:pt idx="31">
                  <c:v>3.620993368224362</c:v>
                </c:pt>
                <c:pt idx="32">
                  <c:v>3.6952703284344439</c:v>
                </c:pt>
                <c:pt idx="33">
                  <c:v>3.7047351884019197</c:v>
                </c:pt>
                <c:pt idx="34">
                  <c:v>3.7664948080603646</c:v>
                </c:pt>
                <c:pt idx="35">
                  <c:v>3.7596130489489283</c:v>
                </c:pt>
                <c:pt idx="36">
                  <c:v>3.8147356710835556</c:v>
                </c:pt>
                <c:pt idx="37">
                  <c:v>3.916424376995939</c:v>
                </c:pt>
                <c:pt idx="38">
                  <c:v>3.8650398567559718</c:v>
                </c:pt>
                <c:pt idx="39">
                  <c:v>3.9433255506487259</c:v>
                </c:pt>
                <c:pt idx="40">
                  <c:v>3.9630765378770856</c:v>
                </c:pt>
                <c:pt idx="41">
                  <c:v>3.9385257181788069</c:v>
                </c:pt>
                <c:pt idx="42">
                  <c:v>3.8897924968247053</c:v>
                </c:pt>
                <c:pt idx="43">
                  <c:v>3.96078230942841</c:v>
                </c:pt>
                <c:pt idx="44">
                  <c:v>4.1278907404978407</c:v>
                </c:pt>
                <c:pt idx="45">
                  <c:v>4.1651886691969509</c:v>
                </c:pt>
                <c:pt idx="46">
                  <c:v>4.2569161419903017</c:v>
                </c:pt>
                <c:pt idx="47">
                  <c:v>4.3382767079450701</c:v>
                </c:pt>
                <c:pt idx="48">
                  <c:v>4.3662937720551032</c:v>
                </c:pt>
                <c:pt idx="49">
                  <c:v>4.4031411238077061</c:v>
                </c:pt>
                <c:pt idx="50">
                  <c:v>4.5608290722160447</c:v>
                </c:pt>
                <c:pt idx="51">
                  <c:v>4.7585422217203854</c:v>
                </c:pt>
                <c:pt idx="52">
                  <c:v>4.7276055300980353</c:v>
                </c:pt>
                <c:pt idx="53">
                  <c:v>4.7349684460607406</c:v>
                </c:pt>
                <c:pt idx="54">
                  <c:v>4.7763664167576492</c:v>
                </c:pt>
                <c:pt idx="55">
                  <c:v>4.9872385042476362</c:v>
                </c:pt>
                <c:pt idx="56">
                  <c:v>5.1532897197122329</c:v>
                </c:pt>
                <c:pt idx="57">
                  <c:v>5.2519387661186538</c:v>
                </c:pt>
                <c:pt idx="58">
                  <c:v>5.3205254252336234</c:v>
                </c:pt>
                <c:pt idx="59">
                  <c:v>5.3956793233472986</c:v>
                </c:pt>
                <c:pt idx="60">
                  <c:v>5.3228099044647097</c:v>
                </c:pt>
                <c:pt idx="61">
                  <c:v>5.3825653254390309</c:v>
                </c:pt>
                <c:pt idx="62">
                  <c:v>5.4307843299267748</c:v>
                </c:pt>
                <c:pt idx="63">
                  <c:v>5.364730294701193</c:v>
                </c:pt>
                <c:pt idx="64">
                  <c:v>5.3924647706561242</c:v>
                </c:pt>
                <c:pt idx="65">
                  <c:v>5.3408479161840594</c:v>
                </c:pt>
                <c:pt idx="66">
                  <c:v>5.3536508474743876</c:v>
                </c:pt>
                <c:pt idx="67">
                  <c:v>5.4774129839108427</c:v>
                </c:pt>
                <c:pt idx="68">
                  <c:v>5.4892788948194546</c:v>
                </c:pt>
                <c:pt idx="69">
                  <c:v>5.5259125610150148</c:v>
                </c:pt>
                <c:pt idx="70">
                  <c:v>5.6114582947364546</c:v>
                </c:pt>
                <c:pt idx="71">
                  <c:v>5.716098339030145</c:v>
                </c:pt>
                <c:pt idx="72">
                  <c:v>6.014977328606073</c:v>
                </c:pt>
                <c:pt idx="73">
                  <c:v>6.0389267600434149</c:v>
                </c:pt>
                <c:pt idx="74">
                  <c:v>5.9129031864663277</c:v>
                </c:pt>
                <c:pt idx="75">
                  <c:v>6.0158096554436753</c:v>
                </c:pt>
                <c:pt idx="76">
                  <c:v>6.0344016762401171</c:v>
                </c:pt>
                <c:pt idx="77">
                  <c:v>6.1654930790241789</c:v>
                </c:pt>
                <c:pt idx="78">
                  <c:v>6.3391447847462992</c:v>
                </c:pt>
                <c:pt idx="79">
                  <c:v>6.4592968687093837</c:v>
                </c:pt>
                <c:pt idx="80">
                  <c:v>6.5326649887578343</c:v>
                </c:pt>
                <c:pt idx="81">
                  <c:v>6.6270216391512546</c:v>
                </c:pt>
                <c:pt idx="82">
                  <c:v>6.7129076606814184</c:v>
                </c:pt>
                <c:pt idx="83">
                  <c:v>6.7757936189651193</c:v>
                </c:pt>
                <c:pt idx="84">
                  <c:v>6.8145920338600998</c:v>
                </c:pt>
                <c:pt idx="85">
                  <c:v>6.8552637508071612</c:v>
                </c:pt>
                <c:pt idx="86">
                  <c:v>6.9509044989798667</c:v>
                </c:pt>
                <c:pt idx="87">
                  <c:v>6.9823264739731155</c:v>
                </c:pt>
                <c:pt idx="88">
                  <c:v>7.0904462296860382</c:v>
                </c:pt>
                <c:pt idx="89">
                  <c:v>7.2335960466572784</c:v>
                </c:pt>
                <c:pt idx="90">
                  <c:v>7.4069560358963278</c:v>
                </c:pt>
                <c:pt idx="91">
                  <c:v>7.5344918713292772</c:v>
                </c:pt>
                <c:pt idx="92">
                  <c:v>7.5095285108728387</c:v>
                </c:pt>
                <c:pt idx="93">
                  <c:v>7.6910174431085734</c:v>
                </c:pt>
                <c:pt idx="94">
                  <c:v>7.6975004942076186</c:v>
                </c:pt>
                <c:pt idx="95">
                  <c:v>7.7297170506526705</c:v>
                </c:pt>
                <c:pt idx="96">
                  <c:v>7.8537669820665386</c:v>
                </c:pt>
                <c:pt idx="97">
                  <c:v>8.0363785297834553</c:v>
                </c:pt>
                <c:pt idx="98">
                  <c:v>8.0624506206865814</c:v>
                </c:pt>
                <c:pt idx="99">
                  <c:v>8.0864902277399118</c:v>
                </c:pt>
                <c:pt idx="100">
                  <c:v>8.1422229385647391</c:v>
                </c:pt>
                <c:pt idx="101">
                  <c:v>8.2221098865090809</c:v>
                </c:pt>
                <c:pt idx="102">
                  <c:v>8.3109720987064364</c:v>
                </c:pt>
                <c:pt idx="103">
                  <c:v>8.4080203402319018</c:v>
                </c:pt>
                <c:pt idx="104">
                  <c:v>8.4430954902064848</c:v>
                </c:pt>
                <c:pt idx="105">
                  <c:v>8.4576022163379303</c:v>
                </c:pt>
                <c:pt idx="106">
                  <c:v>8.5147658510691819</c:v>
                </c:pt>
                <c:pt idx="107">
                  <c:v>8.8174863007119644</c:v>
                </c:pt>
                <c:pt idx="108">
                  <c:v>8.8654037856863059</c:v>
                </c:pt>
                <c:pt idx="109">
                  <c:v>8.9950257213541622</c:v>
                </c:pt>
                <c:pt idx="110">
                  <c:v>9.0378374885672752</c:v>
                </c:pt>
                <c:pt idx="111">
                  <c:v>9.0978612652583326</c:v>
                </c:pt>
                <c:pt idx="112">
                  <c:v>9.1981901921264146</c:v>
                </c:pt>
                <c:pt idx="113">
                  <c:v>9.1978861989235874</c:v>
                </c:pt>
                <c:pt idx="114">
                  <c:v>9.1961129341863792</c:v>
                </c:pt>
                <c:pt idx="115">
                  <c:v>9.2401094316099996</c:v>
                </c:pt>
                <c:pt idx="116">
                  <c:v>9.3996548429692712</c:v>
                </c:pt>
                <c:pt idx="117">
                  <c:v>9.533959790334638</c:v>
                </c:pt>
                <c:pt idx="118">
                  <c:v>9.5709984792868354</c:v>
                </c:pt>
                <c:pt idx="119">
                  <c:v>9.6410090459047737</c:v>
                </c:pt>
                <c:pt idx="120">
                  <c:v>9.6785391896827413</c:v>
                </c:pt>
                <c:pt idx="121">
                  <c:v>9.7312579796718115</c:v>
                </c:pt>
                <c:pt idx="122">
                  <c:v>9.8483856331824597</c:v>
                </c:pt>
                <c:pt idx="123">
                  <c:v>9.9881539901233314</c:v>
                </c:pt>
                <c:pt idx="124">
                  <c:v>9.9273276637859507</c:v>
                </c:pt>
                <c:pt idx="125">
                  <c:v>10.045943914435938</c:v>
                </c:pt>
                <c:pt idx="126">
                  <c:v>10.189553488816721</c:v>
                </c:pt>
                <c:pt idx="127">
                  <c:v>10.23000914212073</c:v>
                </c:pt>
                <c:pt idx="128">
                  <c:v>10.273460362401055</c:v>
                </c:pt>
                <c:pt idx="129">
                  <c:v>10.361547811928309</c:v>
                </c:pt>
                <c:pt idx="130">
                  <c:v>10.427629667976255</c:v>
                </c:pt>
                <c:pt idx="131">
                  <c:v>10.540986723911567</c:v>
                </c:pt>
                <c:pt idx="132">
                  <c:v>10.544177444413094</c:v>
                </c:pt>
                <c:pt idx="133">
                  <c:v>10.573823499485099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2D-4121-A691-01B71F4CC7E8}"/>
            </c:ext>
          </c:extLst>
        </c:ser>
        <c:ser>
          <c:idx val="4"/>
          <c:order val="4"/>
          <c:tx>
            <c:strRef>
              <c:f>'畫圖(真實)'!$A$16:$B$16</c:f>
              <c:strCache>
                <c:ptCount val="2"/>
                <c:pt idx="0">
                  <c:v>107</c:v>
                </c:pt>
                <c:pt idx="1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'畫圖(真實)'!$C$16:$EF$16</c:f>
              <c:numCache>
                <c:formatCode>General</c:formatCode>
                <c:ptCount val="134"/>
                <c:pt idx="0">
                  <c:v>1</c:v>
                </c:pt>
                <c:pt idx="1">
                  <c:v>1.4081949787325807</c:v>
                </c:pt>
                <c:pt idx="2">
                  <c:v>1.4732015558439089</c:v>
                </c:pt>
                <c:pt idx="3">
                  <c:v>1.3944860839395778</c:v>
                </c:pt>
                <c:pt idx="4">
                  <c:v>1.4026326345985272</c:v>
                </c:pt>
                <c:pt idx="5">
                  <c:v>1.4754806908861746</c:v>
                </c:pt>
                <c:pt idx="6">
                  <c:v>1.5330113095517961</c:v>
                </c:pt>
                <c:pt idx="7">
                  <c:v>1.5797212355944623</c:v>
                </c:pt>
                <c:pt idx="8">
                  <c:v>1.6661421271768528</c:v>
                </c:pt>
                <c:pt idx="9">
                  <c:v>1.6351149762113797</c:v>
                </c:pt>
                <c:pt idx="10">
                  <c:v>1.6211275403494625</c:v>
                </c:pt>
                <c:pt idx="11">
                  <c:v>1.9881151494720488</c:v>
                </c:pt>
                <c:pt idx="12">
                  <c:v>1.9595280725930697</c:v>
                </c:pt>
                <c:pt idx="13">
                  <c:v>2.020573304384492</c:v>
                </c:pt>
                <c:pt idx="14">
                  <c:v>2.1784763748088301</c:v>
                </c:pt>
                <c:pt idx="15">
                  <c:v>2.1294853965259035</c:v>
                </c:pt>
                <c:pt idx="16">
                  <c:v>2.4165484169246985</c:v>
                </c:pt>
                <c:pt idx="17">
                  <c:v>2.4549550902183106</c:v>
                </c:pt>
                <c:pt idx="18">
                  <c:v>2.5850175616480553</c:v>
                </c:pt>
                <c:pt idx="19">
                  <c:v>2.5789954163150894</c:v>
                </c:pt>
                <c:pt idx="20">
                  <c:v>2.6573689043427273</c:v>
                </c:pt>
                <c:pt idx="21">
                  <c:v>2.8979008659698935</c:v>
                </c:pt>
                <c:pt idx="22">
                  <c:v>2.8777202775502579</c:v>
                </c:pt>
                <c:pt idx="23">
                  <c:v>2.9207782084344696</c:v>
                </c:pt>
                <c:pt idx="24">
                  <c:v>3.0869370997317866</c:v>
                </c:pt>
                <c:pt idx="25">
                  <c:v>3.1619221413697671</c:v>
                </c:pt>
                <c:pt idx="26">
                  <c:v>3.1491566933343504</c:v>
                </c:pt>
                <c:pt idx="27">
                  <c:v>3.1839678651916019</c:v>
                </c:pt>
                <c:pt idx="28">
                  <c:v>3.3935961063685123</c:v>
                </c:pt>
                <c:pt idx="29">
                  <c:v>3.5415117166329386</c:v>
                </c:pt>
                <c:pt idx="30">
                  <c:v>3.554802469669474</c:v>
                </c:pt>
                <c:pt idx="31">
                  <c:v>3.5230370692200332</c:v>
                </c:pt>
                <c:pt idx="32">
                  <c:v>3.6135597184371879</c:v>
                </c:pt>
                <c:pt idx="33">
                  <c:v>3.606533752365312</c:v>
                </c:pt>
                <c:pt idx="34">
                  <c:v>3.6709551531976841</c:v>
                </c:pt>
                <c:pt idx="35">
                  <c:v>3.6564826416802254</c:v>
                </c:pt>
                <c:pt idx="36">
                  <c:v>3.7225593722820234</c:v>
                </c:pt>
                <c:pt idx="37">
                  <c:v>3.829015572371699</c:v>
                </c:pt>
                <c:pt idx="38">
                  <c:v>3.7879254190099578</c:v>
                </c:pt>
                <c:pt idx="39">
                  <c:v>3.8657237871555465</c:v>
                </c:pt>
                <c:pt idx="40">
                  <c:v>3.8897598410100991</c:v>
                </c:pt>
                <c:pt idx="41">
                  <c:v>3.8572670812900354</c:v>
                </c:pt>
                <c:pt idx="42">
                  <c:v>3.8046243630518015</c:v>
                </c:pt>
                <c:pt idx="43">
                  <c:v>3.9271884064020863</c:v>
                </c:pt>
                <c:pt idx="44">
                  <c:v>4.0974242952192261</c:v>
                </c:pt>
                <c:pt idx="45">
                  <c:v>4.1495051306559638</c:v>
                </c:pt>
                <c:pt idx="46">
                  <c:v>4.2584900692974923</c:v>
                </c:pt>
                <c:pt idx="47">
                  <c:v>4.3591113983988947</c:v>
                </c:pt>
                <c:pt idx="48">
                  <c:v>4.3929239882432407</c:v>
                </c:pt>
                <c:pt idx="49">
                  <c:v>4.4397508642466175</c:v>
                </c:pt>
                <c:pt idx="50">
                  <c:v>4.5997415644212385</c:v>
                </c:pt>
                <c:pt idx="51">
                  <c:v>4.8252151274969783</c:v>
                </c:pt>
                <c:pt idx="52">
                  <c:v>4.7862157355747463</c:v>
                </c:pt>
                <c:pt idx="53">
                  <c:v>4.7924979199996294</c:v>
                </c:pt>
                <c:pt idx="54">
                  <c:v>4.853695563926089</c:v>
                </c:pt>
                <c:pt idx="55">
                  <c:v>5.1014824230265488</c:v>
                </c:pt>
                <c:pt idx="56">
                  <c:v>5.2627119926108996</c:v>
                </c:pt>
                <c:pt idx="57">
                  <c:v>5.3588740271186337</c:v>
                </c:pt>
                <c:pt idx="58">
                  <c:v>5.4003178348818954</c:v>
                </c:pt>
                <c:pt idx="59">
                  <c:v>5.4817459536578692</c:v>
                </c:pt>
                <c:pt idx="60">
                  <c:v>5.3769727507373002</c:v>
                </c:pt>
                <c:pt idx="61">
                  <c:v>5.4381463502217704</c:v>
                </c:pt>
                <c:pt idx="62">
                  <c:v>5.4776443357128768</c:v>
                </c:pt>
                <c:pt idx="63">
                  <c:v>5.4104463653081876</c:v>
                </c:pt>
                <c:pt idx="64">
                  <c:v>5.4323367252618455</c:v>
                </c:pt>
                <c:pt idx="65">
                  <c:v>5.3745866645813898</c:v>
                </c:pt>
                <c:pt idx="66">
                  <c:v>5.3910646808363181</c:v>
                </c:pt>
                <c:pt idx="67">
                  <c:v>5.5216476490613395</c:v>
                </c:pt>
                <c:pt idx="68">
                  <c:v>5.5536546362542225</c:v>
                </c:pt>
                <c:pt idx="69">
                  <c:v>5.5917207144664678</c:v>
                </c:pt>
                <c:pt idx="70">
                  <c:v>5.693257288694773</c:v>
                </c:pt>
                <c:pt idx="71">
                  <c:v>5.7298429266185193</c:v>
                </c:pt>
                <c:pt idx="72">
                  <c:v>6.0478137611568865</c:v>
                </c:pt>
                <c:pt idx="73">
                  <c:v>6.0718920329862334</c:v>
                </c:pt>
                <c:pt idx="74">
                  <c:v>5.9393336237288539</c:v>
                </c:pt>
                <c:pt idx="75">
                  <c:v>6.0508594722305027</c:v>
                </c:pt>
                <c:pt idx="76">
                  <c:v>6.0805738619860659</c:v>
                </c:pt>
                <c:pt idx="77">
                  <c:v>6.2198825979193995</c:v>
                </c:pt>
                <c:pt idx="78">
                  <c:v>6.2642707510896054</c:v>
                </c:pt>
                <c:pt idx="79">
                  <c:v>6.4193420227159672</c:v>
                </c:pt>
                <c:pt idx="80">
                  <c:v>6.5129562531838827</c:v>
                </c:pt>
                <c:pt idx="81">
                  <c:v>6.6181575171936338</c:v>
                </c:pt>
                <c:pt idx="82">
                  <c:v>6.6798853953403006</c:v>
                </c:pt>
                <c:pt idx="83">
                  <c:v>6.7215828100433272</c:v>
                </c:pt>
                <c:pt idx="84">
                  <c:v>6.7602926918718449</c:v>
                </c:pt>
                <c:pt idx="85">
                  <c:v>6.7899960773656085</c:v>
                </c:pt>
                <c:pt idx="86">
                  <c:v>6.8784187671472159</c:v>
                </c:pt>
                <c:pt idx="87">
                  <c:v>6.8942974494819254</c:v>
                </c:pt>
                <c:pt idx="88">
                  <c:v>7.0073532878732996</c:v>
                </c:pt>
                <c:pt idx="89">
                  <c:v>7.1677132041898268</c:v>
                </c:pt>
                <c:pt idx="90">
                  <c:v>7.377260722649579</c:v>
                </c:pt>
                <c:pt idx="91">
                  <c:v>7.5138924121316704</c:v>
                </c:pt>
                <c:pt idx="92">
                  <c:v>7.4935586323113093</c:v>
                </c:pt>
                <c:pt idx="93">
                  <c:v>7.6828451657787076</c:v>
                </c:pt>
                <c:pt idx="94">
                  <c:v>7.723697353373451</c:v>
                </c:pt>
                <c:pt idx="95">
                  <c:v>7.7726008792048802</c:v>
                </c:pt>
                <c:pt idx="96">
                  <c:v>7.9080725800690859</c:v>
                </c:pt>
                <c:pt idx="97">
                  <c:v>8.0803241027075714</c:v>
                </c:pt>
                <c:pt idx="98">
                  <c:v>8.1276657618818504</c:v>
                </c:pt>
                <c:pt idx="99">
                  <c:v>8.1399060466361011</c:v>
                </c:pt>
                <c:pt idx="100">
                  <c:v>8.1984603528073539</c:v>
                </c:pt>
                <c:pt idx="101">
                  <c:v>8.3010936119854861</c:v>
                </c:pt>
                <c:pt idx="102">
                  <c:v>8.4192749423479363</c:v>
                </c:pt>
                <c:pt idx="103">
                  <c:v>8.5172922252337333</c:v>
                </c:pt>
                <c:pt idx="104">
                  <c:v>8.5602345875542341</c:v>
                </c:pt>
                <c:pt idx="105">
                  <c:v>8.5919782980415143</c:v>
                </c:pt>
                <c:pt idx="106">
                  <c:v>8.6265306984003036</c:v>
                </c:pt>
                <c:pt idx="107">
                  <c:v>8.9521102493174567</c:v>
                </c:pt>
                <c:pt idx="108">
                  <c:v>8.9977871643463487</c:v>
                </c:pt>
                <c:pt idx="109">
                  <c:v>9.1349349247588574</c:v>
                </c:pt>
                <c:pt idx="110">
                  <c:v>9.1827645324758453</c:v>
                </c:pt>
                <c:pt idx="111">
                  <c:v>9.2537195849127301</c:v>
                </c:pt>
                <c:pt idx="112">
                  <c:v>9.3499742097119274</c:v>
                </c:pt>
                <c:pt idx="113">
                  <c:v>9.3281013354621525</c:v>
                </c:pt>
                <c:pt idx="114">
                  <c:v>9.2899663399015999</c:v>
                </c:pt>
                <c:pt idx="115">
                  <c:v>9.3324041932610076</c:v>
                </c:pt>
                <c:pt idx="116">
                  <c:v>9.5019951396490825</c:v>
                </c:pt>
                <c:pt idx="117">
                  <c:v>9.6623291341248958</c:v>
                </c:pt>
                <c:pt idx="118">
                  <c:v>9.7093992901294275</c:v>
                </c:pt>
                <c:pt idx="119">
                  <c:v>9.7645905417789418</c:v>
                </c:pt>
                <c:pt idx="120">
                  <c:v>9.7860312144914356</c:v>
                </c:pt>
                <c:pt idx="121">
                  <c:v>9.8451441895696217</c:v>
                </c:pt>
                <c:pt idx="122">
                  <c:v>9.9679162360925861</c:v>
                </c:pt>
                <c:pt idx="123">
                  <c:v>10.10486996811038</c:v>
                </c:pt>
                <c:pt idx="124">
                  <c:v>10.033567393987024</c:v>
                </c:pt>
                <c:pt idx="125">
                  <c:v>10.158852100311002</c:v>
                </c:pt>
                <c:pt idx="126">
                  <c:v>10.316424233046375</c:v>
                </c:pt>
                <c:pt idx="127">
                  <c:v>10.375234981237421</c:v>
                </c:pt>
                <c:pt idx="128">
                  <c:v>10.375655496477664</c:v>
                </c:pt>
                <c:pt idx="129">
                  <c:v>10.476334597154866</c:v>
                </c:pt>
                <c:pt idx="130">
                  <c:v>10.539866663789436</c:v>
                </c:pt>
                <c:pt idx="131">
                  <c:v>10.655283411288357</c:v>
                </c:pt>
                <c:pt idx="132">
                  <c:v>10.659680086595117</c:v>
                </c:pt>
                <c:pt idx="133">
                  <c:v>10.694230722575096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2D-4121-A691-01B71F4CC7E8}"/>
            </c:ext>
          </c:extLst>
        </c:ser>
        <c:ser>
          <c:idx val="5"/>
          <c:order val="5"/>
          <c:tx>
            <c:strRef>
              <c:f>'畫圖(真實)'!$A$17:$B$17</c:f>
              <c:strCache>
                <c:ptCount val="2"/>
                <c:pt idx="0">
                  <c:v>120</c:v>
                </c:pt>
                <c:pt idx="1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'畫圖(真實)'!$C$17:$EF$17</c:f>
              <c:numCache>
                <c:formatCode>General</c:formatCode>
                <c:ptCount val="134"/>
                <c:pt idx="0">
                  <c:v>1</c:v>
                </c:pt>
                <c:pt idx="1">
                  <c:v>1.4395884886246213</c:v>
                </c:pt>
                <c:pt idx="2">
                  <c:v>1.5191783380153743</c:v>
                </c:pt>
                <c:pt idx="3">
                  <c:v>1.4384261738630553</c:v>
                </c:pt>
                <c:pt idx="4">
                  <c:v>1.5438132485267859</c:v>
                </c:pt>
                <c:pt idx="5">
                  <c:v>1.6488073021545269</c:v>
                </c:pt>
                <c:pt idx="6">
                  <c:v>1.7625323299567144</c:v>
                </c:pt>
                <c:pt idx="7">
                  <c:v>1.8043907250749436</c:v>
                </c:pt>
                <c:pt idx="8">
                  <c:v>1.9059508047972535</c:v>
                </c:pt>
                <c:pt idx="9">
                  <c:v>1.8721748752586154</c:v>
                </c:pt>
                <c:pt idx="10">
                  <c:v>1.8868340173489038</c:v>
                </c:pt>
                <c:pt idx="11">
                  <c:v>2.2919420262883659</c:v>
                </c:pt>
                <c:pt idx="12">
                  <c:v>2.2806353502242338</c:v>
                </c:pt>
                <c:pt idx="13">
                  <c:v>2.346974719363065</c:v>
                </c:pt>
                <c:pt idx="14">
                  <c:v>2.5087760139781921</c:v>
                </c:pt>
                <c:pt idx="15">
                  <c:v>2.4567184050736648</c:v>
                </c:pt>
                <c:pt idx="16">
                  <c:v>2.7673718377289629</c:v>
                </c:pt>
                <c:pt idx="17">
                  <c:v>2.7907144232399035</c:v>
                </c:pt>
                <c:pt idx="18">
                  <c:v>2.9319855657784606</c:v>
                </c:pt>
                <c:pt idx="19">
                  <c:v>2.935996755608159</c:v>
                </c:pt>
                <c:pt idx="20">
                  <c:v>3.0151387444101765</c:v>
                </c:pt>
                <c:pt idx="21">
                  <c:v>3.2531281757304913</c:v>
                </c:pt>
                <c:pt idx="22">
                  <c:v>3.2302001646678362</c:v>
                </c:pt>
                <c:pt idx="23">
                  <c:v>3.2840686539587018</c:v>
                </c:pt>
                <c:pt idx="24">
                  <c:v>3.4753520908741113</c:v>
                </c:pt>
                <c:pt idx="25">
                  <c:v>3.5602041537522835</c:v>
                </c:pt>
                <c:pt idx="26">
                  <c:v>3.5401178990142621</c:v>
                </c:pt>
                <c:pt idx="27">
                  <c:v>3.6087377222511088</c:v>
                </c:pt>
                <c:pt idx="28">
                  <c:v>3.8308604266795596</c:v>
                </c:pt>
                <c:pt idx="29">
                  <c:v>3.9511467513354059</c:v>
                </c:pt>
                <c:pt idx="30">
                  <c:v>3.9738877321231962</c:v>
                </c:pt>
                <c:pt idx="31">
                  <c:v>3.9384151129503073</c:v>
                </c:pt>
                <c:pt idx="32">
                  <c:v>4.0532795583485939</c:v>
                </c:pt>
                <c:pt idx="33">
                  <c:v>4.0106769278296373</c:v>
                </c:pt>
                <c:pt idx="34">
                  <c:v>4.0843932025686733</c:v>
                </c:pt>
                <c:pt idx="35">
                  <c:v>4.0744094692336743</c:v>
                </c:pt>
                <c:pt idx="36">
                  <c:v>4.1497788368213309</c:v>
                </c:pt>
                <c:pt idx="37">
                  <c:v>4.2630659571672487</c:v>
                </c:pt>
                <c:pt idx="38">
                  <c:v>4.1863714295446259</c:v>
                </c:pt>
                <c:pt idx="39">
                  <c:v>4.2636142439642111</c:v>
                </c:pt>
                <c:pt idx="40">
                  <c:v>4.2728482374400008</c:v>
                </c:pt>
                <c:pt idx="41">
                  <c:v>4.2378509564049436</c:v>
                </c:pt>
                <c:pt idx="42">
                  <c:v>4.1790479994607095</c:v>
                </c:pt>
                <c:pt idx="43">
                  <c:v>4.3061197925679613</c:v>
                </c:pt>
                <c:pt idx="44">
                  <c:v>4.4836818183161329</c:v>
                </c:pt>
                <c:pt idx="45">
                  <c:v>4.5422112676507647</c:v>
                </c:pt>
                <c:pt idx="46">
                  <c:v>4.618400877880581</c:v>
                </c:pt>
                <c:pt idx="47">
                  <c:v>4.7160199829981888</c:v>
                </c:pt>
                <c:pt idx="48">
                  <c:v>4.7434436796887898</c:v>
                </c:pt>
                <c:pt idx="49">
                  <c:v>4.7914241134979623</c:v>
                </c:pt>
                <c:pt idx="50">
                  <c:v>4.9542305233077251</c:v>
                </c:pt>
                <c:pt idx="51">
                  <c:v>5.1846725682555954</c:v>
                </c:pt>
                <c:pt idx="52">
                  <c:v>5.1573797438751052</c:v>
                </c:pt>
                <c:pt idx="53">
                  <c:v>5.1767916157679821</c:v>
                </c:pt>
                <c:pt idx="54">
                  <c:v>5.2209018691128204</c:v>
                </c:pt>
                <c:pt idx="55">
                  <c:v>5.3686786993929783</c:v>
                </c:pt>
                <c:pt idx="56">
                  <c:v>5.554430277523859</c:v>
                </c:pt>
                <c:pt idx="57">
                  <c:v>5.6876213908491877</c:v>
                </c:pt>
                <c:pt idx="58">
                  <c:v>5.7747333362891347</c:v>
                </c:pt>
                <c:pt idx="59">
                  <c:v>5.8639248138457942</c:v>
                </c:pt>
                <c:pt idx="60">
                  <c:v>5.7491090218462766</c:v>
                </c:pt>
                <c:pt idx="61">
                  <c:v>5.7832614691705713</c:v>
                </c:pt>
                <c:pt idx="62">
                  <c:v>5.8123204803229251</c:v>
                </c:pt>
                <c:pt idx="63">
                  <c:v>5.7386637123865594</c:v>
                </c:pt>
                <c:pt idx="64">
                  <c:v>5.7738433278032826</c:v>
                </c:pt>
                <c:pt idx="65">
                  <c:v>5.7132051808933655</c:v>
                </c:pt>
                <c:pt idx="66">
                  <c:v>5.7245816913398171</c:v>
                </c:pt>
                <c:pt idx="67">
                  <c:v>5.8396040443655686</c:v>
                </c:pt>
                <c:pt idx="68">
                  <c:v>5.8605100625792641</c:v>
                </c:pt>
                <c:pt idx="69">
                  <c:v>5.8941576358256222</c:v>
                </c:pt>
                <c:pt idx="70">
                  <c:v>5.9986819353584826</c:v>
                </c:pt>
                <c:pt idx="71">
                  <c:v>6.0369228918606765</c:v>
                </c:pt>
                <c:pt idx="72">
                  <c:v>6.2452597173780653</c:v>
                </c:pt>
                <c:pt idx="73">
                  <c:v>6.2523555072195318</c:v>
                </c:pt>
                <c:pt idx="74">
                  <c:v>6.1098781320930646</c:v>
                </c:pt>
                <c:pt idx="75">
                  <c:v>6.2304562879741496</c:v>
                </c:pt>
                <c:pt idx="76">
                  <c:v>6.2583911203326394</c:v>
                </c:pt>
                <c:pt idx="77">
                  <c:v>6.408024278025529</c:v>
                </c:pt>
                <c:pt idx="78">
                  <c:v>6.4497845304997643</c:v>
                </c:pt>
                <c:pt idx="79">
                  <c:v>6.6227442717189131</c:v>
                </c:pt>
                <c:pt idx="80">
                  <c:v>6.7184523453804079</c:v>
                </c:pt>
                <c:pt idx="81">
                  <c:v>6.8171985428066062</c:v>
                </c:pt>
                <c:pt idx="82">
                  <c:v>6.8919135314353372</c:v>
                </c:pt>
                <c:pt idx="83">
                  <c:v>6.9505499780423872</c:v>
                </c:pt>
                <c:pt idx="84">
                  <c:v>6.965081163031976</c:v>
                </c:pt>
                <c:pt idx="85">
                  <c:v>6.9860319905133244</c:v>
                </c:pt>
                <c:pt idx="86">
                  <c:v>7.0699878387729553</c:v>
                </c:pt>
                <c:pt idx="87">
                  <c:v>7.0605614940039239</c:v>
                </c:pt>
                <c:pt idx="88">
                  <c:v>7.1560553648204772</c:v>
                </c:pt>
                <c:pt idx="89">
                  <c:v>7.3325866434018643</c:v>
                </c:pt>
                <c:pt idx="90">
                  <c:v>7.530667063291653</c:v>
                </c:pt>
                <c:pt idx="91">
                  <c:v>7.6788263324889963</c:v>
                </c:pt>
                <c:pt idx="92">
                  <c:v>7.7307334358307225</c:v>
                </c:pt>
                <c:pt idx="93">
                  <c:v>7.927136067593012</c:v>
                </c:pt>
                <c:pt idx="94">
                  <c:v>7.9584818859887303</c:v>
                </c:pt>
                <c:pt idx="95">
                  <c:v>8.0171356825913449</c:v>
                </c:pt>
                <c:pt idx="96">
                  <c:v>8.1724875753911039</c:v>
                </c:pt>
                <c:pt idx="97">
                  <c:v>8.3239589602524582</c:v>
                </c:pt>
                <c:pt idx="98">
                  <c:v>8.387352179056947</c:v>
                </c:pt>
                <c:pt idx="99">
                  <c:v>8.398124573580894</c:v>
                </c:pt>
                <c:pt idx="100">
                  <c:v>8.4576225254407174</c:v>
                </c:pt>
                <c:pt idx="101">
                  <c:v>8.5818713632883377</c:v>
                </c:pt>
                <c:pt idx="102">
                  <c:v>8.6763677625078284</c:v>
                </c:pt>
                <c:pt idx="103">
                  <c:v>8.7806393884109113</c:v>
                </c:pt>
                <c:pt idx="104">
                  <c:v>8.8240028573884111</c:v>
                </c:pt>
                <c:pt idx="105">
                  <c:v>8.853158278271291</c:v>
                </c:pt>
                <c:pt idx="106">
                  <c:v>8.8772831416180136</c:v>
                </c:pt>
                <c:pt idx="107">
                  <c:v>9.2295086958894856</c:v>
                </c:pt>
                <c:pt idx="108">
                  <c:v>9.2767196843180102</c:v>
                </c:pt>
                <c:pt idx="109">
                  <c:v>9.4401514855299986</c:v>
                </c:pt>
                <c:pt idx="110">
                  <c:v>9.5103338756007272</c:v>
                </c:pt>
                <c:pt idx="111">
                  <c:v>9.6392589353867368</c:v>
                </c:pt>
                <c:pt idx="112">
                  <c:v>9.7420402041350425</c:v>
                </c:pt>
                <c:pt idx="113">
                  <c:v>9.738110472443914</c:v>
                </c:pt>
                <c:pt idx="114">
                  <c:v>9.6955468637321616</c:v>
                </c:pt>
                <c:pt idx="115">
                  <c:v>9.7310358964465014</c:v>
                </c:pt>
                <c:pt idx="116">
                  <c:v>9.9107988225452299</c:v>
                </c:pt>
                <c:pt idx="117">
                  <c:v>10.052832980795865</c:v>
                </c:pt>
                <c:pt idx="118">
                  <c:v>10.125486985901889</c:v>
                </c:pt>
                <c:pt idx="119">
                  <c:v>10.181371800778217</c:v>
                </c:pt>
                <c:pt idx="120">
                  <c:v>10.218725889533319</c:v>
                </c:pt>
                <c:pt idx="121">
                  <c:v>10.278537824768295</c:v>
                </c:pt>
                <c:pt idx="122">
                  <c:v>10.408030781088284</c:v>
                </c:pt>
                <c:pt idx="123">
                  <c:v>10.525796179199238</c:v>
                </c:pt>
                <c:pt idx="124">
                  <c:v>10.449197266163242</c:v>
                </c:pt>
                <c:pt idx="125">
                  <c:v>10.578736248759716</c:v>
                </c:pt>
                <c:pt idx="126">
                  <c:v>10.686019144361568</c:v>
                </c:pt>
                <c:pt idx="127">
                  <c:v>10.735231773531376</c:v>
                </c:pt>
                <c:pt idx="128">
                  <c:v>10.730599249314652</c:v>
                </c:pt>
                <c:pt idx="129">
                  <c:v>10.83788457606841</c:v>
                </c:pt>
                <c:pt idx="130">
                  <c:v>10.85430979328447</c:v>
                </c:pt>
                <c:pt idx="131">
                  <c:v>10.982634237213382</c:v>
                </c:pt>
                <c:pt idx="132">
                  <c:v>10.982440716067304</c:v>
                </c:pt>
                <c:pt idx="133">
                  <c:v>11.023427921491205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2D-4121-A691-01B71F4CC7E8}"/>
            </c:ext>
          </c:extLst>
        </c:ser>
        <c:ser>
          <c:idx val="6"/>
          <c:order val="6"/>
          <c:tx>
            <c:strRef>
              <c:f>'畫圖(真實)'!$A$18:$B$18</c:f>
              <c:strCache>
                <c:ptCount val="2"/>
                <c:pt idx="0">
                  <c:v>137</c:v>
                </c:pt>
                <c:pt idx="1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'畫圖(真實)'!$C$18:$EF$18</c:f>
              <c:numCache>
                <c:formatCode>General</c:formatCode>
                <c:ptCount val="134"/>
                <c:pt idx="0">
                  <c:v>1</c:v>
                </c:pt>
                <c:pt idx="1">
                  <c:v>1.4018836814220679</c:v>
                </c:pt>
                <c:pt idx="2">
                  <c:v>1.4553230316897918</c:v>
                </c:pt>
                <c:pt idx="3">
                  <c:v>1.335940071587602</c:v>
                </c:pt>
                <c:pt idx="4">
                  <c:v>1.444256444872682</c:v>
                </c:pt>
                <c:pt idx="5">
                  <c:v>1.5727960066472533</c:v>
                </c:pt>
                <c:pt idx="6">
                  <c:v>1.7082961868704944</c:v>
                </c:pt>
                <c:pt idx="7">
                  <c:v>1.7517077026221362</c:v>
                </c:pt>
                <c:pt idx="8">
                  <c:v>1.8873555913997684</c:v>
                </c:pt>
                <c:pt idx="9">
                  <c:v>1.8406828710590952</c:v>
                </c:pt>
                <c:pt idx="10">
                  <c:v>1.8697343354355525</c:v>
                </c:pt>
                <c:pt idx="11">
                  <c:v>2.3315543535061658</c:v>
                </c:pt>
                <c:pt idx="12">
                  <c:v>2.3632922946036641</c:v>
                </c:pt>
                <c:pt idx="13">
                  <c:v>2.4458449061736118</c:v>
                </c:pt>
                <c:pt idx="14">
                  <c:v>2.6348203248631017</c:v>
                </c:pt>
                <c:pt idx="15">
                  <c:v>2.5733280869911268</c:v>
                </c:pt>
                <c:pt idx="16">
                  <c:v>2.9570607159230211</c:v>
                </c:pt>
                <c:pt idx="17">
                  <c:v>3.0093704134737518</c:v>
                </c:pt>
                <c:pt idx="18">
                  <c:v>3.1418654379035709</c:v>
                </c:pt>
                <c:pt idx="19">
                  <c:v>3.1547605729734216</c:v>
                </c:pt>
                <c:pt idx="20">
                  <c:v>3.2320568530331601</c:v>
                </c:pt>
                <c:pt idx="21">
                  <c:v>3.4471779104331119</c:v>
                </c:pt>
                <c:pt idx="22">
                  <c:v>3.4279455760756763</c:v>
                </c:pt>
                <c:pt idx="23">
                  <c:v>3.5171799395161991</c:v>
                </c:pt>
                <c:pt idx="24">
                  <c:v>3.6897505970507276</c:v>
                </c:pt>
                <c:pt idx="25">
                  <c:v>3.774448896781212</c:v>
                </c:pt>
                <c:pt idx="26">
                  <c:v>3.7758143172580443</c:v>
                </c:pt>
                <c:pt idx="27">
                  <c:v>3.8721001624434637</c:v>
                </c:pt>
                <c:pt idx="28">
                  <c:v>4.130491511358672</c:v>
                </c:pt>
                <c:pt idx="29">
                  <c:v>4.2810351511827456</c:v>
                </c:pt>
                <c:pt idx="30">
                  <c:v>4.3135282672806214</c:v>
                </c:pt>
                <c:pt idx="31">
                  <c:v>4.2733308063121065</c:v>
                </c:pt>
                <c:pt idx="32">
                  <c:v>4.3914165408701065</c:v>
                </c:pt>
                <c:pt idx="33">
                  <c:v>4.3440227847036574</c:v>
                </c:pt>
                <c:pt idx="34">
                  <c:v>4.3741752653012833</c:v>
                </c:pt>
                <c:pt idx="35">
                  <c:v>4.3733197102469115</c:v>
                </c:pt>
                <c:pt idx="36">
                  <c:v>4.4399631156716826</c:v>
                </c:pt>
                <c:pt idx="37">
                  <c:v>4.5192577556268843</c:v>
                </c:pt>
                <c:pt idx="38">
                  <c:v>4.5438420360716911</c:v>
                </c:pt>
                <c:pt idx="39">
                  <c:v>4.6221206280054981</c:v>
                </c:pt>
                <c:pt idx="40">
                  <c:v>4.605335486436382</c:v>
                </c:pt>
                <c:pt idx="41">
                  <c:v>4.5436409628356005</c:v>
                </c:pt>
                <c:pt idx="42">
                  <c:v>4.4603878349464141</c:v>
                </c:pt>
                <c:pt idx="43">
                  <c:v>4.6267736443704734</c:v>
                </c:pt>
                <c:pt idx="44">
                  <c:v>4.8234333755091523</c:v>
                </c:pt>
                <c:pt idx="45">
                  <c:v>4.8836690402156222</c:v>
                </c:pt>
                <c:pt idx="46">
                  <c:v>4.981435902036857</c:v>
                </c:pt>
                <c:pt idx="47">
                  <c:v>5.1075002394629845</c:v>
                </c:pt>
                <c:pt idx="48">
                  <c:v>5.1422835181041329</c:v>
                </c:pt>
                <c:pt idx="49">
                  <c:v>5.2086247938415546</c:v>
                </c:pt>
                <c:pt idx="50">
                  <c:v>5.389104558511101</c:v>
                </c:pt>
                <c:pt idx="51">
                  <c:v>5.706561984175214</c:v>
                </c:pt>
                <c:pt idx="52">
                  <c:v>5.7345040348771841</c:v>
                </c:pt>
                <c:pt idx="53">
                  <c:v>5.7547791745342112</c:v>
                </c:pt>
                <c:pt idx="54">
                  <c:v>5.8459520273901333</c:v>
                </c:pt>
                <c:pt idx="55">
                  <c:v>6.0109385220861409</c:v>
                </c:pt>
                <c:pt idx="56">
                  <c:v>6.1576524969144293</c:v>
                </c:pt>
                <c:pt idx="57">
                  <c:v>6.2955507620645719</c:v>
                </c:pt>
                <c:pt idx="58">
                  <c:v>6.4045507689832375</c:v>
                </c:pt>
                <c:pt idx="59">
                  <c:v>6.5040822882563845</c:v>
                </c:pt>
                <c:pt idx="60">
                  <c:v>6.4306266614323793</c:v>
                </c:pt>
                <c:pt idx="61">
                  <c:v>6.4864145422941588</c:v>
                </c:pt>
                <c:pt idx="62">
                  <c:v>6.5144958986672545</c:v>
                </c:pt>
                <c:pt idx="63">
                  <c:v>6.4362871991848793</c:v>
                </c:pt>
                <c:pt idx="64">
                  <c:v>6.4565146952912542</c:v>
                </c:pt>
                <c:pt idx="65">
                  <c:v>6.3940512632548021</c:v>
                </c:pt>
                <c:pt idx="66">
                  <c:v>6.3959680473646507</c:v>
                </c:pt>
                <c:pt idx="67">
                  <c:v>6.5169298652471266</c:v>
                </c:pt>
                <c:pt idx="68">
                  <c:v>6.5498031218231585</c:v>
                </c:pt>
                <c:pt idx="69">
                  <c:v>6.5631022726008359</c:v>
                </c:pt>
                <c:pt idx="70">
                  <c:v>6.6745638181299389</c:v>
                </c:pt>
                <c:pt idx="71">
                  <c:v>6.7141882442540863</c:v>
                </c:pt>
                <c:pt idx="72">
                  <c:v>6.9325637433850753</c:v>
                </c:pt>
                <c:pt idx="73">
                  <c:v>6.9167518194392832</c:v>
                </c:pt>
                <c:pt idx="74">
                  <c:v>6.8292865511671819</c:v>
                </c:pt>
                <c:pt idx="75">
                  <c:v>6.9826065389697796</c:v>
                </c:pt>
                <c:pt idx="76">
                  <c:v>6.9986830828626401</c:v>
                </c:pt>
                <c:pt idx="77">
                  <c:v>7.1055291433327135</c:v>
                </c:pt>
                <c:pt idx="78">
                  <c:v>7.2101897671743584</c:v>
                </c:pt>
                <c:pt idx="79">
                  <c:v>7.403906585821189</c:v>
                </c:pt>
                <c:pt idx="80">
                  <c:v>7.4811669806994114</c:v>
                </c:pt>
                <c:pt idx="81">
                  <c:v>7.5529845723997857</c:v>
                </c:pt>
                <c:pt idx="82">
                  <c:v>7.6445938279637051</c:v>
                </c:pt>
                <c:pt idx="83">
                  <c:v>7.8072508746509381</c:v>
                </c:pt>
                <c:pt idx="84">
                  <c:v>7.8461200145286281</c:v>
                </c:pt>
                <c:pt idx="85">
                  <c:v>7.8423476480282304</c:v>
                </c:pt>
                <c:pt idx="86">
                  <c:v>7.9384056796937532</c:v>
                </c:pt>
                <c:pt idx="87">
                  <c:v>7.90741613463556</c:v>
                </c:pt>
                <c:pt idx="88">
                  <c:v>8.0101857462635113</c:v>
                </c:pt>
                <c:pt idx="89">
                  <c:v>8.131128879805086</c:v>
                </c:pt>
                <c:pt idx="90">
                  <c:v>8.3594109656805475</c:v>
                </c:pt>
                <c:pt idx="91">
                  <c:v>8.522250074628559</c:v>
                </c:pt>
                <c:pt idx="92">
                  <c:v>8.5604927502235011</c:v>
                </c:pt>
                <c:pt idx="93">
                  <c:v>8.754215157875711</c:v>
                </c:pt>
                <c:pt idx="94">
                  <c:v>8.8119058065271272</c:v>
                </c:pt>
                <c:pt idx="95">
                  <c:v>8.8887760332993508</c:v>
                </c:pt>
                <c:pt idx="96">
                  <c:v>9.033340854475485</c:v>
                </c:pt>
                <c:pt idx="97">
                  <c:v>9.1603631226084925</c:v>
                </c:pt>
                <c:pt idx="98">
                  <c:v>9.2269216971068087</c:v>
                </c:pt>
                <c:pt idx="99">
                  <c:v>9.2884818829405873</c:v>
                </c:pt>
                <c:pt idx="100">
                  <c:v>9.3599143418529618</c:v>
                </c:pt>
                <c:pt idx="101">
                  <c:v>9.4927572051547333</c:v>
                </c:pt>
                <c:pt idx="102">
                  <c:v>9.571115836062166</c:v>
                </c:pt>
                <c:pt idx="103">
                  <c:v>9.6892305543473771</c:v>
                </c:pt>
                <c:pt idx="104">
                  <c:v>9.7256393358428834</c:v>
                </c:pt>
                <c:pt idx="105">
                  <c:v>9.7666535231622174</c:v>
                </c:pt>
                <c:pt idx="106">
                  <c:v>9.8050741106486683</c:v>
                </c:pt>
                <c:pt idx="107">
                  <c:v>10.171766120262683</c:v>
                </c:pt>
                <c:pt idx="108">
                  <c:v>10.226536604389556</c:v>
                </c:pt>
                <c:pt idx="109">
                  <c:v>10.418937986348698</c:v>
                </c:pt>
                <c:pt idx="110">
                  <c:v>10.516901113827654</c:v>
                </c:pt>
                <c:pt idx="111">
                  <c:v>10.663097189927067</c:v>
                </c:pt>
                <c:pt idx="112">
                  <c:v>10.7696244519295</c:v>
                </c:pt>
                <c:pt idx="113">
                  <c:v>10.765794177861908</c:v>
                </c:pt>
                <c:pt idx="114">
                  <c:v>10.707337013571733</c:v>
                </c:pt>
                <c:pt idx="115">
                  <c:v>10.690614949493712</c:v>
                </c:pt>
                <c:pt idx="116">
                  <c:v>10.910935161285011</c:v>
                </c:pt>
                <c:pt idx="117">
                  <c:v>11.044421633562092</c:v>
                </c:pt>
                <c:pt idx="118">
                  <c:v>11.11017109174599</c:v>
                </c:pt>
                <c:pt idx="119">
                  <c:v>11.187011746517951</c:v>
                </c:pt>
                <c:pt idx="120">
                  <c:v>11.198289728773634</c:v>
                </c:pt>
                <c:pt idx="121">
                  <c:v>11.220890763614742</c:v>
                </c:pt>
                <c:pt idx="122">
                  <c:v>11.379605586331419</c:v>
                </c:pt>
                <c:pt idx="123">
                  <c:v>11.485246195131481</c:v>
                </c:pt>
                <c:pt idx="124">
                  <c:v>11.416609245179364</c:v>
                </c:pt>
                <c:pt idx="125">
                  <c:v>11.570212222641846</c:v>
                </c:pt>
                <c:pt idx="126">
                  <c:v>11.707045337580098</c:v>
                </c:pt>
                <c:pt idx="127">
                  <c:v>11.761675711736681</c:v>
                </c:pt>
                <c:pt idx="128">
                  <c:v>11.756937414498436</c:v>
                </c:pt>
                <c:pt idx="129">
                  <c:v>11.866901768948631</c:v>
                </c:pt>
                <c:pt idx="130">
                  <c:v>11.869665884374003</c:v>
                </c:pt>
                <c:pt idx="131">
                  <c:v>11.980143906239768</c:v>
                </c:pt>
                <c:pt idx="132">
                  <c:v>11.981255193912125</c:v>
                </c:pt>
                <c:pt idx="133">
                  <c:v>12.045209527601269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2D-4121-A691-01B71F4CC7E8}"/>
            </c:ext>
          </c:extLst>
        </c:ser>
        <c:ser>
          <c:idx val="7"/>
          <c:order val="7"/>
          <c:tx>
            <c:strRef>
              <c:f>'畫圖(真實)'!$A$19:$B$19</c:f>
              <c:strCache>
                <c:ptCount val="2"/>
                <c:pt idx="0">
                  <c:v>160</c:v>
                </c:pt>
                <c:pt idx="1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'畫圖(真實)'!$C$19:$EF$19</c:f>
              <c:numCache>
                <c:formatCode>General</c:formatCode>
                <c:ptCount val="134"/>
                <c:pt idx="0">
                  <c:v>1</c:v>
                </c:pt>
                <c:pt idx="1">
                  <c:v>1.4075207100894693</c:v>
                </c:pt>
                <c:pt idx="2">
                  <c:v>1.4733349174194872</c:v>
                </c:pt>
                <c:pt idx="3">
                  <c:v>1.2956462556139268</c:v>
                </c:pt>
                <c:pt idx="4">
                  <c:v>1.3917122274711042</c:v>
                </c:pt>
                <c:pt idx="5">
                  <c:v>1.5693225462937561</c:v>
                </c:pt>
                <c:pt idx="6">
                  <c:v>1.7039768791852226</c:v>
                </c:pt>
                <c:pt idx="7">
                  <c:v>1.7394064637054136</c:v>
                </c:pt>
                <c:pt idx="8">
                  <c:v>1.9781958784293303</c:v>
                </c:pt>
                <c:pt idx="9">
                  <c:v>1.947833045373301</c:v>
                </c:pt>
                <c:pt idx="10">
                  <c:v>1.9041428092169939</c:v>
                </c:pt>
                <c:pt idx="11">
                  <c:v>2.436516846905235</c:v>
                </c:pt>
                <c:pt idx="12">
                  <c:v>2.4680787213941509</c:v>
                </c:pt>
                <c:pt idx="13">
                  <c:v>2.5606129075808481</c:v>
                </c:pt>
                <c:pt idx="14">
                  <c:v>2.757775995845368</c:v>
                </c:pt>
                <c:pt idx="15">
                  <c:v>2.667476905214512</c:v>
                </c:pt>
                <c:pt idx="16">
                  <c:v>2.8516370219121199</c:v>
                </c:pt>
                <c:pt idx="17">
                  <c:v>2.9031017391574294</c:v>
                </c:pt>
                <c:pt idx="18">
                  <c:v>3.0388000777893525</c:v>
                </c:pt>
                <c:pt idx="19">
                  <c:v>3.075418765574804</c:v>
                </c:pt>
                <c:pt idx="20">
                  <c:v>3.147834334894303</c:v>
                </c:pt>
                <c:pt idx="21">
                  <c:v>3.2972342082470303</c:v>
                </c:pt>
                <c:pt idx="22">
                  <c:v>3.2716055707188736</c:v>
                </c:pt>
                <c:pt idx="23">
                  <c:v>3.3632246812948972</c:v>
                </c:pt>
                <c:pt idx="24">
                  <c:v>3.4950575807759883</c:v>
                </c:pt>
                <c:pt idx="25">
                  <c:v>3.597311186659931</c:v>
                </c:pt>
                <c:pt idx="26">
                  <c:v>3.611452729368541</c:v>
                </c:pt>
                <c:pt idx="27">
                  <c:v>3.7074461071666089</c:v>
                </c:pt>
                <c:pt idx="28">
                  <c:v>4.0159389650919772</c:v>
                </c:pt>
                <c:pt idx="29">
                  <c:v>4.1847695458000205</c:v>
                </c:pt>
                <c:pt idx="30">
                  <c:v>4.2069057648725687</c:v>
                </c:pt>
                <c:pt idx="31">
                  <c:v>4.1503480496508649</c:v>
                </c:pt>
                <c:pt idx="32">
                  <c:v>4.2418967125755396</c:v>
                </c:pt>
                <c:pt idx="33">
                  <c:v>4.1903514222482769</c:v>
                </c:pt>
                <c:pt idx="34">
                  <c:v>4.1979034647542299</c:v>
                </c:pt>
                <c:pt idx="35">
                  <c:v>4.1967672025728771</c:v>
                </c:pt>
                <c:pt idx="36">
                  <c:v>4.2398732143842821</c:v>
                </c:pt>
                <c:pt idx="37">
                  <c:v>4.3234415087499638</c:v>
                </c:pt>
                <c:pt idx="38">
                  <c:v>4.3793316348790787</c:v>
                </c:pt>
                <c:pt idx="39">
                  <c:v>4.4669057551519309</c:v>
                </c:pt>
                <c:pt idx="40">
                  <c:v>4.411980262778318</c:v>
                </c:pt>
                <c:pt idx="41">
                  <c:v>4.3373633651436592</c:v>
                </c:pt>
                <c:pt idx="42">
                  <c:v>4.2281644890905925</c:v>
                </c:pt>
                <c:pt idx="43">
                  <c:v>4.4127581529006505</c:v>
                </c:pt>
                <c:pt idx="44">
                  <c:v>4.6516023912996651</c:v>
                </c:pt>
                <c:pt idx="45">
                  <c:v>4.6485697816970575</c:v>
                </c:pt>
                <c:pt idx="46">
                  <c:v>4.7852631788259705</c:v>
                </c:pt>
                <c:pt idx="47">
                  <c:v>5.0093869741268264</c:v>
                </c:pt>
                <c:pt idx="48">
                  <c:v>5.0389159445202063</c:v>
                </c:pt>
                <c:pt idx="49">
                  <c:v>5.1229484167938457</c:v>
                </c:pt>
                <c:pt idx="50">
                  <c:v>5.309945194348626</c:v>
                </c:pt>
                <c:pt idx="51">
                  <c:v>5.6741061261418455</c:v>
                </c:pt>
                <c:pt idx="52">
                  <c:v>5.8586779155482729</c:v>
                </c:pt>
                <c:pt idx="53">
                  <c:v>5.8586042085803856</c:v>
                </c:pt>
                <c:pt idx="54">
                  <c:v>5.948084930340757</c:v>
                </c:pt>
                <c:pt idx="55">
                  <c:v>6.0898943653044988</c:v>
                </c:pt>
                <c:pt idx="56">
                  <c:v>6.2432031164742874</c:v>
                </c:pt>
                <c:pt idx="57">
                  <c:v>6.3837000224278606</c:v>
                </c:pt>
                <c:pt idx="58">
                  <c:v>6.5114986512470789</c:v>
                </c:pt>
                <c:pt idx="59">
                  <c:v>6.5633179596757483</c:v>
                </c:pt>
                <c:pt idx="60">
                  <c:v>6.4662795367303625</c:v>
                </c:pt>
                <c:pt idx="61">
                  <c:v>6.529444070477382</c:v>
                </c:pt>
                <c:pt idx="62">
                  <c:v>6.5612303353465276</c:v>
                </c:pt>
                <c:pt idx="63">
                  <c:v>6.47981707514636</c:v>
                </c:pt>
                <c:pt idx="64">
                  <c:v>6.5055460364114754</c:v>
                </c:pt>
                <c:pt idx="65">
                  <c:v>6.4931356951338746</c:v>
                </c:pt>
                <c:pt idx="66">
                  <c:v>6.5030697395881978</c:v>
                </c:pt>
                <c:pt idx="67">
                  <c:v>6.6399089751313429</c:v>
                </c:pt>
                <c:pt idx="68">
                  <c:v>6.636409043191704</c:v>
                </c:pt>
                <c:pt idx="69">
                  <c:v>6.6232153739885664</c:v>
                </c:pt>
                <c:pt idx="70">
                  <c:v>6.7538860088799542</c:v>
                </c:pt>
                <c:pt idx="71">
                  <c:v>6.7842368008458518</c:v>
                </c:pt>
                <c:pt idx="72">
                  <c:v>7.0916898076555857</c:v>
                </c:pt>
                <c:pt idx="73">
                  <c:v>7.0552909180967918</c:v>
                </c:pt>
                <c:pt idx="74">
                  <c:v>6.9754239910278457</c:v>
                </c:pt>
                <c:pt idx="75">
                  <c:v>7.0441261158498998</c:v>
                </c:pt>
                <c:pt idx="76">
                  <c:v>7.0734548710736744</c:v>
                </c:pt>
                <c:pt idx="77">
                  <c:v>7.2012930801745716</c:v>
                </c:pt>
                <c:pt idx="78">
                  <c:v>7.2237993130730889</c:v>
                </c:pt>
                <c:pt idx="79">
                  <c:v>7.4394185111668065</c:v>
                </c:pt>
                <c:pt idx="80">
                  <c:v>7.5278933701044748</c:v>
                </c:pt>
                <c:pt idx="81">
                  <c:v>7.6077977673105242</c:v>
                </c:pt>
                <c:pt idx="82">
                  <c:v>7.6649153921774813</c:v>
                </c:pt>
                <c:pt idx="83">
                  <c:v>7.8178052592274074</c:v>
                </c:pt>
                <c:pt idx="84">
                  <c:v>7.8548722053876023</c:v>
                </c:pt>
                <c:pt idx="85">
                  <c:v>7.8430602826256077</c:v>
                </c:pt>
                <c:pt idx="86">
                  <c:v>7.9618575455829426</c:v>
                </c:pt>
                <c:pt idx="87">
                  <c:v>7.9186172656081526</c:v>
                </c:pt>
                <c:pt idx="88">
                  <c:v>8.0288531443455202</c:v>
                </c:pt>
                <c:pt idx="89">
                  <c:v>8.1720463548150537</c:v>
                </c:pt>
                <c:pt idx="90">
                  <c:v>8.4232819860353683</c:v>
                </c:pt>
                <c:pt idx="91">
                  <c:v>8.5823145850177003</c:v>
                </c:pt>
                <c:pt idx="92">
                  <c:v>8.6147091925341197</c:v>
                </c:pt>
                <c:pt idx="93">
                  <c:v>8.7910159167803119</c:v>
                </c:pt>
                <c:pt idx="94">
                  <c:v>8.8452663663286462</c:v>
                </c:pt>
                <c:pt idx="95">
                  <c:v>8.8716875676169042</c:v>
                </c:pt>
                <c:pt idx="96">
                  <c:v>9.018295110877844</c:v>
                </c:pt>
                <c:pt idx="97">
                  <c:v>9.1128481188492234</c:v>
                </c:pt>
                <c:pt idx="98">
                  <c:v>9.1733639974222605</c:v>
                </c:pt>
                <c:pt idx="99">
                  <c:v>9.2309987237904458</c:v>
                </c:pt>
                <c:pt idx="100">
                  <c:v>9.304150061098408</c:v>
                </c:pt>
                <c:pt idx="101">
                  <c:v>9.417001889739872</c:v>
                </c:pt>
                <c:pt idx="102">
                  <c:v>9.4921843668435528</c:v>
                </c:pt>
                <c:pt idx="103">
                  <c:v>9.6401462136131695</c:v>
                </c:pt>
                <c:pt idx="104">
                  <c:v>9.6049668137110746</c:v>
                </c:pt>
                <c:pt idx="105">
                  <c:v>9.6111679389659042</c:v>
                </c:pt>
                <c:pt idx="106">
                  <c:v>9.6441863536216967</c:v>
                </c:pt>
                <c:pt idx="107">
                  <c:v>9.8496880992159923</c:v>
                </c:pt>
                <c:pt idx="108">
                  <c:v>9.9160623642104291</c:v>
                </c:pt>
                <c:pt idx="109">
                  <c:v>10.140652144929916</c:v>
                </c:pt>
                <c:pt idx="110">
                  <c:v>10.249113583764677</c:v>
                </c:pt>
                <c:pt idx="111">
                  <c:v>10.414364052723748</c:v>
                </c:pt>
                <c:pt idx="112">
                  <c:v>10.535806362234199</c:v>
                </c:pt>
                <c:pt idx="113">
                  <c:v>10.523823576325226</c:v>
                </c:pt>
                <c:pt idx="114">
                  <c:v>10.466523145086896</c:v>
                </c:pt>
                <c:pt idx="115">
                  <c:v>10.468998268184535</c:v>
                </c:pt>
                <c:pt idx="116">
                  <c:v>10.71826021989428</c:v>
                </c:pt>
                <c:pt idx="117">
                  <c:v>10.888528350574241</c:v>
                </c:pt>
                <c:pt idx="118">
                  <c:v>10.968902522412316</c:v>
                </c:pt>
                <c:pt idx="119">
                  <c:v>11.044864875737364</c:v>
                </c:pt>
                <c:pt idx="120">
                  <c:v>11.039187562218373</c:v>
                </c:pt>
                <c:pt idx="121">
                  <c:v>11.044220808738478</c:v>
                </c:pt>
                <c:pt idx="122">
                  <c:v>11.194802730694791</c:v>
                </c:pt>
                <c:pt idx="123">
                  <c:v>11.306327437135396</c:v>
                </c:pt>
                <c:pt idx="124">
                  <c:v>11.20503146818673</c:v>
                </c:pt>
                <c:pt idx="125">
                  <c:v>11.343396602424908</c:v>
                </c:pt>
                <c:pt idx="126">
                  <c:v>11.482645281110507</c:v>
                </c:pt>
                <c:pt idx="127">
                  <c:v>11.561183228733039</c:v>
                </c:pt>
                <c:pt idx="128">
                  <c:v>11.594102955928054</c:v>
                </c:pt>
                <c:pt idx="129">
                  <c:v>11.702856465566306</c:v>
                </c:pt>
                <c:pt idx="130">
                  <c:v>11.690666422342604</c:v>
                </c:pt>
                <c:pt idx="131">
                  <c:v>11.841601739332761</c:v>
                </c:pt>
                <c:pt idx="132">
                  <c:v>11.834295212655633</c:v>
                </c:pt>
                <c:pt idx="133">
                  <c:v>11.908318132053138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2D-4121-A691-01B71F4CC7E8}"/>
            </c:ext>
          </c:extLst>
        </c:ser>
        <c:ser>
          <c:idx val="8"/>
          <c:order val="8"/>
          <c:tx>
            <c:strRef>
              <c:f>'畫圖(真實)'!$A$20:$B$20</c:f>
              <c:strCache>
                <c:ptCount val="2"/>
                <c:pt idx="0">
                  <c:v>192</c:v>
                </c:pt>
                <c:pt idx="1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'畫圖(真實)'!$C$20:$EF$20</c:f>
              <c:numCache>
                <c:formatCode>General</c:formatCode>
                <c:ptCount val="134"/>
                <c:pt idx="0">
                  <c:v>1</c:v>
                </c:pt>
                <c:pt idx="1">
                  <c:v>1.3820250200473498</c:v>
                </c:pt>
                <c:pt idx="2">
                  <c:v>1.4393613703741304</c:v>
                </c:pt>
                <c:pt idx="3">
                  <c:v>1.2338301060409562</c:v>
                </c:pt>
                <c:pt idx="4">
                  <c:v>1.3510132473298953</c:v>
                </c:pt>
                <c:pt idx="5">
                  <c:v>1.4949455295855707</c:v>
                </c:pt>
                <c:pt idx="6">
                  <c:v>1.6530950921866725</c:v>
                </c:pt>
                <c:pt idx="7">
                  <c:v>1.6875663509135288</c:v>
                </c:pt>
                <c:pt idx="8">
                  <c:v>1.9022908546746107</c:v>
                </c:pt>
                <c:pt idx="9">
                  <c:v>1.8715953716735152</c:v>
                </c:pt>
                <c:pt idx="10">
                  <c:v>1.7938771433822418</c:v>
                </c:pt>
                <c:pt idx="11">
                  <c:v>2.2938886213917158</c:v>
                </c:pt>
                <c:pt idx="12">
                  <c:v>2.3437535074609901</c:v>
                </c:pt>
                <c:pt idx="13">
                  <c:v>2.4349234351295155</c:v>
                </c:pt>
                <c:pt idx="14">
                  <c:v>2.6516491741324941</c:v>
                </c:pt>
                <c:pt idx="15">
                  <c:v>2.5423961184950254</c:v>
                </c:pt>
                <c:pt idx="16">
                  <c:v>2.6975787368227682</c:v>
                </c:pt>
                <c:pt idx="17">
                  <c:v>2.7830441925605838</c:v>
                </c:pt>
                <c:pt idx="18">
                  <c:v>2.9316938726783586</c:v>
                </c:pt>
                <c:pt idx="19">
                  <c:v>2.9443379757955475</c:v>
                </c:pt>
                <c:pt idx="20">
                  <c:v>3.0354228452280925</c:v>
                </c:pt>
                <c:pt idx="21">
                  <c:v>3.2458092581508775</c:v>
                </c:pt>
                <c:pt idx="22">
                  <c:v>3.2037417686122804</c:v>
                </c:pt>
                <c:pt idx="23">
                  <c:v>3.3093587290959396</c:v>
                </c:pt>
                <c:pt idx="24">
                  <c:v>3.4398420975765855</c:v>
                </c:pt>
                <c:pt idx="25">
                  <c:v>3.5246019383027587</c:v>
                </c:pt>
                <c:pt idx="26">
                  <c:v>3.5718502010307263</c:v>
                </c:pt>
                <c:pt idx="27">
                  <c:v>3.7016936197443906</c:v>
                </c:pt>
                <c:pt idx="28">
                  <c:v>3.8629148268995017</c:v>
                </c:pt>
                <c:pt idx="29">
                  <c:v>4.0864126465358748</c:v>
                </c:pt>
                <c:pt idx="30">
                  <c:v>4.1140718650757666</c:v>
                </c:pt>
                <c:pt idx="31">
                  <c:v>4.0238936643609842</c:v>
                </c:pt>
                <c:pt idx="32">
                  <c:v>4.1402304194163078</c:v>
                </c:pt>
                <c:pt idx="33">
                  <c:v>4.0782403848687601</c:v>
                </c:pt>
                <c:pt idx="34">
                  <c:v>4.0646452693727575</c:v>
                </c:pt>
                <c:pt idx="35">
                  <c:v>4.0590286430110165</c:v>
                </c:pt>
                <c:pt idx="36">
                  <c:v>4.092124623759819</c:v>
                </c:pt>
                <c:pt idx="37">
                  <c:v>4.1675948172788173</c:v>
                </c:pt>
                <c:pt idx="38">
                  <c:v>4.2167031119182168</c:v>
                </c:pt>
                <c:pt idx="39">
                  <c:v>4.3484335731736046</c:v>
                </c:pt>
                <c:pt idx="40">
                  <c:v>4.4213343193138259</c:v>
                </c:pt>
                <c:pt idx="41">
                  <c:v>4.4080450462239922</c:v>
                </c:pt>
                <c:pt idx="42">
                  <c:v>4.365753329775016</c:v>
                </c:pt>
                <c:pt idx="43">
                  <c:v>4.6048770772200864</c:v>
                </c:pt>
                <c:pt idx="44">
                  <c:v>4.886574949803288</c:v>
                </c:pt>
                <c:pt idx="45">
                  <c:v>4.8543283370165247</c:v>
                </c:pt>
                <c:pt idx="46">
                  <c:v>5.0793261777948695</c:v>
                </c:pt>
                <c:pt idx="47">
                  <c:v>5.2836653977554162</c:v>
                </c:pt>
                <c:pt idx="48">
                  <c:v>5.3223400961983254</c:v>
                </c:pt>
                <c:pt idx="49">
                  <c:v>5.4221443994706489</c:v>
                </c:pt>
                <c:pt idx="50">
                  <c:v>5.5734821249765618</c:v>
                </c:pt>
                <c:pt idx="51">
                  <c:v>5.9519289102859059</c:v>
                </c:pt>
                <c:pt idx="52">
                  <c:v>6.1920695852763199</c:v>
                </c:pt>
                <c:pt idx="53">
                  <c:v>6.2004297586428399</c:v>
                </c:pt>
                <c:pt idx="54">
                  <c:v>6.2987081333771959</c:v>
                </c:pt>
                <c:pt idx="55">
                  <c:v>6.4366793964461708</c:v>
                </c:pt>
                <c:pt idx="56">
                  <c:v>6.5307414520545111</c:v>
                </c:pt>
                <c:pt idx="57">
                  <c:v>6.6807987526179655</c:v>
                </c:pt>
                <c:pt idx="58">
                  <c:v>6.8125440197031404</c:v>
                </c:pt>
                <c:pt idx="59">
                  <c:v>6.8676999403219972</c:v>
                </c:pt>
                <c:pt idx="60">
                  <c:v>6.7500495679169754</c:v>
                </c:pt>
                <c:pt idx="61">
                  <c:v>6.8199090098541957</c:v>
                </c:pt>
                <c:pt idx="62">
                  <c:v>6.8673775613183849</c:v>
                </c:pt>
                <c:pt idx="63">
                  <c:v>6.886015588571551</c:v>
                </c:pt>
                <c:pt idx="64">
                  <c:v>6.8475538710555721</c:v>
                </c:pt>
                <c:pt idx="65">
                  <c:v>6.8548361185618969</c:v>
                </c:pt>
                <c:pt idx="66">
                  <c:v>6.8702878255227402</c:v>
                </c:pt>
                <c:pt idx="67">
                  <c:v>7.0514149069944017</c:v>
                </c:pt>
                <c:pt idx="68">
                  <c:v>7.0188787092695453</c:v>
                </c:pt>
                <c:pt idx="69">
                  <c:v>6.9664110859876391</c:v>
                </c:pt>
                <c:pt idx="70">
                  <c:v>7.1158520900329609</c:v>
                </c:pt>
                <c:pt idx="71">
                  <c:v>7.0343086482723622</c:v>
                </c:pt>
                <c:pt idx="72">
                  <c:v>7.3861381983207668</c:v>
                </c:pt>
                <c:pt idx="73">
                  <c:v>7.3332767765902416</c:v>
                </c:pt>
                <c:pt idx="74">
                  <c:v>7.3286374174405733</c:v>
                </c:pt>
                <c:pt idx="75">
                  <c:v>7.4189088217008567</c:v>
                </c:pt>
                <c:pt idx="76">
                  <c:v>7.4590115497526099</c:v>
                </c:pt>
                <c:pt idx="77">
                  <c:v>7.5855065955226291</c:v>
                </c:pt>
                <c:pt idx="78">
                  <c:v>7.5984217430007099</c:v>
                </c:pt>
                <c:pt idx="79">
                  <c:v>7.7794492404913074</c:v>
                </c:pt>
                <c:pt idx="80">
                  <c:v>7.8652274130937476</c:v>
                </c:pt>
                <c:pt idx="81">
                  <c:v>7.9461853502924242</c:v>
                </c:pt>
                <c:pt idx="82">
                  <c:v>8.0221555910355331</c:v>
                </c:pt>
                <c:pt idx="83">
                  <c:v>8.0940196166326714</c:v>
                </c:pt>
                <c:pt idx="84">
                  <c:v>8.124414290401754</c:v>
                </c:pt>
                <c:pt idx="85">
                  <c:v>8.0829043056178254</c:v>
                </c:pt>
                <c:pt idx="86">
                  <c:v>8.163493929558447</c:v>
                </c:pt>
                <c:pt idx="87">
                  <c:v>8.0713089953693178</c:v>
                </c:pt>
                <c:pt idx="88">
                  <c:v>8.168084801218555</c:v>
                </c:pt>
                <c:pt idx="89">
                  <c:v>8.3729766348596577</c:v>
                </c:pt>
                <c:pt idx="90">
                  <c:v>8.6695499399646874</c:v>
                </c:pt>
                <c:pt idx="91">
                  <c:v>8.8615811450737141</c:v>
                </c:pt>
                <c:pt idx="92">
                  <c:v>8.8846991903739969</c:v>
                </c:pt>
                <c:pt idx="93">
                  <c:v>9.0801853008589397</c:v>
                </c:pt>
                <c:pt idx="94">
                  <c:v>9.1773223995932618</c:v>
                </c:pt>
                <c:pt idx="95">
                  <c:v>9.2057368069898491</c:v>
                </c:pt>
                <c:pt idx="96">
                  <c:v>9.3524648160614756</c:v>
                </c:pt>
                <c:pt idx="97">
                  <c:v>9.47167894427416</c:v>
                </c:pt>
                <c:pt idx="98">
                  <c:v>9.5395826524490062</c:v>
                </c:pt>
                <c:pt idx="99">
                  <c:v>9.6298812033167707</c:v>
                </c:pt>
                <c:pt idx="100">
                  <c:v>9.7386140417188418</c:v>
                </c:pt>
                <c:pt idx="101">
                  <c:v>9.8937756868680395</c:v>
                </c:pt>
                <c:pt idx="102">
                  <c:v>9.9708573835215883</c:v>
                </c:pt>
                <c:pt idx="103">
                  <c:v>10.047825453292372</c:v>
                </c:pt>
                <c:pt idx="104">
                  <c:v>9.9982123840568171</c:v>
                </c:pt>
                <c:pt idx="105">
                  <c:v>10.001809568813767</c:v>
                </c:pt>
                <c:pt idx="106">
                  <c:v>10.012228290420619</c:v>
                </c:pt>
                <c:pt idx="107">
                  <c:v>10.257802495698204</c:v>
                </c:pt>
                <c:pt idx="108">
                  <c:v>10.310147308998022</c:v>
                </c:pt>
                <c:pt idx="109">
                  <c:v>10.588446162166965</c:v>
                </c:pt>
                <c:pt idx="110">
                  <c:v>10.72604192147964</c:v>
                </c:pt>
                <c:pt idx="111">
                  <c:v>10.862600013912337</c:v>
                </c:pt>
                <c:pt idx="112">
                  <c:v>10.947787553932841</c:v>
                </c:pt>
                <c:pt idx="113">
                  <c:v>10.928322180599221</c:v>
                </c:pt>
                <c:pt idx="114">
                  <c:v>10.858986073924104</c:v>
                </c:pt>
                <c:pt idx="115">
                  <c:v>10.917005280578303</c:v>
                </c:pt>
                <c:pt idx="116">
                  <c:v>11.175006644037314</c:v>
                </c:pt>
                <c:pt idx="117">
                  <c:v>11.375162078791703</c:v>
                </c:pt>
                <c:pt idx="118">
                  <c:v>11.432622260416403</c:v>
                </c:pt>
                <c:pt idx="119">
                  <c:v>11.511134920444693</c:v>
                </c:pt>
                <c:pt idx="120">
                  <c:v>11.503644224690934</c:v>
                </c:pt>
                <c:pt idx="121">
                  <c:v>11.473958885892092</c:v>
                </c:pt>
                <c:pt idx="122">
                  <c:v>11.650334054822489</c:v>
                </c:pt>
                <c:pt idx="123">
                  <c:v>11.779679526661347</c:v>
                </c:pt>
                <c:pt idx="124">
                  <c:v>11.676133358521541</c:v>
                </c:pt>
                <c:pt idx="125">
                  <c:v>11.829999688127856</c:v>
                </c:pt>
                <c:pt idx="126">
                  <c:v>11.951591145903258</c:v>
                </c:pt>
                <c:pt idx="127">
                  <c:v>12.041790792062233</c:v>
                </c:pt>
                <c:pt idx="128">
                  <c:v>12.035865192788899</c:v>
                </c:pt>
                <c:pt idx="129">
                  <c:v>12.118272335233318</c:v>
                </c:pt>
                <c:pt idx="130">
                  <c:v>12.15232191664726</c:v>
                </c:pt>
                <c:pt idx="131">
                  <c:v>12.32924077771427</c:v>
                </c:pt>
                <c:pt idx="132">
                  <c:v>12.327499797962416</c:v>
                </c:pt>
                <c:pt idx="133">
                  <c:v>12.413302858804665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2D-4121-A691-01B71F4CC7E8}"/>
            </c:ext>
          </c:extLst>
        </c:ser>
        <c:ser>
          <c:idx val="9"/>
          <c:order val="9"/>
          <c:tx>
            <c:strRef>
              <c:f>'畫圖(真實)'!$A$21:$B$21</c:f>
              <c:strCache>
                <c:ptCount val="2"/>
                <c:pt idx="0">
                  <c:v>241</c:v>
                </c:pt>
                <c:pt idx="1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'畫圖(真實)'!$C$21:$EF$21</c:f>
              <c:numCache>
                <c:formatCode>General</c:formatCode>
                <c:ptCount val="134"/>
                <c:pt idx="0">
                  <c:v>1</c:v>
                </c:pt>
                <c:pt idx="1">
                  <c:v>1.1263879167668236</c:v>
                </c:pt>
                <c:pt idx="2">
                  <c:v>1.112697746481033</c:v>
                </c:pt>
                <c:pt idx="3">
                  <c:v>0.92865916487490308</c:v>
                </c:pt>
                <c:pt idx="4">
                  <c:v>1.0725013159874677</c:v>
                </c:pt>
                <c:pt idx="5">
                  <c:v>1.2346654037813056</c:v>
                </c:pt>
                <c:pt idx="6">
                  <c:v>1.3819210119087786</c:v>
                </c:pt>
                <c:pt idx="7">
                  <c:v>1.4423563376004209</c:v>
                </c:pt>
                <c:pt idx="8">
                  <c:v>1.6492363636038165</c:v>
                </c:pt>
                <c:pt idx="9">
                  <c:v>1.6542655169098772</c:v>
                </c:pt>
                <c:pt idx="10">
                  <c:v>1.5545809235016659</c:v>
                </c:pt>
                <c:pt idx="11">
                  <c:v>2.139472188122391</c:v>
                </c:pt>
                <c:pt idx="12">
                  <c:v>2.1738241775830818</c:v>
                </c:pt>
                <c:pt idx="13">
                  <c:v>2.3185967784727666</c:v>
                </c:pt>
                <c:pt idx="14">
                  <c:v>2.575906852567019</c:v>
                </c:pt>
                <c:pt idx="15">
                  <c:v>2.4803315414603886</c:v>
                </c:pt>
                <c:pt idx="16">
                  <c:v>2.6089218269103456</c:v>
                </c:pt>
                <c:pt idx="17">
                  <c:v>2.7073834996671429</c:v>
                </c:pt>
                <c:pt idx="18">
                  <c:v>2.793661917278901</c:v>
                </c:pt>
                <c:pt idx="19">
                  <c:v>2.8472195366449324</c:v>
                </c:pt>
                <c:pt idx="20">
                  <c:v>2.9717181554734404</c:v>
                </c:pt>
                <c:pt idx="21">
                  <c:v>3.1853490976785568</c:v>
                </c:pt>
                <c:pt idx="22">
                  <c:v>3.164516014786122</c:v>
                </c:pt>
                <c:pt idx="23">
                  <c:v>3.2787200020088463</c:v>
                </c:pt>
                <c:pt idx="24">
                  <c:v>3.389355909011325</c:v>
                </c:pt>
                <c:pt idx="25">
                  <c:v>3.5191954914083947</c:v>
                </c:pt>
                <c:pt idx="26">
                  <c:v>3.5380232281151947</c:v>
                </c:pt>
                <c:pt idx="27">
                  <c:v>3.6668478937627524</c:v>
                </c:pt>
                <c:pt idx="28">
                  <c:v>3.7949528725589983</c:v>
                </c:pt>
                <c:pt idx="29">
                  <c:v>4.0900971306423619</c:v>
                </c:pt>
                <c:pt idx="30">
                  <c:v>4.1343999084321563</c:v>
                </c:pt>
                <c:pt idx="31">
                  <c:v>4.026818545867358</c:v>
                </c:pt>
                <c:pt idx="32">
                  <c:v>4.1289422213788418</c:v>
                </c:pt>
                <c:pt idx="33">
                  <c:v>4.0585368794323733</c:v>
                </c:pt>
                <c:pt idx="34">
                  <c:v>4.0227337118142632</c:v>
                </c:pt>
                <c:pt idx="35">
                  <c:v>4.0425145253741146</c:v>
                </c:pt>
                <c:pt idx="36">
                  <c:v>4.1110503328217449</c:v>
                </c:pt>
                <c:pt idx="37">
                  <c:v>4.2230063888848388</c:v>
                </c:pt>
                <c:pt idx="38">
                  <c:v>4.3085741637987258</c:v>
                </c:pt>
                <c:pt idx="39">
                  <c:v>4.381109307368745</c:v>
                </c:pt>
                <c:pt idx="40">
                  <c:v>4.5143357675777143</c:v>
                </c:pt>
                <c:pt idx="41">
                  <c:v>4.5623239089810248</c:v>
                </c:pt>
                <c:pt idx="42">
                  <c:v>4.5169172269210165</c:v>
                </c:pt>
                <c:pt idx="43">
                  <c:v>4.7817554844690138</c:v>
                </c:pt>
                <c:pt idx="44">
                  <c:v>5.1282367484324407</c:v>
                </c:pt>
                <c:pt idx="45">
                  <c:v>5.0595228357359607</c:v>
                </c:pt>
                <c:pt idx="46">
                  <c:v>5.3227777521097757</c:v>
                </c:pt>
                <c:pt idx="47">
                  <c:v>5.5404960546268134</c:v>
                </c:pt>
                <c:pt idx="48">
                  <c:v>5.5875173456048515</c:v>
                </c:pt>
                <c:pt idx="49">
                  <c:v>5.6960197040194576</c:v>
                </c:pt>
                <c:pt idx="50">
                  <c:v>5.8356123861807845</c:v>
                </c:pt>
                <c:pt idx="51">
                  <c:v>6.2400438143139336</c:v>
                </c:pt>
                <c:pt idx="52">
                  <c:v>6.40450434624276</c:v>
                </c:pt>
                <c:pt idx="53">
                  <c:v>6.4427234935106741</c:v>
                </c:pt>
                <c:pt idx="54">
                  <c:v>6.5794688494186389</c:v>
                </c:pt>
                <c:pt idx="55">
                  <c:v>6.7785860658492423</c:v>
                </c:pt>
                <c:pt idx="56">
                  <c:v>6.8708716373564958</c:v>
                </c:pt>
                <c:pt idx="57">
                  <c:v>6.9777137469939259</c:v>
                </c:pt>
                <c:pt idx="58">
                  <c:v>7.1436833431723175</c:v>
                </c:pt>
                <c:pt idx="59">
                  <c:v>7.1660774055364271</c:v>
                </c:pt>
                <c:pt idx="60">
                  <c:v>7.0933542907877127</c:v>
                </c:pt>
                <c:pt idx="61">
                  <c:v>7.1806950812554113</c:v>
                </c:pt>
                <c:pt idx="62">
                  <c:v>7.2214903672841322</c:v>
                </c:pt>
                <c:pt idx="63">
                  <c:v>7.2472811337325789</c:v>
                </c:pt>
                <c:pt idx="64">
                  <c:v>7.1834238973188986</c:v>
                </c:pt>
                <c:pt idx="65">
                  <c:v>7.1792430949873056</c:v>
                </c:pt>
                <c:pt idx="66">
                  <c:v>7.2337853258218106</c:v>
                </c:pt>
                <c:pt idx="67">
                  <c:v>7.375846781731906</c:v>
                </c:pt>
                <c:pt idx="68">
                  <c:v>7.3101049607715582</c:v>
                </c:pt>
                <c:pt idx="69">
                  <c:v>7.2492842182290333</c:v>
                </c:pt>
                <c:pt idx="70">
                  <c:v>7.4200227287794513</c:v>
                </c:pt>
                <c:pt idx="71">
                  <c:v>7.3756827487381775</c:v>
                </c:pt>
                <c:pt idx="72">
                  <c:v>7.560143419458587</c:v>
                </c:pt>
                <c:pt idx="73">
                  <c:v>7.48297841693799</c:v>
                </c:pt>
                <c:pt idx="74">
                  <c:v>7.427312124695753</c:v>
                </c:pt>
                <c:pt idx="75">
                  <c:v>7.4749750534164683</c:v>
                </c:pt>
                <c:pt idx="76">
                  <c:v>7.5354926567188665</c:v>
                </c:pt>
                <c:pt idx="77">
                  <c:v>7.7433625046204542</c:v>
                </c:pt>
                <c:pt idx="78">
                  <c:v>7.7353435503494881</c:v>
                </c:pt>
                <c:pt idx="79">
                  <c:v>8.0233996147119608</c:v>
                </c:pt>
                <c:pt idx="80">
                  <c:v>8.0849144970661158</c:v>
                </c:pt>
                <c:pt idx="81">
                  <c:v>8.2161801738671887</c:v>
                </c:pt>
                <c:pt idx="82">
                  <c:v>8.3012655093413201</c:v>
                </c:pt>
                <c:pt idx="83">
                  <c:v>8.3813658304175327</c:v>
                </c:pt>
                <c:pt idx="84">
                  <c:v>8.461865446808515</c:v>
                </c:pt>
                <c:pt idx="85">
                  <c:v>8.406724598247358</c:v>
                </c:pt>
                <c:pt idx="86">
                  <c:v>8.4738842285442129</c:v>
                </c:pt>
                <c:pt idx="87">
                  <c:v>8.3399938039212476</c:v>
                </c:pt>
                <c:pt idx="88">
                  <c:v>8.4562256231018065</c:v>
                </c:pt>
                <c:pt idx="89">
                  <c:v>8.5370771319312393</c:v>
                </c:pt>
                <c:pt idx="90">
                  <c:v>8.8725608901261186</c:v>
                </c:pt>
                <c:pt idx="91">
                  <c:v>9.0952609510040308</c:v>
                </c:pt>
                <c:pt idx="92">
                  <c:v>9.1181731451735271</c:v>
                </c:pt>
                <c:pt idx="93">
                  <c:v>9.3572331115347946</c:v>
                </c:pt>
                <c:pt idx="94">
                  <c:v>9.4185021477541255</c:v>
                </c:pt>
                <c:pt idx="95">
                  <c:v>9.4664952518271299</c:v>
                </c:pt>
                <c:pt idx="96">
                  <c:v>9.6254118741445804</c:v>
                </c:pt>
                <c:pt idx="97">
                  <c:v>9.7797437189191534</c:v>
                </c:pt>
                <c:pt idx="98">
                  <c:v>9.8180892357908363</c:v>
                </c:pt>
                <c:pt idx="99">
                  <c:v>9.9202114114482427</c:v>
                </c:pt>
                <c:pt idx="100">
                  <c:v>10.022716572529806</c:v>
                </c:pt>
                <c:pt idx="101">
                  <c:v>10.260167943355636</c:v>
                </c:pt>
                <c:pt idx="102">
                  <c:v>10.301877007419563</c:v>
                </c:pt>
                <c:pt idx="103">
                  <c:v>10.373338221193562</c:v>
                </c:pt>
                <c:pt idx="104">
                  <c:v>10.328290661970271</c:v>
                </c:pt>
                <c:pt idx="105">
                  <c:v>10.331109456361343</c:v>
                </c:pt>
                <c:pt idx="106">
                  <c:v>10.36008719342167</c:v>
                </c:pt>
                <c:pt idx="107">
                  <c:v>10.661237405103714</c:v>
                </c:pt>
                <c:pt idx="108">
                  <c:v>10.720646923948628</c:v>
                </c:pt>
                <c:pt idx="109">
                  <c:v>10.802083112228656</c:v>
                </c:pt>
                <c:pt idx="110">
                  <c:v>10.98192293739606</c:v>
                </c:pt>
                <c:pt idx="111">
                  <c:v>11.138528655859702</c:v>
                </c:pt>
                <c:pt idx="112">
                  <c:v>11.229424246766648</c:v>
                </c:pt>
                <c:pt idx="113">
                  <c:v>11.216687255265635</c:v>
                </c:pt>
                <c:pt idx="114">
                  <c:v>11.19169845282349</c:v>
                </c:pt>
                <c:pt idx="115">
                  <c:v>11.262896065317483</c:v>
                </c:pt>
                <c:pt idx="116">
                  <c:v>11.594522870196128</c:v>
                </c:pt>
                <c:pt idx="117">
                  <c:v>11.823542759876362</c:v>
                </c:pt>
                <c:pt idx="118">
                  <c:v>11.893965458684546</c:v>
                </c:pt>
                <c:pt idx="119">
                  <c:v>11.944136317721627</c:v>
                </c:pt>
                <c:pt idx="120">
                  <c:v>11.942464223042306</c:v>
                </c:pt>
                <c:pt idx="121">
                  <c:v>11.937249032695627</c:v>
                </c:pt>
                <c:pt idx="122">
                  <c:v>12.08586374933404</c:v>
                </c:pt>
                <c:pt idx="123">
                  <c:v>12.226139726203918</c:v>
                </c:pt>
                <c:pt idx="124">
                  <c:v>12.122605233607615</c:v>
                </c:pt>
                <c:pt idx="125">
                  <c:v>12.308571447638798</c:v>
                </c:pt>
                <c:pt idx="126">
                  <c:v>12.47530241872739</c:v>
                </c:pt>
                <c:pt idx="127">
                  <c:v>12.574232992387294</c:v>
                </c:pt>
                <c:pt idx="128">
                  <c:v>12.539166535202058</c:v>
                </c:pt>
                <c:pt idx="129">
                  <c:v>12.565468729200592</c:v>
                </c:pt>
                <c:pt idx="130">
                  <c:v>12.579505784298634</c:v>
                </c:pt>
                <c:pt idx="131">
                  <c:v>12.634004640646815</c:v>
                </c:pt>
                <c:pt idx="132">
                  <c:v>12.655315232954683</c:v>
                </c:pt>
                <c:pt idx="133">
                  <c:v>12.684112459374354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B2D-4121-A691-01B71F4CC7E8}"/>
            </c:ext>
          </c:extLst>
        </c:ser>
        <c:ser>
          <c:idx val="10"/>
          <c:order val="10"/>
          <c:tx>
            <c:strRef>
              <c:f>'畫圖(真實)'!$A$22:$B$22</c:f>
              <c:strCache>
                <c:ptCount val="2"/>
                <c:pt idx="0">
                  <c:v>321</c:v>
                </c:pt>
                <c:pt idx="1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'畫圖(真實)'!$C$22:$EF$22</c:f>
              <c:numCache>
                <c:formatCode>General</c:formatCode>
                <c:ptCount val="134"/>
                <c:pt idx="0">
                  <c:v>1</c:v>
                </c:pt>
                <c:pt idx="1">
                  <c:v>1.1424278520773985</c:v>
                </c:pt>
                <c:pt idx="2">
                  <c:v>1.1250727531609395</c:v>
                </c:pt>
                <c:pt idx="3">
                  <c:v>1.0572416922396619</c:v>
                </c:pt>
                <c:pt idx="4">
                  <c:v>1.161126055529996</c:v>
                </c:pt>
                <c:pt idx="5">
                  <c:v>1.2853041184906424</c:v>
                </c:pt>
                <c:pt idx="6">
                  <c:v>1.4087972878287123</c:v>
                </c:pt>
                <c:pt idx="7">
                  <c:v>1.4613958770940552</c:v>
                </c:pt>
                <c:pt idx="8">
                  <c:v>1.7067617897768108</c:v>
                </c:pt>
                <c:pt idx="9">
                  <c:v>1.6924885810918286</c:v>
                </c:pt>
                <c:pt idx="10">
                  <c:v>1.6183885223212562</c:v>
                </c:pt>
                <c:pt idx="11">
                  <c:v>2.374531965438595</c:v>
                </c:pt>
                <c:pt idx="12">
                  <c:v>2.3678160871272276</c:v>
                </c:pt>
                <c:pt idx="13">
                  <c:v>2.4405989712560445</c:v>
                </c:pt>
                <c:pt idx="14">
                  <c:v>2.7173758650890965</c:v>
                </c:pt>
                <c:pt idx="15">
                  <c:v>2.6807474308175085</c:v>
                </c:pt>
                <c:pt idx="16">
                  <c:v>2.8503939863754493</c:v>
                </c:pt>
                <c:pt idx="17">
                  <c:v>2.9792064083585723</c:v>
                </c:pt>
                <c:pt idx="18">
                  <c:v>3.0897964317610764</c:v>
                </c:pt>
                <c:pt idx="19">
                  <c:v>3.1280832082809318</c:v>
                </c:pt>
                <c:pt idx="20">
                  <c:v>3.2861309614448824</c:v>
                </c:pt>
                <c:pt idx="21">
                  <c:v>3.5079177204787526</c:v>
                </c:pt>
                <c:pt idx="22">
                  <c:v>3.4921855120652316</c:v>
                </c:pt>
                <c:pt idx="23">
                  <c:v>3.5677337812110776</c:v>
                </c:pt>
                <c:pt idx="24">
                  <c:v>3.6502582067891907</c:v>
                </c:pt>
                <c:pt idx="25">
                  <c:v>3.7846944195025163</c:v>
                </c:pt>
                <c:pt idx="26">
                  <c:v>3.8704708802179488</c:v>
                </c:pt>
                <c:pt idx="27">
                  <c:v>3.8840436689903099</c:v>
                </c:pt>
                <c:pt idx="28">
                  <c:v>4.0148675118066439</c:v>
                </c:pt>
                <c:pt idx="29">
                  <c:v>4.4447842798552557</c:v>
                </c:pt>
                <c:pt idx="30">
                  <c:v>4.49762582003099</c:v>
                </c:pt>
                <c:pt idx="31">
                  <c:v>4.3917598606105175</c:v>
                </c:pt>
                <c:pt idx="32">
                  <c:v>4.5027635718374661</c:v>
                </c:pt>
                <c:pt idx="33">
                  <c:v>4.4710637225110581</c:v>
                </c:pt>
                <c:pt idx="34">
                  <c:v>4.5723522832514538</c:v>
                </c:pt>
                <c:pt idx="35">
                  <c:v>4.5629125447777437</c:v>
                </c:pt>
                <c:pt idx="36">
                  <c:v>4.6470014482454474</c:v>
                </c:pt>
                <c:pt idx="37">
                  <c:v>4.7581342579090062</c:v>
                </c:pt>
                <c:pt idx="38">
                  <c:v>4.9162871332027329</c:v>
                </c:pt>
                <c:pt idx="39">
                  <c:v>4.9788234870907253</c:v>
                </c:pt>
                <c:pt idx="40">
                  <c:v>5.0889551993820037</c:v>
                </c:pt>
                <c:pt idx="41">
                  <c:v>5.1568796870856071</c:v>
                </c:pt>
                <c:pt idx="42">
                  <c:v>5.2307233897714402</c:v>
                </c:pt>
                <c:pt idx="43">
                  <c:v>5.2484517607658772</c:v>
                </c:pt>
                <c:pt idx="44">
                  <c:v>5.6778055454442233</c:v>
                </c:pt>
                <c:pt idx="45">
                  <c:v>5.5880515635725905</c:v>
                </c:pt>
                <c:pt idx="46">
                  <c:v>5.9588508422637636</c:v>
                </c:pt>
                <c:pt idx="47">
                  <c:v>5.94897565625807</c:v>
                </c:pt>
                <c:pt idx="48">
                  <c:v>6.0207090415923004</c:v>
                </c:pt>
                <c:pt idx="49">
                  <c:v>6.175897445635834</c:v>
                </c:pt>
                <c:pt idx="50">
                  <c:v>6.2256724032200212</c:v>
                </c:pt>
                <c:pt idx="51">
                  <c:v>6.7439364526700585</c:v>
                </c:pt>
                <c:pt idx="52">
                  <c:v>6.9395624880205764</c:v>
                </c:pt>
                <c:pt idx="53">
                  <c:v>7.0188220329400126</c:v>
                </c:pt>
                <c:pt idx="54">
                  <c:v>7.146889916905673</c:v>
                </c:pt>
                <c:pt idx="55">
                  <c:v>7.3459923654541113</c:v>
                </c:pt>
                <c:pt idx="56">
                  <c:v>7.3047608963013309</c:v>
                </c:pt>
                <c:pt idx="57">
                  <c:v>7.432467905697747</c:v>
                </c:pt>
                <c:pt idx="58">
                  <c:v>7.5435566251076542</c:v>
                </c:pt>
                <c:pt idx="59">
                  <c:v>7.5844469567871782</c:v>
                </c:pt>
                <c:pt idx="60">
                  <c:v>7.5361317157355137</c:v>
                </c:pt>
                <c:pt idx="61">
                  <c:v>7.6756031061363776</c:v>
                </c:pt>
                <c:pt idx="62">
                  <c:v>7.6780335893819105</c:v>
                </c:pt>
                <c:pt idx="63">
                  <c:v>7.760971488582233</c:v>
                </c:pt>
                <c:pt idx="64">
                  <c:v>7.7104870594694823</c:v>
                </c:pt>
                <c:pt idx="65">
                  <c:v>7.7099460593449507</c:v>
                </c:pt>
                <c:pt idx="66">
                  <c:v>7.737776156743263</c:v>
                </c:pt>
                <c:pt idx="67">
                  <c:v>7.8443429387109536</c:v>
                </c:pt>
                <c:pt idx="68">
                  <c:v>7.7472953490064089</c:v>
                </c:pt>
                <c:pt idx="69">
                  <c:v>7.836021543339192</c:v>
                </c:pt>
                <c:pt idx="70">
                  <c:v>7.9403721264215568</c:v>
                </c:pt>
                <c:pt idx="71">
                  <c:v>7.8917685918324789</c:v>
                </c:pt>
                <c:pt idx="72">
                  <c:v>8.0239403833682594</c:v>
                </c:pt>
                <c:pt idx="73">
                  <c:v>7.9109114844638944</c:v>
                </c:pt>
                <c:pt idx="74">
                  <c:v>7.8553144344935237</c:v>
                </c:pt>
                <c:pt idx="75">
                  <c:v>7.9025721703564162</c:v>
                </c:pt>
                <c:pt idx="76">
                  <c:v>7.93006224883674</c:v>
                </c:pt>
                <c:pt idx="77">
                  <c:v>8.1848015045516007</c:v>
                </c:pt>
                <c:pt idx="78">
                  <c:v>8.059697509231567</c:v>
                </c:pt>
                <c:pt idx="79">
                  <c:v>8.3935755459442891</c:v>
                </c:pt>
                <c:pt idx="80">
                  <c:v>8.4604156915811064</c:v>
                </c:pt>
                <c:pt idx="81">
                  <c:v>8.6492154773413841</c:v>
                </c:pt>
                <c:pt idx="82">
                  <c:v>8.856300809974897</c:v>
                </c:pt>
                <c:pt idx="83">
                  <c:v>8.972219581254345</c:v>
                </c:pt>
                <c:pt idx="84">
                  <c:v>9.0899993275327038</c:v>
                </c:pt>
                <c:pt idx="85">
                  <c:v>8.9636739682541169</c:v>
                </c:pt>
                <c:pt idx="86">
                  <c:v>9.074597508540899</c:v>
                </c:pt>
                <c:pt idx="87">
                  <c:v>8.8339457099158576</c:v>
                </c:pt>
                <c:pt idx="88">
                  <c:v>9.0537781951133205</c:v>
                </c:pt>
                <c:pt idx="89">
                  <c:v>9.2065821119235274</c:v>
                </c:pt>
                <c:pt idx="90">
                  <c:v>9.4786416100704027</c:v>
                </c:pt>
                <c:pt idx="91">
                  <c:v>9.7380501670398054</c:v>
                </c:pt>
                <c:pt idx="92">
                  <c:v>9.7552097825589286</c:v>
                </c:pt>
                <c:pt idx="93">
                  <c:v>10.001982552550816</c:v>
                </c:pt>
                <c:pt idx="94">
                  <c:v>10.086764488435181</c:v>
                </c:pt>
                <c:pt idx="95">
                  <c:v>10.125027103010456</c:v>
                </c:pt>
                <c:pt idx="96">
                  <c:v>10.292381014196824</c:v>
                </c:pt>
                <c:pt idx="97">
                  <c:v>10.458603692886378</c:v>
                </c:pt>
                <c:pt idx="98">
                  <c:v>10.481487735218362</c:v>
                </c:pt>
                <c:pt idx="99">
                  <c:v>10.48523732848621</c:v>
                </c:pt>
                <c:pt idx="100">
                  <c:v>10.589748154554272</c:v>
                </c:pt>
                <c:pt idx="101">
                  <c:v>10.85266863915351</c:v>
                </c:pt>
                <c:pt idx="102">
                  <c:v>10.885122633963649</c:v>
                </c:pt>
                <c:pt idx="103">
                  <c:v>10.939164255674171</c:v>
                </c:pt>
                <c:pt idx="104">
                  <c:v>10.918439471230014</c:v>
                </c:pt>
                <c:pt idx="105">
                  <c:v>10.950149640355839</c:v>
                </c:pt>
                <c:pt idx="106">
                  <c:v>10.932393136853907</c:v>
                </c:pt>
                <c:pt idx="107">
                  <c:v>11.322060770548031</c:v>
                </c:pt>
                <c:pt idx="108">
                  <c:v>11.393950269965034</c:v>
                </c:pt>
                <c:pt idx="109">
                  <c:v>11.475404651580941</c:v>
                </c:pt>
                <c:pt idx="110">
                  <c:v>11.53552676285153</c:v>
                </c:pt>
                <c:pt idx="111">
                  <c:v>11.68922652568186</c:v>
                </c:pt>
                <c:pt idx="112">
                  <c:v>11.780654930741372</c:v>
                </c:pt>
                <c:pt idx="113">
                  <c:v>11.777441599998234</c:v>
                </c:pt>
                <c:pt idx="114">
                  <c:v>11.745556890708503</c:v>
                </c:pt>
                <c:pt idx="115">
                  <c:v>11.792320218912511</c:v>
                </c:pt>
                <c:pt idx="116">
                  <c:v>11.868036034967417</c:v>
                </c:pt>
                <c:pt idx="117">
                  <c:v>12.037598467108149</c:v>
                </c:pt>
                <c:pt idx="118">
                  <c:v>12.203002633652789</c:v>
                </c:pt>
                <c:pt idx="119">
                  <c:v>12.196910081037471</c:v>
                </c:pt>
                <c:pt idx="120">
                  <c:v>12.160563818787935</c:v>
                </c:pt>
                <c:pt idx="121">
                  <c:v>12.187692572766105</c:v>
                </c:pt>
                <c:pt idx="122">
                  <c:v>12.349239483648836</c:v>
                </c:pt>
                <c:pt idx="123">
                  <c:v>12.474944601327014</c:v>
                </c:pt>
                <c:pt idx="124">
                  <c:v>12.39352918794709</c:v>
                </c:pt>
                <c:pt idx="125">
                  <c:v>12.615971796395385</c:v>
                </c:pt>
                <c:pt idx="126">
                  <c:v>12.735927821114046</c:v>
                </c:pt>
                <c:pt idx="127">
                  <c:v>12.846762325901757</c:v>
                </c:pt>
                <c:pt idx="128">
                  <c:v>12.812571083491884</c:v>
                </c:pt>
                <c:pt idx="129">
                  <c:v>12.942337033797953</c:v>
                </c:pt>
                <c:pt idx="130">
                  <c:v>12.963832135373591</c:v>
                </c:pt>
                <c:pt idx="131">
                  <c:v>13.041245702431199</c:v>
                </c:pt>
                <c:pt idx="132">
                  <c:v>13.088882361815898</c:v>
                </c:pt>
                <c:pt idx="133">
                  <c:v>13.125477830947677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2D-4121-A691-01B71F4CC7E8}"/>
            </c:ext>
          </c:extLst>
        </c:ser>
        <c:ser>
          <c:idx val="11"/>
          <c:order val="11"/>
          <c:tx>
            <c:strRef>
              <c:f>'畫圖(真實)'!$A$23:$B$23</c:f>
              <c:strCache>
                <c:ptCount val="2"/>
                <c:pt idx="0">
                  <c:v>482</c:v>
                </c:pt>
                <c:pt idx="1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'畫圖(真實)'!$C$23:$EF$23</c:f>
              <c:numCache>
                <c:formatCode>General</c:formatCode>
                <c:ptCount val="134"/>
                <c:pt idx="0">
                  <c:v>1</c:v>
                </c:pt>
                <c:pt idx="1">
                  <c:v>1.2540926274514612</c:v>
                </c:pt>
                <c:pt idx="2">
                  <c:v>1.3870978215076322</c:v>
                </c:pt>
                <c:pt idx="3">
                  <c:v>1.2047017461867535</c:v>
                </c:pt>
                <c:pt idx="4">
                  <c:v>1.1777301776623854</c:v>
                </c:pt>
                <c:pt idx="5">
                  <c:v>1.1595417068209009</c:v>
                </c:pt>
                <c:pt idx="6">
                  <c:v>1.3076937354211948</c:v>
                </c:pt>
                <c:pt idx="7">
                  <c:v>1.2095314442747425</c:v>
                </c:pt>
                <c:pt idx="8">
                  <c:v>1.3521390193993974</c:v>
                </c:pt>
                <c:pt idx="9">
                  <c:v>1.3013681856942145</c:v>
                </c:pt>
                <c:pt idx="10">
                  <c:v>1.0429182693355721</c:v>
                </c:pt>
                <c:pt idx="11">
                  <c:v>2.0188197126068523</c:v>
                </c:pt>
                <c:pt idx="12">
                  <c:v>1.9994120013400831</c:v>
                </c:pt>
                <c:pt idx="13">
                  <c:v>2.0898137125222087</c:v>
                </c:pt>
                <c:pt idx="14">
                  <c:v>2.0302456956216881</c:v>
                </c:pt>
                <c:pt idx="15">
                  <c:v>1.9740345523084331</c:v>
                </c:pt>
                <c:pt idx="16">
                  <c:v>2.0877590851356951</c:v>
                </c:pt>
                <c:pt idx="17">
                  <c:v>2.2423617784631236</c:v>
                </c:pt>
                <c:pt idx="18">
                  <c:v>2.336119200903918</c:v>
                </c:pt>
                <c:pt idx="19">
                  <c:v>2.3130897437941269</c:v>
                </c:pt>
                <c:pt idx="20">
                  <c:v>2.5726370674711863</c:v>
                </c:pt>
                <c:pt idx="21">
                  <c:v>2.7544182532690091</c:v>
                </c:pt>
                <c:pt idx="22">
                  <c:v>2.7397584517385187</c:v>
                </c:pt>
                <c:pt idx="23">
                  <c:v>2.7727909671823938</c:v>
                </c:pt>
                <c:pt idx="24">
                  <c:v>2.7160425212222834</c:v>
                </c:pt>
                <c:pt idx="25">
                  <c:v>2.7800823010990667</c:v>
                </c:pt>
                <c:pt idx="26">
                  <c:v>2.9488371007359793</c:v>
                </c:pt>
                <c:pt idx="27">
                  <c:v>3.0204659688216533</c:v>
                </c:pt>
                <c:pt idx="28">
                  <c:v>3.1576779575793132</c:v>
                </c:pt>
                <c:pt idx="29">
                  <c:v>3.4823372832195245</c:v>
                </c:pt>
                <c:pt idx="30">
                  <c:v>3.5742109408658846</c:v>
                </c:pt>
                <c:pt idx="31">
                  <c:v>3.4900393563427015</c:v>
                </c:pt>
                <c:pt idx="32">
                  <c:v>3.6991909549629653</c:v>
                </c:pt>
                <c:pt idx="33">
                  <c:v>3.7048340928111196</c:v>
                </c:pt>
                <c:pt idx="34">
                  <c:v>3.8189451921583109</c:v>
                </c:pt>
                <c:pt idx="35">
                  <c:v>3.8048785990513063</c:v>
                </c:pt>
                <c:pt idx="36">
                  <c:v>3.8126480880561715</c:v>
                </c:pt>
                <c:pt idx="37">
                  <c:v>4.0549627874134719</c:v>
                </c:pt>
                <c:pt idx="38">
                  <c:v>4.1457452669430896</c:v>
                </c:pt>
                <c:pt idx="39">
                  <c:v>4.1426241675907836</c:v>
                </c:pt>
                <c:pt idx="40">
                  <c:v>4.2420048066035356</c:v>
                </c:pt>
                <c:pt idx="41">
                  <c:v>4.3881409709429029</c:v>
                </c:pt>
                <c:pt idx="42">
                  <c:v>4.4698045917234728</c:v>
                </c:pt>
                <c:pt idx="43">
                  <c:v>4.5793104946883734</c:v>
                </c:pt>
                <c:pt idx="44">
                  <c:v>5.1876425389378502</c:v>
                </c:pt>
                <c:pt idx="45">
                  <c:v>5.1384924723085579</c:v>
                </c:pt>
                <c:pt idx="46">
                  <c:v>5.7207524464827726</c:v>
                </c:pt>
                <c:pt idx="47">
                  <c:v>5.7059396674742322</c:v>
                </c:pt>
                <c:pt idx="48">
                  <c:v>5.8761736483148139</c:v>
                </c:pt>
                <c:pt idx="49">
                  <c:v>5.9542452248360211</c:v>
                </c:pt>
                <c:pt idx="50">
                  <c:v>6.0082435634658786</c:v>
                </c:pt>
                <c:pt idx="51">
                  <c:v>6.6942668931456124</c:v>
                </c:pt>
                <c:pt idx="52">
                  <c:v>6.9471360750455515</c:v>
                </c:pt>
                <c:pt idx="53">
                  <c:v>7.0731088595200475</c:v>
                </c:pt>
                <c:pt idx="54">
                  <c:v>7.1974010025459467</c:v>
                </c:pt>
                <c:pt idx="55">
                  <c:v>7.4074101154063978</c:v>
                </c:pt>
                <c:pt idx="56">
                  <c:v>7.4457329428255434</c:v>
                </c:pt>
                <c:pt idx="57">
                  <c:v>7.5090981385287821</c:v>
                </c:pt>
                <c:pt idx="58">
                  <c:v>7.7002102178519811</c:v>
                </c:pt>
                <c:pt idx="59">
                  <c:v>7.757704078657472</c:v>
                </c:pt>
                <c:pt idx="60">
                  <c:v>7.7098547553562842</c:v>
                </c:pt>
                <c:pt idx="61">
                  <c:v>7.8242210454979535</c:v>
                </c:pt>
                <c:pt idx="62">
                  <c:v>7.7547255834735029</c:v>
                </c:pt>
                <c:pt idx="63">
                  <c:v>7.7931788207137762</c:v>
                </c:pt>
                <c:pt idx="64">
                  <c:v>7.8297037624597756</c:v>
                </c:pt>
                <c:pt idx="65">
                  <c:v>7.807228041067094</c:v>
                </c:pt>
                <c:pt idx="66">
                  <c:v>7.8792759425023604</c:v>
                </c:pt>
                <c:pt idx="67">
                  <c:v>7.982098532682711</c:v>
                </c:pt>
                <c:pt idx="68">
                  <c:v>7.7615314382803202</c:v>
                </c:pt>
                <c:pt idx="69">
                  <c:v>7.9797181144132239</c:v>
                </c:pt>
                <c:pt idx="70">
                  <c:v>8.0854033882066272</c:v>
                </c:pt>
                <c:pt idx="71">
                  <c:v>8.0321343376487384</c:v>
                </c:pt>
                <c:pt idx="72">
                  <c:v>8.0474968526918289</c:v>
                </c:pt>
                <c:pt idx="73">
                  <c:v>7.9787617633610308</c:v>
                </c:pt>
                <c:pt idx="74">
                  <c:v>8.0970109972879865</c:v>
                </c:pt>
                <c:pt idx="75">
                  <c:v>8.104680759719832</c:v>
                </c:pt>
                <c:pt idx="76">
                  <c:v>8.180333959466461</c:v>
                </c:pt>
                <c:pt idx="77">
                  <c:v>8.4965007212252104</c:v>
                </c:pt>
                <c:pt idx="78">
                  <c:v>8.4119561065094359</c:v>
                </c:pt>
                <c:pt idx="79">
                  <c:v>8.6036325615242202</c:v>
                </c:pt>
                <c:pt idx="80">
                  <c:v>8.6632348633619376</c:v>
                </c:pt>
                <c:pt idx="81">
                  <c:v>8.8203697731531019</c:v>
                </c:pt>
                <c:pt idx="82">
                  <c:v>9.0370070147803041</c:v>
                </c:pt>
                <c:pt idx="83">
                  <c:v>9.2172034637017326</c:v>
                </c:pt>
                <c:pt idx="84">
                  <c:v>9.5271028808298297</c:v>
                </c:pt>
                <c:pt idx="85">
                  <c:v>9.3705869844119292</c:v>
                </c:pt>
                <c:pt idx="86">
                  <c:v>9.4424433749484731</c:v>
                </c:pt>
                <c:pt idx="87">
                  <c:v>9.0337823622810554</c:v>
                </c:pt>
                <c:pt idx="88">
                  <c:v>9.2684873348971539</c:v>
                </c:pt>
                <c:pt idx="89">
                  <c:v>9.5455915968532228</c:v>
                </c:pt>
                <c:pt idx="90">
                  <c:v>9.8117501345803237</c:v>
                </c:pt>
                <c:pt idx="91">
                  <c:v>10.12311087774308</c:v>
                </c:pt>
                <c:pt idx="92">
                  <c:v>10.0984086076637</c:v>
                </c:pt>
                <c:pt idx="93">
                  <c:v>10.249406778137647</c:v>
                </c:pt>
                <c:pt idx="94">
                  <c:v>10.31456666243086</c:v>
                </c:pt>
                <c:pt idx="95">
                  <c:v>10.379956877810809</c:v>
                </c:pt>
                <c:pt idx="96">
                  <c:v>10.582060762797965</c:v>
                </c:pt>
                <c:pt idx="97">
                  <c:v>10.735391731069541</c:v>
                </c:pt>
                <c:pt idx="98">
                  <c:v>10.711205443280539</c:v>
                </c:pt>
                <c:pt idx="99">
                  <c:v>10.622488449184013</c:v>
                </c:pt>
                <c:pt idx="100">
                  <c:v>10.776238782855552</c:v>
                </c:pt>
                <c:pt idx="101">
                  <c:v>10.958237576712904</c:v>
                </c:pt>
                <c:pt idx="102">
                  <c:v>11.022882459161293</c:v>
                </c:pt>
                <c:pt idx="103">
                  <c:v>11.041629525604513</c:v>
                </c:pt>
                <c:pt idx="104">
                  <c:v>11.160820011674927</c:v>
                </c:pt>
                <c:pt idx="105">
                  <c:v>11.25361868635208</c:v>
                </c:pt>
                <c:pt idx="106">
                  <c:v>11.19353273884191</c:v>
                </c:pt>
                <c:pt idx="107">
                  <c:v>11.60232765940283</c:v>
                </c:pt>
                <c:pt idx="108">
                  <c:v>11.669948086809239</c:v>
                </c:pt>
                <c:pt idx="109">
                  <c:v>11.809174980321346</c:v>
                </c:pt>
                <c:pt idx="110">
                  <c:v>11.905215531192242</c:v>
                </c:pt>
                <c:pt idx="111">
                  <c:v>12.025248113016161</c:v>
                </c:pt>
                <c:pt idx="112">
                  <c:v>12.116493101756989</c:v>
                </c:pt>
                <c:pt idx="113">
                  <c:v>12.142735753861613</c:v>
                </c:pt>
                <c:pt idx="114">
                  <c:v>12.096258437872372</c:v>
                </c:pt>
                <c:pt idx="115">
                  <c:v>12.102755633916342</c:v>
                </c:pt>
                <c:pt idx="116">
                  <c:v>12.226824075904071</c:v>
                </c:pt>
                <c:pt idx="117">
                  <c:v>12.403663694388978</c:v>
                </c:pt>
                <c:pt idx="118">
                  <c:v>12.649609801947765</c:v>
                </c:pt>
                <c:pt idx="119">
                  <c:v>12.559723799216458</c:v>
                </c:pt>
                <c:pt idx="120">
                  <c:v>12.443147807549519</c:v>
                </c:pt>
                <c:pt idx="121">
                  <c:v>12.420851350479762</c:v>
                </c:pt>
                <c:pt idx="122">
                  <c:v>12.476490829188045</c:v>
                </c:pt>
                <c:pt idx="123">
                  <c:v>12.752762437517484</c:v>
                </c:pt>
                <c:pt idx="124">
                  <c:v>12.775814258272547</c:v>
                </c:pt>
                <c:pt idx="125">
                  <c:v>13.089307464651514</c:v>
                </c:pt>
                <c:pt idx="126">
                  <c:v>13.035381240113923</c:v>
                </c:pt>
                <c:pt idx="127">
                  <c:v>12.81820725236148</c:v>
                </c:pt>
                <c:pt idx="128">
                  <c:v>12.724845172892511</c:v>
                </c:pt>
                <c:pt idx="129">
                  <c:v>12.969129831016433</c:v>
                </c:pt>
                <c:pt idx="130">
                  <c:v>12.93254551469062</c:v>
                </c:pt>
                <c:pt idx="131">
                  <c:v>13.023971419310401</c:v>
                </c:pt>
                <c:pt idx="132">
                  <c:v>13.093183495295394</c:v>
                </c:pt>
                <c:pt idx="133">
                  <c:v>13.186599353209083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B2D-4121-A691-01B71F4CC7E8}"/>
            </c:ext>
          </c:extLst>
        </c:ser>
        <c:ser>
          <c:idx val="12"/>
          <c:order val="12"/>
          <c:tx>
            <c:strRef>
              <c:f>'畫圖(真實)'!$A$24:$B$24</c:f>
              <c:strCache>
                <c:ptCount val="2"/>
                <c:pt idx="0">
                  <c:v>964</c:v>
                </c:pt>
                <c:pt idx="1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'畫圖(真實)'!$C$24:$EF$24</c:f>
              <c:numCache>
                <c:formatCode>General</c:formatCode>
                <c:ptCount val="134"/>
                <c:pt idx="0">
                  <c:v>1</c:v>
                </c:pt>
                <c:pt idx="1">
                  <c:v>1.1006099128992286</c:v>
                </c:pt>
                <c:pt idx="2">
                  <c:v>1.3851224105897306</c:v>
                </c:pt>
                <c:pt idx="3">
                  <c:v>1.1835766917180843</c:v>
                </c:pt>
                <c:pt idx="4">
                  <c:v>1.1609543031554668</c:v>
                </c:pt>
                <c:pt idx="5">
                  <c:v>1.1968100998104234</c:v>
                </c:pt>
                <c:pt idx="6">
                  <c:v>1.19469816660728</c:v>
                </c:pt>
                <c:pt idx="7">
                  <c:v>1.094725973697144</c:v>
                </c:pt>
                <c:pt idx="8">
                  <c:v>1.1451703096906327</c:v>
                </c:pt>
                <c:pt idx="9">
                  <c:v>1.0513706164338823</c:v>
                </c:pt>
                <c:pt idx="10">
                  <c:v>0.90455127753437381</c:v>
                </c:pt>
                <c:pt idx="11">
                  <c:v>2.6735826466469428</c:v>
                </c:pt>
                <c:pt idx="12">
                  <c:v>2.7102314373864864</c:v>
                </c:pt>
                <c:pt idx="13">
                  <c:v>2.8144798517954861</c:v>
                </c:pt>
                <c:pt idx="14">
                  <c:v>2.75351489014878</c:v>
                </c:pt>
                <c:pt idx="15">
                  <c:v>2.5078175193695205</c:v>
                </c:pt>
                <c:pt idx="16">
                  <c:v>2.860331980429685</c:v>
                </c:pt>
                <c:pt idx="17">
                  <c:v>2.5898452657556676</c:v>
                </c:pt>
                <c:pt idx="18">
                  <c:v>2.7383639399795858</c:v>
                </c:pt>
                <c:pt idx="19">
                  <c:v>2.6712246371419575</c:v>
                </c:pt>
                <c:pt idx="20">
                  <c:v>2.5066601195550775</c:v>
                </c:pt>
                <c:pt idx="21">
                  <c:v>2.4705022231938254</c:v>
                </c:pt>
                <c:pt idx="22">
                  <c:v>2.4610252082674084</c:v>
                </c:pt>
                <c:pt idx="23">
                  <c:v>2.5668675355462156</c:v>
                </c:pt>
                <c:pt idx="24">
                  <c:v>2.7854121152373703</c:v>
                </c:pt>
                <c:pt idx="25">
                  <c:v>2.9807517379126143</c:v>
                </c:pt>
                <c:pt idx="26">
                  <c:v>3.3824990717595691</c:v>
                </c:pt>
                <c:pt idx="27">
                  <c:v>3.4836743710162921</c:v>
                </c:pt>
                <c:pt idx="28">
                  <c:v>3.6768161607280501</c:v>
                </c:pt>
                <c:pt idx="29">
                  <c:v>4.1722055735322119</c:v>
                </c:pt>
                <c:pt idx="30">
                  <c:v>4.3109412911588496</c:v>
                </c:pt>
                <c:pt idx="31">
                  <c:v>4.25424393109106</c:v>
                </c:pt>
                <c:pt idx="32">
                  <c:v>4.5646581663204024</c:v>
                </c:pt>
                <c:pt idx="33">
                  <c:v>4.4837669223210268</c:v>
                </c:pt>
                <c:pt idx="34">
                  <c:v>4.5686508753892188</c:v>
                </c:pt>
                <c:pt idx="35">
                  <c:v>4.6558245768658537</c:v>
                </c:pt>
                <c:pt idx="36">
                  <c:v>4.6369052954453274</c:v>
                </c:pt>
                <c:pt idx="37">
                  <c:v>4.8580947605907587</c:v>
                </c:pt>
                <c:pt idx="38">
                  <c:v>4.9610004631685483</c:v>
                </c:pt>
                <c:pt idx="39">
                  <c:v>4.9838521786576448</c:v>
                </c:pt>
                <c:pt idx="40">
                  <c:v>5.2009793817857091</c:v>
                </c:pt>
                <c:pt idx="41">
                  <c:v>5.3718127879565349</c:v>
                </c:pt>
                <c:pt idx="42">
                  <c:v>5.3750995616631574</c:v>
                </c:pt>
                <c:pt idx="43">
                  <c:v>5.5258685415888378</c:v>
                </c:pt>
                <c:pt idx="44">
                  <c:v>6.0029227288312397</c:v>
                </c:pt>
                <c:pt idx="45">
                  <c:v>6.2506073890615674</c:v>
                </c:pt>
                <c:pt idx="46">
                  <c:v>6.1018964325301273</c:v>
                </c:pt>
                <c:pt idx="47">
                  <c:v>6.2133877694463431</c:v>
                </c:pt>
                <c:pt idx="48">
                  <c:v>6.3815150633312321</c:v>
                </c:pt>
                <c:pt idx="49">
                  <c:v>6.5001387884024089</c:v>
                </c:pt>
                <c:pt idx="50">
                  <c:v>6.5506300938144211</c:v>
                </c:pt>
                <c:pt idx="51">
                  <c:v>7.4233332429209113</c:v>
                </c:pt>
                <c:pt idx="52">
                  <c:v>7.4189663733065281</c:v>
                </c:pt>
                <c:pt idx="53">
                  <c:v>7.4375974073933921</c:v>
                </c:pt>
                <c:pt idx="54">
                  <c:v>7.3802168694083123</c:v>
                </c:pt>
                <c:pt idx="55">
                  <c:v>7.3158464484588492</c:v>
                </c:pt>
                <c:pt idx="56">
                  <c:v>7.2248622207514135</c:v>
                </c:pt>
                <c:pt idx="57">
                  <c:v>7.3725357860031329</c:v>
                </c:pt>
                <c:pt idx="58">
                  <c:v>7.5961648920731797</c:v>
                </c:pt>
                <c:pt idx="59">
                  <c:v>7.7958049252436306</c:v>
                </c:pt>
                <c:pt idx="60">
                  <c:v>7.7609772780708566</c:v>
                </c:pt>
                <c:pt idx="61">
                  <c:v>7.867084198222023</c:v>
                </c:pt>
                <c:pt idx="62">
                  <c:v>7.9518671380610115</c:v>
                </c:pt>
                <c:pt idx="63">
                  <c:v>8.0607803983775597</c:v>
                </c:pt>
                <c:pt idx="64">
                  <c:v>7.8996707072819179</c:v>
                </c:pt>
                <c:pt idx="65">
                  <c:v>7.9314648116118081</c:v>
                </c:pt>
                <c:pt idx="66">
                  <c:v>7.8672951782816929</c:v>
                </c:pt>
                <c:pt idx="67">
                  <c:v>7.9662160674669344</c:v>
                </c:pt>
                <c:pt idx="68">
                  <c:v>7.8445950309373282</c:v>
                </c:pt>
                <c:pt idx="69">
                  <c:v>8.1213140470775365</c:v>
                </c:pt>
                <c:pt idx="70">
                  <c:v>8.130062539392382</c:v>
                </c:pt>
                <c:pt idx="71">
                  <c:v>8.0838038336517197</c:v>
                </c:pt>
                <c:pt idx="72">
                  <c:v>8.2348312790741396</c:v>
                </c:pt>
                <c:pt idx="73">
                  <c:v>8.130876245025048</c:v>
                </c:pt>
                <c:pt idx="74">
                  <c:v>8.2492844760753492</c:v>
                </c:pt>
                <c:pt idx="75">
                  <c:v>8.5081773749253458</c:v>
                </c:pt>
                <c:pt idx="76">
                  <c:v>8.6233990556987603</c:v>
                </c:pt>
                <c:pt idx="77">
                  <c:v>9.2630971893332745</c:v>
                </c:pt>
                <c:pt idx="78">
                  <c:v>9.0806273094457133</c:v>
                </c:pt>
                <c:pt idx="79">
                  <c:v>9.2249336201879082</c:v>
                </c:pt>
                <c:pt idx="80">
                  <c:v>9.3904984941790222</c:v>
                </c:pt>
                <c:pt idx="81">
                  <c:v>9.6122198564244101</c:v>
                </c:pt>
                <c:pt idx="82">
                  <c:v>10.132188822498332</c:v>
                </c:pt>
                <c:pt idx="83">
                  <c:v>10.486466119340834</c:v>
                </c:pt>
                <c:pt idx="84">
                  <c:v>10.158014298631569</c:v>
                </c:pt>
                <c:pt idx="85">
                  <c:v>9.8578274050413128</c:v>
                </c:pt>
                <c:pt idx="86">
                  <c:v>10.180886670369697</c:v>
                </c:pt>
                <c:pt idx="87">
                  <c:v>10.322642003742237</c:v>
                </c:pt>
                <c:pt idx="88">
                  <c:v>10.959075268101747</c:v>
                </c:pt>
                <c:pt idx="89">
                  <c:v>11.568752465368821</c:v>
                </c:pt>
                <c:pt idx="90">
                  <c:v>12.021229907159274</c:v>
                </c:pt>
                <c:pt idx="91">
                  <c:v>12.181574111974117</c:v>
                </c:pt>
                <c:pt idx="92">
                  <c:v>12.021384465346616</c:v>
                </c:pt>
                <c:pt idx="93">
                  <c:v>12.159171921395318</c:v>
                </c:pt>
                <c:pt idx="94">
                  <c:v>12.267146157334345</c:v>
                </c:pt>
                <c:pt idx="95">
                  <c:v>12.147601768998506</c:v>
                </c:pt>
                <c:pt idx="96">
                  <c:v>12.20033081381216</c:v>
                </c:pt>
                <c:pt idx="97">
                  <c:v>12.383194908719384</c:v>
                </c:pt>
                <c:pt idx="98">
                  <c:v>12.148201693446538</c:v>
                </c:pt>
                <c:pt idx="99">
                  <c:v>12.203408887155225</c:v>
                </c:pt>
                <c:pt idx="100">
                  <c:v>12.524556639361967</c:v>
                </c:pt>
                <c:pt idx="101">
                  <c:v>12.636763267806534</c:v>
                </c:pt>
                <c:pt idx="102">
                  <c:v>12.670742852898988</c:v>
                </c:pt>
                <c:pt idx="103">
                  <c:v>12.654240987049992</c:v>
                </c:pt>
                <c:pt idx="104">
                  <c:v>12.845416745220527</c:v>
                </c:pt>
                <c:pt idx="105">
                  <c:v>12.649572023038086</c:v>
                </c:pt>
                <c:pt idx="106">
                  <c:v>12.781157614333619</c:v>
                </c:pt>
                <c:pt idx="107">
                  <c:v>13.306742620478117</c:v>
                </c:pt>
                <c:pt idx="108">
                  <c:v>13.426287906878249</c:v>
                </c:pt>
                <c:pt idx="109">
                  <c:v>13.692090582870762</c:v>
                </c:pt>
                <c:pt idx="110">
                  <c:v>13.729275491145142</c:v>
                </c:pt>
                <c:pt idx="111">
                  <c:v>13.958645365676231</c:v>
                </c:pt>
                <c:pt idx="112">
                  <c:v>14.078325546884422</c:v>
                </c:pt>
                <c:pt idx="113">
                  <c:v>14.139686060099839</c:v>
                </c:pt>
                <c:pt idx="114">
                  <c:v>14.139272614854772</c:v>
                </c:pt>
                <c:pt idx="115">
                  <c:v>14.372607185629468</c:v>
                </c:pt>
                <c:pt idx="116">
                  <c:v>14.488219140652948</c:v>
                </c:pt>
                <c:pt idx="117">
                  <c:v>14.711790964136645</c:v>
                </c:pt>
                <c:pt idx="118">
                  <c:v>15.070862266233293</c:v>
                </c:pt>
                <c:pt idx="119">
                  <c:v>15.050346636021263</c:v>
                </c:pt>
                <c:pt idx="120">
                  <c:v>14.982984090307319</c:v>
                </c:pt>
                <c:pt idx="121">
                  <c:v>14.953548363918456</c:v>
                </c:pt>
                <c:pt idx="122">
                  <c:v>14.931766968557225</c:v>
                </c:pt>
                <c:pt idx="123">
                  <c:v>15.089991667201039</c:v>
                </c:pt>
                <c:pt idx="124">
                  <c:v>15.191174163856283</c:v>
                </c:pt>
                <c:pt idx="125">
                  <c:v>15.502767291648787</c:v>
                </c:pt>
                <c:pt idx="126">
                  <c:v>15.499527415040244</c:v>
                </c:pt>
                <c:pt idx="127">
                  <c:v>15.066020836303553</c:v>
                </c:pt>
                <c:pt idx="128">
                  <c:v>15.042849334456879</c:v>
                </c:pt>
                <c:pt idx="129">
                  <c:v>15.63254725145597</c:v>
                </c:pt>
                <c:pt idx="130">
                  <c:v>15.618237332685291</c:v>
                </c:pt>
                <c:pt idx="131">
                  <c:v>15.674410177983654</c:v>
                </c:pt>
                <c:pt idx="132">
                  <c:v>15.781890835218073</c:v>
                </c:pt>
                <c:pt idx="133">
                  <c:v>15.915977911568287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2D-4121-A691-01B71F4CC7E8}"/>
            </c:ext>
          </c:extLst>
        </c:ser>
        <c:ser>
          <c:idx val="13"/>
          <c:order val="13"/>
          <c:tx>
            <c:strRef>
              <c:f>'畫圖(真實)'!$A$25:$B$25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'畫圖(真實)'!$C$25:$EF$25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B2D-4121-A691-01B71F4CC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048559"/>
        <c:axId val="1635049519"/>
      </c:lineChart>
      <c:catAx>
        <c:axId val="163504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5049519"/>
        <c:crosses val="autoZero"/>
        <c:auto val="1"/>
        <c:lblAlgn val="ctr"/>
        <c:lblOffset val="100"/>
        <c:noMultiLvlLbl val="0"/>
      </c:catAx>
      <c:valAx>
        <c:axId val="16350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50485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540310</xdr:colOff>
      <xdr:row>26</xdr:row>
      <xdr:rowOff>104485</xdr:rowOff>
    </xdr:from>
    <xdr:to>
      <xdr:col>127</xdr:col>
      <xdr:colOff>174550</xdr:colOff>
      <xdr:row>40</xdr:row>
      <xdr:rowOff>180684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D91CEDC2-EA6B-68B2-1D89-3A65DC22A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92</xdr:col>
      <xdr:colOff>124047</xdr:colOff>
      <xdr:row>30</xdr:row>
      <xdr:rowOff>170120</xdr:rowOff>
    </xdr:from>
    <xdr:to>
      <xdr:col>110</xdr:col>
      <xdr:colOff>363279</xdr:colOff>
      <xdr:row>60</xdr:row>
      <xdr:rowOff>17720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D85D035-6C6F-688D-2EA2-1755D8403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331470</xdr:colOff>
      <xdr:row>26</xdr:row>
      <xdr:rowOff>15240</xdr:rowOff>
    </xdr:from>
    <xdr:to>
      <xdr:col>127</xdr:col>
      <xdr:colOff>514350</xdr:colOff>
      <xdr:row>40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股價淨值比"/>
      <sheetName val="bm(函數)"/>
      <sheetName val="bm"/>
      <sheetName val="下個月月報酬"/>
      <sheetName val="bm補值"/>
      <sheetName val="下個月月報酬補值"/>
      <sheetName val="bmIC"/>
    </sheetNames>
    <sheetDataSet>
      <sheetData sheetId="0"/>
      <sheetData sheetId="1"/>
      <sheetData sheetId="2"/>
      <sheetData sheetId="3"/>
      <sheetData sheetId="4">
        <row r="2">
          <cell r="C2">
            <v>0.77519379844961234</v>
          </cell>
          <cell r="EG2">
            <v>0.78125</v>
          </cell>
        </row>
        <row r="3">
          <cell r="EG3">
            <v>0.77519379844961234</v>
          </cell>
        </row>
        <row r="4">
          <cell r="EG4">
            <v>1.4925373134328357</v>
          </cell>
        </row>
        <row r="5">
          <cell r="EG5">
            <v>1.2345679012345678</v>
          </cell>
        </row>
        <row r="6">
          <cell r="EG6">
            <v>1.2987012987012987</v>
          </cell>
        </row>
        <row r="7">
          <cell r="EG7">
            <v>1.4285714285714286</v>
          </cell>
        </row>
        <row r="8">
          <cell r="EG8">
            <v>1.2820512820512819</v>
          </cell>
        </row>
        <row r="9">
          <cell r="EG9">
            <v>0.28735632183908044</v>
          </cell>
        </row>
        <row r="10">
          <cell r="EG10">
            <v>0.72992700729927007</v>
          </cell>
        </row>
        <row r="11">
          <cell r="EG11">
            <v>0.61349693251533743</v>
          </cell>
        </row>
        <row r="12">
          <cell r="EG12">
            <v>0.96153846153846145</v>
          </cell>
        </row>
        <row r="13">
          <cell r="EG13">
            <v>0.85470085470085477</v>
          </cell>
        </row>
        <row r="14">
          <cell r="EG14">
            <v>0.45248868778280543</v>
          </cell>
        </row>
        <row r="15">
          <cell r="EG15">
            <v>0.81967213114754101</v>
          </cell>
        </row>
        <row r="16">
          <cell r="EG16">
            <v>0.89285714285714279</v>
          </cell>
        </row>
        <row r="17">
          <cell r="EG17">
            <v>1.0309278350515465</v>
          </cell>
        </row>
        <row r="18">
          <cell r="EG18">
            <v>0.83333333333333337</v>
          </cell>
        </row>
        <row r="19">
          <cell r="EG19">
            <v>0.76923076923076916</v>
          </cell>
        </row>
        <row r="20">
          <cell r="EG20">
            <v>0.29069767441860467</v>
          </cell>
        </row>
        <row r="21">
          <cell r="EG21">
            <v>1.2195121951219512</v>
          </cell>
        </row>
        <row r="22">
          <cell r="EG22">
            <v>1.0416666666666667</v>
          </cell>
        </row>
        <row r="23">
          <cell r="EG23">
            <v>0.4081632653061224</v>
          </cell>
        </row>
        <row r="24">
          <cell r="EG24">
            <v>0.31847133757961782</v>
          </cell>
        </row>
        <row r="25">
          <cell r="EG25">
            <v>0.67114093959731547</v>
          </cell>
        </row>
        <row r="26">
          <cell r="EG26">
            <v>0.4329004329004329</v>
          </cell>
        </row>
        <row r="27">
          <cell r="EG27">
            <v>0.63291139240506322</v>
          </cell>
        </row>
        <row r="28">
          <cell r="EG28">
            <v>0.49019607843137253</v>
          </cell>
        </row>
        <row r="29">
          <cell r="EG29">
            <v>0.47169811320754712</v>
          </cell>
        </row>
        <row r="30">
          <cell r="EG30">
            <v>0.74626865671641784</v>
          </cell>
        </row>
        <row r="31">
          <cell r="EG31">
            <v>0.9174311926605504</v>
          </cell>
        </row>
        <row r="32">
          <cell r="EG32">
            <v>0.4504504504504504</v>
          </cell>
        </row>
        <row r="33">
          <cell r="EG33">
            <v>0.79365079365079361</v>
          </cell>
        </row>
        <row r="34">
          <cell r="EG34">
            <v>0.88495575221238942</v>
          </cell>
        </row>
        <row r="35">
          <cell r="EG35">
            <v>0.61728395061728392</v>
          </cell>
        </row>
        <row r="36">
          <cell r="EG36">
            <v>0.76335877862595414</v>
          </cell>
        </row>
        <row r="37">
          <cell r="EG37">
            <v>0.81967213114754101</v>
          </cell>
        </row>
        <row r="38">
          <cell r="EG38">
            <v>0.88495575221238942</v>
          </cell>
        </row>
        <row r="39">
          <cell r="EG39">
            <v>1.0989010989010988</v>
          </cell>
        </row>
        <row r="40">
          <cell r="EG40">
            <v>1.1494252873563218</v>
          </cell>
        </row>
        <row r="41">
          <cell r="EG41">
            <v>0.3623188405797102</v>
          </cell>
        </row>
        <row r="42">
          <cell r="EG42">
            <v>0.47619047619047616</v>
          </cell>
        </row>
        <row r="43">
          <cell r="EG43">
            <v>0.75757575757575757</v>
          </cell>
        </row>
        <row r="44">
          <cell r="EG44">
            <v>0.56497175141242939</v>
          </cell>
        </row>
        <row r="45">
          <cell r="EG45">
            <v>0.625</v>
          </cell>
        </row>
        <row r="46">
          <cell r="EG46">
            <v>0.51546391752577325</v>
          </cell>
        </row>
        <row r="47">
          <cell r="EG47">
            <v>0.54347826086956519</v>
          </cell>
        </row>
        <row r="48">
          <cell r="EG48">
            <v>1</v>
          </cell>
        </row>
        <row r="49">
          <cell r="EG49">
            <v>0.78125</v>
          </cell>
        </row>
        <row r="50">
          <cell r="EG50">
            <v>1.3888888888888888</v>
          </cell>
        </row>
        <row r="51">
          <cell r="EG51">
            <v>1.3888888888888888</v>
          </cell>
        </row>
        <row r="52">
          <cell r="EG52">
            <v>0.87719298245614041</v>
          </cell>
        </row>
        <row r="53">
          <cell r="EG53">
            <v>1.2658227848101264</v>
          </cell>
        </row>
        <row r="54">
          <cell r="EG54">
            <v>0.65359477124183007</v>
          </cell>
        </row>
        <row r="55">
          <cell r="EG55">
            <v>0.43103448275862072</v>
          </cell>
        </row>
        <row r="56">
          <cell r="EG56">
            <v>1.6949152542372883</v>
          </cell>
        </row>
        <row r="57">
          <cell r="EG57">
            <v>0.52631578947368418</v>
          </cell>
        </row>
        <row r="58">
          <cell r="EG58">
            <v>1.1764705882352942</v>
          </cell>
        </row>
        <row r="59">
          <cell r="EG59">
            <v>1.0416666666666667</v>
          </cell>
        </row>
        <row r="60">
          <cell r="EG60">
            <v>1.25</v>
          </cell>
        </row>
        <row r="61">
          <cell r="EG61">
            <v>0.77519379844961234</v>
          </cell>
        </row>
        <row r="62">
          <cell r="EG62">
            <v>6.4350064350064351E-2</v>
          </cell>
        </row>
        <row r="63">
          <cell r="EG63">
            <v>0.36764705882352938</v>
          </cell>
        </row>
        <row r="64">
          <cell r="EG64">
            <v>1.1494252873563218</v>
          </cell>
        </row>
        <row r="65">
          <cell r="EG65">
            <v>0.83333333333333337</v>
          </cell>
        </row>
        <row r="66">
          <cell r="EG66">
            <v>0.64102564102564097</v>
          </cell>
        </row>
        <row r="67">
          <cell r="EG67">
            <v>2.1276595744680851</v>
          </cell>
        </row>
        <row r="68">
          <cell r="EG68">
            <v>0.96153846153846145</v>
          </cell>
        </row>
        <row r="69">
          <cell r="EG69">
            <v>1.5384615384615383</v>
          </cell>
        </row>
        <row r="70">
          <cell r="EG70">
            <v>1.0101010101010102</v>
          </cell>
        </row>
        <row r="71">
          <cell r="EG71">
            <v>0.63291139240506322</v>
          </cell>
        </row>
        <row r="72">
          <cell r="EG72">
            <v>1.5151515151515151</v>
          </cell>
        </row>
        <row r="73">
          <cell r="EG73">
            <v>1.0869565217391304</v>
          </cell>
        </row>
        <row r="74">
          <cell r="EG74">
            <v>1.3888888888888888</v>
          </cell>
        </row>
        <row r="75">
          <cell r="EG75">
            <v>1.2820512820512819</v>
          </cell>
        </row>
        <row r="76">
          <cell r="EG76">
            <v>1.5151515151515151</v>
          </cell>
        </row>
        <row r="77">
          <cell r="EG77">
            <v>0.85470085470085477</v>
          </cell>
        </row>
        <row r="78">
          <cell r="EG78">
            <v>2.2222222222222223</v>
          </cell>
        </row>
        <row r="79">
          <cell r="EG79">
            <v>1.4084507042253522</v>
          </cell>
        </row>
        <row r="80">
          <cell r="EG80">
            <v>1.0101010101010102</v>
          </cell>
        </row>
        <row r="81">
          <cell r="EG81">
            <v>1.7543859649122808</v>
          </cell>
        </row>
        <row r="82">
          <cell r="EG82">
            <v>0.970873786407767</v>
          </cell>
        </row>
        <row r="83">
          <cell r="EG83">
            <v>1.6129032258064517</v>
          </cell>
        </row>
        <row r="84">
          <cell r="EG84">
            <v>1.5384615384615383</v>
          </cell>
        </row>
        <row r="85">
          <cell r="EG85">
            <v>0.89285714285714279</v>
          </cell>
        </row>
        <row r="86">
          <cell r="EG86">
            <v>0.9009009009009008</v>
          </cell>
        </row>
        <row r="87">
          <cell r="EG87">
            <v>0.89285714285714279</v>
          </cell>
        </row>
        <row r="88">
          <cell r="EG88">
            <v>1.0416666666666667</v>
          </cell>
        </row>
        <row r="89">
          <cell r="EG89">
            <v>0.34843205574912889</v>
          </cell>
        </row>
        <row r="90">
          <cell r="EG90">
            <v>1.4925373134328357</v>
          </cell>
        </row>
        <row r="91">
          <cell r="EG91">
            <v>0.80645161290322587</v>
          </cell>
        </row>
        <row r="92">
          <cell r="EG92">
            <v>1.5625</v>
          </cell>
        </row>
        <row r="93">
          <cell r="EG93">
            <v>0.54945054945054939</v>
          </cell>
        </row>
        <row r="94">
          <cell r="EG94">
            <v>0.76335877862595414</v>
          </cell>
        </row>
        <row r="95">
          <cell r="EG95">
            <v>0.303951367781155</v>
          </cell>
        </row>
        <row r="96">
          <cell r="EG96">
            <v>0.77519379844961234</v>
          </cell>
        </row>
        <row r="97">
          <cell r="EG97">
            <v>1.3698630136986301</v>
          </cell>
        </row>
        <row r="98">
          <cell r="EG98">
            <v>0.43103448275862072</v>
          </cell>
        </row>
        <row r="99">
          <cell r="EG99">
            <v>1.2195121951219512</v>
          </cell>
        </row>
        <row r="100">
          <cell r="EG100">
            <v>0.82644628099173556</v>
          </cell>
        </row>
        <row r="101">
          <cell r="EG101">
            <v>0.80645161290322587</v>
          </cell>
        </row>
        <row r="102">
          <cell r="EG102">
            <v>0.76923076923076916</v>
          </cell>
        </row>
        <row r="103">
          <cell r="EG103">
            <v>0.44843049327354262</v>
          </cell>
        </row>
        <row r="104">
          <cell r="EG104">
            <v>1.0309278350515465</v>
          </cell>
        </row>
        <row r="105">
          <cell r="EG105">
            <v>0.46296296296296291</v>
          </cell>
        </row>
        <row r="106">
          <cell r="EG106">
            <v>0.36101083032490977</v>
          </cell>
        </row>
        <row r="107">
          <cell r="EG107">
            <v>0.70921985815602839</v>
          </cell>
        </row>
        <row r="108">
          <cell r="EG108">
            <v>0.96153846153846145</v>
          </cell>
        </row>
        <row r="109">
          <cell r="EG109">
            <v>0.57471264367816088</v>
          </cell>
        </row>
        <row r="110">
          <cell r="EG110">
            <v>0.96153846153846145</v>
          </cell>
        </row>
        <row r="111">
          <cell r="EG111">
            <v>0.51546391752577325</v>
          </cell>
        </row>
        <row r="112">
          <cell r="EG112">
            <v>1.0638297872340425</v>
          </cell>
        </row>
        <row r="113">
          <cell r="EG113">
            <v>1.2345679012345678</v>
          </cell>
        </row>
        <row r="114">
          <cell r="EG114">
            <v>0.5524861878453039</v>
          </cell>
        </row>
        <row r="115">
          <cell r="EG115">
            <v>0.87719298245614041</v>
          </cell>
        </row>
        <row r="116">
          <cell r="EG116">
            <v>0.73529411764705876</v>
          </cell>
        </row>
        <row r="117">
          <cell r="EG117">
            <v>0.70422535211267612</v>
          </cell>
        </row>
        <row r="118">
          <cell r="EG118">
            <v>0.35714285714285715</v>
          </cell>
        </row>
        <row r="119">
          <cell r="EG119">
            <v>0.5714285714285714</v>
          </cell>
        </row>
        <row r="120">
          <cell r="EG120">
            <v>0.49261083743842371</v>
          </cell>
        </row>
        <row r="121">
          <cell r="EG121">
            <v>0.27932960893854747</v>
          </cell>
        </row>
        <row r="122">
          <cell r="EG122">
            <v>1.2195121951219512</v>
          </cell>
        </row>
        <row r="123">
          <cell r="EG123">
            <v>0.51282051282051289</v>
          </cell>
        </row>
        <row r="124">
          <cell r="EG124">
            <v>0.5714285714285714</v>
          </cell>
        </row>
        <row r="125">
          <cell r="EG125">
            <v>0.5181347150259068</v>
          </cell>
        </row>
        <row r="126">
          <cell r="EG126">
            <v>0.16666666666666666</v>
          </cell>
        </row>
        <row r="127">
          <cell r="EG127">
            <v>0.93457943925233644</v>
          </cell>
        </row>
        <row r="128">
          <cell r="EG128">
            <v>1.639344262295082</v>
          </cell>
        </row>
        <row r="129">
          <cell r="EG129">
            <v>1.4285714285714286</v>
          </cell>
        </row>
        <row r="130">
          <cell r="EG130">
            <v>0.93457943925233644</v>
          </cell>
        </row>
        <row r="131">
          <cell r="EG131">
            <v>1.4084507042253522</v>
          </cell>
        </row>
        <row r="132">
          <cell r="EG132">
            <v>0.46511627906976744</v>
          </cell>
        </row>
        <row r="133">
          <cell r="EG133">
            <v>1.0869565217391304</v>
          </cell>
        </row>
        <row r="134">
          <cell r="EG134">
            <v>0.52083333333333337</v>
          </cell>
        </row>
        <row r="135">
          <cell r="EG135">
            <v>0.94339622641509424</v>
          </cell>
        </row>
        <row r="136">
          <cell r="EG136">
            <v>1.5151515151515151</v>
          </cell>
        </row>
        <row r="137">
          <cell r="EG137">
            <v>1.4705882352941175</v>
          </cell>
        </row>
        <row r="138">
          <cell r="EG138">
            <v>1.9230769230769229</v>
          </cell>
        </row>
        <row r="139">
          <cell r="EG139">
            <v>0.26954177897574122</v>
          </cell>
        </row>
        <row r="140">
          <cell r="EG140">
            <v>0.29154518950437314</v>
          </cell>
        </row>
        <row r="141">
          <cell r="EG141">
            <v>0.625</v>
          </cell>
        </row>
        <row r="142">
          <cell r="EG142">
            <v>0.970873786407767</v>
          </cell>
        </row>
        <row r="143">
          <cell r="EG143">
            <v>0.6097560975609756</v>
          </cell>
        </row>
        <row r="144">
          <cell r="EG144">
            <v>0.41152263374485593</v>
          </cell>
        </row>
        <row r="145">
          <cell r="EG145">
            <v>0.9174311926605504</v>
          </cell>
        </row>
        <row r="146">
          <cell r="EG146">
            <v>1.1627906976744187</v>
          </cell>
        </row>
        <row r="147">
          <cell r="EG147">
            <v>0.66666666666666663</v>
          </cell>
        </row>
        <row r="148">
          <cell r="EG148">
            <v>0.60606060606060608</v>
          </cell>
        </row>
        <row r="149">
          <cell r="EG149">
            <v>1.2195121951219512</v>
          </cell>
        </row>
        <row r="150">
          <cell r="EG150">
            <v>0.6097560975609756</v>
          </cell>
        </row>
        <row r="151">
          <cell r="EG151">
            <v>0.6097560975609756</v>
          </cell>
        </row>
        <row r="152">
          <cell r="EG152">
            <v>0.49751243781094534</v>
          </cell>
        </row>
        <row r="153">
          <cell r="EG153">
            <v>0.22172949002217296</v>
          </cell>
        </row>
        <row r="154">
          <cell r="EG154">
            <v>0.5780346820809249</v>
          </cell>
        </row>
        <row r="155">
          <cell r="EG155">
            <v>0.78740157480314954</v>
          </cell>
        </row>
        <row r="156">
          <cell r="EG156">
            <v>0.44247787610619471</v>
          </cell>
        </row>
        <row r="157">
          <cell r="EG157">
            <v>0.75757575757575757</v>
          </cell>
        </row>
        <row r="158">
          <cell r="EG158">
            <v>0.66225165562913912</v>
          </cell>
        </row>
        <row r="159">
          <cell r="EG159">
            <v>0.73529411764705876</v>
          </cell>
        </row>
        <row r="160">
          <cell r="EG160">
            <v>0.2293577981651376</v>
          </cell>
        </row>
        <row r="161">
          <cell r="EG161">
            <v>0.5181347150259068</v>
          </cell>
        </row>
        <row r="162">
          <cell r="EG162">
            <v>0.81967213114754101</v>
          </cell>
        </row>
        <row r="163">
          <cell r="EG163">
            <v>0.54054054054054046</v>
          </cell>
        </row>
        <row r="164">
          <cell r="EG164">
            <v>1.1494252873563218</v>
          </cell>
        </row>
        <row r="165">
          <cell r="EG165">
            <v>0.31645569620253161</v>
          </cell>
        </row>
        <row r="166">
          <cell r="EG166">
            <v>0.31446540880503143</v>
          </cell>
        </row>
        <row r="167">
          <cell r="EG167">
            <v>0.37174721189591081</v>
          </cell>
        </row>
        <row r="168">
          <cell r="EG168">
            <v>0.58479532163742687</v>
          </cell>
        </row>
        <row r="169">
          <cell r="EG169">
            <v>0.37735849056603776</v>
          </cell>
        </row>
        <row r="170">
          <cell r="EG170">
            <v>0.60240963855421692</v>
          </cell>
        </row>
        <row r="171">
          <cell r="EG171">
            <v>0.61349693251533743</v>
          </cell>
        </row>
        <row r="172">
          <cell r="EG172">
            <v>0.61349693251533743</v>
          </cell>
        </row>
        <row r="173">
          <cell r="EG173">
            <v>1.2820512820512819</v>
          </cell>
        </row>
        <row r="174">
          <cell r="EG174">
            <v>0.2386634844868735</v>
          </cell>
        </row>
        <row r="175">
          <cell r="EG175">
            <v>1.2658227848101264</v>
          </cell>
        </row>
        <row r="176">
          <cell r="EG176">
            <v>0.76923076923076916</v>
          </cell>
        </row>
        <row r="177">
          <cell r="EG177">
            <v>1.2658227848101264</v>
          </cell>
        </row>
        <row r="178">
          <cell r="EG178">
            <v>1.0204081632653061</v>
          </cell>
        </row>
        <row r="179">
          <cell r="EG179">
            <v>1.1363636363636365</v>
          </cell>
        </row>
        <row r="180">
          <cell r="EG180">
            <v>0.52356020942408377</v>
          </cell>
        </row>
        <row r="181">
          <cell r="EG181">
            <v>0.5524861878453039</v>
          </cell>
        </row>
        <row r="182">
          <cell r="EG182">
            <v>1.1363636363636365</v>
          </cell>
        </row>
        <row r="183">
          <cell r="EG183">
            <v>0.59171597633136097</v>
          </cell>
        </row>
        <row r="184">
          <cell r="EG184">
            <v>0.7142857142857143</v>
          </cell>
        </row>
        <row r="185">
          <cell r="EG185">
            <v>1.1764705882352942</v>
          </cell>
        </row>
        <row r="186">
          <cell r="EG186">
            <v>1.0416666666666667</v>
          </cell>
        </row>
        <row r="187">
          <cell r="EG187">
            <v>0.82644628099173556</v>
          </cell>
        </row>
        <row r="188">
          <cell r="EG188">
            <v>0.49261083743842371</v>
          </cell>
        </row>
        <row r="189">
          <cell r="EG189">
            <v>0.4366812227074236</v>
          </cell>
        </row>
        <row r="190">
          <cell r="EG190">
            <v>1.0204081632653061</v>
          </cell>
        </row>
        <row r="191">
          <cell r="EG191">
            <v>0.5617977528089888</v>
          </cell>
        </row>
        <row r="192">
          <cell r="EG192">
            <v>1.0638297872340425</v>
          </cell>
        </row>
        <row r="193">
          <cell r="EG193">
            <v>1.3888888888888888</v>
          </cell>
        </row>
        <row r="194">
          <cell r="EG194">
            <v>1.2345679012345678</v>
          </cell>
        </row>
        <row r="195">
          <cell r="EG195">
            <v>1.0869565217391304</v>
          </cell>
        </row>
        <row r="196">
          <cell r="EG196">
            <v>0.7246376811594204</v>
          </cell>
        </row>
        <row r="197">
          <cell r="EG197">
            <v>0.67114093959731547</v>
          </cell>
        </row>
        <row r="198">
          <cell r="EG198">
            <v>0.96153846153846145</v>
          </cell>
        </row>
        <row r="199">
          <cell r="EG199">
            <v>0.67567567567567566</v>
          </cell>
        </row>
        <row r="200">
          <cell r="EG200">
            <v>0.58823529411764708</v>
          </cell>
        </row>
        <row r="201">
          <cell r="EG201">
            <v>0.53475935828876997</v>
          </cell>
        </row>
        <row r="202">
          <cell r="EG202">
            <v>0.51282051282051289</v>
          </cell>
        </row>
        <row r="203">
          <cell r="EG203">
            <v>0.59523809523809523</v>
          </cell>
        </row>
        <row r="204">
          <cell r="EG204">
            <v>0.3236245954692557</v>
          </cell>
        </row>
        <row r="205">
          <cell r="EG205">
            <v>0.86206896551724144</v>
          </cell>
        </row>
        <row r="206">
          <cell r="EG206">
            <v>0.41841004184100417</v>
          </cell>
        </row>
        <row r="207">
          <cell r="EG207">
            <v>0.7246376811594204</v>
          </cell>
        </row>
        <row r="208">
          <cell r="EG208">
            <v>0.32786885245901642</v>
          </cell>
        </row>
        <row r="209">
          <cell r="EG209">
            <v>0.5</v>
          </cell>
        </row>
        <row r="210">
          <cell r="EG210">
            <v>0.58823529411764708</v>
          </cell>
        </row>
        <row r="211">
          <cell r="EG211">
            <v>0.64516129032258063</v>
          </cell>
        </row>
        <row r="212">
          <cell r="EG212">
            <v>0.94339622641509424</v>
          </cell>
        </row>
        <row r="213">
          <cell r="EG213">
            <v>1.0638297872340425</v>
          </cell>
        </row>
        <row r="214">
          <cell r="EG214">
            <v>1.3157894736842106</v>
          </cell>
        </row>
        <row r="215">
          <cell r="EG215">
            <v>1.25</v>
          </cell>
        </row>
        <row r="216">
          <cell r="EG216">
            <v>0.53475935828876997</v>
          </cell>
        </row>
        <row r="217">
          <cell r="EG217">
            <v>0.69930069930069938</v>
          </cell>
        </row>
        <row r="218">
          <cell r="EG218">
            <v>0.64102564102564097</v>
          </cell>
        </row>
        <row r="219">
          <cell r="EG219">
            <v>1.7857142857142856</v>
          </cell>
        </row>
        <row r="220">
          <cell r="EG220">
            <v>0.93457943925233644</v>
          </cell>
        </row>
        <row r="221">
          <cell r="EG221">
            <v>1.2195121951219512</v>
          </cell>
        </row>
        <row r="222">
          <cell r="EG222">
            <v>0.25188916876574308</v>
          </cell>
        </row>
        <row r="223">
          <cell r="EG223">
            <v>1.5384615384615383</v>
          </cell>
        </row>
        <row r="224">
          <cell r="EG224">
            <v>1.4705882352941175</v>
          </cell>
        </row>
        <row r="225">
          <cell r="EG225">
            <v>0.5617977528089888</v>
          </cell>
        </row>
        <row r="226">
          <cell r="EG226">
            <v>1.0526315789473684</v>
          </cell>
        </row>
        <row r="227">
          <cell r="EG227">
            <v>0.34965034965034969</v>
          </cell>
        </row>
        <row r="228">
          <cell r="EG228">
            <v>0.625</v>
          </cell>
        </row>
        <row r="229">
          <cell r="EG229">
            <v>1.6949152542372883</v>
          </cell>
        </row>
        <row r="230">
          <cell r="EG230">
            <v>0.49019607843137253</v>
          </cell>
        </row>
        <row r="231">
          <cell r="EG231">
            <v>1.0638297872340425</v>
          </cell>
        </row>
        <row r="232">
          <cell r="EG232">
            <v>0.4854368932038835</v>
          </cell>
        </row>
        <row r="233">
          <cell r="EG233">
            <v>0.69444444444444442</v>
          </cell>
        </row>
        <row r="234">
          <cell r="EG234">
            <v>0.29069767441860467</v>
          </cell>
        </row>
        <row r="235">
          <cell r="EG235">
            <v>1.3513513513513513</v>
          </cell>
        </row>
        <row r="236">
          <cell r="EG236">
            <v>0.66666666666666663</v>
          </cell>
        </row>
        <row r="237">
          <cell r="EG237">
            <v>0.56497175141242939</v>
          </cell>
        </row>
        <row r="238">
          <cell r="EG238">
            <v>0.96153846153846145</v>
          </cell>
        </row>
        <row r="239">
          <cell r="EG239">
            <v>0.4366812227074236</v>
          </cell>
        </row>
        <row r="240">
          <cell r="EG240">
            <v>0.58823529411764708</v>
          </cell>
        </row>
        <row r="241">
          <cell r="EG241">
            <v>1</v>
          </cell>
        </row>
        <row r="242">
          <cell r="EG242">
            <v>0.970873786407767</v>
          </cell>
        </row>
        <row r="243">
          <cell r="EG243">
            <v>0.32894736842105265</v>
          </cell>
        </row>
        <row r="244">
          <cell r="EG244">
            <v>0.16778523489932887</v>
          </cell>
        </row>
        <row r="245">
          <cell r="EG245">
            <v>1.3513513513513513</v>
          </cell>
        </row>
        <row r="246">
          <cell r="EG246">
            <v>0.41152263374485593</v>
          </cell>
        </row>
        <row r="247">
          <cell r="EG247">
            <v>0.64935064935064934</v>
          </cell>
        </row>
        <row r="248">
          <cell r="EG248">
            <v>0.35587188612099646</v>
          </cell>
        </row>
        <row r="249">
          <cell r="EG249">
            <v>0.38910505836575876</v>
          </cell>
        </row>
        <row r="250">
          <cell r="EG250">
            <v>0.96153846153846145</v>
          </cell>
        </row>
        <row r="251">
          <cell r="EG251">
            <v>0.76923076923076916</v>
          </cell>
        </row>
        <row r="252">
          <cell r="EG252">
            <v>0.70422535211267612</v>
          </cell>
        </row>
        <row r="253">
          <cell r="EG253">
            <v>1.3333333333333333</v>
          </cell>
        </row>
        <row r="254">
          <cell r="EG254">
            <v>0.25125628140703515</v>
          </cell>
        </row>
        <row r="255">
          <cell r="EG255">
            <v>0.2061855670103093</v>
          </cell>
        </row>
        <row r="256">
          <cell r="EG256">
            <v>0.81300813008130079</v>
          </cell>
        </row>
        <row r="257">
          <cell r="EG257">
            <v>0.970873786407767</v>
          </cell>
        </row>
        <row r="258">
          <cell r="EG258">
            <v>0.49504950495049505</v>
          </cell>
        </row>
        <row r="259">
          <cell r="EG259">
            <v>1.2658227848101264</v>
          </cell>
        </row>
        <row r="260">
          <cell r="EG260">
            <v>1.3333333333333333</v>
          </cell>
        </row>
        <row r="261">
          <cell r="EG261">
            <v>0.84745762711864414</v>
          </cell>
        </row>
        <row r="262">
          <cell r="EG262">
            <v>0.75187969924812026</v>
          </cell>
        </row>
        <row r="263">
          <cell r="EG263">
            <v>0.37878787878787878</v>
          </cell>
        </row>
        <row r="264">
          <cell r="EG264">
            <v>0.37735849056603776</v>
          </cell>
        </row>
        <row r="265">
          <cell r="EG265">
            <v>1.4705882352941175</v>
          </cell>
        </row>
        <row r="266">
          <cell r="EG266">
            <v>1.0101010101010102</v>
          </cell>
        </row>
        <row r="267">
          <cell r="EG267">
            <v>1.1904761904761905</v>
          </cell>
        </row>
        <row r="268">
          <cell r="EG268">
            <v>0.4065040650406504</v>
          </cell>
        </row>
        <row r="269">
          <cell r="EG269">
            <v>1.2345679012345678</v>
          </cell>
        </row>
        <row r="270">
          <cell r="EG270">
            <v>0.40485829959514169</v>
          </cell>
        </row>
        <row r="271">
          <cell r="EG271">
            <v>0.4587155963302752</v>
          </cell>
        </row>
        <row r="272">
          <cell r="EG272">
            <v>0.21551724137931036</v>
          </cell>
        </row>
        <row r="273">
          <cell r="EG273">
            <v>0.43859649122807021</v>
          </cell>
        </row>
        <row r="274">
          <cell r="EG274">
            <v>0.32786885245901642</v>
          </cell>
        </row>
        <row r="275">
          <cell r="EG275">
            <v>1.0638297872340425</v>
          </cell>
        </row>
        <row r="276">
          <cell r="EG276">
            <v>0.62893081761006286</v>
          </cell>
        </row>
        <row r="277">
          <cell r="EG277">
            <v>0.23529411764705882</v>
          </cell>
        </row>
        <row r="278">
          <cell r="EG278">
            <v>0.34965034965034969</v>
          </cell>
        </row>
        <row r="279">
          <cell r="EG279">
            <v>0.6211180124223602</v>
          </cell>
        </row>
        <row r="280">
          <cell r="EG280">
            <v>0.64516129032258063</v>
          </cell>
        </row>
        <row r="281">
          <cell r="EG281">
            <v>0.67114093959731547</v>
          </cell>
        </row>
        <row r="282">
          <cell r="EG282">
            <v>0.970873786407767</v>
          </cell>
        </row>
        <row r="283">
          <cell r="EG283">
            <v>0.51282051282051289</v>
          </cell>
        </row>
        <row r="284">
          <cell r="EG284">
            <v>0.28653295128939826</v>
          </cell>
        </row>
        <row r="285">
          <cell r="EG285">
            <v>0.2040816326530612</v>
          </cell>
        </row>
        <row r="286">
          <cell r="EG286">
            <v>0.1972386587771203</v>
          </cell>
        </row>
        <row r="287">
          <cell r="EG287">
            <v>0.84745762711864414</v>
          </cell>
        </row>
        <row r="288">
          <cell r="EG288">
            <v>0.6211180124223602</v>
          </cell>
        </row>
        <row r="289">
          <cell r="EG289">
            <v>0.75187969924812026</v>
          </cell>
        </row>
        <row r="290">
          <cell r="EG290">
            <v>0.69444444444444442</v>
          </cell>
        </row>
        <row r="291">
          <cell r="EG291">
            <v>1.075268817204301</v>
          </cell>
        </row>
        <row r="292">
          <cell r="EG292">
            <v>0.4065040650406504</v>
          </cell>
        </row>
        <row r="293">
          <cell r="EG293">
            <v>0.5988023952095809</v>
          </cell>
        </row>
        <row r="294">
          <cell r="EG294">
            <v>0.48780487804878053</v>
          </cell>
        </row>
        <row r="295">
          <cell r="EG295">
            <v>0.46082949308755761</v>
          </cell>
        </row>
        <row r="296">
          <cell r="EG296">
            <v>0.52356020942408377</v>
          </cell>
        </row>
        <row r="297">
          <cell r="EG297">
            <v>0.51546391752577325</v>
          </cell>
        </row>
        <row r="298">
          <cell r="EG298">
            <v>0.40485829959514169</v>
          </cell>
        </row>
        <row r="299">
          <cell r="EG299">
            <v>0.38167938931297707</v>
          </cell>
        </row>
        <row r="300">
          <cell r="EG300">
            <v>1.1627906976744187</v>
          </cell>
        </row>
        <row r="301">
          <cell r="EG301">
            <v>0.36101083032490977</v>
          </cell>
        </row>
        <row r="302">
          <cell r="EG302">
            <v>2.6925148088314484E-2</v>
          </cell>
        </row>
        <row r="303">
          <cell r="EG303">
            <v>0.9009009009009008</v>
          </cell>
        </row>
        <row r="304">
          <cell r="EG304">
            <v>0.64516129032258063</v>
          </cell>
        </row>
        <row r="305">
          <cell r="EG305">
            <v>0.79365079365079361</v>
          </cell>
        </row>
        <row r="306">
          <cell r="EG306">
            <v>0.4504504504504504</v>
          </cell>
        </row>
        <row r="307">
          <cell r="EG307">
            <v>0.42735042735042739</v>
          </cell>
        </row>
        <row r="308">
          <cell r="EG308">
            <v>1.8518518518518516</v>
          </cell>
        </row>
        <row r="309">
          <cell r="EG309">
            <v>0.43103448275862072</v>
          </cell>
        </row>
        <row r="310">
          <cell r="EG310">
            <v>0.90909090909090906</v>
          </cell>
        </row>
        <row r="311">
          <cell r="EG311">
            <v>0.5524861878453039</v>
          </cell>
        </row>
        <row r="312">
          <cell r="EG312">
            <v>0.5714285714285714</v>
          </cell>
        </row>
        <row r="313">
          <cell r="EG313">
            <v>0.7142857142857143</v>
          </cell>
        </row>
        <row r="314">
          <cell r="EG314">
            <v>1.0416666666666667</v>
          </cell>
        </row>
        <row r="315">
          <cell r="EG315">
            <v>0.32894736842105265</v>
          </cell>
        </row>
        <row r="316">
          <cell r="EG316">
            <v>0.34246575342465752</v>
          </cell>
        </row>
        <row r="317">
          <cell r="EG317">
            <v>0.86206896551724144</v>
          </cell>
        </row>
        <row r="318">
          <cell r="EG318">
            <v>0.1669449081803005</v>
          </cell>
        </row>
        <row r="319">
          <cell r="EG319">
            <v>0.16339869281045752</v>
          </cell>
        </row>
        <row r="320">
          <cell r="EG320">
            <v>0.56497175141242939</v>
          </cell>
        </row>
        <row r="321">
          <cell r="EG321">
            <v>0.27173913043478259</v>
          </cell>
        </row>
        <row r="322">
          <cell r="EG322">
            <v>1.0989010989010988</v>
          </cell>
        </row>
        <row r="323">
          <cell r="EG323">
            <v>0.59523809523809523</v>
          </cell>
        </row>
        <row r="324">
          <cell r="EG324">
            <v>0.56818181818181823</v>
          </cell>
        </row>
        <row r="325">
          <cell r="EG325">
            <v>0.29940119760479045</v>
          </cell>
        </row>
        <row r="326">
          <cell r="EG326">
            <v>0.49751243781094534</v>
          </cell>
        </row>
        <row r="327">
          <cell r="EG327">
            <v>0.4366812227074236</v>
          </cell>
        </row>
        <row r="328">
          <cell r="EG328">
            <v>0.36101083032490977</v>
          </cell>
        </row>
        <row r="329">
          <cell r="EG329">
            <v>0.70422535211267612</v>
          </cell>
        </row>
        <row r="330">
          <cell r="EG330">
            <v>0.96153846153846145</v>
          </cell>
        </row>
        <row r="331">
          <cell r="EG331">
            <v>0.47846889952153115</v>
          </cell>
        </row>
        <row r="332">
          <cell r="EG332">
            <v>0.63694267515923564</v>
          </cell>
        </row>
        <row r="333">
          <cell r="EG333">
            <v>0.59523809523809523</v>
          </cell>
        </row>
        <row r="334">
          <cell r="EG334">
            <v>0.67567567567567566</v>
          </cell>
        </row>
        <row r="335">
          <cell r="EG335">
            <v>0.93457943925233644</v>
          </cell>
        </row>
        <row r="336">
          <cell r="EG336">
            <v>0.44247787610619471</v>
          </cell>
        </row>
        <row r="337">
          <cell r="EG337">
            <v>0.5617977528089888</v>
          </cell>
        </row>
        <row r="338">
          <cell r="EG338">
            <v>0.51282051282051289</v>
          </cell>
        </row>
        <row r="339">
          <cell r="EG339">
            <v>0.53475935828876997</v>
          </cell>
        </row>
        <row r="340">
          <cell r="EG340">
            <v>1.0526315789473684</v>
          </cell>
        </row>
        <row r="341">
          <cell r="EG341">
            <v>1.2658227848101264</v>
          </cell>
        </row>
        <row r="342">
          <cell r="EG342">
            <v>0.32573289902280134</v>
          </cell>
        </row>
        <row r="343">
          <cell r="EG343">
            <v>0.390625</v>
          </cell>
        </row>
        <row r="344">
          <cell r="EG344">
            <v>1.0101010101010102</v>
          </cell>
        </row>
        <row r="345">
          <cell r="EG345">
            <v>0.41493775933609955</v>
          </cell>
        </row>
        <row r="346">
          <cell r="EG346">
            <v>2.1739130434782608</v>
          </cell>
        </row>
        <row r="347">
          <cell r="EG347">
            <v>1.1363636363636365</v>
          </cell>
        </row>
        <row r="348">
          <cell r="EG348">
            <v>0.7142857142857143</v>
          </cell>
        </row>
        <row r="349">
          <cell r="EG349">
            <v>0.29850746268656714</v>
          </cell>
        </row>
        <row r="350">
          <cell r="EG350">
            <v>0.23640661938534277</v>
          </cell>
        </row>
        <row r="351">
          <cell r="EG351">
            <v>0.36900369003690037</v>
          </cell>
        </row>
        <row r="352">
          <cell r="EG352">
            <v>0.2061855670103093</v>
          </cell>
        </row>
        <row r="353">
          <cell r="EG353">
            <v>0.88495575221238942</v>
          </cell>
        </row>
        <row r="354">
          <cell r="EG354">
            <v>0.95238095238095233</v>
          </cell>
        </row>
        <row r="355">
          <cell r="EG355">
            <v>0.50251256281407031</v>
          </cell>
        </row>
        <row r="356">
          <cell r="EG356">
            <v>0.80645161290322587</v>
          </cell>
        </row>
        <row r="357">
          <cell r="EG357">
            <v>0.7246376811594204</v>
          </cell>
        </row>
        <row r="358">
          <cell r="EG358">
            <v>0.76335877862595414</v>
          </cell>
        </row>
        <row r="359">
          <cell r="EG359">
            <v>0.52083333333333337</v>
          </cell>
        </row>
        <row r="360">
          <cell r="EG360">
            <v>1.5873015873015872</v>
          </cell>
        </row>
        <row r="361">
          <cell r="EG361">
            <v>1.2048192771084338</v>
          </cell>
        </row>
        <row r="362">
          <cell r="EG362">
            <v>0.65359477124183007</v>
          </cell>
        </row>
        <row r="363">
          <cell r="EG363">
            <v>0.53475935828876997</v>
          </cell>
        </row>
        <row r="364">
          <cell r="EG364">
            <v>0.85470085470085477</v>
          </cell>
        </row>
        <row r="365">
          <cell r="EG365">
            <v>0.42553191489361702</v>
          </cell>
        </row>
        <row r="366">
          <cell r="EG366">
            <v>0.85470085470085477</v>
          </cell>
        </row>
        <row r="367">
          <cell r="EG367">
            <v>0.94339622641509424</v>
          </cell>
        </row>
        <row r="368">
          <cell r="EG368">
            <v>0.7407407407407407</v>
          </cell>
        </row>
        <row r="369">
          <cell r="EG369">
            <v>0.76923076923076916</v>
          </cell>
        </row>
        <row r="370">
          <cell r="EG370">
            <v>0.34722222222222221</v>
          </cell>
        </row>
        <row r="371">
          <cell r="EG371">
            <v>0.81967213114754101</v>
          </cell>
        </row>
        <row r="372">
          <cell r="EG372">
            <v>0.44843049327354262</v>
          </cell>
        </row>
        <row r="373">
          <cell r="EG373">
            <v>1.2987012987012987</v>
          </cell>
        </row>
        <row r="374">
          <cell r="EG374">
            <v>0.29498525073746312</v>
          </cell>
        </row>
        <row r="375">
          <cell r="EG375">
            <v>1.5873015873015872</v>
          </cell>
        </row>
        <row r="376">
          <cell r="EG376">
            <v>0.40160642570281119</v>
          </cell>
        </row>
        <row r="377">
          <cell r="EG377">
            <v>0.5617977528089888</v>
          </cell>
        </row>
        <row r="378">
          <cell r="EG378">
            <v>0.5524861878453039</v>
          </cell>
        </row>
        <row r="379">
          <cell r="EG379">
            <v>0.39370078740157477</v>
          </cell>
        </row>
        <row r="380">
          <cell r="EG380">
            <v>0.42553191489361702</v>
          </cell>
        </row>
        <row r="381">
          <cell r="EG381">
            <v>0.99009900990099009</v>
          </cell>
        </row>
        <row r="382">
          <cell r="EG382">
            <v>0.59523809523809523</v>
          </cell>
        </row>
        <row r="383">
          <cell r="EG383">
            <v>0.48076923076923073</v>
          </cell>
        </row>
        <row r="384">
          <cell r="EG384">
            <v>0.69930069930069938</v>
          </cell>
        </row>
        <row r="385">
          <cell r="EG385">
            <v>0.5</v>
          </cell>
        </row>
        <row r="386">
          <cell r="EG386">
            <v>1.2195121951219512</v>
          </cell>
        </row>
        <row r="387">
          <cell r="EG387">
            <v>0.75757575757575757</v>
          </cell>
        </row>
        <row r="388">
          <cell r="EG388">
            <v>0.71942446043165476</v>
          </cell>
        </row>
        <row r="389">
          <cell r="EG389">
            <v>0.44843049327354262</v>
          </cell>
        </row>
        <row r="390">
          <cell r="EG390">
            <v>0.93457943925233644</v>
          </cell>
        </row>
        <row r="391">
          <cell r="EG391">
            <v>1.2987012987012987</v>
          </cell>
        </row>
        <row r="392">
          <cell r="EG392">
            <v>0.67567567567567566</v>
          </cell>
        </row>
        <row r="393">
          <cell r="EG393">
            <v>1.075268817204301</v>
          </cell>
        </row>
        <row r="394">
          <cell r="EG394">
            <v>0.52631578947368418</v>
          </cell>
        </row>
        <row r="395">
          <cell r="EG395">
            <v>0.68493150684931503</v>
          </cell>
        </row>
        <row r="396">
          <cell r="EG396">
            <v>1.0204081632653061</v>
          </cell>
        </row>
        <row r="397">
          <cell r="EG397">
            <v>0.43103448275862072</v>
          </cell>
        </row>
        <row r="398">
          <cell r="EG398">
            <v>0.65359477124183007</v>
          </cell>
        </row>
        <row r="399">
          <cell r="EG399">
            <v>0.72992700729927007</v>
          </cell>
        </row>
        <row r="400">
          <cell r="EG400">
            <v>0.73529411764705876</v>
          </cell>
        </row>
        <row r="401">
          <cell r="EG401">
            <v>9.9206349206349201E-2</v>
          </cell>
        </row>
        <row r="402">
          <cell r="EG402">
            <v>0.88495575221238942</v>
          </cell>
        </row>
        <row r="403">
          <cell r="EG403">
            <v>1.1627906976744187</v>
          </cell>
        </row>
        <row r="404">
          <cell r="EG404">
            <v>1.2987012987012987</v>
          </cell>
        </row>
        <row r="405">
          <cell r="EG405">
            <v>0.26455026455026459</v>
          </cell>
        </row>
        <row r="406">
          <cell r="EG406">
            <v>1.3698630136986301</v>
          </cell>
        </row>
        <row r="407">
          <cell r="EG407">
            <v>0.53475935828876997</v>
          </cell>
        </row>
        <row r="408">
          <cell r="EG408">
            <v>1.2658227848101264</v>
          </cell>
        </row>
        <row r="409">
          <cell r="EG409">
            <v>1.6129032258064517</v>
          </cell>
        </row>
        <row r="410">
          <cell r="EG410">
            <v>1.4705882352941175</v>
          </cell>
        </row>
        <row r="411">
          <cell r="EG411">
            <v>1.0309278350515465</v>
          </cell>
        </row>
        <row r="412">
          <cell r="EG412">
            <v>1.2195121951219512</v>
          </cell>
        </row>
        <row r="413">
          <cell r="EG413">
            <v>0.54644808743169393</v>
          </cell>
        </row>
        <row r="414">
          <cell r="EG414">
            <v>0.82644628099173556</v>
          </cell>
        </row>
        <row r="415">
          <cell r="EG415">
            <v>0.88495575221238942</v>
          </cell>
        </row>
        <row r="416">
          <cell r="EG416">
            <v>0.86206896551724144</v>
          </cell>
        </row>
        <row r="417">
          <cell r="EG417">
            <v>0.75187969924812026</v>
          </cell>
        </row>
        <row r="418">
          <cell r="EG418">
            <v>0.64516129032258063</v>
          </cell>
        </row>
        <row r="419">
          <cell r="EG419">
            <v>0.3968253968253968</v>
          </cell>
        </row>
        <row r="420">
          <cell r="EG420">
            <v>1.25</v>
          </cell>
        </row>
        <row r="421">
          <cell r="EG421">
            <v>1.0869565217391304</v>
          </cell>
        </row>
        <row r="422">
          <cell r="EG422">
            <v>0.73529411764705876</v>
          </cell>
        </row>
        <row r="423">
          <cell r="EG423">
            <v>0.94339622641509424</v>
          </cell>
        </row>
        <row r="424">
          <cell r="EG424">
            <v>1.2345679012345678</v>
          </cell>
        </row>
        <row r="425">
          <cell r="EG425">
            <v>0.7246376811594204</v>
          </cell>
        </row>
        <row r="426">
          <cell r="EG426">
            <v>1.075268817204301</v>
          </cell>
        </row>
        <row r="427">
          <cell r="EG427">
            <v>1.0526315789473684</v>
          </cell>
        </row>
        <row r="428">
          <cell r="EG428">
            <v>0.89285714285714279</v>
          </cell>
        </row>
        <row r="429">
          <cell r="EG429">
            <v>0.93457943925233644</v>
          </cell>
        </row>
        <row r="430">
          <cell r="EG430">
            <v>0.4464285714285714</v>
          </cell>
        </row>
        <row r="431">
          <cell r="EG431">
            <v>0.73529411764705876</v>
          </cell>
        </row>
        <row r="432">
          <cell r="EG432">
            <v>0.78125</v>
          </cell>
        </row>
        <row r="433">
          <cell r="EG433">
            <v>0.81967213114754101</v>
          </cell>
        </row>
        <row r="434">
          <cell r="EG434">
            <v>1.0638297872340425</v>
          </cell>
        </row>
        <row r="435">
          <cell r="EG435">
            <v>0.6097560975609756</v>
          </cell>
        </row>
        <row r="436">
          <cell r="EG436">
            <v>0.38314176245210729</v>
          </cell>
        </row>
        <row r="437">
          <cell r="EG437">
            <v>0.44843049327354262</v>
          </cell>
        </row>
        <row r="438">
          <cell r="EG438">
            <v>0.22075055187637968</v>
          </cell>
        </row>
        <row r="439">
          <cell r="EG439">
            <v>0.80645161290322587</v>
          </cell>
        </row>
        <row r="440">
          <cell r="EG440">
            <v>0.17152658662092624</v>
          </cell>
        </row>
        <row r="441">
          <cell r="EG441">
            <v>0.51546391752577325</v>
          </cell>
        </row>
        <row r="442">
          <cell r="EG442">
            <v>0.46948356807511737</v>
          </cell>
        </row>
        <row r="443">
          <cell r="EG443">
            <v>0.33444816053511706</v>
          </cell>
        </row>
        <row r="444">
          <cell r="EG444">
            <v>0.74626865671641784</v>
          </cell>
        </row>
        <row r="445">
          <cell r="EG445">
            <v>0.44843049327354262</v>
          </cell>
        </row>
        <row r="446">
          <cell r="EG446">
            <v>0.19960079840319361</v>
          </cell>
        </row>
        <row r="447">
          <cell r="EG447">
            <v>0.65789473684210531</v>
          </cell>
        </row>
        <row r="448">
          <cell r="EG448">
            <v>1.0638297872340425</v>
          </cell>
        </row>
        <row r="449">
          <cell r="EG449">
            <v>0.45662100456621008</v>
          </cell>
        </row>
        <row r="450">
          <cell r="EG450">
            <v>0.5</v>
          </cell>
        </row>
        <row r="451">
          <cell r="EG451">
            <v>0.5376344086021505</v>
          </cell>
        </row>
        <row r="452">
          <cell r="EG452">
            <v>0.3058103975535168</v>
          </cell>
        </row>
        <row r="453">
          <cell r="EG453">
            <v>0.52910052910052918</v>
          </cell>
        </row>
        <row r="454">
          <cell r="EG454">
            <v>0.4329004329004329</v>
          </cell>
        </row>
        <row r="455">
          <cell r="EG455">
            <v>0.85470085470085477</v>
          </cell>
        </row>
        <row r="456">
          <cell r="EG456">
            <v>0.46296296296296291</v>
          </cell>
        </row>
        <row r="457">
          <cell r="EG457">
            <v>0.7407407407407407</v>
          </cell>
        </row>
        <row r="458">
          <cell r="EG458">
            <v>1.0416666666666667</v>
          </cell>
        </row>
        <row r="459">
          <cell r="EG459">
            <v>0.6211180124223602</v>
          </cell>
        </row>
        <row r="460">
          <cell r="EG460">
            <v>0.54054054054054046</v>
          </cell>
        </row>
        <row r="461">
          <cell r="EG461">
            <v>0.6211180124223602</v>
          </cell>
        </row>
        <row r="462">
          <cell r="EG462">
            <v>0.82644628099173556</v>
          </cell>
        </row>
        <row r="463">
          <cell r="EG463">
            <v>0.34965034965034969</v>
          </cell>
        </row>
        <row r="464">
          <cell r="EG464">
            <v>0.34722222222222221</v>
          </cell>
        </row>
        <row r="465">
          <cell r="EG465">
            <v>0.3401360544217687</v>
          </cell>
        </row>
        <row r="466">
          <cell r="EG466">
            <v>0.89285714285714279</v>
          </cell>
        </row>
        <row r="467">
          <cell r="EG467">
            <v>0.69444444444444442</v>
          </cell>
        </row>
        <row r="468">
          <cell r="EG468">
            <v>0.33222591362126247</v>
          </cell>
        </row>
        <row r="469">
          <cell r="EG469">
            <v>0.27777777777777779</v>
          </cell>
        </row>
        <row r="470">
          <cell r="EG470">
            <v>0.84745762711864414</v>
          </cell>
        </row>
        <row r="471">
          <cell r="EG471">
            <v>0.47846889952153115</v>
          </cell>
        </row>
        <row r="472">
          <cell r="EG472">
            <v>0.7407407407407407</v>
          </cell>
        </row>
        <row r="473">
          <cell r="EG473">
            <v>1.1764705882352942</v>
          </cell>
        </row>
        <row r="474">
          <cell r="EG474">
            <v>0.24449877750611249</v>
          </cell>
        </row>
        <row r="475">
          <cell r="EG475">
            <v>0.34602076124567471</v>
          </cell>
        </row>
        <row r="476">
          <cell r="EG476">
            <v>0.60606060606060608</v>
          </cell>
        </row>
        <row r="477">
          <cell r="EG477">
            <v>0.32679738562091504</v>
          </cell>
        </row>
        <row r="478">
          <cell r="EG478">
            <v>0.21367521367521369</v>
          </cell>
        </row>
        <row r="479">
          <cell r="EG479">
            <v>0.51546391752577325</v>
          </cell>
        </row>
        <row r="480">
          <cell r="EG480">
            <v>0.3115264797507788</v>
          </cell>
        </row>
        <row r="481">
          <cell r="EG481">
            <v>0.68965517241379315</v>
          </cell>
        </row>
        <row r="482">
          <cell r="EG482">
            <v>0.26595744680851063</v>
          </cell>
        </row>
        <row r="483">
          <cell r="EG483">
            <v>0.7246376811594204</v>
          </cell>
        </row>
        <row r="484">
          <cell r="EG484">
            <v>1.3698630136986301</v>
          </cell>
        </row>
        <row r="485">
          <cell r="EG485">
            <v>0.54945054945054939</v>
          </cell>
        </row>
        <row r="486">
          <cell r="EG486">
            <v>0.53475935828876997</v>
          </cell>
        </row>
        <row r="487">
          <cell r="EG487">
            <v>0.74626865671641784</v>
          </cell>
        </row>
        <row r="488">
          <cell r="EG488">
            <v>0.32051282051282048</v>
          </cell>
        </row>
        <row r="489">
          <cell r="EG489">
            <v>0.46082949308755761</v>
          </cell>
        </row>
        <row r="490">
          <cell r="EG490">
            <v>0.49504950495049505</v>
          </cell>
        </row>
        <row r="491">
          <cell r="EG491">
            <v>0.49751243781094534</v>
          </cell>
        </row>
        <row r="492">
          <cell r="EG492">
            <v>0.29850746268656714</v>
          </cell>
        </row>
        <row r="493">
          <cell r="EG493">
            <v>0.34246575342465752</v>
          </cell>
        </row>
        <row r="494">
          <cell r="EG494">
            <v>0.27027027027027023</v>
          </cell>
        </row>
        <row r="495">
          <cell r="EG495">
            <v>0.63694267515923564</v>
          </cell>
        </row>
        <row r="496">
          <cell r="EG496">
            <v>0.303951367781155</v>
          </cell>
        </row>
        <row r="497">
          <cell r="EG497">
            <v>0.42735042735042739</v>
          </cell>
        </row>
        <row r="498">
          <cell r="EG498">
            <v>0.38759689922480617</v>
          </cell>
        </row>
        <row r="499">
          <cell r="EG499">
            <v>7.3637702503681887E-2</v>
          </cell>
        </row>
        <row r="500">
          <cell r="EG500">
            <v>0.39370078740157477</v>
          </cell>
        </row>
        <row r="501">
          <cell r="EG501">
            <v>0.38167938931297707</v>
          </cell>
        </row>
        <row r="502">
          <cell r="EG502">
            <v>0.46511627906976744</v>
          </cell>
        </row>
        <row r="503">
          <cell r="EG503">
            <v>1.0416666666666667</v>
          </cell>
        </row>
        <row r="504">
          <cell r="EG504">
            <v>0.67567567567567566</v>
          </cell>
        </row>
        <row r="505">
          <cell r="EG505">
            <v>0.52083333333333337</v>
          </cell>
        </row>
        <row r="506">
          <cell r="EG506">
            <v>0.49261083743842371</v>
          </cell>
        </row>
        <row r="507">
          <cell r="EG507">
            <v>0.76335877862595414</v>
          </cell>
        </row>
        <row r="508">
          <cell r="EG508">
            <v>0.58479532163742687</v>
          </cell>
        </row>
        <row r="509">
          <cell r="EG509">
            <v>0.32679738562091504</v>
          </cell>
        </row>
        <row r="510">
          <cell r="EG510">
            <v>0.2304147465437788</v>
          </cell>
        </row>
        <row r="511">
          <cell r="EG511">
            <v>0.53191489361702127</v>
          </cell>
        </row>
        <row r="512">
          <cell r="EG512">
            <v>0.47169811320754712</v>
          </cell>
        </row>
        <row r="513">
          <cell r="EG513">
            <v>0.54054054054054046</v>
          </cell>
        </row>
        <row r="514">
          <cell r="EG514">
            <v>0.90909090909090906</v>
          </cell>
        </row>
        <row r="515">
          <cell r="EG515">
            <v>0.35211267605633806</v>
          </cell>
        </row>
        <row r="516">
          <cell r="EG516">
            <v>0.4587155963302752</v>
          </cell>
        </row>
        <row r="517">
          <cell r="EG517">
            <v>0.625</v>
          </cell>
        </row>
        <row r="518">
          <cell r="EG518">
            <v>0.7407407407407407</v>
          </cell>
        </row>
        <row r="519">
          <cell r="EG519">
            <v>1.0104071940992221E-2</v>
          </cell>
        </row>
        <row r="520">
          <cell r="EG520">
            <v>0.32573289902280134</v>
          </cell>
        </row>
        <row r="521">
          <cell r="EG521">
            <v>0.59523809523809523</v>
          </cell>
        </row>
        <row r="522">
          <cell r="EG522">
            <v>0.6097560975609756</v>
          </cell>
        </row>
        <row r="523">
          <cell r="EG523">
            <v>0.34722222222222221</v>
          </cell>
        </row>
        <row r="524">
          <cell r="EG524">
            <v>0.9174311926605504</v>
          </cell>
        </row>
        <row r="525">
          <cell r="EG525">
            <v>0.64935064935064934</v>
          </cell>
        </row>
        <row r="526">
          <cell r="EG526">
            <v>0.23923444976076558</v>
          </cell>
        </row>
        <row r="527">
          <cell r="EG527">
            <v>0.59523809523809523</v>
          </cell>
        </row>
        <row r="528">
          <cell r="EG528">
            <v>0.38759689922480617</v>
          </cell>
        </row>
        <row r="529">
          <cell r="EG529">
            <v>0.37735849056603776</v>
          </cell>
        </row>
        <row r="530">
          <cell r="EG530">
            <v>0.55865921787709494</v>
          </cell>
        </row>
        <row r="531">
          <cell r="EG531">
            <v>0.16750418760469013</v>
          </cell>
        </row>
        <row r="532">
          <cell r="EG532">
            <v>0.53475935828876997</v>
          </cell>
        </row>
        <row r="533">
          <cell r="EG533">
            <v>0.34246575342465752</v>
          </cell>
        </row>
        <row r="534">
          <cell r="EG534">
            <v>0.38610038610038611</v>
          </cell>
        </row>
        <row r="535">
          <cell r="EG535">
            <v>0.69930069930069938</v>
          </cell>
        </row>
        <row r="536">
          <cell r="EG536">
            <v>0.87719298245614041</v>
          </cell>
        </row>
        <row r="537">
          <cell r="EG537">
            <v>0.49261083743842371</v>
          </cell>
        </row>
        <row r="538">
          <cell r="EG538">
            <v>0.37878787878787878</v>
          </cell>
        </row>
        <row r="539">
          <cell r="EG539">
            <v>0.36630036630036628</v>
          </cell>
        </row>
        <row r="540">
          <cell r="EG540">
            <v>0.4098360655737705</v>
          </cell>
        </row>
        <row r="541">
          <cell r="EG541">
            <v>0.81967213114754101</v>
          </cell>
        </row>
        <row r="542">
          <cell r="EG542">
            <v>0.30864197530864196</v>
          </cell>
        </row>
        <row r="543">
          <cell r="EG543">
            <v>0.18691588785046731</v>
          </cell>
        </row>
        <row r="544">
          <cell r="EG544">
            <v>0.36900369003690037</v>
          </cell>
        </row>
        <row r="545">
          <cell r="EG545">
            <v>0.13245033112582782</v>
          </cell>
        </row>
        <row r="546">
          <cell r="EG546">
            <v>0.58139534883720934</v>
          </cell>
        </row>
        <row r="547">
          <cell r="EG547">
            <v>0.94339622641509424</v>
          </cell>
        </row>
        <row r="548">
          <cell r="EG548">
            <v>1.5625</v>
          </cell>
        </row>
        <row r="549">
          <cell r="EG549">
            <v>0.75757575757575757</v>
          </cell>
        </row>
        <row r="550">
          <cell r="EG550">
            <v>0.58823529411764708</v>
          </cell>
        </row>
        <row r="551">
          <cell r="EG551">
            <v>0.66666666666666663</v>
          </cell>
        </row>
        <row r="552">
          <cell r="EG552">
            <v>1.2658227848101264</v>
          </cell>
        </row>
        <row r="553">
          <cell r="EG553">
            <v>1.2345679012345678</v>
          </cell>
        </row>
        <row r="554">
          <cell r="EG554">
            <v>1.2345679012345678</v>
          </cell>
        </row>
        <row r="555">
          <cell r="EG555">
            <v>4.7096500729995761E-3</v>
          </cell>
        </row>
        <row r="556">
          <cell r="EG556">
            <v>1.5384615384615383</v>
          </cell>
        </row>
        <row r="557">
          <cell r="EG557">
            <v>0.28409090909090912</v>
          </cell>
        </row>
        <row r="558">
          <cell r="EG558">
            <v>0.58479532163742687</v>
          </cell>
        </row>
        <row r="559">
          <cell r="EG559">
            <v>0.49019607843137253</v>
          </cell>
        </row>
        <row r="560">
          <cell r="EG560">
            <v>0.970873786407767</v>
          </cell>
        </row>
        <row r="561">
          <cell r="EG561">
            <v>1.0869565217391304</v>
          </cell>
        </row>
        <row r="562">
          <cell r="EG562">
            <v>0.95238095238095233</v>
          </cell>
        </row>
        <row r="563">
          <cell r="EG563">
            <v>1.3513513513513513</v>
          </cell>
        </row>
        <row r="564">
          <cell r="EG564">
            <v>0.87719298245614041</v>
          </cell>
        </row>
        <row r="565">
          <cell r="EG565">
            <v>0.75757575757575757</v>
          </cell>
        </row>
        <row r="566">
          <cell r="EG566">
            <v>0.78125</v>
          </cell>
        </row>
        <row r="567">
          <cell r="EG567">
            <v>0.68493150684931503</v>
          </cell>
        </row>
        <row r="568">
          <cell r="EG568">
            <v>0.80645161290322587</v>
          </cell>
        </row>
        <row r="569">
          <cell r="EG569">
            <v>0.81967213114754101</v>
          </cell>
        </row>
        <row r="570">
          <cell r="EG570">
            <v>0.73529411764705876</v>
          </cell>
        </row>
        <row r="571">
          <cell r="EG571">
            <v>0.69444444444444442</v>
          </cell>
        </row>
        <row r="572">
          <cell r="EG572">
            <v>0.84745762711864414</v>
          </cell>
        </row>
        <row r="573">
          <cell r="EG573">
            <v>0.85470085470085477</v>
          </cell>
        </row>
        <row r="574">
          <cell r="EG574">
            <v>0.83333333333333337</v>
          </cell>
        </row>
        <row r="575">
          <cell r="EG575">
            <v>0.5376344086021505</v>
          </cell>
        </row>
        <row r="576">
          <cell r="EG576">
            <v>0.41493775933609955</v>
          </cell>
        </row>
        <row r="577">
          <cell r="EG577">
            <v>1.0526315789473684</v>
          </cell>
        </row>
        <row r="578">
          <cell r="EG578">
            <v>1.0416666666666667</v>
          </cell>
        </row>
        <row r="579">
          <cell r="EG579">
            <v>0.99009900990099009</v>
          </cell>
        </row>
        <row r="580">
          <cell r="EG580">
            <v>0.73529411764705876</v>
          </cell>
        </row>
        <row r="581">
          <cell r="EG581">
            <v>0.970873786407767</v>
          </cell>
        </row>
        <row r="582">
          <cell r="EG582">
            <v>0.4</v>
          </cell>
        </row>
        <row r="583">
          <cell r="EG583">
            <v>0.67567567567567566</v>
          </cell>
        </row>
        <row r="584">
          <cell r="EG584">
            <v>0.35211267605633806</v>
          </cell>
        </row>
        <row r="585">
          <cell r="EG585">
            <v>0.69444444444444442</v>
          </cell>
        </row>
        <row r="586">
          <cell r="EG586">
            <v>0.86956521739130443</v>
          </cell>
        </row>
        <row r="587">
          <cell r="EG587">
            <v>0.55865921787709494</v>
          </cell>
        </row>
        <row r="588">
          <cell r="EG588">
            <v>0.72992700729927007</v>
          </cell>
        </row>
        <row r="589">
          <cell r="EG589">
            <v>0.51020408163265307</v>
          </cell>
        </row>
        <row r="590">
          <cell r="EG590">
            <v>0.42194092827004215</v>
          </cell>
        </row>
        <row r="591">
          <cell r="EG591">
            <v>0.22222222222222221</v>
          </cell>
        </row>
        <row r="592">
          <cell r="EG592">
            <v>0.41666666666666669</v>
          </cell>
        </row>
        <row r="593">
          <cell r="EG593">
            <v>0.47393364928909953</v>
          </cell>
        </row>
        <row r="594">
          <cell r="EG594">
            <v>0.62893081761006286</v>
          </cell>
        </row>
        <row r="595">
          <cell r="EG595">
            <v>0.2824858757062147</v>
          </cell>
        </row>
        <row r="596">
          <cell r="EG596">
            <v>0.87719298245614041</v>
          </cell>
        </row>
        <row r="597">
          <cell r="EG597">
            <v>1</v>
          </cell>
        </row>
        <row r="598">
          <cell r="EG598">
            <v>0.9009009009009008</v>
          </cell>
        </row>
        <row r="599">
          <cell r="EG599">
            <v>0.92592592592592582</v>
          </cell>
        </row>
        <row r="600">
          <cell r="EG600">
            <v>0.32894736842105265</v>
          </cell>
        </row>
        <row r="601">
          <cell r="EG601">
            <v>1.0638297872340425</v>
          </cell>
        </row>
        <row r="602">
          <cell r="EG602">
            <v>0.27548209366391185</v>
          </cell>
        </row>
        <row r="603">
          <cell r="EG603">
            <v>0.125</v>
          </cell>
        </row>
        <row r="604">
          <cell r="EG604">
            <v>1.4705882352941175</v>
          </cell>
        </row>
        <row r="605">
          <cell r="EG605">
            <v>0.23923444976076558</v>
          </cell>
        </row>
        <row r="606">
          <cell r="EG606">
            <v>1.0869565217391304</v>
          </cell>
        </row>
        <row r="607">
          <cell r="EG607">
            <v>0.2610966057441253</v>
          </cell>
        </row>
        <row r="608">
          <cell r="EG608">
            <v>0.36764705882352938</v>
          </cell>
        </row>
        <row r="609">
          <cell r="EG609">
            <v>0.32679738562091504</v>
          </cell>
        </row>
        <row r="610">
          <cell r="EG610">
            <v>1</v>
          </cell>
        </row>
        <row r="611">
          <cell r="EG611">
            <v>0.52910052910052918</v>
          </cell>
        </row>
        <row r="612">
          <cell r="EG612">
            <v>1</v>
          </cell>
        </row>
        <row r="613">
          <cell r="EG613">
            <v>0.5714285714285714</v>
          </cell>
        </row>
        <row r="614">
          <cell r="EG614">
            <v>0.22831050228310504</v>
          </cell>
        </row>
        <row r="615">
          <cell r="EG615">
            <v>0.20746887966804978</v>
          </cell>
        </row>
        <row r="616">
          <cell r="EG616">
            <v>0.75187969924812026</v>
          </cell>
        </row>
        <row r="617">
          <cell r="EG617">
            <v>1.0526315789473684</v>
          </cell>
        </row>
        <row r="618">
          <cell r="EG618">
            <v>1.1494252873563218</v>
          </cell>
        </row>
        <row r="619">
          <cell r="EG619">
            <v>0.28011204481792717</v>
          </cell>
        </row>
        <row r="620">
          <cell r="EG620">
            <v>0.83333333333333337</v>
          </cell>
        </row>
        <row r="621">
          <cell r="EG621">
            <v>0.98039215686274506</v>
          </cell>
        </row>
        <row r="622">
          <cell r="EG622">
            <v>0.49751243781094534</v>
          </cell>
        </row>
        <row r="623">
          <cell r="EG623">
            <v>0.83333333333333337</v>
          </cell>
        </row>
        <row r="624">
          <cell r="EG624">
            <v>0.7246376811594204</v>
          </cell>
        </row>
        <row r="625">
          <cell r="EG625">
            <v>0.58139534883720934</v>
          </cell>
        </row>
        <row r="626">
          <cell r="EG626">
            <v>0.49261083743842371</v>
          </cell>
        </row>
        <row r="627">
          <cell r="EG627">
            <v>1.0526315789473684</v>
          </cell>
        </row>
        <row r="628">
          <cell r="EG628">
            <v>0.29154518950437314</v>
          </cell>
        </row>
        <row r="629">
          <cell r="EG629">
            <v>1.0526315789473684</v>
          </cell>
        </row>
        <row r="630">
          <cell r="EG630">
            <v>0.48076923076923073</v>
          </cell>
        </row>
        <row r="631">
          <cell r="EG631">
            <v>0.5714285714285714</v>
          </cell>
        </row>
        <row r="632">
          <cell r="EG632">
            <v>1.2987012987012987</v>
          </cell>
        </row>
        <row r="633">
          <cell r="EG633">
            <v>4.8239266763145196E-2</v>
          </cell>
        </row>
        <row r="634">
          <cell r="EG634">
            <v>0.5617977528089888</v>
          </cell>
        </row>
        <row r="635">
          <cell r="EG635">
            <v>0.21881838074398249</v>
          </cell>
        </row>
        <row r="636">
          <cell r="EG636">
            <v>0.82644628099173556</v>
          </cell>
        </row>
        <row r="637">
          <cell r="EG637">
            <v>0.40322580645161293</v>
          </cell>
        </row>
        <row r="638">
          <cell r="EG638">
            <v>0.24570024570024568</v>
          </cell>
        </row>
        <row r="639">
          <cell r="EG639">
            <v>0.54945054945054939</v>
          </cell>
        </row>
        <row r="640">
          <cell r="EG640">
            <v>0.75187969924812026</v>
          </cell>
        </row>
        <row r="641">
          <cell r="EG641">
            <v>2.9205607476635514E-2</v>
          </cell>
        </row>
        <row r="642">
          <cell r="EG642">
            <v>0.59523809523809523</v>
          </cell>
        </row>
        <row r="643">
          <cell r="EG643">
            <v>0.54644808743169393</v>
          </cell>
        </row>
        <row r="644">
          <cell r="EG644">
            <v>0.5181347150259068</v>
          </cell>
        </row>
        <row r="645">
          <cell r="EG645">
            <v>0.6211180124223602</v>
          </cell>
        </row>
        <row r="646">
          <cell r="EG646">
            <v>0.34129692832764502</v>
          </cell>
        </row>
        <row r="647">
          <cell r="EG647">
            <v>0.56497175141242939</v>
          </cell>
        </row>
        <row r="648">
          <cell r="EG648">
            <v>0.53475935828876997</v>
          </cell>
        </row>
        <row r="649">
          <cell r="EG649">
            <v>0.66666666666666663</v>
          </cell>
        </row>
        <row r="650">
          <cell r="EG650">
            <v>0.64102564102564097</v>
          </cell>
        </row>
        <row r="651">
          <cell r="EG651">
            <v>0.44444444444444442</v>
          </cell>
        </row>
        <row r="652">
          <cell r="EG652">
            <v>0.84033613445378152</v>
          </cell>
        </row>
        <row r="653">
          <cell r="EG653">
            <v>0.51546391752577325</v>
          </cell>
        </row>
        <row r="654">
          <cell r="EG654">
            <v>0.79365079365079361</v>
          </cell>
        </row>
        <row r="655">
          <cell r="EG655">
            <v>0.22831050228310504</v>
          </cell>
        </row>
        <row r="656">
          <cell r="EG656">
            <v>0.49751243781094534</v>
          </cell>
        </row>
        <row r="657">
          <cell r="EG657">
            <v>0.66225165562913912</v>
          </cell>
        </row>
        <row r="658">
          <cell r="EG658">
            <v>0.23255813953488372</v>
          </cell>
        </row>
        <row r="659">
          <cell r="EG659">
            <v>1.1363636363636365</v>
          </cell>
        </row>
        <row r="660">
          <cell r="EG660">
            <v>0.3968253968253968</v>
          </cell>
        </row>
        <row r="661">
          <cell r="EG661">
            <v>0.4587155963302752</v>
          </cell>
        </row>
        <row r="662">
          <cell r="EG662">
            <v>0.72992700729927007</v>
          </cell>
        </row>
        <row r="663">
          <cell r="EG663">
            <v>0.75187969924812026</v>
          </cell>
        </row>
        <row r="664">
          <cell r="EG664">
            <v>0.34246575342465752</v>
          </cell>
        </row>
        <row r="665">
          <cell r="EG665">
            <v>0.52356020942408377</v>
          </cell>
        </row>
        <row r="666">
          <cell r="EG666">
            <v>0.53475935828876997</v>
          </cell>
        </row>
        <row r="667">
          <cell r="EG667">
            <v>1.0204081632653061</v>
          </cell>
        </row>
        <row r="668">
          <cell r="EG668">
            <v>0.41152263374485593</v>
          </cell>
        </row>
        <row r="669">
          <cell r="EG669">
            <v>0.96153846153846145</v>
          </cell>
        </row>
        <row r="670">
          <cell r="EG670">
            <v>0.96153846153846145</v>
          </cell>
        </row>
        <row r="671">
          <cell r="EG671">
            <v>0.69930069930069938</v>
          </cell>
        </row>
        <row r="672">
          <cell r="EG672">
            <v>0.77519379844961234</v>
          </cell>
        </row>
        <row r="673">
          <cell r="EG673">
            <v>0.86956521739130443</v>
          </cell>
        </row>
        <row r="674">
          <cell r="EG674">
            <v>0.49261083743842371</v>
          </cell>
        </row>
        <row r="675">
          <cell r="EG675">
            <v>0.95238095238095233</v>
          </cell>
        </row>
        <row r="676">
          <cell r="EG676">
            <v>0.92592592592592582</v>
          </cell>
        </row>
        <row r="677">
          <cell r="EG677">
            <v>0.42553191489361702</v>
          </cell>
        </row>
        <row r="678">
          <cell r="EG678">
            <v>1.0101010101010102</v>
          </cell>
        </row>
        <row r="679">
          <cell r="EG679">
            <v>0.8</v>
          </cell>
        </row>
        <row r="680">
          <cell r="EG680">
            <v>1.4084507042253522</v>
          </cell>
        </row>
        <row r="681">
          <cell r="EG681">
            <v>0.117096018735363</v>
          </cell>
        </row>
        <row r="682">
          <cell r="EG682">
            <v>0.40160642570281119</v>
          </cell>
        </row>
        <row r="683">
          <cell r="EG683">
            <v>0.7407407407407407</v>
          </cell>
        </row>
        <row r="684">
          <cell r="EG684">
            <v>0.43478260869565222</v>
          </cell>
        </row>
        <row r="685">
          <cell r="EG685">
            <v>1.2345679012345678</v>
          </cell>
        </row>
        <row r="686">
          <cell r="EG686">
            <v>0.99009900990099009</v>
          </cell>
        </row>
        <row r="687">
          <cell r="EG687">
            <v>0.81967213114754101</v>
          </cell>
        </row>
        <row r="688">
          <cell r="EG688">
            <v>0.50505050505050508</v>
          </cell>
        </row>
        <row r="689">
          <cell r="EG689">
            <v>0.5524861878453039</v>
          </cell>
        </row>
        <row r="690">
          <cell r="EG690">
            <v>0.35971223021582738</v>
          </cell>
        </row>
        <row r="691">
          <cell r="EG691">
            <v>0.86206896551724144</v>
          </cell>
        </row>
        <row r="692">
          <cell r="EG692">
            <v>0.4366812227074236</v>
          </cell>
        </row>
        <row r="693">
          <cell r="EG693">
            <v>0.60606060606060608</v>
          </cell>
        </row>
        <row r="694">
          <cell r="EG694">
            <v>0.26737967914438499</v>
          </cell>
        </row>
        <row r="695">
          <cell r="EG695">
            <v>0.68027210884353739</v>
          </cell>
        </row>
        <row r="696">
          <cell r="EG696">
            <v>0.26246719160104987</v>
          </cell>
        </row>
        <row r="697">
          <cell r="EG697">
            <v>0.55555555555555558</v>
          </cell>
        </row>
        <row r="698">
          <cell r="EG698">
            <v>0.45454545454545453</v>
          </cell>
        </row>
        <row r="699">
          <cell r="EG699">
            <v>0.61349693251533743</v>
          </cell>
        </row>
        <row r="700">
          <cell r="EG700">
            <v>0.92592592592592582</v>
          </cell>
        </row>
        <row r="701">
          <cell r="EG701">
            <v>1.0989010989010988</v>
          </cell>
        </row>
        <row r="702">
          <cell r="EG702">
            <v>0.87719298245614041</v>
          </cell>
        </row>
        <row r="703">
          <cell r="EG703">
            <v>0.75757575757575757</v>
          </cell>
        </row>
        <row r="704">
          <cell r="EG704">
            <v>0.43478260869565222</v>
          </cell>
        </row>
        <row r="705">
          <cell r="EG705">
            <v>0.93457943925233644</v>
          </cell>
        </row>
        <row r="706">
          <cell r="EG706">
            <v>0.390625</v>
          </cell>
        </row>
        <row r="707">
          <cell r="EG707">
            <v>0.42194092827004215</v>
          </cell>
        </row>
        <row r="708">
          <cell r="EG708">
            <v>0.42918454935622319</v>
          </cell>
        </row>
        <row r="709">
          <cell r="EG709">
            <v>8.5106382978723402E-2</v>
          </cell>
        </row>
        <row r="710">
          <cell r="EG710">
            <v>0.9174311926605504</v>
          </cell>
        </row>
        <row r="711">
          <cell r="EG711">
            <v>0.72992700729927007</v>
          </cell>
        </row>
        <row r="712">
          <cell r="EG712">
            <v>0.7246376811594204</v>
          </cell>
        </row>
        <row r="713">
          <cell r="EG713">
            <v>0.4081632653061224</v>
          </cell>
        </row>
        <row r="714">
          <cell r="EG714">
            <v>1.3333333333333333</v>
          </cell>
        </row>
        <row r="715">
          <cell r="EG715">
            <v>0.92592592592592582</v>
          </cell>
        </row>
        <row r="716">
          <cell r="EG716">
            <v>0.41493775933609955</v>
          </cell>
        </row>
        <row r="717">
          <cell r="EG717">
            <v>0.54644808743169393</v>
          </cell>
        </row>
        <row r="718">
          <cell r="EG718">
            <v>0.25575447570332482</v>
          </cell>
        </row>
        <row r="719">
          <cell r="EG719">
            <v>0.66666666666666663</v>
          </cell>
        </row>
        <row r="720">
          <cell r="EG720">
            <v>0.41841004184100417</v>
          </cell>
        </row>
        <row r="721">
          <cell r="EG721">
            <v>0.36764705882352938</v>
          </cell>
        </row>
        <row r="722">
          <cell r="EG722">
            <v>0.68027210884353739</v>
          </cell>
        </row>
        <row r="723">
          <cell r="EG723">
            <v>0.35087719298245612</v>
          </cell>
        </row>
        <row r="724">
          <cell r="EG724">
            <v>0.52631578947368418</v>
          </cell>
        </row>
        <row r="725">
          <cell r="EG725">
            <v>0.38610038610038611</v>
          </cell>
        </row>
        <row r="726">
          <cell r="EG726">
            <v>0.4854368932038835</v>
          </cell>
        </row>
        <row r="727">
          <cell r="EG727">
            <v>0.61349693251533743</v>
          </cell>
        </row>
        <row r="728">
          <cell r="EG728">
            <v>0.96153846153846145</v>
          </cell>
        </row>
        <row r="729">
          <cell r="EG729">
            <v>0.33112582781456956</v>
          </cell>
        </row>
        <row r="730">
          <cell r="EG730">
            <v>1.0101010101010102</v>
          </cell>
        </row>
        <row r="731">
          <cell r="EG731">
            <v>0.3623188405797102</v>
          </cell>
        </row>
        <row r="732">
          <cell r="EG732">
            <v>0.88495575221238942</v>
          </cell>
        </row>
        <row r="733">
          <cell r="EG733">
            <v>0.76335877862595414</v>
          </cell>
        </row>
        <row r="734">
          <cell r="EG734">
            <v>0.7142857142857143</v>
          </cell>
        </row>
        <row r="735">
          <cell r="EG735">
            <v>0.84745762711864414</v>
          </cell>
        </row>
        <row r="736">
          <cell r="EG736">
            <v>0.15797788309636651</v>
          </cell>
        </row>
        <row r="737">
          <cell r="EG737">
            <v>0.58823529411764708</v>
          </cell>
        </row>
        <row r="738">
          <cell r="EG738">
            <v>0.30211480362537763</v>
          </cell>
        </row>
        <row r="739">
          <cell r="EG739">
            <v>0.44843049327354262</v>
          </cell>
        </row>
        <row r="740">
          <cell r="EG740">
            <v>1.0989010989010988</v>
          </cell>
        </row>
        <row r="741">
          <cell r="EG741">
            <v>0.20661157024793389</v>
          </cell>
        </row>
        <row r="742">
          <cell r="EG742">
            <v>0.3546099290780142</v>
          </cell>
        </row>
        <row r="743">
          <cell r="EG743">
            <v>0.46082949308755761</v>
          </cell>
        </row>
        <row r="744">
          <cell r="EG744">
            <v>0.64516129032258063</v>
          </cell>
        </row>
        <row r="745">
          <cell r="EG745">
            <v>0.49019607843137253</v>
          </cell>
        </row>
        <row r="746">
          <cell r="EG746">
            <v>0.49504950495049505</v>
          </cell>
        </row>
        <row r="747">
          <cell r="EG747">
            <v>1.0309278350515465</v>
          </cell>
        </row>
        <row r="748">
          <cell r="EG748">
            <v>0.42016806722689076</v>
          </cell>
        </row>
        <row r="749">
          <cell r="EG749">
            <v>0.29069767441860467</v>
          </cell>
        </row>
        <row r="750">
          <cell r="EG750">
            <v>0.61728395061728392</v>
          </cell>
        </row>
        <row r="751">
          <cell r="EG751">
            <v>0.5780346820809249</v>
          </cell>
        </row>
        <row r="752">
          <cell r="EG752">
            <v>0.38759689922480617</v>
          </cell>
        </row>
        <row r="753">
          <cell r="EG753">
            <v>0.85470085470085477</v>
          </cell>
        </row>
        <row r="754">
          <cell r="EG754">
            <v>0.43478260869565222</v>
          </cell>
        </row>
        <row r="755">
          <cell r="EG755">
            <v>0.9009009009009008</v>
          </cell>
        </row>
        <row r="756">
          <cell r="EG756">
            <v>0.38759689922480617</v>
          </cell>
        </row>
        <row r="757">
          <cell r="EG757">
            <v>0.20576131687242796</v>
          </cell>
        </row>
        <row r="758">
          <cell r="EG758">
            <v>0.44247787610619471</v>
          </cell>
        </row>
        <row r="759">
          <cell r="EG759">
            <v>0.9009009009009008</v>
          </cell>
        </row>
        <row r="760">
          <cell r="EG760">
            <v>0.49019607843137253</v>
          </cell>
        </row>
        <row r="761">
          <cell r="EG761">
            <v>0.5</v>
          </cell>
        </row>
        <row r="762">
          <cell r="EG762">
            <v>0.71942446043165476</v>
          </cell>
        </row>
        <row r="763">
          <cell r="EG763">
            <v>0.73529411764705876</v>
          </cell>
        </row>
        <row r="764">
          <cell r="EG764">
            <v>0.3546099290780142</v>
          </cell>
        </row>
        <row r="765">
          <cell r="EG765">
            <v>0.4854368932038835</v>
          </cell>
        </row>
        <row r="766">
          <cell r="EG766">
            <v>0.3115264797507788</v>
          </cell>
        </row>
        <row r="767">
          <cell r="EG767">
            <v>0.4366812227074236</v>
          </cell>
        </row>
        <row r="768">
          <cell r="EG768">
            <v>0.58479532163742687</v>
          </cell>
        </row>
        <row r="769">
          <cell r="EG769">
            <v>0.41322314049586778</v>
          </cell>
        </row>
        <row r="770">
          <cell r="EG770">
            <v>0.52631578947368418</v>
          </cell>
        </row>
        <row r="771">
          <cell r="EG771">
            <v>0.42372881355932207</v>
          </cell>
        </row>
        <row r="772">
          <cell r="EG772">
            <v>0.39525691699604748</v>
          </cell>
        </row>
        <row r="773">
          <cell r="EG773">
            <v>0.51282051282051289</v>
          </cell>
        </row>
        <row r="774">
          <cell r="EG774">
            <v>0.63291139240506322</v>
          </cell>
        </row>
        <row r="775">
          <cell r="EG775">
            <v>0.64935064935064934</v>
          </cell>
        </row>
        <row r="776">
          <cell r="EG776">
            <v>0.92592592592592582</v>
          </cell>
        </row>
        <row r="777">
          <cell r="EG777">
            <v>0.42735042735042739</v>
          </cell>
        </row>
        <row r="778">
          <cell r="EG778">
            <v>0.67567567567567566</v>
          </cell>
        </row>
        <row r="779">
          <cell r="EG779">
            <v>0.1801801801801802</v>
          </cell>
        </row>
        <row r="780">
          <cell r="EG780">
            <v>1.3888888888888888</v>
          </cell>
        </row>
        <row r="781">
          <cell r="EG781">
            <v>0.15174506828528073</v>
          </cell>
        </row>
        <row r="782">
          <cell r="EG782">
            <v>0.63694267515923564</v>
          </cell>
        </row>
        <row r="783">
          <cell r="EG783">
            <v>0.71942446043165476</v>
          </cell>
        </row>
        <row r="784">
          <cell r="EG784">
            <v>0.82644628099173556</v>
          </cell>
        </row>
        <row r="785">
          <cell r="EG785">
            <v>0.33112582781456956</v>
          </cell>
        </row>
        <row r="786">
          <cell r="EG786">
            <v>0.20449897750511248</v>
          </cell>
        </row>
        <row r="787">
          <cell r="EG787">
            <v>0.5988023952095809</v>
          </cell>
        </row>
        <row r="788">
          <cell r="EG788">
            <v>0.42194092827004215</v>
          </cell>
        </row>
        <row r="789">
          <cell r="EG789">
            <v>0.2824858757062147</v>
          </cell>
        </row>
        <row r="790">
          <cell r="EG790">
            <v>0.42553191489361702</v>
          </cell>
        </row>
        <row r="791">
          <cell r="EG791">
            <v>0.8</v>
          </cell>
        </row>
        <row r="792">
          <cell r="EG792">
            <v>0.76335877862595414</v>
          </cell>
        </row>
        <row r="793">
          <cell r="EG793">
            <v>0.38314176245210729</v>
          </cell>
        </row>
        <row r="794">
          <cell r="EG794">
            <v>0.57471264367816088</v>
          </cell>
        </row>
        <row r="795">
          <cell r="EG795">
            <v>0.39840637450199207</v>
          </cell>
        </row>
        <row r="796">
          <cell r="EG796">
            <v>0.96153846153846145</v>
          </cell>
        </row>
        <row r="797">
          <cell r="EG797">
            <v>0.35087719298245612</v>
          </cell>
        </row>
        <row r="798">
          <cell r="EG798">
            <v>0.55555555555555558</v>
          </cell>
        </row>
        <row r="799">
          <cell r="EG799">
            <v>0.19493177387914232</v>
          </cell>
        </row>
        <row r="800">
          <cell r="EG800">
            <v>0.68965517241379315</v>
          </cell>
        </row>
        <row r="801">
          <cell r="EG801">
            <v>0.15974440894568689</v>
          </cell>
        </row>
        <row r="802">
          <cell r="EG802">
            <v>0.61349693251533743</v>
          </cell>
        </row>
        <row r="803">
          <cell r="EG803">
            <v>1</v>
          </cell>
        </row>
        <row r="804">
          <cell r="EG804">
            <v>0.42735042735042739</v>
          </cell>
        </row>
        <row r="805">
          <cell r="EG805">
            <v>0.21459227467811159</v>
          </cell>
        </row>
        <row r="806">
          <cell r="EG806">
            <v>0.22123893805309736</v>
          </cell>
        </row>
        <row r="807">
          <cell r="EG807">
            <v>0.26041666666666669</v>
          </cell>
        </row>
        <row r="808">
          <cell r="EG808">
            <v>0.65789473684210531</v>
          </cell>
        </row>
        <row r="809">
          <cell r="EG809">
            <v>0.87719298245614041</v>
          </cell>
        </row>
        <row r="810">
          <cell r="EG810">
            <v>0.86206896551724144</v>
          </cell>
        </row>
        <row r="811">
          <cell r="EG811">
            <v>0.66666666666666663</v>
          </cell>
        </row>
        <row r="812">
          <cell r="EG812">
            <v>0.45662100456621008</v>
          </cell>
        </row>
        <row r="813">
          <cell r="EG813">
            <v>0.13333333333333333</v>
          </cell>
        </row>
        <row r="814">
          <cell r="EG814">
            <v>0.3236245954692557</v>
          </cell>
        </row>
        <row r="815">
          <cell r="EG815">
            <v>1.2345679012345678</v>
          </cell>
        </row>
        <row r="816">
          <cell r="EG816">
            <v>0.75757575757575757</v>
          </cell>
        </row>
        <row r="817">
          <cell r="EG817">
            <v>0.16920473773265651</v>
          </cell>
        </row>
        <row r="818">
          <cell r="EG818">
            <v>0.23310023310023309</v>
          </cell>
        </row>
        <row r="819">
          <cell r="EG819">
            <v>0.30959752321981426</v>
          </cell>
        </row>
        <row r="820">
          <cell r="EG820">
            <v>0.2824858757062147</v>
          </cell>
        </row>
        <row r="821">
          <cell r="EG821">
            <v>0.33112582781456956</v>
          </cell>
        </row>
        <row r="822">
          <cell r="EG822">
            <v>1.2658227848101264</v>
          </cell>
        </row>
        <row r="823">
          <cell r="EG823">
            <v>0.29325513196480935</v>
          </cell>
        </row>
        <row r="824">
          <cell r="EG824">
            <v>0.24213075060532688</v>
          </cell>
        </row>
        <row r="825">
          <cell r="EG825">
            <v>0.50251256281407031</v>
          </cell>
        </row>
        <row r="826">
          <cell r="EG826">
            <v>0.31446540880503143</v>
          </cell>
        </row>
        <row r="827">
          <cell r="EG827">
            <v>0.43103448275862072</v>
          </cell>
        </row>
        <row r="828">
          <cell r="EG828">
            <v>0.77519379844961234</v>
          </cell>
        </row>
        <row r="829">
          <cell r="EG829">
            <v>0.38759689922480617</v>
          </cell>
        </row>
        <row r="830">
          <cell r="EG830">
            <v>0.40485829959514169</v>
          </cell>
        </row>
        <row r="831">
          <cell r="EG831">
            <v>0.40322580645161293</v>
          </cell>
        </row>
        <row r="832">
          <cell r="EG832">
            <v>0.4854368932038835</v>
          </cell>
        </row>
        <row r="833">
          <cell r="EG833">
            <v>0.88495575221238942</v>
          </cell>
        </row>
        <row r="834">
          <cell r="EG834">
            <v>1.1904761904761905</v>
          </cell>
        </row>
        <row r="835">
          <cell r="EG835">
            <v>0.27472527472527469</v>
          </cell>
        </row>
        <row r="836">
          <cell r="EG836">
            <v>0.98039215686274506</v>
          </cell>
        </row>
        <row r="837">
          <cell r="EG837">
            <v>1.0869565217391304</v>
          </cell>
        </row>
        <row r="838">
          <cell r="EG838">
            <v>0.36900369003690037</v>
          </cell>
        </row>
        <row r="839">
          <cell r="EG839">
            <v>1.0869565217391304</v>
          </cell>
        </row>
        <row r="840">
          <cell r="EG840">
            <v>0.35211267605633806</v>
          </cell>
        </row>
        <row r="841">
          <cell r="EG841">
            <v>0.40322580645161293</v>
          </cell>
        </row>
        <row r="842">
          <cell r="EG842">
            <v>0.20746887966804978</v>
          </cell>
        </row>
        <row r="843">
          <cell r="EG843">
            <v>0.51282051282051289</v>
          </cell>
        </row>
        <row r="844">
          <cell r="EG844">
            <v>1.0526315789473684</v>
          </cell>
        </row>
        <row r="845">
          <cell r="EG845">
            <v>1.0204081632653061</v>
          </cell>
        </row>
        <row r="846">
          <cell r="EG846">
            <v>0.4329004329004329</v>
          </cell>
        </row>
        <row r="847">
          <cell r="EG847">
            <v>0.5780346820809249</v>
          </cell>
        </row>
        <row r="848">
          <cell r="EG848">
            <v>0.49751243781094534</v>
          </cell>
        </row>
        <row r="849">
          <cell r="EG849">
            <v>0.58479532163742687</v>
          </cell>
        </row>
        <row r="850">
          <cell r="EG850">
            <v>0.12690355329949238</v>
          </cell>
        </row>
        <row r="851">
          <cell r="EG851">
            <v>0.27548209366391185</v>
          </cell>
        </row>
        <row r="852">
          <cell r="EG852">
            <v>0.64102564102564097</v>
          </cell>
        </row>
        <row r="853">
          <cell r="EG853">
            <v>0.52910052910052918</v>
          </cell>
        </row>
        <row r="854">
          <cell r="EG854">
            <v>1.1627906976744187</v>
          </cell>
        </row>
        <row r="855">
          <cell r="EG855">
            <v>0.5988023952095809</v>
          </cell>
        </row>
        <row r="856">
          <cell r="EG856">
            <v>0.9174311926605504</v>
          </cell>
        </row>
        <row r="857">
          <cell r="EG857">
            <v>0.4329004329004329</v>
          </cell>
        </row>
        <row r="858">
          <cell r="EG858">
            <v>0.67567567567567566</v>
          </cell>
        </row>
        <row r="859">
          <cell r="EG859">
            <v>0.75187969924812026</v>
          </cell>
        </row>
        <row r="860">
          <cell r="EG860">
            <v>0.86956521739130443</v>
          </cell>
        </row>
        <row r="861">
          <cell r="EG861">
            <v>1.0204081632653061</v>
          </cell>
        </row>
        <row r="862">
          <cell r="EG862">
            <v>0.3401360544217687</v>
          </cell>
        </row>
        <row r="863">
          <cell r="EG863">
            <v>0.390625</v>
          </cell>
        </row>
        <row r="864">
          <cell r="EG864">
            <v>0.86956521739130443</v>
          </cell>
        </row>
        <row r="865">
          <cell r="EG865">
            <v>0.17667844522968199</v>
          </cell>
        </row>
        <row r="866">
          <cell r="EG866">
            <v>0.83333333333333337</v>
          </cell>
        </row>
        <row r="867">
          <cell r="EG867">
            <v>0.33112582781456956</v>
          </cell>
        </row>
        <row r="868">
          <cell r="EG868">
            <v>0.32894736842105265</v>
          </cell>
        </row>
        <row r="869">
          <cell r="EG869">
            <v>0.3546099290780142</v>
          </cell>
        </row>
        <row r="870">
          <cell r="EG870">
            <v>1.2048192771084338</v>
          </cell>
        </row>
        <row r="871">
          <cell r="EG871">
            <v>0.67114093959731547</v>
          </cell>
        </row>
        <row r="872">
          <cell r="EG872">
            <v>0.117096018735363</v>
          </cell>
        </row>
        <row r="873">
          <cell r="EG873">
            <v>0.15552099533437014</v>
          </cell>
        </row>
        <row r="874">
          <cell r="EG874">
            <v>0.24509803921568626</v>
          </cell>
        </row>
        <row r="875">
          <cell r="EG875">
            <v>0.21186440677966104</v>
          </cell>
        </row>
        <row r="876">
          <cell r="EG876">
            <v>0.34722222222222221</v>
          </cell>
        </row>
        <row r="877">
          <cell r="EG877">
            <v>0.65789473684210531</v>
          </cell>
        </row>
        <row r="878">
          <cell r="EG878">
            <v>0.24154589371980678</v>
          </cell>
        </row>
        <row r="879">
          <cell r="EG879">
            <v>1.4492753623188408</v>
          </cell>
        </row>
        <row r="880">
          <cell r="EG880">
            <v>0.70921985815602839</v>
          </cell>
        </row>
        <row r="881">
          <cell r="EG881">
            <v>0.23584905660377356</v>
          </cell>
        </row>
        <row r="882">
          <cell r="EG882">
            <v>0.4854368932038835</v>
          </cell>
        </row>
        <row r="883">
          <cell r="EG883">
            <v>0.64935064935064934</v>
          </cell>
        </row>
        <row r="884">
          <cell r="EG884">
            <v>1.3513513513513513</v>
          </cell>
        </row>
        <row r="885">
          <cell r="EG885">
            <v>0.88495575221238942</v>
          </cell>
        </row>
        <row r="886">
          <cell r="EG886">
            <v>0.47846889952153115</v>
          </cell>
        </row>
        <row r="887">
          <cell r="EG887">
            <v>0.31645569620253161</v>
          </cell>
        </row>
        <row r="888">
          <cell r="EG888">
            <v>0.84033613445378152</v>
          </cell>
        </row>
        <row r="889">
          <cell r="EG889">
            <v>0.7246376811594204</v>
          </cell>
        </row>
        <row r="890">
          <cell r="EG890">
            <v>0.54054054054054046</v>
          </cell>
        </row>
        <row r="891">
          <cell r="EG891">
            <v>0.86956521739130443</v>
          </cell>
        </row>
        <row r="892">
          <cell r="EG892">
            <v>0.39215686274509809</v>
          </cell>
        </row>
        <row r="893">
          <cell r="EG893">
            <v>0.70422535211267612</v>
          </cell>
        </row>
        <row r="894">
          <cell r="EG894">
            <v>0.41666666666666669</v>
          </cell>
        </row>
        <row r="895">
          <cell r="EG895">
            <v>1.1235955056179776</v>
          </cell>
        </row>
        <row r="896">
          <cell r="EG896">
            <v>0.33444816053511706</v>
          </cell>
        </row>
        <row r="897">
          <cell r="EG897">
            <v>0.58823529411764708</v>
          </cell>
        </row>
        <row r="898">
          <cell r="EG898">
            <v>0.3623188405797102</v>
          </cell>
        </row>
        <row r="899">
          <cell r="EG899">
            <v>0.13477088948787061</v>
          </cell>
        </row>
        <row r="900">
          <cell r="EG900">
            <v>0.19047619047619047</v>
          </cell>
        </row>
        <row r="901">
          <cell r="EG901">
            <v>1.1363636363636365</v>
          </cell>
        </row>
        <row r="902">
          <cell r="EG902">
            <v>0.46296296296296291</v>
          </cell>
        </row>
        <row r="903">
          <cell r="EG903">
            <v>0.5714285714285714</v>
          </cell>
        </row>
        <row r="904">
          <cell r="EG904">
            <v>0.78125</v>
          </cell>
        </row>
        <row r="905">
          <cell r="EG905">
            <v>1.2195121951219512</v>
          </cell>
        </row>
        <row r="906">
          <cell r="EG906">
            <v>0.54945054945054939</v>
          </cell>
        </row>
        <row r="907">
          <cell r="EG907">
            <v>1.2195121951219512</v>
          </cell>
        </row>
        <row r="908">
          <cell r="EG908">
            <v>0.3401360544217687</v>
          </cell>
        </row>
        <row r="909">
          <cell r="EG909">
            <v>1.2987012987012987</v>
          </cell>
        </row>
        <row r="910">
          <cell r="EG910">
            <v>0.9174311926605504</v>
          </cell>
        </row>
        <row r="911">
          <cell r="EG911">
            <v>0.45248868778280543</v>
          </cell>
        </row>
        <row r="912">
          <cell r="EG912">
            <v>0.79365079365079361</v>
          </cell>
        </row>
        <row r="913">
          <cell r="EG913">
            <v>0.48076923076923073</v>
          </cell>
        </row>
        <row r="914">
          <cell r="EG914">
            <v>0.86956521739130443</v>
          </cell>
        </row>
        <row r="915">
          <cell r="EG915">
            <v>0.29325513196480935</v>
          </cell>
        </row>
        <row r="916">
          <cell r="EG916">
            <v>0.86206896551724144</v>
          </cell>
        </row>
        <row r="917">
          <cell r="EG917">
            <v>0.95238095238095233</v>
          </cell>
        </row>
        <row r="918">
          <cell r="EG918">
            <v>0.82644628099173556</v>
          </cell>
        </row>
        <row r="919">
          <cell r="EG919">
            <v>0.66666666666666663</v>
          </cell>
        </row>
        <row r="920">
          <cell r="EG920">
            <v>0.49261083743842371</v>
          </cell>
        </row>
        <row r="921">
          <cell r="EG921">
            <v>0.33003300330033003</v>
          </cell>
        </row>
        <row r="922">
          <cell r="EG922">
            <v>0.9009009009009008</v>
          </cell>
        </row>
        <row r="923">
          <cell r="EG923">
            <v>0.36630036630036628</v>
          </cell>
        </row>
        <row r="924">
          <cell r="EG924">
            <v>0.61349693251533743</v>
          </cell>
        </row>
        <row r="925">
          <cell r="EG925">
            <v>0.9174311926605504</v>
          </cell>
        </row>
        <row r="926">
          <cell r="EG926">
            <v>0.46728971962616822</v>
          </cell>
        </row>
        <row r="927">
          <cell r="EG927">
            <v>0.7142857142857143</v>
          </cell>
        </row>
        <row r="928">
          <cell r="EG928">
            <v>0.68493150684931503</v>
          </cell>
        </row>
        <row r="929">
          <cell r="EG929">
            <v>0.70921985815602839</v>
          </cell>
        </row>
        <row r="930">
          <cell r="EG930">
            <v>0.83333333333333337</v>
          </cell>
        </row>
        <row r="931">
          <cell r="EG931">
            <v>0.95238095238095233</v>
          </cell>
        </row>
        <row r="932">
          <cell r="EG932">
            <v>0.81967213114754101</v>
          </cell>
        </row>
        <row r="933">
          <cell r="EG933">
            <v>0.53475935828876997</v>
          </cell>
        </row>
        <row r="934">
          <cell r="EG934">
            <v>0.52083333333333337</v>
          </cell>
        </row>
        <row r="935">
          <cell r="EG935">
            <v>0.95238095238095233</v>
          </cell>
        </row>
        <row r="936">
          <cell r="EG936">
            <v>0.47619047619047616</v>
          </cell>
        </row>
        <row r="937">
          <cell r="EG937">
            <v>0.38167938931297707</v>
          </cell>
        </row>
        <row r="938">
          <cell r="EG938">
            <v>0.49019607843137253</v>
          </cell>
        </row>
        <row r="939">
          <cell r="EG939">
            <v>0.66666666666666663</v>
          </cell>
        </row>
        <row r="940">
          <cell r="EG940">
            <v>0.32051282051282048</v>
          </cell>
        </row>
        <row r="941">
          <cell r="EG941">
            <v>0.96153846153846145</v>
          </cell>
        </row>
        <row r="942">
          <cell r="EG942">
            <v>0.65789473684210531</v>
          </cell>
        </row>
        <row r="943">
          <cell r="EG943">
            <v>0.58479532163742687</v>
          </cell>
        </row>
        <row r="944">
          <cell r="EG944">
            <v>0.4065040650406504</v>
          </cell>
        </row>
        <row r="945">
          <cell r="EG945">
            <v>0.64935064935064934</v>
          </cell>
        </row>
        <row r="946">
          <cell r="EG946">
            <v>1.6129032258064517</v>
          </cell>
        </row>
        <row r="947">
          <cell r="EG947">
            <v>0.4081632653061224</v>
          </cell>
        </row>
        <row r="948">
          <cell r="EG948">
            <v>0.5988023952095809</v>
          </cell>
        </row>
        <row r="949">
          <cell r="EG949">
            <v>0.48780487804878053</v>
          </cell>
        </row>
        <row r="950">
          <cell r="EG950">
            <v>0.4464285714285714</v>
          </cell>
        </row>
        <row r="951">
          <cell r="EG951">
            <v>0.96153846153846145</v>
          </cell>
        </row>
        <row r="952">
          <cell r="EG952">
            <v>0.37453183520599254</v>
          </cell>
        </row>
        <row r="953">
          <cell r="EG953">
            <v>0.625</v>
          </cell>
        </row>
        <row r="954">
          <cell r="EG954">
            <v>0.47846889952153115</v>
          </cell>
        </row>
        <row r="955">
          <cell r="EG955">
            <v>0.25839793281653745</v>
          </cell>
        </row>
        <row r="956">
          <cell r="EG956">
            <v>0.51282051282051289</v>
          </cell>
        </row>
        <row r="957">
          <cell r="EG957">
            <v>0.5376344086021505</v>
          </cell>
        </row>
        <row r="958">
          <cell r="EG958">
            <v>0.60606060606060608</v>
          </cell>
        </row>
        <row r="959">
          <cell r="EG959">
            <v>1.0416666666666667</v>
          </cell>
        </row>
        <row r="960">
          <cell r="EG960">
            <v>0.29069767441860467</v>
          </cell>
        </row>
        <row r="961">
          <cell r="EG961">
            <v>0.3546099290780142</v>
          </cell>
        </row>
        <row r="962">
          <cell r="EG962">
            <v>0.78740157480314954</v>
          </cell>
        </row>
        <row r="963">
          <cell r="EG963">
            <v>0.27777777777777779</v>
          </cell>
        </row>
        <row r="964">
          <cell r="EG964">
            <v>0.26246719160104987</v>
          </cell>
        </row>
        <row r="965">
          <cell r="EG965">
            <v>0.44444444444444442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市值"/>
      <sheetName val="size(函數)"/>
      <sheetName val="size"/>
      <sheetName val="下個月月報酬"/>
      <sheetName val="size補值"/>
      <sheetName val="下個月月報酬補值"/>
      <sheetName val="sizeIC"/>
    </sheetNames>
    <sheetDataSet>
      <sheetData sheetId="0"/>
      <sheetData sheetId="1"/>
      <sheetData sheetId="2"/>
      <sheetData sheetId="3"/>
      <sheetData sheetId="4">
        <row r="2">
          <cell r="C2">
            <v>10.631788632342237</v>
          </cell>
          <cell r="EG2">
            <v>10.993881319528226</v>
          </cell>
        </row>
        <row r="3">
          <cell r="EG3">
            <v>10.966413961778308</v>
          </cell>
        </row>
        <row r="4">
          <cell r="EG4">
            <v>10.050573076755148</v>
          </cell>
        </row>
        <row r="5">
          <cell r="EG5">
            <v>9.9918017988446444</v>
          </cell>
        </row>
        <row r="6">
          <cell r="EG6">
            <v>9.5173278822943743</v>
          </cell>
        </row>
        <row r="7">
          <cell r="EG7">
            <v>9.6307328928171962</v>
          </cell>
        </row>
        <row r="8">
          <cell r="EG8">
            <v>9.8161749904288023</v>
          </cell>
        </row>
        <row r="9">
          <cell r="EG9">
            <v>10.273001272063738</v>
          </cell>
        </row>
        <row r="10">
          <cell r="EG10">
            <v>9.7667102072622587</v>
          </cell>
        </row>
        <row r="11">
          <cell r="EG11">
            <v>10.187012807018954</v>
          </cell>
        </row>
        <row r="12">
          <cell r="EG12">
            <v>8.7831886910752583</v>
          </cell>
        </row>
        <row r="13">
          <cell r="EG13">
            <v>9.5268559871258738</v>
          </cell>
        </row>
        <row r="14">
          <cell r="EG14">
            <v>11.148883251624792</v>
          </cell>
        </row>
        <row r="15">
          <cell r="EG15">
            <v>9.7615519885641824</v>
          </cell>
        </row>
        <row r="16">
          <cell r="EG16">
            <v>9.6126779183165016</v>
          </cell>
        </row>
        <row r="17">
          <cell r="EG17">
            <v>9.5385737338068548</v>
          </cell>
        </row>
        <row r="18">
          <cell r="EG18">
            <v>9.2588766293721321</v>
          </cell>
        </row>
        <row r="19">
          <cell r="EG19">
            <v>9.4044916177586853</v>
          </cell>
        </row>
        <row r="20">
          <cell r="EG20">
            <v>10.271980930009406</v>
          </cell>
        </row>
        <row r="21">
          <cell r="EG21">
            <v>10.09981870961523</v>
          </cell>
        </row>
        <row r="22">
          <cell r="EG22">
            <v>9.2174839442139067</v>
          </cell>
        </row>
        <row r="23">
          <cell r="EG23">
            <v>9.8168376309020342</v>
          </cell>
        </row>
        <row r="24">
          <cell r="EG24">
            <v>9.600537294364468</v>
          </cell>
        </row>
        <row r="25">
          <cell r="EG25">
            <v>10.152257759187657</v>
          </cell>
        </row>
        <row r="26">
          <cell r="EG26">
            <v>9.2462523122993225</v>
          </cell>
        </row>
        <row r="27">
          <cell r="EG27">
            <v>9.2769211320657732</v>
          </cell>
        </row>
        <row r="28">
          <cell r="EG28">
            <v>11.631913324299761</v>
          </cell>
        </row>
        <row r="29">
          <cell r="EG29">
            <v>11.706571855354714</v>
          </cell>
        </row>
        <row r="30">
          <cell r="EG30">
            <v>10.212587078123894</v>
          </cell>
        </row>
        <row r="31">
          <cell r="EG31">
            <v>9.7438232216037495</v>
          </cell>
        </row>
        <row r="32">
          <cell r="EG32">
            <v>10.031610414723481</v>
          </cell>
        </row>
        <row r="33">
          <cell r="EG33">
            <v>9.8796692056320534</v>
          </cell>
        </row>
        <row r="34">
          <cell r="EG34">
            <v>9.5639554649958125</v>
          </cell>
        </row>
        <row r="35">
          <cell r="EG35">
            <v>10.006722692201684</v>
          </cell>
        </row>
        <row r="36">
          <cell r="EG36">
            <v>10.149157506231855</v>
          </cell>
        </row>
        <row r="37">
          <cell r="EG37">
            <v>10.253725595250899</v>
          </cell>
        </row>
        <row r="38">
          <cell r="EG38">
            <v>10.392362752025857</v>
          </cell>
        </row>
        <row r="39">
          <cell r="EG39">
            <v>9.7125655278733092</v>
          </cell>
        </row>
        <row r="40">
          <cell r="EG40">
            <v>8.8432327780980096</v>
          </cell>
        </row>
        <row r="41">
          <cell r="EG41">
            <v>10.437607887914936</v>
          </cell>
        </row>
        <row r="42">
          <cell r="EG42">
            <v>9.7438232216037495</v>
          </cell>
        </row>
        <row r="43">
          <cell r="EG43">
            <v>9.1664301138432833</v>
          </cell>
        </row>
        <row r="44">
          <cell r="EG44">
            <v>9.2260841159758247</v>
          </cell>
        </row>
        <row r="45">
          <cell r="EG45">
            <v>9.3483048630481616</v>
          </cell>
        </row>
        <row r="46">
          <cell r="EG46">
            <v>11.626137033003671</v>
          </cell>
        </row>
        <row r="47">
          <cell r="EG47">
            <v>11.21133683334865</v>
          </cell>
        </row>
        <row r="48">
          <cell r="EG48">
            <v>10.243781916093795</v>
          </cell>
        </row>
        <row r="49">
          <cell r="EG49">
            <v>9.1637575239819551</v>
          </cell>
        </row>
        <row r="50">
          <cell r="EG50">
            <v>8.9921114877869499</v>
          </cell>
        </row>
        <row r="51">
          <cell r="EG51">
            <v>9.0542299098633965</v>
          </cell>
        </row>
        <row r="52">
          <cell r="EG52">
            <v>9.7488080049586028</v>
          </cell>
        </row>
        <row r="53">
          <cell r="EG53">
            <v>9.5146805441249818</v>
          </cell>
        </row>
        <row r="54">
          <cell r="EG54">
            <v>9.2489536154957079</v>
          </cell>
        </row>
        <row r="55">
          <cell r="EG55">
            <v>10.071587470514975</v>
          </cell>
        </row>
        <row r="56">
          <cell r="EG56">
            <v>9.1461280356782382</v>
          </cell>
        </row>
        <row r="57">
          <cell r="EG57">
            <v>8.9164539485499255</v>
          </cell>
        </row>
        <row r="58">
          <cell r="EG58">
            <v>10.629633824744316</v>
          </cell>
        </row>
        <row r="59">
          <cell r="EG59">
            <v>8.7965743332104296</v>
          </cell>
        </row>
        <row r="60">
          <cell r="EG60">
            <v>9.4474681309497566</v>
          </cell>
        </row>
        <row r="61">
          <cell r="EG61">
            <v>9.6419695977020599</v>
          </cell>
        </row>
        <row r="62">
          <cell r="EG62">
            <v>8.2787536009528289</v>
          </cell>
        </row>
        <row r="63">
          <cell r="EG63">
            <v>9.5658478186735181</v>
          </cell>
        </row>
        <row r="64">
          <cell r="EG64">
            <v>10.281419740153989</v>
          </cell>
        </row>
        <row r="65">
          <cell r="EG65">
            <v>8.8149131812750738</v>
          </cell>
        </row>
        <row r="66">
          <cell r="EG66">
            <v>9.5196967671598536</v>
          </cell>
        </row>
        <row r="67">
          <cell r="EG67">
            <v>8.958085848521085</v>
          </cell>
        </row>
        <row r="68">
          <cell r="EG68">
            <v>9.8960850854232856</v>
          </cell>
        </row>
        <row r="69">
          <cell r="EG69">
            <v>9.0707764628434351</v>
          </cell>
        </row>
        <row r="70">
          <cell r="EG70">
            <v>9.2817149700272967</v>
          </cell>
        </row>
        <row r="71">
          <cell r="EG71">
            <v>10.002338880892056</v>
          </cell>
        </row>
        <row r="72">
          <cell r="EG72">
            <v>8.7619278384205295</v>
          </cell>
        </row>
        <row r="73">
          <cell r="EG73">
            <v>10.038500943076674</v>
          </cell>
        </row>
        <row r="74">
          <cell r="EG74">
            <v>9.1031192535457137</v>
          </cell>
        </row>
        <row r="75">
          <cell r="EG75">
            <v>8.5740312677277188</v>
          </cell>
        </row>
        <row r="76">
          <cell r="EG76">
            <v>8.9863237770507656</v>
          </cell>
        </row>
        <row r="77">
          <cell r="EG77">
            <v>9.8182918907999959</v>
          </cell>
        </row>
        <row r="78">
          <cell r="EG78">
            <v>8.4116197059632309</v>
          </cell>
        </row>
        <row r="79">
          <cell r="EG79">
            <v>9.2662316966898928</v>
          </cell>
        </row>
        <row r="80">
          <cell r="EG80">
            <v>9.4963760540124014</v>
          </cell>
        </row>
        <row r="81">
          <cell r="EG81">
            <v>9.4426365257822322</v>
          </cell>
        </row>
        <row r="82">
          <cell r="EG82">
            <v>9.253338005326107</v>
          </cell>
        </row>
        <row r="83">
          <cell r="EG83">
            <v>9.0413926851582254</v>
          </cell>
        </row>
        <row r="84">
          <cell r="EG84">
            <v>8.998695158311655</v>
          </cell>
        </row>
        <row r="85">
          <cell r="EG85">
            <v>8.7481880270062007</v>
          </cell>
        </row>
        <row r="86">
          <cell r="EG86">
            <v>9.2817149700272967</v>
          </cell>
        </row>
        <row r="87">
          <cell r="EG87">
            <v>9.2734642726213465</v>
          </cell>
        </row>
        <row r="88">
          <cell r="EG88">
            <v>8.8948696567452519</v>
          </cell>
        </row>
        <row r="89">
          <cell r="EG89">
            <v>9.7799570512469067</v>
          </cell>
        </row>
        <row r="90">
          <cell r="EG90">
            <v>8.6464037262230704</v>
          </cell>
        </row>
        <row r="91">
          <cell r="EG91">
            <v>9.6833172619218821</v>
          </cell>
        </row>
        <row r="92">
          <cell r="EG92">
            <v>9.0507663112330423</v>
          </cell>
        </row>
        <row r="93">
          <cell r="EG93">
            <v>8.7355988996981804</v>
          </cell>
        </row>
        <row r="94">
          <cell r="EG94">
            <v>9.5941714791149124</v>
          </cell>
        </row>
        <row r="95">
          <cell r="EG95">
            <v>10.044696517110195</v>
          </cell>
        </row>
        <row r="96">
          <cell r="EG96">
            <v>10.302828588260255</v>
          </cell>
        </row>
        <row r="97">
          <cell r="EG97">
            <v>10.405414666951865</v>
          </cell>
        </row>
        <row r="98">
          <cell r="EG98">
            <v>9.2219355998280061</v>
          </cell>
        </row>
        <row r="99">
          <cell r="EG99">
            <v>9.2450188707377539</v>
          </cell>
        </row>
        <row r="100">
          <cell r="EG100">
            <v>9.9495851513266516</v>
          </cell>
        </row>
        <row r="101">
          <cell r="EG101">
            <v>9.4571246263034094</v>
          </cell>
        </row>
        <row r="102">
          <cell r="EG102">
            <v>9.3827372657613299</v>
          </cell>
        </row>
        <row r="103">
          <cell r="EG103">
            <v>9.1986570869544231</v>
          </cell>
        </row>
        <row r="104">
          <cell r="EG104">
            <v>9.4164740791002206</v>
          </cell>
        </row>
        <row r="105">
          <cell r="EG105">
            <v>9.8364507137201542</v>
          </cell>
        </row>
        <row r="106">
          <cell r="EG106">
            <v>9.5665553308830553</v>
          </cell>
        </row>
        <row r="107">
          <cell r="EG107">
            <v>9.8591983615338776</v>
          </cell>
        </row>
        <row r="108">
          <cell r="EG108">
            <v>9.3376588910261429</v>
          </cell>
        </row>
        <row r="109">
          <cell r="EG109">
            <v>9.5067755366066429</v>
          </cell>
        </row>
        <row r="110">
          <cell r="EG110">
            <v>8.6095944092252203</v>
          </cell>
        </row>
        <row r="111">
          <cell r="EG111">
            <v>9.7017406324372129</v>
          </cell>
        </row>
        <row r="112">
          <cell r="EG112">
            <v>9.1646502159342962</v>
          </cell>
        </row>
        <row r="113">
          <cell r="EG113">
            <v>8.9454685851318203</v>
          </cell>
        </row>
        <row r="114">
          <cell r="EG114">
            <v>9.5289167002776551</v>
          </cell>
        </row>
        <row r="115">
          <cell r="EG115">
            <v>9.6419695977020599</v>
          </cell>
        </row>
        <row r="116">
          <cell r="EG116">
            <v>10.099369826389838</v>
          </cell>
        </row>
        <row r="117">
          <cell r="EG117">
            <v>9.4234097277330928</v>
          </cell>
        </row>
        <row r="118">
          <cell r="EG118">
            <v>9.7322328802204972</v>
          </cell>
        </row>
        <row r="119">
          <cell r="EG119">
            <v>9.4036351897905472</v>
          </cell>
        </row>
        <row r="120">
          <cell r="EG120">
            <v>9.469527479187013</v>
          </cell>
        </row>
        <row r="121">
          <cell r="EG121">
            <v>9.8270460170047347</v>
          </cell>
        </row>
        <row r="122">
          <cell r="EG122">
            <v>8.7930916001765809</v>
          </cell>
        </row>
        <row r="123">
          <cell r="EG123">
            <v>9.4168068718229438</v>
          </cell>
        </row>
        <row r="124">
          <cell r="EG124">
            <v>9.2345172835126874</v>
          </cell>
        </row>
        <row r="125">
          <cell r="EG125">
            <v>9.7902147702439795</v>
          </cell>
        </row>
        <row r="126">
          <cell r="EG126">
            <v>10.066176785772006</v>
          </cell>
        </row>
        <row r="127">
          <cell r="EG127">
            <v>9.6296134453781832</v>
          </cell>
        </row>
        <row r="128">
          <cell r="EG128">
            <v>9.6838572054003471</v>
          </cell>
        </row>
        <row r="129">
          <cell r="EG129">
            <v>10.583935202536752</v>
          </cell>
        </row>
        <row r="130">
          <cell r="EG130">
            <v>9.8858133746604882</v>
          </cell>
        </row>
        <row r="131">
          <cell r="EG131">
            <v>9.6850247851057141</v>
          </cell>
        </row>
        <row r="132">
          <cell r="EG132">
            <v>10.054498146636677</v>
          </cell>
        </row>
        <row r="133">
          <cell r="EG133">
            <v>9.6505988981726567</v>
          </cell>
        </row>
        <row r="134">
          <cell r="EG134">
            <v>10.012415374762433</v>
          </cell>
        </row>
        <row r="135">
          <cell r="EG135">
            <v>9.1162755875805441</v>
          </cell>
        </row>
        <row r="136">
          <cell r="EG136">
            <v>9.1293675957229858</v>
          </cell>
        </row>
        <row r="137">
          <cell r="EG137">
            <v>8.9722028383790651</v>
          </cell>
        </row>
        <row r="138">
          <cell r="EG138">
            <v>9.6931991451537165</v>
          </cell>
        </row>
        <row r="139">
          <cell r="EG139">
            <v>10.00949338828754</v>
          </cell>
        </row>
        <row r="140">
          <cell r="EG140">
            <v>9.7868223794991867</v>
          </cell>
        </row>
        <row r="141">
          <cell r="EG141">
            <v>9.7219754015859543</v>
          </cell>
        </row>
        <row r="142">
          <cell r="EG142">
            <v>9.6427612032653212</v>
          </cell>
        </row>
        <row r="143">
          <cell r="EG143">
            <v>10.329967072734659</v>
          </cell>
        </row>
        <row r="144">
          <cell r="EG144">
            <v>10.1136760118971</v>
          </cell>
        </row>
        <row r="145">
          <cell r="EG145">
            <v>9.6966184592322247</v>
          </cell>
        </row>
        <row r="146">
          <cell r="EG146">
            <v>9.2688119037397811</v>
          </cell>
        </row>
        <row r="147">
          <cell r="EG147">
            <v>10.052693941924968</v>
          </cell>
        </row>
        <row r="148">
          <cell r="EG148">
            <v>10.46551668871213</v>
          </cell>
        </row>
        <row r="149">
          <cell r="EG149">
            <v>10.06744284277638</v>
          </cell>
        </row>
        <row r="150">
          <cell r="EG150">
            <v>9.6264430253312945</v>
          </cell>
        </row>
        <row r="151">
          <cell r="EG151">
            <v>9.0860037056183813</v>
          </cell>
        </row>
        <row r="152">
          <cell r="EG152">
            <v>10.997692117941726</v>
          </cell>
        </row>
        <row r="153">
          <cell r="EG153">
            <v>10.326397313347112</v>
          </cell>
        </row>
        <row r="154">
          <cell r="EG154">
            <v>9.498999363580154</v>
          </cell>
        </row>
        <row r="155">
          <cell r="EG155">
            <v>9.8675264111997425</v>
          </cell>
        </row>
        <row r="156">
          <cell r="EG156">
            <v>9.3380578754197554</v>
          </cell>
        </row>
        <row r="157">
          <cell r="EG157">
            <v>8.9523080096621257</v>
          </cell>
        </row>
        <row r="158">
          <cell r="EG158">
            <v>9.3809344633307017</v>
          </cell>
        </row>
        <row r="159">
          <cell r="EG159">
            <v>8.8293037728310253</v>
          </cell>
        </row>
        <row r="160">
          <cell r="EG160">
            <v>9.773932647467646</v>
          </cell>
        </row>
        <row r="161">
          <cell r="EG161">
            <v>9.5613399414589004</v>
          </cell>
        </row>
        <row r="162">
          <cell r="EG162">
            <v>9.1950689964685903</v>
          </cell>
        </row>
        <row r="163">
          <cell r="EG163">
            <v>9.9384196457931928</v>
          </cell>
        </row>
        <row r="164">
          <cell r="EG164">
            <v>9.7570162347313012</v>
          </cell>
        </row>
        <row r="165">
          <cell r="EG165">
            <v>9.2968844755385476</v>
          </cell>
        </row>
        <row r="166">
          <cell r="EG166">
            <v>8.8785217955012072</v>
          </cell>
        </row>
        <row r="167">
          <cell r="EG167">
            <v>10.27554168840131</v>
          </cell>
        </row>
        <row r="168">
          <cell r="EG168">
            <v>10.830505265872731</v>
          </cell>
        </row>
        <row r="169">
          <cell r="EG169">
            <v>8.7767011839884113</v>
          </cell>
        </row>
        <row r="170">
          <cell r="EG170">
            <v>9.9408152086508021</v>
          </cell>
        </row>
        <row r="171">
          <cell r="EG171">
            <v>9.3982873053574014</v>
          </cell>
        </row>
        <row r="172">
          <cell r="EG172">
            <v>9.6276730317666157</v>
          </cell>
        </row>
        <row r="173">
          <cell r="EG173">
            <v>9.6332664111554251</v>
          </cell>
        </row>
        <row r="174">
          <cell r="EG174">
            <v>10.272375437300544</v>
          </cell>
        </row>
        <row r="175">
          <cell r="EG175">
            <v>10.115810141409787</v>
          </cell>
        </row>
        <row r="176">
          <cell r="EG176">
            <v>10.003632837004409</v>
          </cell>
        </row>
        <row r="177">
          <cell r="EG177">
            <v>9.1577588860468637</v>
          </cell>
        </row>
        <row r="178">
          <cell r="EG178">
            <v>10.325720858019412</v>
          </cell>
        </row>
        <row r="179">
          <cell r="EG179">
            <v>9.8726806071519295</v>
          </cell>
        </row>
        <row r="180">
          <cell r="EG180">
            <v>11.633624975382235</v>
          </cell>
        </row>
        <row r="181">
          <cell r="EG181">
            <v>10.543708051190357</v>
          </cell>
        </row>
        <row r="182">
          <cell r="EG182">
            <v>9.7160033436347994</v>
          </cell>
        </row>
        <row r="183">
          <cell r="EG183">
            <v>9.53567380342575</v>
          </cell>
        </row>
        <row r="184">
          <cell r="EG184">
            <v>9.7362370989047289</v>
          </cell>
        </row>
        <row r="185">
          <cell r="EG185">
            <v>9.9004763713892565</v>
          </cell>
        </row>
        <row r="186">
          <cell r="EG186">
            <v>9.4718781993072909</v>
          </cell>
        </row>
        <row r="187">
          <cell r="EG187">
            <v>9.5766868052009961</v>
          </cell>
        </row>
        <row r="188">
          <cell r="EG188">
            <v>10.399673721481038</v>
          </cell>
        </row>
        <row r="189">
          <cell r="EG189">
            <v>10.495405563146193</v>
          </cell>
        </row>
        <row r="190">
          <cell r="EG190">
            <v>9.5502283530550933</v>
          </cell>
        </row>
        <row r="191">
          <cell r="EG191">
            <v>9.7647737169110407</v>
          </cell>
        </row>
        <row r="192">
          <cell r="EG192">
            <v>9.6397852129868209</v>
          </cell>
        </row>
        <row r="193">
          <cell r="EG193">
            <v>10.273209683400331</v>
          </cell>
        </row>
        <row r="194">
          <cell r="EG194">
            <v>8.876794976200701</v>
          </cell>
        </row>
        <row r="195">
          <cell r="EG195">
            <v>9.3277674899027296</v>
          </cell>
        </row>
        <row r="196">
          <cell r="EG196">
            <v>10.1081250947386</v>
          </cell>
        </row>
        <row r="197">
          <cell r="EG197">
            <v>9.43822580760453</v>
          </cell>
        </row>
        <row r="198">
          <cell r="EG198">
            <v>9.8694077493822014</v>
          </cell>
        </row>
        <row r="199">
          <cell r="EG199">
            <v>9.6852041344710145</v>
          </cell>
        </row>
        <row r="200">
          <cell r="EG200">
            <v>9.9752019622578523</v>
          </cell>
        </row>
        <row r="201">
          <cell r="EG201">
            <v>9.4692327425066125</v>
          </cell>
        </row>
        <row r="202">
          <cell r="EG202">
            <v>9.2392994791268919</v>
          </cell>
        </row>
        <row r="203">
          <cell r="EG203">
            <v>10.010935664704386</v>
          </cell>
        </row>
        <row r="204">
          <cell r="EG204">
            <v>10.49859998697719</v>
          </cell>
        </row>
        <row r="205">
          <cell r="EG205">
            <v>9.9347004017154248</v>
          </cell>
        </row>
        <row r="206">
          <cell r="EG206">
            <v>10.439190537827571</v>
          </cell>
        </row>
        <row r="207">
          <cell r="EG207">
            <v>10.240798771117332</v>
          </cell>
        </row>
        <row r="208">
          <cell r="EG208">
            <v>11.04698654038023</v>
          </cell>
        </row>
        <row r="209">
          <cell r="EG209">
            <v>10.291413254570214</v>
          </cell>
        </row>
        <row r="210">
          <cell r="EG210">
            <v>10.150049945162385</v>
          </cell>
        </row>
        <row r="211">
          <cell r="EG211">
            <v>9.8654001181793021</v>
          </cell>
        </row>
        <row r="212">
          <cell r="EG212">
            <v>9.6498214632245656</v>
          </cell>
        </row>
        <row r="213">
          <cell r="EG213">
            <v>10.743862387810379</v>
          </cell>
        </row>
        <row r="214">
          <cell r="EG214">
            <v>10.476875084758506</v>
          </cell>
        </row>
        <row r="215">
          <cell r="EG215">
            <v>10.042811691807147</v>
          </cell>
        </row>
        <row r="216">
          <cell r="EG216">
            <v>10.583051338285831</v>
          </cell>
        </row>
        <row r="217">
          <cell r="EG217">
            <v>10.352182518111363</v>
          </cell>
        </row>
        <row r="218">
          <cell r="EG218">
            <v>10.979398121064358</v>
          </cell>
        </row>
        <row r="219">
          <cell r="EG219">
            <v>9.0030294705536171</v>
          </cell>
        </row>
        <row r="220">
          <cell r="EG220">
            <v>11.340138613120468</v>
          </cell>
        </row>
        <row r="221">
          <cell r="EG221">
            <v>9.0224283711854874</v>
          </cell>
        </row>
        <row r="222">
          <cell r="EG222">
            <v>11.379378045219338</v>
          </cell>
        </row>
        <row r="223">
          <cell r="EG223">
            <v>10.138334282071019</v>
          </cell>
        </row>
        <row r="224">
          <cell r="EG224">
            <v>10.031892987710474</v>
          </cell>
        </row>
        <row r="225">
          <cell r="EG225">
            <v>9.9297764328049016</v>
          </cell>
        </row>
        <row r="226">
          <cell r="EG226">
            <v>9.7182525000977513</v>
          </cell>
        </row>
        <row r="227">
          <cell r="EG227">
            <v>12.071735868391281</v>
          </cell>
        </row>
        <row r="228">
          <cell r="EG228">
            <v>9.5433229006469116</v>
          </cell>
        </row>
        <row r="229">
          <cell r="EG229">
            <v>10.394731780469529</v>
          </cell>
        </row>
        <row r="230">
          <cell r="EG230">
            <v>11.247872655421908</v>
          </cell>
        </row>
        <row r="231">
          <cell r="EG231">
            <v>10.434824296268493</v>
          </cell>
        </row>
        <row r="232">
          <cell r="EG232">
            <v>10.408494360212361</v>
          </cell>
        </row>
        <row r="233">
          <cell r="EG233">
            <v>9.7889457270237479</v>
          </cell>
        </row>
        <row r="234">
          <cell r="EG234">
            <v>12.202238130622836</v>
          </cell>
        </row>
        <row r="235">
          <cell r="EG235">
            <v>10.224558958940841</v>
          </cell>
        </row>
        <row r="236">
          <cell r="EG236">
            <v>10.32717495893762</v>
          </cell>
        </row>
        <row r="237">
          <cell r="EG237">
            <v>10.844706998985673</v>
          </cell>
        </row>
        <row r="238">
          <cell r="EG238">
            <v>9.6538875580709771</v>
          </cell>
        </row>
        <row r="239">
          <cell r="EG239">
            <v>10.163906433457752</v>
          </cell>
        </row>
        <row r="240">
          <cell r="EG240">
            <v>9.9807757739626215</v>
          </cell>
        </row>
        <row r="241">
          <cell r="EG241">
            <v>10.514401635137583</v>
          </cell>
        </row>
        <row r="242">
          <cell r="EG242">
            <v>9.8668188029260477</v>
          </cell>
        </row>
        <row r="243">
          <cell r="EG243">
            <v>10.968534313680799</v>
          </cell>
        </row>
        <row r="244">
          <cell r="EG244">
            <v>8.649334858712141</v>
          </cell>
        </row>
        <row r="245">
          <cell r="EG245">
            <v>10.340820736655919</v>
          </cell>
        </row>
        <row r="246">
          <cell r="EG246">
            <v>9.8668188029260477</v>
          </cell>
        </row>
        <row r="247">
          <cell r="EG247">
            <v>10.538007877724324</v>
          </cell>
        </row>
        <row r="248">
          <cell r="EG248">
            <v>11.401822566409718</v>
          </cell>
        </row>
        <row r="249">
          <cell r="EG249">
            <v>11.05401136604619</v>
          </cell>
        </row>
        <row r="250">
          <cell r="EG250">
            <v>10.015150103229471</v>
          </cell>
        </row>
        <row r="251">
          <cell r="EG251">
            <v>10.709346295093871</v>
          </cell>
        </row>
        <row r="252">
          <cell r="EG252">
            <v>11.370785016757857</v>
          </cell>
        </row>
        <row r="253">
          <cell r="EG253">
            <v>9.4356851379416291</v>
          </cell>
        </row>
        <row r="254">
          <cell r="EG254">
            <v>10.383168827057428</v>
          </cell>
        </row>
        <row r="255">
          <cell r="EG255">
            <v>10.645294516889896</v>
          </cell>
        </row>
        <row r="256">
          <cell r="EG256">
            <v>10.19089171692217</v>
          </cell>
        </row>
        <row r="257">
          <cell r="EG257">
            <v>9.1565491513317809</v>
          </cell>
        </row>
        <row r="258">
          <cell r="EG258">
            <v>9.9647309210536292</v>
          </cell>
        </row>
        <row r="259">
          <cell r="EG259">
            <v>9.7604978752265268</v>
          </cell>
        </row>
        <row r="260">
          <cell r="EG260">
            <v>9.8397921844453293</v>
          </cell>
        </row>
        <row r="261">
          <cell r="EG261">
            <v>9.8007170782823856</v>
          </cell>
        </row>
        <row r="262">
          <cell r="EG262">
            <v>10.625271283656851</v>
          </cell>
        </row>
        <row r="263">
          <cell r="EG263">
            <v>10.13132989404281</v>
          </cell>
        </row>
        <row r="264">
          <cell r="EG264">
            <v>10.363517966582565</v>
          </cell>
        </row>
        <row r="265">
          <cell r="EG265">
            <v>9.3018977171952084</v>
          </cell>
        </row>
        <row r="266">
          <cell r="EG266">
            <v>10.296467738800116</v>
          </cell>
        </row>
        <row r="267">
          <cell r="EG267">
            <v>10.327869568756626</v>
          </cell>
        </row>
        <row r="268">
          <cell r="EG268">
            <v>10.611457765668343</v>
          </cell>
        </row>
        <row r="269">
          <cell r="EG269">
            <v>9.5324995860946622</v>
          </cell>
        </row>
        <row r="270">
          <cell r="EG270">
            <v>11.370459423990827</v>
          </cell>
        </row>
        <row r="271">
          <cell r="EG271">
            <v>9.9215304135012428</v>
          </cell>
        </row>
        <row r="272">
          <cell r="EG272">
            <v>10.698639815041942</v>
          </cell>
        </row>
        <row r="273">
          <cell r="EG273">
            <v>10.129141845792285</v>
          </cell>
        </row>
        <row r="274">
          <cell r="EG274">
            <v>10.099162492928595</v>
          </cell>
        </row>
        <row r="275">
          <cell r="EG275">
            <v>9.4151403521958734</v>
          </cell>
        </row>
        <row r="276">
          <cell r="EG276">
            <v>10.455499617516322</v>
          </cell>
        </row>
        <row r="277">
          <cell r="EG277">
            <v>10.615813327273354</v>
          </cell>
        </row>
        <row r="278">
          <cell r="EG278">
            <v>10.543993587485465</v>
          </cell>
        </row>
        <row r="279">
          <cell r="EG279">
            <v>9.6674529528899544</v>
          </cell>
        </row>
        <row r="280">
          <cell r="EG280">
            <v>9.6161603128475832</v>
          </cell>
        </row>
        <row r="281">
          <cell r="EG281">
            <v>10.23530114031999</v>
          </cell>
        </row>
        <row r="282">
          <cell r="EG282">
            <v>9.7827591926239972</v>
          </cell>
        </row>
        <row r="283">
          <cell r="EG283">
            <v>9.8890774926500633</v>
          </cell>
        </row>
        <row r="284">
          <cell r="EG284">
            <v>9.9381192691943117</v>
          </cell>
        </row>
        <row r="285">
          <cell r="EG285">
            <v>10.027594211826226</v>
          </cell>
        </row>
        <row r="286">
          <cell r="EG286">
            <v>11.016586287078004</v>
          </cell>
        </row>
        <row r="287">
          <cell r="EG287">
            <v>11.503322100259346</v>
          </cell>
        </row>
        <row r="288">
          <cell r="EG288">
            <v>11.779720557672581</v>
          </cell>
        </row>
        <row r="289">
          <cell r="EG289">
            <v>9.4278105726759893</v>
          </cell>
        </row>
        <row r="290">
          <cell r="EG290">
            <v>9.5378190950732744</v>
          </cell>
        </row>
        <row r="291">
          <cell r="EG291">
            <v>9.0285712526925384</v>
          </cell>
        </row>
        <row r="292">
          <cell r="EG292">
            <v>10.000303899784813</v>
          </cell>
        </row>
        <row r="293">
          <cell r="EG293">
            <v>9.4827307000799426</v>
          </cell>
        </row>
        <row r="294">
          <cell r="EG294">
            <v>9.6162654052817089</v>
          </cell>
        </row>
        <row r="295">
          <cell r="EG295">
            <v>9.873901597864462</v>
          </cell>
        </row>
        <row r="296">
          <cell r="EG296">
            <v>9.4308809464528913</v>
          </cell>
        </row>
        <row r="297">
          <cell r="EG297">
            <v>8.8375884382355121</v>
          </cell>
        </row>
        <row r="298">
          <cell r="EG298">
            <v>9.2586372827240773</v>
          </cell>
        </row>
        <row r="299">
          <cell r="EG299">
            <v>9.975063996095237</v>
          </cell>
        </row>
        <row r="300">
          <cell r="EG300">
            <v>9.2626883443016972</v>
          </cell>
        </row>
        <row r="301">
          <cell r="EG301">
            <v>9.8460895803579849</v>
          </cell>
        </row>
        <row r="302">
          <cell r="EG302">
            <v>9.4563660331290436</v>
          </cell>
        </row>
        <row r="303">
          <cell r="EG303">
            <v>9.862906213562999</v>
          </cell>
        </row>
        <row r="304">
          <cell r="EG304">
            <v>9.3752977382173395</v>
          </cell>
        </row>
        <row r="305">
          <cell r="EG305">
            <v>9.5336449787987636</v>
          </cell>
        </row>
        <row r="306">
          <cell r="EG306">
            <v>9.4073909044707307</v>
          </cell>
        </row>
        <row r="307">
          <cell r="EG307">
            <v>9.833274639290563</v>
          </cell>
        </row>
        <row r="308">
          <cell r="EG308">
            <v>8.5670263661590607</v>
          </cell>
        </row>
        <row r="309">
          <cell r="EG309">
            <v>9.9933480399232604</v>
          </cell>
        </row>
        <row r="310">
          <cell r="EG310">
            <v>9.220631019448092</v>
          </cell>
        </row>
        <row r="311">
          <cell r="EG311">
            <v>10.247826022935442</v>
          </cell>
        </row>
        <row r="312">
          <cell r="EG312">
            <v>9.4649364291217335</v>
          </cell>
        </row>
        <row r="313">
          <cell r="EG313">
            <v>9.198106998873401</v>
          </cell>
        </row>
        <row r="314">
          <cell r="EG314">
            <v>10.284904251407587</v>
          </cell>
        </row>
        <row r="315">
          <cell r="EG315">
            <v>10.090998297753199</v>
          </cell>
        </row>
        <row r="316">
          <cell r="EG316">
            <v>10.688179469624272</v>
          </cell>
        </row>
        <row r="317">
          <cell r="EG317">
            <v>9.2491983573911121</v>
          </cell>
        </row>
        <row r="318">
          <cell r="EG318">
            <v>11.778625096599027</v>
          </cell>
        </row>
        <row r="319">
          <cell r="EG319">
            <v>10.085968077046074</v>
          </cell>
        </row>
        <row r="320">
          <cell r="EG320">
            <v>10.050843580956919</v>
          </cell>
        </row>
        <row r="321">
          <cell r="EG321">
            <v>10.321453434333344</v>
          </cell>
        </row>
        <row r="322">
          <cell r="EG322">
            <v>9.5459253293558426</v>
          </cell>
        </row>
        <row r="323">
          <cell r="EG323">
            <v>9.6651117370750512</v>
          </cell>
        </row>
        <row r="324">
          <cell r="EG324">
            <v>9.568201724066995</v>
          </cell>
        </row>
        <row r="325">
          <cell r="EG325">
            <v>9.6688516480825193</v>
          </cell>
        </row>
        <row r="326">
          <cell r="EG326">
            <v>9.7272972028035873</v>
          </cell>
        </row>
        <row r="327">
          <cell r="EG327">
            <v>9.3682868849021315</v>
          </cell>
        </row>
        <row r="328">
          <cell r="EG328">
            <v>9.6331653536839035</v>
          </cell>
        </row>
        <row r="329">
          <cell r="EG329">
            <v>9.4855794769846788</v>
          </cell>
        </row>
        <row r="330">
          <cell r="EG330">
            <v>9.0472748673841803</v>
          </cell>
        </row>
        <row r="331">
          <cell r="EG331">
            <v>9.1556396337597761</v>
          </cell>
        </row>
        <row r="332">
          <cell r="EG332">
            <v>9.5204835327407924</v>
          </cell>
        </row>
        <row r="333">
          <cell r="EG333">
            <v>10.714857634796667</v>
          </cell>
        </row>
        <row r="334">
          <cell r="EG334">
            <v>9.7884512070234564</v>
          </cell>
        </row>
        <row r="335">
          <cell r="EG335">
            <v>9.5717088318086869</v>
          </cell>
        </row>
        <row r="336">
          <cell r="EG336">
            <v>9.9429500700770994</v>
          </cell>
        </row>
        <row r="337">
          <cell r="EG337">
            <v>9.668385916690001</v>
          </cell>
        </row>
        <row r="338">
          <cell r="EG338">
            <v>10.022304622935069</v>
          </cell>
        </row>
        <row r="339">
          <cell r="EG339">
            <v>9.2011238972073794</v>
          </cell>
        </row>
        <row r="340">
          <cell r="EG340">
            <v>9.3255156633631486</v>
          </cell>
        </row>
        <row r="341">
          <cell r="EG341">
            <v>9.3201462861110542</v>
          </cell>
        </row>
        <row r="342">
          <cell r="EG342">
            <v>10.277975746223223</v>
          </cell>
        </row>
        <row r="343">
          <cell r="EG343">
            <v>10.027349607774756</v>
          </cell>
        </row>
        <row r="344">
          <cell r="EG344">
            <v>9.204119982655925</v>
          </cell>
        </row>
        <row r="345">
          <cell r="EG345">
            <v>10.438621448045396</v>
          </cell>
        </row>
        <row r="346">
          <cell r="EG346">
            <v>8.7589118923979736</v>
          </cell>
        </row>
        <row r="347">
          <cell r="EG347">
            <v>10.113207769822735</v>
          </cell>
        </row>
        <row r="348">
          <cell r="EG348">
            <v>9.363987829748492</v>
          </cell>
        </row>
        <row r="349">
          <cell r="EG349">
            <v>10.175279818442384</v>
          </cell>
        </row>
        <row r="350">
          <cell r="EG350">
            <v>8.8325089127062366</v>
          </cell>
        </row>
        <row r="351">
          <cell r="EG351">
            <v>9.351216345339342</v>
          </cell>
        </row>
        <row r="352">
          <cell r="EG352">
            <v>11.466415303605789</v>
          </cell>
        </row>
        <row r="353">
          <cell r="EG353">
            <v>10.347915186501691</v>
          </cell>
        </row>
        <row r="354">
          <cell r="EG354">
            <v>10.295830894958586</v>
          </cell>
        </row>
        <row r="355">
          <cell r="EG355">
            <v>10.003934206173708</v>
          </cell>
        </row>
        <row r="356">
          <cell r="EG356">
            <v>9.7005306569785912</v>
          </cell>
        </row>
        <row r="357">
          <cell r="EG357">
            <v>9.6119356250401218</v>
          </cell>
        </row>
        <row r="358">
          <cell r="EG358">
            <v>10.139690221652923</v>
          </cell>
        </row>
        <row r="359">
          <cell r="EG359">
            <v>9.9629845843169971</v>
          </cell>
        </row>
        <row r="360">
          <cell r="EG360">
            <v>10.071440127177887</v>
          </cell>
        </row>
        <row r="361">
          <cell r="EG361">
            <v>9.2019430634016501</v>
          </cell>
        </row>
        <row r="362">
          <cell r="EG362">
            <v>10.079723775139918</v>
          </cell>
        </row>
        <row r="363">
          <cell r="EG363">
            <v>9.988603543345663</v>
          </cell>
        </row>
        <row r="364">
          <cell r="EG364">
            <v>9.6907275438703664</v>
          </cell>
        </row>
        <row r="365">
          <cell r="EG365">
            <v>9.2878017299302265</v>
          </cell>
        </row>
        <row r="366">
          <cell r="EG366">
            <v>9.5118833609788744</v>
          </cell>
        </row>
        <row r="367">
          <cell r="EG367">
            <v>10.015862508097314</v>
          </cell>
        </row>
        <row r="368">
          <cell r="EG368">
            <v>9.7113009599161657</v>
          </cell>
        </row>
        <row r="369">
          <cell r="EG369">
            <v>10.086573365620573</v>
          </cell>
        </row>
        <row r="370">
          <cell r="EG370">
            <v>9.277150613963796</v>
          </cell>
        </row>
        <row r="371">
          <cell r="EG371">
            <v>9.7978213113640233</v>
          </cell>
        </row>
        <row r="372">
          <cell r="EG372">
            <v>9.522183317618687</v>
          </cell>
        </row>
        <row r="373">
          <cell r="EG373">
            <v>7.7708520116421438</v>
          </cell>
        </row>
        <row r="374">
          <cell r="EG374">
            <v>10.543732887887259</v>
          </cell>
        </row>
        <row r="375">
          <cell r="EG375">
            <v>9.105169427999332</v>
          </cell>
        </row>
        <row r="376">
          <cell r="EG376">
            <v>10.260596042301909</v>
          </cell>
        </row>
        <row r="377">
          <cell r="EG377">
            <v>9.2750808984568582</v>
          </cell>
        </row>
        <row r="378">
          <cell r="EG378">
            <v>10.222430314660491</v>
          </cell>
        </row>
        <row r="379">
          <cell r="EG379">
            <v>10.303131232510763</v>
          </cell>
        </row>
        <row r="380">
          <cell r="EG380">
            <v>10.136181326960601</v>
          </cell>
        </row>
        <row r="381">
          <cell r="EG381">
            <v>10.757934766327757</v>
          </cell>
        </row>
        <row r="382">
          <cell r="EG382">
            <v>10.360422994329248</v>
          </cell>
        </row>
        <row r="383">
          <cell r="EG383">
            <v>10.742379442998091</v>
          </cell>
        </row>
        <row r="384">
          <cell r="EG384">
            <v>10.453104198432209</v>
          </cell>
        </row>
        <row r="385">
          <cell r="EG385">
            <v>10.089304451847871</v>
          </cell>
        </row>
        <row r="386">
          <cell r="EG386">
            <v>10.484200153763631</v>
          </cell>
        </row>
        <row r="387">
          <cell r="EG387">
            <v>10.724587138976274</v>
          </cell>
        </row>
        <row r="388">
          <cell r="EG388">
            <v>9.4559102403827424</v>
          </cell>
        </row>
        <row r="389">
          <cell r="EG389">
            <v>10.321784782959902</v>
          </cell>
        </row>
        <row r="390">
          <cell r="EG390">
            <v>9.2070955404192176</v>
          </cell>
        </row>
        <row r="391">
          <cell r="EG391">
            <v>10.069853021113625</v>
          </cell>
        </row>
        <row r="392">
          <cell r="EG392">
            <v>10.576468048945626</v>
          </cell>
        </row>
        <row r="393">
          <cell r="EG393">
            <v>9.2664668954402423</v>
          </cell>
        </row>
        <row r="394">
          <cell r="EG394">
            <v>10.235856568752974</v>
          </cell>
        </row>
        <row r="395">
          <cell r="EG395">
            <v>10.646325291243283</v>
          </cell>
        </row>
        <row r="396">
          <cell r="EG396">
            <v>9.7121444142148867</v>
          </cell>
        </row>
        <row r="397">
          <cell r="EG397">
            <v>9.3014640731433005</v>
          </cell>
        </row>
        <row r="398">
          <cell r="EG398">
            <v>10.104213884199323</v>
          </cell>
        </row>
        <row r="399">
          <cell r="EG399">
            <v>9.7216457662897469</v>
          </cell>
        </row>
        <row r="400">
          <cell r="EG400">
            <v>9.8796119070658506</v>
          </cell>
        </row>
        <row r="401">
          <cell r="EG401">
            <v>10.401900036760585</v>
          </cell>
        </row>
        <row r="402">
          <cell r="EG402">
            <v>10.951415237923166</v>
          </cell>
        </row>
        <row r="403">
          <cell r="EG403">
            <v>9.9754777631658751</v>
          </cell>
        </row>
        <row r="404">
          <cell r="EG404">
            <v>10.050070264367438</v>
          </cell>
        </row>
        <row r="405">
          <cell r="EG405">
            <v>9.7709992051639407</v>
          </cell>
        </row>
        <row r="406">
          <cell r="EG406">
            <v>10.202706226990356</v>
          </cell>
        </row>
        <row r="407">
          <cell r="EG407">
            <v>9.9425536803342105</v>
          </cell>
        </row>
        <row r="408">
          <cell r="EG408">
            <v>10.511869997866151</v>
          </cell>
        </row>
        <row r="409">
          <cell r="EG409">
            <v>9.7622282842864738</v>
          </cell>
        </row>
        <row r="410">
          <cell r="EG410">
            <v>10.060471192797678</v>
          </cell>
        </row>
        <row r="411">
          <cell r="EG411">
            <v>10.297125561527981</v>
          </cell>
        </row>
        <row r="412">
          <cell r="EG412">
            <v>10.178487731047397</v>
          </cell>
        </row>
        <row r="413">
          <cell r="EG413">
            <v>9.9373674175172901</v>
          </cell>
        </row>
        <row r="414">
          <cell r="EG414">
            <v>9.9522110581086682</v>
          </cell>
        </row>
        <row r="415">
          <cell r="EG415">
            <v>9.5910646070264995</v>
          </cell>
        </row>
        <row r="416">
          <cell r="EG416">
            <v>10.337618972419385</v>
          </cell>
        </row>
        <row r="417">
          <cell r="EG417">
            <v>11.086345591277974</v>
          </cell>
        </row>
        <row r="418">
          <cell r="EG418">
            <v>11.497080380188191</v>
          </cell>
        </row>
        <row r="419">
          <cell r="EG419">
            <v>11.709741321751897</v>
          </cell>
        </row>
        <row r="420">
          <cell r="EG420">
            <v>11.004127833122505</v>
          </cell>
        </row>
        <row r="421">
          <cell r="EG421">
            <v>10.671524580629669</v>
          </cell>
        </row>
        <row r="422">
          <cell r="EG422">
            <v>11.188492565093906</v>
          </cell>
        </row>
        <row r="423">
          <cell r="EG423">
            <v>11.308549474427771</v>
          </cell>
        </row>
        <row r="424">
          <cell r="EG424">
            <v>10.836811315727346</v>
          </cell>
        </row>
        <row r="425">
          <cell r="EG425">
            <v>10.992761116636471</v>
          </cell>
        </row>
        <row r="426">
          <cell r="EG426">
            <v>10.345706921278428</v>
          </cell>
        </row>
        <row r="427">
          <cell r="EG427">
            <v>10.898176483497677</v>
          </cell>
        </row>
        <row r="428">
          <cell r="EG428">
            <v>11.227681072752871</v>
          </cell>
        </row>
        <row r="429">
          <cell r="EG429">
            <v>11.042433743144318</v>
          </cell>
        </row>
        <row r="430">
          <cell r="EG430">
            <v>9.2683439139510639</v>
          </cell>
        </row>
        <row r="431">
          <cell r="EG431">
            <v>10.503572800457903</v>
          </cell>
        </row>
        <row r="432">
          <cell r="EG432">
            <v>9.0236639181977942</v>
          </cell>
        </row>
        <row r="433">
          <cell r="EG433">
            <v>9.9653428355606213</v>
          </cell>
        </row>
        <row r="434">
          <cell r="EG434">
            <v>9.4869968884318219</v>
          </cell>
        </row>
        <row r="435">
          <cell r="EG435">
            <v>9.9994350498763307</v>
          </cell>
        </row>
        <row r="436">
          <cell r="EG436">
            <v>9.6755950563867454</v>
          </cell>
        </row>
        <row r="437">
          <cell r="EG437">
            <v>9.7697464671794538</v>
          </cell>
        </row>
        <row r="438">
          <cell r="EG438">
            <v>10.91560031372398</v>
          </cell>
        </row>
        <row r="439">
          <cell r="EG439">
            <v>10.074816440645174</v>
          </cell>
        </row>
        <row r="440">
          <cell r="EG440">
            <v>10.711275630961277</v>
          </cell>
        </row>
        <row r="441">
          <cell r="EG441">
            <v>9.4431064567372669</v>
          </cell>
        </row>
        <row r="442">
          <cell r="EG442">
            <v>9.6480671294489344</v>
          </cell>
        </row>
        <row r="443">
          <cell r="EG443">
            <v>8.3283796034387372</v>
          </cell>
        </row>
        <row r="444">
          <cell r="EG444">
            <v>10.171082577357526</v>
          </cell>
        </row>
        <row r="445">
          <cell r="EG445">
            <v>10.087852375163168</v>
          </cell>
        </row>
        <row r="446">
          <cell r="EG446">
            <v>10.806532694976926</v>
          </cell>
        </row>
        <row r="447">
          <cell r="EG447">
            <v>10.006466042249231</v>
          </cell>
        </row>
        <row r="448">
          <cell r="EG448">
            <v>9.1806992012960347</v>
          </cell>
        </row>
        <row r="449">
          <cell r="EG449">
            <v>9.680063427481949</v>
          </cell>
        </row>
        <row r="450">
          <cell r="EG450">
            <v>10.091139153825754</v>
          </cell>
        </row>
        <row r="451">
          <cell r="EG451">
            <v>9.9593276459721718</v>
          </cell>
        </row>
        <row r="452">
          <cell r="EG452">
            <v>9.5398285583778986</v>
          </cell>
        </row>
        <row r="453">
          <cell r="EG453">
            <v>10.000477461374455</v>
          </cell>
        </row>
        <row r="454">
          <cell r="EG454">
            <v>8.9894498176666922</v>
          </cell>
        </row>
        <row r="455">
          <cell r="EG455">
            <v>10.23509899009494</v>
          </cell>
        </row>
        <row r="456">
          <cell r="EG456">
            <v>9.9146075677710801</v>
          </cell>
        </row>
        <row r="457">
          <cell r="EG457">
            <v>9.6238692683503029</v>
          </cell>
        </row>
        <row r="458">
          <cell r="EG458">
            <v>9.6049816296074315</v>
          </cell>
        </row>
        <row r="459">
          <cell r="EG459">
            <v>9.1673173347481764</v>
          </cell>
        </row>
        <row r="460">
          <cell r="EG460">
            <v>10.164085057458859</v>
          </cell>
        </row>
        <row r="461">
          <cell r="EG461">
            <v>9.3879234669734366</v>
          </cell>
        </row>
        <row r="462">
          <cell r="EG462">
            <v>9.6620018793899174</v>
          </cell>
        </row>
        <row r="463">
          <cell r="EG463">
            <v>9.5743785644130828</v>
          </cell>
        </row>
        <row r="464">
          <cell r="EG464">
            <v>9.9397188823541054</v>
          </cell>
        </row>
        <row r="465">
          <cell r="EG465">
            <v>9.9243309847086785</v>
          </cell>
        </row>
        <row r="466">
          <cell r="EG466">
            <v>9.2491983573911121</v>
          </cell>
        </row>
        <row r="467">
          <cell r="EG467">
            <v>9.6942541120252788</v>
          </cell>
        </row>
        <row r="468">
          <cell r="EG468">
            <v>10.770741583752775</v>
          </cell>
        </row>
        <row r="469">
          <cell r="EG469">
            <v>10.339530938740655</v>
          </cell>
        </row>
        <row r="470">
          <cell r="EG470">
            <v>9.8532113345033174</v>
          </cell>
        </row>
        <row r="471">
          <cell r="EG471">
            <v>10.799733304907949</v>
          </cell>
        </row>
        <row r="472">
          <cell r="EG472">
            <v>9.3889887851247149</v>
          </cell>
        </row>
        <row r="473">
          <cell r="EG473">
            <v>9.1841233542396719</v>
          </cell>
        </row>
        <row r="474">
          <cell r="EG474">
            <v>10.344333315681277</v>
          </cell>
        </row>
        <row r="475">
          <cell r="EG475">
            <v>10.209622234511551</v>
          </cell>
        </row>
        <row r="476">
          <cell r="EG476">
            <v>9.7007902213743478</v>
          </cell>
        </row>
        <row r="477">
          <cell r="EG477">
            <v>10.706743378506737</v>
          </cell>
        </row>
        <row r="478">
          <cell r="EG478">
            <v>11.356589882287693</v>
          </cell>
        </row>
        <row r="479">
          <cell r="EG479">
            <v>9.3900514964589874</v>
          </cell>
        </row>
        <row r="480">
          <cell r="EG480">
            <v>9.5700757053216048</v>
          </cell>
        </row>
        <row r="481">
          <cell r="EG481">
            <v>9.4707044297227885</v>
          </cell>
        </row>
        <row r="482">
          <cell r="EG482">
            <v>10.3220124385824</v>
          </cell>
        </row>
        <row r="483">
          <cell r="EG483">
            <v>9.5929535715478664</v>
          </cell>
        </row>
        <row r="484">
          <cell r="EG484">
            <v>9.1595671932336202</v>
          </cell>
        </row>
        <row r="485">
          <cell r="EG485">
            <v>9.494293768665333</v>
          </cell>
        </row>
        <row r="486">
          <cell r="EG486">
            <v>9.2683439139510639</v>
          </cell>
        </row>
        <row r="487">
          <cell r="EG487">
            <v>9.5737995822157398</v>
          </cell>
        </row>
        <row r="488">
          <cell r="EG488">
            <v>9.1875207208364635</v>
          </cell>
        </row>
        <row r="489">
          <cell r="EG489">
            <v>9.5790973265526436</v>
          </cell>
        </row>
        <row r="490">
          <cell r="EG490">
            <v>9.5639554649958125</v>
          </cell>
        </row>
        <row r="491">
          <cell r="EG491">
            <v>10.321266939574789</v>
          </cell>
        </row>
        <row r="492">
          <cell r="EG492">
            <v>9.9369156809452548</v>
          </cell>
        </row>
        <row r="493">
          <cell r="EG493">
            <v>10.164620489079711</v>
          </cell>
        </row>
        <row r="494">
          <cell r="EG494">
            <v>9.6420686273415033</v>
          </cell>
        </row>
        <row r="495">
          <cell r="EG495">
            <v>9.307067950661299</v>
          </cell>
        </row>
        <row r="496">
          <cell r="EG496">
            <v>9.0322157032979824</v>
          </cell>
        </row>
        <row r="497">
          <cell r="EG497">
            <v>9.5342800052050816</v>
          </cell>
        </row>
        <row r="498">
          <cell r="EG498">
            <v>9.8376515578463923</v>
          </cell>
        </row>
        <row r="499">
          <cell r="EG499">
            <v>10.480107595576447</v>
          </cell>
        </row>
        <row r="500">
          <cell r="EG500">
            <v>9.0394141191761364</v>
          </cell>
        </row>
        <row r="501">
          <cell r="EG501">
            <v>9.1911714557285578</v>
          </cell>
        </row>
        <row r="502">
          <cell r="EG502">
            <v>9.476251796007034</v>
          </cell>
        </row>
        <row r="503">
          <cell r="EG503">
            <v>8.8512583487190746</v>
          </cell>
        </row>
        <row r="504">
          <cell r="EG504">
            <v>8.7450747915820575</v>
          </cell>
        </row>
        <row r="505">
          <cell r="EG505">
            <v>9.0145205387579246</v>
          </cell>
        </row>
        <row r="506">
          <cell r="EG506">
            <v>10.569455844240684</v>
          </cell>
        </row>
        <row r="507">
          <cell r="EG507">
            <v>8.8061799739838875</v>
          </cell>
        </row>
        <row r="508">
          <cell r="EG508">
            <v>9.2116544005531829</v>
          </cell>
        </row>
        <row r="509">
          <cell r="EG509">
            <v>10.105612359686786</v>
          </cell>
        </row>
        <row r="510">
          <cell r="EG510">
            <v>9.5848963441374497</v>
          </cell>
        </row>
        <row r="511">
          <cell r="EG511">
            <v>9.3326404103874623</v>
          </cell>
        </row>
        <row r="512">
          <cell r="EG512">
            <v>9.1622656142980219</v>
          </cell>
        </row>
        <row r="513">
          <cell r="EG513">
            <v>8.8048206787211623</v>
          </cell>
        </row>
        <row r="514">
          <cell r="EG514">
            <v>8.5693739096150452</v>
          </cell>
        </row>
        <row r="515">
          <cell r="EG515">
            <v>8.8680563618230419</v>
          </cell>
        </row>
        <row r="516">
          <cell r="EG516">
            <v>11.032969116894197</v>
          </cell>
        </row>
        <row r="517">
          <cell r="EG517">
            <v>8.6127838567197355</v>
          </cell>
        </row>
        <row r="518">
          <cell r="EG518">
            <v>8.9122220565324159</v>
          </cell>
        </row>
        <row r="519">
          <cell r="EG519">
            <v>8.5809249756756198</v>
          </cell>
        </row>
        <row r="520">
          <cell r="EG520">
            <v>10.312790692146443</v>
          </cell>
        </row>
        <row r="521">
          <cell r="EG521">
            <v>10.037107632667928</v>
          </cell>
        </row>
        <row r="522">
          <cell r="EG522">
            <v>9.2100508498751381</v>
          </cell>
        </row>
        <row r="523">
          <cell r="EG523">
            <v>8.9489017609702142</v>
          </cell>
        </row>
        <row r="524">
          <cell r="EG524">
            <v>8.8864907251724823</v>
          </cell>
        </row>
        <row r="525">
          <cell r="EG525">
            <v>9.3040594662175984</v>
          </cell>
        </row>
        <row r="526">
          <cell r="EG526">
            <v>10.30982172568023</v>
          </cell>
        </row>
        <row r="527">
          <cell r="EG527">
            <v>10.148571808932157</v>
          </cell>
        </row>
        <row r="528">
          <cell r="EG528">
            <v>9.2484637175510311</v>
          </cell>
        </row>
        <row r="529">
          <cell r="EG529">
            <v>9.0902580529313166</v>
          </cell>
        </row>
        <row r="530">
          <cell r="EG530">
            <v>9.8510136068236704</v>
          </cell>
        </row>
        <row r="531">
          <cell r="EG531">
            <v>10.068705219691941</v>
          </cell>
        </row>
        <row r="532">
          <cell r="EG532">
            <v>9.3541084391474012</v>
          </cell>
        </row>
        <row r="533">
          <cell r="EG533">
            <v>9.5459253293558426</v>
          </cell>
        </row>
        <row r="534">
          <cell r="EG534">
            <v>9.7520484478194387</v>
          </cell>
        </row>
        <row r="535">
          <cell r="EG535">
            <v>8.9360107957152088</v>
          </cell>
        </row>
        <row r="536">
          <cell r="EG536">
            <v>8.9508514588885468</v>
          </cell>
        </row>
        <row r="537">
          <cell r="EG537">
            <v>8.9836262871245349</v>
          </cell>
        </row>
        <row r="538">
          <cell r="EG538">
            <v>9.4044916177586853</v>
          </cell>
        </row>
        <row r="539">
          <cell r="EG539">
            <v>9.43822580760453</v>
          </cell>
        </row>
        <row r="540">
          <cell r="EG540">
            <v>9.5975855017522047</v>
          </cell>
        </row>
        <row r="541">
          <cell r="EG541">
            <v>9.06744284277638</v>
          </cell>
        </row>
        <row r="542">
          <cell r="EG542">
            <v>9.5039268041935099</v>
          </cell>
        </row>
        <row r="543">
          <cell r="EG543">
            <v>9.6907275438703664</v>
          </cell>
        </row>
        <row r="544">
          <cell r="EG544">
            <v>9.2377949932739227</v>
          </cell>
        </row>
        <row r="545">
          <cell r="EG545">
            <v>9.4163075870598831</v>
          </cell>
        </row>
        <row r="546">
          <cell r="EG546">
            <v>9.2273724422896368</v>
          </cell>
        </row>
        <row r="547">
          <cell r="EG547">
            <v>9.1541195255158474</v>
          </cell>
        </row>
        <row r="548">
          <cell r="EG548">
            <v>8.6253124509616743</v>
          </cell>
        </row>
        <row r="549">
          <cell r="EG549">
            <v>8.8055008581583998</v>
          </cell>
        </row>
        <row r="550">
          <cell r="EG550">
            <v>9.0877814178095431</v>
          </cell>
        </row>
        <row r="551">
          <cell r="EG551">
            <v>9.7666358863102669</v>
          </cell>
        </row>
        <row r="552">
          <cell r="EG552">
            <v>9.10140335055533</v>
          </cell>
        </row>
        <row r="553">
          <cell r="EG553">
            <v>8.5932860670204576</v>
          </cell>
        </row>
        <row r="554">
          <cell r="EG554">
            <v>8.6711728427150838</v>
          </cell>
        </row>
        <row r="555">
          <cell r="EG555">
            <v>8.7450747915820575</v>
          </cell>
        </row>
        <row r="556">
          <cell r="EG556">
            <v>8.7168377232995251</v>
          </cell>
        </row>
        <row r="557">
          <cell r="EG557">
            <v>9.7080808104682319</v>
          </cell>
        </row>
        <row r="558">
          <cell r="EG558">
            <v>9.2169572073610961</v>
          </cell>
        </row>
        <row r="559">
          <cell r="EG559">
            <v>8.7126497016272122</v>
          </cell>
        </row>
        <row r="560">
          <cell r="EG560">
            <v>8.729974285699555</v>
          </cell>
        </row>
        <row r="561">
          <cell r="EG561">
            <v>8.3324384599156058</v>
          </cell>
        </row>
        <row r="562">
          <cell r="EG562">
            <v>8.423245873936807</v>
          </cell>
        </row>
        <row r="563">
          <cell r="EG563">
            <v>9.3692158574101434</v>
          </cell>
        </row>
        <row r="564">
          <cell r="EG564">
            <v>9.0526939419249679</v>
          </cell>
        </row>
        <row r="565">
          <cell r="EG565">
            <v>8.9439888750737726</v>
          </cell>
        </row>
        <row r="566">
          <cell r="EG566">
            <v>9.2187979981117376</v>
          </cell>
        </row>
        <row r="567">
          <cell r="EG567">
            <v>9.7743709598499162</v>
          </cell>
        </row>
        <row r="568">
          <cell r="EG568">
            <v>8.8864907251724823</v>
          </cell>
        </row>
        <row r="569">
          <cell r="EG569">
            <v>9.0546130545568886</v>
          </cell>
        </row>
        <row r="570">
          <cell r="EG570">
            <v>8.8567288903828825</v>
          </cell>
        </row>
        <row r="571">
          <cell r="EG571">
            <v>8.9449759084120473</v>
          </cell>
        </row>
        <row r="572">
          <cell r="EG572">
            <v>9.7370335313338785</v>
          </cell>
        </row>
        <row r="573">
          <cell r="EG573">
            <v>9.2496874278053021</v>
          </cell>
        </row>
        <row r="574">
          <cell r="EG574">
            <v>8.8954225460394074</v>
          </cell>
        </row>
        <row r="575">
          <cell r="EG575">
            <v>9.5011962420270883</v>
          </cell>
        </row>
        <row r="576">
          <cell r="EG576">
            <v>9.1664301138432833</v>
          </cell>
        </row>
        <row r="577">
          <cell r="EG577">
            <v>8.5514499979728757</v>
          </cell>
        </row>
        <row r="578">
          <cell r="EG578">
            <v>9.0576661039098294</v>
          </cell>
        </row>
        <row r="579">
          <cell r="EG579">
            <v>9.5319895514125506</v>
          </cell>
        </row>
        <row r="580">
          <cell r="EG580">
            <v>9.1568519010700111</v>
          </cell>
        </row>
        <row r="581">
          <cell r="EG581">
            <v>8.8195439355418692</v>
          </cell>
        </row>
        <row r="582">
          <cell r="EG582">
            <v>9.2211533219547057</v>
          </cell>
        </row>
        <row r="583">
          <cell r="EG583">
            <v>9.1179338350396417</v>
          </cell>
        </row>
        <row r="584">
          <cell r="EG584">
            <v>9.4104397862103468</v>
          </cell>
        </row>
        <row r="585">
          <cell r="EG585">
            <v>9.1139433523068369</v>
          </cell>
        </row>
        <row r="586">
          <cell r="EG586">
            <v>8.957607287060096</v>
          </cell>
        </row>
        <row r="587">
          <cell r="EG587">
            <v>11.092801321948428</v>
          </cell>
        </row>
        <row r="588">
          <cell r="EG588">
            <v>9.0488300865283495</v>
          </cell>
        </row>
        <row r="589">
          <cell r="EG589">
            <v>10.155457501451842</v>
          </cell>
        </row>
        <row r="590">
          <cell r="EG590">
            <v>8.3483048630481616</v>
          </cell>
        </row>
        <row r="591">
          <cell r="EG591">
            <v>9.5970366649776526</v>
          </cell>
        </row>
        <row r="592">
          <cell r="EG592">
            <v>9.612359947967775</v>
          </cell>
        </row>
        <row r="593">
          <cell r="EG593">
            <v>9.7979596437371956</v>
          </cell>
        </row>
        <row r="594">
          <cell r="EG594">
            <v>9.881897973573011</v>
          </cell>
        </row>
        <row r="595">
          <cell r="EG595">
            <v>8.9969492484953815</v>
          </cell>
        </row>
        <row r="596">
          <cell r="EG596">
            <v>9.0817072700973487</v>
          </cell>
        </row>
        <row r="597">
          <cell r="EG597">
            <v>9.2552725051033065</v>
          </cell>
        </row>
        <row r="598">
          <cell r="EG598">
            <v>9.0145205387579246</v>
          </cell>
        </row>
        <row r="599">
          <cell r="EG599">
            <v>8.9365137424788941</v>
          </cell>
        </row>
        <row r="600">
          <cell r="EG600">
            <v>8.6998377258672459</v>
          </cell>
        </row>
        <row r="601">
          <cell r="EG601">
            <v>8.7497363155690611</v>
          </cell>
        </row>
        <row r="602">
          <cell r="EG602">
            <v>10.232767474176342</v>
          </cell>
        </row>
        <row r="603">
          <cell r="EG603">
            <v>9.2810333672477281</v>
          </cell>
        </row>
        <row r="604">
          <cell r="EG604">
            <v>7.9395192526186182</v>
          </cell>
        </row>
        <row r="605">
          <cell r="EG605">
            <v>9.159867847092567</v>
          </cell>
        </row>
        <row r="606">
          <cell r="EG606">
            <v>8.8750612633917001</v>
          </cell>
        </row>
        <row r="607">
          <cell r="EG607">
            <v>9.2821687783046407</v>
          </cell>
        </row>
        <row r="608">
          <cell r="EG608">
            <v>8.9647309210536292</v>
          </cell>
        </row>
        <row r="609">
          <cell r="EG609">
            <v>9.6394864892685863</v>
          </cell>
        </row>
        <row r="610">
          <cell r="EG610">
            <v>8.5514499979728757</v>
          </cell>
        </row>
        <row r="611">
          <cell r="EG611">
            <v>9.4315245841874518</v>
          </cell>
        </row>
        <row r="612">
          <cell r="EG612">
            <v>8.668385916690001</v>
          </cell>
        </row>
        <row r="613">
          <cell r="EG613">
            <v>9.2636360685881076</v>
          </cell>
        </row>
        <row r="614">
          <cell r="EG614">
            <v>8.7678976160180913</v>
          </cell>
        </row>
        <row r="615">
          <cell r="EG615">
            <v>9.6553305580093411</v>
          </cell>
        </row>
        <row r="616">
          <cell r="EG616">
            <v>9.1038037209559572</v>
          </cell>
        </row>
        <row r="617">
          <cell r="EG617">
            <v>9.1934029030624167</v>
          </cell>
        </row>
        <row r="618">
          <cell r="EG618">
            <v>9.0877814178095431</v>
          </cell>
        </row>
        <row r="619">
          <cell r="EG619">
            <v>9.1661339703051095</v>
          </cell>
        </row>
        <row r="620">
          <cell r="EG620">
            <v>9.3100557377508917</v>
          </cell>
        </row>
        <row r="621">
          <cell r="EG621">
            <v>9.2342641243787895</v>
          </cell>
        </row>
        <row r="622">
          <cell r="EG622">
            <v>9.2523675144598982</v>
          </cell>
        </row>
        <row r="623">
          <cell r="EG623">
            <v>8.9138138523837167</v>
          </cell>
        </row>
        <row r="624">
          <cell r="EG624">
            <v>10.437100219421662</v>
          </cell>
        </row>
        <row r="625">
          <cell r="EG625">
            <v>8.568201724066995</v>
          </cell>
        </row>
        <row r="626">
          <cell r="EG626">
            <v>10.045557669136548</v>
          </cell>
        </row>
        <row r="627">
          <cell r="EG627">
            <v>9.1146109842321739</v>
          </cell>
        </row>
        <row r="628">
          <cell r="EG628">
            <v>9.6074550232146692</v>
          </cell>
        </row>
        <row r="629">
          <cell r="EG629">
            <v>9.4168068718229438</v>
          </cell>
        </row>
        <row r="630">
          <cell r="EG630">
            <v>9.5148132949992856</v>
          </cell>
        </row>
        <row r="631">
          <cell r="EG631">
            <v>10.513457328390572</v>
          </cell>
        </row>
        <row r="632">
          <cell r="EG632">
            <v>9.3390537357091397</v>
          </cell>
        </row>
        <row r="633">
          <cell r="EG633">
            <v>8.5965970956264606</v>
          </cell>
        </row>
        <row r="634">
          <cell r="EG634">
            <v>9.6231458746379399</v>
          </cell>
        </row>
        <row r="635">
          <cell r="EG635">
            <v>10.094051655509965</v>
          </cell>
        </row>
        <row r="636">
          <cell r="EG636">
            <v>8.7242758696007883</v>
          </cell>
        </row>
        <row r="637">
          <cell r="EG637">
            <v>9.2407987711173316</v>
          </cell>
        </row>
        <row r="638">
          <cell r="EG638">
            <v>9.5178554189300293</v>
          </cell>
        </row>
        <row r="639">
          <cell r="EG639">
            <v>9.8857003801283305</v>
          </cell>
        </row>
        <row r="640">
          <cell r="EG640">
            <v>9.4445132063340438</v>
          </cell>
        </row>
        <row r="641">
          <cell r="EG641">
            <v>8.2810333672477281</v>
          </cell>
        </row>
        <row r="642">
          <cell r="EG642">
            <v>9.784545974054522</v>
          </cell>
        </row>
        <row r="643">
          <cell r="EG643">
            <v>9.4937368022768407</v>
          </cell>
        </row>
        <row r="644">
          <cell r="EG644">
            <v>9.2787536009528289</v>
          </cell>
        </row>
        <row r="645">
          <cell r="EG645">
            <v>9.6444385894678391</v>
          </cell>
        </row>
        <row r="646">
          <cell r="EG646">
            <v>9.2844307338445198</v>
          </cell>
        </row>
        <row r="647">
          <cell r="EG647">
            <v>9.4611982886224926</v>
          </cell>
        </row>
        <row r="648">
          <cell r="EG648">
            <v>8.7267272090265724</v>
          </cell>
        </row>
        <row r="649">
          <cell r="EG649">
            <v>9.4313637641589878</v>
          </cell>
        </row>
        <row r="650">
          <cell r="EG650">
            <v>9.1129399760840801</v>
          </cell>
        </row>
        <row r="651">
          <cell r="EG651">
            <v>9.3332456989619637</v>
          </cell>
        </row>
        <row r="652">
          <cell r="EG652">
            <v>9.2362852774480277</v>
          </cell>
        </row>
        <row r="653">
          <cell r="EG653">
            <v>9.0362295440862948</v>
          </cell>
        </row>
        <row r="654">
          <cell r="EG654">
            <v>10.075473964588946</v>
          </cell>
        </row>
        <row r="655">
          <cell r="EG655">
            <v>10.129722108695878</v>
          </cell>
        </row>
        <row r="656">
          <cell r="EG656">
            <v>8.9722028383790651</v>
          </cell>
        </row>
        <row r="657">
          <cell r="EG657">
            <v>9.5065050324048723</v>
          </cell>
        </row>
        <row r="658">
          <cell r="EG658">
            <v>10.290991232025503</v>
          </cell>
        </row>
        <row r="659">
          <cell r="EG659">
            <v>9.2153731527834228</v>
          </cell>
        </row>
        <row r="660">
          <cell r="EG660">
            <v>10.385606273598313</v>
          </cell>
        </row>
        <row r="661">
          <cell r="EG661">
            <v>9.4886916983169414</v>
          </cell>
        </row>
        <row r="662">
          <cell r="EG662">
            <v>8.9978230807457251</v>
          </cell>
        </row>
        <row r="663">
          <cell r="EG663">
            <v>9.2942457161381178</v>
          </cell>
        </row>
        <row r="664">
          <cell r="EG664">
            <v>9.6002103064093287</v>
          </cell>
        </row>
        <row r="665">
          <cell r="EG665">
            <v>9.3981136917305026</v>
          </cell>
        </row>
        <row r="666">
          <cell r="EG666">
            <v>9.0603200286882846</v>
          </cell>
        </row>
        <row r="667">
          <cell r="EG667">
            <v>9.1838390370564209</v>
          </cell>
        </row>
        <row r="668">
          <cell r="EG668">
            <v>9.8778894253714835</v>
          </cell>
        </row>
        <row r="669">
          <cell r="EG669">
            <v>9.1328997699444834</v>
          </cell>
        </row>
        <row r="670">
          <cell r="EG670">
            <v>9.8947589943718928</v>
          </cell>
        </row>
        <row r="671">
          <cell r="EG671">
            <v>9.2385478876813281</v>
          </cell>
        </row>
        <row r="672">
          <cell r="EG672">
            <v>9.7277851741829053</v>
          </cell>
        </row>
        <row r="673">
          <cell r="EG673">
            <v>8.6989700043360187</v>
          </cell>
        </row>
        <row r="674">
          <cell r="EG674">
            <v>9.1945143418824671</v>
          </cell>
        </row>
        <row r="675">
          <cell r="EG675">
            <v>9.2650537885040141</v>
          </cell>
        </row>
        <row r="676">
          <cell r="EG676">
            <v>9.6237660001339318</v>
          </cell>
        </row>
        <row r="677">
          <cell r="EG677">
            <v>10.678982470996925</v>
          </cell>
        </row>
        <row r="678">
          <cell r="EG678">
            <v>9.0877814178095431</v>
          </cell>
        </row>
        <row r="679">
          <cell r="EG679">
            <v>9.5542468081661109</v>
          </cell>
        </row>
        <row r="680">
          <cell r="EG680">
            <v>8.6821450763738319</v>
          </cell>
        </row>
        <row r="681">
          <cell r="EG681">
            <v>10.23545269126322</v>
          </cell>
        </row>
        <row r="682">
          <cell r="EG682">
            <v>10.11169927757355</v>
          </cell>
        </row>
        <row r="683">
          <cell r="EG683">
            <v>9.6495295659478195</v>
          </cell>
        </row>
        <row r="684">
          <cell r="EG684">
            <v>10.128657700431415</v>
          </cell>
        </row>
        <row r="685">
          <cell r="EG685">
            <v>9.0588054866759062</v>
          </cell>
        </row>
        <row r="686">
          <cell r="EG686">
            <v>8.9258275746247424</v>
          </cell>
        </row>
        <row r="687">
          <cell r="EG687">
            <v>9.4239009185284175</v>
          </cell>
        </row>
        <row r="688">
          <cell r="EG688">
            <v>9.7449185424413525</v>
          </cell>
        </row>
        <row r="689">
          <cell r="EG689">
            <v>10.176669932668149</v>
          </cell>
        </row>
        <row r="690">
          <cell r="EG690">
            <v>9.6515687388657927</v>
          </cell>
        </row>
        <row r="691">
          <cell r="EG691">
            <v>9.7015679850559273</v>
          </cell>
        </row>
        <row r="692">
          <cell r="EG692">
            <v>9.2375437381428753</v>
          </cell>
        </row>
        <row r="693">
          <cell r="EG693">
            <v>9.0599418880619549</v>
          </cell>
        </row>
        <row r="694">
          <cell r="EG694">
            <v>9.4034637013453182</v>
          </cell>
        </row>
        <row r="695">
          <cell r="EG695">
            <v>9.0599418880619549</v>
          </cell>
        </row>
        <row r="696">
          <cell r="EG696">
            <v>10.154910645788524</v>
          </cell>
        </row>
        <row r="697">
          <cell r="EG697">
            <v>9.3378584290410949</v>
          </cell>
        </row>
        <row r="698">
          <cell r="EG698">
            <v>9.6475785542124548</v>
          </cell>
        </row>
        <row r="699">
          <cell r="EG699">
            <v>10.487590824516055</v>
          </cell>
        </row>
        <row r="700">
          <cell r="EG700">
            <v>9.6159500516564016</v>
          </cell>
        </row>
        <row r="701">
          <cell r="EG701">
            <v>9.8377146682849119</v>
          </cell>
        </row>
        <row r="702">
          <cell r="EG702">
            <v>9.5706596700215343</v>
          </cell>
        </row>
        <row r="703">
          <cell r="EG703">
            <v>9.6795187436957892</v>
          </cell>
        </row>
        <row r="704">
          <cell r="EG704">
            <v>8.9003671286564696</v>
          </cell>
        </row>
        <row r="705">
          <cell r="EG705">
            <v>8.1398790864012369</v>
          </cell>
        </row>
        <row r="706">
          <cell r="EG706">
            <v>9.5662017188549129</v>
          </cell>
        </row>
        <row r="707">
          <cell r="EG707">
            <v>9.8285954563717031</v>
          </cell>
        </row>
        <row r="708">
          <cell r="EG708">
            <v>9.0115704435972788</v>
          </cell>
        </row>
        <row r="709">
          <cell r="EG709">
            <v>9.0326187608507205</v>
          </cell>
        </row>
        <row r="710">
          <cell r="EG710">
            <v>9.2187979981117376</v>
          </cell>
        </row>
        <row r="711">
          <cell r="EG711">
            <v>8.8976270912904418</v>
          </cell>
        </row>
        <row r="712">
          <cell r="EG712">
            <v>8.3283796034387372</v>
          </cell>
        </row>
        <row r="713">
          <cell r="EG713">
            <v>9.9838517189914722</v>
          </cell>
        </row>
        <row r="714">
          <cell r="EG714">
            <v>10.563136835879313</v>
          </cell>
        </row>
        <row r="715">
          <cell r="EG715">
            <v>9.3306166672944375</v>
          </cell>
        </row>
        <row r="716">
          <cell r="EG716">
            <v>9.3762118502826723</v>
          </cell>
        </row>
        <row r="717">
          <cell r="EG717">
            <v>10.180326625415148</v>
          </cell>
        </row>
        <row r="718">
          <cell r="EG718">
            <v>10.622452353098465</v>
          </cell>
        </row>
        <row r="719">
          <cell r="EG719">
            <v>9.1055101847699742</v>
          </cell>
        </row>
        <row r="720">
          <cell r="EG720">
            <v>9.0927206446840998</v>
          </cell>
        </row>
        <row r="721">
          <cell r="EG721">
            <v>9.8431081419996076</v>
          </cell>
        </row>
        <row r="722">
          <cell r="EG722">
            <v>9.7921114090871679</v>
          </cell>
        </row>
        <row r="723">
          <cell r="EG723">
            <v>9.5718252490408293</v>
          </cell>
        </row>
        <row r="724">
          <cell r="EG724">
            <v>9.246744709723842</v>
          </cell>
        </row>
        <row r="725">
          <cell r="EG725">
            <v>9.5878231713189557</v>
          </cell>
        </row>
        <row r="726">
          <cell r="EG726">
            <v>9.6630409748939741</v>
          </cell>
        </row>
        <row r="727">
          <cell r="EG727">
            <v>9.5941714791149124</v>
          </cell>
        </row>
        <row r="728">
          <cell r="EG728">
            <v>9.1934029030624167</v>
          </cell>
        </row>
        <row r="729">
          <cell r="EG729">
            <v>9.7352794480604565</v>
          </cell>
        </row>
        <row r="730">
          <cell r="EG730">
            <v>9.5614591712419159</v>
          </cell>
        </row>
        <row r="731">
          <cell r="EG731">
            <v>9.746712022516661</v>
          </cell>
        </row>
        <row r="732">
          <cell r="EG732">
            <v>9.8280150642239761</v>
          </cell>
        </row>
        <row r="733">
          <cell r="EG733">
            <v>8.7209857441537384</v>
          </cell>
        </row>
        <row r="734">
          <cell r="EG734">
            <v>9.5435714239623657</v>
          </cell>
        </row>
        <row r="735">
          <cell r="EG735">
            <v>9.6062738531699878</v>
          </cell>
        </row>
        <row r="736">
          <cell r="EG736">
            <v>9.8293037728310253</v>
          </cell>
        </row>
        <row r="737">
          <cell r="EG737">
            <v>8.7242758696007883</v>
          </cell>
        </row>
        <row r="738">
          <cell r="EG738">
            <v>9.7070589406275971</v>
          </cell>
        </row>
        <row r="739">
          <cell r="EG739">
            <v>10.135832049712681</v>
          </cell>
        </row>
        <row r="740">
          <cell r="EG740">
            <v>8.8488047010518045</v>
          </cell>
        </row>
        <row r="741">
          <cell r="EG741">
            <v>9.585460729508501</v>
          </cell>
        </row>
        <row r="742">
          <cell r="EG742">
            <v>9.2022157758011307</v>
          </cell>
        </row>
        <row r="743">
          <cell r="EG743">
            <v>9.699404081815338</v>
          </cell>
        </row>
        <row r="744">
          <cell r="EG744">
            <v>9.9442852206887533</v>
          </cell>
        </row>
        <row r="745">
          <cell r="EG745">
            <v>9.3651134316275773</v>
          </cell>
        </row>
        <row r="746">
          <cell r="EG746">
            <v>9.4681995860726129</v>
          </cell>
        </row>
        <row r="747">
          <cell r="EG747">
            <v>8.9642596301968496</v>
          </cell>
        </row>
        <row r="748">
          <cell r="EG748">
            <v>9.8969669019331548</v>
          </cell>
        </row>
        <row r="749">
          <cell r="EG749">
            <v>9.5043349118024647</v>
          </cell>
        </row>
        <row r="750">
          <cell r="EG750">
            <v>9.3607826898732807</v>
          </cell>
        </row>
        <row r="751">
          <cell r="EG751">
            <v>9.3244882333076564</v>
          </cell>
        </row>
        <row r="752">
          <cell r="EG752">
            <v>9.5422027824340283</v>
          </cell>
        </row>
        <row r="753">
          <cell r="EG753">
            <v>9.0277572046905536</v>
          </cell>
        </row>
        <row r="754">
          <cell r="EG754">
            <v>9.6047658847038875</v>
          </cell>
        </row>
        <row r="755">
          <cell r="EG755">
            <v>8.989004615698537</v>
          </cell>
        </row>
        <row r="756">
          <cell r="EG756">
            <v>9.8501559224220916</v>
          </cell>
        </row>
        <row r="757">
          <cell r="EG757">
            <v>9.6231458746379399</v>
          </cell>
        </row>
        <row r="758">
          <cell r="EG758">
            <v>9.4353665066126613</v>
          </cell>
        </row>
        <row r="759">
          <cell r="EG759">
            <v>8.5477747053878232</v>
          </cell>
        </row>
        <row r="760">
          <cell r="EG760">
            <v>9.6769678142947591</v>
          </cell>
        </row>
        <row r="761">
          <cell r="EG761">
            <v>8.989004615698537</v>
          </cell>
        </row>
        <row r="762">
          <cell r="EG762">
            <v>9.1176026916900845</v>
          </cell>
        </row>
        <row r="763">
          <cell r="EG763">
            <v>10.258469661550693</v>
          </cell>
        </row>
        <row r="764">
          <cell r="EG764">
            <v>9.2506639194632427</v>
          </cell>
        </row>
        <row r="765">
          <cell r="EG765">
            <v>9.0762762554042169</v>
          </cell>
        </row>
        <row r="766">
          <cell r="EG766">
            <v>9.9062272630523598</v>
          </cell>
        </row>
        <row r="767">
          <cell r="EG767">
            <v>10.147985320683805</v>
          </cell>
        </row>
        <row r="768">
          <cell r="EG768">
            <v>9.4910814134231867</v>
          </cell>
        </row>
        <row r="769">
          <cell r="EG769">
            <v>9.4913616938342731</v>
          </cell>
        </row>
        <row r="770">
          <cell r="EG770">
            <v>9.4413808849165122</v>
          </cell>
        </row>
        <row r="771">
          <cell r="EG771">
            <v>8.7067177823367583</v>
          </cell>
        </row>
        <row r="772">
          <cell r="EG772">
            <v>9.4260230156898768</v>
          </cell>
        </row>
        <row r="773">
          <cell r="EG773">
            <v>10.193820026016112</v>
          </cell>
        </row>
        <row r="774">
          <cell r="EG774">
            <v>9.6552345070342938</v>
          </cell>
        </row>
        <row r="775">
          <cell r="EG775">
            <v>9.2929202996000058</v>
          </cell>
        </row>
        <row r="776">
          <cell r="EG776">
            <v>10.021520064114032</v>
          </cell>
        </row>
        <row r="777">
          <cell r="EG777">
            <v>9.7496590320949004</v>
          </cell>
        </row>
        <row r="778">
          <cell r="EG778">
            <v>9.6677330525332668</v>
          </cell>
        </row>
        <row r="779">
          <cell r="EG779">
            <v>9.0817072700973487</v>
          </cell>
        </row>
        <row r="780">
          <cell r="EG780">
            <v>9.4328090050331674</v>
          </cell>
        </row>
        <row r="781">
          <cell r="EG781">
            <v>10.308671106715419</v>
          </cell>
        </row>
        <row r="782">
          <cell r="EG782">
            <v>8.6766936096248664</v>
          </cell>
        </row>
        <row r="783">
          <cell r="EG783">
            <v>8.9628426812012432</v>
          </cell>
        </row>
        <row r="784">
          <cell r="EG784">
            <v>9.4608978427565482</v>
          </cell>
        </row>
        <row r="785">
          <cell r="EG785">
            <v>10.004020273253241</v>
          </cell>
        </row>
        <row r="786">
          <cell r="EG786">
            <v>9.6885977750811705</v>
          </cell>
        </row>
        <row r="787">
          <cell r="EG787">
            <v>9.0595634179012681</v>
          </cell>
        </row>
        <row r="788">
          <cell r="EG788">
            <v>9.4664227224337925</v>
          </cell>
        </row>
        <row r="789">
          <cell r="EG789">
            <v>9.8217754671834641</v>
          </cell>
        </row>
        <row r="790">
          <cell r="EG790">
            <v>9.4087486061842434</v>
          </cell>
        </row>
        <row r="791">
          <cell r="EG791">
            <v>9.1720188094245572</v>
          </cell>
        </row>
        <row r="792">
          <cell r="EG792">
            <v>9.6267508536833937</v>
          </cell>
        </row>
        <row r="793">
          <cell r="EG793">
            <v>9.0421815945157658</v>
          </cell>
        </row>
        <row r="794">
          <cell r="EG794">
            <v>9.1105897102992497</v>
          </cell>
        </row>
        <row r="795">
          <cell r="EG795">
            <v>10.066996420449694</v>
          </cell>
        </row>
        <row r="796">
          <cell r="EG796">
            <v>10.124699808932117</v>
          </cell>
        </row>
        <row r="797">
          <cell r="EG797">
            <v>9.383815365980432</v>
          </cell>
        </row>
        <row r="798">
          <cell r="EG798">
            <v>9.2782962080912732</v>
          </cell>
        </row>
        <row r="799">
          <cell r="EG799">
            <v>9.286456469746982</v>
          </cell>
        </row>
        <row r="800">
          <cell r="EG800">
            <v>9.0788191830988492</v>
          </cell>
        </row>
        <row r="801">
          <cell r="EG801">
            <v>9.6553305580093411</v>
          </cell>
        </row>
        <row r="802">
          <cell r="EG802">
            <v>9.4693801358499243</v>
          </cell>
        </row>
        <row r="803">
          <cell r="EG803">
            <v>8.6148972160331354</v>
          </cell>
        </row>
        <row r="804">
          <cell r="EG804">
            <v>8.7965743332104296</v>
          </cell>
        </row>
        <row r="805">
          <cell r="EG805">
            <v>9.9439888750737726</v>
          </cell>
        </row>
        <row r="806">
          <cell r="EG806">
            <v>9.6637951222194083</v>
          </cell>
        </row>
        <row r="807">
          <cell r="EG807">
            <v>9.5950550897593043</v>
          </cell>
        </row>
        <row r="808">
          <cell r="EG808">
            <v>9.1414497734004669</v>
          </cell>
        </row>
        <row r="809">
          <cell r="EG809">
            <v>9.1132746924643513</v>
          </cell>
        </row>
        <row r="810">
          <cell r="EG810">
            <v>8.7041505168397997</v>
          </cell>
        </row>
        <row r="811">
          <cell r="EG811">
            <v>8.8007170782823856</v>
          </cell>
        </row>
        <row r="812">
          <cell r="EG812">
            <v>9.6386888866901241</v>
          </cell>
        </row>
        <row r="813">
          <cell r="EG813">
            <v>9.6335694425540925</v>
          </cell>
        </row>
        <row r="814">
          <cell r="EG814">
            <v>9.5848963441374497</v>
          </cell>
        </row>
        <row r="815">
          <cell r="EG815">
            <v>9.3068537486930083</v>
          </cell>
        </row>
        <row r="816">
          <cell r="EG816">
            <v>9.4039779636693552</v>
          </cell>
        </row>
        <row r="817">
          <cell r="EG817">
            <v>8.2479732663618073</v>
          </cell>
        </row>
        <row r="818">
          <cell r="EG818">
            <v>9.6817837664678805</v>
          </cell>
        </row>
        <row r="819">
          <cell r="EG819">
            <v>10.88067070875198</v>
          </cell>
        </row>
        <row r="820">
          <cell r="EG820">
            <v>8.668385916690001</v>
          </cell>
        </row>
        <row r="821">
          <cell r="EG821">
            <v>8.8014037100173557</v>
          </cell>
        </row>
        <row r="822">
          <cell r="EG822">
            <v>8.0644579892269181</v>
          </cell>
        </row>
        <row r="823">
          <cell r="EG823">
            <v>9.6520528482481058</v>
          </cell>
        </row>
        <row r="824">
          <cell r="EG824">
            <v>10.706128653676931</v>
          </cell>
        </row>
        <row r="825">
          <cell r="EG825">
            <v>9.2513948500401035</v>
          </cell>
        </row>
        <row r="826">
          <cell r="EG826">
            <v>9.4220971631317099</v>
          </cell>
        </row>
        <row r="827">
          <cell r="EG827">
            <v>9.0511525224473814</v>
          </cell>
        </row>
        <row r="828">
          <cell r="EG828">
            <v>9.834357112718406</v>
          </cell>
        </row>
        <row r="829">
          <cell r="EG829">
            <v>8.9590413923210939</v>
          </cell>
        </row>
        <row r="830">
          <cell r="EG830">
            <v>9.8659918001262756</v>
          </cell>
        </row>
        <row r="831">
          <cell r="EG831">
            <v>9.3051363189436387</v>
          </cell>
        </row>
        <row r="832">
          <cell r="EG832">
            <v>8.9912260756924951</v>
          </cell>
        </row>
        <row r="833">
          <cell r="EG833">
            <v>9.219060332448862</v>
          </cell>
        </row>
        <row r="834">
          <cell r="EG834">
            <v>8.9148718175400496</v>
          </cell>
        </row>
        <row r="835">
          <cell r="EG835">
            <v>9.8313577854420675</v>
          </cell>
        </row>
        <row r="836">
          <cell r="EG836">
            <v>9.3645509953539712</v>
          </cell>
        </row>
        <row r="837">
          <cell r="EG837">
            <v>9.5770319856260322</v>
          </cell>
        </row>
        <row r="838">
          <cell r="EG838">
            <v>9.0515383905153275</v>
          </cell>
        </row>
        <row r="839">
          <cell r="EG839">
            <v>8.5440680443502757</v>
          </cell>
        </row>
        <row r="840">
          <cell r="EG840">
            <v>9.8539414458804906</v>
          </cell>
        </row>
        <row r="841">
          <cell r="EG841">
            <v>10.144698718643125</v>
          </cell>
        </row>
        <row r="842">
          <cell r="EG842">
            <v>9.8033888249836139</v>
          </cell>
        </row>
        <row r="843">
          <cell r="EG843">
            <v>10.126877868835267</v>
          </cell>
        </row>
        <row r="844">
          <cell r="EG844">
            <v>9.1411360901207388</v>
          </cell>
        </row>
        <row r="845">
          <cell r="EG845">
            <v>9.4490153163477864</v>
          </cell>
        </row>
        <row r="846">
          <cell r="EG846">
            <v>10.163012209774829</v>
          </cell>
        </row>
        <row r="847">
          <cell r="EG847">
            <v>9.2437819160937948</v>
          </cell>
        </row>
        <row r="848">
          <cell r="EG848">
            <v>8.9106244048892016</v>
          </cell>
        </row>
        <row r="849">
          <cell r="EG849">
            <v>9.151063253353751</v>
          </cell>
        </row>
        <row r="850">
          <cell r="EG850">
            <v>8.2095150145426317</v>
          </cell>
        </row>
        <row r="851">
          <cell r="EG851">
            <v>11.901634292161853</v>
          </cell>
        </row>
        <row r="852">
          <cell r="EG852">
            <v>9.357934847000454</v>
          </cell>
        </row>
        <row r="853">
          <cell r="EG853">
            <v>9.6690378008851567</v>
          </cell>
        </row>
        <row r="854">
          <cell r="EG854">
            <v>9.0354297381845488</v>
          </cell>
        </row>
        <row r="855">
          <cell r="EG855">
            <v>10.110050716147654</v>
          </cell>
        </row>
        <row r="856">
          <cell r="EG856">
            <v>9.0652061280543119</v>
          </cell>
        </row>
        <row r="857">
          <cell r="EG857">
            <v>9.8298181874388781</v>
          </cell>
        </row>
        <row r="858">
          <cell r="EG858">
            <v>9.6220066730068048</v>
          </cell>
        </row>
        <row r="859">
          <cell r="EG859">
            <v>9.0762762554042169</v>
          </cell>
        </row>
        <row r="860">
          <cell r="EG860">
            <v>9.1129399760840801</v>
          </cell>
        </row>
        <row r="861">
          <cell r="EG861">
            <v>8.7986506454452691</v>
          </cell>
        </row>
        <row r="862">
          <cell r="EG862">
            <v>10.019365574572488</v>
          </cell>
        </row>
        <row r="863">
          <cell r="EG863">
            <v>9.670060217473134</v>
          </cell>
        </row>
        <row r="864">
          <cell r="EG864">
            <v>9.3132342916947248</v>
          </cell>
        </row>
        <row r="865">
          <cell r="EG865">
            <v>9.570192561095725</v>
          </cell>
        </row>
        <row r="866">
          <cell r="EG866">
            <v>8.7993405494535821</v>
          </cell>
        </row>
        <row r="867">
          <cell r="EG867">
            <v>9.341236623238693</v>
          </cell>
        </row>
        <row r="868">
          <cell r="EG868">
            <v>9.5888317255942077</v>
          </cell>
        </row>
        <row r="869">
          <cell r="EG869">
            <v>9.6779717528107394</v>
          </cell>
        </row>
        <row r="870">
          <cell r="EG870">
            <v>8.3074960379132126</v>
          </cell>
        </row>
        <row r="871">
          <cell r="EG871">
            <v>8.8182258936139561</v>
          </cell>
        </row>
        <row r="872">
          <cell r="EG872">
            <v>9.2940250940953231</v>
          </cell>
        </row>
        <row r="873">
          <cell r="EG873">
            <v>10.79051738261732</v>
          </cell>
        </row>
        <row r="874">
          <cell r="EG874">
            <v>10.05522538385382</v>
          </cell>
        </row>
        <row r="875">
          <cell r="EG875">
            <v>9.2258259914618925</v>
          </cell>
        </row>
        <row r="876">
          <cell r="EG876">
            <v>10.071882007306126</v>
          </cell>
        </row>
        <row r="877">
          <cell r="EG877">
            <v>9.0043213737826431</v>
          </cell>
        </row>
        <row r="878">
          <cell r="EG878">
            <v>10.032256025890453</v>
          </cell>
        </row>
        <row r="879">
          <cell r="EG879">
            <v>8.8034571156484134</v>
          </cell>
        </row>
        <row r="880">
          <cell r="EG880">
            <v>8.9390197764486672</v>
          </cell>
        </row>
        <row r="881">
          <cell r="EG881">
            <v>10.173739713951887</v>
          </cell>
        </row>
        <row r="882">
          <cell r="EG882">
            <v>8.9090208542111569</v>
          </cell>
        </row>
        <row r="883">
          <cell r="EG883">
            <v>8.7701152947871019</v>
          </cell>
        </row>
        <row r="884">
          <cell r="EG884">
            <v>9.2437819160937948</v>
          </cell>
        </row>
        <row r="885">
          <cell r="EG885">
            <v>8.6803355134145637</v>
          </cell>
        </row>
        <row r="886">
          <cell r="EG886">
            <v>9.0813473078041334</v>
          </cell>
        </row>
        <row r="887">
          <cell r="EG887">
            <v>9.1734776434529941</v>
          </cell>
        </row>
        <row r="888">
          <cell r="EG888">
            <v>8.6020599913279625</v>
          </cell>
        </row>
        <row r="889">
          <cell r="EG889">
            <v>9.0445397603924107</v>
          </cell>
        </row>
        <row r="890">
          <cell r="EG890">
            <v>9.3923451553612036</v>
          </cell>
        </row>
        <row r="891">
          <cell r="EG891">
            <v>8.4345689040341991</v>
          </cell>
        </row>
        <row r="892">
          <cell r="EG892">
            <v>9.3664229572259732</v>
          </cell>
        </row>
        <row r="893">
          <cell r="EG893">
            <v>9.7031193462360772</v>
          </cell>
        </row>
        <row r="894">
          <cell r="EG894">
            <v>9.4527062265110295</v>
          </cell>
        </row>
        <row r="895">
          <cell r="EG895">
            <v>9.8806992892187022</v>
          </cell>
        </row>
        <row r="896">
          <cell r="EG896">
            <v>9.4658288153574368</v>
          </cell>
        </row>
        <row r="897">
          <cell r="EG897">
            <v>9.7343997425205675</v>
          </cell>
        </row>
        <row r="898">
          <cell r="EG898">
            <v>9.7690078709437742</v>
          </cell>
        </row>
        <row r="899">
          <cell r="EG899">
            <v>9.6770591773921613</v>
          </cell>
        </row>
        <row r="900">
          <cell r="EG900">
            <v>10.578650668774207</v>
          </cell>
        </row>
        <row r="901">
          <cell r="EG901">
            <v>8.8305886686851451</v>
          </cell>
        </row>
        <row r="902">
          <cell r="EG902">
            <v>9.3388547462523235</v>
          </cell>
        </row>
        <row r="903">
          <cell r="EG903">
            <v>9.4772659954248528</v>
          </cell>
        </row>
        <row r="904">
          <cell r="EG904">
            <v>9.2489536154957079</v>
          </cell>
        </row>
        <row r="905">
          <cell r="EG905">
            <v>8.5622928644564755</v>
          </cell>
        </row>
        <row r="906">
          <cell r="EG906">
            <v>9.1711411510283813</v>
          </cell>
        </row>
        <row r="907">
          <cell r="EG907">
            <v>9.1458177144918285</v>
          </cell>
        </row>
        <row r="908">
          <cell r="EG908">
            <v>9.6552345070342938</v>
          </cell>
        </row>
        <row r="909">
          <cell r="EG909">
            <v>8.77232170672292</v>
          </cell>
        </row>
        <row r="910">
          <cell r="EG910">
            <v>8.6618126855372619</v>
          </cell>
        </row>
        <row r="911">
          <cell r="EG911">
            <v>9.6986224297020982</v>
          </cell>
        </row>
        <row r="912">
          <cell r="EG912">
            <v>9.9592799501309397</v>
          </cell>
        </row>
        <row r="913">
          <cell r="EG913">
            <v>9.3382572302462563</v>
          </cell>
        </row>
        <row r="914">
          <cell r="EG914">
            <v>8.9334872878487062</v>
          </cell>
        </row>
        <row r="915">
          <cell r="EG915">
            <v>9.1092409685882032</v>
          </cell>
        </row>
        <row r="916">
          <cell r="EG916">
            <v>8.8350561017201166</v>
          </cell>
        </row>
        <row r="917">
          <cell r="EG917">
            <v>9.1892094895823053</v>
          </cell>
        </row>
        <row r="918">
          <cell r="EG918">
            <v>8.7092699609758313</v>
          </cell>
        </row>
        <row r="919">
          <cell r="EG919">
            <v>9.3986343245383921</v>
          </cell>
        </row>
        <row r="920">
          <cell r="EG920">
            <v>9.3182720802116261</v>
          </cell>
        </row>
        <row r="921">
          <cell r="EG921">
            <v>9.5335178620169678</v>
          </cell>
        </row>
        <row r="922">
          <cell r="EG922">
            <v>8.9921114877869499</v>
          </cell>
        </row>
        <row r="923">
          <cell r="EG923">
            <v>9.9649192942866431</v>
          </cell>
        </row>
        <row r="924">
          <cell r="EG924">
            <v>9.1482940974347464</v>
          </cell>
        </row>
        <row r="925">
          <cell r="EG925">
            <v>9.0955180423231514</v>
          </cell>
        </row>
        <row r="926">
          <cell r="EG926">
            <v>9.4886916983169414</v>
          </cell>
        </row>
        <row r="927">
          <cell r="EG927">
            <v>9.0670708560453708</v>
          </cell>
        </row>
        <row r="928">
          <cell r="EG928">
            <v>10.8679327645066</v>
          </cell>
        </row>
        <row r="929">
          <cell r="EG929">
            <v>9.8822398480188234</v>
          </cell>
        </row>
        <row r="930">
          <cell r="EG930">
            <v>8.1643528557844363</v>
          </cell>
        </row>
        <row r="931">
          <cell r="EG931">
            <v>10.272398632455404</v>
          </cell>
        </row>
        <row r="932">
          <cell r="EG932">
            <v>9.9777693180915747</v>
          </cell>
        </row>
        <row r="933">
          <cell r="EG933">
            <v>10.170467076385938</v>
          </cell>
        </row>
        <row r="934">
          <cell r="EG934">
            <v>9.7803893284709531</v>
          </cell>
        </row>
        <row r="935">
          <cell r="EG935">
            <v>8.6434526764861879</v>
          </cell>
        </row>
        <row r="936">
          <cell r="EG936">
            <v>10.078601800355392</v>
          </cell>
        </row>
        <row r="937">
          <cell r="EG937">
            <v>10.353762403067199</v>
          </cell>
        </row>
        <row r="938">
          <cell r="EG938">
            <v>9.6914351521440629</v>
          </cell>
        </row>
        <row r="939">
          <cell r="EG939">
            <v>9.6468936241677454</v>
          </cell>
        </row>
        <row r="940">
          <cell r="EG940">
            <v>10.514561033634031</v>
          </cell>
        </row>
        <row r="941">
          <cell r="EG941">
            <v>9.5890555310523435</v>
          </cell>
        </row>
        <row r="942">
          <cell r="EG942">
            <v>9.9543872501445154</v>
          </cell>
        </row>
        <row r="943">
          <cell r="EG943">
            <v>9.5336449787987636</v>
          </cell>
        </row>
        <row r="944">
          <cell r="EG944">
            <v>9.9187116653823217</v>
          </cell>
        </row>
        <row r="945">
          <cell r="EG945">
            <v>9.370883016777606</v>
          </cell>
        </row>
        <row r="946">
          <cell r="EG946">
            <v>8.8561244442423011</v>
          </cell>
        </row>
        <row r="947">
          <cell r="EG947">
            <v>9.9657189702442217</v>
          </cell>
        </row>
        <row r="948">
          <cell r="EG948">
            <v>9.3106933123433606</v>
          </cell>
        </row>
        <row r="949">
          <cell r="EG949">
            <v>10.345883212931712</v>
          </cell>
        </row>
        <row r="950">
          <cell r="EG950">
            <v>10.006637159068585</v>
          </cell>
        </row>
        <row r="951">
          <cell r="EG951">
            <v>9.3079237036118823</v>
          </cell>
        </row>
        <row r="952">
          <cell r="EG952">
            <v>10.030356805310841</v>
          </cell>
        </row>
        <row r="953">
          <cell r="EG953">
            <v>9.8663464227496025</v>
          </cell>
        </row>
        <row r="954">
          <cell r="EG954">
            <v>10.145848756590544</v>
          </cell>
        </row>
        <row r="955">
          <cell r="EG955">
            <v>10.272560963861556</v>
          </cell>
        </row>
        <row r="956">
          <cell r="EG956">
            <v>9.9288565335819108</v>
          </cell>
        </row>
        <row r="957">
          <cell r="EG957">
            <v>9.5054213275832815</v>
          </cell>
        </row>
        <row r="958">
          <cell r="EG958">
            <v>9.6801541417343735</v>
          </cell>
        </row>
        <row r="959">
          <cell r="EG959">
            <v>9.3651134316275773</v>
          </cell>
        </row>
        <row r="960">
          <cell r="EG960">
            <v>10.533632268794756</v>
          </cell>
        </row>
        <row r="961">
          <cell r="EG961">
            <v>9.2626883443016972</v>
          </cell>
        </row>
        <row r="962">
          <cell r="EG962">
            <v>8.9508514588885468</v>
          </cell>
        </row>
        <row r="963">
          <cell r="EG963">
            <v>9.4331295175804861</v>
          </cell>
        </row>
        <row r="964">
          <cell r="EG964">
            <v>9.7889457270237479</v>
          </cell>
        </row>
        <row r="965">
          <cell r="EG965">
            <v>8.9122220565324159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6"/>
  <sheetViews>
    <sheetView zoomScale="91" zoomScaleNormal="139" workbookViewId="0">
      <selection sqref="A1:XFD5"/>
    </sheetView>
  </sheetViews>
  <sheetFormatPr defaultRowHeight="15" x14ac:dyDescent="0.3"/>
  <sheetData>
    <row r="1" spans="1:138" x14ac:dyDescent="0.3">
      <c r="A1" t="s">
        <v>0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8" x14ac:dyDescent="0.3">
      <c r="B3" s="1" t="s">
        <v>136</v>
      </c>
      <c r="C3" s="9">
        <v>0.10910583</v>
      </c>
      <c r="D3" s="9">
        <v>1.457658E-2</v>
      </c>
      <c r="E3" s="9">
        <v>-3.6154400000000003E-2</v>
      </c>
      <c r="F3" s="9">
        <v>-4.7425999999999996E-3</v>
      </c>
      <c r="G3" s="9">
        <v>-5.7478E-3</v>
      </c>
      <c r="H3" s="9">
        <v>4.9378020000000002E-2</v>
      </c>
      <c r="I3" s="9">
        <v>0.18325177000000001</v>
      </c>
      <c r="J3" s="9">
        <v>0.11648631</v>
      </c>
      <c r="K3" s="9">
        <v>-3.0594900000000001E-2</v>
      </c>
      <c r="L3" s="9">
        <v>1.982805E-2</v>
      </c>
      <c r="M3" s="9">
        <v>-2.0999E-2</v>
      </c>
      <c r="N3" s="9">
        <v>0.14977942</v>
      </c>
      <c r="O3" s="9">
        <v>1.546341E-2</v>
      </c>
      <c r="P3" s="9">
        <v>-9.1792299999999993E-2</v>
      </c>
      <c r="Q3" s="9">
        <v>-7.7409000000000006E-2</v>
      </c>
      <c r="R3" s="9">
        <v>5.4776600000000002E-2</v>
      </c>
      <c r="S3" s="9">
        <v>-0.12533440000000001</v>
      </c>
      <c r="T3" s="9">
        <v>-0.1190534</v>
      </c>
      <c r="U3" s="9">
        <v>-3.7770100000000001E-2</v>
      </c>
      <c r="V3" s="9">
        <v>8.1183820000000004E-2</v>
      </c>
      <c r="W3" s="9">
        <v>8.4008970000000002E-2</v>
      </c>
      <c r="X3" s="9">
        <v>0.14701136000000001</v>
      </c>
      <c r="Y3" s="9">
        <v>-0.12536050000000001</v>
      </c>
      <c r="Z3" s="9">
        <v>0.19195355</v>
      </c>
      <c r="AA3" s="9">
        <v>-8.4370799999999996E-2</v>
      </c>
      <c r="AB3" s="9">
        <v>7.2897610000000002E-2</v>
      </c>
      <c r="AC3" s="9">
        <v>0.10260456</v>
      </c>
      <c r="AD3" s="9">
        <v>1.577017E-2</v>
      </c>
      <c r="AE3" s="9">
        <v>-0.15200720000000001</v>
      </c>
      <c r="AF3" s="9">
        <v>5.9250249999999997E-2</v>
      </c>
      <c r="AG3" s="9">
        <v>0.13005884000000001</v>
      </c>
      <c r="AH3" s="9">
        <v>0.11525639999999999</v>
      </c>
      <c r="AI3" s="9">
        <v>3.2606620000000003E-2</v>
      </c>
      <c r="AJ3" s="9">
        <v>2.7999110000000001E-2</v>
      </c>
      <c r="AK3" s="9">
        <v>0.14657042000000001</v>
      </c>
      <c r="AL3" s="9">
        <v>4.0841919999999997E-2</v>
      </c>
      <c r="AM3" s="9">
        <v>0.13137636999999999</v>
      </c>
      <c r="AN3" s="9">
        <v>0.22143296000000001</v>
      </c>
      <c r="AO3" s="9">
        <v>-2.0941000000000001E-2</v>
      </c>
      <c r="AP3" s="9">
        <v>-0.13716</v>
      </c>
      <c r="AQ3" s="9">
        <v>-2.4882899999999999E-2</v>
      </c>
      <c r="AR3" s="9">
        <v>1.551397E-2</v>
      </c>
      <c r="AS3" s="9">
        <v>3.4373040000000001E-2</v>
      </c>
      <c r="AT3" s="9">
        <v>6.3095689999999996E-2</v>
      </c>
      <c r="AU3" s="9">
        <v>4.3237699999999997E-2</v>
      </c>
      <c r="AV3" s="9">
        <v>-7.4230400000000002E-2</v>
      </c>
      <c r="AW3" s="9">
        <v>2.7994829999999998E-2</v>
      </c>
      <c r="AX3" s="9">
        <v>0.11986442</v>
      </c>
      <c r="AY3" s="9">
        <v>7.6559569999999993E-2</v>
      </c>
      <c r="AZ3" s="9">
        <v>-2.17304E-2</v>
      </c>
      <c r="BA3" s="9">
        <v>-1.2465E-3</v>
      </c>
      <c r="BB3" s="9">
        <v>0.10099582</v>
      </c>
      <c r="BC3" s="9">
        <v>2.9826930000000001E-2</v>
      </c>
      <c r="BD3" s="9">
        <v>8.6757699999999993E-3</v>
      </c>
      <c r="BE3" s="9">
        <v>6.8557209999999993E-2</v>
      </c>
      <c r="BF3" s="9">
        <v>0.15691260000000001</v>
      </c>
      <c r="BG3" s="9">
        <v>0.15920372999999999</v>
      </c>
      <c r="BH3" s="9">
        <v>6.1121670000000003E-2</v>
      </c>
      <c r="BI3" s="9">
        <v>9.6912849999999995E-2</v>
      </c>
      <c r="BJ3" s="9">
        <v>-5.4746200000000002E-2</v>
      </c>
      <c r="BK3" s="9">
        <v>-8.7493000000000001E-2</v>
      </c>
      <c r="BL3" s="9">
        <v>9.4426750000000004E-2</v>
      </c>
      <c r="BM3" s="9">
        <v>-2.2191099999999998E-2</v>
      </c>
      <c r="BN3" s="9">
        <v>1.5628610000000001E-2</v>
      </c>
      <c r="BO3" s="9">
        <v>8.1418240000000003E-2</v>
      </c>
      <c r="BP3" s="9">
        <v>-1.8508899999999998E-2</v>
      </c>
      <c r="BQ3" s="9">
        <v>6.8729570000000004E-2</v>
      </c>
      <c r="BR3" s="9">
        <v>3.1023600000000002E-3</v>
      </c>
      <c r="BS3" s="9">
        <v>7.4964420000000004E-2</v>
      </c>
      <c r="BT3" s="9">
        <v>4.520159E-2</v>
      </c>
      <c r="BU3" s="9">
        <v>2.5677330000000002E-2</v>
      </c>
      <c r="BV3" s="9">
        <v>9.1804029999999995E-2</v>
      </c>
      <c r="BW3" s="9">
        <v>-2.6353999999999999E-2</v>
      </c>
      <c r="BX3" s="9">
        <v>1.9394829999999998E-2</v>
      </c>
      <c r="BY3" s="9">
        <v>-7.6838900000000002E-2</v>
      </c>
      <c r="BZ3" s="9">
        <v>0.11330931</v>
      </c>
      <c r="CA3" s="9">
        <v>-0.1073549</v>
      </c>
      <c r="CB3" s="9">
        <v>4.0844789999999999E-2</v>
      </c>
      <c r="CC3" s="9">
        <v>-1.9801699999999998E-2</v>
      </c>
      <c r="CD3" s="9">
        <v>0.18837709</v>
      </c>
      <c r="CE3" s="9">
        <v>5.5574909999999998E-2</v>
      </c>
      <c r="CF3" s="9">
        <v>7.4872069999999999E-2</v>
      </c>
      <c r="CG3" s="9">
        <v>0.10000019</v>
      </c>
      <c r="CH3" s="9">
        <v>0.13602172000000001</v>
      </c>
      <c r="CI3" s="9">
        <v>-9.3741000000000005E-2</v>
      </c>
      <c r="CJ3" s="9">
        <v>3.9306000000000002E-3</v>
      </c>
      <c r="CK3" s="9">
        <v>5.6507780000000001E-2</v>
      </c>
      <c r="CL3" s="9">
        <v>0.26354578000000001</v>
      </c>
      <c r="CM3" s="9">
        <v>-9.5554000000000004E-3</v>
      </c>
      <c r="CN3" s="9">
        <v>-3.1511900000000002E-2</v>
      </c>
      <c r="CO3" s="9">
        <v>-2.2619E-2</v>
      </c>
      <c r="CP3" s="9">
        <v>0.13265561000000001</v>
      </c>
      <c r="CQ3" s="9">
        <v>0.13307278</v>
      </c>
      <c r="CR3" s="9">
        <v>-1.49564E-2</v>
      </c>
      <c r="CS3" s="9">
        <v>-3.3419900000000002E-2</v>
      </c>
      <c r="CT3" s="9">
        <v>1.2281210000000001E-2</v>
      </c>
      <c r="CU3" s="9">
        <v>0.11681498</v>
      </c>
      <c r="CV3" s="9">
        <v>-3.1589000000000001E-3</v>
      </c>
      <c r="CW3" s="9">
        <v>3.8217760000000003E-2</v>
      </c>
      <c r="CX3" s="9">
        <v>0.13917409</v>
      </c>
      <c r="CY3" s="9">
        <v>-2.3712299999999999E-2</v>
      </c>
      <c r="CZ3" s="9">
        <v>0.21835291000000001</v>
      </c>
      <c r="DA3" s="9">
        <v>-5.7967400000000002E-2</v>
      </c>
      <c r="DB3" s="9">
        <v>-1.4104200000000001E-2</v>
      </c>
      <c r="DC3" s="9">
        <v>0.11395608</v>
      </c>
      <c r="DD3" s="9">
        <v>7.4472259999999998E-2</v>
      </c>
      <c r="DE3" s="9">
        <v>-8.9970000000000002E-4</v>
      </c>
      <c r="DF3" s="9">
        <v>9.7707000000000002E-4</v>
      </c>
      <c r="DG3" s="9">
        <v>-7.2980100000000006E-2</v>
      </c>
      <c r="DH3" s="9">
        <v>-2.38453E-2</v>
      </c>
      <c r="DI3" s="9">
        <v>-0.1015307</v>
      </c>
      <c r="DJ3" s="9">
        <v>2.7692540000000002E-2</v>
      </c>
      <c r="DK3" s="9">
        <v>-4.9335200000000003E-2</v>
      </c>
      <c r="DL3" s="9">
        <v>-5.6994000000000003E-3</v>
      </c>
      <c r="DM3" s="9">
        <v>-3.6981800000000002E-2</v>
      </c>
      <c r="DN3" s="9">
        <v>0.10981299</v>
      </c>
      <c r="DO3" s="9">
        <v>4.2036829999999997E-2</v>
      </c>
      <c r="DP3" s="9">
        <v>8.4566669999999997E-2</v>
      </c>
      <c r="DQ3" s="9">
        <v>-0.1102798</v>
      </c>
      <c r="DR3" s="9">
        <v>9.4328709999999996E-2</v>
      </c>
      <c r="DS3" s="9">
        <v>-7.1906899999999996E-2</v>
      </c>
      <c r="DT3" s="9">
        <v>-9.62364E-2</v>
      </c>
      <c r="DU3" s="9">
        <v>2.3455500000000001E-3</v>
      </c>
      <c r="DV3" s="9">
        <v>0.13401742</v>
      </c>
      <c r="DW3" s="9">
        <v>9.4732520000000001E-2</v>
      </c>
      <c r="DX3" s="9">
        <v>-0.1037732</v>
      </c>
      <c r="DY3" s="9">
        <v>7.576215E-2</v>
      </c>
      <c r="DZ3" s="9">
        <v>-3.1829700000000002E-2</v>
      </c>
      <c r="EA3" s="9">
        <v>0.16130802</v>
      </c>
      <c r="EB3" s="9">
        <v>1.0203530000000001E-2</v>
      </c>
      <c r="EC3" s="9">
        <v>7.3988429999999994E-2</v>
      </c>
      <c r="ED3" s="9">
        <v>-0.15737689999999999</v>
      </c>
      <c r="EE3" s="9">
        <v>7.9137550000000001E-2</v>
      </c>
      <c r="EF3" s="9">
        <v>7.2528549999999997E-2</v>
      </c>
      <c r="EG3" s="10">
        <f>CORREL([1]bm補值!EG$2:EG$972,[1]下個月月報酬補值!EG$2:EG$972)</f>
        <v>0.14231065676311483</v>
      </c>
    </row>
    <row r="4" spans="1:138" x14ac:dyDescent="0.3">
      <c r="B4" s="1" t="s">
        <v>137</v>
      </c>
      <c r="C4" s="9">
        <v>-0.24758869999999999</v>
      </c>
      <c r="D4" s="9">
        <v>-0.27469329999999997</v>
      </c>
      <c r="E4" s="9">
        <v>-8.4648399999999999E-2</v>
      </c>
      <c r="F4" s="9">
        <v>2.2644629999999999E-2</v>
      </c>
      <c r="G4" s="9">
        <v>-4.9680000000000002E-2</v>
      </c>
      <c r="H4" s="9">
        <v>-0.1007596</v>
      </c>
      <c r="I4" s="9">
        <v>-1.2522699999999999E-2</v>
      </c>
      <c r="J4" s="9">
        <v>7.8736539999999994E-2</v>
      </c>
      <c r="K4" s="9">
        <v>-3.4185100000000003E-2</v>
      </c>
      <c r="L4" s="9">
        <v>8.8406789999999999E-2</v>
      </c>
      <c r="M4" s="9">
        <v>-3.0634999999999998E-3</v>
      </c>
      <c r="N4" s="9">
        <v>-0.21221799999999999</v>
      </c>
      <c r="O4" s="9">
        <v>-3.6805400000000002E-2</v>
      </c>
      <c r="P4" s="9">
        <v>7.1033120000000005E-2</v>
      </c>
      <c r="Q4" s="9">
        <v>-7.1261099999999994E-2</v>
      </c>
      <c r="R4" s="9">
        <v>2.1560449999999998E-2</v>
      </c>
      <c r="S4" s="9">
        <v>0.10111125999999999</v>
      </c>
      <c r="T4" s="9">
        <v>4.3224730000000003E-2</v>
      </c>
      <c r="U4" s="9">
        <v>1.488195E-2</v>
      </c>
      <c r="V4" s="9">
        <v>6.3260199999999999E-3</v>
      </c>
      <c r="W4" s="9">
        <v>-0.14355299999999999</v>
      </c>
      <c r="X4" s="9">
        <v>-6.4282199999999998E-2</v>
      </c>
      <c r="Y4" s="9">
        <v>-1.9034200000000001E-2</v>
      </c>
      <c r="Z4" s="9">
        <v>-2.0644599999999999E-2</v>
      </c>
      <c r="AA4" s="9">
        <v>3.3059529999999997E-2</v>
      </c>
      <c r="AB4" s="9">
        <v>-1.94182E-2</v>
      </c>
      <c r="AC4" s="9">
        <v>-6.3126799999999997E-2</v>
      </c>
      <c r="AD4" s="9">
        <v>-6.5629699999999999E-2</v>
      </c>
      <c r="AE4" s="9">
        <v>0.13799568000000001</v>
      </c>
      <c r="AF4" s="9">
        <v>-0.1005679</v>
      </c>
      <c r="AG4" s="9">
        <v>-3.7969099999999999E-2</v>
      </c>
      <c r="AH4" s="9">
        <v>-4.5839499999999998E-2</v>
      </c>
      <c r="AI4" s="9">
        <v>-5.1034099999999999E-2</v>
      </c>
      <c r="AJ4" s="9">
        <v>-3.2204E-3</v>
      </c>
      <c r="AK4" s="9">
        <v>4.8952000000000002E-4</v>
      </c>
      <c r="AL4" s="9">
        <v>-0.10644670000000001</v>
      </c>
      <c r="AM4" s="9">
        <v>-1.3724E-2</v>
      </c>
      <c r="AN4" s="9">
        <v>-0.1219647</v>
      </c>
      <c r="AO4" s="9">
        <v>-4.85897E-2</v>
      </c>
      <c r="AP4" s="9">
        <v>-1.9032000000000001E-3</v>
      </c>
      <c r="AQ4" s="9">
        <v>2.9067490000000001E-2</v>
      </c>
      <c r="AR4" s="9">
        <v>5.2635769999999998E-2</v>
      </c>
      <c r="AS4" s="9">
        <v>-1.28933E-2</v>
      </c>
      <c r="AT4" s="9">
        <v>-2.1310999999999999E-3</v>
      </c>
      <c r="AU4" s="9">
        <v>-0.15538440000000001</v>
      </c>
      <c r="AV4" s="9">
        <v>1.268178E-2</v>
      </c>
      <c r="AW4" s="9">
        <v>-1.1942299999999999E-2</v>
      </c>
      <c r="AX4" s="9">
        <v>-4.2538000000000003E-3</v>
      </c>
      <c r="AY4" s="9">
        <v>2.930087E-2</v>
      </c>
      <c r="AZ4" s="9">
        <v>-0.13412750000000001</v>
      </c>
      <c r="BA4" s="9">
        <v>-0.1371115</v>
      </c>
      <c r="BB4" s="9">
        <v>1.7546599999999999E-3</v>
      </c>
      <c r="BC4" s="9">
        <v>2.511712E-2</v>
      </c>
      <c r="BD4" s="9">
        <v>-0.1196019</v>
      </c>
      <c r="BE4" s="9">
        <v>0.13576165000000001</v>
      </c>
      <c r="BF4" s="9">
        <v>4.7091170000000002E-2</v>
      </c>
      <c r="BG4" s="9">
        <v>-2.60501E-2</v>
      </c>
      <c r="BH4" s="9">
        <v>4.3752760000000002E-2</v>
      </c>
      <c r="BI4" s="9">
        <v>-8.13918E-2</v>
      </c>
      <c r="BJ4" s="9">
        <v>-0.1006008</v>
      </c>
      <c r="BK4" s="9">
        <v>9.0490070000000006E-2</v>
      </c>
      <c r="BL4" s="9">
        <v>-3.0898499999999999E-2</v>
      </c>
      <c r="BM4" s="9">
        <v>5.8814169999999999E-2</v>
      </c>
      <c r="BN4" s="9">
        <v>8.1345630000000002E-2</v>
      </c>
      <c r="BO4" s="9">
        <v>-7.7164E-3</v>
      </c>
      <c r="BP4" s="9">
        <v>0.10673487</v>
      </c>
      <c r="BQ4" s="9">
        <v>-2.7156300000000001E-2</v>
      </c>
      <c r="BR4" s="9">
        <v>-5.4431E-2</v>
      </c>
      <c r="BS4" s="9">
        <v>-6.8229300000000007E-2</v>
      </c>
      <c r="BT4" s="9">
        <v>9.861222E-2</v>
      </c>
      <c r="BU4" s="9">
        <v>0.12839854000000001</v>
      </c>
      <c r="BV4" s="9">
        <v>-7.84025E-2</v>
      </c>
      <c r="BW4" s="9">
        <v>-0.1191337</v>
      </c>
      <c r="BX4" s="9">
        <v>-4.6890099999999997E-2</v>
      </c>
      <c r="BY4" s="9">
        <v>0.10169835000000001</v>
      </c>
      <c r="BZ4" s="9">
        <v>-2.5680100000000001E-2</v>
      </c>
      <c r="CA4" s="9">
        <v>-8.3301799999999995E-2</v>
      </c>
      <c r="CB4" s="9">
        <v>-0.15782760000000001</v>
      </c>
      <c r="CC4" s="9">
        <v>-7.1052599999999994E-2</v>
      </c>
      <c r="CD4" s="9">
        <v>-7.3875499999999997E-2</v>
      </c>
      <c r="CE4" s="9">
        <v>-0.23678650000000001</v>
      </c>
      <c r="CF4" s="9">
        <v>3.2627709999999997E-2</v>
      </c>
      <c r="CG4" s="9">
        <v>1.342309E-2</v>
      </c>
      <c r="CH4" s="9">
        <v>-2.7967000000000001E-3</v>
      </c>
      <c r="CI4" s="9">
        <v>4.7925700000000002E-2</v>
      </c>
      <c r="CJ4" s="9">
        <v>-3.2520000000000001E-3</v>
      </c>
      <c r="CK4" s="9">
        <v>-7.5708200000000003E-2</v>
      </c>
      <c r="CL4" s="9">
        <v>-4.4397300000000001E-2</v>
      </c>
      <c r="CM4" s="9">
        <v>0.17898859</v>
      </c>
      <c r="CN4" s="9">
        <v>5.7994270000000001E-2</v>
      </c>
      <c r="CO4" s="9">
        <v>-0.13939019999999999</v>
      </c>
      <c r="CP4" s="9">
        <v>6.4714670000000002E-2</v>
      </c>
      <c r="CQ4" s="9">
        <v>-0.18118790000000001</v>
      </c>
      <c r="CR4" s="9">
        <v>-8.8633500000000004E-2</v>
      </c>
      <c r="CS4" s="9">
        <v>-2.5321799999999998E-2</v>
      </c>
      <c r="CT4" s="9">
        <v>-0.1130791</v>
      </c>
      <c r="CU4" s="9">
        <v>8.0959599999999993E-3</v>
      </c>
      <c r="CV4" s="9">
        <v>-4.5200200000000003E-2</v>
      </c>
      <c r="CW4" s="9">
        <v>-5.8941199999999999E-2</v>
      </c>
      <c r="CX4" s="9">
        <v>-0.1077283</v>
      </c>
      <c r="CY4" s="9">
        <v>-9.6503500000000006E-2</v>
      </c>
      <c r="CZ4" s="9">
        <v>-0.21035429999999999</v>
      </c>
      <c r="DA4" s="9">
        <v>-0.10996110000000001</v>
      </c>
      <c r="DB4" s="9">
        <v>-0.1908205</v>
      </c>
      <c r="DC4" s="9">
        <v>-2.0727300000000001E-2</v>
      </c>
      <c r="DD4" s="9">
        <v>8.7029090000000003E-2</v>
      </c>
      <c r="DE4" s="9">
        <v>8.2024589999999994E-2</v>
      </c>
      <c r="DF4" s="9">
        <v>-0.16687669999999999</v>
      </c>
      <c r="DG4" s="9">
        <v>0.22243809</v>
      </c>
      <c r="DH4" s="9">
        <v>-0.1442978</v>
      </c>
      <c r="DI4" s="9">
        <v>-0.1196199</v>
      </c>
      <c r="DJ4" s="9">
        <v>-0.1015928</v>
      </c>
      <c r="DK4" s="9">
        <v>9.2855060000000003E-2</v>
      </c>
      <c r="DL4" s="9">
        <v>-4.2630500000000002E-2</v>
      </c>
      <c r="DM4" s="9">
        <v>8.2732070000000005E-2</v>
      </c>
      <c r="DN4" s="9">
        <v>-3.1049500000000001E-2</v>
      </c>
      <c r="DO4" s="9">
        <v>-9.8141999999999993E-2</v>
      </c>
      <c r="DP4" s="9">
        <v>-0.13058890000000001</v>
      </c>
      <c r="DQ4" s="9">
        <v>4.865572E-2</v>
      </c>
      <c r="DR4" s="9">
        <v>-3.9251899999999999E-2</v>
      </c>
      <c r="DS4" s="9">
        <v>-0.16103020000000001</v>
      </c>
      <c r="DT4" s="9">
        <v>-7.8883999999999996E-2</v>
      </c>
      <c r="DU4" s="9">
        <v>0.16407715</v>
      </c>
      <c r="DV4" s="9">
        <v>7.5052599999999997E-3</v>
      </c>
      <c r="DW4" s="9">
        <v>-0.1016452</v>
      </c>
      <c r="DX4" s="9">
        <v>-5.6040300000000001E-2</v>
      </c>
      <c r="DY4" s="9">
        <v>-0.10665669999999999</v>
      </c>
      <c r="DZ4" s="9">
        <v>-6.9186600000000001E-2</v>
      </c>
      <c r="EA4" s="9">
        <v>-0.12618869999999999</v>
      </c>
      <c r="EB4" s="9">
        <v>-6.4737100000000006E-2</v>
      </c>
      <c r="EC4" s="9">
        <v>5.1426090000000001E-2</v>
      </c>
      <c r="ED4" s="9">
        <v>3.4496730000000003E-2</v>
      </c>
      <c r="EE4" s="9">
        <v>0.1576776</v>
      </c>
      <c r="EF4" s="9">
        <v>-0.12717999999999999</v>
      </c>
      <c r="EG4" s="10">
        <f>CORREL([2]size補值!EG$2:EG$965,[2]下個月月報酬補值!EG$2:EG$965)</f>
        <v>-0.15895948868776608</v>
      </c>
    </row>
    <row r="5" spans="1:138" x14ac:dyDescent="0.3">
      <c r="B5" s="1" t="s">
        <v>138</v>
      </c>
      <c r="C5" s="9">
        <v>-5.4239999999999997E-2</v>
      </c>
      <c r="D5" s="9">
        <v>4.5377000000000001E-2</v>
      </c>
      <c r="E5" s="9">
        <v>-1.7749999999999998E-2</v>
      </c>
      <c r="F5" s="9">
        <v>-8.7690000000000004E-2</v>
      </c>
      <c r="G5" s="9">
        <v>0.102759</v>
      </c>
      <c r="H5" s="9">
        <v>2.5110000000000002E-3</v>
      </c>
      <c r="I5" s="9">
        <v>-1.83E-2</v>
      </c>
      <c r="J5" s="9">
        <v>2.2110999999999999E-2</v>
      </c>
      <c r="K5" s="9">
        <v>7.7257999999999993E-2</v>
      </c>
      <c r="L5" s="9">
        <v>9.3439999999999999E-3</v>
      </c>
      <c r="M5" s="9">
        <v>5.3601999999999997E-2</v>
      </c>
      <c r="N5" s="9">
        <v>-6.7879999999999996E-2</v>
      </c>
      <c r="O5" s="9">
        <v>6.4930000000000002E-2</v>
      </c>
      <c r="P5" s="9">
        <v>4.8809999999999999E-3</v>
      </c>
      <c r="Q5" s="9">
        <v>1.9198E-2</v>
      </c>
      <c r="R5" s="9">
        <v>-5.47E-3</v>
      </c>
      <c r="S5" s="9">
        <v>3.6551E-2</v>
      </c>
      <c r="T5" s="9">
        <v>0.12918499999999999</v>
      </c>
      <c r="U5" s="9">
        <v>1.3691999999999999E-2</v>
      </c>
      <c r="V5" s="9">
        <v>1.5295E-2</v>
      </c>
      <c r="W5" s="9">
        <v>-0.10469000000000001</v>
      </c>
      <c r="X5" s="9">
        <v>-0.29385</v>
      </c>
      <c r="Y5" s="9">
        <v>5.9212000000000001E-2</v>
      </c>
      <c r="Z5" s="9">
        <v>-0.18495</v>
      </c>
      <c r="AA5" s="9">
        <v>9.8247000000000001E-2</v>
      </c>
      <c r="AB5" s="9">
        <v>-6.6E-4</v>
      </c>
      <c r="AC5" s="9">
        <v>-0.10369</v>
      </c>
      <c r="AD5" s="9">
        <v>3.545E-3</v>
      </c>
      <c r="AE5" s="9">
        <v>0.17560100000000001</v>
      </c>
      <c r="AF5" s="9">
        <v>-0.15503</v>
      </c>
      <c r="AG5" s="9">
        <v>-2.6329999999999999E-2</v>
      </c>
      <c r="AH5" s="9">
        <v>-5.0000000000000001E-3</v>
      </c>
      <c r="AI5" s="9">
        <v>2.8067999999999999E-2</v>
      </c>
      <c r="AJ5" s="9">
        <v>-2.2380000000000001E-2</v>
      </c>
      <c r="AK5" s="9">
        <v>-4.7019999999999999E-2</v>
      </c>
      <c r="AL5" s="9">
        <v>-0.10156</v>
      </c>
      <c r="AM5" s="9">
        <v>2.3525000000000001E-2</v>
      </c>
      <c r="AN5" s="9">
        <v>5.2525000000000002E-2</v>
      </c>
      <c r="AO5" s="9">
        <v>5.8502999999999999E-2</v>
      </c>
      <c r="AP5" s="9">
        <v>3.3446999999999998E-2</v>
      </c>
      <c r="AQ5" s="9">
        <v>1.43E-2</v>
      </c>
      <c r="AR5" s="9">
        <v>3.5903999999999998E-2</v>
      </c>
      <c r="AS5" s="9">
        <v>3.9781999999999998E-2</v>
      </c>
      <c r="AT5" s="9">
        <v>0.148456</v>
      </c>
      <c r="AU5" s="9">
        <v>-4.079E-2</v>
      </c>
      <c r="AV5" s="9">
        <v>0.138959</v>
      </c>
      <c r="AW5" s="9">
        <v>5.9863E-2</v>
      </c>
      <c r="AX5" s="9">
        <v>-0.14979000000000001</v>
      </c>
      <c r="AY5" s="9">
        <v>6.1595999999999998E-2</v>
      </c>
      <c r="AZ5" s="9">
        <v>-6.1949999999999998E-2</v>
      </c>
      <c r="BA5" s="9">
        <v>-2.3900000000000002E-3</v>
      </c>
      <c r="BB5" s="9">
        <v>-0.14887</v>
      </c>
      <c r="BC5" s="9">
        <v>6.0351000000000002E-2</v>
      </c>
      <c r="BD5" s="9">
        <v>-1.469E-2</v>
      </c>
      <c r="BE5" s="9">
        <v>-0.14652000000000001</v>
      </c>
      <c r="BF5" s="9">
        <v>-0.20876</v>
      </c>
      <c r="BG5" s="9">
        <v>-0.20144000000000001</v>
      </c>
      <c r="BH5" s="9">
        <v>-0.11805</v>
      </c>
      <c r="BI5" s="9">
        <v>-7.7030000000000001E-2</v>
      </c>
      <c r="BJ5" s="9">
        <v>-3.6220000000000002E-2</v>
      </c>
      <c r="BK5" s="9">
        <v>-1.891E-2</v>
      </c>
      <c r="BL5" s="9">
        <v>-0.17126</v>
      </c>
      <c r="BM5" s="9">
        <v>0.13291700000000001</v>
      </c>
      <c r="BN5" s="9">
        <v>-3.5909999999999997E-2</v>
      </c>
      <c r="BO5" s="9">
        <v>2.1344999999999999E-2</v>
      </c>
      <c r="BP5" s="9">
        <v>4.9634999999999999E-2</v>
      </c>
      <c r="BQ5" s="9">
        <v>-1.721E-2</v>
      </c>
      <c r="BR5" s="9">
        <v>0.189827</v>
      </c>
      <c r="BS5" s="9">
        <v>-9.7610000000000002E-2</v>
      </c>
      <c r="BT5" s="9">
        <v>3.7830999999999997E-2</v>
      </c>
      <c r="BU5" s="9">
        <v>5.6008000000000002E-2</v>
      </c>
      <c r="BV5" s="9">
        <v>-0.11674</v>
      </c>
      <c r="BW5" s="9">
        <v>-0.14132</v>
      </c>
      <c r="BX5" s="9">
        <v>-3.3800000000000002E-3</v>
      </c>
      <c r="BY5" s="9">
        <v>0.13033600000000001</v>
      </c>
      <c r="BZ5" s="9">
        <v>3.1697999999999997E-2</v>
      </c>
      <c r="CA5" s="9">
        <v>4.0555000000000001E-2</v>
      </c>
      <c r="CB5" s="9">
        <v>-4.2040000000000001E-2</v>
      </c>
      <c r="CC5" s="9">
        <v>5.0014000000000003E-2</v>
      </c>
      <c r="CD5" s="9">
        <v>-6.8459999999999993E-2</v>
      </c>
      <c r="CE5" s="9">
        <v>-8.0829999999999999E-2</v>
      </c>
      <c r="CF5" s="9">
        <v>-1.9499999999999999E-3</v>
      </c>
      <c r="CG5" s="9">
        <v>-0.11821</v>
      </c>
      <c r="CH5" s="9">
        <v>-3.6720000000000003E-2</v>
      </c>
      <c r="CI5" s="9">
        <v>-8.3330000000000001E-2</v>
      </c>
      <c r="CJ5" s="9">
        <v>0.23067299999999999</v>
      </c>
      <c r="CK5" s="9">
        <v>0.13277900000000001</v>
      </c>
      <c r="CL5" s="9">
        <v>0.141287</v>
      </c>
      <c r="CM5" s="9">
        <v>-0.11269</v>
      </c>
      <c r="CN5" s="9">
        <v>0.22348899999999999</v>
      </c>
      <c r="CO5" s="9">
        <v>-0.10442</v>
      </c>
      <c r="CP5" s="9">
        <v>-1.443E-2</v>
      </c>
      <c r="CQ5" s="9">
        <v>-0.20723</v>
      </c>
      <c r="CR5" s="9">
        <v>-0.13486000000000001</v>
      </c>
      <c r="CS5" s="9">
        <v>7.3008000000000003E-2</v>
      </c>
      <c r="CT5" s="9">
        <v>-3.022E-2</v>
      </c>
      <c r="CU5" s="9">
        <v>-0.28688999999999998</v>
      </c>
      <c r="CV5" s="9">
        <v>0.23073099999999999</v>
      </c>
      <c r="CW5" s="9">
        <v>9.1076000000000004E-2</v>
      </c>
      <c r="CX5" s="9">
        <v>-0.12249</v>
      </c>
      <c r="CY5" s="9">
        <v>7.8381999999999993E-2</v>
      </c>
      <c r="CZ5" s="9">
        <v>-4.5949999999999998E-2</v>
      </c>
      <c r="DA5" s="9">
        <v>8.2669999999999993E-2</v>
      </c>
      <c r="DB5" s="9">
        <v>0.14934900000000001</v>
      </c>
      <c r="DC5" s="9">
        <v>-4.7800000000000002E-2</v>
      </c>
      <c r="DD5" s="9">
        <v>-0.16450999999999999</v>
      </c>
      <c r="DE5" s="9">
        <v>-0.11057</v>
      </c>
      <c r="DF5" s="9">
        <v>5.7417000000000003E-2</v>
      </c>
      <c r="DG5" s="9">
        <v>-0.21489</v>
      </c>
      <c r="DH5" s="9">
        <v>6.2996999999999997E-2</v>
      </c>
      <c r="DI5" s="9">
        <v>6.7721000000000003E-2</v>
      </c>
      <c r="DJ5" s="9">
        <v>0.118802</v>
      </c>
      <c r="DK5" s="9">
        <v>7.2830000000000004E-3</v>
      </c>
      <c r="DL5" s="9">
        <v>7.1320999999999996E-2</v>
      </c>
      <c r="DM5" s="9">
        <v>2.1021999999999999E-2</v>
      </c>
      <c r="DN5" s="9">
        <v>-3.04E-2</v>
      </c>
      <c r="DO5" s="9">
        <v>-9.6949999999999995E-2</v>
      </c>
      <c r="DP5" s="9">
        <v>-0.23068</v>
      </c>
      <c r="DQ5" s="9">
        <v>0.23818400000000001</v>
      </c>
      <c r="DR5" s="9">
        <v>3.5750000000000001E-3</v>
      </c>
      <c r="DS5" s="9">
        <v>0.13395599999999999</v>
      </c>
      <c r="DT5" s="9">
        <v>0.115106</v>
      </c>
      <c r="DU5" s="9">
        <v>0.10408000000000001</v>
      </c>
      <c r="DV5" s="9">
        <v>-5.4609999999999999E-2</v>
      </c>
      <c r="DW5" s="9">
        <v>-3.329E-2</v>
      </c>
      <c r="DX5" s="9">
        <v>5.5094999999999998E-2</v>
      </c>
      <c r="DY5" s="9">
        <v>6.8793999999999994E-2</v>
      </c>
      <c r="DZ5" s="9">
        <v>1.4481000000000001E-2</v>
      </c>
      <c r="EA5" s="9">
        <v>-0.29314000000000001</v>
      </c>
      <c r="EB5" s="9">
        <v>-0.14097999999999999</v>
      </c>
      <c r="EC5" s="9">
        <v>-1.221E-2</v>
      </c>
      <c r="ED5" s="9">
        <v>5.8167999999999997E-2</v>
      </c>
      <c r="EE5" s="9">
        <v>-0.1444</v>
      </c>
      <c r="EF5" s="9">
        <v>-9.7009999999999999E-2</v>
      </c>
      <c r="EG5" s="10"/>
    </row>
    <row r="6" spans="1:138" x14ac:dyDescent="0.3">
      <c r="A6" s="22" t="s">
        <v>139</v>
      </c>
      <c r="B6" s="23"/>
      <c r="C6" s="11">
        <f t="array" ref="C6">MATCH(MAX(ABS(C3:C5)), ABS(C3:C5), 0)</f>
        <v>2</v>
      </c>
      <c r="D6" s="11">
        <f t="array" ref="D6">MATCH(MAX(ABS(D3:D5)), ABS(D3:D5), 0)</f>
        <v>2</v>
      </c>
      <c r="E6" s="11">
        <f t="array" ref="E6">MATCH(MAX(ABS(E3:E5)), ABS(E3:E5), 0)</f>
        <v>2</v>
      </c>
      <c r="F6" s="11">
        <f t="array" ref="F6">MATCH(MAX(ABS(F3:F5)), ABS(F3:F5), 0)</f>
        <v>3</v>
      </c>
      <c r="G6" s="11">
        <f t="array" ref="G6">MATCH(MAX(ABS(G3:G5)), ABS(G3:G5), 0)</f>
        <v>3</v>
      </c>
      <c r="H6" s="11">
        <f t="array" ref="H6">MATCH(MAX(ABS(H3:H5)), ABS(H3:H5), 0)</f>
        <v>2</v>
      </c>
      <c r="I6" s="11">
        <f t="array" ref="I6">MATCH(MAX(ABS(I3:I5)), ABS(I3:I5), 0)</f>
        <v>1</v>
      </c>
      <c r="J6" s="11">
        <f t="array" ref="J6">MATCH(MAX(ABS(J3:J5)), ABS(J3:J5), 0)</f>
        <v>1</v>
      </c>
      <c r="K6" s="11">
        <f t="array" ref="K6">MATCH(MAX(ABS(K3:K5)), ABS(K3:K5), 0)</f>
        <v>3</v>
      </c>
      <c r="L6" s="11">
        <f t="array" ref="L6">MATCH(MAX(ABS(L3:L5)), ABS(L3:L5), 0)</f>
        <v>2</v>
      </c>
      <c r="M6" s="11">
        <f t="array" ref="M6">MATCH(MAX(ABS(M3:M5)), ABS(M3:M5), 0)</f>
        <v>3</v>
      </c>
      <c r="N6" s="11">
        <f t="array" ref="N6">MATCH(MAX(ABS(N3:N5)), ABS(N3:N5), 0)</f>
        <v>2</v>
      </c>
      <c r="O6" s="11">
        <f t="array" ref="O6">MATCH(MAX(ABS(O3:O5)), ABS(O3:O5), 0)</f>
        <v>3</v>
      </c>
      <c r="P6" s="11">
        <f t="array" ref="P6">MATCH(MAX(ABS(P3:P5)), ABS(P3:P5), 0)</f>
        <v>1</v>
      </c>
      <c r="Q6" s="11">
        <f t="array" ref="Q6">MATCH(MAX(ABS(Q3:Q5)), ABS(Q3:Q5), 0)</f>
        <v>1</v>
      </c>
      <c r="R6" s="11">
        <f t="array" ref="R6">MATCH(MAX(ABS(R3:R5)), ABS(R3:R5), 0)</f>
        <v>1</v>
      </c>
      <c r="S6" s="11">
        <f t="array" ref="S6">MATCH(MAX(ABS(S3:S5)), ABS(S3:S5), 0)</f>
        <v>1</v>
      </c>
      <c r="T6" s="11">
        <f t="array" ref="T6">MATCH(MAX(ABS(T3:T5)), ABS(T3:T5), 0)</f>
        <v>3</v>
      </c>
      <c r="U6" s="11">
        <f t="array" ref="U6">MATCH(MAX(ABS(U3:U5)), ABS(U3:U5), 0)</f>
        <v>1</v>
      </c>
      <c r="V6" s="11">
        <f t="array" ref="V6">MATCH(MAX(ABS(V3:V5)), ABS(V3:V5), 0)</f>
        <v>1</v>
      </c>
      <c r="W6" s="11">
        <f t="array" ref="W6">MATCH(MAX(ABS(W3:W5)), ABS(W3:W5), 0)</f>
        <v>2</v>
      </c>
      <c r="X6" s="11">
        <f t="array" ref="X6">MATCH(MAX(ABS(X3:X5)), ABS(X3:X5), 0)</f>
        <v>3</v>
      </c>
      <c r="Y6" s="11">
        <f t="array" ref="Y6">MATCH(MAX(ABS(Y3:Y5)), ABS(Y3:Y5), 0)</f>
        <v>1</v>
      </c>
      <c r="Z6" s="11">
        <f t="array" ref="Z6">MATCH(MAX(ABS(Z3:Z5)), ABS(Z3:Z5), 0)</f>
        <v>1</v>
      </c>
      <c r="AA6" s="11">
        <f t="array" ref="AA6">MATCH(MAX(ABS(AA3:AA5)), ABS(AA3:AA5), 0)</f>
        <v>3</v>
      </c>
      <c r="AB6" s="11">
        <f t="array" ref="AB6">MATCH(MAX(ABS(AB3:AB5)), ABS(AB3:AB5), 0)</f>
        <v>1</v>
      </c>
      <c r="AC6" s="11">
        <f t="array" ref="AC6">MATCH(MAX(ABS(AC3:AC5)), ABS(AC3:AC5), 0)</f>
        <v>3</v>
      </c>
      <c r="AD6" s="11">
        <f t="array" ref="AD6">MATCH(MAX(ABS(AD3:AD5)), ABS(AD3:AD5), 0)</f>
        <v>2</v>
      </c>
      <c r="AE6" s="11">
        <f t="array" ref="AE6">MATCH(MAX(ABS(AE3:AE5)), ABS(AE3:AE5), 0)</f>
        <v>3</v>
      </c>
      <c r="AF6" s="11">
        <f t="array" ref="AF6">MATCH(MAX(ABS(AF3:AF5)), ABS(AF3:AF5), 0)</f>
        <v>3</v>
      </c>
      <c r="AG6" s="11">
        <f t="array" ref="AG6">MATCH(MAX(ABS(AG3:AG5)), ABS(AG3:AG5), 0)</f>
        <v>1</v>
      </c>
      <c r="AH6" s="11">
        <f t="array" ref="AH6">MATCH(MAX(ABS(AH3:AH5)), ABS(AH3:AH5), 0)</f>
        <v>1</v>
      </c>
      <c r="AI6" s="11">
        <f t="array" ref="AI6">MATCH(MAX(ABS(AI3:AI5)), ABS(AI3:AI5), 0)</f>
        <v>2</v>
      </c>
      <c r="AJ6" s="11">
        <f t="array" ref="AJ6">MATCH(MAX(ABS(AJ3:AJ5)), ABS(AJ3:AJ5), 0)</f>
        <v>1</v>
      </c>
      <c r="AK6" s="11">
        <f t="array" ref="AK6">MATCH(MAX(ABS(AK3:AK5)), ABS(AK3:AK5), 0)</f>
        <v>1</v>
      </c>
      <c r="AL6" s="11">
        <f t="array" ref="AL6">MATCH(MAX(ABS(AL3:AL5)), ABS(AL3:AL5), 0)</f>
        <v>2</v>
      </c>
      <c r="AM6" s="11">
        <f t="array" ref="AM6">MATCH(MAX(ABS(AM3:AM5)), ABS(AM3:AM5), 0)</f>
        <v>1</v>
      </c>
      <c r="AN6" s="11">
        <f t="array" ref="AN6">MATCH(MAX(ABS(AN3:AN5)), ABS(AN3:AN5), 0)</f>
        <v>1</v>
      </c>
      <c r="AO6" s="11">
        <f t="array" ref="AO6">MATCH(MAX(ABS(AO3:AO5)), ABS(AO3:AO5), 0)</f>
        <v>3</v>
      </c>
      <c r="AP6" s="11">
        <f t="array" ref="AP6">MATCH(MAX(ABS(AP3:AP5)), ABS(AP3:AP5), 0)</f>
        <v>1</v>
      </c>
      <c r="AQ6" s="11">
        <f t="array" ref="AQ6">MATCH(MAX(ABS(AQ3:AQ5)), ABS(AQ3:AQ5), 0)</f>
        <v>2</v>
      </c>
      <c r="AR6" s="11">
        <f t="array" ref="AR6">MATCH(MAX(ABS(AR3:AR5)), ABS(AR3:AR5), 0)</f>
        <v>2</v>
      </c>
      <c r="AS6" s="11">
        <f t="array" ref="AS6">MATCH(MAX(ABS(AS3:AS5)), ABS(AS3:AS5), 0)</f>
        <v>3</v>
      </c>
      <c r="AT6" s="11">
        <f t="array" ref="AT6">MATCH(MAX(ABS(AT3:AT5)), ABS(AT3:AT5), 0)</f>
        <v>3</v>
      </c>
      <c r="AU6" s="11">
        <f t="array" ref="AU6">MATCH(MAX(ABS(AU3:AU5)), ABS(AU3:AU5), 0)</f>
        <v>2</v>
      </c>
      <c r="AV6" s="11">
        <f t="array" ref="AV6">MATCH(MAX(ABS(AV3:AV5)), ABS(AV3:AV5), 0)</f>
        <v>3</v>
      </c>
      <c r="AW6" s="11">
        <f t="array" ref="AW6">MATCH(MAX(ABS(AW3:AW5)), ABS(AW3:AW5), 0)</f>
        <v>3</v>
      </c>
      <c r="AX6" s="11">
        <f t="array" ref="AX6">MATCH(MAX(ABS(AX3:AX5)), ABS(AX3:AX5), 0)</f>
        <v>3</v>
      </c>
      <c r="AY6" s="11">
        <f t="array" ref="AY6">MATCH(MAX(ABS(AY3:AY5)), ABS(AY3:AY5), 0)</f>
        <v>1</v>
      </c>
      <c r="AZ6" s="11">
        <f t="array" ref="AZ6">MATCH(MAX(ABS(AZ3:AZ5)), ABS(AZ3:AZ5), 0)</f>
        <v>2</v>
      </c>
      <c r="BA6" s="11">
        <f t="array" ref="BA6">MATCH(MAX(ABS(BA3:BA5)), ABS(BA3:BA5), 0)</f>
        <v>2</v>
      </c>
      <c r="BB6" s="11">
        <f t="array" ref="BB6">MATCH(MAX(ABS(BB3:BB5)), ABS(BB3:BB5), 0)</f>
        <v>3</v>
      </c>
      <c r="BC6" s="11">
        <f t="array" ref="BC6">MATCH(MAX(ABS(BC3:BC5)), ABS(BC3:BC5), 0)</f>
        <v>3</v>
      </c>
      <c r="BD6" s="11">
        <f t="array" ref="BD6">MATCH(MAX(ABS(BD3:BD5)), ABS(BD3:BD5), 0)</f>
        <v>2</v>
      </c>
      <c r="BE6" s="11">
        <f t="array" ref="BE6">MATCH(MAX(ABS(BE3:BE5)), ABS(BE3:BE5), 0)</f>
        <v>3</v>
      </c>
      <c r="BF6" s="11">
        <f t="array" ref="BF6">MATCH(MAX(ABS(BF3:BF5)), ABS(BF3:BF5), 0)</f>
        <v>3</v>
      </c>
      <c r="BG6" s="11">
        <f t="array" ref="BG6">MATCH(MAX(ABS(BG3:BG5)), ABS(BG3:BG5), 0)</f>
        <v>3</v>
      </c>
      <c r="BH6" s="11">
        <f t="array" ref="BH6">MATCH(MAX(ABS(BH3:BH5)), ABS(BH3:BH5), 0)</f>
        <v>3</v>
      </c>
      <c r="BI6" s="11">
        <f t="array" ref="BI6">MATCH(MAX(ABS(BI3:BI5)), ABS(BI3:BI5), 0)</f>
        <v>1</v>
      </c>
      <c r="BJ6" s="11">
        <f t="array" ref="BJ6">MATCH(MAX(ABS(BJ3:BJ5)), ABS(BJ3:BJ5), 0)</f>
        <v>2</v>
      </c>
      <c r="BK6" s="11">
        <f t="array" ref="BK6">MATCH(MAX(ABS(BK3:BK5)), ABS(BK3:BK5), 0)</f>
        <v>2</v>
      </c>
      <c r="BL6" s="11">
        <f t="array" ref="BL6">MATCH(MAX(ABS(BL3:BL5)), ABS(BL3:BL5), 0)</f>
        <v>3</v>
      </c>
      <c r="BM6" s="11">
        <f t="array" ref="BM6">MATCH(MAX(ABS(BM3:BM5)), ABS(BM3:BM5), 0)</f>
        <v>3</v>
      </c>
      <c r="BN6" s="11">
        <f t="array" ref="BN6">MATCH(MAX(ABS(BN3:BN5)), ABS(BN3:BN5), 0)</f>
        <v>2</v>
      </c>
      <c r="BO6" s="11">
        <f t="array" ref="BO6">MATCH(MAX(ABS(BO3:BO5)), ABS(BO3:BO5), 0)</f>
        <v>1</v>
      </c>
      <c r="BP6" s="11">
        <f t="array" ref="BP6">MATCH(MAX(ABS(BP3:BP5)), ABS(BP3:BP5), 0)</f>
        <v>2</v>
      </c>
      <c r="BQ6" s="11">
        <f t="array" ref="BQ6">MATCH(MAX(ABS(BQ3:BQ5)), ABS(BQ3:BQ5), 0)</f>
        <v>1</v>
      </c>
      <c r="BR6" s="11">
        <f t="array" ref="BR6">MATCH(MAX(ABS(BR3:BR5)), ABS(BR3:BR5), 0)</f>
        <v>3</v>
      </c>
      <c r="BS6" s="11">
        <f t="array" ref="BS6">MATCH(MAX(ABS(BS3:BS5)), ABS(BS3:BS5), 0)</f>
        <v>3</v>
      </c>
      <c r="BT6" s="11">
        <f t="array" ref="BT6">MATCH(MAX(ABS(BT3:BT5)), ABS(BT3:BT5), 0)</f>
        <v>2</v>
      </c>
      <c r="BU6" s="11">
        <f t="array" ref="BU6">MATCH(MAX(ABS(BU3:BU5)), ABS(BU3:BU5), 0)</f>
        <v>2</v>
      </c>
      <c r="BV6" s="11">
        <f t="array" ref="BV6">MATCH(MAX(ABS(BV3:BV5)), ABS(BV3:BV5), 0)</f>
        <v>3</v>
      </c>
      <c r="BW6" s="11">
        <f t="array" ref="BW6">MATCH(MAX(ABS(BW3:BW5)), ABS(BW3:BW5), 0)</f>
        <v>3</v>
      </c>
      <c r="BX6" s="11">
        <f t="array" ref="BX6">MATCH(MAX(ABS(BX3:BX5)), ABS(BX3:BX5), 0)</f>
        <v>2</v>
      </c>
      <c r="BY6" s="11">
        <f t="array" ref="BY6">MATCH(MAX(ABS(BY3:BY5)), ABS(BY3:BY5), 0)</f>
        <v>3</v>
      </c>
      <c r="BZ6" s="11">
        <f t="array" ref="BZ6">MATCH(MAX(ABS(BZ3:BZ5)), ABS(BZ3:BZ5), 0)</f>
        <v>1</v>
      </c>
      <c r="CA6" s="11">
        <f t="array" ref="CA6">MATCH(MAX(ABS(CA3:CA5)), ABS(CA3:CA5), 0)</f>
        <v>1</v>
      </c>
      <c r="CB6" s="11">
        <f t="array" ref="CB6">MATCH(MAX(ABS(CB3:CB5)), ABS(CB3:CB5), 0)</f>
        <v>2</v>
      </c>
      <c r="CC6" s="11">
        <f t="array" ref="CC6">MATCH(MAX(ABS(CC3:CC5)), ABS(CC3:CC5), 0)</f>
        <v>2</v>
      </c>
      <c r="CD6" s="11">
        <f t="array" ref="CD6">MATCH(MAX(ABS(CD3:CD5)), ABS(CD3:CD5), 0)</f>
        <v>1</v>
      </c>
      <c r="CE6" s="11">
        <f t="array" ref="CE6">MATCH(MAX(ABS(CE3:CE5)), ABS(CE3:CE5), 0)</f>
        <v>2</v>
      </c>
      <c r="CF6" s="11">
        <f t="array" ref="CF6">MATCH(MAX(ABS(CF3:CF5)), ABS(CF3:CF5), 0)</f>
        <v>1</v>
      </c>
      <c r="CG6" s="11">
        <f t="array" ref="CG6">MATCH(MAX(ABS(CG3:CG5)), ABS(CG3:CG5), 0)</f>
        <v>3</v>
      </c>
      <c r="CH6" s="11">
        <f t="array" ref="CH6">MATCH(MAX(ABS(CH3:CH5)), ABS(CH3:CH5), 0)</f>
        <v>1</v>
      </c>
      <c r="CI6" s="11">
        <f t="array" ref="CI6">MATCH(MAX(ABS(CI3:CI5)), ABS(CI3:CI5), 0)</f>
        <v>1</v>
      </c>
      <c r="CJ6" s="11">
        <f t="array" ref="CJ6">MATCH(MAX(ABS(CJ3:CJ5)), ABS(CJ3:CJ5), 0)</f>
        <v>3</v>
      </c>
      <c r="CK6" s="11">
        <f t="array" ref="CK6">MATCH(MAX(ABS(CK3:CK5)), ABS(CK3:CK5), 0)</f>
        <v>3</v>
      </c>
      <c r="CL6" s="11">
        <f t="array" ref="CL6">MATCH(MAX(ABS(CL3:CL5)), ABS(CL3:CL5), 0)</f>
        <v>1</v>
      </c>
      <c r="CM6" s="11">
        <f t="array" ref="CM6">MATCH(MAX(ABS(CM3:CM5)), ABS(CM3:CM5), 0)</f>
        <v>2</v>
      </c>
      <c r="CN6" s="11">
        <f t="array" ref="CN6">MATCH(MAX(ABS(CN3:CN5)), ABS(CN3:CN5), 0)</f>
        <v>3</v>
      </c>
      <c r="CO6" s="11">
        <f t="array" ref="CO6">MATCH(MAX(ABS(CO3:CO5)), ABS(CO3:CO5), 0)</f>
        <v>2</v>
      </c>
      <c r="CP6" s="11">
        <f t="array" ref="CP6">MATCH(MAX(ABS(CP3:CP5)), ABS(CP3:CP5), 0)</f>
        <v>1</v>
      </c>
      <c r="CQ6" s="11">
        <f t="array" ref="CQ6">MATCH(MAX(ABS(CQ3:CQ5)), ABS(CQ3:CQ5), 0)</f>
        <v>3</v>
      </c>
      <c r="CR6" s="11">
        <f t="array" ref="CR6">MATCH(MAX(ABS(CR3:CR5)), ABS(CR3:CR5), 0)</f>
        <v>3</v>
      </c>
      <c r="CS6" s="11">
        <f t="array" ref="CS6">MATCH(MAX(ABS(CS3:CS5)), ABS(CS3:CS5), 0)</f>
        <v>3</v>
      </c>
      <c r="CT6" s="11">
        <f t="array" ref="CT6">MATCH(MAX(ABS(CT3:CT5)), ABS(CT3:CT5), 0)</f>
        <v>2</v>
      </c>
      <c r="CU6" s="11">
        <f t="array" ref="CU6">MATCH(MAX(ABS(CU3:CU5)), ABS(CU3:CU5), 0)</f>
        <v>3</v>
      </c>
      <c r="CV6" s="11">
        <f t="array" ref="CV6">MATCH(MAX(ABS(CV3:CV5)), ABS(CV3:CV5), 0)</f>
        <v>3</v>
      </c>
      <c r="CW6" s="11">
        <f t="array" ref="CW6">MATCH(MAX(ABS(CW3:CW5)), ABS(CW3:CW5), 0)</f>
        <v>3</v>
      </c>
      <c r="CX6" s="11">
        <f t="array" ref="CX6">MATCH(MAX(ABS(CX3:CX5)), ABS(CX3:CX5), 0)</f>
        <v>1</v>
      </c>
      <c r="CY6" s="11">
        <f t="array" ref="CY6">MATCH(MAX(ABS(CY3:CY5)), ABS(CY3:CY5), 0)</f>
        <v>2</v>
      </c>
      <c r="CZ6" s="11">
        <f t="array" ref="CZ6">MATCH(MAX(ABS(CZ3:CZ5)), ABS(CZ3:CZ5), 0)</f>
        <v>1</v>
      </c>
      <c r="DA6" s="11">
        <f t="array" ref="DA6">MATCH(MAX(ABS(DA3:DA5)), ABS(DA3:DA5), 0)</f>
        <v>2</v>
      </c>
      <c r="DB6" s="11">
        <f t="array" ref="DB6">MATCH(MAX(ABS(DB3:DB5)), ABS(DB3:DB5), 0)</f>
        <v>2</v>
      </c>
      <c r="DC6" s="11">
        <f t="array" ref="DC6">MATCH(MAX(ABS(DC3:DC5)), ABS(DC3:DC5), 0)</f>
        <v>1</v>
      </c>
      <c r="DD6" s="11">
        <f t="array" ref="DD6">MATCH(MAX(ABS(DD3:DD5)), ABS(DD3:DD5), 0)</f>
        <v>3</v>
      </c>
      <c r="DE6" s="11">
        <f t="array" ref="DE6">MATCH(MAX(ABS(DE3:DE5)), ABS(DE3:DE5), 0)</f>
        <v>3</v>
      </c>
      <c r="DF6" s="11">
        <f t="array" ref="DF6">MATCH(MAX(ABS(DF3:DF5)), ABS(DF3:DF5), 0)</f>
        <v>2</v>
      </c>
      <c r="DG6" s="11">
        <f t="array" ref="DG6">MATCH(MAX(ABS(DG3:DG5)), ABS(DG3:DG5), 0)</f>
        <v>2</v>
      </c>
      <c r="DH6" s="11">
        <f t="array" ref="DH6">MATCH(MAX(ABS(DH3:DH5)), ABS(DH3:DH5), 0)</f>
        <v>2</v>
      </c>
      <c r="DI6" s="11">
        <f t="array" ref="DI6">MATCH(MAX(ABS(DI3:DI5)), ABS(DI3:DI5), 0)</f>
        <v>2</v>
      </c>
      <c r="DJ6" s="11">
        <f t="array" ref="DJ6">MATCH(MAX(ABS(DJ3:DJ5)), ABS(DJ3:DJ5), 0)</f>
        <v>3</v>
      </c>
      <c r="DK6" s="11">
        <f t="array" ref="DK6">MATCH(MAX(ABS(DK3:DK5)), ABS(DK3:DK5), 0)</f>
        <v>2</v>
      </c>
      <c r="DL6" s="11">
        <f t="array" ref="DL6">MATCH(MAX(ABS(DL3:DL5)), ABS(DL3:DL5), 0)</f>
        <v>3</v>
      </c>
      <c r="DM6" s="11">
        <f t="array" ref="DM6">MATCH(MAX(ABS(DM3:DM5)), ABS(DM3:DM5), 0)</f>
        <v>2</v>
      </c>
      <c r="DN6" s="11">
        <f t="array" ref="DN6">MATCH(MAX(ABS(DN3:DN5)), ABS(DN3:DN5), 0)</f>
        <v>1</v>
      </c>
      <c r="DO6" s="11">
        <f t="array" ref="DO6">MATCH(MAX(ABS(DO3:DO5)), ABS(DO3:DO5), 0)</f>
        <v>2</v>
      </c>
      <c r="DP6" s="11">
        <f t="array" ref="DP6">MATCH(MAX(ABS(DP3:DP5)), ABS(DP3:DP5), 0)</f>
        <v>3</v>
      </c>
      <c r="DQ6" s="11">
        <f t="array" ref="DQ6">MATCH(MAX(ABS(DQ3:DQ5)), ABS(DQ3:DQ5), 0)</f>
        <v>3</v>
      </c>
      <c r="DR6" s="11">
        <f t="array" ref="DR6">MATCH(MAX(ABS(DR3:DR5)), ABS(DR3:DR5), 0)</f>
        <v>1</v>
      </c>
      <c r="DS6" s="11">
        <f t="array" ref="DS6">MATCH(MAX(ABS(DS3:DS5)), ABS(DS3:DS5), 0)</f>
        <v>2</v>
      </c>
      <c r="DT6" s="11">
        <f t="array" ref="DT6">MATCH(MAX(ABS(DT3:DT5)), ABS(DT3:DT5), 0)</f>
        <v>3</v>
      </c>
      <c r="DU6" s="11">
        <f t="array" ref="DU6">MATCH(MAX(ABS(DU3:DU5)), ABS(DU3:DU5), 0)</f>
        <v>2</v>
      </c>
      <c r="DV6" s="11">
        <f t="array" ref="DV6">MATCH(MAX(ABS(DV3:DV5)), ABS(DV3:DV5), 0)</f>
        <v>1</v>
      </c>
      <c r="DW6" s="11">
        <f t="array" ref="DW6">MATCH(MAX(ABS(DW3:DW5)), ABS(DW3:DW5), 0)</f>
        <v>2</v>
      </c>
      <c r="DX6" s="11">
        <f t="array" ref="DX6">MATCH(MAX(ABS(DX3:DX5)), ABS(DX3:DX5), 0)</f>
        <v>1</v>
      </c>
      <c r="DY6" s="11">
        <f t="array" ref="DY6">MATCH(MAX(ABS(DY3:DY5)), ABS(DY3:DY5), 0)</f>
        <v>2</v>
      </c>
      <c r="DZ6" s="11">
        <f t="array" ref="DZ6">MATCH(MAX(ABS(DZ3:DZ5)), ABS(DZ3:DZ5), 0)</f>
        <v>2</v>
      </c>
      <c r="EA6" s="11">
        <f t="array" ref="EA6">MATCH(MAX(ABS(EA3:EA5)), ABS(EA3:EA5), 0)</f>
        <v>3</v>
      </c>
      <c r="EB6" s="11">
        <f t="array" ref="EB6">MATCH(MAX(ABS(EB3:EB5)), ABS(EB3:EB5), 0)</f>
        <v>3</v>
      </c>
      <c r="EC6" s="11">
        <f t="array" ref="EC6">MATCH(MAX(ABS(EC3:EC5)), ABS(EC3:EC5), 0)</f>
        <v>1</v>
      </c>
      <c r="ED6" s="11">
        <f t="array" ref="ED6">MATCH(MAX(ABS(ED3:ED5)), ABS(ED3:ED5), 0)</f>
        <v>1</v>
      </c>
      <c r="EE6" s="11">
        <f t="array" ref="EE6">MATCH(MAX(ABS(EE3:EE5)), ABS(EE3:EE5), 0)</f>
        <v>2</v>
      </c>
      <c r="EF6" s="11">
        <f t="array" ref="EF6">MATCH(MAX(ABS(EF3:EF5)), ABS(EF3:EF5), 0)</f>
        <v>2</v>
      </c>
      <c r="EG6" s="11">
        <f t="array" ref="EG6">MATCH(MAX(ABS(EG3:EG5)), ABS(EG3:EG5), 0)</f>
        <v>2</v>
      </c>
    </row>
    <row r="7" spans="1:138" x14ac:dyDescent="0.3"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G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  <c r="EG7" s="11" t="str">
        <f t="shared" si="4"/>
        <v>size</v>
      </c>
    </row>
    <row r="8" spans="1:138" x14ac:dyDescent="0.3"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G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  <c r="EG8" s="11">
        <f t="shared" si="9"/>
        <v>-0.15895948868776608</v>
      </c>
    </row>
    <row r="10" spans="1:138" x14ac:dyDescent="0.3">
      <c r="A10" s="22" t="s">
        <v>140</v>
      </c>
      <c r="B10" s="23"/>
      <c r="C10" s="1" t="s">
        <v>141</v>
      </c>
      <c r="D10" s="2">
        <v>964</v>
      </c>
    </row>
    <row r="11" spans="1:138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  <c r="EG11" t="s">
        <v>145</v>
      </c>
      <c r="EH11" t="s">
        <v>146</v>
      </c>
    </row>
    <row r="12" spans="1:138" x14ac:dyDescent="0.3">
      <c r="A12" s="1">
        <v>10</v>
      </c>
      <c r="B12" s="1">
        <v>96</v>
      </c>
      <c r="C12" s="11">
        <v>8.4653346747999555E-2</v>
      </c>
      <c r="D12" s="11">
        <v>0.11468862904522351</v>
      </c>
      <c r="E12" s="11">
        <v>4.802682338720253E-2</v>
      </c>
      <c r="F12" s="11">
        <v>5.5959384784458728E-2</v>
      </c>
      <c r="G12" s="11">
        <v>3.1947448518630461E-2</v>
      </c>
      <c r="H12" s="11">
        <v>3.8530512249887933E-2</v>
      </c>
      <c r="I12" s="11">
        <v>3.6303936849052011E-2</v>
      </c>
      <c r="J12" s="11">
        <v>4.3784578744871523E-2</v>
      </c>
      <c r="K12" s="11">
        <v>2.918799813369918E-2</v>
      </c>
      <c r="L12" s="11">
        <v>4.1890941049973679E-2</v>
      </c>
      <c r="M12" s="11">
        <v>2.688917383320695E-2</v>
      </c>
      <c r="N12" s="11">
        <v>6.9326986778352848E-2</v>
      </c>
      <c r="O12" s="11">
        <v>2.7914759067240381E-2</v>
      </c>
      <c r="P12" s="11">
        <v>2.1420421204462348E-2</v>
      </c>
      <c r="Q12" s="11">
        <v>3.3792784120907728E-2</v>
      </c>
      <c r="R12" s="11">
        <v>1.3397506239935729E-2</v>
      </c>
      <c r="S12" s="11">
        <v>7.1053897094607049E-2</v>
      </c>
      <c r="T12" s="11">
        <v>4.7867716345524697E-2</v>
      </c>
      <c r="U12" s="11">
        <v>2.0367220553130991E-2</v>
      </c>
      <c r="V12" s="11">
        <v>4.5029990802848717E-2</v>
      </c>
      <c r="W12" s="11">
        <v>6.4039414985380988E-2</v>
      </c>
      <c r="X12" s="11">
        <v>0.10964075134733541</v>
      </c>
      <c r="Y12" s="11">
        <v>1.6788377251816099E-2</v>
      </c>
      <c r="Z12" s="11">
        <v>6.362368331557397E-2</v>
      </c>
      <c r="AA12" s="11">
        <v>2.691847942081162E-2</v>
      </c>
      <c r="AB12" s="11">
        <v>3.4689110551478157E-2</v>
      </c>
      <c r="AC12" s="11">
        <v>4.6772945626311249E-2</v>
      </c>
      <c r="AD12" s="11">
        <v>9.3922433316797477E-3</v>
      </c>
      <c r="AE12" s="11">
        <v>4.6437716666984021E-2</v>
      </c>
      <c r="AF12" s="11">
        <v>5.2012102776767682E-2</v>
      </c>
      <c r="AG12" s="11">
        <v>2.998214493272441E-2</v>
      </c>
      <c r="AH12" s="11">
        <v>1.3405804649633229E-2</v>
      </c>
      <c r="AI12" s="11">
        <v>2.324645917886457E-2</v>
      </c>
      <c r="AJ12" s="11">
        <v>1.298374754605458E-2</v>
      </c>
      <c r="AK12" s="11">
        <v>4.8123704152134412E-2</v>
      </c>
      <c r="AL12" s="11">
        <v>3.4105621243576391E-2</v>
      </c>
      <c r="AM12" s="11">
        <v>3.0086115612597931E-2</v>
      </c>
      <c r="AN12" s="11">
        <v>6.9233234313428524E-2</v>
      </c>
      <c r="AO12" s="11">
        <v>1.499547084312732E-2</v>
      </c>
      <c r="AP12" s="11">
        <v>3.3718344781849152E-2</v>
      </c>
      <c r="AQ12" s="11">
        <v>6.6823427857980316E-3</v>
      </c>
      <c r="AR12" s="11">
        <v>7.5044280887600658E-3</v>
      </c>
      <c r="AS12" s="11">
        <v>1.9976272910371209E-2</v>
      </c>
      <c r="AT12" s="11">
        <v>7.2195382352435097E-2</v>
      </c>
      <c r="AU12" s="11">
        <v>6.3410262054371502E-2</v>
      </c>
      <c r="AV12" s="11">
        <v>5.3715630656719707E-2</v>
      </c>
      <c r="AW12" s="11">
        <v>1.7169704763403071E-2</v>
      </c>
      <c r="AX12" s="11">
        <v>4.4696011972897853E-2</v>
      </c>
      <c r="AY12" s="11">
        <v>2.4955293067673249E-2</v>
      </c>
      <c r="AZ12" s="11">
        <v>6.6563803179291892E-2</v>
      </c>
      <c r="BA12" s="11">
        <v>7.1276156280934935E-2</v>
      </c>
      <c r="BB12" s="11">
        <v>2.9036654569641791E-2</v>
      </c>
      <c r="BC12" s="11">
        <v>2.669096629233754E-2</v>
      </c>
      <c r="BD12" s="11">
        <v>4.9233621620970898E-2</v>
      </c>
      <c r="BE12" s="11">
        <v>3.5368545142518727E-2</v>
      </c>
      <c r="BF12" s="11">
        <v>6.7616949247695318E-2</v>
      </c>
      <c r="BG12" s="11">
        <v>4.6757753881283733E-2</v>
      </c>
      <c r="BH12" s="11">
        <v>3.5079589029917008E-2</v>
      </c>
      <c r="BI12" s="11">
        <v>5.002125303099076E-2</v>
      </c>
      <c r="BJ12" s="11">
        <v>4.3422499107672333E-2</v>
      </c>
      <c r="BK12" s="11">
        <v>2.0075652003278099E-2</v>
      </c>
      <c r="BL12" s="11">
        <v>3.2129098300494131E-2</v>
      </c>
      <c r="BM12" s="11">
        <v>5.030568452332447E-2</v>
      </c>
      <c r="BN12" s="11">
        <v>1.9502538210119671E-2</v>
      </c>
      <c r="BO12" s="11">
        <v>2.4246310256236889E-2</v>
      </c>
      <c r="BP12" s="11">
        <v>2.642195733416729E-2</v>
      </c>
      <c r="BQ12" s="11">
        <v>1.3896749618746689E-2</v>
      </c>
      <c r="BR12" s="11">
        <v>6.8693615147113224E-2</v>
      </c>
      <c r="BS12" s="11">
        <v>3.2642854888392712E-2</v>
      </c>
      <c r="BT12" s="11">
        <v>2.1288097232098721E-2</v>
      </c>
      <c r="BU12" s="11">
        <v>4.8083369576175698E-2</v>
      </c>
      <c r="BV12" s="11">
        <v>4.2282389085929989E-2</v>
      </c>
      <c r="BW12" s="11">
        <v>4.4477003891650199E-2</v>
      </c>
      <c r="BX12" s="11">
        <v>1.5984151640729919E-2</v>
      </c>
      <c r="BY12" s="11">
        <v>5.8929916357564061E-2</v>
      </c>
      <c r="BZ12" s="11">
        <v>4.5356945691272972E-2</v>
      </c>
      <c r="CA12" s="11">
        <v>3.4400287440342493E-2</v>
      </c>
      <c r="CB12" s="11">
        <v>7.2475876072179299E-2</v>
      </c>
      <c r="CC12" s="11">
        <v>6.5566612627689883E-2</v>
      </c>
      <c r="CD12" s="11">
        <v>0.1109336335844525</v>
      </c>
      <c r="CE12" s="11">
        <v>0.15400701288974189</v>
      </c>
      <c r="CF12" s="11">
        <v>2.776758341377213E-2</v>
      </c>
      <c r="CG12" s="11">
        <v>4.9277959963080598E-2</v>
      </c>
      <c r="CH12" s="11">
        <v>6.3297372377959904E-2</v>
      </c>
      <c r="CI12" s="11">
        <v>3.4655912412205718E-2</v>
      </c>
      <c r="CJ12" s="11">
        <v>5.4120066914195013E-2</v>
      </c>
      <c r="CK12" s="11">
        <v>5.6101440647790157E-2</v>
      </c>
      <c r="CL12" s="11">
        <v>0.1180156076696104</v>
      </c>
      <c r="CM12" s="11">
        <v>7.1708388017212202E-2</v>
      </c>
      <c r="CN12" s="11">
        <v>7.8465204010806394E-2</v>
      </c>
      <c r="CO12" s="11">
        <v>7.129224287359176E-2</v>
      </c>
      <c r="CP12" s="11">
        <v>4.5299021467493747E-2</v>
      </c>
      <c r="CQ12" s="11">
        <v>6.2684347003574781E-2</v>
      </c>
      <c r="CR12" s="11">
        <v>5.7159986521513537E-2</v>
      </c>
      <c r="CS12" s="11">
        <v>9.7857359485265666E-4</v>
      </c>
      <c r="CT12" s="11">
        <v>3.2114010608049227E-2</v>
      </c>
      <c r="CU12" s="11">
        <v>7.4779529281356727E-2</v>
      </c>
      <c r="CV12" s="11">
        <v>6.5033306495688795E-2</v>
      </c>
      <c r="CW12" s="11">
        <v>1.303666937857764E-2</v>
      </c>
      <c r="CX12" s="11">
        <v>6.098988253699178E-2</v>
      </c>
      <c r="CY12" s="11">
        <v>4.6072977665454977E-2</v>
      </c>
      <c r="CZ12" s="11">
        <v>7.7792327339500603E-2</v>
      </c>
      <c r="DA12" s="11">
        <v>3.6978661359195177E-2</v>
      </c>
      <c r="DB12" s="11">
        <v>8.8981816498044985E-2</v>
      </c>
      <c r="DC12" s="11">
        <v>3.3973202874774677E-2</v>
      </c>
      <c r="DD12" s="11">
        <v>6.9960545734343321E-2</v>
      </c>
      <c r="DE12" s="11">
        <v>2.473764441509502E-2</v>
      </c>
      <c r="DF12" s="11">
        <v>5.5485734082072982E-2</v>
      </c>
      <c r="DG12" s="11">
        <v>4.6409817779524638E-2</v>
      </c>
      <c r="DH12" s="11">
        <v>6.1195154788316941E-2</v>
      </c>
      <c r="DI12" s="11">
        <v>5.9749067779748727E-2</v>
      </c>
      <c r="DJ12" s="11">
        <v>4.1378042935671558E-2</v>
      </c>
      <c r="DK12" s="11">
        <v>3.1928199332595573E-2</v>
      </c>
      <c r="DL12" s="11">
        <v>1.8669833333803058E-2</v>
      </c>
      <c r="DM12" s="11">
        <v>1.9237693580560919E-2</v>
      </c>
      <c r="DN12" s="11">
        <v>4.2410365386064831E-2</v>
      </c>
      <c r="DO12" s="11">
        <v>3.055694210149083E-2</v>
      </c>
      <c r="DP12" s="11">
        <v>5.9408694556660431E-2</v>
      </c>
      <c r="DQ12" s="11">
        <v>7.454064748047276E-2</v>
      </c>
      <c r="DR12" s="11">
        <v>1.8778943279386909E-2</v>
      </c>
      <c r="DS12" s="11">
        <v>6.9650552069699723E-2</v>
      </c>
      <c r="DT12" s="11">
        <v>2.481384156258671E-2</v>
      </c>
      <c r="DU12" s="11">
        <v>5.7230283144308662E-2</v>
      </c>
      <c r="DV12" s="11">
        <v>4.8550824477530688E-2</v>
      </c>
      <c r="DW12" s="11">
        <v>4.4967834212525502E-2</v>
      </c>
      <c r="DX12" s="11">
        <v>5.0152080542361532E-2</v>
      </c>
      <c r="DY12" s="11">
        <v>5.3145310887610077E-2</v>
      </c>
      <c r="DZ12" s="11">
        <v>6.2271493484882473E-3</v>
      </c>
      <c r="EA12" s="11">
        <v>0.113127041749137</v>
      </c>
      <c r="EB12" s="11">
        <v>3.052577681784165E-2</v>
      </c>
      <c r="EC12" s="11">
        <v>2.6651509579665299E-2</v>
      </c>
      <c r="ED12" s="11">
        <v>6.050815280848415E-2</v>
      </c>
      <c r="EE12" s="11">
        <v>2.6506892161147658E-2</v>
      </c>
      <c r="EF12" s="11">
        <v>2.923376575523141E-2</v>
      </c>
      <c r="EG12">
        <f t="shared" ref="EG12:EG24" si="10">SUM(C12:EF12)</f>
        <v>6.1316168370944508</v>
      </c>
      <c r="EH12" s="12">
        <f t="shared" ref="EH12:EH24" si="11">SUM(C12:EE12)/134</f>
        <v>4.5540172174173277E-2</v>
      </c>
    </row>
    <row r="13" spans="1:138" x14ac:dyDescent="0.3">
      <c r="A13" s="1">
        <v>20</v>
      </c>
      <c r="B13" s="1">
        <v>48</v>
      </c>
      <c r="C13" s="11">
        <v>0.104112750252762</v>
      </c>
      <c r="D13" s="11">
        <v>0.1237450287927723</v>
      </c>
      <c r="E13" s="11">
        <v>6.9861556352806456E-2</v>
      </c>
      <c r="F13" s="11">
        <v>5.9986526692922967E-2</v>
      </c>
      <c r="G13" s="11">
        <v>1.2047404300105931E-2</v>
      </c>
      <c r="H13" s="11">
        <v>2.9989631725721271E-2</v>
      </c>
      <c r="I13" s="11">
        <v>3.2682862984722338E-2</v>
      </c>
      <c r="J13" s="11">
        <v>3.4549891969644697E-2</v>
      </c>
      <c r="K13" s="11">
        <v>6.0326139227570137E-2</v>
      </c>
      <c r="L13" s="11">
        <v>6.0251612936536372E-3</v>
      </c>
      <c r="M13" s="11">
        <v>3.2797582260047169E-3</v>
      </c>
      <c r="N13" s="11">
        <v>9.9806916956670585E-2</v>
      </c>
      <c r="O13" s="11">
        <v>1.7422698810949939E-2</v>
      </c>
      <c r="P13" s="11">
        <v>2.0856913061405559E-2</v>
      </c>
      <c r="Q13" s="11">
        <v>4.4218264227970053E-2</v>
      </c>
      <c r="R13" s="11">
        <v>6.4899101760743979E-3</v>
      </c>
      <c r="S13" s="11">
        <v>0.1229152980035506</v>
      </c>
      <c r="T13" s="11">
        <v>7.4234081511722602E-2</v>
      </c>
      <c r="U13" s="11">
        <v>5.4161075041694179E-2</v>
      </c>
      <c r="V13" s="11">
        <v>5.2779738900233658E-2</v>
      </c>
      <c r="W13" s="11">
        <v>7.5476561860150226E-2</v>
      </c>
      <c r="X13" s="11">
        <v>0.1211277708527381</v>
      </c>
      <c r="Y13" s="11">
        <v>2.6471883217342521E-2</v>
      </c>
      <c r="Z13" s="11">
        <v>7.842443480518356E-2</v>
      </c>
      <c r="AA13" s="11">
        <v>4.7712648450258188E-2</v>
      </c>
      <c r="AB13" s="11">
        <v>4.6678220121377283E-2</v>
      </c>
      <c r="AC13" s="11">
        <v>6.6771700381929838E-2</v>
      </c>
      <c r="AD13" s="11">
        <v>2.1543689785275402E-2</v>
      </c>
      <c r="AE13" s="11">
        <v>7.7071416726800679E-2</v>
      </c>
      <c r="AF13" s="11">
        <v>7.3281160828311181E-2</v>
      </c>
      <c r="AG13" s="11">
        <v>3.1681783055002889E-2</v>
      </c>
      <c r="AH13" s="11">
        <v>9.6413392395163916E-3</v>
      </c>
      <c r="AI13" s="11">
        <v>1.9909910220413461E-2</v>
      </c>
      <c r="AJ13" s="11">
        <v>-1.628046998827572E-2</v>
      </c>
      <c r="AK13" s="11">
        <v>6.5987912810655996E-2</v>
      </c>
      <c r="AL13" s="11">
        <v>2.255035758653684E-2</v>
      </c>
      <c r="AM13" s="11">
        <v>4.6282443536828928E-2</v>
      </c>
      <c r="AN13" s="11">
        <v>0.10533023813603409</v>
      </c>
      <c r="AO13" s="11">
        <v>-1.7088466886353789E-3</v>
      </c>
      <c r="AP13" s="11">
        <v>5.9550840361997717E-2</v>
      </c>
      <c r="AQ13" s="11">
        <v>1.108299446312281E-2</v>
      </c>
      <c r="AR13" s="11">
        <v>-9.2507324832761875E-3</v>
      </c>
      <c r="AS13" s="11">
        <v>2.340496354159733E-2</v>
      </c>
      <c r="AT13" s="11">
        <v>8.6422914727599456E-2</v>
      </c>
      <c r="AU13" s="11">
        <v>7.6784333628374363E-2</v>
      </c>
      <c r="AV13" s="11">
        <v>7.9665975648470139E-2</v>
      </c>
      <c r="AW13" s="11">
        <v>2.682123797038095E-2</v>
      </c>
      <c r="AX13" s="11">
        <v>3.2799832135855793E-2</v>
      </c>
      <c r="AY13" s="11">
        <v>1.756434634862496E-2</v>
      </c>
      <c r="AZ13" s="11">
        <v>5.5449775955565078E-2</v>
      </c>
      <c r="BA13" s="11">
        <v>7.9829120343788335E-2</v>
      </c>
      <c r="BB13" s="11">
        <v>2.2547400974778999E-2</v>
      </c>
      <c r="BC13" s="11">
        <v>1.9110867274842121E-2</v>
      </c>
      <c r="BD13" s="11">
        <v>4.1676313746669753E-2</v>
      </c>
      <c r="BE13" s="11">
        <v>4.3773789385783142E-2</v>
      </c>
      <c r="BF13" s="11">
        <v>0.1216571432659557</v>
      </c>
      <c r="BG13" s="11">
        <v>8.8397545856320814E-2</v>
      </c>
      <c r="BH13" s="11">
        <v>4.1023656192191983E-2</v>
      </c>
      <c r="BI13" s="11">
        <v>5.2409132456701382E-2</v>
      </c>
      <c r="BJ13" s="11">
        <v>5.1451918959922252E-2</v>
      </c>
      <c r="BK13" s="11">
        <v>2.5125773363192039E-2</v>
      </c>
      <c r="BL13" s="11">
        <v>3.4460040448450822E-2</v>
      </c>
      <c r="BM13" s="11">
        <v>5.3371768695190711E-2</v>
      </c>
      <c r="BN13" s="11">
        <v>-4.8576030584132172E-3</v>
      </c>
      <c r="BO13" s="11">
        <v>3.0878716233474109E-2</v>
      </c>
      <c r="BP13" s="11">
        <v>7.9511464177745989E-3</v>
      </c>
      <c r="BQ13" s="11">
        <v>4.1653063789425779E-2</v>
      </c>
      <c r="BR13" s="11">
        <v>7.9831456823332952E-2</v>
      </c>
      <c r="BS13" s="11">
        <v>4.0180514361416918E-2</v>
      </c>
      <c r="BT13" s="11">
        <v>3.3667769757919193E-2</v>
      </c>
      <c r="BU13" s="11">
        <v>7.4658168009773873E-2</v>
      </c>
      <c r="BV13" s="11">
        <v>7.9930834101057502E-2</v>
      </c>
      <c r="BW13" s="11">
        <v>7.5714005636679529E-2</v>
      </c>
      <c r="BX13" s="11">
        <v>1.477434776242115E-3</v>
      </c>
      <c r="BY13" s="11">
        <v>3.9201956575141389E-2</v>
      </c>
      <c r="BZ13" s="11">
        <v>7.6138123059050211E-2</v>
      </c>
      <c r="CA13" s="11">
        <v>3.3531565600396843E-2</v>
      </c>
      <c r="CB13" s="11">
        <v>0.1204269717320352</v>
      </c>
      <c r="CC13" s="11">
        <v>0.12011817373823321</v>
      </c>
      <c r="CD13" s="11">
        <v>0.1050858328923274</v>
      </c>
      <c r="CE13" s="11">
        <v>0.18382783645560871</v>
      </c>
      <c r="CF13" s="11">
        <v>4.4514266725069238E-2</v>
      </c>
      <c r="CG13" s="11">
        <v>5.8014967807239318E-2</v>
      </c>
      <c r="CH13" s="11">
        <v>5.8334611827207158E-2</v>
      </c>
      <c r="CI13" s="11">
        <v>5.1853509134263308E-2</v>
      </c>
      <c r="CJ13" s="11">
        <v>5.481018067884004E-2</v>
      </c>
      <c r="CK13" s="11">
        <v>6.568712626679736E-2</v>
      </c>
      <c r="CL13" s="11">
        <v>8.1453366102180805E-2</v>
      </c>
      <c r="CM13" s="11">
        <v>0.1014522187140186</v>
      </c>
      <c r="CN13" s="11">
        <v>0.1009941666481943</v>
      </c>
      <c r="CO13" s="11">
        <v>8.556623930807658E-2</v>
      </c>
      <c r="CP13" s="11">
        <v>6.9726540277734339E-2</v>
      </c>
      <c r="CQ13" s="11">
        <v>7.1178864968403879E-2</v>
      </c>
      <c r="CR13" s="11">
        <v>0.11164488638047471</v>
      </c>
      <c r="CS13" s="11">
        <v>9.5676536651352929E-3</v>
      </c>
      <c r="CT13" s="11">
        <v>4.3462267969052268E-2</v>
      </c>
      <c r="CU13" s="11">
        <v>0.1070909617136373</v>
      </c>
      <c r="CV13" s="11">
        <v>7.7656051256972655E-2</v>
      </c>
      <c r="CW13" s="11">
        <v>3.6309119756433333E-2</v>
      </c>
      <c r="CX13" s="11">
        <v>6.0033255240053027E-2</v>
      </c>
      <c r="CY13" s="11">
        <v>6.2296947005362549E-2</v>
      </c>
      <c r="CZ13" s="11">
        <v>5.7224220353485122E-2</v>
      </c>
      <c r="DA13" s="11">
        <v>4.9446033684879001E-2</v>
      </c>
      <c r="DB13" s="11">
        <v>0.1062353213029536</v>
      </c>
      <c r="DC13" s="11">
        <v>2.9775565878292928E-2</v>
      </c>
      <c r="DD13" s="11">
        <v>6.8977058924383453E-2</v>
      </c>
      <c r="DE13" s="11">
        <v>2.2441996429236069E-2</v>
      </c>
      <c r="DF13" s="11">
        <v>8.3122187068030415E-2</v>
      </c>
      <c r="DG13" s="11">
        <v>4.7729083606459478E-2</v>
      </c>
      <c r="DH13" s="11">
        <v>8.8720600946307043E-2</v>
      </c>
      <c r="DI13" s="11">
        <v>8.9748563547494165E-2</v>
      </c>
      <c r="DJ13" s="11">
        <v>7.0211236155579941E-3</v>
      </c>
      <c r="DK13" s="11">
        <v>1.938663386385895E-2</v>
      </c>
      <c r="DL13" s="11">
        <v>2.2050690678088229E-2</v>
      </c>
      <c r="DM13" s="11">
        <v>-5.3162261047299056E-4</v>
      </c>
      <c r="DN13" s="11">
        <v>1.1499577922513139E-2</v>
      </c>
      <c r="DO13" s="11">
        <v>3.7863465084792783E-2</v>
      </c>
      <c r="DP13" s="11">
        <v>5.8032308890701628E-2</v>
      </c>
      <c r="DQ13" s="11">
        <v>8.712901139257051E-2</v>
      </c>
      <c r="DR13" s="11">
        <v>1.377120927231194E-2</v>
      </c>
      <c r="DS13" s="11">
        <v>6.8596852640390879E-2</v>
      </c>
      <c r="DT13" s="11">
        <v>2.9845809161003281E-2</v>
      </c>
      <c r="DU13" s="11">
        <v>3.3006159442618463E-2</v>
      </c>
      <c r="DV13" s="11">
        <v>7.9620144024188558E-2</v>
      </c>
      <c r="DW13" s="11">
        <v>4.2028685712200517E-2</v>
      </c>
      <c r="DX13" s="11">
        <v>6.4523379578496173E-2</v>
      </c>
      <c r="DY13" s="11">
        <v>5.6981339047558921E-2</v>
      </c>
      <c r="DZ13" s="11">
        <v>1.8302124146301689E-2</v>
      </c>
      <c r="EA13" s="11">
        <v>0.1244689581490709</v>
      </c>
      <c r="EB13" s="11">
        <v>5.7205292748389078E-2</v>
      </c>
      <c r="EC13" s="11">
        <v>4.1659753435228923E-2</v>
      </c>
      <c r="ED13" s="11">
        <v>6.5682093659234955E-2</v>
      </c>
      <c r="EE13" s="11">
        <v>4.1234383995911589E-2</v>
      </c>
      <c r="EF13" s="11">
        <v>4.4513609552720032E-2</v>
      </c>
      <c r="EG13">
        <f t="shared" si="10"/>
        <v>7.2409515001998841</v>
      </c>
      <c r="EH13" s="12">
        <f t="shared" si="11"/>
        <v>5.3704760377963914E-2</v>
      </c>
    </row>
    <row r="14" spans="1:138" x14ac:dyDescent="0.3">
      <c r="A14" s="1">
        <v>50</v>
      </c>
      <c r="B14" s="1">
        <v>19</v>
      </c>
      <c r="C14" s="11">
        <v>0.1199414897527061</v>
      </c>
      <c r="D14" s="11">
        <v>0.22230844854062601</v>
      </c>
      <c r="E14" s="11">
        <v>9.8768248142222112E-2</v>
      </c>
      <c r="F14" s="11">
        <v>6.0341904906032563E-2</v>
      </c>
      <c r="G14" s="11">
        <v>5.3656630442780677E-2</v>
      </c>
      <c r="H14" s="11">
        <v>5.9587806435440108E-2</v>
      </c>
      <c r="I14" s="11">
        <v>4.3787359823142302E-2</v>
      </c>
      <c r="J14" s="11">
        <v>2.330997196491089E-2</v>
      </c>
      <c r="K14" s="11">
        <v>5.0827466260847963E-2</v>
      </c>
      <c r="L14" s="11">
        <v>8.4804475655485129E-3</v>
      </c>
      <c r="M14" s="11">
        <v>-1.902171446498398E-2</v>
      </c>
      <c r="N14" s="11">
        <v>0.20483257514122591</v>
      </c>
      <c r="O14" s="11">
        <v>1.4944079385485289E-3</v>
      </c>
      <c r="P14" s="11">
        <v>5.8345921898241233E-2</v>
      </c>
      <c r="Q14" s="11">
        <v>0.12410387117144869</v>
      </c>
      <c r="R14" s="11">
        <v>-1.5941187297101821E-2</v>
      </c>
      <c r="S14" s="11">
        <v>0.1658932271847087</v>
      </c>
      <c r="T14" s="11">
        <v>3.5019554834400057E-2</v>
      </c>
      <c r="U14" s="11">
        <v>0.1042666646356476</v>
      </c>
      <c r="V14" s="11">
        <v>2.0089127185378371E-2</v>
      </c>
      <c r="W14" s="11">
        <v>0.1161657905318967</v>
      </c>
      <c r="X14" s="11">
        <v>0.1866856956103469</v>
      </c>
      <c r="Y14" s="11">
        <v>5.2198745955319217E-3</v>
      </c>
      <c r="Z14" s="11">
        <v>3.8511926280307661E-2</v>
      </c>
      <c r="AA14" s="11">
        <v>9.9905879497324754E-2</v>
      </c>
      <c r="AB14" s="11">
        <v>7.0769377347230211E-2</v>
      </c>
      <c r="AC14" s="11">
        <v>-3.086562338789272E-3</v>
      </c>
      <c r="AD14" s="11">
        <v>3.9327892190029898E-2</v>
      </c>
      <c r="AE14" s="11">
        <v>0.11683691983956609</v>
      </c>
      <c r="AF14" s="11">
        <v>9.6080095456633624E-2</v>
      </c>
      <c r="AG14" s="11">
        <v>2.0520894646562499E-2</v>
      </c>
      <c r="AH14" s="11">
        <v>5.250277930506024E-3</v>
      </c>
      <c r="AI14" s="11">
        <v>1.096457068257391E-2</v>
      </c>
      <c r="AJ14" s="11">
        <v>1.505903608315101E-2</v>
      </c>
      <c r="AK14" s="11">
        <v>7.6911430858302002E-2</v>
      </c>
      <c r="AL14" s="11">
        <v>1.8559542258206829E-2</v>
      </c>
      <c r="AM14" s="11">
        <v>6.1242166378625243E-2</v>
      </c>
      <c r="AN14" s="11">
        <v>9.8594666769543718E-2</v>
      </c>
      <c r="AO14" s="11">
        <v>-3.804435254206133E-2</v>
      </c>
      <c r="AP14" s="11">
        <v>6.9976525152084204E-2</v>
      </c>
      <c r="AQ14" s="11">
        <v>8.1284167078287568E-3</v>
      </c>
      <c r="AR14" s="11">
        <v>-1.817082301888524E-2</v>
      </c>
      <c r="AS14" s="11">
        <v>-6.6693383896894304E-3</v>
      </c>
      <c r="AT14" s="11">
        <v>7.9403479710638047E-2</v>
      </c>
      <c r="AU14" s="11">
        <v>0.1378524760527356</v>
      </c>
      <c r="AV14" s="11">
        <v>6.6258749216258558E-2</v>
      </c>
      <c r="AW14" s="11">
        <v>5.3928681229427317E-2</v>
      </c>
      <c r="AX14" s="11">
        <v>1.9370213375490559E-2</v>
      </c>
      <c r="AY14" s="11">
        <v>1.5068118771761551E-2</v>
      </c>
      <c r="AZ14" s="11">
        <v>2.5628927509464609E-2</v>
      </c>
      <c r="BA14" s="11">
        <v>9.6337325355973988E-2</v>
      </c>
      <c r="BB14" s="11">
        <v>0.1103112489011205</v>
      </c>
      <c r="BC14" s="11">
        <v>-2.8505683499306111E-2</v>
      </c>
      <c r="BD14" s="11">
        <v>1.641750981094553E-2</v>
      </c>
      <c r="BE14" s="11">
        <v>7.0081770149328954E-2</v>
      </c>
      <c r="BF14" s="11">
        <v>0.15382926157400831</v>
      </c>
      <c r="BG14" s="11">
        <v>0.12530530643958979</v>
      </c>
      <c r="BH14" s="11">
        <v>7.3413464178725074E-2</v>
      </c>
      <c r="BI14" s="11">
        <v>5.0185212890853773E-2</v>
      </c>
      <c r="BJ14" s="11">
        <v>2.4016933685636149E-2</v>
      </c>
      <c r="BK14" s="11">
        <v>-3.323738197833094E-2</v>
      </c>
      <c r="BL14" s="11">
        <v>5.9996895527440267E-2</v>
      </c>
      <c r="BM14" s="11">
        <v>4.6278325003000387E-2</v>
      </c>
      <c r="BN14" s="11">
        <v>-4.6576644196415717E-2</v>
      </c>
      <c r="BO14" s="11">
        <v>3.3609045677264478E-2</v>
      </c>
      <c r="BP14" s="11">
        <v>-5.0332283327745371E-2</v>
      </c>
      <c r="BQ14" s="11">
        <v>1.584352386995078E-2</v>
      </c>
      <c r="BR14" s="11">
        <v>0.10005242307538641</v>
      </c>
      <c r="BS14" s="11">
        <v>3.033272398677064E-2</v>
      </c>
      <c r="BT14" s="11">
        <v>-1.5287927903372821E-2</v>
      </c>
      <c r="BU14" s="11">
        <v>0.1111594543137446</v>
      </c>
      <c r="BV14" s="11">
        <v>0.10798163319999469</v>
      </c>
      <c r="BW14" s="11">
        <v>0.13089750855718521</v>
      </c>
      <c r="BX14" s="11">
        <v>-3.071342246663937E-4</v>
      </c>
      <c r="BY14" s="11">
        <v>-4.2604489653349287E-2</v>
      </c>
      <c r="BZ14" s="11">
        <v>6.0034056828782267E-2</v>
      </c>
      <c r="CA14" s="11">
        <v>2.446526611493707E-2</v>
      </c>
      <c r="CB14" s="11">
        <v>0.16446550132190679</v>
      </c>
      <c r="CC14" s="11">
        <v>0.1205961585891825</v>
      </c>
      <c r="CD14" s="11">
        <v>9.8016709932197757E-2</v>
      </c>
      <c r="CE14" s="11">
        <v>0.1705553024885505</v>
      </c>
      <c r="CF14" s="11">
        <v>9.2330683282061565E-2</v>
      </c>
      <c r="CG14" s="11">
        <v>5.7320663667820577E-2</v>
      </c>
      <c r="CH14" s="11">
        <v>6.46613922782171E-2</v>
      </c>
      <c r="CI14" s="11">
        <v>0.1058847773633588</v>
      </c>
      <c r="CJ14" s="11">
        <v>1.7796116349141359E-2</v>
      </c>
      <c r="CK14" s="11">
        <v>5.3792086513992962E-2</v>
      </c>
      <c r="CL14" s="11">
        <v>6.2269954878836478E-2</v>
      </c>
      <c r="CM14" s="11">
        <v>0.11006897297270959</v>
      </c>
      <c r="CN14" s="11">
        <v>0.17459567468505729</v>
      </c>
      <c r="CO14" s="11">
        <v>0.17324915395395429</v>
      </c>
      <c r="CP14" s="11">
        <v>9.9809331481752833E-2</v>
      </c>
      <c r="CQ14" s="11">
        <v>3.2227899887387702E-2</v>
      </c>
      <c r="CR14" s="11">
        <v>0.207719712590648</v>
      </c>
      <c r="CS14" s="11">
        <v>-4.4126335332496502E-3</v>
      </c>
      <c r="CT14" s="11">
        <v>6.1872352391601541E-2</v>
      </c>
      <c r="CU14" s="11">
        <v>0.1015449999567145</v>
      </c>
      <c r="CV14" s="11">
        <v>0.1513968411576333</v>
      </c>
      <c r="CW14" s="11">
        <v>4.476388444326003E-2</v>
      </c>
      <c r="CX14" s="11">
        <v>3.6299408888239168E-2</v>
      </c>
      <c r="CY14" s="11">
        <v>5.0137743473948983E-2</v>
      </c>
      <c r="CZ14" s="11">
        <v>6.4063563350383365E-2</v>
      </c>
      <c r="DA14" s="11">
        <v>6.5393327424540099E-2</v>
      </c>
      <c r="DB14" s="11">
        <v>0.1046074411002299</v>
      </c>
      <c r="DC14" s="11">
        <v>2.3632609204847509E-2</v>
      </c>
      <c r="DD14" s="11">
        <v>7.920535184818453E-2</v>
      </c>
      <c r="DE14" s="11">
        <v>6.2526924006459011E-2</v>
      </c>
      <c r="DF14" s="11">
        <v>0.20156283946711201</v>
      </c>
      <c r="DG14" s="11">
        <v>4.5583395726898353E-2</v>
      </c>
      <c r="DH14" s="11">
        <v>5.8741194166373682E-2</v>
      </c>
      <c r="DI14" s="11">
        <v>8.6646448298485237E-2</v>
      </c>
      <c r="DJ14" s="11">
        <v>8.7940293873207658E-3</v>
      </c>
      <c r="DK14" s="11">
        <v>8.1621549503858692E-2</v>
      </c>
      <c r="DL14" s="11">
        <v>4.0754871831899041E-2</v>
      </c>
      <c r="DM14" s="11">
        <v>1.12114973776048E-3</v>
      </c>
      <c r="DN14" s="11">
        <v>4.2662495893264311E-2</v>
      </c>
      <c r="DO14" s="11">
        <v>0.1025921893632338</v>
      </c>
      <c r="DP14" s="11">
        <v>6.2914808070300282E-2</v>
      </c>
      <c r="DQ14" s="11">
        <v>7.1172564581132955E-2</v>
      </c>
      <c r="DR14" s="11">
        <v>5.2622519458999567E-2</v>
      </c>
      <c r="DS14" s="11">
        <v>5.6051819928563652E-2</v>
      </c>
      <c r="DT14" s="11">
        <v>7.7542903390828534E-3</v>
      </c>
      <c r="DU14" s="11">
        <v>6.8795273192164358E-2</v>
      </c>
      <c r="DV14" s="11">
        <v>0.1082623545301073</v>
      </c>
      <c r="DW14" s="11">
        <v>1.809309508516085E-3</v>
      </c>
      <c r="DX14" s="11">
        <v>0.1019315055524211</v>
      </c>
      <c r="DY14" s="11">
        <v>7.4258700078750628E-2</v>
      </c>
      <c r="DZ14" s="11">
        <v>3.5030999863780207E-2</v>
      </c>
      <c r="EA14" s="11">
        <v>6.2912684572741601E-2</v>
      </c>
      <c r="EB14" s="11">
        <v>7.8179830700263173E-2</v>
      </c>
      <c r="EC14" s="11">
        <v>6.0793821481329897E-3</v>
      </c>
      <c r="ED14" s="11">
        <v>0.102629709186187</v>
      </c>
      <c r="EE14" s="11">
        <v>-3.3992535180725199E-3</v>
      </c>
      <c r="EF14" s="11">
        <v>2.5525355201881251E-2</v>
      </c>
      <c r="EG14">
        <f t="shared" si="10"/>
        <v>8.3590440375325539</v>
      </c>
      <c r="EH14" s="14">
        <f t="shared" si="11"/>
        <v>6.2190437927840847E-2</v>
      </c>
    </row>
    <row r="15" spans="1:138" x14ac:dyDescent="0.3">
      <c r="A15" s="1">
        <v>100</v>
      </c>
      <c r="B15" s="1">
        <v>10</v>
      </c>
      <c r="C15" s="11">
        <v>0.22764465877785839</v>
      </c>
      <c r="D15" s="11">
        <v>0.37270921560992559</v>
      </c>
      <c r="E15" s="11">
        <v>6.204568011695779E-2</v>
      </c>
      <c r="F15" s="11">
        <v>-3.4921436556697362E-2</v>
      </c>
      <c r="G15" s="11">
        <v>3.4403920967036511E-2</v>
      </c>
      <c r="H15" s="11">
        <v>0.1188437037073593</v>
      </c>
      <c r="I15" s="11">
        <v>5.843144427986554E-2</v>
      </c>
      <c r="J15" s="11">
        <v>4.9961465247389647E-2</v>
      </c>
      <c r="K15" s="11">
        <v>9.4514797591930877E-2</v>
      </c>
      <c r="L15" s="11">
        <v>-1.296708496104035E-2</v>
      </c>
      <c r="M15" s="11">
        <v>-2.1330164362876949E-3</v>
      </c>
      <c r="N15" s="11">
        <v>0.33030933686480701</v>
      </c>
      <c r="O15" s="11">
        <v>-1.227079575915271E-2</v>
      </c>
      <c r="P15" s="11">
        <v>6.4116183021661763E-2</v>
      </c>
      <c r="Q15" s="11">
        <v>0.15553684210781249</v>
      </c>
      <c r="R15" s="11">
        <v>-5.2129690105117463E-2</v>
      </c>
      <c r="S15" s="11">
        <v>0.27000789508215378</v>
      </c>
      <c r="T15" s="11">
        <v>4.589107711718423E-2</v>
      </c>
      <c r="U15" s="11">
        <v>0.1369680616672688</v>
      </c>
      <c r="V15" s="11">
        <v>-1.713185334811276E-2</v>
      </c>
      <c r="W15" s="11">
        <v>0.10693455515793331</v>
      </c>
      <c r="X15" s="11">
        <v>0.2111863273303817</v>
      </c>
      <c r="Y15" s="11">
        <v>-2.0629974365819839E-2</v>
      </c>
      <c r="Z15" s="11">
        <v>4.6719972053358677E-2</v>
      </c>
      <c r="AA15" s="11">
        <v>0.16085038421306441</v>
      </c>
      <c r="AB15" s="11">
        <v>8.370017251583052E-2</v>
      </c>
      <c r="AC15" s="11">
        <v>4.3176688480551298E-3</v>
      </c>
      <c r="AD15" s="11">
        <v>3.9690481127708267E-2</v>
      </c>
      <c r="AE15" s="11">
        <v>0.21179264304727199</v>
      </c>
      <c r="AF15" s="11">
        <v>0.13772628717765439</v>
      </c>
      <c r="AG15" s="11">
        <v>1.012347826165556E-2</v>
      </c>
      <c r="AH15" s="11">
        <v>-3.3604373357676472E-2</v>
      </c>
      <c r="AI15" s="11">
        <v>7.4276960210081885E-2</v>
      </c>
      <c r="AJ15" s="11">
        <v>9.4648599674757375E-3</v>
      </c>
      <c r="AK15" s="11">
        <v>6.1759619658444932E-2</v>
      </c>
      <c r="AL15" s="11">
        <v>-6.8817591114361167E-3</v>
      </c>
      <c r="AM15" s="11">
        <v>5.5122622134627111E-2</v>
      </c>
      <c r="AN15" s="11">
        <v>0.10168870591238351</v>
      </c>
      <c r="AO15" s="11">
        <v>-5.1384520239967417E-2</v>
      </c>
      <c r="AP15" s="11">
        <v>7.8285693892754235E-2</v>
      </c>
      <c r="AQ15" s="11">
        <v>1.9750987228359849E-2</v>
      </c>
      <c r="AR15" s="11">
        <v>-2.4550819698278721E-2</v>
      </c>
      <c r="AS15" s="11">
        <v>-4.8733221354101797E-2</v>
      </c>
      <c r="AT15" s="11">
        <v>7.098981260370496E-2</v>
      </c>
      <c r="AU15" s="11">
        <v>0.16710843106943049</v>
      </c>
      <c r="AV15" s="11">
        <v>3.7297928699110451E-2</v>
      </c>
      <c r="AW15" s="11">
        <v>9.1727472793350737E-2</v>
      </c>
      <c r="AX15" s="11">
        <v>8.1360565954768135E-2</v>
      </c>
      <c r="AY15" s="11">
        <v>2.8017064110032911E-2</v>
      </c>
      <c r="AZ15" s="11">
        <v>3.6847351752602571E-2</v>
      </c>
      <c r="BA15" s="11">
        <v>0.15768794840833861</v>
      </c>
      <c r="BB15" s="11">
        <v>0.1977131495043408</v>
      </c>
      <c r="BC15" s="11">
        <v>-3.0936691622350049E-2</v>
      </c>
      <c r="BD15" s="11">
        <v>7.3629159627057288E-3</v>
      </c>
      <c r="BE15" s="11">
        <v>4.1397970696908107E-2</v>
      </c>
      <c r="BF15" s="11">
        <v>0.2108720874899874</v>
      </c>
      <c r="BG15" s="11">
        <v>0.16605121546459681</v>
      </c>
      <c r="BH15" s="11">
        <v>9.8649046406420665E-2</v>
      </c>
      <c r="BI15" s="11">
        <v>6.8586659114969639E-2</v>
      </c>
      <c r="BJ15" s="11">
        <v>7.5153898113675566E-2</v>
      </c>
      <c r="BK15" s="11">
        <v>-7.2869418882588896E-2</v>
      </c>
      <c r="BL15" s="11">
        <v>5.9755420974320878E-2</v>
      </c>
      <c r="BM15" s="11">
        <v>4.8219004487744091E-2</v>
      </c>
      <c r="BN15" s="11">
        <v>-6.6054035225581897E-2</v>
      </c>
      <c r="BO15" s="11">
        <v>2.773447595493098E-2</v>
      </c>
      <c r="BP15" s="11">
        <v>-5.1616854472064641E-2</v>
      </c>
      <c r="BQ15" s="11">
        <v>1.280293129032776E-2</v>
      </c>
      <c r="BR15" s="11">
        <v>0.1237621364364551</v>
      </c>
      <c r="BS15" s="11">
        <v>1.1865910908611719E-2</v>
      </c>
      <c r="BT15" s="11">
        <v>3.6633666195559952E-2</v>
      </c>
      <c r="BU15" s="11">
        <v>8.5545733721440226E-2</v>
      </c>
      <c r="BV15" s="11">
        <v>0.1046400442936901</v>
      </c>
      <c r="BW15" s="11">
        <v>0.29887898957592779</v>
      </c>
      <c r="BX15" s="11">
        <v>2.3949431437341431E-2</v>
      </c>
      <c r="BY15" s="11">
        <v>-0.12602357357708691</v>
      </c>
      <c r="BZ15" s="11">
        <v>0.1029064689773473</v>
      </c>
      <c r="CA15" s="11">
        <v>1.859202079644226E-2</v>
      </c>
      <c r="CB15" s="11">
        <v>0.13109140278406139</v>
      </c>
      <c r="CC15" s="11">
        <v>0.17365170572211991</v>
      </c>
      <c r="CD15" s="11">
        <v>0.1201520839630844</v>
      </c>
      <c r="CE15" s="11">
        <v>7.3368120048450503E-2</v>
      </c>
      <c r="CF15" s="11">
        <v>9.435665039342013E-2</v>
      </c>
      <c r="CG15" s="11">
        <v>8.5886021530163809E-2</v>
      </c>
      <c r="CH15" s="11">
        <v>6.2885958283701332E-2</v>
      </c>
      <c r="CI15" s="11">
        <v>3.8798414894980787E-2</v>
      </c>
      <c r="CJ15" s="11">
        <v>4.0671716947061162E-2</v>
      </c>
      <c r="CK15" s="11">
        <v>9.5640748172705348E-2</v>
      </c>
      <c r="CL15" s="11">
        <v>3.1421974993248308E-2</v>
      </c>
      <c r="CM15" s="11">
        <v>0.1081197557129227</v>
      </c>
      <c r="CN15" s="11">
        <v>0.14314981697124041</v>
      </c>
      <c r="CO15" s="11">
        <v>0.17335998923904941</v>
      </c>
      <c r="CP15" s="11">
        <v>0.12753583543294969</v>
      </c>
      <c r="CQ15" s="11">
        <v>-2.49633604564388E-2</v>
      </c>
      <c r="CR15" s="11">
        <v>0.18148893223573509</v>
      </c>
      <c r="CS15" s="11">
        <v>6.4830510990456294E-3</v>
      </c>
      <c r="CT15" s="11">
        <v>3.2216556445051982E-2</v>
      </c>
      <c r="CU15" s="11">
        <v>0.12404993141386809</v>
      </c>
      <c r="CV15" s="11">
        <v>0.18261154771691629</v>
      </c>
      <c r="CW15" s="11">
        <v>2.6072090903126711E-2</v>
      </c>
      <c r="CX15" s="11">
        <v>2.4039607053330959E-2</v>
      </c>
      <c r="CY15" s="11">
        <v>5.5732710824827947E-2</v>
      </c>
      <c r="CZ15" s="11">
        <v>7.9886947944342257E-2</v>
      </c>
      <c r="DA15" s="11">
        <v>8.8862212197355878E-2</v>
      </c>
      <c r="DB15" s="11">
        <v>9.7048241525465193E-2</v>
      </c>
      <c r="DC15" s="11">
        <v>3.5075149974582137E-2</v>
      </c>
      <c r="DD15" s="11">
        <v>1.450672613144627E-2</v>
      </c>
      <c r="DE15" s="11">
        <v>5.7163634731252508E-2</v>
      </c>
      <c r="DF15" s="11">
        <v>0.30272044964278222</v>
      </c>
      <c r="DG15" s="11">
        <v>4.7917484974342339E-2</v>
      </c>
      <c r="DH15" s="11">
        <v>0.1296219356678569</v>
      </c>
      <c r="DI15" s="11">
        <v>4.2811767213113319E-2</v>
      </c>
      <c r="DJ15" s="11">
        <v>6.0023776691057282E-2</v>
      </c>
      <c r="DK15" s="11">
        <v>0.1003289268680829</v>
      </c>
      <c r="DL15" s="11">
        <v>-3.0399320282783332E-4</v>
      </c>
      <c r="DM15" s="11">
        <v>-1.773264737208499E-3</v>
      </c>
      <c r="DN15" s="11">
        <v>4.3996497423619649E-2</v>
      </c>
      <c r="DO15" s="11">
        <v>0.15954541135927219</v>
      </c>
      <c r="DP15" s="11">
        <v>0.1343049473653663</v>
      </c>
      <c r="DQ15" s="11">
        <v>3.7038688952197418E-2</v>
      </c>
      <c r="DR15" s="11">
        <v>7.0010566617938433E-2</v>
      </c>
      <c r="DS15" s="11">
        <v>3.7530143777968331E-2</v>
      </c>
      <c r="DT15" s="11">
        <v>5.271878998906962E-2</v>
      </c>
      <c r="DU15" s="11">
        <v>0.1171276535106479</v>
      </c>
      <c r="DV15" s="11">
        <v>0.13976835694087139</v>
      </c>
      <c r="DW15" s="11">
        <v>-6.0826326337380818E-2</v>
      </c>
      <c r="DX15" s="11">
        <v>0.1186162506499864</v>
      </c>
      <c r="DY15" s="11">
        <v>0.14360957438078251</v>
      </c>
      <c r="DZ15" s="11">
        <v>4.0455653304009277E-2</v>
      </c>
      <c r="EA15" s="11">
        <v>4.3451220280325303E-2</v>
      </c>
      <c r="EB15" s="11">
        <v>8.8087449527254891E-2</v>
      </c>
      <c r="EC15" s="11">
        <v>6.6081856047946447E-2</v>
      </c>
      <c r="ED15" s="11">
        <v>0.1133570559353114</v>
      </c>
      <c r="EE15" s="11">
        <v>3.1907205015268242E-3</v>
      </c>
      <c r="EF15" s="11">
        <v>2.964605507200602E-2</v>
      </c>
      <c r="EG15">
        <f t="shared" si="10"/>
        <v>9.8014681582629599</v>
      </c>
      <c r="EH15" s="12">
        <f t="shared" si="11"/>
        <v>7.2924045546201161E-2</v>
      </c>
    </row>
    <row r="16" spans="1:138" x14ac:dyDescent="0.3">
      <c r="A16" s="1">
        <v>107</v>
      </c>
      <c r="B16" s="1">
        <v>9</v>
      </c>
      <c r="C16" s="11">
        <v>0.20787477708292909</v>
      </c>
      <c r="D16" s="11">
        <v>0.40819497873258059</v>
      </c>
      <c r="E16" s="11">
        <v>6.500657711132822E-2</v>
      </c>
      <c r="F16" s="11">
        <v>-7.871547190433098E-2</v>
      </c>
      <c r="G16" s="11">
        <v>8.1465506589492725E-3</v>
      </c>
      <c r="H16" s="11">
        <v>7.2848056287647484E-2</v>
      </c>
      <c r="I16" s="11">
        <v>5.7530618665621432E-2</v>
      </c>
      <c r="J16" s="11">
        <v>4.6709926042666168E-2</v>
      </c>
      <c r="K16" s="11">
        <v>8.642089158239058E-2</v>
      </c>
      <c r="L16" s="11">
        <v>-3.1027150965473069E-2</v>
      </c>
      <c r="M16" s="11">
        <v>-1.3987435861917089E-2</v>
      </c>
      <c r="N16" s="11">
        <v>0.36698760912258638</v>
      </c>
      <c r="O16" s="11">
        <v>-2.8587076878979191E-2</v>
      </c>
      <c r="P16" s="11">
        <v>6.1045231791422308E-2</v>
      </c>
      <c r="Q16" s="11">
        <v>0.15790307042433799</v>
      </c>
      <c r="R16" s="11">
        <v>-4.899097828292652E-2</v>
      </c>
      <c r="S16" s="11">
        <v>0.28706302039879478</v>
      </c>
      <c r="T16" s="11">
        <v>3.8406673293611998E-2</v>
      </c>
      <c r="U16" s="11">
        <v>0.1300624714297445</v>
      </c>
      <c r="V16" s="11">
        <v>-6.0221453329656824E-3</v>
      </c>
      <c r="W16" s="11">
        <v>7.8373488027637842E-2</v>
      </c>
      <c r="X16" s="11">
        <v>0.24053196162716611</v>
      </c>
      <c r="Y16" s="11">
        <v>-2.0180588419635579E-2</v>
      </c>
      <c r="Z16" s="11">
        <v>4.3057930884211712E-2</v>
      </c>
      <c r="AA16" s="11">
        <v>0.16615889129731709</v>
      </c>
      <c r="AB16" s="11">
        <v>7.4985041637980393E-2</v>
      </c>
      <c r="AC16" s="11">
        <v>-1.27654480354167E-2</v>
      </c>
      <c r="AD16" s="11">
        <v>3.481117185725148E-2</v>
      </c>
      <c r="AE16" s="11">
        <v>0.20962824117691051</v>
      </c>
      <c r="AF16" s="11">
        <v>0.14791561026442651</v>
      </c>
      <c r="AG16" s="11">
        <v>1.32907530365354E-2</v>
      </c>
      <c r="AH16" s="11">
        <v>-3.1765400449440553E-2</v>
      </c>
      <c r="AI16" s="11">
        <v>9.0522649217154846E-2</v>
      </c>
      <c r="AJ16" s="11">
        <v>-7.0259660718760518E-3</v>
      </c>
      <c r="AK16" s="11">
        <v>6.4421400832372078E-2</v>
      </c>
      <c r="AL16" s="11">
        <v>-1.4472511517458609E-2</v>
      </c>
      <c r="AM16" s="11">
        <v>6.6076730601797973E-2</v>
      </c>
      <c r="AN16" s="11">
        <v>0.1064562000896756</v>
      </c>
      <c r="AO16" s="11">
        <v>-4.1090153361741252E-2</v>
      </c>
      <c r="AP16" s="11">
        <v>7.779836814558852E-2</v>
      </c>
      <c r="AQ16" s="11">
        <v>2.4036053854552351E-2</v>
      </c>
      <c r="AR16" s="11">
        <v>-3.2492759720063692E-2</v>
      </c>
      <c r="AS16" s="11">
        <v>-5.2642718238233757E-2</v>
      </c>
      <c r="AT16" s="11">
        <v>0.1225640433502848</v>
      </c>
      <c r="AU16" s="11">
        <v>0.17023588881714</v>
      </c>
      <c r="AV16" s="11">
        <v>5.2080835436737513E-2</v>
      </c>
      <c r="AW16" s="11">
        <v>0.10898493864152869</v>
      </c>
      <c r="AX16" s="11">
        <v>0.1006213291014028</v>
      </c>
      <c r="AY16" s="11">
        <v>3.3812589844345937E-2</v>
      </c>
      <c r="AZ16" s="11">
        <v>4.6826876003376768E-2</v>
      </c>
      <c r="BA16" s="11">
        <v>0.15999070017462089</v>
      </c>
      <c r="BB16" s="11">
        <v>0.22547356307573951</v>
      </c>
      <c r="BC16" s="11">
        <v>-3.8999391922231702E-2</v>
      </c>
      <c r="BD16" s="11">
        <v>6.2821844248834016E-3</v>
      </c>
      <c r="BE16" s="11">
        <v>6.1197643926459287E-2</v>
      </c>
      <c r="BF16" s="11">
        <v>0.24778685910046011</v>
      </c>
      <c r="BG16" s="11">
        <v>0.16122956958435061</v>
      </c>
      <c r="BH16" s="11">
        <v>9.6162034507733696E-2</v>
      </c>
      <c r="BI16" s="11">
        <v>4.1443807763261883E-2</v>
      </c>
      <c r="BJ16" s="11">
        <v>8.1428118775973987E-2</v>
      </c>
      <c r="BK16" s="11">
        <v>-0.1047732029205687</v>
      </c>
      <c r="BL16" s="11">
        <v>6.1173599484470167E-2</v>
      </c>
      <c r="BM16" s="11">
        <v>3.9497985491106162E-2</v>
      </c>
      <c r="BN16" s="11">
        <v>-6.7197970404689056E-2</v>
      </c>
      <c r="BO16" s="11">
        <v>2.1890359953657689E-2</v>
      </c>
      <c r="BP16" s="11">
        <v>-5.7750060680455823E-2</v>
      </c>
      <c r="BQ16" s="11">
        <v>1.6478016254928601E-2</v>
      </c>
      <c r="BR16" s="11">
        <v>0.13058296822502161</v>
      </c>
      <c r="BS16" s="11">
        <v>3.2006987192883168E-2</v>
      </c>
      <c r="BT16" s="11">
        <v>3.8066078212245447E-2</v>
      </c>
      <c r="BU16" s="11">
        <v>0.1015365742283048</v>
      </c>
      <c r="BV16" s="11">
        <v>3.658563792374666E-2</v>
      </c>
      <c r="BW16" s="11">
        <v>0.31797083453836722</v>
      </c>
      <c r="BX16" s="11">
        <v>2.4078271829347249E-2</v>
      </c>
      <c r="BY16" s="11">
        <v>-0.13255840925737919</v>
      </c>
      <c r="BZ16" s="11">
        <v>0.11152584850164921</v>
      </c>
      <c r="CA16" s="11">
        <v>2.971438975556321E-2</v>
      </c>
      <c r="CB16" s="11">
        <v>0.13930873593333401</v>
      </c>
      <c r="CC16" s="11">
        <v>4.4388153170205821E-2</v>
      </c>
      <c r="CD16" s="11">
        <v>0.15507127162636181</v>
      </c>
      <c r="CE16" s="11">
        <v>9.3614230467915741E-2</v>
      </c>
      <c r="CF16" s="11">
        <v>0.10520126400975099</v>
      </c>
      <c r="CG16" s="11">
        <v>6.1727878146666561E-2</v>
      </c>
      <c r="CH16" s="11">
        <v>4.1697414703027062E-2</v>
      </c>
      <c r="CI16" s="11">
        <v>3.8709881828517527E-2</v>
      </c>
      <c r="CJ16" s="11">
        <v>2.970338549376331E-2</v>
      </c>
      <c r="CK16" s="11">
        <v>8.8422689781607638E-2</v>
      </c>
      <c r="CL16" s="11">
        <v>1.5878682334709331E-2</v>
      </c>
      <c r="CM16" s="11">
        <v>0.11305583839137461</v>
      </c>
      <c r="CN16" s="11">
        <v>0.16035991631652741</v>
      </c>
      <c r="CO16" s="11">
        <v>0.20954751845975189</v>
      </c>
      <c r="CP16" s="11">
        <v>0.13663168948209131</v>
      </c>
      <c r="CQ16" s="11">
        <v>-2.0333779820360921E-2</v>
      </c>
      <c r="CR16" s="11">
        <v>0.1892865334673984</v>
      </c>
      <c r="CS16" s="11">
        <v>4.0852187594743329E-2</v>
      </c>
      <c r="CT16" s="11">
        <v>4.890352583142879E-2</v>
      </c>
      <c r="CU16" s="11">
        <v>0.1354717008642061</v>
      </c>
      <c r="CV16" s="11">
        <v>0.17225152263848631</v>
      </c>
      <c r="CW16" s="11">
        <v>4.7341659174279828E-2</v>
      </c>
      <c r="CX16" s="11">
        <v>1.224028475424996E-2</v>
      </c>
      <c r="CY16" s="11">
        <v>5.8554306171252721E-2</v>
      </c>
      <c r="CZ16" s="11">
        <v>0.1026332591781325</v>
      </c>
      <c r="DA16" s="11">
        <v>0.1181813303624494</v>
      </c>
      <c r="DB16" s="11">
        <v>9.8017282885796683E-2</v>
      </c>
      <c r="DC16" s="11">
        <v>4.2942362320500277E-2</v>
      </c>
      <c r="DD16" s="11">
        <v>3.1743710487280023E-2</v>
      </c>
      <c r="DE16" s="11">
        <v>3.4552400358790022E-2</v>
      </c>
      <c r="DF16" s="11">
        <v>0.32557955091715263</v>
      </c>
      <c r="DG16" s="11">
        <v>4.5676915028892429E-2</v>
      </c>
      <c r="DH16" s="11">
        <v>0.13714776041250831</v>
      </c>
      <c r="DI16" s="11">
        <v>4.7829607716987632E-2</v>
      </c>
      <c r="DJ16" s="11">
        <v>7.0955052436885546E-2</v>
      </c>
      <c r="DK16" s="11">
        <v>9.6254624799197414E-2</v>
      </c>
      <c r="DL16" s="11">
        <v>-2.187287424977424E-2</v>
      </c>
      <c r="DM16" s="11">
        <v>-3.8134995560551693E-2</v>
      </c>
      <c r="DN16" s="11">
        <v>4.2437853359407113E-2</v>
      </c>
      <c r="DO16" s="11">
        <v>0.16959094638807429</v>
      </c>
      <c r="DP16" s="11">
        <v>0.16033399447581251</v>
      </c>
      <c r="DQ16" s="11">
        <v>4.7070156004531787E-2</v>
      </c>
      <c r="DR16" s="11">
        <v>5.5191251649515209E-2</v>
      </c>
      <c r="DS16" s="11">
        <v>2.144067271249302E-2</v>
      </c>
      <c r="DT16" s="11">
        <v>5.9112975078185963E-2</v>
      </c>
      <c r="DU16" s="11">
        <v>0.1227720465229642</v>
      </c>
      <c r="DV16" s="11">
        <v>0.13695373201779351</v>
      </c>
      <c r="DW16" s="11">
        <v>-7.1302574123356402E-2</v>
      </c>
      <c r="DX16" s="11">
        <v>0.1252847063239774</v>
      </c>
      <c r="DY16" s="11">
        <v>0.15757213273537249</v>
      </c>
      <c r="DZ16" s="11">
        <v>5.8810748191046001E-2</v>
      </c>
      <c r="EA16" s="11">
        <v>4.205152402439738E-4</v>
      </c>
      <c r="EB16" s="11">
        <v>0.1006791006772017</v>
      </c>
      <c r="EC16" s="11">
        <v>6.3532066634569728E-2</v>
      </c>
      <c r="ED16" s="11">
        <v>0.1154167474989211</v>
      </c>
      <c r="EE16" s="11">
        <v>4.3966753067597054E-3</v>
      </c>
      <c r="EF16" s="11">
        <v>3.455063597997958E-2</v>
      </c>
      <c r="EG16">
        <f t="shared" si="10"/>
        <v>9.9021054996580258</v>
      </c>
      <c r="EH16" s="14">
        <f t="shared" si="11"/>
        <v>7.3638469131925718E-2</v>
      </c>
    </row>
    <row r="17" spans="1:138" x14ac:dyDescent="0.3">
      <c r="A17" s="1">
        <v>120</v>
      </c>
      <c r="B17" s="1">
        <v>8</v>
      </c>
      <c r="C17" s="11">
        <v>0.2060921883792059</v>
      </c>
      <c r="D17" s="11">
        <v>0.43958848862462141</v>
      </c>
      <c r="E17" s="11">
        <v>7.9589849390753017E-2</v>
      </c>
      <c r="F17" s="11">
        <v>-8.0752164152319103E-2</v>
      </c>
      <c r="G17" s="11">
        <v>0.10538707466373071</v>
      </c>
      <c r="H17" s="11">
        <v>0.104994053627741</v>
      </c>
      <c r="I17" s="11">
        <v>0.1137250278021875</v>
      </c>
      <c r="J17" s="11">
        <v>4.1858395118229183E-2</v>
      </c>
      <c r="K17" s="11">
        <v>0.1015600797223099</v>
      </c>
      <c r="L17" s="11">
        <v>-3.3775929538638137E-2</v>
      </c>
      <c r="M17" s="11">
        <v>1.4659142090288421E-2</v>
      </c>
      <c r="N17" s="11">
        <v>0.40510800893946219</v>
      </c>
      <c r="O17" s="11">
        <v>-1.1306676064132231E-2</v>
      </c>
      <c r="P17" s="11">
        <v>6.6339369138831011E-2</v>
      </c>
      <c r="Q17" s="11">
        <v>0.16180129461512691</v>
      </c>
      <c r="R17" s="11">
        <v>-5.2057608904527208E-2</v>
      </c>
      <c r="S17" s="11">
        <v>0.31065343265529821</v>
      </c>
      <c r="T17" s="11">
        <v>2.3342585510940761E-2</v>
      </c>
      <c r="U17" s="11">
        <v>0.14127114253855691</v>
      </c>
      <c r="V17" s="11">
        <v>4.0111898296984957E-3</v>
      </c>
      <c r="W17" s="11">
        <v>7.9141988802017282E-2</v>
      </c>
      <c r="X17" s="11">
        <v>0.2379894313203148</v>
      </c>
      <c r="Y17" s="11">
        <v>-2.2928011062654879E-2</v>
      </c>
      <c r="Z17" s="11">
        <v>5.3868489290865788E-2</v>
      </c>
      <c r="AA17" s="11">
        <v>0.19128343691540939</v>
      </c>
      <c r="AB17" s="11">
        <v>8.4852062878172319E-2</v>
      </c>
      <c r="AC17" s="11">
        <v>-2.008625473802152E-2</v>
      </c>
      <c r="AD17" s="11">
        <v>6.8619823236846789E-2</v>
      </c>
      <c r="AE17" s="11">
        <v>0.22212270442845089</v>
      </c>
      <c r="AF17" s="11">
        <v>0.1202863246558465</v>
      </c>
      <c r="AG17" s="11">
        <v>2.2740980787790199E-2</v>
      </c>
      <c r="AH17" s="11">
        <v>-3.5472619172888853E-2</v>
      </c>
      <c r="AI17" s="11">
        <v>0.11486444539828659</v>
      </c>
      <c r="AJ17" s="11">
        <v>-4.2602630518956887E-2</v>
      </c>
      <c r="AK17" s="11">
        <v>7.3716274739036441E-2</v>
      </c>
      <c r="AL17" s="11">
        <v>-9.9837333349987543E-3</v>
      </c>
      <c r="AM17" s="11">
        <v>7.5369367587656971E-2</v>
      </c>
      <c r="AN17" s="11">
        <v>0.1132871203459177</v>
      </c>
      <c r="AO17" s="11">
        <v>-7.6694527622622979E-2</v>
      </c>
      <c r="AP17" s="11">
        <v>7.7242814419585484E-2</v>
      </c>
      <c r="AQ17" s="11">
        <v>9.2339934757894385E-3</v>
      </c>
      <c r="AR17" s="11">
        <v>-3.4997281035057427E-2</v>
      </c>
      <c r="AS17" s="11">
        <v>-5.8802956944234333E-2</v>
      </c>
      <c r="AT17" s="11">
        <v>0.1270717931072517</v>
      </c>
      <c r="AU17" s="11">
        <v>0.17756202574817151</v>
      </c>
      <c r="AV17" s="11">
        <v>5.8529449334631382E-2</v>
      </c>
      <c r="AW17" s="11">
        <v>7.6189610229816601E-2</v>
      </c>
      <c r="AX17" s="11">
        <v>9.7619105117607935E-2</v>
      </c>
      <c r="AY17" s="11">
        <v>2.742369669060089E-2</v>
      </c>
      <c r="AZ17" s="11">
        <v>4.798043380917294E-2</v>
      </c>
      <c r="BA17" s="11">
        <v>0.1628064098097628</v>
      </c>
      <c r="BB17" s="11">
        <v>0.2304420449478701</v>
      </c>
      <c r="BC17" s="11">
        <v>-2.729282438048998E-2</v>
      </c>
      <c r="BD17" s="11">
        <v>1.9411871892876801E-2</v>
      </c>
      <c r="BE17" s="11">
        <v>4.4110253344838493E-2</v>
      </c>
      <c r="BF17" s="11">
        <v>0.14777683028015831</v>
      </c>
      <c r="BG17" s="11">
        <v>0.18575157813088089</v>
      </c>
      <c r="BH17" s="11">
        <v>0.1331911133253291</v>
      </c>
      <c r="BI17" s="11">
        <v>8.7111945439947241E-2</v>
      </c>
      <c r="BJ17" s="11">
        <v>8.9191477556659224E-2</v>
      </c>
      <c r="BK17" s="11">
        <v>-0.11481579199951759</v>
      </c>
      <c r="BL17" s="11">
        <v>3.4152447324294427E-2</v>
      </c>
      <c r="BM17" s="11">
        <v>2.905901115235426E-2</v>
      </c>
      <c r="BN17" s="11">
        <v>-7.3656767936365913E-2</v>
      </c>
      <c r="BO17" s="11">
        <v>3.5179615416723611E-2</v>
      </c>
      <c r="BP17" s="11">
        <v>-6.0638146909917152E-2</v>
      </c>
      <c r="BQ17" s="11">
        <v>1.1376510446451601E-2</v>
      </c>
      <c r="BR17" s="11">
        <v>0.1150223530257518</v>
      </c>
      <c r="BS17" s="11">
        <v>2.0906018213695501E-2</v>
      </c>
      <c r="BT17" s="11">
        <v>3.3647573246358371E-2</v>
      </c>
      <c r="BU17" s="11">
        <v>0.1045242995328607</v>
      </c>
      <c r="BV17" s="11">
        <v>3.8240956502194168E-2</v>
      </c>
      <c r="BW17" s="11">
        <v>0.2083368255173885</v>
      </c>
      <c r="BX17" s="11">
        <v>7.0957898414668631E-3</v>
      </c>
      <c r="BY17" s="11">
        <v>-0.14247737512646691</v>
      </c>
      <c r="BZ17" s="11">
        <v>0.12057815588108529</v>
      </c>
      <c r="CA17" s="11">
        <v>2.7934832358489561E-2</v>
      </c>
      <c r="CB17" s="11">
        <v>0.1496331576928896</v>
      </c>
      <c r="CC17" s="11">
        <v>4.1760252474235628E-2</v>
      </c>
      <c r="CD17" s="11">
        <v>0.17295974121914859</v>
      </c>
      <c r="CE17" s="11">
        <v>9.5708073661495086E-2</v>
      </c>
      <c r="CF17" s="11">
        <v>9.8746197426198501E-2</v>
      </c>
      <c r="CG17" s="11">
        <v>7.4714988628731105E-2</v>
      </c>
      <c r="CH17" s="11">
        <v>5.8636446607050002E-2</v>
      </c>
      <c r="CI17" s="11">
        <v>1.4531184989588509E-2</v>
      </c>
      <c r="CJ17" s="11">
        <v>2.0950827481348411E-2</v>
      </c>
      <c r="CK17" s="11">
        <v>8.3955848259630761E-2</v>
      </c>
      <c r="CL17" s="11">
        <v>-9.426344769031314E-3</v>
      </c>
      <c r="CM17" s="11">
        <v>9.5493870816553639E-2</v>
      </c>
      <c r="CN17" s="11">
        <v>0.1765312785813869</v>
      </c>
      <c r="CO17" s="11">
        <v>0.19808041988978861</v>
      </c>
      <c r="CP17" s="11">
        <v>0.1481592691973436</v>
      </c>
      <c r="CQ17" s="11">
        <v>5.1907103341726511E-2</v>
      </c>
      <c r="CR17" s="11">
        <v>0.19640263176228931</v>
      </c>
      <c r="CS17" s="11">
        <v>3.1345818395718227E-2</v>
      </c>
      <c r="CT17" s="11">
        <v>5.8653796602614071E-2</v>
      </c>
      <c r="CU17" s="11">
        <v>0.15535189279975939</v>
      </c>
      <c r="CV17" s="11">
        <v>0.15147138486135439</v>
      </c>
      <c r="CW17" s="11">
        <v>6.3393218804487977E-2</v>
      </c>
      <c r="CX17" s="11">
        <v>1.0772394523947831E-2</v>
      </c>
      <c r="CY17" s="11">
        <v>5.9497951859822741E-2</v>
      </c>
      <c r="CZ17" s="11">
        <v>0.1242488378476205</v>
      </c>
      <c r="DA17" s="11">
        <v>9.4496399219490587E-2</v>
      </c>
      <c r="DB17" s="11">
        <v>0.1042716259030833</v>
      </c>
      <c r="DC17" s="11">
        <v>4.3363468977499313E-2</v>
      </c>
      <c r="DD17" s="11">
        <v>2.9155420882880739E-2</v>
      </c>
      <c r="DE17" s="11">
        <v>2.4124863346722019E-2</v>
      </c>
      <c r="DF17" s="11">
        <v>0.35222555427147212</v>
      </c>
      <c r="DG17" s="11">
        <v>4.7210988428523781E-2</v>
      </c>
      <c r="DH17" s="11">
        <v>0.163431801211989</v>
      </c>
      <c r="DI17" s="11">
        <v>7.0182390070728226E-2</v>
      </c>
      <c r="DJ17" s="11">
        <v>0.12892505978600949</v>
      </c>
      <c r="DK17" s="11">
        <v>0.1027812687483064</v>
      </c>
      <c r="DL17" s="11">
        <v>-3.929731691128693E-3</v>
      </c>
      <c r="DM17" s="11">
        <v>-4.2563608711752209E-2</v>
      </c>
      <c r="DN17" s="11">
        <v>3.5489032714339008E-2</v>
      </c>
      <c r="DO17" s="11">
        <v>0.17976292609872879</v>
      </c>
      <c r="DP17" s="11">
        <v>0.14203415825063481</v>
      </c>
      <c r="DQ17" s="11">
        <v>7.2654005106024863E-2</v>
      </c>
      <c r="DR17" s="11">
        <v>5.5884814876328279E-2</v>
      </c>
      <c r="DS17" s="11">
        <v>3.7354088755102308E-2</v>
      </c>
      <c r="DT17" s="11">
        <v>5.9811935234976271E-2</v>
      </c>
      <c r="DU17" s="11">
        <v>0.12949295631998961</v>
      </c>
      <c r="DV17" s="11">
        <v>0.11776539811095429</v>
      </c>
      <c r="DW17" s="11">
        <v>-7.659891303599646E-2</v>
      </c>
      <c r="DX17" s="11">
        <v>0.12953898259647401</v>
      </c>
      <c r="DY17" s="11">
        <v>0.10728289560185179</v>
      </c>
      <c r="DZ17" s="11">
        <v>4.9212629169808252E-2</v>
      </c>
      <c r="EA17" s="11">
        <v>-4.6325242167246112E-3</v>
      </c>
      <c r="EB17" s="11">
        <v>0.1072853267537575</v>
      </c>
      <c r="EC17" s="11">
        <v>1.6425217216060651E-2</v>
      </c>
      <c r="ED17" s="11">
        <v>0.12832444392891271</v>
      </c>
      <c r="EE17" s="11">
        <v>-1.9352114607941879E-4</v>
      </c>
      <c r="EF17" s="11">
        <v>4.0987205423901073E-2</v>
      </c>
      <c r="EG17">
        <f t="shared" si="10"/>
        <v>10.229520109870409</v>
      </c>
      <c r="EH17" s="14">
        <f t="shared" si="11"/>
        <v>7.6033827645123189E-2</v>
      </c>
    </row>
    <row r="18" spans="1:138" x14ac:dyDescent="0.3">
      <c r="A18" s="1">
        <v>137</v>
      </c>
      <c r="B18" s="1">
        <v>7</v>
      </c>
      <c r="C18" s="11">
        <v>0.18975112249235829</v>
      </c>
      <c r="D18" s="11">
        <v>0.40188368142206798</v>
      </c>
      <c r="E18" s="11">
        <v>5.3439350267724013E-2</v>
      </c>
      <c r="F18" s="11">
        <v>-0.11938296010218979</v>
      </c>
      <c r="G18" s="11">
        <v>0.10831637328507999</v>
      </c>
      <c r="H18" s="11">
        <v>0.12853956177457129</v>
      </c>
      <c r="I18" s="11">
        <v>0.13550018022324109</v>
      </c>
      <c r="J18" s="11">
        <v>4.3411515751641608E-2</v>
      </c>
      <c r="K18" s="11">
        <v>0.13564788877763229</v>
      </c>
      <c r="L18" s="11">
        <v>-4.6672720340673143E-2</v>
      </c>
      <c r="M18" s="11">
        <v>2.9051464376457319E-2</v>
      </c>
      <c r="N18" s="11">
        <v>0.46182001807061318</v>
      </c>
      <c r="O18" s="11">
        <v>3.1737941097498189E-2</v>
      </c>
      <c r="P18" s="11">
        <v>8.2552611569947768E-2</v>
      </c>
      <c r="Q18" s="11">
        <v>0.18897541868948989</v>
      </c>
      <c r="R18" s="11">
        <v>-6.149223787197499E-2</v>
      </c>
      <c r="S18" s="11">
        <v>0.3837326289318943</v>
      </c>
      <c r="T18" s="11">
        <v>5.2309697550730873E-2</v>
      </c>
      <c r="U18" s="11">
        <v>0.132495024429819</v>
      </c>
      <c r="V18" s="11">
        <v>1.2895135069850801E-2</v>
      </c>
      <c r="W18" s="11">
        <v>7.7296280059738612E-2</v>
      </c>
      <c r="X18" s="11">
        <v>0.21512105739995169</v>
      </c>
      <c r="Y18" s="11">
        <v>-1.923233435743554E-2</v>
      </c>
      <c r="Z18" s="11">
        <v>8.9234363440522865E-2</v>
      </c>
      <c r="AA18" s="11">
        <v>0.17257065753452869</v>
      </c>
      <c r="AB18" s="11">
        <v>8.4698299730484178E-2</v>
      </c>
      <c r="AC18" s="11">
        <v>1.3654204768322529E-3</v>
      </c>
      <c r="AD18" s="11">
        <v>9.6285845185419314E-2</v>
      </c>
      <c r="AE18" s="11">
        <v>0.25839134891520849</v>
      </c>
      <c r="AF18" s="11">
        <v>0.1505436398240734</v>
      </c>
      <c r="AG18" s="11">
        <v>3.2493116097876071E-2</v>
      </c>
      <c r="AH18" s="11">
        <v>-4.0197460968514703E-2</v>
      </c>
      <c r="AI18" s="11">
        <v>0.1180857345580002</v>
      </c>
      <c r="AJ18" s="11">
        <v>-4.7393756166449127E-2</v>
      </c>
      <c r="AK18" s="11">
        <v>3.0152480597625989E-2</v>
      </c>
      <c r="AL18" s="11">
        <v>-8.5555505437218517E-4</v>
      </c>
      <c r="AM18" s="11">
        <v>6.6643405424771207E-2</v>
      </c>
      <c r="AN18" s="11">
        <v>7.9294639955201793E-2</v>
      </c>
      <c r="AO18" s="11">
        <v>2.4584280444806969E-2</v>
      </c>
      <c r="AP18" s="11">
        <v>7.8278591933806971E-2</v>
      </c>
      <c r="AQ18" s="11">
        <v>-1.6785141569115699E-2</v>
      </c>
      <c r="AR18" s="11">
        <v>-6.1694523600781571E-2</v>
      </c>
      <c r="AS18" s="11">
        <v>-8.3253127889185943E-2</v>
      </c>
      <c r="AT18" s="11">
        <v>0.16638580942405889</v>
      </c>
      <c r="AU18" s="11">
        <v>0.1966597311386786</v>
      </c>
      <c r="AV18" s="11">
        <v>6.0235664706469842E-2</v>
      </c>
      <c r="AW18" s="11">
        <v>9.7766861821235188E-2</v>
      </c>
      <c r="AX18" s="11">
        <v>0.12606433742612741</v>
      </c>
      <c r="AY18" s="11">
        <v>3.4783278641148073E-2</v>
      </c>
      <c r="AZ18" s="11">
        <v>6.6341275737421684E-2</v>
      </c>
      <c r="BA18" s="11">
        <v>0.18047976466954649</v>
      </c>
      <c r="BB18" s="11">
        <v>0.31745742566411261</v>
      </c>
      <c r="BC18" s="11">
        <v>2.7942050701969749E-2</v>
      </c>
      <c r="BD18" s="11">
        <v>2.0275139657027021E-2</v>
      </c>
      <c r="BE18" s="11">
        <v>9.117285285592254E-2</v>
      </c>
      <c r="BF18" s="11">
        <v>0.1649864946960074</v>
      </c>
      <c r="BG18" s="11">
        <v>0.1467139748282886</v>
      </c>
      <c r="BH18" s="11">
        <v>0.1378982651501425</v>
      </c>
      <c r="BI18" s="11">
        <v>0.1090000069186657</v>
      </c>
      <c r="BJ18" s="11">
        <v>9.9531519273147392E-2</v>
      </c>
      <c r="BK18" s="11">
        <v>-7.3455626824005624E-2</v>
      </c>
      <c r="BL18" s="11">
        <v>5.5787880861779937E-2</v>
      </c>
      <c r="BM18" s="11">
        <v>2.8081356373095352E-2</v>
      </c>
      <c r="BN18" s="11">
        <v>-7.8208699482375382E-2</v>
      </c>
      <c r="BO18" s="11">
        <v>2.0227496106374639E-2</v>
      </c>
      <c r="BP18" s="11">
        <v>-6.2463432036451667E-2</v>
      </c>
      <c r="BQ18" s="11">
        <v>1.916784109848992E-3</v>
      </c>
      <c r="BR18" s="11">
        <v>0.1209618178824758</v>
      </c>
      <c r="BS18" s="11">
        <v>3.2873256576031823E-2</v>
      </c>
      <c r="BT18" s="11">
        <v>1.329915077767777E-2</v>
      </c>
      <c r="BU18" s="11">
        <v>0.1114615455291026</v>
      </c>
      <c r="BV18" s="11">
        <v>3.96244261241478E-2</v>
      </c>
      <c r="BW18" s="11">
        <v>0.21837549913098869</v>
      </c>
      <c r="BX18" s="11">
        <v>-1.5811923945792471E-2</v>
      </c>
      <c r="BY18" s="11">
        <v>-8.7465268272101659E-2</v>
      </c>
      <c r="BZ18" s="11">
        <v>0.15331998780259809</v>
      </c>
      <c r="CA18" s="11">
        <v>1.6076543892860819E-2</v>
      </c>
      <c r="CB18" s="11">
        <v>0.1068460604700732</v>
      </c>
      <c r="CC18" s="11">
        <v>0.1046606238416451</v>
      </c>
      <c r="CD18" s="11">
        <v>0.19371681864683071</v>
      </c>
      <c r="CE18" s="11">
        <v>7.7260394878222755E-2</v>
      </c>
      <c r="CF18" s="11">
        <v>7.1817591700374064E-2</v>
      </c>
      <c r="CG18" s="11">
        <v>9.1609255563919342E-2</v>
      </c>
      <c r="CH18" s="11">
        <v>0.16265704668723319</v>
      </c>
      <c r="CI18" s="11">
        <v>3.8869139877689488E-2</v>
      </c>
      <c r="CJ18" s="11">
        <v>-3.772366500397611E-3</v>
      </c>
      <c r="CK18" s="11">
        <v>9.6058031665523097E-2</v>
      </c>
      <c r="CL18" s="11">
        <v>-3.0989545058193121E-2</v>
      </c>
      <c r="CM18" s="11">
        <v>0.1027696116279509</v>
      </c>
      <c r="CN18" s="11">
        <v>0.1209431335415747</v>
      </c>
      <c r="CO18" s="11">
        <v>0.22828208587546131</v>
      </c>
      <c r="CP18" s="11">
        <v>0.16283910894801071</v>
      </c>
      <c r="CQ18" s="11">
        <v>3.8242675594942703E-2</v>
      </c>
      <c r="CR18" s="11">
        <v>0.19372240765220919</v>
      </c>
      <c r="CS18" s="11">
        <v>5.7690648651415453E-2</v>
      </c>
      <c r="CT18" s="11">
        <v>7.6870226772222966E-2</v>
      </c>
      <c r="CU18" s="11">
        <v>0.14456482117613489</v>
      </c>
      <c r="CV18" s="11">
        <v>0.1270222681330069</v>
      </c>
      <c r="CW18" s="11">
        <v>6.6558574498316259E-2</v>
      </c>
      <c r="CX18" s="11">
        <v>6.1560185833778078E-2</v>
      </c>
      <c r="CY18" s="11">
        <v>7.1432458912374111E-2</v>
      </c>
      <c r="CZ18" s="11">
        <v>0.13284286330177139</v>
      </c>
      <c r="DA18" s="11">
        <v>7.8358630907432503E-2</v>
      </c>
      <c r="DB18" s="11">
        <v>0.1181147182852117</v>
      </c>
      <c r="DC18" s="11">
        <v>3.6408781495506221E-2</v>
      </c>
      <c r="DD18" s="11">
        <v>4.1014187319333921E-2</v>
      </c>
      <c r="DE18" s="11">
        <v>3.8420587486450893E-2</v>
      </c>
      <c r="DF18" s="11">
        <v>0.36669200961401482</v>
      </c>
      <c r="DG18" s="11">
        <v>5.4770484126873797E-2</v>
      </c>
      <c r="DH18" s="11">
        <v>0.19240138195914119</v>
      </c>
      <c r="DI18" s="11">
        <v>9.7963127478955317E-2</v>
      </c>
      <c r="DJ18" s="11">
        <v>0.14619607609941229</v>
      </c>
      <c r="DK18" s="11">
        <v>0.1065272620024338</v>
      </c>
      <c r="DL18" s="11">
        <v>-3.830274067592157E-3</v>
      </c>
      <c r="DM18" s="11">
        <v>-5.8457164290175813E-2</v>
      </c>
      <c r="DN18" s="11">
        <v>-1.6722064078021251E-2</v>
      </c>
      <c r="DO18" s="11">
        <v>0.22032021179129849</v>
      </c>
      <c r="DP18" s="11">
        <v>0.13348647227708049</v>
      </c>
      <c r="DQ18" s="11">
        <v>6.5749458183898837E-2</v>
      </c>
      <c r="DR18" s="11">
        <v>7.6840654771961045E-2</v>
      </c>
      <c r="DS18" s="11">
        <v>1.1277982255682851E-2</v>
      </c>
      <c r="DT18" s="11">
        <v>2.2601034841107401E-2</v>
      </c>
      <c r="DU18" s="11">
        <v>0.15871482271667761</v>
      </c>
      <c r="DV18" s="11">
        <v>0.1056406088000619</v>
      </c>
      <c r="DW18" s="11">
        <v>-6.8636949952117263E-2</v>
      </c>
      <c r="DX18" s="11">
        <v>0.1536029774624818</v>
      </c>
      <c r="DY18" s="11">
        <v>0.1368331149382522</v>
      </c>
      <c r="DZ18" s="11">
        <v>5.4630374156582083E-2</v>
      </c>
      <c r="EA18" s="11">
        <v>-4.7382972382447363E-3</v>
      </c>
      <c r="EB18" s="11">
        <v>0.1099643544501954</v>
      </c>
      <c r="EC18" s="11">
        <v>2.764115425371385E-3</v>
      </c>
      <c r="ED18" s="11">
        <v>0.11047802186576559</v>
      </c>
      <c r="EE18" s="11">
        <v>1.111287672357628E-3</v>
      </c>
      <c r="EF18" s="11">
        <v>6.3954333689144396E-2</v>
      </c>
      <c r="EG18">
        <f t="shared" si="10"/>
        <v>11.234960650093626</v>
      </c>
      <c r="EH18" s="14">
        <f t="shared" si="11"/>
        <v>8.3365718779137926E-2</v>
      </c>
    </row>
    <row r="19" spans="1:138" x14ac:dyDescent="0.3">
      <c r="A19" s="1">
        <v>160</v>
      </c>
      <c r="B19" s="1">
        <v>6</v>
      </c>
      <c r="C19" s="11">
        <v>0.19660026531165431</v>
      </c>
      <c r="D19" s="11">
        <v>0.40752071008946927</v>
      </c>
      <c r="E19" s="11">
        <v>6.5814207330017804E-2</v>
      </c>
      <c r="F19" s="11">
        <v>-0.1776886618055605</v>
      </c>
      <c r="G19" s="11">
        <v>9.6065971857177412E-2</v>
      </c>
      <c r="H19" s="11">
        <v>0.17761031882265199</v>
      </c>
      <c r="I19" s="11">
        <v>0.1346543328914665</v>
      </c>
      <c r="J19" s="11">
        <v>3.5429584520191022E-2</v>
      </c>
      <c r="K19" s="11">
        <v>0.23878941472391671</v>
      </c>
      <c r="L19" s="11">
        <v>-3.036283305602917E-2</v>
      </c>
      <c r="M19" s="11">
        <v>-4.3690236156307287E-2</v>
      </c>
      <c r="N19" s="11">
        <v>0.53237403768824121</v>
      </c>
      <c r="O19" s="11">
        <v>3.1561874488915911E-2</v>
      </c>
      <c r="P19" s="11">
        <v>9.2534186186697107E-2</v>
      </c>
      <c r="Q19" s="11">
        <v>0.19716308826451989</v>
      </c>
      <c r="R19" s="11">
        <v>-9.0299090630856282E-2</v>
      </c>
      <c r="S19" s="11">
        <v>0.18416011669760801</v>
      </c>
      <c r="T19" s="11">
        <v>5.1464717245309592E-2</v>
      </c>
      <c r="U19" s="11">
        <v>0.13569833863192321</v>
      </c>
      <c r="V19" s="11">
        <v>3.6618687785451319E-2</v>
      </c>
      <c r="W19" s="11">
        <v>7.2415569319498968E-2</v>
      </c>
      <c r="X19" s="11">
        <v>0.14939987335272731</v>
      </c>
      <c r="Y19" s="11">
        <v>-2.5628637528156511E-2</v>
      </c>
      <c r="Z19" s="11">
        <v>9.1619110576023566E-2</v>
      </c>
      <c r="AA19" s="11">
        <v>0.131832899481091</v>
      </c>
      <c r="AB19" s="11">
        <v>0.10225360588394269</v>
      </c>
      <c r="AC19" s="11">
        <v>1.4141542708609799E-2</v>
      </c>
      <c r="AD19" s="11">
        <v>9.5993377798068158E-2</v>
      </c>
      <c r="AE19" s="11">
        <v>0.30849285792536868</v>
      </c>
      <c r="AF19" s="11">
        <v>0.1688305807080431</v>
      </c>
      <c r="AG19" s="11">
        <v>2.2136219072547821E-2</v>
      </c>
      <c r="AH19" s="11">
        <v>-5.6557715221703553E-2</v>
      </c>
      <c r="AI19" s="11">
        <v>9.1548662924674465E-2</v>
      </c>
      <c r="AJ19" s="11">
        <v>-5.1545290327262273E-2</v>
      </c>
      <c r="AK19" s="11">
        <v>7.5520425059527104E-3</v>
      </c>
      <c r="AL19" s="11">
        <v>-1.136262181352635E-3</v>
      </c>
      <c r="AM19" s="11">
        <v>4.3106011811404943E-2</v>
      </c>
      <c r="AN19" s="11">
        <v>8.3568294365682083E-2</v>
      </c>
      <c r="AO19" s="11">
        <v>5.5890126129114689E-2</v>
      </c>
      <c r="AP19" s="11">
        <v>8.757412027285208E-2</v>
      </c>
      <c r="AQ19" s="11">
        <v>-5.4925492373613188E-2</v>
      </c>
      <c r="AR19" s="11">
        <v>-7.4616897634658869E-2</v>
      </c>
      <c r="AS19" s="11">
        <v>-0.1091988760530663</v>
      </c>
      <c r="AT19" s="11">
        <v>0.18459366381005801</v>
      </c>
      <c r="AU19" s="11">
        <v>0.23884423839901431</v>
      </c>
      <c r="AV19" s="11">
        <v>-3.0326096026080519E-3</v>
      </c>
      <c r="AW19" s="11">
        <v>0.13669339712891271</v>
      </c>
      <c r="AX19" s="11">
        <v>0.2241237953008561</v>
      </c>
      <c r="AY19" s="11">
        <v>2.9528970393379841E-2</v>
      </c>
      <c r="AZ19" s="11">
        <v>8.4032472273639608E-2</v>
      </c>
      <c r="BA19" s="11">
        <v>0.18699677755478061</v>
      </c>
      <c r="BB19" s="11">
        <v>0.36416093179321912</v>
      </c>
      <c r="BC19" s="11">
        <v>0.18457178940642721</v>
      </c>
      <c r="BD19" s="11">
        <v>-7.3706967887407146E-5</v>
      </c>
      <c r="BE19" s="11">
        <v>8.948072176037114E-2</v>
      </c>
      <c r="BF19" s="11">
        <v>0.14180943496374171</v>
      </c>
      <c r="BG19" s="11">
        <v>0.15330875116978829</v>
      </c>
      <c r="BH19" s="11">
        <v>0.14049690595357331</v>
      </c>
      <c r="BI19" s="11">
        <v>0.12779862881921869</v>
      </c>
      <c r="BJ19" s="11">
        <v>5.1819308428669691E-2</v>
      </c>
      <c r="BK19" s="11">
        <v>-9.7038422945385686E-2</v>
      </c>
      <c r="BL19" s="11">
        <v>6.3164533747019302E-2</v>
      </c>
      <c r="BM19" s="11">
        <v>3.1786264869145278E-2</v>
      </c>
      <c r="BN19" s="11">
        <v>-8.141326020016787E-2</v>
      </c>
      <c r="BO19" s="11">
        <v>2.5728961265115379E-2</v>
      </c>
      <c r="BP19" s="11">
        <v>-1.2410341277600779E-2</v>
      </c>
      <c r="BQ19" s="11">
        <v>9.9340444543230683E-3</v>
      </c>
      <c r="BR19" s="11">
        <v>0.1368392355431455</v>
      </c>
      <c r="BS19" s="11">
        <v>-3.4999319396389061E-3</v>
      </c>
      <c r="BT19" s="11">
        <v>-1.3193669203137359E-2</v>
      </c>
      <c r="BU19" s="11">
        <v>0.13067063489138789</v>
      </c>
      <c r="BV19" s="11">
        <v>3.0350791965897218E-2</v>
      </c>
      <c r="BW19" s="11">
        <v>0.30745300680973342</v>
      </c>
      <c r="BX19" s="11">
        <v>-3.6398889558793571E-2</v>
      </c>
      <c r="BY19" s="11">
        <v>-7.9866927068945853E-2</v>
      </c>
      <c r="BZ19" s="11">
        <v>6.8702124822053873E-2</v>
      </c>
      <c r="CA19" s="11">
        <v>2.932875522377449E-2</v>
      </c>
      <c r="CB19" s="11">
        <v>0.12783820910089719</v>
      </c>
      <c r="CC19" s="11">
        <v>2.2506232898517449E-2</v>
      </c>
      <c r="CD19" s="11">
        <v>0.21561919809371791</v>
      </c>
      <c r="CE19" s="11">
        <v>8.8474858937667905E-2</v>
      </c>
      <c r="CF19" s="11">
        <v>7.9904397206049291E-2</v>
      </c>
      <c r="CG19" s="11">
        <v>5.7117624866957151E-2</v>
      </c>
      <c r="CH19" s="11">
        <v>0.1528898670499263</v>
      </c>
      <c r="CI19" s="11">
        <v>3.7066946160195187E-2</v>
      </c>
      <c r="CJ19" s="11">
        <v>-1.1811922761994231E-2</v>
      </c>
      <c r="CK19" s="11">
        <v>0.1187972629573345</v>
      </c>
      <c r="CL19" s="11">
        <v>-4.3240279974789908E-2</v>
      </c>
      <c r="CM19" s="11">
        <v>0.1102358787373677</v>
      </c>
      <c r="CN19" s="11">
        <v>0.14319321046953429</v>
      </c>
      <c r="CO19" s="11">
        <v>0.25123563122031478</v>
      </c>
      <c r="CP19" s="11">
        <v>0.15903259898233271</v>
      </c>
      <c r="CQ19" s="11">
        <v>3.2394607516418629E-2</v>
      </c>
      <c r="CR19" s="11">
        <v>0.17630672424619201</v>
      </c>
      <c r="CS19" s="11">
        <v>5.4250449548333517E-2</v>
      </c>
      <c r="CT19" s="11">
        <v>2.6421201288258939E-2</v>
      </c>
      <c r="CU19" s="11">
        <v>0.146607543260939</v>
      </c>
      <c r="CV19" s="11">
        <v>9.4553007971378916E-2</v>
      </c>
      <c r="CW19" s="11">
        <v>6.0515878573037342E-2</v>
      </c>
      <c r="CX19" s="11">
        <v>5.7634726368184938E-2</v>
      </c>
      <c r="CY19" s="11">
        <v>7.3151337307962833E-2</v>
      </c>
      <c r="CZ19" s="11">
        <v>0.11285182864146399</v>
      </c>
      <c r="DA19" s="11">
        <v>7.5182477103680007E-2</v>
      </c>
      <c r="DB19" s="11">
        <v>0.14796184676961621</v>
      </c>
      <c r="DC19" s="11">
        <v>-3.5179399902094073E-2</v>
      </c>
      <c r="DD19" s="11">
        <v>6.2011252548289514E-3</v>
      </c>
      <c r="DE19" s="11">
        <v>3.3018414655792E-2</v>
      </c>
      <c r="DF19" s="11">
        <v>0.20550174559429629</v>
      </c>
      <c r="DG19" s="11">
        <v>6.6374264994436313E-2</v>
      </c>
      <c r="DH19" s="11">
        <v>0.22458978071948801</v>
      </c>
      <c r="DI19" s="11">
        <v>0.1084614388347602</v>
      </c>
      <c r="DJ19" s="11">
        <v>0.16525046895907189</v>
      </c>
      <c r="DK19" s="11">
        <v>0.1214423095104508</v>
      </c>
      <c r="DL19" s="11">
        <v>-1.198278590897381E-2</v>
      </c>
      <c r="DM19" s="11">
        <v>-5.7300431238330417E-2</v>
      </c>
      <c r="DN19" s="11">
        <v>2.4751230976385011E-3</v>
      </c>
      <c r="DO19" s="11">
        <v>0.2492619517097443</v>
      </c>
      <c r="DP19" s="11">
        <v>0.17026813067996199</v>
      </c>
      <c r="DQ19" s="11">
        <v>8.0374171838075048E-2</v>
      </c>
      <c r="DR19" s="11">
        <v>7.5962353325048193E-2</v>
      </c>
      <c r="DS19" s="11">
        <v>-5.6773135189909819E-3</v>
      </c>
      <c r="DT19" s="11">
        <v>5.0332465201051654E-3</v>
      </c>
      <c r="DU19" s="11">
        <v>0.15058192195631251</v>
      </c>
      <c r="DV19" s="11">
        <v>0.1115247064406045</v>
      </c>
      <c r="DW19" s="11">
        <v>-0.1012959689486648</v>
      </c>
      <c r="DX19" s="11">
        <v>0.1383651342381777</v>
      </c>
      <c r="DY19" s="11">
        <v>0.1392486786855984</v>
      </c>
      <c r="DZ19" s="11">
        <v>7.8537947622533175E-2</v>
      </c>
      <c r="EA19" s="11">
        <v>3.2919727195015271E-2</v>
      </c>
      <c r="EB19" s="11">
        <v>0.1087535096382525</v>
      </c>
      <c r="EC19" s="11">
        <v>-1.2190043223702179E-2</v>
      </c>
      <c r="ED19" s="11">
        <v>0.15093531699015689</v>
      </c>
      <c r="EE19" s="11">
        <v>-7.3065266771277096E-3</v>
      </c>
      <c r="EF19" s="11">
        <v>7.402291939750516E-2</v>
      </c>
      <c r="EG19">
        <f t="shared" si="10"/>
        <v>11.104918397364791</v>
      </c>
      <c r="EH19" s="12">
        <f t="shared" si="11"/>
        <v>8.2320115507218558E-2</v>
      </c>
    </row>
    <row r="20" spans="1:138" x14ac:dyDescent="0.3">
      <c r="A20" s="1">
        <v>192</v>
      </c>
      <c r="B20" s="1">
        <v>5</v>
      </c>
      <c r="C20" s="11">
        <v>0.2015510478639157</v>
      </c>
      <c r="D20" s="11">
        <v>0.38202502004734989</v>
      </c>
      <c r="E20" s="11">
        <v>5.7336350326780597E-2</v>
      </c>
      <c r="F20" s="11">
        <v>-0.2055312643331742</v>
      </c>
      <c r="G20" s="11">
        <v>0.1171831412889391</v>
      </c>
      <c r="H20" s="11">
        <v>0.14393228225567539</v>
      </c>
      <c r="I20" s="11">
        <v>0.15814956260110169</v>
      </c>
      <c r="J20" s="11">
        <v>3.4471258726856233E-2</v>
      </c>
      <c r="K20" s="11">
        <v>0.21472450376108179</v>
      </c>
      <c r="L20" s="11">
        <v>-3.069548300109538E-2</v>
      </c>
      <c r="M20" s="11">
        <v>-7.7718228291273506E-2</v>
      </c>
      <c r="N20" s="11">
        <v>0.5000114780094741</v>
      </c>
      <c r="O20" s="11">
        <v>4.9864886069274132E-2</v>
      </c>
      <c r="P20" s="11">
        <v>9.1169927668525261E-2</v>
      </c>
      <c r="Q20" s="11">
        <v>0.21672573900297851</v>
      </c>
      <c r="R20" s="11">
        <v>-0.1092530556374688</v>
      </c>
      <c r="S20" s="11">
        <v>0.15518261832774261</v>
      </c>
      <c r="T20" s="11">
        <v>8.5465455737815402E-2</v>
      </c>
      <c r="U20" s="11">
        <v>0.14864968011777491</v>
      </c>
      <c r="V20" s="11">
        <v>1.2644103117188939E-2</v>
      </c>
      <c r="W20" s="11">
        <v>9.1084869432544818E-2</v>
      </c>
      <c r="X20" s="11">
        <v>0.21038641292278501</v>
      </c>
      <c r="Y20" s="11">
        <v>-4.2067489538597257E-2</v>
      </c>
      <c r="Z20" s="11">
        <v>0.1056169604836593</v>
      </c>
      <c r="AA20" s="11">
        <v>0.13048336848064571</v>
      </c>
      <c r="AB20" s="11">
        <v>8.4759840726173208E-2</v>
      </c>
      <c r="AC20" s="11">
        <v>4.7248262727967477E-2</v>
      </c>
      <c r="AD20" s="11">
        <v>0.12984341871366439</v>
      </c>
      <c r="AE20" s="11">
        <v>0.16122120715511101</v>
      </c>
      <c r="AF20" s="11">
        <v>0.22349781963637269</v>
      </c>
      <c r="AG20" s="11">
        <v>2.7659218539892259E-2</v>
      </c>
      <c r="AH20" s="11">
        <v>-9.0178200714782636E-2</v>
      </c>
      <c r="AI20" s="11">
        <v>0.11633675505532361</v>
      </c>
      <c r="AJ20" s="11">
        <v>-6.1990034547547639E-2</v>
      </c>
      <c r="AK20" s="11">
        <v>-1.359511549600285E-2</v>
      </c>
      <c r="AL20" s="11">
        <v>-5.6166263617408981E-3</v>
      </c>
      <c r="AM20" s="11">
        <v>3.3095980748802607E-2</v>
      </c>
      <c r="AN20" s="11">
        <v>7.5470193518998266E-2</v>
      </c>
      <c r="AO20" s="11">
        <v>4.9108294639399641E-2</v>
      </c>
      <c r="AP20" s="11">
        <v>0.13173046125538779</v>
      </c>
      <c r="AQ20" s="11">
        <v>7.2900746140221323E-2</v>
      </c>
      <c r="AR20" s="11">
        <v>-1.328927308983413E-2</v>
      </c>
      <c r="AS20" s="11">
        <v>-4.2291716448975919E-2</v>
      </c>
      <c r="AT20" s="11">
        <v>0.23912374744507051</v>
      </c>
      <c r="AU20" s="11">
        <v>0.28169787258320111</v>
      </c>
      <c r="AV20" s="11">
        <v>-3.2246612786763357E-2</v>
      </c>
      <c r="AW20" s="11">
        <v>0.2249978407783445</v>
      </c>
      <c r="AX20" s="11">
        <v>0.20433921996054669</v>
      </c>
      <c r="AY20" s="11">
        <v>3.8674698442909439E-2</v>
      </c>
      <c r="AZ20" s="11">
        <v>9.9804303272323425E-2</v>
      </c>
      <c r="BA20" s="11">
        <v>0.15133772550591279</v>
      </c>
      <c r="BB20" s="11">
        <v>0.3784467853093445</v>
      </c>
      <c r="BC20" s="11">
        <v>0.24014067499041369</v>
      </c>
      <c r="BD20" s="11">
        <v>8.3601733665197644E-3</v>
      </c>
      <c r="BE20" s="11">
        <v>9.8278374734355731E-2</v>
      </c>
      <c r="BF20" s="11">
        <v>0.13797126306897531</v>
      </c>
      <c r="BG20" s="11">
        <v>9.4062055608340231E-2</v>
      </c>
      <c r="BH20" s="11">
        <v>0.1500573005634544</v>
      </c>
      <c r="BI20" s="11">
        <v>0.13174526708517489</v>
      </c>
      <c r="BJ20" s="11">
        <v>5.5155920618856692E-2</v>
      </c>
      <c r="BK20" s="11">
        <v>-0.11765037240502189</v>
      </c>
      <c r="BL20" s="11">
        <v>6.9859441937220601E-2</v>
      </c>
      <c r="BM20" s="11">
        <v>4.7468551464188873E-2</v>
      </c>
      <c r="BN20" s="11">
        <v>1.8638027253166291E-2</v>
      </c>
      <c r="BO20" s="11">
        <v>-3.8461717515979203E-2</v>
      </c>
      <c r="BP20" s="11">
        <v>7.2822475063245764E-3</v>
      </c>
      <c r="BQ20" s="11">
        <v>1.5451706960843021E-2</v>
      </c>
      <c r="BR20" s="11">
        <v>0.18112708147166159</v>
      </c>
      <c r="BS20" s="11">
        <v>-3.2536197724856143E-2</v>
      </c>
      <c r="BT20" s="11">
        <v>-5.2467623281905747E-2</v>
      </c>
      <c r="BU20" s="11">
        <v>0.14944100404532221</v>
      </c>
      <c r="BV20" s="11">
        <v>-8.154344176059905E-2</v>
      </c>
      <c r="BW20" s="11">
        <v>0.35182955004840472</v>
      </c>
      <c r="BX20" s="11">
        <v>-5.2861421730525368E-2</v>
      </c>
      <c r="BY20" s="11">
        <v>-4.6393591496685094E-3</v>
      </c>
      <c r="BZ20" s="11">
        <v>9.02714042602836E-2</v>
      </c>
      <c r="CA20" s="11">
        <v>4.0102728051752932E-2</v>
      </c>
      <c r="CB20" s="11">
        <v>0.1264950457700191</v>
      </c>
      <c r="CC20" s="11">
        <v>1.291514747808061E-2</v>
      </c>
      <c r="CD20" s="11">
        <v>0.1810274974905971</v>
      </c>
      <c r="CE20" s="11">
        <v>8.5778172602440458E-2</v>
      </c>
      <c r="CF20" s="11">
        <v>8.0957937198676569E-2</v>
      </c>
      <c r="CG20" s="11">
        <v>7.597024074310807E-2</v>
      </c>
      <c r="CH20" s="11">
        <v>7.1864025597138351E-2</v>
      </c>
      <c r="CI20" s="11">
        <v>3.0394673769081951E-2</v>
      </c>
      <c r="CJ20" s="11">
        <v>-4.1509984783928693E-2</v>
      </c>
      <c r="CK20" s="11">
        <v>8.0589623940621552E-2</v>
      </c>
      <c r="CL20" s="11">
        <v>-9.2184934189128986E-2</v>
      </c>
      <c r="CM20" s="11">
        <v>9.6775805849237839E-2</v>
      </c>
      <c r="CN20" s="11">
        <v>0.20489183364110261</v>
      </c>
      <c r="CO20" s="11">
        <v>0.29657330510502922</v>
      </c>
      <c r="CP20" s="11">
        <v>0.1920312051090273</v>
      </c>
      <c r="CQ20" s="11">
        <v>2.3118045300283038E-2</v>
      </c>
      <c r="CR20" s="11">
        <v>0.1954861104849421</v>
      </c>
      <c r="CS20" s="11">
        <v>9.7137098734322067E-2</v>
      </c>
      <c r="CT20" s="11">
        <v>2.841440739658805E-2</v>
      </c>
      <c r="CU20" s="11">
        <v>0.14672800907162681</v>
      </c>
      <c r="CV20" s="11">
        <v>0.11921412821268471</v>
      </c>
      <c r="CW20" s="11">
        <v>6.7903708174845409E-2</v>
      </c>
      <c r="CX20" s="11">
        <v>9.0298550867764463E-2</v>
      </c>
      <c r="CY20" s="11">
        <v>0.108732838402072</v>
      </c>
      <c r="CZ20" s="11">
        <v>0.15516164514919831</v>
      </c>
      <c r="DA20" s="11">
        <v>7.7081696653549386E-2</v>
      </c>
      <c r="DB20" s="11">
        <v>7.696806977078402E-2</v>
      </c>
      <c r="DC20" s="11">
        <v>-4.9613069235555772E-2</v>
      </c>
      <c r="DD20" s="11">
        <v>3.597184756950339E-3</v>
      </c>
      <c r="DE20" s="11">
        <v>1.0418721606852799E-2</v>
      </c>
      <c r="DF20" s="11">
        <v>0.24557420527758439</v>
      </c>
      <c r="DG20" s="11">
        <v>5.2344813299819028E-2</v>
      </c>
      <c r="DH20" s="11">
        <v>0.27829885316894232</v>
      </c>
      <c r="DI20" s="11">
        <v>0.1375957593126734</v>
      </c>
      <c r="DJ20" s="11">
        <v>0.1365580924326974</v>
      </c>
      <c r="DK20" s="11">
        <v>8.5187540020503633E-2</v>
      </c>
      <c r="DL20" s="11">
        <v>-1.9465373333619789E-2</v>
      </c>
      <c r="DM20" s="11">
        <v>-6.9336106675116957E-2</v>
      </c>
      <c r="DN20" s="11">
        <v>5.8019206654199171E-2</v>
      </c>
      <c r="DO20" s="11">
        <v>0.25800136345901148</v>
      </c>
      <c r="DP20" s="11">
        <v>0.20015543475438921</v>
      </c>
      <c r="DQ20" s="11">
        <v>5.7460181624700082E-2</v>
      </c>
      <c r="DR20" s="11">
        <v>7.8512660028290493E-2</v>
      </c>
      <c r="DS20" s="11">
        <v>-7.4906957537590798E-3</v>
      </c>
      <c r="DT20" s="11">
        <v>-2.968533879884255E-2</v>
      </c>
      <c r="DU20" s="11">
        <v>0.17637516893039651</v>
      </c>
      <c r="DV20" s="11">
        <v>0.12934547183885869</v>
      </c>
      <c r="DW20" s="11">
        <v>-0.1035461681398053</v>
      </c>
      <c r="DX20" s="11">
        <v>0.15386632960631469</v>
      </c>
      <c r="DY20" s="11">
        <v>0.1215914577754016</v>
      </c>
      <c r="DZ20" s="11">
        <v>9.0199646158974578E-2</v>
      </c>
      <c r="EA20" s="11">
        <v>-5.9255992733342772E-3</v>
      </c>
      <c r="EB20" s="11">
        <v>8.2407142444419712E-2</v>
      </c>
      <c r="EC20" s="11">
        <v>3.4049581413941779E-2</v>
      </c>
      <c r="ED20" s="11">
        <v>0.17691886106701021</v>
      </c>
      <c r="EE20" s="11">
        <v>-1.7409797518545299E-3</v>
      </c>
      <c r="EF20" s="11">
        <v>8.580306084224959E-2</v>
      </c>
      <c r="EG20">
        <f t="shared" si="10"/>
        <v>11.614853906668577</v>
      </c>
      <c r="EH20" s="12">
        <f t="shared" si="11"/>
        <v>8.603769287930095E-2</v>
      </c>
    </row>
    <row r="21" spans="1:138" x14ac:dyDescent="0.3">
      <c r="A21" s="1">
        <v>241</v>
      </c>
      <c r="B21" s="1">
        <v>4</v>
      </c>
      <c r="C21" s="11">
        <v>0.21462957980695321</v>
      </c>
      <c r="D21" s="11">
        <v>0.12638791676682359</v>
      </c>
      <c r="E21" s="11">
        <v>-1.3690170285790599E-2</v>
      </c>
      <c r="F21" s="11">
        <v>-0.18403858160612999</v>
      </c>
      <c r="G21" s="11">
        <v>0.14384215111256449</v>
      </c>
      <c r="H21" s="11">
        <v>0.1621640877938379</v>
      </c>
      <c r="I21" s="11">
        <v>0.14725560812747299</v>
      </c>
      <c r="J21" s="11">
        <v>6.0435325691642318E-2</v>
      </c>
      <c r="K21" s="11">
        <v>0.2068800260033955</v>
      </c>
      <c r="L21" s="11">
        <v>5.0291533060606367E-3</v>
      </c>
      <c r="M21" s="11">
        <v>-9.9684593408211258E-2</v>
      </c>
      <c r="N21" s="11">
        <v>0.58489126462072527</v>
      </c>
      <c r="O21" s="11">
        <v>3.4351989460690638E-2</v>
      </c>
      <c r="P21" s="11">
        <v>0.14477260088968491</v>
      </c>
      <c r="Q21" s="11">
        <v>0.25731007409425227</v>
      </c>
      <c r="R21" s="11">
        <v>-9.5575311106630215E-2</v>
      </c>
      <c r="S21" s="11">
        <v>0.12859028544995699</v>
      </c>
      <c r="T21" s="11">
        <v>9.846167275679743E-2</v>
      </c>
      <c r="U21" s="11">
        <v>8.6278417611758002E-2</v>
      </c>
      <c r="V21" s="11">
        <v>5.3557619366031213E-2</v>
      </c>
      <c r="W21" s="11">
        <v>0.124498618828508</v>
      </c>
      <c r="X21" s="11">
        <v>0.21363094220511639</v>
      </c>
      <c r="Y21" s="11">
        <v>-2.0833082892434851E-2</v>
      </c>
      <c r="Z21" s="11">
        <v>0.1142039872227245</v>
      </c>
      <c r="AA21" s="11">
        <v>0.1106359070024788</v>
      </c>
      <c r="AB21" s="11">
        <v>0.1298395823970698</v>
      </c>
      <c r="AC21" s="11">
        <v>1.882773670680014E-2</v>
      </c>
      <c r="AD21" s="11">
        <v>0.1288246656475579</v>
      </c>
      <c r="AE21" s="11">
        <v>0.12810497879624591</v>
      </c>
      <c r="AF21" s="11">
        <v>0.29514425808336342</v>
      </c>
      <c r="AG21" s="11">
        <v>4.4302777789794079E-2</v>
      </c>
      <c r="AH21" s="11">
        <v>-0.10758136256479831</v>
      </c>
      <c r="AI21" s="11">
        <v>0.10212367551148389</v>
      </c>
      <c r="AJ21" s="11">
        <v>-7.0405341946468691E-2</v>
      </c>
      <c r="AK21" s="11">
        <v>-3.5803167618110053E-2</v>
      </c>
      <c r="AL21" s="11">
        <v>1.9780813559851541E-2</v>
      </c>
      <c r="AM21" s="11">
        <v>6.8535807447630548E-2</v>
      </c>
      <c r="AN21" s="11">
        <v>0.11195605606309431</v>
      </c>
      <c r="AO21" s="11">
        <v>8.5567774913887312E-2</v>
      </c>
      <c r="AP21" s="11">
        <v>7.2535143570019153E-2</v>
      </c>
      <c r="AQ21" s="11">
        <v>0.13322646020896919</v>
      </c>
      <c r="AR21" s="11">
        <v>4.798814140331014E-2</v>
      </c>
      <c r="AS21" s="11">
        <v>-4.5406682060008141E-2</v>
      </c>
      <c r="AT21" s="11">
        <v>0.26483825754799722</v>
      </c>
      <c r="AU21" s="11">
        <v>0.34648126396342699</v>
      </c>
      <c r="AV21" s="11">
        <v>-6.871391269647964E-2</v>
      </c>
      <c r="AW21" s="11">
        <v>0.26325491637381482</v>
      </c>
      <c r="AX21" s="11">
        <v>0.21771830251703739</v>
      </c>
      <c r="AY21" s="11">
        <v>4.7021290978038012E-2</v>
      </c>
      <c r="AZ21" s="11">
        <v>0.1085023584146062</v>
      </c>
      <c r="BA21" s="11">
        <v>0.1395926821613267</v>
      </c>
      <c r="BB21" s="11">
        <v>0.40443142813314931</v>
      </c>
      <c r="BC21" s="11">
        <v>0.1644605319288267</v>
      </c>
      <c r="BD21" s="11">
        <v>3.8219147267913818E-2</v>
      </c>
      <c r="BE21" s="11">
        <v>0.13674535590796441</v>
      </c>
      <c r="BF21" s="11">
        <v>0.19911721643060321</v>
      </c>
      <c r="BG21" s="11">
        <v>9.2285571507253639E-2</v>
      </c>
      <c r="BH21" s="11">
        <v>0.1068421096374302</v>
      </c>
      <c r="BI21" s="11">
        <v>0.1659695961783918</v>
      </c>
      <c r="BJ21" s="11">
        <v>2.239406236410954E-2</v>
      </c>
      <c r="BK21" s="11">
        <v>-7.2723114748713999E-2</v>
      </c>
      <c r="BL21" s="11">
        <v>8.7340790467698257E-2</v>
      </c>
      <c r="BM21" s="11">
        <v>4.0795286028720637E-2</v>
      </c>
      <c r="BN21" s="11">
        <v>2.5790766448446922E-2</v>
      </c>
      <c r="BO21" s="11">
        <v>-6.3857236413680254E-2</v>
      </c>
      <c r="BP21" s="11">
        <v>-4.1808023315929119E-3</v>
      </c>
      <c r="BQ21" s="11">
        <v>5.4542230834504879E-2</v>
      </c>
      <c r="BR21" s="11">
        <v>0.14206145591009539</v>
      </c>
      <c r="BS21" s="11">
        <v>-6.5741820960347419E-2</v>
      </c>
      <c r="BT21" s="11">
        <v>-6.0820742542524793E-2</v>
      </c>
      <c r="BU21" s="11">
        <v>0.1707385105504178</v>
      </c>
      <c r="BV21" s="11">
        <v>-4.4339980041273437E-2</v>
      </c>
      <c r="BW21" s="11">
        <v>0.18446067072040909</v>
      </c>
      <c r="BX21" s="11">
        <v>-7.7165002520596909E-2</v>
      </c>
      <c r="BY21" s="11">
        <v>-5.5666292242237493E-2</v>
      </c>
      <c r="BZ21" s="11">
        <v>4.7662928720715619E-2</v>
      </c>
      <c r="CA21" s="11">
        <v>6.0517603302398457E-2</v>
      </c>
      <c r="CB21" s="11">
        <v>0.2078698479015878</v>
      </c>
      <c r="CC21" s="11">
        <v>-8.0189542709663136E-3</v>
      </c>
      <c r="CD21" s="11">
        <v>0.28805606436247322</v>
      </c>
      <c r="CE21" s="11">
        <v>6.1514882354154247E-2</v>
      </c>
      <c r="CF21" s="11">
        <v>0.13126567680107229</v>
      </c>
      <c r="CG21" s="11">
        <v>8.508533547413108E-2</v>
      </c>
      <c r="CH21" s="11">
        <v>8.0100321076211733E-2</v>
      </c>
      <c r="CI21" s="11">
        <v>8.0499616390982326E-2</v>
      </c>
      <c r="CJ21" s="11">
        <v>-5.5140848561157058E-2</v>
      </c>
      <c r="CK21" s="11">
        <v>6.7159630296855705E-2</v>
      </c>
      <c r="CL21" s="11">
        <v>-0.13389042462296469</v>
      </c>
      <c r="CM21" s="11">
        <v>0.1162318191805591</v>
      </c>
      <c r="CN21" s="11">
        <v>8.0851508829433677E-2</v>
      </c>
      <c r="CO21" s="11">
        <v>0.3354837581948798</v>
      </c>
      <c r="CP21" s="11">
        <v>0.22270006087791269</v>
      </c>
      <c r="CQ21" s="11">
        <v>2.2912194169496192E-2</v>
      </c>
      <c r="CR21" s="11">
        <v>0.23905996636126789</v>
      </c>
      <c r="CS21" s="11">
        <v>6.1269036219330789E-2</v>
      </c>
      <c r="CT21" s="11">
        <v>4.7993104073004042E-2</v>
      </c>
      <c r="CU21" s="11">
        <v>0.1589166223174501</v>
      </c>
      <c r="CV21" s="11">
        <v>0.1543318447745724</v>
      </c>
      <c r="CW21" s="11">
        <v>3.8345516871682743E-2</v>
      </c>
      <c r="CX21" s="11">
        <v>0.1021221756574071</v>
      </c>
      <c r="CY21" s="11">
        <v>0.102505161081563</v>
      </c>
      <c r="CZ21" s="11">
        <v>0.2374513708258302</v>
      </c>
      <c r="DA21" s="11">
        <v>4.1709064063925938E-2</v>
      </c>
      <c r="DB21" s="11">
        <v>7.1461213773998111E-2</v>
      </c>
      <c r="DC21" s="11">
        <v>-4.5047559223290658E-2</v>
      </c>
      <c r="DD21" s="11">
        <v>2.8187943910707451E-3</v>
      </c>
      <c r="DE21" s="11">
        <v>2.897773706032665E-2</v>
      </c>
      <c r="DF21" s="11">
        <v>0.30115021168204381</v>
      </c>
      <c r="DG21" s="11">
        <v>5.9409518844913557E-2</v>
      </c>
      <c r="DH21" s="11">
        <v>8.1436188280027383E-2</v>
      </c>
      <c r="DI21" s="11">
        <v>0.1798398251674036</v>
      </c>
      <c r="DJ21" s="11">
        <v>0.1566057184636416</v>
      </c>
      <c r="DK21" s="11">
        <v>9.0895590906945836E-2</v>
      </c>
      <c r="DL21" s="11">
        <v>-1.273699150101321E-2</v>
      </c>
      <c r="DM21" s="11">
        <v>-2.4988802442145672E-2</v>
      </c>
      <c r="DN21" s="11">
        <v>7.1197612493993062E-2</v>
      </c>
      <c r="DO21" s="11">
        <v>0.33162680487864599</v>
      </c>
      <c r="DP21" s="11">
        <v>0.22901988968023471</v>
      </c>
      <c r="DQ21" s="11">
        <v>7.0422698808183373E-2</v>
      </c>
      <c r="DR21" s="11">
        <v>5.0170859037080733E-2</v>
      </c>
      <c r="DS21" s="11">
        <v>-1.6720946793213241E-3</v>
      </c>
      <c r="DT21" s="11">
        <v>-5.2151903466792276E-3</v>
      </c>
      <c r="DU21" s="11">
        <v>0.1486147166384135</v>
      </c>
      <c r="DV21" s="11">
        <v>0.140275976869878</v>
      </c>
      <c r="DW21" s="11">
        <v>-0.1035344925963028</v>
      </c>
      <c r="DX21" s="11">
        <v>0.18596621403118341</v>
      </c>
      <c r="DY21" s="11">
        <v>0.16673097108859181</v>
      </c>
      <c r="DZ21" s="11">
        <v>9.893057365990536E-2</v>
      </c>
      <c r="EA21" s="11">
        <v>-3.5066457185236648E-2</v>
      </c>
      <c r="EB21" s="11">
        <v>2.6302193998533951E-2</v>
      </c>
      <c r="EC21" s="11">
        <v>1.403705509804205E-2</v>
      </c>
      <c r="ED21" s="11">
        <v>5.4498856348180663E-2</v>
      </c>
      <c r="EE21" s="11">
        <v>2.1310592307867391E-2</v>
      </c>
      <c r="EF21" s="11">
        <v>2.879722641967087E-2</v>
      </c>
      <c r="EG21">
        <f t="shared" si="10"/>
        <v>11.898742039181309</v>
      </c>
      <c r="EH21" s="12">
        <f t="shared" si="11"/>
        <v>8.8581677707176398E-2</v>
      </c>
    </row>
    <row r="22" spans="1:138" x14ac:dyDescent="0.3">
      <c r="A22" s="1">
        <v>321</v>
      </c>
      <c r="B22" s="1">
        <v>3</v>
      </c>
      <c r="C22" s="11">
        <v>0.20528030103697539</v>
      </c>
      <c r="D22" s="11">
        <v>0.1424278520773985</v>
      </c>
      <c r="E22" s="11">
        <v>-1.7355098916458981E-2</v>
      </c>
      <c r="F22" s="11">
        <v>-6.7831060921277567E-2</v>
      </c>
      <c r="G22" s="11">
        <v>0.1038843632903341</v>
      </c>
      <c r="H22" s="11">
        <v>0.1241780629606463</v>
      </c>
      <c r="I22" s="11">
        <v>0.12349316933806979</v>
      </c>
      <c r="J22" s="11">
        <v>5.2598589265342909E-2</v>
      </c>
      <c r="K22" s="11">
        <v>0.2453659126827557</v>
      </c>
      <c r="L22" s="11">
        <v>-1.427320868498227E-2</v>
      </c>
      <c r="M22" s="11">
        <v>-7.4100058770572547E-2</v>
      </c>
      <c r="N22" s="11">
        <v>0.75614344311733894</v>
      </c>
      <c r="O22" s="11">
        <v>-6.7158783113674958E-3</v>
      </c>
      <c r="P22" s="11">
        <v>7.2782884128816977E-2</v>
      </c>
      <c r="Q22" s="11">
        <v>0.27677689383305182</v>
      </c>
      <c r="R22" s="11">
        <v>-3.6628434271588052E-2</v>
      </c>
      <c r="S22" s="11">
        <v>0.16964655555794059</v>
      </c>
      <c r="T22" s="11">
        <v>0.1288124219831229</v>
      </c>
      <c r="U22" s="11">
        <v>0.11059002340250421</v>
      </c>
      <c r="V22" s="11">
        <v>3.8286776519855507E-2</v>
      </c>
      <c r="W22" s="11">
        <v>0.1580477531639507</v>
      </c>
      <c r="X22" s="11">
        <v>0.22178675903387041</v>
      </c>
      <c r="Y22" s="11">
        <v>-1.5732208413521059E-2</v>
      </c>
      <c r="Z22" s="11">
        <v>7.5548269145846045E-2</v>
      </c>
      <c r="AA22" s="11">
        <v>8.2524425578113014E-2</v>
      </c>
      <c r="AB22" s="11">
        <v>0.13443621271332551</v>
      </c>
      <c r="AC22" s="11">
        <v>8.5776460715432462E-2</v>
      </c>
      <c r="AD22" s="11">
        <v>1.357278877236134E-2</v>
      </c>
      <c r="AE22" s="11">
        <v>0.13082384281633419</v>
      </c>
      <c r="AF22" s="11">
        <v>0.42991676804861201</v>
      </c>
      <c r="AG22" s="11">
        <v>5.2841540175733892E-2</v>
      </c>
      <c r="AH22" s="11">
        <v>-0.10586595942047269</v>
      </c>
      <c r="AI22" s="11">
        <v>0.11100371122694901</v>
      </c>
      <c r="AJ22" s="11">
        <v>-3.1699849326408271E-2</v>
      </c>
      <c r="AK22" s="11">
        <v>0.1012885607403957</v>
      </c>
      <c r="AL22" s="11">
        <v>-9.4397384737102564E-3</v>
      </c>
      <c r="AM22" s="11">
        <v>8.4088903467703563E-2</v>
      </c>
      <c r="AN22" s="11">
        <v>0.1111328096635593</v>
      </c>
      <c r="AO22" s="11">
        <v>0.1581528752937269</v>
      </c>
      <c r="AP22" s="11">
        <v>6.2536353887992696E-2</v>
      </c>
      <c r="AQ22" s="11">
        <v>0.11013171229127849</v>
      </c>
      <c r="AR22" s="11">
        <v>6.7924487703603389E-2</v>
      </c>
      <c r="AS22" s="11">
        <v>7.3843702685833568E-2</v>
      </c>
      <c r="AT22" s="11">
        <v>1.7728370994436651E-2</v>
      </c>
      <c r="AU22" s="11">
        <v>0.42935378467834612</v>
      </c>
      <c r="AV22" s="11">
        <v>-8.9753981871632596E-2</v>
      </c>
      <c r="AW22" s="11">
        <v>0.37079927869117352</v>
      </c>
      <c r="AX22" s="11">
        <v>-9.875186005693877E-3</v>
      </c>
      <c r="AY22" s="11">
        <v>7.1733385334230598E-2</v>
      </c>
      <c r="AZ22" s="11">
        <v>0.1551884040435336</v>
      </c>
      <c r="BA22" s="11">
        <v>4.9774957584186978E-2</v>
      </c>
      <c r="BB22" s="11">
        <v>0.51826404945003746</v>
      </c>
      <c r="BC22" s="11">
        <v>0.19562603535051759</v>
      </c>
      <c r="BD22" s="11">
        <v>7.9259544919436403E-2</v>
      </c>
      <c r="BE22" s="11">
        <v>0.12806788396565999</v>
      </c>
      <c r="BF22" s="11">
        <v>0.1991024485484385</v>
      </c>
      <c r="BG22" s="11">
        <v>-4.1231469152780448E-2</v>
      </c>
      <c r="BH22" s="11">
        <v>0.12770700939641619</v>
      </c>
      <c r="BI22" s="11">
        <v>0.111088719409907</v>
      </c>
      <c r="BJ22" s="11">
        <v>4.0890331679524251E-2</v>
      </c>
      <c r="BK22" s="11">
        <v>-4.831524105166432E-2</v>
      </c>
      <c r="BL22" s="11">
        <v>0.13947139040086359</v>
      </c>
      <c r="BM22" s="11">
        <v>2.4304832455331882E-3</v>
      </c>
      <c r="BN22" s="11">
        <v>8.2937899200322518E-2</v>
      </c>
      <c r="BO22" s="11">
        <v>-5.0484429112750417E-2</v>
      </c>
      <c r="BP22" s="11">
        <v>-5.4100012453170681E-4</v>
      </c>
      <c r="BQ22" s="11">
        <v>2.7830097398312589E-2</v>
      </c>
      <c r="BR22" s="11">
        <v>0.10656678196769021</v>
      </c>
      <c r="BS22" s="11">
        <v>-9.7047589704545023E-2</v>
      </c>
      <c r="BT22" s="11">
        <v>8.8726194332783462E-2</v>
      </c>
      <c r="BU22" s="11">
        <v>0.1043505830823649</v>
      </c>
      <c r="BV22" s="11">
        <v>-4.8603534589078061E-2</v>
      </c>
      <c r="BW22" s="11">
        <v>0.1321717915357814</v>
      </c>
      <c r="BX22" s="11">
        <v>-0.1130288989043652</v>
      </c>
      <c r="BY22" s="11">
        <v>-5.5597049970371022E-2</v>
      </c>
      <c r="BZ22" s="11">
        <v>4.725773586289217E-2</v>
      </c>
      <c r="CA22" s="11">
        <v>2.749007848032349E-2</v>
      </c>
      <c r="CB22" s="11">
        <v>0.25473925571486122</v>
      </c>
      <c r="CC22" s="11">
        <v>-0.12510399532003291</v>
      </c>
      <c r="CD22" s="11">
        <v>0.33387803671272293</v>
      </c>
      <c r="CE22" s="11">
        <v>6.6840145636817616E-2</v>
      </c>
      <c r="CF22" s="11">
        <v>0.18879978576027739</v>
      </c>
      <c r="CG22" s="11">
        <v>0.207085332633513</v>
      </c>
      <c r="CH22" s="11">
        <v>0.1159187712794482</v>
      </c>
      <c r="CI22" s="11">
        <v>0.1177797462783592</v>
      </c>
      <c r="CJ22" s="11">
        <v>-0.12632535927858729</v>
      </c>
      <c r="CK22" s="11">
        <v>0.1109235402867822</v>
      </c>
      <c r="CL22" s="11">
        <v>-0.2406517986250408</v>
      </c>
      <c r="CM22" s="11">
        <v>0.21983248519746329</v>
      </c>
      <c r="CN22" s="11">
        <v>0.15280391681020719</v>
      </c>
      <c r="CO22" s="11">
        <v>0.27205949814687491</v>
      </c>
      <c r="CP22" s="11">
        <v>0.25940855696940252</v>
      </c>
      <c r="CQ22" s="11">
        <v>1.7159615519123799E-2</v>
      </c>
      <c r="CR22" s="11">
        <v>0.24677276999188669</v>
      </c>
      <c r="CS22" s="11">
        <v>8.4781935884364376E-2</v>
      </c>
      <c r="CT22" s="11">
        <v>3.8262614575275293E-2</v>
      </c>
      <c r="CU22" s="11">
        <v>0.16735391118636819</v>
      </c>
      <c r="CV22" s="11">
        <v>0.16622267868955429</v>
      </c>
      <c r="CW22" s="11">
        <v>2.2884042331984721E-2</v>
      </c>
      <c r="CX22" s="11">
        <v>3.749593267848913E-3</v>
      </c>
      <c r="CY22" s="11">
        <v>0.1045108260680616</v>
      </c>
      <c r="CZ22" s="11">
        <v>0.26292048459923911</v>
      </c>
      <c r="DA22" s="11">
        <v>3.2453994810138623E-2</v>
      </c>
      <c r="DB22" s="11">
        <v>5.4041621710522049E-2</v>
      </c>
      <c r="DC22" s="11">
        <v>-2.0724784444157599E-2</v>
      </c>
      <c r="DD22" s="11">
        <v>3.1710169125825367E-2</v>
      </c>
      <c r="DE22" s="11">
        <v>-1.7756503501932811E-2</v>
      </c>
      <c r="DF22" s="11">
        <v>0.38966763369412349</v>
      </c>
      <c r="DG22" s="11">
        <v>7.1889499417003094E-2</v>
      </c>
      <c r="DH22" s="11">
        <v>8.1454381615908525E-2</v>
      </c>
      <c r="DI22" s="11">
        <v>6.0122111270589459E-2</v>
      </c>
      <c r="DJ22" s="11">
        <v>0.15369976283032971</v>
      </c>
      <c r="DK22" s="11">
        <v>9.1428405059511261E-2</v>
      </c>
      <c r="DL22" s="11">
        <v>-3.213330743138731E-3</v>
      </c>
      <c r="DM22" s="11">
        <v>-3.1884709289730702E-2</v>
      </c>
      <c r="DN22" s="11">
        <v>4.6763328204007498E-2</v>
      </c>
      <c r="DO22" s="11">
        <v>7.5715816054906154E-2</v>
      </c>
      <c r="DP22" s="11">
        <v>0.16956243214073041</v>
      </c>
      <c r="DQ22" s="11">
        <v>0.16540416654463991</v>
      </c>
      <c r="DR22" s="11">
        <v>-6.0925526153180337E-3</v>
      </c>
      <c r="DS22" s="11">
        <v>-3.6346262249535841E-2</v>
      </c>
      <c r="DT22" s="11">
        <v>2.712875397817005E-2</v>
      </c>
      <c r="DU22" s="11">
        <v>0.16154691088272999</v>
      </c>
      <c r="DV22" s="11">
        <v>0.12570511767817799</v>
      </c>
      <c r="DW22" s="11">
        <v>-8.1415413379923474E-2</v>
      </c>
      <c r="DX22" s="11">
        <v>0.22244260844829469</v>
      </c>
      <c r="DY22" s="11">
        <v>0.11995602471866181</v>
      </c>
      <c r="DZ22" s="11">
        <v>0.11083450478771149</v>
      </c>
      <c r="EA22" s="11">
        <v>-3.4191242409873077E-2</v>
      </c>
      <c r="EB22" s="11">
        <v>0.12976595030606911</v>
      </c>
      <c r="EC22" s="11">
        <v>2.1495101575638179E-2</v>
      </c>
      <c r="ED22" s="11">
        <v>7.7413567057607463E-2</v>
      </c>
      <c r="EE22" s="11">
        <v>4.7636659384698889E-2</v>
      </c>
      <c r="EF22" s="11">
        <v>3.6595469131778337E-2</v>
      </c>
      <c r="EG22">
        <f t="shared" si="10"/>
        <v>12.330758131984656</v>
      </c>
      <c r="EH22" s="12">
        <f t="shared" si="11"/>
        <v>9.1747482558603558E-2</v>
      </c>
    </row>
    <row r="23" spans="1:138" x14ac:dyDescent="0.3">
      <c r="A23" s="1">
        <v>482</v>
      </c>
      <c r="B23" s="1">
        <v>2</v>
      </c>
      <c r="C23" s="11">
        <v>0.28298926569632887</v>
      </c>
      <c r="D23" s="11">
        <v>0.25409262745146127</v>
      </c>
      <c r="E23" s="11">
        <v>0.13300519405617101</v>
      </c>
      <c r="F23" s="11">
        <v>-0.1823960753208787</v>
      </c>
      <c r="G23" s="11">
        <v>-2.6971568524368019E-2</v>
      </c>
      <c r="H23" s="11">
        <v>-1.8188470841484668E-2</v>
      </c>
      <c r="I23" s="11">
        <v>0.148152028600294</v>
      </c>
      <c r="J23" s="11">
        <v>-9.8162291146452377E-2</v>
      </c>
      <c r="K23" s="11">
        <v>0.14260757512465491</v>
      </c>
      <c r="L23" s="11">
        <v>-5.0770833705182927E-2</v>
      </c>
      <c r="M23" s="11">
        <v>-0.2584499163586424</v>
      </c>
      <c r="N23" s="11">
        <v>0.97590144327128003</v>
      </c>
      <c r="O23" s="11">
        <v>-1.9407711266769139E-2</v>
      </c>
      <c r="P23" s="11">
        <v>9.040171118212538E-2</v>
      </c>
      <c r="Q23" s="11">
        <v>-5.95680169005205E-2</v>
      </c>
      <c r="R23" s="11">
        <v>-5.6211143313255052E-2</v>
      </c>
      <c r="S23" s="11">
        <v>0.1137245328272621</v>
      </c>
      <c r="T23" s="11">
        <v>0.15460269332742849</v>
      </c>
      <c r="U23" s="11">
        <v>9.3757422440794366E-2</v>
      </c>
      <c r="V23" s="11">
        <v>-2.302945710979112E-2</v>
      </c>
      <c r="W23" s="11">
        <v>0.25954732367705918</v>
      </c>
      <c r="X23" s="11">
        <v>0.1817811857978229</v>
      </c>
      <c r="Y23" s="11">
        <v>-1.4659801530490259E-2</v>
      </c>
      <c r="Z23" s="11">
        <v>3.3032515443875303E-2</v>
      </c>
      <c r="AA23" s="11">
        <v>-5.6748445960110291E-2</v>
      </c>
      <c r="AB23" s="11">
        <v>6.4039779876783498E-2</v>
      </c>
      <c r="AC23" s="11">
        <v>0.1687547996369127</v>
      </c>
      <c r="AD23" s="11">
        <v>7.1628868085674022E-2</v>
      </c>
      <c r="AE23" s="11">
        <v>0.13721198875766</v>
      </c>
      <c r="AF23" s="11">
        <v>0.32465932564021122</v>
      </c>
      <c r="AG23" s="11">
        <v>9.1873657646360199E-2</v>
      </c>
      <c r="AH23" s="11">
        <v>-8.417158452318324E-2</v>
      </c>
      <c r="AI23" s="11">
        <v>0.2091515986202637</v>
      </c>
      <c r="AJ23" s="11">
        <v>5.6431378481542303E-3</v>
      </c>
      <c r="AK23" s="11">
        <v>0.11411109934719101</v>
      </c>
      <c r="AL23" s="11">
        <v>-1.4066593107004361E-2</v>
      </c>
      <c r="AM23" s="11">
        <v>7.769489004865255E-3</v>
      </c>
      <c r="AN23" s="11">
        <v>0.24231469935730071</v>
      </c>
      <c r="AO23" s="11">
        <v>9.078247952961746E-2</v>
      </c>
      <c r="AP23" s="11">
        <v>-3.1210993523056942E-3</v>
      </c>
      <c r="AQ23" s="11">
        <v>9.9380639012752223E-2</v>
      </c>
      <c r="AR23" s="11">
        <v>0.1461361643393671</v>
      </c>
      <c r="AS23" s="11">
        <v>8.1663620780570226E-2</v>
      </c>
      <c r="AT23" s="11">
        <v>0.1095059029649002</v>
      </c>
      <c r="AU23" s="11">
        <v>0.60833204424947662</v>
      </c>
      <c r="AV23" s="11">
        <v>-4.9150066629292007E-2</v>
      </c>
      <c r="AW23" s="11">
        <v>0.58225997417421493</v>
      </c>
      <c r="AX23" s="11">
        <v>-1.4812779008540821E-2</v>
      </c>
      <c r="AY23" s="11">
        <v>0.17023398084058211</v>
      </c>
      <c r="AZ23" s="11">
        <v>7.8071576521207053E-2</v>
      </c>
      <c r="BA23" s="11">
        <v>5.3998338629857423E-2</v>
      </c>
      <c r="BB23" s="11">
        <v>0.68602332967973401</v>
      </c>
      <c r="BC23" s="11">
        <v>0.25286918189993951</v>
      </c>
      <c r="BD23" s="11">
        <v>0.12597278447449581</v>
      </c>
      <c r="BE23" s="11">
        <v>0.1242921430258994</v>
      </c>
      <c r="BF23" s="11">
        <v>0.21000911286045121</v>
      </c>
      <c r="BG23" s="11">
        <v>3.8322827419145812E-2</v>
      </c>
      <c r="BH23" s="11">
        <v>6.3365195703238231E-2</v>
      </c>
      <c r="BI23" s="11">
        <v>0.1911120793231991</v>
      </c>
      <c r="BJ23" s="11">
        <v>5.7493860805491029E-2</v>
      </c>
      <c r="BK23" s="11">
        <v>-4.7849323301188178E-2</v>
      </c>
      <c r="BL23" s="11">
        <v>0.11436629014166901</v>
      </c>
      <c r="BM23" s="11">
        <v>-6.9495462024450616E-2</v>
      </c>
      <c r="BN23" s="11">
        <v>3.8453237240273198E-2</v>
      </c>
      <c r="BO23" s="11">
        <v>3.6524941745999073E-2</v>
      </c>
      <c r="BP23" s="11">
        <v>-2.2475721392681891E-2</v>
      </c>
      <c r="BQ23" s="11">
        <v>7.2047901435266168E-2</v>
      </c>
      <c r="BR23" s="11">
        <v>0.1028225901803507</v>
      </c>
      <c r="BS23" s="11">
        <v>-0.2205670944023907</v>
      </c>
      <c r="BT23" s="11">
        <v>0.2181866761329041</v>
      </c>
      <c r="BU23" s="11">
        <v>0.1056852737934032</v>
      </c>
      <c r="BV23" s="11">
        <v>-5.326905055788838E-2</v>
      </c>
      <c r="BW23" s="11">
        <v>1.536251504309036E-2</v>
      </c>
      <c r="BX23" s="11">
        <v>-6.8735089330797944E-2</v>
      </c>
      <c r="BY23" s="11">
        <v>0.1182492339269558</v>
      </c>
      <c r="BZ23" s="11">
        <v>7.6697624318448621E-3</v>
      </c>
      <c r="CA23" s="11">
        <v>7.5653199746629096E-2</v>
      </c>
      <c r="CB23" s="11">
        <v>0.31616676175875003</v>
      </c>
      <c r="CC23" s="11">
        <v>-8.4544614715775346E-2</v>
      </c>
      <c r="CD23" s="11">
        <v>0.19167645501478511</v>
      </c>
      <c r="CE23" s="11">
        <v>5.9602301837717461E-2</v>
      </c>
      <c r="CF23" s="11">
        <v>0.15713490979116501</v>
      </c>
      <c r="CG23" s="11">
        <v>0.21663724162720299</v>
      </c>
      <c r="CH23" s="11">
        <v>0.18019644892142839</v>
      </c>
      <c r="CI23" s="11">
        <v>0.30989941712809688</v>
      </c>
      <c r="CJ23" s="11">
        <v>-0.15651589641790081</v>
      </c>
      <c r="CK23" s="11">
        <v>7.1856390536544607E-2</v>
      </c>
      <c r="CL23" s="11">
        <v>-0.40866101266741839</v>
      </c>
      <c r="CM23" s="11">
        <v>0.23470497261609899</v>
      </c>
      <c r="CN23" s="11">
        <v>0.27710426195606819</v>
      </c>
      <c r="CO23" s="11">
        <v>0.26615853772710141</v>
      </c>
      <c r="CP23" s="11">
        <v>0.31136074316275669</v>
      </c>
      <c r="CQ23" s="11">
        <v>-2.4702270079380868E-2</v>
      </c>
      <c r="CR23" s="11">
        <v>0.15099817047394759</v>
      </c>
      <c r="CS23" s="11">
        <v>6.5159884293212025E-2</v>
      </c>
      <c r="CT23" s="11">
        <v>6.539021537994999E-2</v>
      </c>
      <c r="CU23" s="11">
        <v>0.20210388498715681</v>
      </c>
      <c r="CV23" s="11">
        <v>0.15333096827157461</v>
      </c>
      <c r="CW23" s="11">
        <v>-2.418628778900123E-2</v>
      </c>
      <c r="CX23" s="11">
        <v>-8.8716994096526336E-2</v>
      </c>
      <c r="CY23" s="11">
        <v>0.15375033367153881</v>
      </c>
      <c r="CZ23" s="11">
        <v>0.18199879385735121</v>
      </c>
      <c r="DA23" s="11">
        <v>6.4644882448389021E-2</v>
      </c>
      <c r="DB23" s="11">
        <v>1.8747066443219641E-2</v>
      </c>
      <c r="DC23" s="11">
        <v>0.1191904860704142</v>
      </c>
      <c r="DD23" s="11">
        <v>9.2798674677153081E-2</v>
      </c>
      <c r="DE23" s="11">
        <v>-6.0085947510171572E-2</v>
      </c>
      <c r="DF23" s="11">
        <v>0.40879492056092032</v>
      </c>
      <c r="DG23" s="11">
        <v>6.7620427406409236E-2</v>
      </c>
      <c r="DH23" s="11">
        <v>0.1392268935121084</v>
      </c>
      <c r="DI23" s="11">
        <v>9.6040550870895677E-2</v>
      </c>
      <c r="DJ23" s="11">
        <v>0.1200325818239187</v>
      </c>
      <c r="DK23" s="11">
        <v>9.1244988740826746E-2</v>
      </c>
      <c r="DL23" s="11">
        <v>2.6242652104624471E-2</v>
      </c>
      <c r="DM23" s="11">
        <v>-4.6477315989241888E-2</v>
      </c>
      <c r="DN23" s="11">
        <v>6.4971960439702253E-3</v>
      </c>
      <c r="DO23" s="11">
        <v>0.124068441987729</v>
      </c>
      <c r="DP23" s="11">
        <v>0.17683961848490651</v>
      </c>
      <c r="DQ23" s="11">
        <v>0.24594610755878629</v>
      </c>
      <c r="DR23" s="11">
        <v>-8.9886002731306744E-2</v>
      </c>
      <c r="DS23" s="11">
        <v>-0.1165759916669394</v>
      </c>
      <c r="DT23" s="11">
        <v>-2.2296457069757209E-2</v>
      </c>
      <c r="DU23" s="11">
        <v>5.5639478708282321E-2</v>
      </c>
      <c r="DV23" s="11">
        <v>0.27627160832943959</v>
      </c>
      <c r="DW23" s="11">
        <v>2.3051820755061941E-2</v>
      </c>
      <c r="DX23" s="11">
        <v>0.31349320637896622</v>
      </c>
      <c r="DY23" s="11">
        <v>-5.3926224537590731E-2</v>
      </c>
      <c r="DZ23" s="11">
        <v>-0.21717398775244159</v>
      </c>
      <c r="EA23" s="11">
        <v>-9.3362079468968795E-2</v>
      </c>
      <c r="EB23" s="11">
        <v>0.24428465812392219</v>
      </c>
      <c r="EC23" s="11">
        <v>-3.6584316325813361E-2</v>
      </c>
      <c r="ED23" s="11">
        <v>9.1425904619781034E-2</v>
      </c>
      <c r="EE23" s="11">
        <v>6.9212075984992683E-2</v>
      </c>
      <c r="EF23" s="11">
        <v>9.3415857913687922E-2</v>
      </c>
      <c r="EG23">
        <f t="shared" si="10"/>
        <v>12.469588618905412</v>
      </c>
      <c r="EH23" s="12">
        <f t="shared" si="11"/>
        <v>9.235949821635614E-2</v>
      </c>
    </row>
    <row r="24" spans="1:138" x14ac:dyDescent="0.3">
      <c r="A24" s="1">
        <v>964</v>
      </c>
      <c r="B24" s="1">
        <v>1</v>
      </c>
      <c r="C24" s="11">
        <v>9.9113364206882743E-2</v>
      </c>
      <c r="D24" s="11">
        <v>0.1006099128992286</v>
      </c>
      <c r="E24" s="11">
        <v>0.28451249769050191</v>
      </c>
      <c r="F24" s="11">
        <v>-0.20154571887164621</v>
      </c>
      <c r="G24" s="11">
        <v>-2.2622388562617651E-2</v>
      </c>
      <c r="H24" s="11">
        <v>3.5855796654956661E-2</v>
      </c>
      <c r="I24" s="11">
        <v>-2.111933203143501E-3</v>
      </c>
      <c r="J24" s="11">
        <v>-9.9972192910136135E-2</v>
      </c>
      <c r="K24" s="11">
        <v>5.0444335993488708E-2</v>
      </c>
      <c r="L24" s="11">
        <v>-9.3799693256750388E-2</v>
      </c>
      <c r="M24" s="11">
        <v>-0.14681933889950849</v>
      </c>
      <c r="N24" s="11">
        <v>1.769031369112569</v>
      </c>
      <c r="O24" s="11">
        <v>3.6648790739543732E-2</v>
      </c>
      <c r="P24" s="11">
        <v>0.1042484144089995</v>
      </c>
      <c r="Q24" s="11">
        <v>-6.096496164670627E-2</v>
      </c>
      <c r="R24" s="11">
        <v>-0.24569737077925971</v>
      </c>
      <c r="S24" s="11">
        <v>0.35251446106016437</v>
      </c>
      <c r="T24" s="11">
        <v>-0.27048671467401741</v>
      </c>
      <c r="U24" s="11">
        <v>0.14851867422391801</v>
      </c>
      <c r="V24" s="11">
        <v>-6.7139302837628506E-2</v>
      </c>
      <c r="W24" s="11">
        <v>-0.16456451758688009</v>
      </c>
      <c r="X24" s="11">
        <v>-3.6157896361251968E-2</v>
      </c>
      <c r="Y24" s="11">
        <v>-9.4770149264170878E-3</v>
      </c>
      <c r="Z24" s="11">
        <v>0.10584232727880701</v>
      </c>
      <c r="AA24" s="11">
        <v>0.21854457969115479</v>
      </c>
      <c r="AB24" s="11">
        <v>0.1953396226752438</v>
      </c>
      <c r="AC24" s="11">
        <v>0.4017473338469546</v>
      </c>
      <c r="AD24" s="11">
        <v>0.1011752992567229</v>
      </c>
      <c r="AE24" s="11">
        <v>0.19314178971175811</v>
      </c>
      <c r="AF24" s="11">
        <v>0.49538941280416188</v>
      </c>
      <c r="AG24" s="11">
        <v>0.13873571762663761</v>
      </c>
      <c r="AH24" s="11">
        <v>-5.6697360067789589E-2</v>
      </c>
      <c r="AI24" s="11">
        <v>0.31041423522934231</v>
      </c>
      <c r="AJ24" s="11">
        <v>-8.089124399937539E-2</v>
      </c>
      <c r="AK24" s="11">
        <v>8.4883953068192297E-2</v>
      </c>
      <c r="AL24" s="11">
        <v>8.7173701476634946E-2</v>
      </c>
      <c r="AM24" s="11">
        <v>-1.89192814205267E-2</v>
      </c>
      <c r="AN24" s="11">
        <v>0.22118946514543131</v>
      </c>
      <c r="AO24" s="11">
        <v>0.1029057025777895</v>
      </c>
      <c r="AP24" s="11">
        <v>2.28517154890964E-2</v>
      </c>
      <c r="AQ24" s="11">
        <v>0.21712720312806419</v>
      </c>
      <c r="AR24" s="11">
        <v>0.1708334061708256</v>
      </c>
      <c r="AS24" s="11">
        <v>3.2867737066227462E-3</v>
      </c>
      <c r="AT24" s="11">
        <v>0.15076897992568081</v>
      </c>
      <c r="AU24" s="11">
        <v>0.47705418724240228</v>
      </c>
      <c r="AV24" s="11">
        <v>0.24768466023032751</v>
      </c>
      <c r="AW24" s="11">
        <v>-0.14871095653144009</v>
      </c>
      <c r="AX24" s="11">
        <v>0.1114913369162155</v>
      </c>
      <c r="AY24" s="11">
        <v>0.16812729388488939</v>
      </c>
      <c r="AZ24" s="11">
        <v>0.11862372507117649</v>
      </c>
      <c r="BA24" s="11">
        <v>5.0491305412012258E-2</v>
      </c>
      <c r="BB24" s="11">
        <v>0.87270314910649027</v>
      </c>
      <c r="BC24" s="11">
        <v>-4.366869614383373E-3</v>
      </c>
      <c r="BD24" s="11">
        <v>1.8631034086863729E-2</v>
      </c>
      <c r="BE24" s="11">
        <v>-5.7380537985080138E-2</v>
      </c>
      <c r="BF24" s="11">
        <v>-6.4370420949463519E-2</v>
      </c>
      <c r="BG24" s="11">
        <v>-9.0984227707435611E-2</v>
      </c>
      <c r="BH24" s="11">
        <v>0.14767356525171971</v>
      </c>
      <c r="BI24" s="11">
        <v>0.2236291060700471</v>
      </c>
      <c r="BJ24" s="11">
        <v>0.19964003317045101</v>
      </c>
      <c r="BK24" s="11">
        <v>-3.4827647172774007E-2</v>
      </c>
      <c r="BL24" s="11">
        <v>0.1061069201511666</v>
      </c>
      <c r="BM24" s="11">
        <v>8.4782939838988242E-2</v>
      </c>
      <c r="BN24" s="11">
        <v>0.10891326031654749</v>
      </c>
      <c r="BO24" s="11">
        <v>-0.16110969109564191</v>
      </c>
      <c r="BP24" s="11">
        <v>3.1794104329889807E-2</v>
      </c>
      <c r="BQ24" s="11">
        <v>-6.4169633330115036E-2</v>
      </c>
      <c r="BR24" s="11">
        <v>9.8920889185241626E-2</v>
      </c>
      <c r="BS24" s="11">
        <v>-0.1216210365296066</v>
      </c>
      <c r="BT24" s="11">
        <v>0.27671901614020838</v>
      </c>
      <c r="BU24" s="11">
        <v>8.7484923148454363E-3</v>
      </c>
      <c r="BV24" s="11">
        <v>-4.625870574066291E-2</v>
      </c>
      <c r="BW24" s="11">
        <v>0.15102744542241939</v>
      </c>
      <c r="BX24" s="11">
        <v>-0.1039550340490914</v>
      </c>
      <c r="BY24" s="11">
        <v>0.11840823105030179</v>
      </c>
      <c r="BZ24" s="11">
        <v>0.25889289884999689</v>
      </c>
      <c r="CA24" s="11">
        <v>0.1152216807734147</v>
      </c>
      <c r="CB24" s="11">
        <v>0.639698133634515</v>
      </c>
      <c r="CC24" s="11">
        <v>-0.18246987988756161</v>
      </c>
      <c r="CD24" s="11">
        <v>0.14430631074219491</v>
      </c>
      <c r="CE24" s="11">
        <v>0.16556487399111461</v>
      </c>
      <c r="CF24" s="11">
        <v>0.2217213622453883</v>
      </c>
      <c r="CG24" s="11">
        <v>0.51996896607392207</v>
      </c>
      <c r="CH24" s="11">
        <v>0.35427729684250298</v>
      </c>
      <c r="CI24" s="11">
        <v>-0.3284518207092646</v>
      </c>
      <c r="CJ24" s="11">
        <v>-0.3001868935902553</v>
      </c>
      <c r="CK24" s="11">
        <v>0.32305926532838408</v>
      </c>
      <c r="CL24" s="11">
        <v>0.1417553333725407</v>
      </c>
      <c r="CM24" s="11">
        <v>0.63643326435951064</v>
      </c>
      <c r="CN24" s="11">
        <v>0.60967719726707426</v>
      </c>
      <c r="CO24" s="11">
        <v>0.45247744179045318</v>
      </c>
      <c r="CP24" s="11">
        <v>0.1603442048148421</v>
      </c>
      <c r="CQ24" s="11">
        <v>-0.1601896466275006</v>
      </c>
      <c r="CR24" s="11">
        <v>0.1377874560487031</v>
      </c>
      <c r="CS24" s="11">
        <v>0.1079742359390275</v>
      </c>
      <c r="CT24" s="11">
        <v>-0.1195443883358397</v>
      </c>
      <c r="CU24" s="11">
        <v>5.2729044813654813E-2</v>
      </c>
      <c r="CV24" s="11">
        <v>0.182864094907223</v>
      </c>
      <c r="CW24" s="11">
        <v>-0.234993215272846</v>
      </c>
      <c r="CX24" s="11">
        <v>5.5207193708687041E-2</v>
      </c>
      <c r="CY24" s="11">
        <v>0.32114775220674069</v>
      </c>
      <c r="CZ24" s="11">
        <v>0.11220662844456721</v>
      </c>
      <c r="DA24" s="11">
        <v>3.3979585092453302E-2</v>
      </c>
      <c r="DB24" s="11">
        <v>-1.6501865848996312E-2</v>
      </c>
      <c r="DC24" s="11">
        <v>0.19117575817053481</v>
      </c>
      <c r="DD24" s="11">
        <v>-0.19584472218244131</v>
      </c>
      <c r="DE24" s="11">
        <v>0.13158559129553279</v>
      </c>
      <c r="DF24" s="11">
        <v>0.52558500614449799</v>
      </c>
      <c r="DG24" s="11">
        <v>0.11954528640013271</v>
      </c>
      <c r="DH24" s="11">
        <v>0.26580267599251223</v>
      </c>
      <c r="DI24" s="11">
        <v>3.7184908274380812E-2</v>
      </c>
      <c r="DJ24" s="11">
        <v>0.2293698745310894</v>
      </c>
      <c r="DK24" s="11">
        <v>0.1196801812081898</v>
      </c>
      <c r="DL24" s="11">
        <v>6.1360513215416877E-2</v>
      </c>
      <c r="DM24" s="11">
        <v>-4.1344524506759309E-4</v>
      </c>
      <c r="DN24" s="11">
        <v>0.23333457077469619</v>
      </c>
      <c r="DO24" s="11">
        <v>0.1156119550234804</v>
      </c>
      <c r="DP24" s="11">
        <v>0.22357182348369681</v>
      </c>
      <c r="DQ24" s="11">
        <v>0.35907130209664839</v>
      </c>
      <c r="DR24" s="11">
        <v>-2.0515630212029241E-2</v>
      </c>
      <c r="DS24" s="11">
        <v>-6.7362545713944635E-2</v>
      </c>
      <c r="DT24" s="11">
        <v>-2.9435726388863388E-2</v>
      </c>
      <c r="DU24" s="11">
        <v>-2.1781395361230051E-2</v>
      </c>
      <c r="DV24" s="11">
        <v>0.1582246986438143</v>
      </c>
      <c r="DW24" s="11">
        <v>0.10118249665524411</v>
      </c>
      <c r="DX24" s="11">
        <v>0.31159312779250392</v>
      </c>
      <c r="DY24" s="11">
        <v>-3.239876608542996E-3</v>
      </c>
      <c r="DZ24" s="11">
        <v>-0.43350657873669168</v>
      </c>
      <c r="EA24" s="11">
        <v>-2.3171501846674901E-2</v>
      </c>
      <c r="EB24" s="11">
        <v>0.58969791699909047</v>
      </c>
      <c r="EC24" s="11">
        <v>-1.4309918770678909E-2</v>
      </c>
      <c r="ED24" s="11">
        <v>5.6172845298362112E-2</v>
      </c>
      <c r="EE24" s="11">
        <v>0.10748065723441801</v>
      </c>
      <c r="EF24" s="11">
        <v>0.13408707635021461</v>
      </c>
      <c r="EG24">
        <f t="shared" si="10"/>
        <v>15.015091275775166</v>
      </c>
      <c r="EH24" s="12">
        <f t="shared" si="11"/>
        <v>0.11105227014496233</v>
      </c>
    </row>
    <row r="26" spans="1:138" x14ac:dyDescent="0.3">
      <c r="A26" t="s">
        <v>147</v>
      </c>
      <c r="B26" t="s">
        <v>148</v>
      </c>
      <c r="C26" s="18">
        <v>-1.7399999999999999E-2</v>
      </c>
      <c r="D26" s="18">
        <v>2.07E-2</v>
      </c>
      <c r="E26" s="18">
        <v>2.4E-2</v>
      </c>
      <c r="F26" s="18">
        <v>-6.6E-3</v>
      </c>
      <c r="G26" s="18">
        <v>3.1800000000000002E-2</v>
      </c>
      <c r="H26" s="18">
        <v>3.4299999999999997E-2</v>
      </c>
      <c r="I26" s="18">
        <v>-8.3000000000000001E-3</v>
      </c>
      <c r="J26" s="18">
        <v>1.2800000000000001E-2</v>
      </c>
      <c r="K26" s="18">
        <v>-5.0999999999999997E-2</v>
      </c>
      <c r="L26" s="18">
        <v>8.9999999999999998E-4</v>
      </c>
      <c r="M26" s="18">
        <v>2.3400000000000001E-2</v>
      </c>
      <c r="N26" s="18">
        <v>1.2999999999999999E-2</v>
      </c>
      <c r="O26" s="18">
        <v>5.8999999999999999E-3</v>
      </c>
      <c r="P26" s="18">
        <v>2.7400000000000001E-2</v>
      </c>
      <c r="Q26" s="18">
        <v>-3.7000000000000002E-3</v>
      </c>
      <c r="R26" s="18">
        <v>2.41E-2</v>
      </c>
      <c r="S26" s="18">
        <v>-1.2200000000000001E-2</v>
      </c>
      <c r="T26" s="18">
        <v>-3.9699999999999999E-2</v>
      </c>
      <c r="U26" s="18">
        <v>-7.3200000000000001E-2</v>
      </c>
      <c r="V26" s="18">
        <v>-5.8299999999999998E-2</v>
      </c>
      <c r="W26" s="18">
        <v>8.0000000000000004E-4</v>
      </c>
      <c r="X26" s="18">
        <v>4.4600000000000001E-2</v>
      </c>
      <c r="Y26" s="18">
        <v>-2.7699999999999999E-2</v>
      </c>
      <c r="Z26" s="18">
        <v>2.0999999999999999E-3</v>
      </c>
      <c r="AA26" s="18">
        <v>-2.3400000000000001E-2</v>
      </c>
      <c r="AB26" s="18">
        <v>3.2099999999999997E-2</v>
      </c>
      <c r="AC26" s="18">
        <v>3.8899999999999997E-2</v>
      </c>
      <c r="AD26" s="18">
        <v>-4.2900000000000001E-2</v>
      </c>
      <c r="AE26" s="18">
        <v>1.8599999999999998E-2</v>
      </c>
      <c r="AF26" s="18">
        <v>1.52E-2</v>
      </c>
      <c r="AG26" s="18">
        <v>3.5999999999999997E-2</v>
      </c>
      <c r="AH26" s="18">
        <v>9.4000000000000004E-3</v>
      </c>
      <c r="AI26" s="18">
        <v>1.0699999999999999E-2</v>
      </c>
      <c r="AJ26" s="18">
        <v>1.34E-2</v>
      </c>
      <c r="AK26" s="18">
        <v>-5.3E-3</v>
      </c>
      <c r="AL26" s="18">
        <v>1.4E-3</v>
      </c>
      <c r="AM26" s="18">
        <v>2.0799999999999999E-2</v>
      </c>
      <c r="AN26" s="18">
        <v>3.15E-2</v>
      </c>
      <c r="AO26" s="18">
        <v>6.1999999999999998E-3</v>
      </c>
      <c r="AP26" s="18">
        <v>6.1000000000000004E-3</v>
      </c>
      <c r="AQ26" s="18">
        <v>1.6899999999999998E-2</v>
      </c>
      <c r="AR26" s="18">
        <v>3.4700000000000002E-2</v>
      </c>
      <c r="AS26" s="18">
        <v>3.0999999999999999E-3</v>
      </c>
      <c r="AT26" s="18">
        <v>1.5100000000000001E-2</v>
      </c>
      <c r="AU26" s="18">
        <v>-1.9300000000000001E-2</v>
      </c>
      <c r="AV26" s="18">
        <v>3.8699999999999998E-2</v>
      </c>
      <c r="AW26" s="18">
        <v>-2.1899999999999999E-2</v>
      </c>
      <c r="AX26" s="18">
        <v>7.7999999999999996E-3</v>
      </c>
      <c r="AY26" s="18">
        <v>4.24E-2</v>
      </c>
      <c r="AZ26" s="18">
        <v>-2.63E-2</v>
      </c>
      <c r="BA26" s="18">
        <v>9.5999999999999992E-3</v>
      </c>
      <c r="BB26" s="18">
        <v>-2.4199999999999999E-2</v>
      </c>
      <c r="BC26" s="18">
        <v>2.0199999999999999E-2</v>
      </c>
      <c r="BD26" s="18">
        <v>-3.5000000000000001E-3</v>
      </c>
      <c r="BE26" s="18">
        <v>2.0199999999999999E-2</v>
      </c>
      <c r="BF26" s="18">
        <v>5.9999999999999995E-4</v>
      </c>
      <c r="BG26" s="18">
        <v>-5.1999999999999998E-3</v>
      </c>
      <c r="BH26" s="18">
        <v>-0.1159</v>
      </c>
      <c r="BI26" s="18">
        <v>8.6999999999999994E-3</v>
      </c>
      <c r="BJ26" s="18">
        <v>-1.6400000000000001E-2</v>
      </c>
      <c r="BK26" s="18">
        <v>2.0799999999999999E-2</v>
      </c>
      <c r="BL26" s="18">
        <v>4.4999999999999998E-2</v>
      </c>
      <c r="BM26" s="18">
        <v>2.4E-2</v>
      </c>
      <c r="BN26" s="18">
        <v>3.0200000000000001E-2</v>
      </c>
      <c r="BO26" s="18">
        <v>-4.3700000000000003E-2</v>
      </c>
      <c r="BP26" s="18">
        <v>2.1899999999999999E-2</v>
      </c>
      <c r="BQ26" s="18">
        <v>8.6E-3</v>
      </c>
      <c r="BR26" s="18">
        <v>-1.9199999999999998E-2</v>
      </c>
      <c r="BS26" s="18">
        <v>1.9699999999999999E-2</v>
      </c>
      <c r="BT26" s="18">
        <v>4.7699999999999999E-2</v>
      </c>
      <c r="BU26" s="18">
        <v>1.15E-2</v>
      </c>
      <c r="BV26" s="18">
        <v>4.3200000000000002E-2</v>
      </c>
      <c r="BW26" s="18">
        <v>-4.2700000000000002E-2</v>
      </c>
      <c r="BX26" s="18">
        <v>-1.78E-2</v>
      </c>
      <c r="BY26" s="18">
        <v>-0.1512</v>
      </c>
      <c r="BZ26" s="18">
        <v>0.1242</v>
      </c>
      <c r="CA26" s="18">
        <v>-4.5999999999999999E-3</v>
      </c>
      <c r="CB26" s="18">
        <v>6.0199999999999997E-2</v>
      </c>
      <c r="CC26" s="18">
        <v>8.5999999999999993E-2</v>
      </c>
      <c r="CD26" s="18">
        <v>-5.7999999999999996E-3</v>
      </c>
      <c r="CE26" s="18">
        <v>-6.0000000000000001E-3</v>
      </c>
      <c r="CF26" s="18">
        <v>2.5000000000000001E-3</v>
      </c>
      <c r="CG26" s="18">
        <v>8.9599999999999999E-2</v>
      </c>
      <c r="CH26" s="18">
        <v>7.0999999999999994E-2</v>
      </c>
      <c r="CI26" s="18">
        <v>2.7199999999999998E-2</v>
      </c>
      <c r="CJ26" s="18">
        <v>5.2499999999999998E-2</v>
      </c>
      <c r="CK26" s="18">
        <v>2.9499999999999998E-2</v>
      </c>
      <c r="CL26" s="18">
        <v>6.6799999999999998E-2</v>
      </c>
      <c r="CM26" s="18">
        <v>-2.8799999999999999E-2</v>
      </c>
      <c r="CN26" s="18">
        <v>3.95E-2</v>
      </c>
      <c r="CO26" s="18">
        <v>-2.9000000000000001E-2</v>
      </c>
      <c r="CP26" s="18">
        <v>1.4E-2</v>
      </c>
      <c r="CQ26" s="18">
        <v>-3.2300000000000002E-2</v>
      </c>
      <c r="CR26" s="18">
        <v>3.0999999999999999E-3</v>
      </c>
      <c r="CS26" s="18">
        <v>2.5600000000000001E-2</v>
      </c>
      <c r="CT26" s="18">
        <v>4.4400000000000002E-2</v>
      </c>
      <c r="CU26" s="18">
        <v>-3.0300000000000001E-2</v>
      </c>
      <c r="CV26" s="18">
        <v>-1.2999999999999999E-3</v>
      </c>
      <c r="CW26" s="18">
        <v>2.3E-3</v>
      </c>
      <c r="CX26" s="18">
        <v>-6.4299999999999996E-2</v>
      </c>
      <c r="CY26" s="18">
        <v>1.29E-2</v>
      </c>
      <c r="CZ26" s="18">
        <v>-0.1255</v>
      </c>
      <c r="DA26" s="18">
        <v>1.17E-2</v>
      </c>
      <c r="DB26" s="18">
        <v>6.3E-3</v>
      </c>
      <c r="DC26" s="18">
        <v>-0.1173</v>
      </c>
      <c r="DD26" s="18">
        <v>-3.5999999999999997E-2</v>
      </c>
      <c r="DE26" s="18">
        <v>0.1389</v>
      </c>
      <c r="DF26" s="18">
        <v>-5.11E-2</v>
      </c>
      <c r="DG26" s="18">
        <v>7.6700000000000004E-2</v>
      </c>
      <c r="DH26" s="18">
        <v>1.55E-2</v>
      </c>
      <c r="DI26" s="18">
        <v>2.3199999999999998E-2</v>
      </c>
      <c r="DJ26" s="18">
        <v>-1.84E-2</v>
      </c>
      <c r="DK26" s="18">
        <v>6.2199999999999998E-2</v>
      </c>
      <c r="DL26" s="18">
        <v>2.01E-2</v>
      </c>
      <c r="DM26" s="18">
        <v>1.35E-2</v>
      </c>
      <c r="DN26" s="18">
        <v>-3.0300000000000001E-2</v>
      </c>
      <c r="DO26" s="18">
        <v>-1.7000000000000001E-2</v>
      </c>
      <c r="DP26" s="18">
        <v>-2.18E-2</v>
      </c>
      <c r="DQ26" s="18">
        <v>8.5699999999999998E-2</v>
      </c>
      <c r="DR26" s="18">
        <v>2.81E-2</v>
      </c>
      <c r="DS26" s="18">
        <v>-2.3E-3</v>
      </c>
      <c r="DT26" s="18">
        <v>5.8500000000000003E-2</v>
      </c>
      <c r="DU26" s="18">
        <v>6.7699999999999996E-2</v>
      </c>
      <c r="DV26" s="18">
        <v>5.0000000000000001E-3</v>
      </c>
      <c r="DW26" s="18">
        <v>3.7400000000000003E-2</v>
      </c>
      <c r="DX26" s="18">
        <v>8.4099999999999994E-2</v>
      </c>
      <c r="DY26" s="18">
        <v>-3.6799999999999999E-2</v>
      </c>
      <c r="DZ26" s="18">
        <v>3.0999999999999999E-3</v>
      </c>
      <c r="EA26" s="18">
        <v>-2E-3</v>
      </c>
      <c r="EB26" s="18">
        <v>2.6499999999999999E-2</v>
      </c>
      <c r="EC26" s="18">
        <v>-2.4799999999999999E-2</v>
      </c>
      <c r="ED26" s="18">
        <v>3.4099999999999998E-2</v>
      </c>
      <c r="EE26" s="18">
        <v>2.1100000000000001E-2</v>
      </c>
      <c r="EF26" s="18">
        <v>-2.0277393000000001E-2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25"/>
  <sheetViews>
    <sheetView topLeftCell="DW5" zoomScale="96" workbookViewId="0">
      <selection activeCell="I14" sqref="I14"/>
    </sheetView>
  </sheetViews>
  <sheetFormatPr defaultRowHeight="15" x14ac:dyDescent="0.3"/>
  <sheetData>
    <row r="1" spans="1:137" x14ac:dyDescent="0.3">
      <c r="A1" t="s">
        <v>149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7" x14ac:dyDescent="0.3">
      <c r="B3" s="1" t="s">
        <v>136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137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138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7" x14ac:dyDescent="0.3">
      <c r="A6" s="22" t="s">
        <v>139</v>
      </c>
      <c r="B6" s="23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EG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>
        <v>10</v>
      </c>
      <c r="B12" s="1">
        <v>96</v>
      </c>
      <c r="C12" s="7">
        <v>8.4653346747999555E-2</v>
      </c>
      <c r="D12" s="7">
        <v>0.11468862904522351</v>
      </c>
      <c r="E12" s="7">
        <v>4.802682338720253E-2</v>
      </c>
      <c r="F12" s="7">
        <v>1.342110438955847E-2</v>
      </c>
      <c r="G12" s="7">
        <v>1.172466777602472E-2</v>
      </c>
      <c r="H12" s="7">
        <v>3.8530512249887933E-2</v>
      </c>
      <c r="I12" s="7">
        <v>1.2809788693165489E-2</v>
      </c>
      <c r="J12" s="7">
        <v>-2.9408122838989852E-2</v>
      </c>
      <c r="K12" s="7">
        <v>1.8774380137331209E-2</v>
      </c>
      <c r="L12" s="7">
        <v>-4.1890941049973679E-2</v>
      </c>
      <c r="M12" s="7">
        <v>-1.555180420016113E-2</v>
      </c>
      <c r="N12" s="7">
        <v>6.9326986778352848E-2</v>
      </c>
      <c r="O12" s="7">
        <v>1.7240739055052579E-2</v>
      </c>
      <c r="P12" s="7">
        <v>2.2997128793457439E-4</v>
      </c>
      <c r="Q12" s="7">
        <v>3.5269885452478403E-2</v>
      </c>
      <c r="R12" s="7">
        <v>6.6628837952368673E-3</v>
      </c>
      <c r="S12" s="7">
        <v>-1.6472394741932041E-2</v>
      </c>
      <c r="T12" s="7">
        <v>-4.3243488819513169E-2</v>
      </c>
      <c r="U12" s="7">
        <v>-1.6178598882878859E-2</v>
      </c>
      <c r="V12" s="7">
        <v>6.2044700693444643E-3</v>
      </c>
      <c r="W12" s="7">
        <v>2.227844197331175E-2</v>
      </c>
      <c r="X12" s="7">
        <v>2.7073890424547119E-2</v>
      </c>
      <c r="Y12" s="7">
        <v>1.544036841356077E-2</v>
      </c>
      <c r="Z12" s="7">
        <v>5.1659076098035236E-3</v>
      </c>
      <c r="AA12" s="7">
        <v>-1.1512545712225739E-2</v>
      </c>
      <c r="AB12" s="7">
        <v>-1.073332960413877E-2</v>
      </c>
      <c r="AC12" s="7">
        <v>5.1673797604565516E-3</v>
      </c>
      <c r="AD12" s="7">
        <v>2.5304298312235208E-3</v>
      </c>
      <c r="AE12" s="7">
        <v>-5.8316963071098869E-2</v>
      </c>
      <c r="AF12" s="7">
        <v>2.0432151303864929E-2</v>
      </c>
      <c r="AG12" s="7">
        <v>1.207912796320139E-2</v>
      </c>
      <c r="AH12" s="7">
        <v>1.3405804649633229E-2</v>
      </c>
      <c r="AI12" s="7">
        <v>1.9506051180185949E-2</v>
      </c>
      <c r="AJ12" s="7">
        <v>1.298374754605458E-2</v>
      </c>
      <c r="AK12" s="7">
        <v>4.8123704152134412E-2</v>
      </c>
      <c r="AL12" s="7">
        <v>1.7859003021922081E-2</v>
      </c>
      <c r="AM12" s="7">
        <v>3.0086115612597931E-2</v>
      </c>
      <c r="AN12" s="7">
        <v>6.9233234313428524E-2</v>
      </c>
      <c r="AO12" s="7">
        <v>2.228793039673051E-3</v>
      </c>
      <c r="AP12" s="7">
        <v>-3.3718344781849152E-2</v>
      </c>
      <c r="AQ12" s="7">
        <v>-7.6219363885838051E-3</v>
      </c>
      <c r="AR12" s="7">
        <v>1.35262594499664E-2</v>
      </c>
      <c r="AS12" s="7">
        <v>1.9099718454700602E-2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4.3598467253422833E-2</v>
      </c>
      <c r="AY12" s="7">
        <v>2.4955293067673249E-2</v>
      </c>
      <c r="AZ12" s="7">
        <v>-2.3000260716576439E-3</v>
      </c>
      <c r="BA12" s="7">
        <v>7.1276156280934935E-2</v>
      </c>
      <c r="BB12" s="7">
        <v>5.7853949142751861E-3</v>
      </c>
      <c r="BC12" s="7">
        <v>1.227278903847649E-2</v>
      </c>
      <c r="BD12" s="7">
        <v>1.3630556941652629E-2</v>
      </c>
      <c r="BE12" s="7">
        <v>1.860880983938528E-2</v>
      </c>
      <c r="BF12" s="7">
        <v>6.7792352483200119E-2</v>
      </c>
      <c r="BG12" s="7">
        <v>3.3670862441262807E-2</v>
      </c>
      <c r="BH12" s="7">
        <v>1.422336001132196E-2</v>
      </c>
      <c r="BI12" s="7">
        <v>5.002125303099076E-2</v>
      </c>
      <c r="BJ12" s="7">
        <v>-7.9599331991781624E-4</v>
      </c>
      <c r="BK12" s="7">
        <v>-2.1284664960133971E-2</v>
      </c>
      <c r="BL12" s="7">
        <v>2.4709245830148639E-2</v>
      </c>
      <c r="BM12" s="7">
        <v>-5.030568452332447E-2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4.5356945691272972E-2</v>
      </c>
      <c r="CA12" s="7">
        <v>-3.4400287440342493E-2</v>
      </c>
      <c r="CB12" s="7">
        <v>1.943242131762835E-3</v>
      </c>
      <c r="CC12" s="7">
        <v>6.5566612627689883E-2</v>
      </c>
      <c r="CD12" s="7">
        <v>4.4258488563941309E-2</v>
      </c>
      <c r="CE12" s="7">
        <v>0.15400701288974189</v>
      </c>
      <c r="CF12" s="7">
        <v>4.0778952837748463E-3</v>
      </c>
      <c r="CG12" s="7">
        <v>3.0864849735211247E-4</v>
      </c>
      <c r="CH12" s="7">
        <v>6.3297372377959904E-2</v>
      </c>
      <c r="CI12" s="7">
        <v>-3.4655912412205718E-2</v>
      </c>
      <c r="CJ12" s="7">
        <v>1.544518047868886E-2</v>
      </c>
      <c r="CK12" s="7">
        <v>1.2803144154834811E-2</v>
      </c>
      <c r="CL12" s="7">
        <v>0.1180156076696104</v>
      </c>
      <c r="CM12" s="7">
        <v>-1.5219726167340819E-2</v>
      </c>
      <c r="CN12" s="7">
        <v>-2.7083701214559368E-2</v>
      </c>
      <c r="CO12" s="7">
        <v>-2.7266126880105788E-2</v>
      </c>
      <c r="CP12" s="7">
        <v>4.5299021467493747E-2</v>
      </c>
      <c r="CQ12" s="7">
        <v>-6.2684347003574781E-2</v>
      </c>
      <c r="CR12" s="7">
        <v>4.814662528730166E-2</v>
      </c>
      <c r="CS12" s="7">
        <v>-1.450965043846953E-2</v>
      </c>
      <c r="CT12" s="7">
        <v>-8.2403602353092742E-4</v>
      </c>
      <c r="CU12" s="7">
        <v>3.5623715662195188E-2</v>
      </c>
      <c r="CV12" s="7">
        <v>8.1126263755370142E-3</v>
      </c>
      <c r="CW12" s="7">
        <v>5.5479247445322649E-3</v>
      </c>
      <c r="CX12" s="7">
        <v>6.098988253699178E-2</v>
      </c>
      <c r="CY12" s="7">
        <v>-5.982942211490587E-3</v>
      </c>
      <c r="CZ12" s="7">
        <v>7.7792327339500603E-2</v>
      </c>
      <c r="DA12" s="7">
        <v>5.6037840703605252E-3</v>
      </c>
      <c r="DB12" s="7">
        <v>8.8981816498044985E-2</v>
      </c>
      <c r="DC12" s="7">
        <v>1.1472973291489949E-2</v>
      </c>
      <c r="DD12" s="7">
        <v>-3.9091997331507103E-2</v>
      </c>
      <c r="DE12" s="7">
        <v>1.198108381221169E-3</v>
      </c>
      <c r="DF12" s="7">
        <v>-6.834525736040385E-3</v>
      </c>
      <c r="DG12" s="7">
        <v>-9.4770893931691788E-4</v>
      </c>
      <c r="DH12" s="7">
        <v>-3.8226819714325612E-3</v>
      </c>
      <c r="DI12" s="7">
        <v>-5.4443172992132437E-2</v>
      </c>
      <c r="DJ12" s="7">
        <v>1.511820812609203E-2</v>
      </c>
      <c r="DK12" s="7">
        <v>-1.5945953127016341E-2</v>
      </c>
      <c r="DL12" s="7">
        <v>-3.5467602264376702E-4</v>
      </c>
      <c r="DM12" s="7">
        <v>-4.8403492450799163E-3</v>
      </c>
      <c r="DN12" s="7">
        <v>4.2410365386064831E-2</v>
      </c>
      <c r="DO12" s="7">
        <v>2.259973368032869E-2</v>
      </c>
      <c r="DP12" s="7">
        <v>3.2584449600297112E-2</v>
      </c>
      <c r="DQ12" s="7">
        <v>-3.3862120353048523E-2</v>
      </c>
      <c r="DR12" s="7">
        <v>1.8778943279386909E-2</v>
      </c>
      <c r="DS12" s="7">
        <v>-3.5726155451697807E-2</v>
      </c>
      <c r="DT12" s="7">
        <v>2.5117616030836221E-2</v>
      </c>
      <c r="DU12" s="7">
        <v>-5.7230283144308662E-2</v>
      </c>
      <c r="DV12" s="7">
        <v>4.8550824477530688E-2</v>
      </c>
      <c r="DW12" s="7">
        <v>4.3725564220037427E-2</v>
      </c>
      <c r="DX12" s="7">
        <v>-5.0152080542361532E-2</v>
      </c>
      <c r="DY12" s="7">
        <v>5.3145310887610077E-2</v>
      </c>
      <c r="DZ12" s="7">
        <v>6.2271493484882473E-3</v>
      </c>
      <c r="EA12" s="7">
        <v>5.1097632537531287E-2</v>
      </c>
      <c r="EB12" s="7">
        <v>2.8283267748527709E-3</v>
      </c>
      <c r="EC12" s="7">
        <v>-9.8063813353844453E-3</v>
      </c>
      <c r="ED12" s="7">
        <v>-6.050815280848415E-2</v>
      </c>
      <c r="EE12" s="7">
        <v>1.1917096272487391E-2</v>
      </c>
      <c r="EF12" s="8">
        <v>3.9233348038795662E-2</v>
      </c>
    </row>
    <row r="13" spans="1:137" x14ac:dyDescent="0.3">
      <c r="A13" s="1">
        <v>20</v>
      </c>
      <c r="B13" s="1">
        <v>48</v>
      </c>
      <c r="C13" s="7">
        <v>0.104112750252762</v>
      </c>
      <c r="D13" s="7">
        <v>0.1237450287927723</v>
      </c>
      <c r="E13" s="7">
        <v>6.9861556352806456E-2</v>
      </c>
      <c r="F13" s="7">
        <v>-1.14552398753768E-2</v>
      </c>
      <c r="G13" s="7">
        <v>1.574442605445054E-2</v>
      </c>
      <c r="H13" s="7">
        <v>2.9989631725721271E-2</v>
      </c>
      <c r="I13" s="7">
        <v>2.9130594923697638E-2</v>
      </c>
      <c r="J13" s="7">
        <v>-4.3899227077412117E-2</v>
      </c>
      <c r="K13" s="7">
        <v>-1.3673068264474649E-3</v>
      </c>
      <c r="L13" s="7">
        <v>-6.0251612936536372E-3</v>
      </c>
      <c r="M13" s="7">
        <v>7.7086562624922028E-3</v>
      </c>
      <c r="N13" s="7">
        <v>9.9806916956670585E-2</v>
      </c>
      <c r="O13" s="7">
        <v>3.9789291626632438E-2</v>
      </c>
      <c r="P13" s="7">
        <v>1.679162773809062E-2</v>
      </c>
      <c r="Q13" s="7">
        <v>7.3224368487557437E-2</v>
      </c>
      <c r="R13" s="7">
        <v>1.4159944486036529E-2</v>
      </c>
      <c r="S13" s="7">
        <v>-1.224367120891299E-2</v>
      </c>
      <c r="T13" s="7">
        <v>-5.2899802908693339E-2</v>
      </c>
      <c r="U13" s="7">
        <v>1.5970162331858111E-3</v>
      </c>
      <c r="V13" s="7">
        <v>-2.009432801387449E-2</v>
      </c>
      <c r="W13" s="7">
        <v>3.1103087884369891E-2</v>
      </c>
      <c r="X13" s="7">
        <v>5.327689472594363E-2</v>
      </c>
      <c r="Y13" s="7">
        <v>1.392099255764867E-2</v>
      </c>
      <c r="Z13" s="7">
        <v>2.0583761169128259E-2</v>
      </c>
      <c r="AA13" s="7">
        <v>-1.6440619450324361E-2</v>
      </c>
      <c r="AB13" s="7">
        <v>-1.5001573328978489E-2</v>
      </c>
      <c r="AC13" s="7">
        <v>8.0314397959504041E-3</v>
      </c>
      <c r="AD13" s="7">
        <v>2.0440228373792429E-2</v>
      </c>
      <c r="AE13" s="7">
        <v>-6.5719382027610476E-2</v>
      </c>
      <c r="AF13" s="7">
        <v>3.1940463834301228E-2</v>
      </c>
      <c r="AG13" s="7">
        <v>3.282310180952513E-3</v>
      </c>
      <c r="AH13" s="7">
        <v>9.6413392395163916E-3</v>
      </c>
      <c r="AI13" s="7">
        <v>1.20675500740728E-2</v>
      </c>
      <c r="AJ13" s="7">
        <v>-1.628046998827572E-2</v>
      </c>
      <c r="AK13" s="7">
        <v>6.5987912810655996E-2</v>
      </c>
      <c r="AL13" s="7">
        <v>2.3151428595171029E-2</v>
      </c>
      <c r="AM13" s="7">
        <v>4.6282443536828928E-2</v>
      </c>
      <c r="AN13" s="7">
        <v>0.10533023813603409</v>
      </c>
      <c r="AO13" s="7">
        <v>9.3111878994149404E-3</v>
      </c>
      <c r="AP13" s="7">
        <v>-5.9550840361997717E-2</v>
      </c>
      <c r="AQ13" s="7">
        <v>-6.0492887688996834E-3</v>
      </c>
      <c r="AR13" s="7">
        <v>1.0689185535935661E-2</v>
      </c>
      <c r="AS13" s="7">
        <v>4.1313118484234093E-2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6.7153787783110333E-2</v>
      </c>
      <c r="AY13" s="7">
        <v>1.756434634862496E-2</v>
      </c>
      <c r="AZ13" s="7">
        <v>-8.1034674694993921E-3</v>
      </c>
      <c r="BA13" s="7">
        <v>7.9829120343788335E-2</v>
      </c>
      <c r="BB13" s="7">
        <v>2.6046345532896049E-2</v>
      </c>
      <c r="BC13" s="7">
        <v>1.128376711165765E-2</v>
      </c>
      <c r="BD13" s="7">
        <v>3.344428383681335E-3</v>
      </c>
      <c r="BE13" s="7">
        <v>2.7391806305641558E-2</v>
      </c>
      <c r="BF13" s="7">
        <v>8.3929415307496771E-2</v>
      </c>
      <c r="BG13" s="7">
        <v>4.6566462338711673E-2</v>
      </c>
      <c r="BH13" s="7">
        <v>8.4757298116190372E-3</v>
      </c>
      <c r="BI13" s="7">
        <v>5.2409132456701382E-2</v>
      </c>
      <c r="BJ13" s="7">
        <v>-1.6847085990264871E-2</v>
      </c>
      <c r="BK13" s="7">
        <v>-1.8391024879749449E-2</v>
      </c>
      <c r="BL13" s="7">
        <v>3.1947860213175139E-2</v>
      </c>
      <c r="BM13" s="7">
        <v>-5.3371768695190711E-2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7.6138123059050211E-2</v>
      </c>
      <c r="CA13" s="7">
        <v>-3.3531565600396843E-2</v>
      </c>
      <c r="CB13" s="7">
        <v>-6.5958267252201053E-3</v>
      </c>
      <c r="CC13" s="7">
        <v>0.12011817373823321</v>
      </c>
      <c r="CD13" s="7">
        <v>5.52560480214307E-2</v>
      </c>
      <c r="CE13" s="7">
        <v>0.18382783645560871</v>
      </c>
      <c r="CF13" s="7">
        <v>1.8228940836627482E-2</v>
      </c>
      <c r="CG13" s="7">
        <v>7.5602686763741878E-3</v>
      </c>
      <c r="CH13" s="7">
        <v>5.8334611827207158E-2</v>
      </c>
      <c r="CI13" s="7">
        <v>-5.1853509134263308E-2</v>
      </c>
      <c r="CJ13" s="7">
        <v>-3.106087971951194E-3</v>
      </c>
      <c r="CK13" s="7">
        <v>3.2045269236463968E-2</v>
      </c>
      <c r="CL13" s="7">
        <v>8.1453366102180805E-2</v>
      </c>
      <c r="CM13" s="7">
        <v>-1.0296803756394969E-2</v>
      </c>
      <c r="CN13" s="7">
        <v>-2.688756599885234E-2</v>
      </c>
      <c r="CO13" s="7">
        <v>-1.345745856322739E-2</v>
      </c>
      <c r="CP13" s="7">
        <v>6.9726540277734339E-2</v>
      </c>
      <c r="CQ13" s="7">
        <v>-7.1178864968403879E-2</v>
      </c>
      <c r="CR13" s="7">
        <v>6.4380648737412241E-2</v>
      </c>
      <c r="CS13" s="7">
        <v>3.947650662960555E-3</v>
      </c>
      <c r="CT13" s="7">
        <v>8.0707993163786768E-3</v>
      </c>
      <c r="CU13" s="7">
        <v>3.7161402282311212E-2</v>
      </c>
      <c r="CV13" s="7">
        <v>-2.9533121732579042E-3</v>
      </c>
      <c r="CW13" s="7">
        <v>5.97703085624611E-3</v>
      </c>
      <c r="CX13" s="7">
        <v>6.0033255240053027E-2</v>
      </c>
      <c r="CY13" s="7">
        <v>-1.3118740115012659E-2</v>
      </c>
      <c r="CZ13" s="7">
        <v>5.7224220353485122E-2</v>
      </c>
      <c r="DA13" s="7">
        <v>-5.583676925821391E-3</v>
      </c>
      <c r="DB13" s="7">
        <v>0.1062353213029536</v>
      </c>
      <c r="DC13" s="7">
        <v>2.354099866843842E-2</v>
      </c>
      <c r="DD13" s="7">
        <v>-5.1406653602818438E-2</v>
      </c>
      <c r="DE13" s="7">
        <v>5.9289571260749546E-3</v>
      </c>
      <c r="DF13" s="7">
        <v>-2.8518796793634778E-2</v>
      </c>
      <c r="DG13" s="7">
        <v>-1.6306571728899009E-3</v>
      </c>
      <c r="DH13" s="7">
        <v>1.129576788191507E-2</v>
      </c>
      <c r="DI13" s="7">
        <v>-4.5977025094676827E-2</v>
      </c>
      <c r="DJ13" s="7">
        <v>5.9835846368128413E-3</v>
      </c>
      <c r="DK13" s="7">
        <v>1.240907421862765E-2</v>
      </c>
      <c r="DL13" s="7">
        <v>-1.6300246491314559E-2</v>
      </c>
      <c r="DM13" s="7">
        <v>-6.6588690484439203E-3</v>
      </c>
      <c r="DN13" s="7">
        <v>1.1499577922513139E-2</v>
      </c>
      <c r="DO13" s="7">
        <v>4.6891412388131722E-2</v>
      </c>
      <c r="DP13" s="7">
        <v>4.8786635856269467E-2</v>
      </c>
      <c r="DQ13" s="7">
        <v>-3.3966462251962683E-2</v>
      </c>
      <c r="DR13" s="7">
        <v>1.377120927231194E-2</v>
      </c>
      <c r="DS13" s="7">
        <v>-3.8887627839669842E-2</v>
      </c>
      <c r="DT13" s="7">
        <v>5.0831259890505333E-2</v>
      </c>
      <c r="DU13" s="7">
        <v>-3.3006159442618463E-2</v>
      </c>
      <c r="DV13" s="7">
        <v>7.9620144024188558E-2</v>
      </c>
      <c r="DW13" s="7">
        <v>4.4417789624350307E-2</v>
      </c>
      <c r="DX13" s="7">
        <v>-6.4523379578496173E-2</v>
      </c>
      <c r="DY13" s="7">
        <v>5.6981339047558921E-2</v>
      </c>
      <c r="DZ13" s="7">
        <v>1.8302124146301689E-2</v>
      </c>
      <c r="EA13" s="7">
        <v>6.2118677176029868E-2</v>
      </c>
      <c r="EB13" s="7">
        <v>2.1373218199386389E-2</v>
      </c>
      <c r="EC13" s="7">
        <v>-1.877600359538225E-2</v>
      </c>
      <c r="ED13" s="7">
        <v>-6.5682093659234955E-2</v>
      </c>
      <c r="EE13" s="7">
        <v>7.9525935749644935E-3</v>
      </c>
      <c r="EF13" s="8">
        <v>6.6577215363556236E-2</v>
      </c>
    </row>
    <row r="14" spans="1:137" x14ac:dyDescent="0.3">
      <c r="A14" s="1">
        <v>50</v>
      </c>
      <c r="B14" s="1">
        <v>19</v>
      </c>
      <c r="C14" s="7">
        <v>0.1199414897527061</v>
      </c>
      <c r="D14" s="7">
        <v>0.22230844854062601</v>
      </c>
      <c r="E14" s="7">
        <v>9.8768248142222112E-2</v>
      </c>
      <c r="F14" s="7">
        <v>3.454246416569963E-2</v>
      </c>
      <c r="G14" s="7">
        <v>8.5148761783734067E-2</v>
      </c>
      <c r="H14" s="7">
        <v>5.9587806435440108E-2</v>
      </c>
      <c r="I14" s="7">
        <v>7.7114962431364939E-2</v>
      </c>
      <c r="J14" s="7">
        <v>-0.1050943867827082</v>
      </c>
      <c r="K14" s="7">
        <v>1.245116151579238E-2</v>
      </c>
      <c r="L14" s="7">
        <v>-8.4804475655485129E-3</v>
      </c>
      <c r="M14" s="7">
        <v>4.9945200667877512E-3</v>
      </c>
      <c r="N14" s="7">
        <v>0.20483257514122591</v>
      </c>
      <c r="O14" s="7">
        <v>3.9642308069534393E-2</v>
      </c>
      <c r="P14" s="7">
        <v>4.7779764282807252E-2</v>
      </c>
      <c r="Q14" s="7">
        <v>5.8237946154634852E-2</v>
      </c>
      <c r="R14" s="7">
        <v>-1.41517963055246E-2</v>
      </c>
      <c r="S14" s="7">
        <v>3.8534099526017718E-2</v>
      </c>
      <c r="T14" s="7">
        <v>-6.9841479520895866E-2</v>
      </c>
      <c r="U14" s="7">
        <v>3.6579129519701881E-2</v>
      </c>
      <c r="V14" s="7">
        <v>-3.837554626450454E-2</v>
      </c>
      <c r="W14" s="7">
        <v>7.4008159388253003E-2</v>
      </c>
      <c r="X14" s="7">
        <v>5.3581708514183243E-2</v>
      </c>
      <c r="Y14" s="7">
        <v>-1.676266335668946E-2</v>
      </c>
      <c r="Z14" s="7">
        <v>2.1252201103450909E-2</v>
      </c>
      <c r="AA14" s="7">
        <v>-2.6273997668139859E-3</v>
      </c>
      <c r="AB14" s="7">
        <v>-2.7335978605554132E-2</v>
      </c>
      <c r="AC14" s="7">
        <v>-2.929208376556364E-2</v>
      </c>
      <c r="AD14" s="7">
        <v>6.9874591735142114E-2</v>
      </c>
      <c r="AE14" s="7">
        <v>-4.0189068228804886E-3</v>
      </c>
      <c r="AF14" s="7">
        <v>4.0420702542399108E-2</v>
      </c>
      <c r="AG14" s="7">
        <v>6.3902010138930376E-3</v>
      </c>
      <c r="AH14" s="7">
        <v>5.250277930506024E-3</v>
      </c>
      <c r="AI14" s="7">
        <v>7.2072950927120863E-2</v>
      </c>
      <c r="AJ14" s="7">
        <v>1.505903608315101E-2</v>
      </c>
      <c r="AK14" s="7">
        <v>7.6911430858302002E-2</v>
      </c>
      <c r="AL14" s="7">
        <v>3.7969189722460717E-2</v>
      </c>
      <c r="AM14" s="7">
        <v>6.1242166378625243E-2</v>
      </c>
      <c r="AN14" s="7">
        <v>9.8594666769543718E-2</v>
      </c>
      <c r="AO14" s="7">
        <v>6.0905705465409951E-2</v>
      </c>
      <c r="AP14" s="7">
        <v>-6.9976525152084204E-2</v>
      </c>
      <c r="AQ14" s="7">
        <v>-3.6796773775995059E-4</v>
      </c>
      <c r="AR14" s="7">
        <v>3.764583976226292E-2</v>
      </c>
      <c r="AS14" s="7">
        <v>8.5376985953046783E-2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0.13695102829439271</v>
      </c>
      <c r="AY14" s="7">
        <v>1.5068118771761551E-2</v>
      </c>
      <c r="AZ14" s="7">
        <v>-5.3348569172156059E-2</v>
      </c>
      <c r="BA14" s="7">
        <v>9.6337325355973988E-2</v>
      </c>
      <c r="BB14" s="7">
        <v>0.101898340258458</v>
      </c>
      <c r="BC14" s="7">
        <v>-9.8209989552774171E-3</v>
      </c>
      <c r="BD14" s="7">
        <v>4.3327781667405418E-2</v>
      </c>
      <c r="BE14" s="7">
        <v>4.3787062535487017E-2</v>
      </c>
      <c r="BF14" s="7">
        <v>4.0770521545689782E-2</v>
      </c>
      <c r="BG14" s="7">
        <v>4.1374264073932777E-2</v>
      </c>
      <c r="BH14" s="7">
        <v>5.3427555686006711E-3</v>
      </c>
      <c r="BI14" s="7">
        <v>5.0185212890853773E-2</v>
      </c>
      <c r="BJ14" s="7">
        <v>-2.0017223671233209E-2</v>
      </c>
      <c r="BK14" s="7">
        <v>-5.5937516570728277E-3</v>
      </c>
      <c r="BL14" s="7">
        <v>5.9737766842370338E-2</v>
      </c>
      <c r="BM14" s="7">
        <v>-4.6278325003000387E-2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6.0034056828782267E-2</v>
      </c>
      <c r="CA14" s="7">
        <v>-2.446526611493707E-2</v>
      </c>
      <c r="CB14" s="7">
        <v>2.2127616542174811E-2</v>
      </c>
      <c r="CC14" s="7">
        <v>0.1205961585891825</v>
      </c>
      <c r="CD14" s="7">
        <v>4.7921840912584578E-2</v>
      </c>
      <c r="CE14" s="7">
        <v>0.1705553024885505</v>
      </c>
      <c r="CF14" s="7">
        <v>-2.0310216922519591E-2</v>
      </c>
      <c r="CG14" s="7">
        <v>0.13892667651794</v>
      </c>
      <c r="CH14" s="7">
        <v>6.46613922782171E-2</v>
      </c>
      <c r="CI14" s="7">
        <v>-0.1058847773633588</v>
      </c>
      <c r="CJ14" s="7">
        <v>-2.866785494417454E-2</v>
      </c>
      <c r="CK14" s="7">
        <v>1.40163643906461E-2</v>
      </c>
      <c r="CL14" s="7">
        <v>6.2269954878836478E-2</v>
      </c>
      <c r="CM14" s="7">
        <v>3.2040010368317121E-2</v>
      </c>
      <c r="CN14" s="7">
        <v>-2.3026688670926061E-2</v>
      </c>
      <c r="CO14" s="7">
        <v>-7.3587720038892968E-2</v>
      </c>
      <c r="CP14" s="7">
        <v>9.9809331481752833E-2</v>
      </c>
      <c r="CQ14" s="7">
        <v>-3.2227899887387702E-2</v>
      </c>
      <c r="CR14" s="7">
        <v>6.2640655376448015E-2</v>
      </c>
      <c r="CS14" s="7">
        <v>-3.8161133435199359E-3</v>
      </c>
      <c r="CT14" s="7">
        <v>1.910057655068487E-2</v>
      </c>
      <c r="CU14" s="7">
        <v>-4.3917102697214612E-2</v>
      </c>
      <c r="CV14" s="7">
        <v>2.274571513825533E-2</v>
      </c>
      <c r="CW14" s="7">
        <v>-3.3983824634707719E-3</v>
      </c>
      <c r="CX14" s="7">
        <v>3.6299408888239168E-2</v>
      </c>
      <c r="CY14" s="7">
        <v>-2.875912029147424E-2</v>
      </c>
      <c r="CZ14" s="7">
        <v>6.4063563350383365E-2</v>
      </c>
      <c r="DA14" s="7">
        <v>-2.4304289170584491E-2</v>
      </c>
      <c r="DB14" s="7">
        <v>0.1046074411002299</v>
      </c>
      <c r="DC14" s="7">
        <v>1.4753761497027579E-2</v>
      </c>
      <c r="DD14" s="7">
        <v>-5.389996674879375E-2</v>
      </c>
      <c r="DE14" s="7">
        <v>5.3842996077645283E-3</v>
      </c>
      <c r="DF14" s="7">
        <v>-3.5856630557062542E-2</v>
      </c>
      <c r="DG14" s="7">
        <v>1.144655639331721E-2</v>
      </c>
      <c r="DH14" s="7">
        <v>4.7748372429115976E-3</v>
      </c>
      <c r="DI14" s="7">
        <v>-5.8597819708917052E-2</v>
      </c>
      <c r="DJ14" s="7">
        <v>1.589759181276991E-2</v>
      </c>
      <c r="DK14" s="7">
        <v>1.9071063117655919E-2</v>
      </c>
      <c r="DL14" s="7">
        <v>-1.516516155488855E-2</v>
      </c>
      <c r="DM14" s="7">
        <v>5.504269093650517E-3</v>
      </c>
      <c r="DN14" s="7">
        <v>4.2662495893264311E-2</v>
      </c>
      <c r="DO14" s="7">
        <v>4.1375645162797292E-2</v>
      </c>
      <c r="DP14" s="7">
        <v>4.3539716357652018E-2</v>
      </c>
      <c r="DQ14" s="7">
        <v>-5.6019285986190409E-2</v>
      </c>
      <c r="DR14" s="7">
        <v>5.2622519458999567E-2</v>
      </c>
      <c r="DS14" s="7">
        <v>-3.5044906270916831E-2</v>
      </c>
      <c r="DT14" s="7">
        <v>0.1176725133317565</v>
      </c>
      <c r="DU14" s="7">
        <v>-6.8795273192164358E-2</v>
      </c>
      <c r="DV14" s="7">
        <v>0.1082623545301073</v>
      </c>
      <c r="DW14" s="7">
        <v>9.8344367017777726E-2</v>
      </c>
      <c r="DX14" s="7">
        <v>-0.1019315055524211</v>
      </c>
      <c r="DY14" s="7">
        <v>7.4258700078750628E-2</v>
      </c>
      <c r="DZ14" s="7">
        <v>3.5030999863780207E-2</v>
      </c>
      <c r="EA14" s="7">
        <v>0.10752548319752379</v>
      </c>
      <c r="EB14" s="7">
        <v>3.317733311259085E-2</v>
      </c>
      <c r="EC14" s="7">
        <v>-1.92914596657494E-2</v>
      </c>
      <c r="ED14" s="7">
        <v>-0.102629709186187</v>
      </c>
      <c r="EE14" s="7">
        <v>1.886715684489253E-2</v>
      </c>
      <c r="EF14" s="8">
        <v>6.9956420498558061E-2</v>
      </c>
    </row>
    <row r="15" spans="1:137" x14ac:dyDescent="0.3">
      <c r="A15" s="1">
        <v>100</v>
      </c>
      <c r="B15" s="1">
        <v>10</v>
      </c>
      <c r="C15" s="7">
        <v>0.22764465877785839</v>
      </c>
      <c r="D15" s="7">
        <v>0.37270921560992559</v>
      </c>
      <c r="E15" s="7">
        <v>6.204568011695779E-2</v>
      </c>
      <c r="F15" s="7">
        <v>9.0303713009756648E-2</v>
      </c>
      <c r="G15" s="7">
        <v>9.6605590550261633E-2</v>
      </c>
      <c r="H15" s="7">
        <v>0.1188437037073593</v>
      </c>
      <c r="I15" s="7">
        <v>0.12672874111951199</v>
      </c>
      <c r="J15" s="7">
        <v>-6.4524690109755506E-2</v>
      </c>
      <c r="K15" s="7">
        <v>-4.2103663853407802E-3</v>
      </c>
      <c r="L15" s="7">
        <v>1.296708496104035E-2</v>
      </c>
      <c r="M15" s="7">
        <v>2.5497709479487259E-2</v>
      </c>
      <c r="N15" s="7">
        <v>0.33030933686480701</v>
      </c>
      <c r="O15" s="7">
        <v>4.6103493253125377E-2</v>
      </c>
      <c r="P15" s="7">
        <v>5.298328319235554E-2</v>
      </c>
      <c r="Q15" s="7">
        <v>0.1003753495838908</v>
      </c>
      <c r="R15" s="7">
        <v>1.6755436290618191E-2</v>
      </c>
      <c r="S15" s="7">
        <v>-4.3033933773331312E-2</v>
      </c>
      <c r="T15" s="7">
        <v>-6.6800124943112091E-2</v>
      </c>
      <c r="U15" s="7">
        <v>4.6790243158631693E-2</v>
      </c>
      <c r="V15" s="7">
        <v>-8.5680881878873433E-2</v>
      </c>
      <c r="W15" s="7">
        <v>0.1025435939827431</v>
      </c>
      <c r="X15" s="7">
        <v>7.8436412445587397E-2</v>
      </c>
      <c r="Y15" s="7">
        <v>-2.41886185471549E-2</v>
      </c>
      <c r="Z15" s="7">
        <v>-2.3656418685670762E-2</v>
      </c>
      <c r="AA15" s="7">
        <v>4.6586123925793019E-2</v>
      </c>
      <c r="AB15" s="7">
        <v>-2.2166400740933071E-2</v>
      </c>
      <c r="AC15" s="7">
        <v>-4.0055129570116199E-2</v>
      </c>
      <c r="AD15" s="7">
        <v>8.171337488818238E-2</v>
      </c>
      <c r="AE15" s="7">
        <v>4.7286476245703507E-2</v>
      </c>
      <c r="AF15" s="7">
        <v>6.5819612497039853E-2</v>
      </c>
      <c r="AG15" s="7">
        <v>-9.7453106019047206E-3</v>
      </c>
      <c r="AH15" s="7">
        <v>-3.3604373357676472E-2</v>
      </c>
      <c r="AI15" s="7">
        <v>8.5430110815606947E-2</v>
      </c>
      <c r="AJ15" s="7">
        <v>9.4648599674757375E-3</v>
      </c>
      <c r="AK15" s="7">
        <v>6.1759619658444932E-2</v>
      </c>
      <c r="AL15" s="7">
        <v>4.4431662495814539E-2</v>
      </c>
      <c r="AM15" s="7">
        <v>5.5122622134627111E-2</v>
      </c>
      <c r="AN15" s="7">
        <v>0.10168870591238351</v>
      </c>
      <c r="AO15" s="7">
        <v>6.3369812463467096E-2</v>
      </c>
      <c r="AP15" s="7">
        <v>-7.8285693892754235E-2</v>
      </c>
      <c r="AQ15" s="7">
        <v>-3.7367126796121669E-2</v>
      </c>
      <c r="AR15" s="7">
        <v>9.0293855475916673E-2</v>
      </c>
      <c r="AS15" s="7">
        <v>5.3821179037114017E-2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0.12523397717473519</v>
      </c>
      <c r="AY15" s="7">
        <v>2.8017064110032911E-2</v>
      </c>
      <c r="AZ15" s="7">
        <v>-9.1323280068503487E-2</v>
      </c>
      <c r="BA15" s="7">
        <v>0.15768794840833861</v>
      </c>
      <c r="BB15" s="7">
        <v>0.1087890998161227</v>
      </c>
      <c r="BC15" s="7">
        <v>6.2155143667830287E-2</v>
      </c>
      <c r="BD15" s="7">
        <v>5.3043273904796059E-2</v>
      </c>
      <c r="BE15" s="7">
        <v>4.8442721017663122E-2</v>
      </c>
      <c r="BF15" s="7">
        <v>4.7662979456752137E-2</v>
      </c>
      <c r="BG15" s="7">
        <v>2.489538734565238E-3</v>
      </c>
      <c r="BH15" s="7">
        <v>3.4441845481689458E-2</v>
      </c>
      <c r="BI15" s="7">
        <v>6.8586659114969639E-2</v>
      </c>
      <c r="BJ15" s="7">
        <v>-1.1265027087445249E-2</v>
      </c>
      <c r="BK15" s="7">
        <v>8.2375226780603827E-4</v>
      </c>
      <c r="BL15" s="7">
        <v>5.940387134134844E-2</v>
      </c>
      <c r="BM15" s="7">
        <v>-4.8219004487744091E-2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0.1029064689773473</v>
      </c>
      <c r="CA15" s="7">
        <v>-1.859202079644226E-2</v>
      </c>
      <c r="CB15" s="7">
        <v>1.5056894011824499E-2</v>
      </c>
      <c r="CC15" s="7">
        <v>0.17365170572211991</v>
      </c>
      <c r="CD15" s="7">
        <v>8.9094519675820161E-2</v>
      </c>
      <c r="CE15" s="7">
        <v>7.3368120048450503E-2</v>
      </c>
      <c r="CF15" s="7">
        <v>-3.626816930322469E-3</v>
      </c>
      <c r="CG15" s="7">
        <v>0.2257312272651272</v>
      </c>
      <c r="CH15" s="7">
        <v>6.2885958283701332E-2</v>
      </c>
      <c r="CI15" s="7">
        <v>-3.8798414894980787E-2</v>
      </c>
      <c r="CJ15" s="7">
        <v>-8.7044356072718085E-2</v>
      </c>
      <c r="CK15" s="7">
        <v>5.667264577209942E-2</v>
      </c>
      <c r="CL15" s="7">
        <v>3.1421974993248308E-2</v>
      </c>
      <c r="CM15" s="7">
        <v>7.4631116128453773E-2</v>
      </c>
      <c r="CN15" s="7">
        <v>-4.2634115799160301E-2</v>
      </c>
      <c r="CO15" s="7">
        <v>-0.12944902488204141</v>
      </c>
      <c r="CP15" s="7">
        <v>0.12753583543294969</v>
      </c>
      <c r="CQ15" s="7">
        <v>2.49633604564388E-2</v>
      </c>
      <c r="CR15" s="7">
        <v>2.4374318697755349E-2</v>
      </c>
      <c r="CS15" s="7">
        <v>1.6910986704255612E-2</v>
      </c>
      <c r="CT15" s="7">
        <v>7.3945749754547726E-3</v>
      </c>
      <c r="CU15" s="7">
        <v>-6.3178659914772728E-2</v>
      </c>
      <c r="CV15" s="7">
        <v>-6.1418469048089008E-3</v>
      </c>
      <c r="CW15" s="7">
        <v>-1.248466018044017E-2</v>
      </c>
      <c r="CX15" s="7">
        <v>2.4039607053330959E-2</v>
      </c>
      <c r="CY15" s="7">
        <v>-4.2470673077762339E-2</v>
      </c>
      <c r="CZ15" s="7">
        <v>7.9886947944342257E-2</v>
      </c>
      <c r="DA15" s="7">
        <v>-2.6375835441876511E-2</v>
      </c>
      <c r="DB15" s="7">
        <v>9.7048241525465193E-2</v>
      </c>
      <c r="DC15" s="7">
        <v>7.6727024332969171E-2</v>
      </c>
      <c r="DD15" s="7">
        <v>-6.7526409067735202E-2</v>
      </c>
      <c r="DE15" s="7">
        <v>2.494871474504301E-2</v>
      </c>
      <c r="DF15" s="7">
        <v>-4.2391306399394757E-2</v>
      </c>
      <c r="DG15" s="7">
        <v>1.61967316182412E-2</v>
      </c>
      <c r="DH15" s="7">
        <v>-1.8709011043892099E-2</v>
      </c>
      <c r="DI15" s="7">
        <v>-1.171844900945769E-2</v>
      </c>
      <c r="DJ15" s="7">
        <v>4.7566622441064077E-2</v>
      </c>
      <c r="DK15" s="7">
        <v>0.101774834051468</v>
      </c>
      <c r="DL15" s="7">
        <v>6.2635494088437937E-2</v>
      </c>
      <c r="DM15" s="7">
        <v>-2.380854686766869E-2</v>
      </c>
      <c r="DN15" s="7">
        <v>4.3996497423619649E-2</v>
      </c>
      <c r="DO15" s="7">
        <v>4.6296727233800808E-2</v>
      </c>
      <c r="DP15" s="7">
        <v>2.3735602006892551E-2</v>
      </c>
      <c r="DQ15" s="7">
        <v>-7.2938079904142805E-2</v>
      </c>
      <c r="DR15" s="7">
        <v>7.0010566617938433E-2</v>
      </c>
      <c r="DS15" s="7">
        <v>-7.6241908411797149E-2</v>
      </c>
      <c r="DT15" s="7">
        <v>3.4296398911167342E-2</v>
      </c>
      <c r="DU15" s="7">
        <v>-0.1171276535106479</v>
      </c>
      <c r="DV15" s="7">
        <v>0.13976835694087139</v>
      </c>
      <c r="DW15" s="7">
        <v>2.5538627146832551E-2</v>
      </c>
      <c r="DX15" s="7">
        <v>-0.1186162506499864</v>
      </c>
      <c r="DY15" s="7">
        <v>0.14360957438078251</v>
      </c>
      <c r="DZ15" s="7">
        <v>4.0455653304009277E-2</v>
      </c>
      <c r="EA15" s="7">
        <v>0.10917693290987859</v>
      </c>
      <c r="EB15" s="7">
        <v>4.8518573131244913E-2</v>
      </c>
      <c r="EC15" s="7">
        <v>-1.7785518394724049E-2</v>
      </c>
      <c r="ED15" s="7">
        <v>-0.1133570559353114</v>
      </c>
      <c r="EE15" s="7">
        <v>-1.6245414536088298E-2</v>
      </c>
      <c r="EF15" s="8">
        <v>6.5700991138842244E-2</v>
      </c>
    </row>
    <row r="16" spans="1:137" x14ac:dyDescent="0.3">
      <c r="A16" s="1">
        <v>107</v>
      </c>
      <c r="B16" s="1">
        <v>9</v>
      </c>
      <c r="C16" s="7">
        <v>0.20787477708292909</v>
      </c>
      <c r="D16" s="7">
        <v>0.40819497873258059</v>
      </c>
      <c r="E16" s="7">
        <v>6.500657711132822E-2</v>
      </c>
      <c r="F16" s="7">
        <v>0.1242597879076992</v>
      </c>
      <c r="G16" s="7">
        <v>0.1090125126967716</v>
      </c>
      <c r="H16" s="7">
        <v>7.2848056287647484E-2</v>
      </c>
      <c r="I16" s="7">
        <v>0.11179230197990719</v>
      </c>
      <c r="J16" s="7">
        <v>-6.869403325322769E-2</v>
      </c>
      <c r="K16" s="7">
        <v>1.79251045182631E-2</v>
      </c>
      <c r="L16" s="7">
        <v>3.1027150965473069E-2</v>
      </c>
      <c r="M16" s="7">
        <v>4.0334454725240582E-2</v>
      </c>
      <c r="N16" s="7">
        <v>0.36698760912258638</v>
      </c>
      <c r="O16" s="7">
        <v>1.562109222531044E-2</v>
      </c>
      <c r="P16" s="7">
        <v>6.1979735280907847E-2</v>
      </c>
      <c r="Q16" s="7">
        <v>9.6618173174909727E-2</v>
      </c>
      <c r="R16" s="7">
        <v>1.9182762255635071E-2</v>
      </c>
      <c r="S16" s="7">
        <v>-4.241518321095411E-2</v>
      </c>
      <c r="T16" s="7">
        <v>-6.7219060157601318E-2</v>
      </c>
      <c r="U16" s="7">
        <v>4.8651515792801768E-2</v>
      </c>
      <c r="V16" s="7">
        <v>-0.1043161756014417</v>
      </c>
      <c r="W16" s="7">
        <v>0.10166567604781181</v>
      </c>
      <c r="X16" s="7">
        <v>7.3678277657467109E-2</v>
      </c>
      <c r="Y16" s="7">
        <v>-4.2874470917364169E-3</v>
      </c>
      <c r="Z16" s="7">
        <v>-2.0075794878424799E-2</v>
      </c>
      <c r="AA16" s="7">
        <v>5.022552686591434E-2</v>
      </c>
      <c r="AB16" s="7">
        <v>-3.2295414434067762E-2</v>
      </c>
      <c r="AC16" s="7">
        <v>-4.1040522709083073E-2</v>
      </c>
      <c r="AD16" s="7">
        <v>5.3136055547856789E-2</v>
      </c>
      <c r="AE16" s="7">
        <v>5.1534991881901908E-2</v>
      </c>
      <c r="AF16" s="7">
        <v>6.3685842581589158E-2</v>
      </c>
      <c r="AG16" s="7">
        <v>-8.3019076028860647E-3</v>
      </c>
      <c r="AH16" s="7">
        <v>-3.1765400449440553E-2</v>
      </c>
      <c r="AI16" s="7">
        <v>4.9078043176568033E-2</v>
      </c>
      <c r="AJ16" s="7">
        <v>-7.0259660718760518E-3</v>
      </c>
      <c r="AK16" s="7">
        <v>6.4421400832372078E-2</v>
      </c>
      <c r="AL16" s="7">
        <v>4.8688933104523248E-2</v>
      </c>
      <c r="AM16" s="7">
        <v>6.6076730601797973E-2</v>
      </c>
      <c r="AN16" s="7">
        <v>0.1064562000896756</v>
      </c>
      <c r="AO16" s="7">
        <v>6.1424671825912318E-2</v>
      </c>
      <c r="AP16" s="7">
        <v>-7.779836814558852E-2</v>
      </c>
      <c r="AQ16" s="7">
        <v>-3.8466200146068608E-2</v>
      </c>
      <c r="AR16" s="7">
        <v>0.1032911790604924</v>
      </c>
      <c r="AS16" s="7">
        <v>6.5068225473969343E-2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0.10082977324397289</v>
      </c>
      <c r="AY16" s="7">
        <v>3.3812589844345937E-2</v>
      </c>
      <c r="AZ16" s="7">
        <v>-0.1049096351787122</v>
      </c>
      <c r="BA16" s="7">
        <v>0.15999070017462089</v>
      </c>
      <c r="BB16" s="7">
        <v>0.1324747375965718</v>
      </c>
      <c r="BC16" s="7">
        <v>6.712146610769186E-2</v>
      </c>
      <c r="BD16" s="7">
        <v>3.5936711545904013E-2</v>
      </c>
      <c r="BE16" s="7">
        <v>5.1410994394474947E-2</v>
      </c>
      <c r="BF16" s="7">
        <v>6.4268054319718215E-2</v>
      </c>
      <c r="BG16" s="7">
        <v>1.347328204795663E-2</v>
      </c>
      <c r="BH16" s="7">
        <v>-1.377561448396186E-2</v>
      </c>
      <c r="BI16" s="7">
        <v>4.1443807763261883E-2</v>
      </c>
      <c r="BJ16" s="7">
        <v>-2.0503816283207601E-2</v>
      </c>
      <c r="BK16" s="7">
        <v>2.9719902951970238E-3</v>
      </c>
      <c r="BL16" s="7">
        <v>7.0623565707523178E-2</v>
      </c>
      <c r="BM16" s="7">
        <v>-3.9497985491106162E-2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0.11152584850164921</v>
      </c>
      <c r="CA16" s="7">
        <v>-2.971438975556321E-2</v>
      </c>
      <c r="CB16" s="7">
        <v>-1.4280449892172949E-3</v>
      </c>
      <c r="CC16" s="7">
        <v>4.4388153170205821E-2</v>
      </c>
      <c r="CD16" s="7">
        <v>8.7751090265593801E-2</v>
      </c>
      <c r="CE16" s="7">
        <v>9.3614230467915741E-2</v>
      </c>
      <c r="CF16" s="7">
        <v>-1.4696062966429431E-2</v>
      </c>
      <c r="CG16" s="7">
        <v>0.14619604002614181</v>
      </c>
      <c r="CH16" s="7">
        <v>4.1697414703027062E-2</v>
      </c>
      <c r="CI16" s="7">
        <v>-3.8709881828517527E-2</v>
      </c>
      <c r="CJ16" s="7">
        <v>-4.5523550787666608E-2</v>
      </c>
      <c r="CK16" s="7">
        <v>7.6472983717690388E-2</v>
      </c>
      <c r="CL16" s="7">
        <v>1.5878682334709331E-2</v>
      </c>
      <c r="CM16" s="7">
        <v>8.8988628149511667E-2</v>
      </c>
      <c r="CN16" s="7">
        <v>-3.3057515140949983E-2</v>
      </c>
      <c r="CO16" s="7">
        <v>-0.18245195453982929</v>
      </c>
      <c r="CP16" s="7">
        <v>0.13663168948209131</v>
      </c>
      <c r="CQ16" s="7">
        <v>2.0333779820360921E-2</v>
      </c>
      <c r="CR16" s="7">
        <v>2.5228656512159529E-2</v>
      </c>
      <c r="CS16" s="7">
        <v>2.1807008909622099E-2</v>
      </c>
      <c r="CT16" s="7">
        <v>5.0674065008409694E-3</v>
      </c>
      <c r="CU16" s="7">
        <v>-6.343465435897469E-2</v>
      </c>
      <c r="CV16" s="7">
        <v>-1.6751084080720881E-2</v>
      </c>
      <c r="CW16" s="7">
        <v>-9.1941595326216954E-3</v>
      </c>
      <c r="CX16" s="7">
        <v>1.224028475424996E-2</v>
      </c>
      <c r="CY16" s="7">
        <v>-4.9117049116625407E-2</v>
      </c>
      <c r="CZ16" s="7">
        <v>0.1026332591781325</v>
      </c>
      <c r="DA16" s="7">
        <v>-2.9804793967235531E-2</v>
      </c>
      <c r="DB16" s="7">
        <v>9.8017282885796683E-2</v>
      </c>
      <c r="DC16" s="7">
        <v>6.3740658508044973E-2</v>
      </c>
      <c r="DD16" s="7">
        <v>-7.4371115002597243E-2</v>
      </c>
      <c r="DE16" s="7">
        <v>3.4444372341228768E-2</v>
      </c>
      <c r="DF16" s="7">
        <v>-2.31464332255591E-2</v>
      </c>
      <c r="DG16" s="7">
        <v>1.445294763143863E-2</v>
      </c>
      <c r="DH16" s="7">
        <v>-1.9129343417971109E-2</v>
      </c>
      <c r="DI16" s="7">
        <v>-1.323342571252227E-2</v>
      </c>
      <c r="DJ16" s="7">
        <v>5.17532210725552E-2</v>
      </c>
      <c r="DK16" s="7">
        <v>0.1335943566255807</v>
      </c>
      <c r="DL16" s="7">
        <v>6.5113036128644886E-2</v>
      </c>
      <c r="DM16" s="7">
        <v>-3.0330949758340948E-2</v>
      </c>
      <c r="DN16" s="7">
        <v>4.2437853359407113E-2</v>
      </c>
      <c r="DO16" s="7">
        <v>5.3221907556143692E-2</v>
      </c>
      <c r="DP16" s="7">
        <v>1.9841948579226051E-2</v>
      </c>
      <c r="DQ16" s="7">
        <v>-6.7560519945635999E-2</v>
      </c>
      <c r="DR16" s="7">
        <v>5.5191251649515209E-2</v>
      </c>
      <c r="DS16" s="7">
        <v>-9.3752064989754288E-2</v>
      </c>
      <c r="DT16" s="7">
        <v>3.2059492153239763E-2</v>
      </c>
      <c r="DU16" s="7">
        <v>-0.1227720465229642</v>
      </c>
      <c r="DV16" s="7">
        <v>0.13695373201779351</v>
      </c>
      <c r="DW16" s="7">
        <v>4.0917729699690833E-2</v>
      </c>
      <c r="DX16" s="7">
        <v>-0.1252847063239774</v>
      </c>
      <c r="DY16" s="7">
        <v>0.15757213273537249</v>
      </c>
      <c r="DZ16" s="7">
        <v>5.8810748191046001E-2</v>
      </c>
      <c r="EA16" s="7">
        <v>0.13979901874338971</v>
      </c>
      <c r="EB16" s="7">
        <v>7.8610638743133537E-2</v>
      </c>
      <c r="EC16" s="7">
        <v>-2.493799654212037E-2</v>
      </c>
      <c r="ED16" s="7">
        <v>-0.1154167474989211</v>
      </c>
      <c r="EE16" s="7">
        <v>-2.3090711524611399E-2</v>
      </c>
      <c r="EF16" s="8">
        <v>4.2474401493907223E-2</v>
      </c>
    </row>
    <row r="17" spans="1:136" x14ac:dyDescent="0.3">
      <c r="A17" s="1">
        <v>120</v>
      </c>
      <c r="B17" s="1">
        <v>8</v>
      </c>
      <c r="C17" s="7">
        <v>0.2060921883792059</v>
      </c>
      <c r="D17" s="7">
        <v>0.43958848862462141</v>
      </c>
      <c r="E17" s="7">
        <v>7.9589849390753017E-2</v>
      </c>
      <c r="F17" s="7">
        <v>0.14677181431251229</v>
      </c>
      <c r="G17" s="7">
        <v>0.1171314801951346</v>
      </c>
      <c r="H17" s="7">
        <v>0.104994053627741</v>
      </c>
      <c r="I17" s="7">
        <v>6.7489655086341166E-2</v>
      </c>
      <c r="J17" s="7">
        <v>-0.11529907324194991</v>
      </c>
      <c r="K17" s="7">
        <v>3.9444991917733881E-2</v>
      </c>
      <c r="L17" s="7">
        <v>3.3775929538638137E-2</v>
      </c>
      <c r="M17" s="7">
        <v>6.4932034983486181E-2</v>
      </c>
      <c r="N17" s="7">
        <v>0.40510800893946219</v>
      </c>
      <c r="O17" s="7">
        <v>2.4632055211945642E-2</v>
      </c>
      <c r="P17" s="7">
        <v>7.6915603502900942E-2</v>
      </c>
      <c r="Q17" s="7">
        <v>0.1064302532864768</v>
      </c>
      <c r="R17" s="7">
        <v>1.9752512806694429E-3</v>
      </c>
      <c r="S17" s="7">
        <v>-5.51320257379724E-2</v>
      </c>
      <c r="T17" s="7">
        <v>-7.120201453280707E-2</v>
      </c>
      <c r="U17" s="7">
        <v>5.2290233946816159E-2</v>
      </c>
      <c r="V17" s="7">
        <v>-0.11635630202540009</v>
      </c>
      <c r="W17" s="7">
        <v>0.1196039840123075</v>
      </c>
      <c r="X17" s="7">
        <v>0.1001859670039883</v>
      </c>
      <c r="Y17" s="7">
        <v>1.500501326537191E-3</v>
      </c>
      <c r="Z17" s="7">
        <v>-2.160848979426638E-2</v>
      </c>
      <c r="AA17" s="7">
        <v>6.2254197086471723E-2</v>
      </c>
      <c r="AB17" s="7">
        <v>-4.4538303269439639E-2</v>
      </c>
      <c r="AC17" s="7">
        <v>-4.0799010987682183E-2</v>
      </c>
      <c r="AD17" s="7">
        <v>4.9777375460754107E-2</v>
      </c>
      <c r="AE17" s="7">
        <v>5.9443499695692369E-2</v>
      </c>
      <c r="AF17" s="7">
        <v>6.1429310121940139E-2</v>
      </c>
      <c r="AG17" s="7">
        <v>-1.3516708058117981E-3</v>
      </c>
      <c r="AH17" s="7">
        <v>-3.5472619172888853E-2</v>
      </c>
      <c r="AI17" s="7">
        <v>3.058770864151358E-2</v>
      </c>
      <c r="AJ17" s="7">
        <v>-4.2602630518956887E-2</v>
      </c>
      <c r="AK17" s="7">
        <v>7.3716274739036441E-2</v>
      </c>
      <c r="AL17" s="7">
        <v>5.0724405748556509E-2</v>
      </c>
      <c r="AM17" s="7">
        <v>7.5369367587656971E-2</v>
      </c>
      <c r="AN17" s="7">
        <v>0.1132871203459177</v>
      </c>
      <c r="AO17" s="7">
        <v>1.2632334595724191E-2</v>
      </c>
      <c r="AP17" s="7">
        <v>-7.7242814419585484E-2</v>
      </c>
      <c r="AQ17" s="7">
        <v>-6.052713740149903E-2</v>
      </c>
      <c r="AR17" s="7">
        <v>0.11393070989481729</v>
      </c>
      <c r="AS17" s="7">
        <v>5.6323562034475708E-2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9.6240558508798979E-2</v>
      </c>
      <c r="AY17" s="7">
        <v>2.742369669060089E-2</v>
      </c>
      <c r="AZ17" s="7">
        <v>-0.1251576022601911</v>
      </c>
      <c r="BA17" s="7">
        <v>0.1628064098097628</v>
      </c>
      <c r="BB17" s="7">
        <v>0.15327128427838471</v>
      </c>
      <c r="BC17" s="7">
        <v>8.386319517781364E-2</v>
      </c>
      <c r="BD17" s="7">
        <v>2.235648224620481E-2</v>
      </c>
      <c r="BE17" s="7">
        <v>7.7350242238060404E-2</v>
      </c>
      <c r="BF17" s="7">
        <v>5.5197496608953713E-2</v>
      </c>
      <c r="BG17" s="7">
        <v>-3.5394236088037288E-2</v>
      </c>
      <c r="BH17" s="7">
        <v>1.351946085175304E-2</v>
      </c>
      <c r="BI17" s="7">
        <v>8.7111945439947241E-2</v>
      </c>
      <c r="BJ17" s="7">
        <v>-9.8580642732364818E-3</v>
      </c>
      <c r="BK17" s="7">
        <v>-1.3822952070105509E-2</v>
      </c>
      <c r="BL17" s="7">
        <v>7.7482966799946165E-2</v>
      </c>
      <c r="BM17" s="7">
        <v>-2.905901115235426E-2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0.12057815588108529</v>
      </c>
      <c r="CA17" s="7">
        <v>-2.7934832358489561E-2</v>
      </c>
      <c r="CB17" s="7">
        <v>-1.047770749199251E-2</v>
      </c>
      <c r="CC17" s="7">
        <v>4.1760252474235628E-2</v>
      </c>
      <c r="CD17" s="7">
        <v>6.4105945265327313E-2</v>
      </c>
      <c r="CE17" s="7">
        <v>9.5708073661495086E-2</v>
      </c>
      <c r="CF17" s="7">
        <v>-9.5123348938203942E-2</v>
      </c>
      <c r="CG17" s="7">
        <v>0.17703460732335141</v>
      </c>
      <c r="CH17" s="7">
        <v>5.8636446607050002E-2</v>
      </c>
      <c r="CI17" s="7">
        <v>-1.4531184989588509E-2</v>
      </c>
      <c r="CJ17" s="7">
        <v>-5.0742321484442049E-2</v>
      </c>
      <c r="CK17" s="7">
        <v>9.1738572657912937E-2</v>
      </c>
      <c r="CL17" s="7">
        <v>-9.426344769031314E-3</v>
      </c>
      <c r="CM17" s="7">
        <v>0.13456934443157431</v>
      </c>
      <c r="CN17" s="7">
        <v>-2.6718061150986971E-2</v>
      </c>
      <c r="CO17" s="7">
        <v>-0.20253862726298949</v>
      </c>
      <c r="CP17" s="7">
        <v>0.1481592691973436</v>
      </c>
      <c r="CQ17" s="7">
        <v>-5.1907103341726511E-2</v>
      </c>
      <c r="CR17" s="7">
        <v>2.3005829537998311E-2</v>
      </c>
      <c r="CS17" s="7">
        <v>1.1545515717005199E-2</v>
      </c>
      <c r="CT17" s="7">
        <v>4.9260056389193077E-2</v>
      </c>
      <c r="CU17" s="7">
        <v>-7.440830758325391E-2</v>
      </c>
      <c r="CV17" s="7">
        <v>3.8796079399274282E-3</v>
      </c>
      <c r="CW17" s="7">
        <v>-1.976185390935294E-2</v>
      </c>
      <c r="CX17" s="7">
        <v>1.0772394523947831E-2</v>
      </c>
      <c r="CY17" s="7">
        <v>-4.9383298716090041E-2</v>
      </c>
      <c r="CZ17" s="7">
        <v>0.1242488378476205</v>
      </c>
      <c r="DA17" s="7">
        <v>-4.3895859145134192E-2</v>
      </c>
      <c r="DB17" s="7">
        <v>0.1042716259030833</v>
      </c>
      <c r="DC17" s="7">
        <v>5.3888321948882503E-2</v>
      </c>
      <c r="DD17" s="7">
        <v>-4.8130589338511678E-2</v>
      </c>
      <c r="DE17" s="7">
        <v>4.3723415783303222E-2</v>
      </c>
      <c r="DF17" s="7">
        <v>-1.123137032665928E-2</v>
      </c>
      <c r="DG17" s="7">
        <v>-1.8392819289084069E-3</v>
      </c>
      <c r="DH17" s="7">
        <v>-3.8726650938012717E-2</v>
      </c>
      <c r="DI17" s="7">
        <v>-5.2932443237824478E-3</v>
      </c>
      <c r="DJ17" s="7">
        <v>5.7146500327343322E-2</v>
      </c>
      <c r="DK17" s="7">
        <v>0.15603642811654619</v>
      </c>
      <c r="DL17" s="7">
        <v>7.3515600937171063E-2</v>
      </c>
      <c r="DM17" s="7">
        <v>-5.2252910582316028E-2</v>
      </c>
      <c r="DN17" s="7">
        <v>3.5489032714339008E-2</v>
      </c>
      <c r="DO17" s="7">
        <v>5.3451370339903423E-2</v>
      </c>
      <c r="DP17" s="7">
        <v>-1.651850825662354E-2</v>
      </c>
      <c r="DQ17" s="7">
        <v>-6.5244348133762259E-2</v>
      </c>
      <c r="DR17" s="7">
        <v>5.5884814876328279E-2</v>
      </c>
      <c r="DS17" s="7">
        <v>-0.12431615980481089</v>
      </c>
      <c r="DT17" s="7">
        <v>1.674318991919271E-2</v>
      </c>
      <c r="DU17" s="7">
        <v>-0.12949295631998961</v>
      </c>
      <c r="DV17" s="7">
        <v>0.11776539811095429</v>
      </c>
      <c r="DW17" s="7">
        <v>4.8681483414150163E-2</v>
      </c>
      <c r="DX17" s="7">
        <v>-0.12953898259647401</v>
      </c>
      <c r="DY17" s="7">
        <v>0.10728289560185179</v>
      </c>
      <c r="DZ17" s="7">
        <v>4.9212629169808252E-2</v>
      </c>
      <c r="EA17" s="7">
        <v>0.1645715232321148</v>
      </c>
      <c r="EB17" s="7">
        <v>8.7100349194739302E-2</v>
      </c>
      <c r="EC17" s="7">
        <v>-2.0361159093761828E-2</v>
      </c>
      <c r="ED17" s="7">
        <v>-0.12832444392891271</v>
      </c>
      <c r="EE17" s="7">
        <v>-2.5413360310033831E-2</v>
      </c>
      <c r="EF17" s="8">
        <v>4.7709767009851849E-2</v>
      </c>
    </row>
    <row r="18" spans="1:136" x14ac:dyDescent="0.3">
      <c r="A18" s="1">
        <v>137</v>
      </c>
      <c r="B18" s="1">
        <v>7</v>
      </c>
      <c r="C18" s="7">
        <v>0.18975112249235829</v>
      </c>
      <c r="D18" s="7">
        <v>0.40188368142206798</v>
      </c>
      <c r="E18" s="7">
        <v>5.3439350267724013E-2</v>
      </c>
      <c r="F18" s="7">
        <v>0.21209065115804249</v>
      </c>
      <c r="G18" s="7">
        <v>0.13305805731961079</v>
      </c>
      <c r="H18" s="7">
        <v>0.12853956177457129</v>
      </c>
      <c r="I18" s="7">
        <v>5.4952662908801589E-2</v>
      </c>
      <c r="J18" s="7">
        <v>-0.12516179308854181</v>
      </c>
      <c r="K18" s="7">
        <v>3.1586450310913693E-2</v>
      </c>
      <c r="L18" s="7">
        <v>4.6672720340673143E-2</v>
      </c>
      <c r="M18" s="7">
        <v>7.970257711397645E-2</v>
      </c>
      <c r="N18" s="7">
        <v>0.46182001807061318</v>
      </c>
      <c r="O18" s="7">
        <v>2.432387484281975E-2</v>
      </c>
      <c r="P18" s="7">
        <v>5.4569613110984121E-2</v>
      </c>
      <c r="Q18" s="7">
        <v>0.12173637166463511</v>
      </c>
      <c r="R18" s="7">
        <v>1.9326198926856369E-2</v>
      </c>
      <c r="S18" s="7">
        <v>-6.9013340393708683E-2</v>
      </c>
      <c r="T18" s="7">
        <v>-5.4244440031608693E-2</v>
      </c>
      <c r="U18" s="7">
        <v>2.813552763259065E-2</v>
      </c>
      <c r="V18" s="7">
        <v>-0.13125392693944099</v>
      </c>
      <c r="W18" s="7">
        <v>0.1379172379157062</v>
      </c>
      <c r="X18" s="7">
        <v>0.1271228086254903</v>
      </c>
      <c r="Y18" s="7">
        <v>2.421380772058089E-2</v>
      </c>
      <c r="Z18" s="7">
        <v>-1.690571618738388E-2</v>
      </c>
      <c r="AA18" s="7">
        <v>5.4804497980215187E-2</v>
      </c>
      <c r="AB18" s="7">
        <v>-6.2644805262660919E-2</v>
      </c>
      <c r="AC18" s="7">
        <v>-7.4719823379266678E-2</v>
      </c>
      <c r="AD18" s="7">
        <v>7.2443789088531399E-2</v>
      </c>
      <c r="AE18" s="7">
        <v>7.7201591618879711E-2</v>
      </c>
      <c r="AF18" s="7">
        <v>3.187341816062559E-2</v>
      </c>
      <c r="AG18" s="7">
        <v>-8.6183643801437219E-3</v>
      </c>
      <c r="AH18" s="7">
        <v>-4.0197460968514703E-2</v>
      </c>
      <c r="AI18" s="7">
        <v>4.6855541353756011E-2</v>
      </c>
      <c r="AJ18" s="7">
        <v>-4.7393756166449127E-2</v>
      </c>
      <c r="AK18" s="7">
        <v>3.0152480597625989E-2</v>
      </c>
      <c r="AL18" s="7">
        <v>4.7527763632257733E-2</v>
      </c>
      <c r="AM18" s="7">
        <v>6.6643405424771207E-2</v>
      </c>
      <c r="AN18" s="7">
        <v>7.9294639955201793E-2</v>
      </c>
      <c r="AO18" s="7">
        <v>5.4275349676927882E-3</v>
      </c>
      <c r="AP18" s="7">
        <v>-7.8278591933806971E-2</v>
      </c>
      <c r="AQ18" s="7">
        <v>-7.6230845326449942E-2</v>
      </c>
      <c r="AR18" s="7">
        <v>0.1245455063629442</v>
      </c>
      <c r="AS18" s="7">
        <v>8.5826551553969135E-2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0.10756086825583611</v>
      </c>
      <c r="AY18" s="7">
        <v>3.4783278641148073E-2</v>
      </c>
      <c r="AZ18" s="7">
        <v>-0.14840908238889911</v>
      </c>
      <c r="BA18" s="7">
        <v>0.18047976466954649</v>
      </c>
      <c r="BB18" s="7">
        <v>0.16725801848079261</v>
      </c>
      <c r="BC18" s="7">
        <v>8.3201572593320602E-2</v>
      </c>
      <c r="BD18" s="7">
        <v>-2.4016271687300441E-2</v>
      </c>
      <c r="BE18" s="7">
        <v>6.8361213238162841E-2</v>
      </c>
      <c r="BF18" s="7">
        <v>4.5884536299578838E-2</v>
      </c>
      <c r="BG18" s="7">
        <v>-1.680624122620418E-2</v>
      </c>
      <c r="BH18" s="7">
        <v>2.0503853063805449E-2</v>
      </c>
      <c r="BI18" s="7">
        <v>0.1090000069186657</v>
      </c>
      <c r="BJ18" s="7">
        <v>5.9560640504595433E-3</v>
      </c>
      <c r="BK18" s="7">
        <v>-5.8003244170202591E-2</v>
      </c>
      <c r="BL18" s="7">
        <v>8.1157673820204085E-2</v>
      </c>
      <c r="BM18" s="7">
        <v>-2.8081356373095352E-2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0.15331998780259809</v>
      </c>
      <c r="CA18" s="7">
        <v>-1.6076543892860819E-2</v>
      </c>
      <c r="CB18" s="7">
        <v>-2.4577356612448309E-2</v>
      </c>
      <c r="CC18" s="7">
        <v>0.1046606238416451</v>
      </c>
      <c r="CD18" s="7">
        <v>5.0445794555038302E-2</v>
      </c>
      <c r="CE18" s="7">
        <v>7.7260394878222755E-2</v>
      </c>
      <c r="CF18" s="7">
        <v>-0.101858615532994</v>
      </c>
      <c r="CG18" s="7">
        <v>0.22664140590161991</v>
      </c>
      <c r="CH18" s="7">
        <v>0.16265704668723319</v>
      </c>
      <c r="CI18" s="7">
        <v>-3.8869139877689488E-2</v>
      </c>
      <c r="CJ18" s="7">
        <v>-6.2313677824909687E-2</v>
      </c>
      <c r="CK18" s="7">
        <v>9.0667784292283726E-2</v>
      </c>
      <c r="CL18" s="7">
        <v>-3.0989545058193121E-2</v>
      </c>
      <c r="CM18" s="7">
        <v>0.14364854316439371</v>
      </c>
      <c r="CN18" s="7">
        <v>-3.5086253978176607E-2</v>
      </c>
      <c r="CO18" s="7">
        <v>-0.23157387854942929</v>
      </c>
      <c r="CP18" s="7">
        <v>0.16283910894801071</v>
      </c>
      <c r="CQ18" s="7">
        <v>-3.8242675594942703E-2</v>
      </c>
      <c r="CR18" s="7">
        <v>3.3743302271192592E-2</v>
      </c>
      <c r="CS18" s="7">
        <v>2.8128560414088639E-2</v>
      </c>
      <c r="CT18" s="7">
        <v>9.0515429002249403E-2</v>
      </c>
      <c r="CU18" s="7">
        <v>-7.1648691205109999E-2</v>
      </c>
      <c r="CV18" s="7">
        <v>9.1040282230288663E-2</v>
      </c>
      <c r="CW18" s="7">
        <v>-8.4560855645258066E-3</v>
      </c>
      <c r="CX18" s="7">
        <v>6.1560185833778078E-2</v>
      </c>
      <c r="CY18" s="7">
        <v>-5.135741377478225E-2</v>
      </c>
      <c r="CZ18" s="7">
        <v>0.13284286330177139</v>
      </c>
      <c r="DA18" s="7">
        <v>-4.7380939518693557E-2</v>
      </c>
      <c r="DB18" s="7">
        <v>0.1181147182852117</v>
      </c>
      <c r="DC18" s="7">
        <v>4.9208867424112533E-2</v>
      </c>
      <c r="DD18" s="7">
        <v>-7.1071299907563223E-2</v>
      </c>
      <c r="DE18" s="7">
        <v>4.9173444891641022E-2</v>
      </c>
      <c r="DF18" s="7">
        <v>-3.5042778782370262E-2</v>
      </c>
      <c r="DG18" s="7">
        <v>-7.619473157627699E-3</v>
      </c>
      <c r="DH18" s="7">
        <v>-2.8038013248649029E-2</v>
      </c>
      <c r="DI18" s="7">
        <v>-1.6114629238026808E-2</v>
      </c>
      <c r="DJ18" s="7">
        <v>5.0654511409894881E-2</v>
      </c>
      <c r="DK18" s="7">
        <v>0.15851362709242739</v>
      </c>
      <c r="DL18" s="7">
        <v>8.1397742916241134E-2</v>
      </c>
      <c r="DM18" s="7">
        <v>-6.650814073203816E-2</v>
      </c>
      <c r="DN18" s="7">
        <v>-1.6722064078021251E-2</v>
      </c>
      <c r="DO18" s="7">
        <v>4.2104907550630517E-2</v>
      </c>
      <c r="DP18" s="7">
        <v>-2.0604686466865741E-2</v>
      </c>
      <c r="DQ18" s="7">
        <v>-6.1955528967367397E-2</v>
      </c>
      <c r="DR18" s="7">
        <v>7.6840654771961045E-2</v>
      </c>
      <c r="DS18" s="7">
        <v>-0.1477219984517327</v>
      </c>
      <c r="DT18" s="7">
        <v>-7.4073899594950176E-3</v>
      </c>
      <c r="DU18" s="7">
        <v>-0.15871482271667761</v>
      </c>
      <c r="DV18" s="7">
        <v>0.1056406088000619</v>
      </c>
      <c r="DW18" s="7">
        <v>8.1908692284373169E-2</v>
      </c>
      <c r="DX18" s="7">
        <v>-0.1536029774624818</v>
      </c>
      <c r="DY18" s="7">
        <v>0.1368331149382522</v>
      </c>
      <c r="DZ18" s="7">
        <v>5.4630374156582083E-2</v>
      </c>
      <c r="EA18" s="7">
        <v>0.19894574816433719</v>
      </c>
      <c r="EB18" s="7">
        <v>9.9846377978320619E-2</v>
      </c>
      <c r="EC18" s="7">
        <v>-1.9600515916961631E-2</v>
      </c>
      <c r="ED18" s="7">
        <v>-0.11047802186576559</v>
      </c>
      <c r="EE18" s="7">
        <v>-1.385375397450707E-2</v>
      </c>
      <c r="EF18" s="8">
        <v>4.8955017110416547E-2</v>
      </c>
    </row>
    <row r="19" spans="1:136" x14ac:dyDescent="0.3">
      <c r="A19" s="1">
        <v>160</v>
      </c>
      <c r="B19" s="1">
        <v>6</v>
      </c>
      <c r="C19" s="7">
        <v>0.19660026531165431</v>
      </c>
      <c r="D19" s="7">
        <v>0.40752071008946927</v>
      </c>
      <c r="E19" s="7">
        <v>6.5814207330017804E-2</v>
      </c>
      <c r="F19" s="7">
        <v>0.2361704653757343</v>
      </c>
      <c r="G19" s="7">
        <v>0.15286434188697251</v>
      </c>
      <c r="H19" s="7">
        <v>0.17761031882265199</v>
      </c>
      <c r="I19" s="7">
        <v>4.746340533639954E-2</v>
      </c>
      <c r="J19" s="7">
        <v>-0.15623035308620389</v>
      </c>
      <c r="K19" s="7">
        <v>5.6540969561565207E-2</v>
      </c>
      <c r="L19" s="7">
        <v>3.036283305602917E-2</v>
      </c>
      <c r="M19" s="7">
        <v>8.6210339026117716E-2</v>
      </c>
      <c r="N19" s="7">
        <v>0.53237403768824121</v>
      </c>
      <c r="O19" s="7">
        <v>-1.9797434001384839E-2</v>
      </c>
      <c r="P19" s="7">
        <v>2.2785213112093351E-2</v>
      </c>
      <c r="Q19" s="7">
        <v>0.17046229208001809</v>
      </c>
      <c r="R19" s="7">
        <v>4.1942629449215993E-2</v>
      </c>
      <c r="S19" s="7">
        <v>-7.8696261313160737E-2</v>
      </c>
      <c r="T19" s="7">
        <v>-2.7154277986299109E-2</v>
      </c>
      <c r="U19" s="7">
        <v>4.4186857998324967E-2</v>
      </c>
      <c r="V19" s="7">
        <v>-0.11868445851892109</v>
      </c>
      <c r="W19" s="7">
        <v>0.14662099071751011</v>
      </c>
      <c r="X19" s="7">
        <v>0.122923146245717</v>
      </c>
      <c r="Y19" s="7">
        <v>2.406430534505774E-2</v>
      </c>
      <c r="Z19" s="7">
        <v>-2.2223239298902381E-2</v>
      </c>
      <c r="AA19" s="7">
        <v>4.7300121799034582E-2</v>
      </c>
      <c r="AB19" s="7">
        <v>-5.1718752810757287E-2</v>
      </c>
      <c r="AC19" s="7">
        <v>-8.3512866892878637E-2</v>
      </c>
      <c r="AD19" s="7">
        <v>2.399745726106059E-2</v>
      </c>
      <c r="AE19" s="7">
        <v>0.11523186996306679</v>
      </c>
      <c r="AF19" s="7">
        <v>3.8785666808899749E-2</v>
      </c>
      <c r="AG19" s="7">
        <v>1.92975452240348E-2</v>
      </c>
      <c r="AH19" s="7">
        <v>-5.6557715221703553E-2</v>
      </c>
      <c r="AI19" s="7">
        <v>8.1770124789496509E-2</v>
      </c>
      <c r="AJ19" s="7">
        <v>-5.1545290327262273E-2</v>
      </c>
      <c r="AK19" s="7">
        <v>7.5520425059527104E-3</v>
      </c>
      <c r="AL19" s="7">
        <v>7.0270945670805551E-2</v>
      </c>
      <c r="AM19" s="7">
        <v>4.3106011811404943E-2</v>
      </c>
      <c r="AN19" s="7">
        <v>8.3568294365682083E-2</v>
      </c>
      <c r="AO19" s="7">
        <v>2.589290304541441E-2</v>
      </c>
      <c r="AP19" s="7">
        <v>-8.757412027285208E-2</v>
      </c>
      <c r="AQ19" s="7">
        <v>-8.8252757060650652E-2</v>
      </c>
      <c r="AR19" s="7">
        <v>0.1535175623128574</v>
      </c>
      <c r="AS19" s="7">
        <v>9.7796955268314459E-2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8.0206414310412866E-2</v>
      </c>
      <c r="AY19" s="7">
        <v>2.9528970393379841E-2</v>
      </c>
      <c r="AZ19" s="7">
        <v>-0.18687961816817431</v>
      </c>
      <c r="BA19" s="7">
        <v>0.18699677755478061</v>
      </c>
      <c r="BB19" s="7">
        <v>0.2018019106632078</v>
      </c>
      <c r="BC19" s="7">
        <v>6.4055486346185769E-2</v>
      </c>
      <c r="BD19" s="7">
        <v>-3.2343926300681461E-3</v>
      </c>
      <c r="BE19" s="7">
        <v>5.1131873963666558E-2</v>
      </c>
      <c r="BF19" s="7">
        <v>1.3570974149138619E-2</v>
      </c>
      <c r="BG19" s="7">
        <v>-1.6343658332842171E-2</v>
      </c>
      <c r="BH19" s="7">
        <v>2.0182017014309939E-3</v>
      </c>
      <c r="BI19" s="7">
        <v>0.12779862881921869</v>
      </c>
      <c r="BJ19" s="7">
        <v>2.1707301538579211E-2</v>
      </c>
      <c r="BK19" s="7">
        <v>-5.1749526091992383E-2</v>
      </c>
      <c r="BL19" s="7">
        <v>7.9964658146503109E-2</v>
      </c>
      <c r="BM19" s="7">
        <v>-3.1786264869145278E-2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6.8702124822053873E-2</v>
      </c>
      <c r="CA19" s="7">
        <v>-2.932875522377449E-2</v>
      </c>
      <c r="CB19" s="7">
        <v>-4.804116850824483E-2</v>
      </c>
      <c r="CC19" s="7">
        <v>2.2506232898517449E-2</v>
      </c>
      <c r="CD19" s="7">
        <v>8.7664948361316358E-2</v>
      </c>
      <c r="CE19" s="7">
        <v>8.8474858937667905E-2</v>
      </c>
      <c r="CF19" s="7">
        <v>-0.1116984874650168</v>
      </c>
      <c r="CG19" s="7">
        <v>0.2638931335655384</v>
      </c>
      <c r="CH19" s="7">
        <v>0.1528898670499263</v>
      </c>
      <c r="CI19" s="7">
        <v>-3.7066946160195187E-2</v>
      </c>
      <c r="CJ19" s="7">
        <v>-6.194049996603615E-2</v>
      </c>
      <c r="CK19" s="7">
        <v>0.1039677178170982</v>
      </c>
      <c r="CL19" s="7">
        <v>-4.3240279974789908E-2</v>
      </c>
      <c r="CM19" s="7">
        <v>0.17534764158171501</v>
      </c>
      <c r="CN19" s="7">
        <v>-7.6932654667303466E-2</v>
      </c>
      <c r="CO19" s="7">
        <v>-0.27245440462850651</v>
      </c>
      <c r="CP19" s="7">
        <v>0.15903259898233271</v>
      </c>
      <c r="CQ19" s="7">
        <v>-3.2394607516418629E-2</v>
      </c>
      <c r="CR19" s="7">
        <v>2.4299202463726639E-2</v>
      </c>
      <c r="CS19" s="7">
        <v>4.3774986978304217E-2</v>
      </c>
      <c r="CT19" s="7">
        <v>0.1226204266300308</v>
      </c>
      <c r="CU19" s="7">
        <v>-8.3436397113892974E-2</v>
      </c>
      <c r="CV19" s="7">
        <v>0.10197986151640361</v>
      </c>
      <c r="CW19" s="7">
        <v>-2.190180778189859E-2</v>
      </c>
      <c r="CX19" s="7">
        <v>5.7634726368184938E-2</v>
      </c>
      <c r="CY19" s="7">
        <v>-7.092186956436955E-2</v>
      </c>
      <c r="CZ19" s="7">
        <v>0.11285182864146399</v>
      </c>
      <c r="DA19" s="7">
        <v>-5.8223876703236761E-2</v>
      </c>
      <c r="DB19" s="7">
        <v>0.14796184676961621</v>
      </c>
      <c r="DC19" s="7">
        <v>3.0276457178153349E-2</v>
      </c>
      <c r="DD19" s="7">
        <v>-6.3547464152502509E-2</v>
      </c>
      <c r="DE19" s="7">
        <v>5.4024955382609513E-2</v>
      </c>
      <c r="DF19" s="7">
        <v>-6.969304689302265E-2</v>
      </c>
      <c r="DG19" s="7">
        <v>-1.27464749106491E-2</v>
      </c>
      <c r="DH19" s="7">
        <v>-1.569831294047225E-4</v>
      </c>
      <c r="DI19" s="7">
        <v>3.666424442421171E-3</v>
      </c>
      <c r="DJ19" s="7">
        <v>8.0499602410030055E-2</v>
      </c>
      <c r="DK19" s="7">
        <v>0.1241445877842076</v>
      </c>
      <c r="DL19" s="7">
        <v>7.0167407799869491E-2</v>
      </c>
      <c r="DM19" s="7">
        <v>-8.1952255033994378E-2</v>
      </c>
      <c r="DN19" s="7">
        <v>2.4751230976385011E-3</v>
      </c>
      <c r="DO19" s="7">
        <v>5.5126563399943852E-2</v>
      </c>
      <c r="DP19" s="7">
        <v>2.783801448299373E-2</v>
      </c>
      <c r="DQ19" s="7">
        <v>-5.0623171449732877E-2</v>
      </c>
      <c r="DR19" s="7">
        <v>7.5962353325048193E-2</v>
      </c>
      <c r="DS19" s="7">
        <v>-0.1779955469539703</v>
      </c>
      <c r="DT19" s="7">
        <v>-3.0761271922289252E-3</v>
      </c>
      <c r="DU19" s="7">
        <v>-0.15058192195631251</v>
      </c>
      <c r="DV19" s="7">
        <v>0.1115247064406045</v>
      </c>
      <c r="DW19" s="7">
        <v>6.0609139340684293E-2</v>
      </c>
      <c r="DX19" s="7">
        <v>-0.1383651342381777</v>
      </c>
      <c r="DY19" s="7">
        <v>0.1392486786855984</v>
      </c>
      <c r="DZ19" s="7">
        <v>7.8537947622533175E-2</v>
      </c>
      <c r="EA19" s="7">
        <v>0.23304583030528039</v>
      </c>
      <c r="EB19" s="7">
        <v>2.1772770012778581E-2</v>
      </c>
      <c r="EC19" s="7">
        <v>-3.1325109885979932E-2</v>
      </c>
      <c r="ED19" s="7">
        <v>-0.15093531699015689</v>
      </c>
      <c r="EE19" s="7">
        <v>1.2634042940422471E-2</v>
      </c>
      <c r="EF19" s="8">
        <v>1.697795487476916E-2</v>
      </c>
    </row>
    <row r="20" spans="1:136" x14ac:dyDescent="0.3">
      <c r="A20" s="1">
        <v>192</v>
      </c>
      <c r="B20" s="1">
        <v>5</v>
      </c>
      <c r="C20" s="7">
        <v>0.2015510478639157</v>
      </c>
      <c r="D20" s="7">
        <v>0.38202502004734989</v>
      </c>
      <c r="E20" s="7">
        <v>5.7336350326780597E-2</v>
      </c>
      <c r="F20" s="7">
        <v>0.18241961869314111</v>
      </c>
      <c r="G20" s="7">
        <v>0.15802736357208361</v>
      </c>
      <c r="H20" s="7">
        <v>0.14393228225567539</v>
      </c>
      <c r="I20" s="7">
        <v>2.7935541644402932E-2</v>
      </c>
      <c r="J20" s="7">
        <v>-0.13320729307702719</v>
      </c>
      <c r="K20" s="7">
        <v>3.7404684852111583E-2</v>
      </c>
      <c r="L20" s="7">
        <v>3.069548300109538E-2</v>
      </c>
      <c r="M20" s="7">
        <v>0.100133414364086</v>
      </c>
      <c r="N20" s="7">
        <v>0.5000114780094741</v>
      </c>
      <c r="O20" s="7">
        <v>-0.1101145251033072</v>
      </c>
      <c r="P20" s="7">
        <v>4.0028494751770102E-2</v>
      </c>
      <c r="Q20" s="7">
        <v>0.2248248109923951</v>
      </c>
      <c r="R20" s="7">
        <v>6.6469633088856533E-2</v>
      </c>
      <c r="S20" s="7">
        <v>-5.7341082572801211E-2</v>
      </c>
      <c r="T20" s="7">
        <v>1.566291051925937E-2</v>
      </c>
      <c r="U20" s="7">
        <v>3.2237658419507161E-2</v>
      </c>
      <c r="V20" s="7">
        <v>-0.13628806336757671</v>
      </c>
      <c r="W20" s="7">
        <v>0.17308537617758091</v>
      </c>
      <c r="X20" s="7">
        <v>0.15004231162753859</v>
      </c>
      <c r="Y20" s="7">
        <v>-4.8557578603156213E-3</v>
      </c>
      <c r="Z20" s="7">
        <v>2.9157350054346439E-2</v>
      </c>
      <c r="AA20" s="7">
        <v>6.6961978782240111E-2</v>
      </c>
      <c r="AB20" s="7">
        <v>-3.2898545320226208E-2</v>
      </c>
      <c r="AC20" s="7">
        <v>-9.6309042825298966E-2</v>
      </c>
      <c r="AD20" s="7">
        <v>2.698730357067794E-2</v>
      </c>
      <c r="AE20" s="7">
        <v>1.7311149627037389E-2</v>
      </c>
      <c r="AF20" s="7">
        <v>3.9044678387579961E-2</v>
      </c>
      <c r="AG20" s="7">
        <v>-6.2417403721479496E-3</v>
      </c>
      <c r="AH20" s="7">
        <v>-9.0178200714782636E-2</v>
      </c>
      <c r="AI20" s="7">
        <v>7.8154544921168481E-2</v>
      </c>
      <c r="AJ20" s="7">
        <v>-6.1990034547547639E-2</v>
      </c>
      <c r="AK20" s="7">
        <v>-1.359511549600285E-2</v>
      </c>
      <c r="AL20" s="7">
        <v>7.2893452036976947E-2</v>
      </c>
      <c r="AM20" s="7">
        <v>3.3095980748802607E-2</v>
      </c>
      <c r="AN20" s="7">
        <v>7.5470193518998266E-2</v>
      </c>
      <c r="AO20" s="7">
        <v>4.528508196468839E-2</v>
      </c>
      <c r="AP20" s="7">
        <v>-0.13173046125538779</v>
      </c>
      <c r="AQ20" s="7">
        <v>2.7452485332951051E-2</v>
      </c>
      <c r="AR20" s="7">
        <v>0.1700490046789242</v>
      </c>
      <c r="AS20" s="7">
        <v>0.112095809682817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0.11073254799870159</v>
      </c>
      <c r="AY20" s="7">
        <v>3.8674698442909439E-2</v>
      </c>
      <c r="AZ20" s="7">
        <v>-0.21380243117708869</v>
      </c>
      <c r="BA20" s="7">
        <v>0.15133772550591279</v>
      </c>
      <c r="BB20" s="7">
        <v>0.2312136261880767</v>
      </c>
      <c r="BC20" s="7">
        <v>7.0605567677740205E-2</v>
      </c>
      <c r="BD20" s="7">
        <v>-5.3429813221597323E-2</v>
      </c>
      <c r="BE20" s="7">
        <v>-5.9467971392603326E-3</v>
      </c>
      <c r="BF20" s="7">
        <v>5.6885823313286886E-3</v>
      </c>
      <c r="BG20" s="7">
        <v>-6.9261427086933884E-3</v>
      </c>
      <c r="BH20" s="7">
        <v>-7.1606447114111002E-2</v>
      </c>
      <c r="BI20" s="7">
        <v>0.13174526708517489</v>
      </c>
      <c r="BJ20" s="7">
        <v>2.1629511833186621E-2</v>
      </c>
      <c r="BK20" s="7">
        <v>-5.9233167842827283E-2</v>
      </c>
      <c r="BL20" s="7">
        <v>8.6292231176454737E-2</v>
      </c>
      <c r="BM20" s="7">
        <v>-4.7468551464188873E-2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9.02714042602836E-2</v>
      </c>
      <c r="CA20" s="7">
        <v>-4.0102728051752932E-2</v>
      </c>
      <c r="CB20" s="7">
        <v>-3.8251950010927849E-2</v>
      </c>
      <c r="CC20" s="7">
        <v>1.291514747808061E-2</v>
      </c>
      <c r="CD20" s="7">
        <v>9.606464764259523E-2</v>
      </c>
      <c r="CE20" s="7">
        <v>8.5778172602440458E-2</v>
      </c>
      <c r="CF20" s="7">
        <v>-0.1312085557648148</v>
      </c>
      <c r="CG20" s="7">
        <v>0.32193852229938452</v>
      </c>
      <c r="CH20" s="7">
        <v>7.1864025597138351E-2</v>
      </c>
      <c r="CI20" s="7">
        <v>-3.0394673769081951E-2</v>
      </c>
      <c r="CJ20" s="7">
        <v>-0.123440319887351</v>
      </c>
      <c r="CK20" s="7">
        <v>9.0978396750106633E-2</v>
      </c>
      <c r="CL20" s="7">
        <v>-9.2184934189128986E-2</v>
      </c>
      <c r="CM20" s="7">
        <v>0.18905116517062071</v>
      </c>
      <c r="CN20" s="7">
        <v>2.215941137048465E-2</v>
      </c>
      <c r="CO20" s="7">
        <v>-0.41597133516901241</v>
      </c>
      <c r="CP20" s="7">
        <v>0.1920312051090273</v>
      </c>
      <c r="CQ20" s="7">
        <v>-2.3118045300283038E-2</v>
      </c>
      <c r="CR20" s="7">
        <v>2.5362552774013961E-2</v>
      </c>
      <c r="CS20" s="7">
        <v>2.2293038159359669E-2</v>
      </c>
      <c r="CT20" s="7">
        <v>9.0474037414266281E-2</v>
      </c>
      <c r="CU20" s="7">
        <v>-9.4867658266512403E-2</v>
      </c>
      <c r="CV20" s="7">
        <v>9.2511075695426118E-2</v>
      </c>
      <c r="CW20" s="7">
        <v>9.9530629212826391E-3</v>
      </c>
      <c r="CX20" s="7">
        <v>9.0298550867764463E-2</v>
      </c>
      <c r="CY20" s="7">
        <v>-1.247973266829688E-2</v>
      </c>
      <c r="CZ20" s="7">
        <v>0.15516164514919831</v>
      </c>
      <c r="DA20" s="7">
        <v>-4.7471893155177573E-2</v>
      </c>
      <c r="DB20" s="7">
        <v>7.696806977078402E-2</v>
      </c>
      <c r="DC20" s="7">
        <v>2.890116070260346E-2</v>
      </c>
      <c r="DD20" s="7">
        <v>-6.8163012313784327E-2</v>
      </c>
      <c r="DE20" s="7">
        <v>-2.674986392092854E-2</v>
      </c>
      <c r="DF20" s="7">
        <v>8.591215324206241E-4</v>
      </c>
      <c r="DG20" s="7">
        <v>-4.2022106203706937E-3</v>
      </c>
      <c r="DH20" s="7">
        <v>-1.097541174252706E-2</v>
      </c>
      <c r="DI20" s="7">
        <v>-2.2876731785052461E-2</v>
      </c>
      <c r="DJ20" s="7">
        <v>8.1277020159802621E-2</v>
      </c>
      <c r="DK20" s="7">
        <v>8.4953981446054899E-2</v>
      </c>
      <c r="DL20" s="7">
        <v>7.5826636178542531E-2</v>
      </c>
      <c r="DM20" s="7">
        <v>9.2836502794370751E-3</v>
      </c>
      <c r="DN20" s="7">
        <v>5.8019206654199171E-2</v>
      </c>
      <c r="DO20" s="7">
        <v>6.5815801837970381E-2</v>
      </c>
      <c r="DP20" s="7">
        <v>9.8305313908873052E-3</v>
      </c>
      <c r="DQ20" s="7">
        <v>-3.8540311084368499E-2</v>
      </c>
      <c r="DR20" s="7">
        <v>7.8512660028290493E-2</v>
      </c>
      <c r="DS20" s="7">
        <v>-0.20608109757835469</v>
      </c>
      <c r="DT20" s="7">
        <v>4.8293441839824189E-3</v>
      </c>
      <c r="DU20" s="7">
        <v>-0.17637516893039651</v>
      </c>
      <c r="DV20" s="7">
        <v>0.12934547183885869</v>
      </c>
      <c r="DW20" s="7">
        <v>6.9060203958039607E-2</v>
      </c>
      <c r="DX20" s="7">
        <v>-0.15386632960631469</v>
      </c>
      <c r="DY20" s="7">
        <v>0.1215914577754016</v>
      </c>
      <c r="DZ20" s="7">
        <v>9.0199646158974578E-2</v>
      </c>
      <c r="EA20" s="7">
        <v>0.29368998396417129</v>
      </c>
      <c r="EB20" s="7">
        <v>3.9067633350965261E-2</v>
      </c>
      <c r="EC20" s="7">
        <v>2.2976412108212281E-2</v>
      </c>
      <c r="ED20" s="7">
        <v>-0.17691886106701021</v>
      </c>
      <c r="EE20" s="7">
        <v>2.3672309273819309E-3</v>
      </c>
      <c r="EF20" s="8">
        <v>2.0281416615907238E-2</v>
      </c>
    </row>
    <row r="21" spans="1:136" x14ac:dyDescent="0.3">
      <c r="A21" s="1">
        <v>241</v>
      </c>
      <c r="B21" s="1">
        <v>4</v>
      </c>
      <c r="C21" s="7">
        <v>0.21462957980695321</v>
      </c>
      <c r="D21" s="7">
        <v>0.12638791676682359</v>
      </c>
      <c r="E21" s="7">
        <v>-1.3690170285790599E-2</v>
      </c>
      <c r="F21" s="7">
        <v>0.20341349755932739</v>
      </c>
      <c r="G21" s="7">
        <v>0.14533185880700039</v>
      </c>
      <c r="H21" s="7">
        <v>0.1621640877938379</v>
      </c>
      <c r="I21" s="7">
        <v>1.4111278480981961E-2</v>
      </c>
      <c r="J21" s="7">
        <v>-0.13674291533985661</v>
      </c>
      <c r="K21" s="7">
        <v>1.4702959601359119E-3</v>
      </c>
      <c r="L21" s="7">
        <v>-5.0291533060606367E-3</v>
      </c>
      <c r="M21" s="7">
        <v>7.5660649926760526E-2</v>
      </c>
      <c r="N21" s="7">
        <v>0.58489126462072527</v>
      </c>
      <c r="O21" s="7">
        <v>-0.1392774934469892</v>
      </c>
      <c r="P21" s="7">
        <v>4.5427193017503087E-2</v>
      </c>
      <c r="Q21" s="7">
        <v>0.27408344527068967</v>
      </c>
      <c r="R21" s="7">
        <v>8.4905231193340591E-2</v>
      </c>
      <c r="S21" s="7">
        <v>-3.656329165669691E-2</v>
      </c>
      <c r="T21" s="7">
        <v>-1.4040364340204919E-2</v>
      </c>
      <c r="U21" s="7">
        <v>-9.8246407343969278E-3</v>
      </c>
      <c r="V21" s="7">
        <v>-0.13175048865250241</v>
      </c>
      <c r="W21" s="7">
        <v>0.15778847961546261</v>
      </c>
      <c r="X21" s="7">
        <v>0.20780126735333779</v>
      </c>
      <c r="Y21" s="7">
        <v>-1.014366037320256E-2</v>
      </c>
      <c r="Z21" s="7">
        <v>3.9457715679957053E-2</v>
      </c>
      <c r="AA21" s="7">
        <v>2.8033456192208511E-2</v>
      </c>
      <c r="AB21" s="7">
        <v>-2.1955943889134161E-2</v>
      </c>
      <c r="AC21" s="7">
        <v>-0.15954227246420169</v>
      </c>
      <c r="AD21" s="7">
        <v>-2.593327599743489E-2</v>
      </c>
      <c r="AE21" s="7">
        <v>1.031161069406002E-2</v>
      </c>
      <c r="AF21" s="7">
        <v>5.3125609886562987E-2</v>
      </c>
      <c r="AG21" s="7">
        <v>-1.057075303995837E-2</v>
      </c>
      <c r="AH21" s="7">
        <v>-0.10758136256479831</v>
      </c>
      <c r="AI21" s="7">
        <v>7.9594209333291061E-2</v>
      </c>
      <c r="AJ21" s="7">
        <v>-7.0405341946468691E-2</v>
      </c>
      <c r="AK21" s="7">
        <v>-3.5803167618110053E-2</v>
      </c>
      <c r="AL21" s="7">
        <v>6.5379822733110632E-2</v>
      </c>
      <c r="AM21" s="7">
        <v>6.8535807447630548E-2</v>
      </c>
      <c r="AN21" s="7">
        <v>0.11195605606309431</v>
      </c>
      <c r="AO21" s="7">
        <v>4.7726395643726653E-2</v>
      </c>
      <c r="AP21" s="7">
        <v>-7.2535143570019153E-2</v>
      </c>
      <c r="AQ21" s="7">
        <v>7.6865507010547632E-2</v>
      </c>
      <c r="AR21" s="7">
        <v>0.20518227823048121</v>
      </c>
      <c r="AS21" s="7">
        <v>6.4455868646629361E-2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0.1431476874697567</v>
      </c>
      <c r="AY21" s="7">
        <v>4.7021290978038012E-2</v>
      </c>
      <c r="AZ21" s="7">
        <v>-0.25491126989713642</v>
      </c>
      <c r="BA21" s="7">
        <v>0.1395926821613267</v>
      </c>
      <c r="BB21" s="7">
        <v>0.29451263697732177</v>
      </c>
      <c r="BC21" s="7">
        <v>3.8321147725193863E-2</v>
      </c>
      <c r="BD21" s="7">
        <v>-2.1750863370627919E-2</v>
      </c>
      <c r="BE21" s="7">
        <v>6.3505333974014731E-3</v>
      </c>
      <c r="BF21" s="7">
        <v>3.5771001804346838E-3</v>
      </c>
      <c r="BG21" s="7">
        <v>3.6635189216812601E-2</v>
      </c>
      <c r="BH21" s="7">
        <v>-7.6321363138755302E-2</v>
      </c>
      <c r="BI21" s="7">
        <v>0.1659695961783918</v>
      </c>
      <c r="BJ21" s="7">
        <v>2.3579026181717661E-2</v>
      </c>
      <c r="BK21" s="7">
        <v>-6.8449880379534783E-2</v>
      </c>
      <c r="BL21" s="7">
        <v>0.1427210926463498</v>
      </c>
      <c r="BM21" s="7">
        <v>-4.0795286028720637E-2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4.7662928720715619E-2</v>
      </c>
      <c r="CA21" s="7">
        <v>-6.0517603302398457E-2</v>
      </c>
      <c r="CB21" s="7">
        <v>-6.3421391198258154E-2</v>
      </c>
      <c r="CC21" s="7">
        <v>-8.0189542709663136E-3</v>
      </c>
      <c r="CD21" s="7">
        <v>8.4423550992515431E-2</v>
      </c>
      <c r="CE21" s="7">
        <v>6.1514882354154247E-2</v>
      </c>
      <c r="CF21" s="7">
        <v>-0.1271704760916082</v>
      </c>
      <c r="CG21" s="7">
        <v>0.32016678338047649</v>
      </c>
      <c r="CH21" s="7">
        <v>8.0100321076211733E-2</v>
      </c>
      <c r="CI21" s="7">
        <v>-8.0499616390982326E-2</v>
      </c>
      <c r="CJ21" s="7">
        <v>-8.5627757016502298E-2</v>
      </c>
      <c r="CK21" s="7">
        <v>0.12705054673013411</v>
      </c>
      <c r="CL21" s="7">
        <v>-0.13389042462296469</v>
      </c>
      <c r="CM21" s="7">
        <v>0.2255029884033713</v>
      </c>
      <c r="CN21" s="7">
        <v>3.05388902037756E-2</v>
      </c>
      <c r="CO21" s="7">
        <v>-0.51486524859759264</v>
      </c>
      <c r="CP21" s="7">
        <v>0.22270006087791269</v>
      </c>
      <c r="CQ21" s="7">
        <v>-2.2912194169496192E-2</v>
      </c>
      <c r="CR21" s="7">
        <v>1.161578886010306E-2</v>
      </c>
      <c r="CS21" s="7">
        <v>3.0907745682497659E-2</v>
      </c>
      <c r="CT21" s="7">
        <v>8.2292872854338978E-2</v>
      </c>
      <c r="CU21" s="7">
        <v>-6.2673560169491313E-2</v>
      </c>
      <c r="CV21" s="7">
        <v>9.8225632021386913E-2</v>
      </c>
      <c r="CW21" s="7">
        <v>6.5005417280988659E-2</v>
      </c>
      <c r="CX21" s="7">
        <v>0.1021221756574071</v>
      </c>
      <c r="CY21" s="7">
        <v>-8.4819164039144704E-3</v>
      </c>
      <c r="CZ21" s="7">
        <v>0.2374513708258302</v>
      </c>
      <c r="DA21" s="7">
        <v>1.192256456731756E-3</v>
      </c>
      <c r="DB21" s="7">
        <v>7.1461213773998111E-2</v>
      </c>
      <c r="DC21" s="7">
        <v>4.8309147365506719E-2</v>
      </c>
      <c r="DD21" s="7">
        <v>-6.7027496200741665E-2</v>
      </c>
      <c r="DE21" s="7">
        <v>1.2238108588318921E-2</v>
      </c>
      <c r="DF21" s="7">
        <v>2.156088069787479E-2</v>
      </c>
      <c r="DG21" s="7">
        <v>7.8463781285332893E-3</v>
      </c>
      <c r="DH21" s="7">
        <v>1.407682021245452E-2</v>
      </c>
      <c r="DI21" s="7">
        <v>3.4407478280179482E-2</v>
      </c>
      <c r="DJ21" s="7">
        <v>7.330279150207536E-2</v>
      </c>
      <c r="DK21" s="7">
        <v>0.13950270681890459</v>
      </c>
      <c r="DL21" s="7">
        <v>9.8364938839376553E-2</v>
      </c>
      <c r="DM21" s="7">
        <v>-2.9834119642240212E-2</v>
      </c>
      <c r="DN21" s="7">
        <v>7.1197612493993062E-2</v>
      </c>
      <c r="DO21" s="7">
        <v>8.2445792330679737E-2</v>
      </c>
      <c r="DP21" s="7">
        <v>2.426615509356601E-2</v>
      </c>
      <c r="DQ21" s="7">
        <v>-2.821605205239688E-2</v>
      </c>
      <c r="DR21" s="7">
        <v>5.0170859037080733E-2</v>
      </c>
      <c r="DS21" s="7">
        <v>-0.20083947383729561</v>
      </c>
      <c r="DT21" s="7">
        <v>-9.7086429422632292E-3</v>
      </c>
      <c r="DU21" s="7">
        <v>-0.1486147166384135</v>
      </c>
      <c r="DV21" s="7">
        <v>0.140275976869878</v>
      </c>
      <c r="DW21" s="7">
        <v>0.12824786866412111</v>
      </c>
      <c r="DX21" s="7">
        <v>-0.18596621403118341</v>
      </c>
      <c r="DY21" s="7">
        <v>0.16673097108859181</v>
      </c>
      <c r="DZ21" s="7">
        <v>9.893057365990536E-2</v>
      </c>
      <c r="EA21" s="7">
        <v>0.26605683227934601</v>
      </c>
      <c r="EB21" s="7">
        <v>8.4081461705858979E-3</v>
      </c>
      <c r="EC21" s="7">
        <v>2.7188931609766109E-2</v>
      </c>
      <c r="ED21" s="7">
        <v>-5.4498856348180663E-2</v>
      </c>
      <c r="EE21" s="7">
        <v>1.4428852108417999E-2</v>
      </c>
      <c r="EF21" s="8">
        <v>-1.8771264042119089E-2</v>
      </c>
    </row>
    <row r="22" spans="1:136" x14ac:dyDescent="0.3">
      <c r="A22" s="1">
        <v>321</v>
      </c>
      <c r="B22" s="1">
        <v>3</v>
      </c>
      <c r="C22" s="7">
        <v>0.20528030103697539</v>
      </c>
      <c r="D22" s="7">
        <v>0.1424278520773985</v>
      </c>
      <c r="E22" s="7">
        <v>-1.7355098916458981E-2</v>
      </c>
      <c r="F22" s="7">
        <v>-0.13986745030938699</v>
      </c>
      <c r="G22" s="7">
        <v>0.23294542459532269</v>
      </c>
      <c r="H22" s="7">
        <v>0.1241780629606463</v>
      </c>
      <c r="I22" s="7">
        <v>1.743734320629017E-2</v>
      </c>
      <c r="J22" s="7">
        <v>-0.10425350273662951</v>
      </c>
      <c r="K22" s="7">
        <v>2.8656780116393998E-2</v>
      </c>
      <c r="L22" s="7">
        <v>1.427320868498227E-2</v>
      </c>
      <c r="M22" s="7">
        <v>-0.22515860506358171</v>
      </c>
      <c r="N22" s="7">
        <v>0.75614344311733894</v>
      </c>
      <c r="O22" s="7">
        <v>-6.6442332164954182E-2</v>
      </c>
      <c r="P22" s="7">
        <v>9.0630874426634297E-2</v>
      </c>
      <c r="Q22" s="7">
        <v>0.12727089023139021</v>
      </c>
      <c r="R22" s="7">
        <v>6.6698292606331602E-2</v>
      </c>
      <c r="S22" s="7">
        <v>-3.9234143537179147E-2</v>
      </c>
      <c r="T22" s="7">
        <v>-2.023861247683403E-2</v>
      </c>
      <c r="U22" s="7">
        <v>5.2488906495621809E-2</v>
      </c>
      <c r="V22" s="7">
        <v>-0.1756249024704124</v>
      </c>
      <c r="W22" s="7">
        <v>0.20748026702429739</v>
      </c>
      <c r="X22" s="7">
        <v>0.25720235121349699</v>
      </c>
      <c r="Y22" s="7">
        <v>-6.9853331702800808E-2</v>
      </c>
      <c r="Z22" s="7">
        <v>2.386612179035642E-2</v>
      </c>
      <c r="AA22" s="7">
        <v>0.1181206143698829</v>
      </c>
      <c r="AB22" s="7">
        <v>3.8652301253394171E-3</v>
      </c>
      <c r="AC22" s="7">
        <v>-0.1772130781488627</v>
      </c>
      <c r="AD22" s="7">
        <v>-1.859374921466125E-2</v>
      </c>
      <c r="AE22" s="7">
        <v>-8.514768595770715E-2</v>
      </c>
      <c r="AF22" s="7">
        <v>4.718231615802413E-2</v>
      </c>
      <c r="AG22" s="7">
        <v>-4.5973813007689088E-2</v>
      </c>
      <c r="AH22" s="7">
        <v>-0.10586595942047269</v>
      </c>
      <c r="AI22" s="7">
        <v>9.4141260657386039E-2</v>
      </c>
      <c r="AJ22" s="7">
        <v>-3.1699849326408271E-2</v>
      </c>
      <c r="AK22" s="7">
        <v>0.1012885607403957</v>
      </c>
      <c r="AL22" s="7">
        <v>4.0340966806900407E-2</v>
      </c>
      <c r="AM22" s="7">
        <v>8.4088903467703563E-2</v>
      </c>
      <c r="AN22" s="7">
        <v>0.1111328096635593</v>
      </c>
      <c r="AO22" s="7">
        <v>7.4717373393705613E-2</v>
      </c>
      <c r="AP22" s="7">
        <v>-6.2536353887992696E-2</v>
      </c>
      <c r="AQ22" s="7">
        <v>7.9426117478593142E-2</v>
      </c>
      <c r="AR22" s="7">
        <v>0.25053267815838243</v>
      </c>
      <c r="AS22" s="7">
        <v>8.2810438898549957E-2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0.17376339998002421</v>
      </c>
      <c r="AY22" s="7">
        <v>7.1733385334230598E-2</v>
      </c>
      <c r="AZ22" s="7">
        <v>-0.1549037783211521</v>
      </c>
      <c r="BA22" s="7">
        <v>4.9774957584186978E-2</v>
      </c>
      <c r="BB22" s="7">
        <v>0.36955058329648782</v>
      </c>
      <c r="BC22" s="7">
        <v>-0.13083693812295519</v>
      </c>
      <c r="BD22" s="7">
        <v>-2.2174181465828179E-2</v>
      </c>
      <c r="BE22" s="7">
        <v>2.221618339448047E-2</v>
      </c>
      <c r="BF22" s="7">
        <v>1.363881733831962E-2</v>
      </c>
      <c r="BG22" s="7">
        <v>4.6279512168386029E-2</v>
      </c>
      <c r="BH22" s="7">
        <v>-0.12796054233813189</v>
      </c>
      <c r="BI22" s="7">
        <v>0.111088719409907</v>
      </c>
      <c r="BJ22" s="7">
        <v>5.4996415150720922E-2</v>
      </c>
      <c r="BK22" s="7">
        <v>-4.1839635933665138E-2</v>
      </c>
      <c r="BL22" s="7">
        <v>0.16178033907103531</v>
      </c>
      <c r="BM22" s="7">
        <v>-2.4304832455331882E-3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4.725773586289217E-2</v>
      </c>
      <c r="CA22" s="7">
        <v>-2.749007848032349E-2</v>
      </c>
      <c r="CB22" s="7">
        <v>-0.14899327824592659</v>
      </c>
      <c r="CC22" s="7">
        <v>-0.12510399532003291</v>
      </c>
      <c r="CD22" s="7">
        <v>9.5518542864996087E-2</v>
      </c>
      <c r="CE22" s="7">
        <v>6.6840145636817616E-2</v>
      </c>
      <c r="CF22" s="7">
        <v>-0.15557256842246689</v>
      </c>
      <c r="CG22" s="7">
        <v>0.4438008150544101</v>
      </c>
      <c r="CH22" s="7">
        <v>0.1159187712794482</v>
      </c>
      <c r="CI22" s="7">
        <v>-0.1177797462783592</v>
      </c>
      <c r="CJ22" s="7">
        <v>-0.1033795050895627</v>
      </c>
      <c r="CK22" s="7">
        <v>3.6163342604682402E-2</v>
      </c>
      <c r="CL22" s="7">
        <v>-0.2406517986250408</v>
      </c>
      <c r="CM22" s="7">
        <v>0.32043200365782532</v>
      </c>
      <c r="CN22" s="7">
        <v>-8.5467718209073992E-3</v>
      </c>
      <c r="CO22" s="7">
        <v>-0.64995646824915565</v>
      </c>
      <c r="CP22" s="7">
        <v>0.25940855696940252</v>
      </c>
      <c r="CQ22" s="7">
        <v>-1.7159615519123799E-2</v>
      </c>
      <c r="CR22" s="7">
        <v>-2.8422205079160712E-2</v>
      </c>
      <c r="CS22" s="7">
        <v>2.4439586832032689E-2</v>
      </c>
      <c r="CT22" s="7">
        <v>5.8232521355985362E-2</v>
      </c>
      <c r="CU22" s="7">
        <v>-0.1202317119640979</v>
      </c>
      <c r="CV22" s="7">
        <v>0.1122336952070542</v>
      </c>
      <c r="CW22" s="7">
        <v>3.6451253326165209E-2</v>
      </c>
      <c r="CX22" s="7">
        <v>3.749593267848913E-3</v>
      </c>
      <c r="CY22" s="7">
        <v>-7.9888257735091419E-3</v>
      </c>
      <c r="CZ22" s="7">
        <v>0.26292048459923911</v>
      </c>
      <c r="DA22" s="7">
        <v>-3.9917538819241108E-3</v>
      </c>
      <c r="DB22" s="7">
        <v>5.4041621710522049E-2</v>
      </c>
      <c r="DC22" s="7">
        <v>7.2342033732944094E-2</v>
      </c>
      <c r="DD22" s="7">
        <v>-1.596257781556271E-2</v>
      </c>
      <c r="DE22" s="7">
        <v>-5.4917579819501461E-3</v>
      </c>
      <c r="DF22" s="7">
        <v>1.7031775273553061E-2</v>
      </c>
      <c r="DG22" s="7">
        <v>3.1985043080887662E-2</v>
      </c>
      <c r="DH22" s="7">
        <v>1.3945346183503959E-2</v>
      </c>
      <c r="DI22" s="7">
        <v>6.356099926224941E-2</v>
      </c>
      <c r="DJ22" s="7">
        <v>4.277692212467888E-2</v>
      </c>
      <c r="DK22" s="7">
        <v>0.1791347138228401</v>
      </c>
      <c r="DL22" s="7">
        <v>0.1249416477373831</v>
      </c>
      <c r="DM22" s="7">
        <v>-6.3466051038033502E-2</v>
      </c>
      <c r="DN22" s="7">
        <v>4.6763328204007498E-2</v>
      </c>
      <c r="DO22" s="7">
        <v>0.12343750131163821</v>
      </c>
      <c r="DP22" s="7">
        <v>1.022725785290381E-2</v>
      </c>
      <c r="DQ22" s="7">
        <v>-5.1850201837621311E-2</v>
      </c>
      <c r="DR22" s="7">
        <v>-6.0925526153180337E-3</v>
      </c>
      <c r="DS22" s="7">
        <v>-0.19705092156235929</v>
      </c>
      <c r="DT22" s="7">
        <v>-4.3681446324088213E-2</v>
      </c>
      <c r="DU22" s="7">
        <v>-0.16154691088272999</v>
      </c>
      <c r="DV22" s="7">
        <v>0.12570511767817799</v>
      </c>
      <c r="DW22" s="7">
        <v>7.838972370699715E-2</v>
      </c>
      <c r="DX22" s="7">
        <v>-0.22244260844829469</v>
      </c>
      <c r="DY22" s="7">
        <v>0.11995602471866181</v>
      </c>
      <c r="DZ22" s="7">
        <v>0.11083450478771149</v>
      </c>
      <c r="EA22" s="7">
        <v>0.14035616200069359</v>
      </c>
      <c r="EB22" s="7">
        <v>-8.0596727535317977E-2</v>
      </c>
      <c r="EC22" s="7">
        <v>8.808544742642449E-2</v>
      </c>
      <c r="ED22" s="7">
        <v>-7.7413567057607463E-2</v>
      </c>
      <c r="EE22" s="7">
        <v>3.344630381221339E-2</v>
      </c>
      <c r="EF22" s="8">
        <v>-3.4790246372172352E-2</v>
      </c>
    </row>
    <row r="23" spans="1:136" x14ac:dyDescent="0.3">
      <c r="A23" s="1">
        <v>482</v>
      </c>
      <c r="B23" s="1">
        <v>2</v>
      </c>
      <c r="C23" s="7">
        <v>0.28298926569632887</v>
      </c>
      <c r="D23" s="7">
        <v>0.25409262745146127</v>
      </c>
      <c r="E23" s="7">
        <v>0.13300519405617101</v>
      </c>
      <c r="F23" s="7">
        <v>-3.740232941910691E-3</v>
      </c>
      <c r="G23" s="7">
        <v>0.36163212077843282</v>
      </c>
      <c r="H23" s="7">
        <v>-1.8188470841484668E-2</v>
      </c>
      <c r="I23" s="7">
        <v>-3.6386488866407093E-2</v>
      </c>
      <c r="J23" s="7">
        <v>-0.1148775059304451</v>
      </c>
      <c r="K23" s="7">
        <v>-5.9917884508062888E-2</v>
      </c>
      <c r="L23" s="7">
        <v>5.0770833705182927E-2</v>
      </c>
      <c r="M23" s="7">
        <v>-0.26256934704734031</v>
      </c>
      <c r="N23" s="7">
        <v>0.97590144327128003</v>
      </c>
      <c r="O23" s="7">
        <v>-0.1228997073071684</v>
      </c>
      <c r="P23" s="7">
        <v>5.46815260345479E-2</v>
      </c>
      <c r="Q23" s="7">
        <v>0.29117349346670462</v>
      </c>
      <c r="R23" s="7">
        <v>6.2821977969761703E-2</v>
      </c>
      <c r="S23" s="7">
        <v>-7.2572664450062274E-2</v>
      </c>
      <c r="T23" s="7">
        <v>-3.733692084787466E-4</v>
      </c>
      <c r="U23" s="7">
        <v>5.924178948110146E-2</v>
      </c>
      <c r="V23" s="7">
        <v>-0.2324772033709247</v>
      </c>
      <c r="W23" s="7">
        <v>0.33161915024914451</v>
      </c>
      <c r="X23" s="7">
        <v>0.1945564614576443</v>
      </c>
      <c r="Y23" s="7">
        <v>-6.7949921591350784E-2</v>
      </c>
      <c r="Z23" s="7">
        <v>4.1051966520251372E-2</v>
      </c>
      <c r="AA23" s="7">
        <v>0.15164933184604609</v>
      </c>
      <c r="AB23" s="7">
        <v>3.09913850559921E-2</v>
      </c>
      <c r="AC23" s="7">
        <v>-0.23400862094644481</v>
      </c>
      <c r="AD23" s="7">
        <v>-2.9952915704841848E-3</v>
      </c>
      <c r="AE23" s="7">
        <v>-0.22171323582164909</v>
      </c>
      <c r="AF23" s="7">
        <v>6.6906260089751285E-2</v>
      </c>
      <c r="AG23" s="7">
        <v>-2.0576770504273641E-3</v>
      </c>
      <c r="AH23" s="7">
        <v>-8.417158452318324E-2</v>
      </c>
      <c r="AI23" s="7">
        <v>2.3228266622481949E-2</v>
      </c>
      <c r="AJ23" s="7">
        <v>5.6431378481542303E-3</v>
      </c>
      <c r="AK23" s="7">
        <v>0.11411109934719101</v>
      </c>
      <c r="AL23" s="7">
        <v>0.1314317131925356</v>
      </c>
      <c r="AM23" s="7">
        <v>7.769489004865255E-3</v>
      </c>
      <c r="AN23" s="7">
        <v>0.24231469935730071</v>
      </c>
      <c r="AO23" s="7">
        <v>-5.3369521914240978E-3</v>
      </c>
      <c r="AP23" s="7">
        <v>3.1210993523056942E-3</v>
      </c>
      <c r="AQ23" s="7">
        <v>8.9424992259610633E-2</v>
      </c>
      <c r="AR23" s="7">
        <v>0.33674404384506768</v>
      </c>
      <c r="AS23" s="7">
        <v>-1.470688799737762E-2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6.9838153827044058E-2</v>
      </c>
      <c r="AY23" s="7">
        <v>0.17023398084058211</v>
      </c>
      <c r="AZ23" s="7">
        <v>-6.3753617401060211E-2</v>
      </c>
      <c r="BA23" s="7">
        <v>5.3998338629857423E-2</v>
      </c>
      <c r="BB23" s="7">
        <v>0.56682652604744033</v>
      </c>
      <c r="BC23" s="7">
        <v>-0.30082824917306578</v>
      </c>
      <c r="BD23" s="7">
        <v>9.4830881346450333E-2</v>
      </c>
      <c r="BE23" s="7">
        <v>-7.1430762397296579E-2</v>
      </c>
      <c r="BF23" s="7">
        <v>-2.284699060468626E-2</v>
      </c>
      <c r="BG23" s="7">
        <v>7.4761471196752541E-2</v>
      </c>
      <c r="BH23" s="7">
        <v>-0.2034839813552872</v>
      </c>
      <c r="BI23" s="7">
        <v>0.1911120793231991</v>
      </c>
      <c r="BJ23" s="7">
        <v>0.1040033152679269</v>
      </c>
      <c r="BK23" s="7">
        <v>2.0341083364774871E-3</v>
      </c>
      <c r="BL23" s="7">
        <v>0.14953429625023959</v>
      </c>
      <c r="BM23" s="7">
        <v>6.9495462024450616E-2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7.6697624318448621E-3</v>
      </c>
      <c r="CA23" s="7">
        <v>-7.5653199746629096E-2</v>
      </c>
      <c r="CB23" s="7">
        <v>-0.21761420299243989</v>
      </c>
      <c r="CC23" s="7">
        <v>-8.4544614715775346E-2</v>
      </c>
      <c r="CD23" s="7">
        <v>0.141241944161549</v>
      </c>
      <c r="CE23" s="7">
        <v>5.9602301837717461E-2</v>
      </c>
      <c r="CF23" s="7">
        <v>-0.18343323628555941</v>
      </c>
      <c r="CG23" s="7">
        <v>0.29290393811773718</v>
      </c>
      <c r="CH23" s="7">
        <v>0.18019644892142839</v>
      </c>
      <c r="CI23" s="7">
        <v>-0.30989941712809688</v>
      </c>
      <c r="CJ23" s="7">
        <v>-1.9875367550410569E-2</v>
      </c>
      <c r="CK23" s="7">
        <v>9.6116994727961536E-2</v>
      </c>
      <c r="CL23" s="7">
        <v>-0.40866101266741839</v>
      </c>
      <c r="CM23" s="7">
        <v>0.3867329465229094</v>
      </c>
      <c r="CN23" s="7">
        <v>-5.3005178369803271E-2</v>
      </c>
      <c r="CO23" s="7">
        <v>-0.90892328736561978</v>
      </c>
      <c r="CP23" s="7">
        <v>0.31136074316275669</v>
      </c>
      <c r="CQ23" s="7">
        <v>2.4702270079380868E-2</v>
      </c>
      <c r="CR23" s="7">
        <v>-3.8232839171219918E-2</v>
      </c>
      <c r="CS23" s="7">
        <v>6.901537085690515E-2</v>
      </c>
      <c r="CT23" s="7">
        <v>4.5662541711253862E-2</v>
      </c>
      <c r="CU23" s="7">
        <v>-2.1056595713287041E-2</v>
      </c>
      <c r="CV23" s="7">
        <v>-2.2245137488805671E-2</v>
      </c>
      <c r="CW23" s="7">
        <v>0.1009013318024186</v>
      </c>
      <c r="CX23" s="7">
        <v>-8.8716994096526336E-2</v>
      </c>
      <c r="CY23" s="7">
        <v>2.20465307533785E-2</v>
      </c>
      <c r="CZ23" s="7">
        <v>0.18199879385735121</v>
      </c>
      <c r="DA23" s="7">
        <v>-3.0982136225910391E-2</v>
      </c>
      <c r="DB23" s="7">
        <v>1.8747066443219641E-2</v>
      </c>
      <c r="DC23" s="7">
        <v>7.2416033656425932E-2</v>
      </c>
      <c r="DD23" s="7">
        <v>-1.8407826273001211E-2</v>
      </c>
      <c r="DE23" s="7">
        <v>-9.3952259516448811E-3</v>
      </c>
      <c r="DF23" s="7">
        <v>6.194212704490535E-2</v>
      </c>
      <c r="DG23" s="7">
        <v>3.8270011874717E-2</v>
      </c>
      <c r="DH23" s="7">
        <v>5.5413447308742453E-2</v>
      </c>
      <c r="DI23" s="7">
        <v>5.3479596916020812E-2</v>
      </c>
      <c r="DJ23" s="7">
        <v>-3.3824576295396119E-2</v>
      </c>
      <c r="DK23" s="7">
        <v>0.27783321655884308</v>
      </c>
      <c r="DL23" s="7">
        <v>0.21610105954027359</v>
      </c>
      <c r="DM23" s="7">
        <v>-1.949730491936592E-2</v>
      </c>
      <c r="DN23" s="7">
        <v>6.4971960439702253E-3</v>
      </c>
      <c r="DO23" s="7">
        <v>0.16409130373383399</v>
      </c>
      <c r="DP23" s="7">
        <v>4.7088232655722921E-2</v>
      </c>
      <c r="DQ23" s="7">
        <v>-0.12113204125745761</v>
      </c>
      <c r="DR23" s="7">
        <v>-8.9886002731306744E-2</v>
      </c>
      <c r="DS23" s="7">
        <v>-0.28809657691904628</v>
      </c>
      <c r="DT23" s="7">
        <v>-5.4250460668612679E-2</v>
      </c>
      <c r="DU23" s="7">
        <v>-5.5639478708282321E-2</v>
      </c>
      <c r="DV23" s="7">
        <v>0.27627160832943959</v>
      </c>
      <c r="DW23" s="7">
        <v>0.14122823258283859</v>
      </c>
      <c r="DX23" s="7">
        <v>-0.31349320637896622</v>
      </c>
      <c r="DY23" s="7">
        <v>-5.3926224537590731E-2</v>
      </c>
      <c r="DZ23" s="7">
        <v>-0.21717398775244159</v>
      </c>
      <c r="EA23" s="7">
        <v>-2.875877977640498E-2</v>
      </c>
      <c r="EB23" s="7">
        <v>-6.2753439710675096E-2</v>
      </c>
      <c r="EC23" s="7">
        <v>9.3644533160520085E-2</v>
      </c>
      <c r="ED23" s="7">
        <v>-9.1425904619781034E-2</v>
      </c>
      <c r="EE23" s="7">
        <v>5.9050683888240307E-2</v>
      </c>
      <c r="EF23" s="8">
        <v>-4.7782278591659677E-2</v>
      </c>
    </row>
    <row r="24" spans="1:136" x14ac:dyDescent="0.3">
      <c r="A24" s="1">
        <v>964</v>
      </c>
      <c r="B24" s="1">
        <v>1</v>
      </c>
      <c r="C24" s="7">
        <v>9.9113364206882743E-2</v>
      </c>
      <c r="D24" s="7">
        <v>0.1006099128992286</v>
      </c>
      <c r="E24" s="7">
        <v>0.28451249769050191</v>
      </c>
      <c r="F24" s="7">
        <v>7.5326493831706698E-2</v>
      </c>
      <c r="G24" s="7">
        <v>0.2296070518581638</v>
      </c>
      <c r="H24" s="7">
        <v>3.5855796654956661E-2</v>
      </c>
      <c r="I24" s="7">
        <v>1.692708918074378E-2</v>
      </c>
      <c r="J24" s="7">
        <v>-0.1154627982140225</v>
      </c>
      <c r="K24" s="7">
        <v>5.3732996668234008E-2</v>
      </c>
      <c r="L24" s="7">
        <v>9.3799693256750388E-2</v>
      </c>
      <c r="M24" s="7">
        <v>-0.46302754420013847</v>
      </c>
      <c r="N24" s="7">
        <v>1.769031369112569</v>
      </c>
      <c r="O24" s="7">
        <v>-0.24427786338818341</v>
      </c>
      <c r="P24" s="7">
        <v>1.736288864347235E-3</v>
      </c>
      <c r="Q24" s="7">
        <v>-2.847135602397292E-3</v>
      </c>
      <c r="R24" s="7">
        <v>-2.7822823885088121E-2</v>
      </c>
      <c r="S24" s="7">
        <v>-1.1054460207448651E-2</v>
      </c>
      <c r="T24" s="7">
        <v>0.1236910440917892</v>
      </c>
      <c r="U24" s="7">
        <v>0.28585628998140078</v>
      </c>
      <c r="V24" s="7">
        <v>-9.8678511259329957E-2</v>
      </c>
      <c r="W24" s="7">
        <v>0.49571198595594262</v>
      </c>
      <c r="X24" s="7">
        <v>-8.988764650171982E-4</v>
      </c>
      <c r="Y24" s="7">
        <v>-0.1203174930645305</v>
      </c>
      <c r="Z24" s="7">
        <v>-2.439454874957615E-2</v>
      </c>
      <c r="AA24" s="7">
        <v>9.4359582813794432E-2</v>
      </c>
      <c r="AB24" s="7">
        <v>0.30039379355698248</v>
      </c>
      <c r="AC24" s="7">
        <v>-0.24616895878469969</v>
      </c>
      <c r="AD24" s="7">
        <v>-5.9922146810819088E-2</v>
      </c>
      <c r="AE24" s="7">
        <v>-0.17526881500734201</v>
      </c>
      <c r="AF24" s="7">
        <v>2.2522010034790499E-2</v>
      </c>
      <c r="AG24" s="7">
        <v>0.10590047247440069</v>
      </c>
      <c r="AH24" s="7">
        <v>-5.6697360067789589E-2</v>
      </c>
      <c r="AI24" s="7">
        <v>-8.8083310984272967E-3</v>
      </c>
      <c r="AJ24" s="7">
        <v>-8.089124399937539E-2</v>
      </c>
      <c r="AK24" s="7">
        <v>8.4883953068192297E-2</v>
      </c>
      <c r="AL24" s="7">
        <v>-5.4676935490635382E-2</v>
      </c>
      <c r="AM24" s="7">
        <v>-1.89192814205267E-2</v>
      </c>
      <c r="AN24" s="7">
        <v>0.22118946514543131</v>
      </c>
      <c r="AO24" s="7">
        <v>6.6090111828990022E-2</v>
      </c>
      <c r="AP24" s="7">
        <v>-2.28517154890964E-2</v>
      </c>
      <c r="AQ24" s="7">
        <v>4.7076972834245667E-2</v>
      </c>
      <c r="AR24" s="7">
        <v>9.6392566076069844E-3</v>
      </c>
      <c r="AS24" s="7">
        <v>-2.7956077266590069E-2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2.8306186588424521E-2</v>
      </c>
      <c r="AY24" s="7">
        <v>0.16812729388488939</v>
      </c>
      <c r="AZ24" s="7">
        <v>3.7867073599665187E-2</v>
      </c>
      <c r="BA24" s="7">
        <v>5.0491305412012258E-2</v>
      </c>
      <c r="BB24" s="7">
        <v>0.69077653138067185</v>
      </c>
      <c r="BC24" s="7">
        <v>-0.8032160130443774</v>
      </c>
      <c r="BD24" s="7">
        <v>0.18559521924643521</v>
      </c>
      <c r="BE24" s="7">
        <v>-4.606435403168687E-2</v>
      </c>
      <c r="BF24" s="7">
        <v>8.765133605409231E-2</v>
      </c>
      <c r="BG24" s="7">
        <v>2.6835965866310919E-2</v>
      </c>
      <c r="BH24" s="7">
        <v>-0.38625533691353497</v>
      </c>
      <c r="BI24" s="7">
        <v>0.2236291060700471</v>
      </c>
      <c r="BJ24" s="7">
        <v>3.3483157548845829E-3</v>
      </c>
      <c r="BK24" s="7">
        <v>4.0235468942862278E-3</v>
      </c>
      <c r="BL24" s="7">
        <v>0.31716429392471662</v>
      </c>
      <c r="BM24" s="7">
        <v>-8.4782939838988242E-2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0.25889289884999689</v>
      </c>
      <c r="CA24" s="7">
        <v>-0.1152216807734147</v>
      </c>
      <c r="CB24" s="7">
        <v>0.20876197428786911</v>
      </c>
      <c r="CC24" s="7">
        <v>-0.18246987988756161</v>
      </c>
      <c r="CD24" s="7">
        <v>2.9953525870016359E-2</v>
      </c>
      <c r="CE24" s="7">
        <v>0.16556487399111461</v>
      </c>
      <c r="CF24" s="7">
        <v>-0.16513135300939591</v>
      </c>
      <c r="CG24" s="7">
        <v>0.23727783485992521</v>
      </c>
      <c r="CH24" s="7">
        <v>0.35427729684250298</v>
      </c>
      <c r="CI24" s="7">
        <v>0.3284518207092646</v>
      </c>
      <c r="CJ24" s="7">
        <v>1.310948541941956E-2</v>
      </c>
      <c r="CK24" s="7">
        <v>9.3530079315696568E-2</v>
      </c>
      <c r="CL24" s="7">
        <v>0.1417553333725407</v>
      </c>
      <c r="CM24" s="7">
        <v>0.54958710995910021</v>
      </c>
      <c r="CN24" s="7">
        <v>-0.1077387664572132</v>
      </c>
      <c r="CO24" s="7">
        <v>-0.77665321833623113</v>
      </c>
      <c r="CP24" s="7">
        <v>0.1603442048148421</v>
      </c>
      <c r="CQ24" s="7">
        <v>0.1601896466275006</v>
      </c>
      <c r="CR24" s="7">
        <v>-9.681790719133844E-2</v>
      </c>
      <c r="CS24" s="7">
        <v>-2.6854922521108548E-2</v>
      </c>
      <c r="CT24" s="7">
        <v>9.6419008147395818E-2</v>
      </c>
      <c r="CU24" s="7">
        <v>-7.2751347656710041E-2</v>
      </c>
      <c r="CV24" s="7">
        <v>1.5064047539375311E-2</v>
      </c>
      <c r="CW24" s="7">
        <v>0.17511716607200739</v>
      </c>
      <c r="CX24" s="7">
        <v>5.5207193708687041E-2</v>
      </c>
      <c r="CY24" s="7">
        <v>-8.0066904636818925E-2</v>
      </c>
      <c r="CZ24" s="7">
        <v>0.11220662844456721</v>
      </c>
      <c r="DA24" s="7">
        <v>2.451120416275485E-2</v>
      </c>
      <c r="DB24" s="7">
        <v>-1.6501865848996312E-2</v>
      </c>
      <c r="DC24" s="7">
        <v>0.17955311523934811</v>
      </c>
      <c r="DD24" s="7">
        <v>4.9299772670775198E-2</v>
      </c>
      <c r="DE24" s="7">
        <v>-0.17606275750953501</v>
      </c>
      <c r="DF24" s="7">
        <v>-0.1046649760205613</v>
      </c>
      <c r="DG24" s="7">
        <v>5.9105834124344087E-2</v>
      </c>
      <c r="DH24" s="7">
        <v>8.4652506536621926E-4</v>
      </c>
      <c r="DI24" s="7">
        <v>0.1418754589382695</v>
      </c>
      <c r="DJ24" s="7">
        <v>2.108147115785142E-2</v>
      </c>
      <c r="DK24" s="7">
        <v>0.33950921063044381</v>
      </c>
      <c r="DL24" s="7">
        <v>0.21310442628588119</v>
      </c>
      <c r="DM24" s="7">
        <v>-0.14143952722687489</v>
      </c>
      <c r="DN24" s="7">
        <v>0.23333457077469619</v>
      </c>
      <c r="DO24" s="7">
        <v>0.18544080263268789</v>
      </c>
      <c r="DP24" s="7">
        <v>0.1143734254860139</v>
      </c>
      <c r="DQ24" s="7">
        <v>-5.0486190478925157E-2</v>
      </c>
      <c r="DR24" s="7">
        <v>-2.0515630212029241E-2</v>
      </c>
      <c r="DS24" s="7">
        <v>-0.21626154103284559</v>
      </c>
      <c r="DT24" s="7">
        <v>-7.4733345266004753E-2</v>
      </c>
      <c r="DU24" s="7">
        <v>2.1781395361230051E-2</v>
      </c>
      <c r="DV24" s="7">
        <v>0.1582246986438143</v>
      </c>
      <c r="DW24" s="7">
        <v>0.10885708989133031</v>
      </c>
      <c r="DX24" s="7">
        <v>-0.31159312779250392</v>
      </c>
      <c r="DY24" s="7">
        <v>-3.239876608542996E-3</v>
      </c>
      <c r="DZ24" s="7">
        <v>-0.43350657873669168</v>
      </c>
      <c r="EA24" s="7">
        <v>-5.4920183841502608E-2</v>
      </c>
      <c r="EB24" s="7">
        <v>-2.9582176365294029E-2</v>
      </c>
      <c r="EC24" s="7">
        <v>0.14364347355970919</v>
      </c>
      <c r="ED24" s="7">
        <v>-5.6172845298362112E-2</v>
      </c>
      <c r="EE24" s="7">
        <v>0.1134294391912188</v>
      </c>
      <c r="EF24" s="8">
        <v>6.7276677043968364E-2</v>
      </c>
    </row>
    <row r="25" spans="1:136" s="5" customFormat="1" x14ac:dyDescent="0.3">
      <c r="A25" s="6" t="s">
        <v>147</v>
      </c>
      <c r="B25" s="6" t="s">
        <v>148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H25"/>
  <sheetViews>
    <sheetView workbookViewId="0">
      <selection activeCell="E23" sqref="E23"/>
    </sheetView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8" x14ac:dyDescent="0.3">
      <c r="A1" t="s">
        <v>149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8" x14ac:dyDescent="0.3">
      <c r="B3" s="1" t="s">
        <v>136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8" x14ac:dyDescent="0.3">
      <c r="B4" s="1" t="s">
        <v>137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8" x14ac:dyDescent="0.3">
      <c r="B5" s="1" t="s">
        <v>138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8" x14ac:dyDescent="0.3">
      <c r="A6" s="22" t="s">
        <v>139</v>
      </c>
      <c r="B6" s="23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8" x14ac:dyDescent="0.3">
      <c r="C7" s="7" t="str">
        <f t="shared" ref="C7:BN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si="0"/>
        <v>bm</v>
      </c>
      <c r="AJ7" s="7" t="str">
        <f t="shared" si="0"/>
        <v>bm</v>
      </c>
      <c r="AK7" s="7" t="str">
        <f t="shared" si="0"/>
        <v>bm</v>
      </c>
      <c r="AL7" s="7" t="str">
        <f t="shared" si="0"/>
        <v>bm</v>
      </c>
      <c r="AM7" s="7" t="str">
        <f t="shared" si="0"/>
        <v>bm</v>
      </c>
      <c r="AN7" s="7" t="str">
        <f t="shared" si="0"/>
        <v>bm</v>
      </c>
      <c r="AO7" s="7" t="str">
        <f t="shared" si="0"/>
        <v>bm</v>
      </c>
      <c r="AP7" s="7" t="str">
        <f t="shared" si="0"/>
        <v>bm</v>
      </c>
      <c r="AQ7" s="7" t="str">
        <f t="shared" si="0"/>
        <v>bm</v>
      </c>
      <c r="AR7" s="7" t="str">
        <f t="shared" si="0"/>
        <v>bm</v>
      </c>
      <c r="AS7" s="7" t="str">
        <f t="shared" si="0"/>
        <v>bm</v>
      </c>
      <c r="AT7" s="7" t="str">
        <f t="shared" si="0"/>
        <v>bm</v>
      </c>
      <c r="AU7" s="7" t="str">
        <f t="shared" si="0"/>
        <v>bm</v>
      </c>
      <c r="AV7" s="7" t="str">
        <f t="shared" si="0"/>
        <v>bm</v>
      </c>
      <c r="AW7" s="7" t="str">
        <f t="shared" si="0"/>
        <v>bm</v>
      </c>
      <c r="AX7" s="7" t="str">
        <f t="shared" si="0"/>
        <v>bm</v>
      </c>
      <c r="AY7" s="7" t="str">
        <f t="shared" si="0"/>
        <v>bm</v>
      </c>
      <c r="AZ7" s="7" t="str">
        <f t="shared" si="0"/>
        <v>bm</v>
      </c>
      <c r="BA7" s="7" t="str">
        <f t="shared" si="0"/>
        <v>size</v>
      </c>
      <c r="BB7" s="7" t="str">
        <f t="shared" si="0"/>
        <v>size</v>
      </c>
      <c r="BC7" s="7" t="str">
        <f t="shared" si="0"/>
        <v>bm</v>
      </c>
      <c r="BD7" s="7" t="str">
        <f t="shared" si="0"/>
        <v>bm</v>
      </c>
      <c r="BE7" s="7" t="str">
        <f t="shared" si="0"/>
        <v>bm</v>
      </c>
      <c r="BF7" s="7" t="str">
        <f t="shared" si="0"/>
        <v>bm</v>
      </c>
      <c r="BG7" s="7" t="str">
        <f t="shared" si="0"/>
        <v>bm</v>
      </c>
      <c r="BH7" s="7" t="str">
        <f t="shared" si="0"/>
        <v>bm</v>
      </c>
      <c r="BI7" s="7" t="str">
        <f t="shared" si="0"/>
        <v>bm</v>
      </c>
      <c r="BJ7" s="7" t="str">
        <f t="shared" si="0"/>
        <v>bm</v>
      </c>
      <c r="BK7" s="7" t="str">
        <f t="shared" si="0"/>
        <v>bm</v>
      </c>
      <c r="BL7" s="7" t="str">
        <f t="shared" si="0"/>
        <v>bm</v>
      </c>
      <c r="BM7" s="7" t="str">
        <f t="shared" si="0"/>
        <v>mom</v>
      </c>
      <c r="BN7" s="7" t="str">
        <f t="shared" si="0"/>
        <v>bm</v>
      </c>
      <c r="BO7" s="7" t="str">
        <f t="shared" ref="BO7:DZ7" si="1">IF(BO6=1,"bm",IF(BO6=2,"size",IF(BO6=3,"mom")))</f>
        <v>bm</v>
      </c>
      <c r="BP7" s="7" t="str">
        <f t="shared" si="1"/>
        <v>bm</v>
      </c>
      <c r="BQ7" s="7" t="str">
        <f t="shared" si="1"/>
        <v>bm</v>
      </c>
      <c r="BR7" s="7" t="str">
        <f t="shared" si="1"/>
        <v>bm</v>
      </c>
      <c r="BS7" s="7" t="str">
        <f t="shared" si="1"/>
        <v>bm</v>
      </c>
      <c r="BT7" s="7" t="str">
        <f t="shared" si="1"/>
        <v>bm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bm</v>
      </c>
      <c r="BZ7" s="7" t="str">
        <f t="shared" si="1"/>
        <v>bm</v>
      </c>
      <c r="CA7" s="7" t="str">
        <f t="shared" si="1"/>
        <v>bm</v>
      </c>
      <c r="CB7" s="7" t="str">
        <f t="shared" si="1"/>
        <v>bm</v>
      </c>
      <c r="CC7" s="7" t="str">
        <f t="shared" si="1"/>
        <v>size</v>
      </c>
      <c r="CD7" s="7" t="str">
        <f t="shared" si="1"/>
        <v>size</v>
      </c>
      <c r="CE7" s="7" t="str">
        <f t="shared" si="1"/>
        <v>size</v>
      </c>
      <c r="CF7" s="7" t="str">
        <f t="shared" si="1"/>
        <v>size</v>
      </c>
      <c r="CG7" s="7" t="str">
        <f t="shared" si="1"/>
        <v>size</v>
      </c>
      <c r="CH7" s="7" t="str">
        <f t="shared" si="1"/>
        <v>bm</v>
      </c>
      <c r="CI7" s="7" t="str">
        <f t="shared" si="1"/>
        <v>bm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bm</v>
      </c>
      <c r="CN7" s="7" t="str">
        <f t="shared" si="1"/>
        <v>bm</v>
      </c>
      <c r="CO7" s="7" t="str">
        <f t="shared" si="1"/>
        <v>bm</v>
      </c>
      <c r="CP7" s="7" t="str">
        <f t="shared" si="1"/>
        <v>bm</v>
      </c>
      <c r="CQ7" s="7" t="str">
        <f t="shared" si="1"/>
        <v>mom</v>
      </c>
      <c r="CR7" s="7" t="str">
        <f t="shared" si="1"/>
        <v>size</v>
      </c>
      <c r="CS7" s="7" t="str">
        <f t="shared" si="1"/>
        <v>size</v>
      </c>
      <c r="CT7" s="7" t="str">
        <f t="shared" si="1"/>
        <v>bm</v>
      </c>
      <c r="CU7" s="7" t="str">
        <f t="shared" si="1"/>
        <v>bm</v>
      </c>
      <c r="CV7" s="7" t="str">
        <f t="shared" si="1"/>
        <v>bm</v>
      </c>
      <c r="CW7" s="7" t="str">
        <f t="shared" si="1"/>
        <v>bm</v>
      </c>
      <c r="CX7" s="7" t="str">
        <f t="shared" si="1"/>
        <v>bm</v>
      </c>
      <c r="CY7" s="7" t="str">
        <f t="shared" si="1"/>
        <v>bm</v>
      </c>
      <c r="CZ7" s="7" t="str">
        <f t="shared" si="1"/>
        <v>bm</v>
      </c>
      <c r="DA7" s="7" t="str">
        <f t="shared" si="1"/>
        <v>bm</v>
      </c>
      <c r="DB7" s="7" t="str">
        <f t="shared" si="1"/>
        <v>size</v>
      </c>
      <c r="DC7" s="7" t="str">
        <f t="shared" si="1"/>
        <v>size</v>
      </c>
      <c r="DD7" s="7" t="str">
        <f t="shared" si="1"/>
        <v>size</v>
      </c>
      <c r="DE7" s="7" t="str">
        <f t="shared" si="1"/>
        <v>bm</v>
      </c>
      <c r="DF7" s="7" t="str">
        <f t="shared" si="1"/>
        <v>bm</v>
      </c>
      <c r="DG7" s="7" t="str">
        <f t="shared" si="1"/>
        <v>bm</v>
      </c>
      <c r="DH7" s="7" t="str">
        <f t="shared" si="1"/>
        <v>bm</v>
      </c>
      <c r="DI7" s="7" t="str">
        <f t="shared" si="1"/>
        <v>bm</v>
      </c>
      <c r="DJ7" s="7" t="str">
        <f t="shared" si="1"/>
        <v>size</v>
      </c>
      <c r="DK7" s="7" t="str">
        <f t="shared" si="1"/>
        <v>bm</v>
      </c>
      <c r="DL7" s="7" t="str">
        <f t="shared" si="1"/>
        <v>bm</v>
      </c>
      <c r="DM7" s="7" t="str">
        <f t="shared" si="1"/>
        <v>bm</v>
      </c>
      <c r="DN7" s="7" t="str">
        <f t="shared" si="1"/>
        <v>bm</v>
      </c>
      <c r="DO7" s="7" t="str">
        <f t="shared" si="1"/>
        <v>bm</v>
      </c>
      <c r="DP7" s="7" t="str">
        <f t="shared" si="1"/>
        <v>bm</v>
      </c>
      <c r="DQ7" s="7" t="str">
        <f t="shared" si="1"/>
        <v>size</v>
      </c>
      <c r="DR7" s="7" t="str">
        <f t="shared" si="1"/>
        <v>bm</v>
      </c>
      <c r="DS7" s="7" t="str">
        <f t="shared" si="1"/>
        <v>bm</v>
      </c>
      <c r="DT7" s="7" t="str">
        <f t="shared" si="1"/>
        <v>size</v>
      </c>
      <c r="DU7" s="7" t="str">
        <f t="shared" si="1"/>
        <v>size</v>
      </c>
      <c r="DV7" s="7" t="str">
        <f t="shared" si="1"/>
        <v>bm</v>
      </c>
      <c r="DW7" s="7" t="str">
        <f t="shared" si="1"/>
        <v>bm</v>
      </c>
      <c r="DX7" s="7" t="str">
        <f t="shared" si="1"/>
        <v>bm</v>
      </c>
      <c r="DY7" s="7" t="str">
        <f t="shared" si="1"/>
        <v>size</v>
      </c>
      <c r="DZ7" s="7" t="str">
        <f t="shared" si="1"/>
        <v>size</v>
      </c>
      <c r="EA7" s="7" t="str">
        <f t="shared" ref="EA7:EG7" si="2">IF(EA6=1,"bm",IF(EA6=2,"size",IF(EA6=3,"mom")))</f>
        <v>size</v>
      </c>
      <c r="EB7" s="7" t="str">
        <f t="shared" si="2"/>
        <v>bm</v>
      </c>
      <c r="EC7" s="7" t="str">
        <f t="shared" si="2"/>
        <v>size</v>
      </c>
      <c r="ED7" s="7" t="str">
        <f t="shared" si="2"/>
        <v>bm</v>
      </c>
      <c r="EE7" s="7" t="str">
        <f t="shared" si="2"/>
        <v>bm</v>
      </c>
      <c r="EF7" s="7" t="str">
        <f t="shared" si="2"/>
        <v>bm</v>
      </c>
      <c r="EG7" s="1" t="str">
        <f t="shared" si="2"/>
        <v>bm</v>
      </c>
    </row>
    <row r="8" spans="1:138" x14ac:dyDescent="0.3">
      <c r="C8" s="7">
        <f t="shared" ref="C8:BN8" si="3">IF(C6=1,C3,IF(C6=2,C4,IF(C6=3,C5)))</f>
        <v>-4.9660318332858187E-2</v>
      </c>
      <c r="D8" s="7">
        <f t="shared" si="3"/>
        <v>-6.445345992925948E-2</v>
      </c>
      <c r="E8" s="7">
        <f t="shared" si="3"/>
        <v>-9.5804928773652709E-2</v>
      </c>
      <c r="F8" s="7">
        <f t="shared" si="3"/>
        <v>-7.6694248625274991E-2</v>
      </c>
      <c r="G8" s="7">
        <f t="shared" si="3"/>
        <v>-2.651532023294172E-2</v>
      </c>
      <c r="H8" s="7">
        <f t="shared" si="3"/>
        <v>-3.4151649822825897E-2</v>
      </c>
      <c r="I8" s="7">
        <f t="shared" si="3"/>
        <v>-4.6190909592046463E-2</v>
      </c>
      <c r="J8" s="7">
        <f t="shared" si="3"/>
        <v>-4.6178362506532247E-2</v>
      </c>
      <c r="K8" s="7">
        <f t="shared" si="3"/>
        <v>-4.5931908840778947E-2</v>
      </c>
      <c r="L8" s="7">
        <f t="shared" si="3"/>
        <v>-4.0811789698647891E-2</v>
      </c>
      <c r="M8" s="7">
        <f t="shared" si="3"/>
        <v>3.2729103566482703E-2</v>
      </c>
      <c r="N8" s="7">
        <f t="shared" si="3"/>
        <v>-3.5831184190578111E-2</v>
      </c>
      <c r="O8" s="7">
        <f t="shared" si="3"/>
        <v>-5.702286088483291E-2</v>
      </c>
      <c r="P8" s="7">
        <f t="shared" si="3"/>
        <v>-4.2462624022791412E-2</v>
      </c>
      <c r="Q8" s="7">
        <f t="shared" si="3"/>
        <v>-3.7772238816422013E-2</v>
      </c>
      <c r="R8" s="7">
        <f t="shared" si="3"/>
        <v>-2.862815930799394E-2</v>
      </c>
      <c r="S8" s="7">
        <f t="shared" si="3"/>
        <v>-3.0997759055884269E-2</v>
      </c>
      <c r="T8" s="7">
        <f t="shared" si="3"/>
        <v>2.262072807092803E-2</v>
      </c>
      <c r="U8" s="7">
        <f t="shared" si="3"/>
        <v>-3.7956683729456563E-2</v>
      </c>
      <c r="V8" s="7">
        <f t="shared" si="3"/>
        <v>-2.9502006234075319E-2</v>
      </c>
      <c r="W8" s="7">
        <f t="shared" si="3"/>
        <v>4.5784045042201092E-2</v>
      </c>
      <c r="X8" s="7">
        <f t="shared" si="3"/>
        <v>-5.4483330503116392E-2</v>
      </c>
      <c r="Y8" s="7">
        <f t="shared" si="3"/>
        <v>-5.7374083583845582E-2</v>
      </c>
      <c r="Z8" s="7">
        <f t="shared" si="3"/>
        <v>-5.062832428295555E-2</v>
      </c>
      <c r="AA8" s="7">
        <f t="shared" si="3"/>
        <v>-4.2319641432599031E-2</v>
      </c>
      <c r="AB8" s="7">
        <f t="shared" si="3"/>
        <v>-4.99371392416516E-2</v>
      </c>
      <c r="AC8" s="7">
        <f t="shared" si="3"/>
        <v>-3.8455291231844213E-2</v>
      </c>
      <c r="AD8" s="7">
        <f t="shared" si="3"/>
        <v>-6.5956474854444447E-2</v>
      </c>
      <c r="AE8" s="7">
        <f t="shared" si="3"/>
        <v>-3.4794942198420678E-2</v>
      </c>
      <c r="AF8" s="7">
        <f t="shared" si="3"/>
        <v>1.3117941025955079E-2</v>
      </c>
      <c r="AG8" s="7">
        <f t="shared" si="3"/>
        <v>-3.2239149636300098E-2</v>
      </c>
      <c r="AH8" s="7">
        <f t="shared" si="3"/>
        <v>3.1884444011299258E-2</v>
      </c>
      <c r="AI8" s="7">
        <f t="shared" si="3"/>
        <v>3.6385761193522617E-2</v>
      </c>
      <c r="AJ8" s="7">
        <f t="shared" si="3"/>
        <v>3.5948919429733099E-2</v>
      </c>
      <c r="AK8" s="7">
        <f t="shared" si="3"/>
        <v>4.3482830969963061E-2</v>
      </c>
      <c r="AL8" s="7">
        <f t="shared" si="3"/>
        <v>3.8462077568039821E-2</v>
      </c>
      <c r="AM8" s="7">
        <f t="shared" si="3"/>
        <v>3.9410244165835981E-2</v>
      </c>
      <c r="AN8" s="7">
        <f t="shared" si="3"/>
        <v>5.0743620516414449E-2</v>
      </c>
      <c r="AO8" s="7">
        <f t="shared" si="3"/>
        <v>5.3684811620656157E-2</v>
      </c>
      <c r="AP8" s="7">
        <f t="shared" si="3"/>
        <v>4.9314899356547669E-2</v>
      </c>
      <c r="AQ8" s="7">
        <f t="shared" si="3"/>
        <v>3.2773687722358558E-2</v>
      </c>
      <c r="AR8" s="7">
        <f t="shared" si="3"/>
        <v>2.8295340626825871E-2</v>
      </c>
      <c r="AS8" s="7">
        <f t="shared" si="3"/>
        <v>2.8377802599917349E-2</v>
      </c>
      <c r="AT8" s="7">
        <f t="shared" si="3"/>
        <v>2.306922946025217E-2</v>
      </c>
      <c r="AU8" s="7">
        <f t="shared" si="3"/>
        <v>2.9397032882625889E-2</v>
      </c>
      <c r="AV8" s="7">
        <f t="shared" si="3"/>
        <v>3.103785222722218E-2</v>
      </c>
      <c r="AW8" s="7">
        <f t="shared" si="3"/>
        <v>2.6297924056821211E-2</v>
      </c>
      <c r="AX8" s="7">
        <f t="shared" si="3"/>
        <v>2.6164811358804361E-2</v>
      </c>
      <c r="AY8" s="7">
        <f t="shared" si="3"/>
        <v>3.2053783671709642E-2</v>
      </c>
      <c r="AZ8" s="7">
        <f t="shared" si="3"/>
        <v>3.4477530774765272E-2</v>
      </c>
      <c r="BA8" s="7">
        <f t="shared" si="3"/>
        <v>-2.96336447127158E-2</v>
      </c>
      <c r="BB8" s="7">
        <f t="shared" si="3"/>
        <v>-3.692311268093771E-2</v>
      </c>
      <c r="BC8" s="7">
        <f t="shared" si="3"/>
        <v>3.7421776938590827E-2</v>
      </c>
      <c r="BD8" s="7">
        <f t="shared" si="3"/>
        <v>3.141372245226793E-2</v>
      </c>
      <c r="BE8" s="7">
        <f t="shared" si="3"/>
        <v>3.2006411062996218E-2</v>
      </c>
      <c r="BF8" s="7">
        <f t="shared" si="3"/>
        <v>2.828182773285309E-2</v>
      </c>
      <c r="BG8" s="7">
        <f t="shared" si="3"/>
        <v>4.1103436715196499E-2</v>
      </c>
      <c r="BH8" s="7">
        <f t="shared" si="3"/>
        <v>4.5198779339126277E-2</v>
      </c>
      <c r="BI8" s="7">
        <f t="shared" si="3"/>
        <v>4.1588040384802467E-2</v>
      </c>
      <c r="BJ8" s="7">
        <f t="shared" si="3"/>
        <v>4.0723405736309587E-2</v>
      </c>
      <c r="BK8" s="7">
        <f t="shared" si="3"/>
        <v>3.6327700059770963E-2</v>
      </c>
      <c r="BL8" s="7">
        <f t="shared" si="3"/>
        <v>3.6173192149872829E-2</v>
      </c>
      <c r="BM8" s="7">
        <f t="shared" si="3"/>
        <v>-3.7766406128849933E-2</v>
      </c>
      <c r="BN8" s="7">
        <f t="shared" si="3"/>
        <v>3.0814038130409348E-2</v>
      </c>
      <c r="BO8" s="7">
        <f t="shared" ref="BO8:DZ8" si="4">IF(BO6=1,BO3,IF(BO6=2,BO4,IF(BO6=3,BO5)))</f>
        <v>3.065585577146604E-2</v>
      </c>
      <c r="BP8" s="7">
        <f t="shared" si="4"/>
        <v>3.4399631895121928E-2</v>
      </c>
      <c r="BQ8" s="7">
        <f t="shared" si="4"/>
        <v>3.4868650026028229E-2</v>
      </c>
      <c r="BR8" s="7">
        <f t="shared" si="4"/>
        <v>3.6324039848933801E-2</v>
      </c>
      <c r="BS8" s="7">
        <f t="shared" si="4"/>
        <v>3.6164468096582622E-2</v>
      </c>
      <c r="BT8" s="7">
        <f t="shared" si="4"/>
        <v>3.8668894956456937E-2</v>
      </c>
      <c r="BU8" s="7">
        <f t="shared" si="4"/>
        <v>4.1103483948852763E-2</v>
      </c>
      <c r="BV8" s="7">
        <f t="shared" si="4"/>
        <v>2.8684133448632881E-2</v>
      </c>
      <c r="BW8" s="7">
        <f t="shared" si="4"/>
        <v>3.521650986163926E-2</v>
      </c>
      <c r="BX8" s="7">
        <f t="shared" si="4"/>
        <v>4.0767200067914247E-2</v>
      </c>
      <c r="BY8" s="7">
        <f t="shared" si="4"/>
        <v>2.160353774972024E-2</v>
      </c>
      <c r="BZ8" s="7">
        <f t="shared" si="4"/>
        <v>3.0433668800390778E-2</v>
      </c>
      <c r="CA8" s="7">
        <f t="shared" si="4"/>
        <v>3.7311958080318418E-2</v>
      </c>
      <c r="CB8" s="7">
        <f t="shared" si="4"/>
        <v>2.7612053143104789E-2</v>
      </c>
      <c r="CC8" s="7">
        <f t="shared" si="4"/>
        <v>-4.1111880962519533E-2</v>
      </c>
      <c r="CD8" s="7">
        <f t="shared" si="4"/>
        <v>-3.2535264061707238E-2</v>
      </c>
      <c r="CE8" s="7">
        <f t="shared" si="4"/>
        <v>-3.032312687201056E-2</v>
      </c>
      <c r="CF8" s="7">
        <f t="shared" si="4"/>
        <v>-6.1293035460275459E-2</v>
      </c>
      <c r="CG8" s="7">
        <f t="shared" si="4"/>
        <v>-4.4169599695747568E-2</v>
      </c>
      <c r="CH8" s="7">
        <f t="shared" si="4"/>
        <v>4.0909001215823568E-2</v>
      </c>
      <c r="CI8" s="7">
        <f t="shared" si="4"/>
        <v>3.9050253240311222E-2</v>
      </c>
      <c r="CJ8" s="7">
        <f t="shared" si="4"/>
        <v>2.4561899640003909E-2</v>
      </c>
      <c r="CK8" s="7">
        <f t="shared" si="4"/>
        <v>3.413446187252573E-2</v>
      </c>
      <c r="CL8" s="7">
        <f t="shared" si="4"/>
        <v>3.5925937532879773E-2</v>
      </c>
      <c r="CM8" s="7">
        <f t="shared" si="4"/>
        <v>4.2466042159304301E-2</v>
      </c>
      <c r="CN8" s="7">
        <f t="shared" si="4"/>
        <v>3.6523906516241801E-2</v>
      </c>
      <c r="CO8" s="7">
        <f t="shared" si="4"/>
        <v>3.7659149571028283E-2</v>
      </c>
      <c r="CP8" s="7">
        <f t="shared" si="4"/>
        <v>3.9957834472595419E-2</v>
      </c>
      <c r="CQ8" s="7">
        <f t="shared" si="4"/>
        <v>9.0067640458367376E-3</v>
      </c>
      <c r="CR8" s="7">
        <f t="shared" si="4"/>
        <v>-1.9179487848293229E-2</v>
      </c>
      <c r="CS8" s="7">
        <f t="shared" si="4"/>
        <v>-2.3347225810085481E-2</v>
      </c>
      <c r="CT8" s="7">
        <f t="shared" si="4"/>
        <v>4.0972167824902372E-2</v>
      </c>
      <c r="CU8" s="7">
        <f t="shared" si="4"/>
        <v>3.8942373224816543E-2</v>
      </c>
      <c r="CV8" s="7">
        <f t="shared" si="4"/>
        <v>4.3015000500199303E-2</v>
      </c>
      <c r="CW8" s="7">
        <f t="shared" si="4"/>
        <v>3.9706600079107632E-2</v>
      </c>
      <c r="CX8" s="7">
        <f t="shared" si="4"/>
        <v>3.9171022856911548E-2</v>
      </c>
      <c r="CY8" s="7">
        <f t="shared" si="4"/>
        <v>3.4940834769569752E-2</v>
      </c>
      <c r="CZ8" s="7">
        <f t="shared" si="4"/>
        <v>3.6026834228159298E-2</v>
      </c>
      <c r="DA8" s="7">
        <f t="shared" si="4"/>
        <v>4.450954814790925E-2</v>
      </c>
      <c r="DB8" s="7">
        <f t="shared" si="4"/>
        <v>-4.4724835819105087E-2</v>
      </c>
      <c r="DC8" s="7">
        <f t="shared" si="4"/>
        <v>-7.0760187276930051E-2</v>
      </c>
      <c r="DD8" s="7">
        <f t="shared" si="4"/>
        <v>-5.7609848887751572E-2</v>
      </c>
      <c r="DE8" s="7">
        <f t="shared" si="4"/>
        <v>4.199397627237688E-2</v>
      </c>
      <c r="DF8" s="7">
        <f t="shared" si="4"/>
        <v>4.1965348731106439E-2</v>
      </c>
      <c r="DG8" s="7">
        <f t="shared" si="4"/>
        <v>4.0382244799122911E-2</v>
      </c>
      <c r="DH8" s="7">
        <f t="shared" si="4"/>
        <v>3.6787240146963857E-2</v>
      </c>
      <c r="DI8" s="7">
        <f t="shared" si="4"/>
        <v>3.6877765546082367E-2</v>
      </c>
      <c r="DJ8" s="7">
        <f t="shared" si="4"/>
        <v>-3.8760923501945078E-2</v>
      </c>
      <c r="DK8" s="7">
        <f t="shared" si="4"/>
        <v>3.6536443043095952E-2</v>
      </c>
      <c r="DL8" s="7">
        <f t="shared" si="4"/>
        <v>3.153055621902446E-2</v>
      </c>
      <c r="DM8" s="7">
        <f t="shared" si="4"/>
        <v>2.866223764473836E-2</v>
      </c>
      <c r="DN8" s="7">
        <f t="shared" si="4"/>
        <v>3.0844743252797239E-2</v>
      </c>
      <c r="DO8" s="7">
        <f t="shared" si="4"/>
        <v>3.3675363611272838E-2</v>
      </c>
      <c r="DP8" s="7">
        <f t="shared" si="4"/>
        <v>3.5102177512429639E-2</v>
      </c>
      <c r="DQ8" s="7">
        <f t="shared" si="4"/>
        <v>-3.7657447804277308E-2</v>
      </c>
      <c r="DR8" s="7">
        <f t="shared" si="4"/>
        <v>3.4114421599711522E-2</v>
      </c>
      <c r="DS8" s="7">
        <f t="shared" si="4"/>
        <v>3.6715906439180962E-2</v>
      </c>
      <c r="DT8" s="7">
        <f t="shared" si="4"/>
        <v>-4.1055975870549932E-2</v>
      </c>
      <c r="DU8" s="7">
        <f t="shared" si="4"/>
        <v>-3.7310577027678322E-2</v>
      </c>
      <c r="DV8" s="7">
        <f t="shared" si="4"/>
        <v>2.524093892652958E-2</v>
      </c>
      <c r="DW8" s="7">
        <f t="shared" si="4"/>
        <v>3.5159202684512107E-2</v>
      </c>
      <c r="DX8" s="7">
        <f t="shared" si="4"/>
        <v>3.2304964005665182E-2</v>
      </c>
      <c r="DY8" s="7">
        <f t="shared" si="4"/>
        <v>-3.3048755705593437E-2</v>
      </c>
      <c r="DZ8" s="7">
        <f t="shared" si="4"/>
        <v>-3.0982285927668149E-2</v>
      </c>
      <c r="EA8" s="7">
        <f t="shared" ref="EA8:EG8" si="5">IF(EA6=1,EA3,IF(EA6=2,EA4,IF(EA6=3,EA5)))</f>
        <v>-3.1659361830993077E-2</v>
      </c>
      <c r="EB8" s="7">
        <f t="shared" si="5"/>
        <v>3.723081253221186E-2</v>
      </c>
      <c r="EC8" s="7">
        <f t="shared" si="5"/>
        <v>-4.1069205257147343E-2</v>
      </c>
      <c r="ED8" s="7">
        <f t="shared" si="5"/>
        <v>3.4186640907954438E-2</v>
      </c>
      <c r="EE8" s="7">
        <f t="shared" si="5"/>
        <v>2.5041157579864502E-2</v>
      </c>
      <c r="EF8" s="7">
        <f t="shared" si="5"/>
        <v>3.4121434975122142E-2</v>
      </c>
      <c r="EG8" s="1">
        <f t="shared" si="5"/>
        <v>0</v>
      </c>
    </row>
    <row r="10" spans="1:138" x14ac:dyDescent="0.3">
      <c r="A10" s="22" t="s">
        <v>140</v>
      </c>
      <c r="B10" s="23"/>
      <c r="C10" s="1" t="s">
        <v>141</v>
      </c>
      <c r="D10" s="2">
        <v>964</v>
      </c>
    </row>
    <row r="11" spans="1:138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  <c r="EG11" t="s">
        <v>145</v>
      </c>
      <c r="EH11" t="s">
        <v>146</v>
      </c>
    </row>
    <row r="12" spans="1:138" x14ac:dyDescent="0.3">
      <c r="A12" s="1">
        <v>10</v>
      </c>
      <c r="B12" s="1">
        <v>96</v>
      </c>
      <c r="C12" s="7">
        <f>IF(預測IC!C12&gt;預測IC!C$25,1,0)</f>
        <v>1</v>
      </c>
      <c r="D12" s="7">
        <f>IF(預測IC!D12&gt;預測IC!D$25,1,0)</f>
        <v>1</v>
      </c>
      <c r="E12" s="7">
        <f>IF(預測IC!E12&gt;預測IC!E$25,1,0)</f>
        <v>1</v>
      </c>
      <c r="F12" s="7">
        <f>IF(預測IC!F12&gt;預測IC!F$25,1,0)</f>
        <v>1</v>
      </c>
      <c r="G12" s="7">
        <f>IF(預測IC!G12&gt;預測IC!G$25,1,0)</f>
        <v>0</v>
      </c>
      <c r="H12" s="7">
        <f>IF(預測IC!H12&gt;預測IC!H$25,1,0)</f>
        <v>1</v>
      </c>
      <c r="I12" s="7">
        <f>IF(預測IC!I12&gt;預測IC!I$25,1,0)</f>
        <v>1</v>
      </c>
      <c r="J12" s="7">
        <f>IF(預測IC!J12&gt;預測IC!J$25,1,0)</f>
        <v>0</v>
      </c>
      <c r="K12" s="7">
        <f>IF(預測IC!K12&gt;預測IC!K$25,1,0)</f>
        <v>1</v>
      </c>
      <c r="L12" s="7">
        <f>IF(預測IC!L12&gt;預測IC!L$25,1,0)</f>
        <v>0</v>
      </c>
      <c r="M12" s="7">
        <f>IF(預測IC!M12&gt;預測IC!M$25,1,0)</f>
        <v>0</v>
      </c>
      <c r="N12" s="7">
        <f>IF(預測IC!N12&gt;預測IC!N$25,1,0)</f>
        <v>1</v>
      </c>
      <c r="O12" s="7">
        <f>IF(預測IC!O12&gt;預測IC!O$25,1,0)</f>
        <v>1</v>
      </c>
      <c r="P12" s="7">
        <f>IF(預測IC!P12&gt;預測IC!P$25,1,0)</f>
        <v>0</v>
      </c>
      <c r="Q12" s="7">
        <f>IF(預測IC!Q12&gt;預測IC!Q$25,1,0)</f>
        <v>1</v>
      </c>
      <c r="R12" s="7">
        <f>IF(預測IC!R12&gt;預測IC!R$25,1,0)</f>
        <v>0</v>
      </c>
      <c r="S12" s="7">
        <f>IF(預測IC!S12&gt;預測IC!S$25,1,0)</f>
        <v>0</v>
      </c>
      <c r="T12" s="7">
        <f>IF(預測IC!T12&gt;預測IC!T$25,1,0)</f>
        <v>0</v>
      </c>
      <c r="U12" s="7">
        <f>IF(預測IC!U12&gt;預測IC!U$25,1,0)</f>
        <v>1</v>
      </c>
      <c r="V12" s="7">
        <f>IF(預測IC!V12&gt;預測IC!V$25,1,0)</f>
        <v>1</v>
      </c>
      <c r="W12" s="7">
        <f>IF(預測IC!W12&gt;預測IC!W$25,1,0)</f>
        <v>1</v>
      </c>
      <c r="X12" s="7">
        <f>IF(預測IC!X12&gt;預測IC!X$25,1,0)</f>
        <v>0</v>
      </c>
      <c r="Y12" s="7">
        <f>IF(預測IC!Y12&gt;預測IC!Y$25,1,0)</f>
        <v>1</v>
      </c>
      <c r="Z12" s="7">
        <f>IF(預測IC!Z12&gt;預測IC!Z$25,1,0)</f>
        <v>1</v>
      </c>
      <c r="AA12" s="7">
        <f>IF(預測IC!AA12&gt;預測IC!AA$25,1,0)</f>
        <v>1</v>
      </c>
      <c r="AB12" s="7">
        <f>IF(預測IC!AB12&gt;預測IC!AB$25,1,0)</f>
        <v>0</v>
      </c>
      <c r="AC12" s="7">
        <f>IF(預測IC!AC12&gt;預測IC!AC$25,1,0)</f>
        <v>0</v>
      </c>
      <c r="AD12" s="7">
        <f>IF(預測IC!AD12&gt;預測IC!AD$25,1,0)</f>
        <v>1</v>
      </c>
      <c r="AE12" s="7">
        <f>IF(預測IC!AE12&gt;預測IC!AE$25,1,0)</f>
        <v>0</v>
      </c>
      <c r="AF12" s="7">
        <f>IF(預測IC!AF12&gt;預測IC!AF$25,1,0)</f>
        <v>1</v>
      </c>
      <c r="AG12" s="7">
        <f>IF(預測IC!AG12&gt;預測IC!AG$25,1,0)</f>
        <v>0</v>
      </c>
      <c r="AH12" s="7">
        <f>IF(預測IC!AH12&gt;預測IC!AH$25,1,0)</f>
        <v>1</v>
      </c>
      <c r="AI12" s="7">
        <f>IF(預測IC!AI12&gt;預測IC!AI$25,1,0)</f>
        <v>1</v>
      </c>
      <c r="AJ12" s="7">
        <f>IF(預測IC!AJ12&gt;預測IC!AJ$25,1,0)</f>
        <v>0</v>
      </c>
      <c r="AK12" s="7">
        <f>IF(預測IC!AK12&gt;預測IC!AK$25,1,0)</f>
        <v>1</v>
      </c>
      <c r="AL12" s="7">
        <f>IF(預測IC!AL12&gt;預測IC!AL$25,1,0)</f>
        <v>1</v>
      </c>
      <c r="AM12" s="7">
        <f>IF(預測IC!AM12&gt;預測IC!AM$25,1,0)</f>
        <v>1</v>
      </c>
      <c r="AN12" s="7">
        <f>IF(預測IC!AN12&gt;預測IC!AN$25,1,0)</f>
        <v>1</v>
      </c>
      <c r="AO12" s="7">
        <f>IF(預測IC!AO12&gt;預測IC!AO$25,1,0)</f>
        <v>0</v>
      </c>
      <c r="AP12" s="7">
        <f>IF(預測IC!AP12&gt;預測IC!AP$25,1,0)</f>
        <v>0</v>
      </c>
      <c r="AQ12" s="7">
        <f>IF(預測IC!AQ12&gt;預測IC!AQ$25,1,0)</f>
        <v>0</v>
      </c>
      <c r="AR12" s="7">
        <f>IF(預測IC!AR12&gt;預測IC!AR$25,1,0)</f>
        <v>0</v>
      </c>
      <c r="AS12" s="7">
        <f>IF(預測IC!AS12&gt;預測IC!AS$25,1,0)</f>
        <v>1</v>
      </c>
      <c r="AT12" s="7">
        <f>IF(預測IC!AT12&gt;預測IC!AT$25,1,0)</f>
        <v>0</v>
      </c>
      <c r="AU12" s="7">
        <f>IF(預測IC!AU12&gt;預測IC!AU$25,1,0)</f>
        <v>1</v>
      </c>
      <c r="AV12" s="7">
        <f>IF(預測IC!AV12&gt;預測IC!AV$25,1,0)</f>
        <v>0</v>
      </c>
      <c r="AW12" s="7">
        <f>IF(預測IC!AW12&gt;預測IC!AW$25,1,0)</f>
        <v>1</v>
      </c>
      <c r="AX12" s="7">
        <f>IF(預測IC!AX12&gt;預測IC!AX$25,1,0)</f>
        <v>1</v>
      </c>
      <c r="AY12" s="7">
        <f>IF(預測IC!AY12&gt;預測IC!AY$25,1,0)</f>
        <v>0</v>
      </c>
      <c r="AZ12" s="7">
        <f>IF(預測IC!AZ12&gt;預測IC!AZ$25,1,0)</f>
        <v>1</v>
      </c>
      <c r="BA12" s="7">
        <f>IF(預測IC!BA12&gt;預測IC!BA$25,1,0)</f>
        <v>1</v>
      </c>
      <c r="BB12" s="7">
        <f>IF(預測IC!BB12&gt;預測IC!BB$25,1,0)</f>
        <v>1</v>
      </c>
      <c r="BC12" s="7">
        <f>IF(預測IC!BC12&gt;預測IC!BC$25,1,0)</f>
        <v>0</v>
      </c>
      <c r="BD12" s="7">
        <f>IF(預測IC!BD12&gt;預測IC!BD$25,1,0)</f>
        <v>1</v>
      </c>
      <c r="BE12" s="7">
        <f>IF(預測IC!BE12&gt;預測IC!BE$25,1,0)</f>
        <v>0</v>
      </c>
      <c r="BF12" s="7">
        <f>IF(預測IC!BF12&gt;預測IC!BF$25,1,0)</f>
        <v>1</v>
      </c>
      <c r="BG12" s="7">
        <f>IF(預測IC!BG12&gt;預測IC!BG$25,1,0)</f>
        <v>1</v>
      </c>
      <c r="BH12" s="7">
        <f>IF(預測IC!BH12&gt;預測IC!BH$25,1,0)</f>
        <v>1</v>
      </c>
      <c r="BI12" s="7">
        <f>IF(預測IC!BI12&gt;預測IC!BI$25,1,0)</f>
        <v>1</v>
      </c>
      <c r="BJ12" s="7">
        <f>IF(預測IC!BJ12&gt;預測IC!BJ$25,1,0)</f>
        <v>1</v>
      </c>
      <c r="BK12" s="7">
        <f>IF(預測IC!BK12&gt;預測IC!BK$25,1,0)</f>
        <v>0</v>
      </c>
      <c r="BL12" s="7">
        <f>IF(預測IC!BL12&gt;預測IC!BL$25,1,0)</f>
        <v>0</v>
      </c>
      <c r="BM12" s="7">
        <f>IF(預測IC!BM12&gt;預測IC!BM$25,1,0)</f>
        <v>0</v>
      </c>
      <c r="BN12" s="7">
        <f>IF(預測IC!BN12&gt;預測IC!BN$25,1,0)</f>
        <v>0</v>
      </c>
      <c r="BO12" s="7">
        <f>IF(預測IC!BO12&gt;預測IC!BO$25,1,0)</f>
        <v>1</v>
      </c>
      <c r="BP12" s="7">
        <f>IF(預測IC!BP12&gt;預測IC!BP$25,1,0)</f>
        <v>0</v>
      </c>
      <c r="BQ12" s="7">
        <f>IF(預測IC!BQ12&gt;預測IC!BQ$25,1,0)</f>
        <v>1</v>
      </c>
      <c r="BR12" s="7">
        <f>IF(預測IC!BR12&gt;預測IC!BR$25,1,0)</f>
        <v>1</v>
      </c>
      <c r="BS12" s="7">
        <f>IF(預測IC!BS12&gt;預測IC!BS$25,1,0)</f>
        <v>0</v>
      </c>
      <c r="BT12" s="7">
        <f>IF(預測IC!BT12&gt;預測IC!BT$25,1,0)</f>
        <v>0</v>
      </c>
      <c r="BU12" s="7">
        <f>IF(預測IC!BU12&gt;預測IC!BU$25,1,0)</f>
        <v>0</v>
      </c>
      <c r="BV12" s="7">
        <f>IF(預測IC!BV12&gt;預測IC!BV$25,1,0)</f>
        <v>0</v>
      </c>
      <c r="BW12" s="7">
        <f>IF(預測IC!BW12&gt;預測IC!BW$25,1,0)</f>
        <v>1</v>
      </c>
      <c r="BX12" s="7">
        <f>IF(預測IC!BX12&gt;預測IC!BX$25,1,0)</f>
        <v>1</v>
      </c>
      <c r="BY12" s="7">
        <f>IF(預測IC!BY12&gt;預測IC!BY$25,1,0)</f>
        <v>1</v>
      </c>
      <c r="BZ12" s="7">
        <f>IF(預測IC!BZ12&gt;預測IC!BZ$25,1,0)</f>
        <v>0</v>
      </c>
      <c r="CA12" s="7">
        <f>IF(預測IC!CA12&gt;預測IC!CA$25,1,0)</f>
        <v>0</v>
      </c>
      <c r="CB12" s="7">
        <f>IF(預測IC!CB12&gt;預測IC!CB$25,1,0)</f>
        <v>0</v>
      </c>
      <c r="CC12" s="7">
        <f>IF(預測IC!CC12&gt;預測IC!CC$25,1,0)</f>
        <v>0</v>
      </c>
      <c r="CD12" s="7">
        <f>IF(預測IC!CD12&gt;預測IC!CD$25,1,0)</f>
        <v>1</v>
      </c>
      <c r="CE12" s="7">
        <f>IF(預測IC!CE12&gt;預測IC!CE$25,1,0)</f>
        <v>1</v>
      </c>
      <c r="CF12" s="7">
        <f>IF(預測IC!CF12&gt;預測IC!CF$25,1,0)</f>
        <v>1</v>
      </c>
      <c r="CG12" s="7">
        <f>IF(預測IC!CG12&gt;預測IC!CG$25,1,0)</f>
        <v>0</v>
      </c>
      <c r="CH12" s="7">
        <f>IF(預測IC!CH12&gt;預測IC!CH$25,1,0)</f>
        <v>0</v>
      </c>
      <c r="CI12" s="7">
        <f>IF(預測IC!CI12&gt;預測IC!CI$25,1,0)</f>
        <v>0</v>
      </c>
      <c r="CJ12" s="7">
        <f>IF(預測IC!CJ12&gt;預測IC!CJ$25,1,0)</f>
        <v>0</v>
      </c>
      <c r="CK12" s="7">
        <f>IF(預測IC!CK12&gt;預測IC!CK$25,1,0)</f>
        <v>0</v>
      </c>
      <c r="CL12" s="7">
        <f>IF(預測IC!CL12&gt;預測IC!CL$25,1,0)</f>
        <v>1</v>
      </c>
      <c r="CM12" s="7">
        <f>IF(預測IC!CM12&gt;預測IC!CM$25,1,0)</f>
        <v>1</v>
      </c>
      <c r="CN12" s="7">
        <f>IF(預測IC!CN12&gt;預測IC!CN$25,1,0)</f>
        <v>0</v>
      </c>
      <c r="CO12" s="7">
        <f>IF(預測IC!CO12&gt;預測IC!CO$25,1,0)</f>
        <v>1</v>
      </c>
      <c r="CP12" s="7">
        <f>IF(預測IC!CP12&gt;預測IC!CP$25,1,0)</f>
        <v>1</v>
      </c>
      <c r="CQ12" s="7">
        <f>IF(預測IC!CQ12&gt;預測IC!CQ$25,1,0)</f>
        <v>0</v>
      </c>
      <c r="CR12" s="7">
        <f>IF(預測IC!CR12&gt;預測IC!CR$25,1,0)</f>
        <v>1</v>
      </c>
      <c r="CS12" s="7">
        <f>IF(預測IC!CS12&gt;預測IC!CS$25,1,0)</f>
        <v>0</v>
      </c>
      <c r="CT12" s="7">
        <f>IF(預測IC!CT12&gt;預測IC!CT$25,1,0)</f>
        <v>0</v>
      </c>
      <c r="CU12" s="7">
        <f>IF(預測IC!CU12&gt;預測IC!CU$25,1,0)</f>
        <v>1</v>
      </c>
      <c r="CV12" s="7">
        <f>IF(預測IC!CV12&gt;預測IC!CV$25,1,0)</f>
        <v>1</v>
      </c>
      <c r="CW12" s="7">
        <f>IF(預測IC!CW12&gt;預測IC!CW$25,1,0)</f>
        <v>1</v>
      </c>
      <c r="CX12" s="7">
        <f>IF(預測IC!CX12&gt;預測IC!CX$25,1,0)</f>
        <v>1</v>
      </c>
      <c r="CY12" s="7">
        <f>IF(預測IC!CY12&gt;預測IC!CY$25,1,0)</f>
        <v>0</v>
      </c>
      <c r="CZ12" s="7">
        <f>IF(預測IC!CZ12&gt;預測IC!CZ$25,1,0)</f>
        <v>1</v>
      </c>
      <c r="DA12" s="7">
        <f>IF(預測IC!DA12&gt;預測IC!DA$25,1,0)</f>
        <v>0</v>
      </c>
      <c r="DB12" s="7">
        <f>IF(預測IC!DB12&gt;預測IC!DB$25,1,0)</f>
        <v>1</v>
      </c>
      <c r="DC12" s="7">
        <f>IF(預測IC!DC12&gt;預測IC!DC$25,1,0)</f>
        <v>1</v>
      </c>
      <c r="DD12" s="7">
        <f>IF(預測IC!DD12&gt;預測IC!DD$25,1,0)</f>
        <v>0</v>
      </c>
      <c r="DE12" s="7">
        <f>IF(預測IC!DE12&gt;預測IC!DE$25,1,0)</f>
        <v>0</v>
      </c>
      <c r="DF12" s="7">
        <f>IF(預測IC!DF12&gt;預測IC!DF$25,1,0)</f>
        <v>1</v>
      </c>
      <c r="DG12" s="7">
        <f>IF(預測IC!DG12&gt;預測IC!DG$25,1,0)</f>
        <v>0</v>
      </c>
      <c r="DH12" s="7">
        <f>IF(預測IC!DH12&gt;預測IC!DH$25,1,0)</f>
        <v>0</v>
      </c>
      <c r="DI12" s="7">
        <f>IF(預測IC!DI12&gt;預測IC!DI$25,1,0)</f>
        <v>0</v>
      </c>
      <c r="DJ12" s="7">
        <f>IF(預測IC!DJ12&gt;預測IC!DJ$25,1,0)</f>
        <v>1</v>
      </c>
      <c r="DK12" s="7">
        <f>IF(預測IC!DK12&gt;預測IC!DK$25,1,0)</f>
        <v>0</v>
      </c>
      <c r="DL12" s="7">
        <f>IF(預測IC!DL12&gt;預測IC!DL$25,1,0)</f>
        <v>0</v>
      </c>
      <c r="DM12" s="7">
        <f>IF(預測IC!DM12&gt;預測IC!DM$25,1,0)</f>
        <v>0</v>
      </c>
      <c r="DN12" s="7">
        <f>IF(預測IC!DN12&gt;預測IC!DN$25,1,0)</f>
        <v>1</v>
      </c>
      <c r="DO12" s="7">
        <f>IF(預測IC!DO12&gt;預測IC!DO$25,1,0)</f>
        <v>1</v>
      </c>
      <c r="DP12" s="7">
        <f>IF(預測IC!DP12&gt;預測IC!DP$25,1,0)</f>
        <v>1</v>
      </c>
      <c r="DQ12" s="7">
        <f>IF(預測IC!DQ12&gt;預測IC!DQ$25,1,0)</f>
        <v>0</v>
      </c>
      <c r="DR12" s="7">
        <f>IF(預測IC!DR12&gt;預測IC!DR$25,1,0)</f>
        <v>0</v>
      </c>
      <c r="DS12" s="7">
        <f>IF(預測IC!DS12&gt;預測IC!DS$25,1,0)</f>
        <v>0</v>
      </c>
      <c r="DT12" s="7">
        <f>IF(預測IC!DT12&gt;預測IC!DT$25,1,0)</f>
        <v>0</v>
      </c>
      <c r="DU12" s="7">
        <f>IF(預測IC!DU12&gt;預測IC!DU$25,1,0)</f>
        <v>0</v>
      </c>
      <c r="DV12" s="7">
        <f>IF(預測IC!DV12&gt;預測IC!DV$25,1,0)</f>
        <v>1</v>
      </c>
      <c r="DW12" s="7">
        <f>IF(預測IC!DW12&gt;預測IC!DW$25,1,0)</f>
        <v>1</v>
      </c>
      <c r="DX12" s="7">
        <f>IF(預測IC!DX12&gt;預測IC!DX$25,1,0)</f>
        <v>0</v>
      </c>
      <c r="DY12" s="7">
        <f>IF(預測IC!DY12&gt;預測IC!DY$25,1,0)</f>
        <v>1</v>
      </c>
      <c r="DZ12" s="7">
        <f>IF(預測IC!DZ12&gt;預測IC!DZ$25,1,0)</f>
        <v>1</v>
      </c>
      <c r="EA12" s="7">
        <f>IF(預測IC!EA12&gt;預測IC!EA$25,1,0)</f>
        <v>1</v>
      </c>
      <c r="EB12" s="7">
        <f>IF(預測IC!EB12&gt;預測IC!EB$25,1,0)</f>
        <v>0</v>
      </c>
      <c r="EC12" s="7">
        <f>IF(預測IC!EC12&gt;預測IC!EC$25,1,0)</f>
        <v>1</v>
      </c>
      <c r="ED12" s="7">
        <f>IF(預測IC!ED12&gt;預測IC!ED$25,1,0)</f>
        <v>0</v>
      </c>
      <c r="EE12" s="7">
        <f>IF(預測IC!EE12&gt;預測IC!EE$25,1,0)</f>
        <v>0</v>
      </c>
      <c r="EF12" s="7">
        <f>IF(預測IC!EF12&gt;預測IC!EF$25,1,0)</f>
        <v>1</v>
      </c>
      <c r="EG12">
        <f t="shared" ref="EG12:EG24" si="6">SUM(C12:EF12)</f>
        <v>70</v>
      </c>
      <c r="EH12" s="12">
        <f t="shared" ref="EH12:EH24" si="7">SUM(C12:EE12)/134</f>
        <v>0.5149253731343284</v>
      </c>
    </row>
    <row r="13" spans="1:138" x14ac:dyDescent="0.3">
      <c r="A13" s="1">
        <v>20</v>
      </c>
      <c r="B13" s="1">
        <v>48</v>
      </c>
      <c r="C13" s="7">
        <f>IF(預測IC!C13&gt;預測IC!C$25,1,0)</f>
        <v>1</v>
      </c>
      <c r="D13" s="7">
        <f>IF(預測IC!D13&gt;預測IC!D$25,1,0)</f>
        <v>1</v>
      </c>
      <c r="E13" s="7">
        <f>IF(預測IC!E13&gt;預測IC!E$25,1,0)</f>
        <v>1</v>
      </c>
      <c r="F13" s="7">
        <f>IF(預測IC!F13&gt;預測IC!F$25,1,0)</f>
        <v>0</v>
      </c>
      <c r="G13" s="7">
        <f>IF(預測IC!G13&gt;預測IC!G$25,1,0)</f>
        <v>0</v>
      </c>
      <c r="H13" s="7">
        <f>IF(預測IC!H13&gt;預測IC!H$25,1,0)</f>
        <v>0</v>
      </c>
      <c r="I13" s="7">
        <f>IF(預測IC!I13&gt;預測IC!I$25,1,0)</f>
        <v>1</v>
      </c>
      <c r="J13" s="7">
        <f>IF(預測IC!J13&gt;預測IC!J$25,1,0)</f>
        <v>0</v>
      </c>
      <c r="K13" s="7">
        <f>IF(預測IC!K13&gt;預測IC!K$25,1,0)</f>
        <v>1</v>
      </c>
      <c r="L13" s="7">
        <f>IF(預測IC!L13&gt;預測IC!L$25,1,0)</f>
        <v>0</v>
      </c>
      <c r="M13" s="7">
        <f>IF(預測IC!M13&gt;預測IC!M$25,1,0)</f>
        <v>0</v>
      </c>
      <c r="N13" s="7">
        <f>IF(預測IC!N13&gt;預測IC!N$25,1,0)</f>
        <v>1</v>
      </c>
      <c r="O13" s="7">
        <f>IF(預測IC!O13&gt;預測IC!O$25,1,0)</f>
        <v>1</v>
      </c>
      <c r="P13" s="7">
        <f>IF(預測IC!P13&gt;預測IC!P$25,1,0)</f>
        <v>0</v>
      </c>
      <c r="Q13" s="7">
        <f>IF(預測IC!Q13&gt;預測IC!Q$25,1,0)</f>
        <v>1</v>
      </c>
      <c r="R13" s="7">
        <f>IF(預測IC!R13&gt;預測IC!R$25,1,0)</f>
        <v>0</v>
      </c>
      <c r="S13" s="7">
        <f>IF(預測IC!S13&gt;預測IC!S$25,1,0)</f>
        <v>0</v>
      </c>
      <c r="T13" s="7">
        <f>IF(預測IC!T13&gt;預測IC!T$25,1,0)</f>
        <v>0</v>
      </c>
      <c r="U13" s="7">
        <f>IF(預測IC!U13&gt;預測IC!U$25,1,0)</f>
        <v>1</v>
      </c>
      <c r="V13" s="7">
        <f>IF(預測IC!V13&gt;預測IC!V$25,1,0)</f>
        <v>1</v>
      </c>
      <c r="W13" s="7">
        <f>IF(預測IC!W13&gt;預測IC!W$25,1,0)</f>
        <v>1</v>
      </c>
      <c r="X13" s="7">
        <f>IF(預測IC!X13&gt;預測IC!X$25,1,0)</f>
        <v>1</v>
      </c>
      <c r="Y13" s="7">
        <f>IF(預測IC!Y13&gt;預測IC!Y$25,1,0)</f>
        <v>1</v>
      </c>
      <c r="Z13" s="7">
        <f>IF(預測IC!Z13&gt;預測IC!Z$25,1,0)</f>
        <v>1</v>
      </c>
      <c r="AA13" s="7">
        <f>IF(預測IC!AA13&gt;預測IC!AA$25,1,0)</f>
        <v>1</v>
      </c>
      <c r="AB13" s="7">
        <f>IF(預測IC!AB13&gt;預測IC!AB$25,1,0)</f>
        <v>0</v>
      </c>
      <c r="AC13" s="7">
        <f>IF(預測IC!AC13&gt;預測IC!AC$25,1,0)</f>
        <v>0</v>
      </c>
      <c r="AD13" s="7">
        <f>IF(預測IC!AD13&gt;預測IC!AD$25,1,0)</f>
        <v>1</v>
      </c>
      <c r="AE13" s="7">
        <f>IF(預測IC!AE13&gt;預測IC!AE$25,1,0)</f>
        <v>0</v>
      </c>
      <c r="AF13" s="7">
        <f>IF(預測IC!AF13&gt;預測IC!AF$25,1,0)</f>
        <v>1</v>
      </c>
      <c r="AG13" s="7">
        <f>IF(預測IC!AG13&gt;預測IC!AG$25,1,0)</f>
        <v>0</v>
      </c>
      <c r="AH13" s="7">
        <f>IF(預測IC!AH13&gt;預測IC!AH$25,1,0)</f>
        <v>1</v>
      </c>
      <c r="AI13" s="7">
        <f>IF(預測IC!AI13&gt;預測IC!AI$25,1,0)</f>
        <v>1</v>
      </c>
      <c r="AJ13" s="7">
        <f>IF(預測IC!AJ13&gt;預測IC!AJ$25,1,0)</f>
        <v>0</v>
      </c>
      <c r="AK13" s="7">
        <f>IF(預測IC!AK13&gt;預測IC!AK$25,1,0)</f>
        <v>1</v>
      </c>
      <c r="AL13" s="7">
        <f>IF(預測IC!AL13&gt;預測IC!AL$25,1,0)</f>
        <v>1</v>
      </c>
      <c r="AM13" s="7">
        <f>IF(預測IC!AM13&gt;預測IC!AM$25,1,0)</f>
        <v>1</v>
      </c>
      <c r="AN13" s="7">
        <f>IF(預測IC!AN13&gt;預測IC!AN$25,1,0)</f>
        <v>1</v>
      </c>
      <c r="AO13" s="7">
        <f>IF(預測IC!AO13&gt;預測IC!AO$25,1,0)</f>
        <v>1</v>
      </c>
      <c r="AP13" s="7">
        <f>IF(預測IC!AP13&gt;預測IC!AP$25,1,0)</f>
        <v>0</v>
      </c>
      <c r="AQ13" s="7">
        <f>IF(預測IC!AQ13&gt;預測IC!AQ$25,1,0)</f>
        <v>0</v>
      </c>
      <c r="AR13" s="7">
        <f>IF(預測IC!AR13&gt;預測IC!AR$25,1,0)</f>
        <v>0</v>
      </c>
      <c r="AS13" s="7">
        <f>IF(預測IC!AS13&gt;預測IC!AS$25,1,0)</f>
        <v>1</v>
      </c>
      <c r="AT13" s="7">
        <f>IF(預測IC!AT13&gt;預測IC!AT$25,1,0)</f>
        <v>1</v>
      </c>
      <c r="AU13" s="7">
        <f>IF(預測IC!AU13&gt;預測IC!AU$25,1,0)</f>
        <v>1</v>
      </c>
      <c r="AV13" s="7">
        <f>IF(預測IC!AV13&gt;預測IC!AV$25,1,0)</f>
        <v>0</v>
      </c>
      <c r="AW13" s="7">
        <f>IF(預測IC!AW13&gt;預測IC!AW$25,1,0)</f>
        <v>1</v>
      </c>
      <c r="AX13" s="7">
        <f>IF(預測IC!AX13&gt;預測IC!AX$25,1,0)</f>
        <v>1</v>
      </c>
      <c r="AY13" s="7">
        <f>IF(預測IC!AY13&gt;預測IC!AY$25,1,0)</f>
        <v>0</v>
      </c>
      <c r="AZ13" s="7">
        <f>IF(預測IC!AZ13&gt;預測IC!AZ$25,1,0)</f>
        <v>1</v>
      </c>
      <c r="BA13" s="7">
        <f>IF(預測IC!BA13&gt;預測IC!BA$25,1,0)</f>
        <v>1</v>
      </c>
      <c r="BB13" s="7">
        <f>IF(預測IC!BB13&gt;預測IC!BB$25,1,0)</f>
        <v>1</v>
      </c>
      <c r="BC13" s="7">
        <f>IF(預測IC!BC13&gt;預測IC!BC$25,1,0)</f>
        <v>0</v>
      </c>
      <c r="BD13" s="7">
        <f>IF(預測IC!BD13&gt;預測IC!BD$25,1,0)</f>
        <v>1</v>
      </c>
      <c r="BE13" s="7">
        <f>IF(預測IC!BE13&gt;預測IC!BE$25,1,0)</f>
        <v>1</v>
      </c>
      <c r="BF13" s="7">
        <f>IF(預測IC!BF13&gt;預測IC!BF$25,1,0)</f>
        <v>1</v>
      </c>
      <c r="BG13" s="7">
        <f>IF(預測IC!BG13&gt;預測IC!BG$25,1,0)</f>
        <v>1</v>
      </c>
      <c r="BH13" s="7">
        <f>IF(預測IC!BH13&gt;預測IC!BH$25,1,0)</f>
        <v>1</v>
      </c>
      <c r="BI13" s="7">
        <f>IF(預測IC!BI13&gt;預測IC!BI$25,1,0)</f>
        <v>1</v>
      </c>
      <c r="BJ13" s="7">
        <f>IF(預測IC!BJ13&gt;預測IC!BJ$25,1,0)</f>
        <v>0</v>
      </c>
      <c r="BK13" s="7">
        <f>IF(預測IC!BK13&gt;預測IC!BK$25,1,0)</f>
        <v>0</v>
      </c>
      <c r="BL13" s="7">
        <f>IF(預測IC!BL13&gt;預測IC!BL$25,1,0)</f>
        <v>0</v>
      </c>
      <c r="BM13" s="7">
        <f>IF(預測IC!BM13&gt;預測IC!BM$25,1,0)</f>
        <v>0</v>
      </c>
      <c r="BN13" s="7">
        <f>IF(預測IC!BN13&gt;預測IC!BN$25,1,0)</f>
        <v>0</v>
      </c>
      <c r="BO13" s="7">
        <f>IF(預測IC!BO13&gt;預測IC!BO$25,1,0)</f>
        <v>1</v>
      </c>
      <c r="BP13" s="7">
        <f>IF(預測IC!BP13&gt;預測IC!BP$25,1,0)</f>
        <v>0</v>
      </c>
      <c r="BQ13" s="7">
        <f>IF(預測IC!BQ13&gt;預測IC!BQ$25,1,0)</f>
        <v>1</v>
      </c>
      <c r="BR13" s="7">
        <f>IF(預測IC!BR13&gt;預測IC!BR$25,1,0)</f>
        <v>1</v>
      </c>
      <c r="BS13" s="7">
        <f>IF(預測IC!BS13&gt;預測IC!BS$25,1,0)</f>
        <v>0</v>
      </c>
      <c r="BT13" s="7">
        <f>IF(預測IC!BT13&gt;預測IC!BT$25,1,0)</f>
        <v>0</v>
      </c>
      <c r="BU13" s="7">
        <f>IF(預測IC!BU13&gt;預測IC!BU$25,1,0)</f>
        <v>1</v>
      </c>
      <c r="BV13" s="7">
        <f>IF(預測IC!BV13&gt;預測IC!BV$25,1,0)</f>
        <v>0</v>
      </c>
      <c r="BW13" s="7">
        <f>IF(預測IC!BW13&gt;預測IC!BW$25,1,0)</f>
        <v>1</v>
      </c>
      <c r="BX13" s="7">
        <f>IF(預測IC!BX13&gt;預測IC!BX$25,1,0)</f>
        <v>1</v>
      </c>
      <c r="BY13" s="7">
        <f>IF(預測IC!BY13&gt;預測IC!BY$25,1,0)</f>
        <v>1</v>
      </c>
      <c r="BZ13" s="7">
        <f>IF(預測IC!BZ13&gt;預測IC!BZ$25,1,0)</f>
        <v>0</v>
      </c>
      <c r="CA13" s="7">
        <f>IF(預測IC!CA13&gt;預測IC!CA$25,1,0)</f>
        <v>0</v>
      </c>
      <c r="CB13" s="7">
        <f>IF(預測IC!CB13&gt;預測IC!CB$25,1,0)</f>
        <v>0</v>
      </c>
      <c r="CC13" s="7">
        <f>IF(預測IC!CC13&gt;預測IC!CC$25,1,0)</f>
        <v>1</v>
      </c>
      <c r="CD13" s="7">
        <f>IF(預測IC!CD13&gt;預測IC!CD$25,1,0)</f>
        <v>1</v>
      </c>
      <c r="CE13" s="7">
        <f>IF(預測IC!CE13&gt;預測IC!CE$25,1,0)</f>
        <v>1</v>
      </c>
      <c r="CF13" s="7">
        <f>IF(預測IC!CF13&gt;預測IC!CF$25,1,0)</f>
        <v>1</v>
      </c>
      <c r="CG13" s="7">
        <f>IF(預測IC!CG13&gt;預測IC!CG$25,1,0)</f>
        <v>0</v>
      </c>
      <c r="CH13" s="7">
        <f>IF(預測IC!CH13&gt;預測IC!CH$25,1,0)</f>
        <v>0</v>
      </c>
      <c r="CI13" s="7">
        <f>IF(預測IC!CI13&gt;預測IC!CI$25,1,0)</f>
        <v>0</v>
      </c>
      <c r="CJ13" s="7">
        <f>IF(預測IC!CJ13&gt;預測IC!CJ$25,1,0)</f>
        <v>0</v>
      </c>
      <c r="CK13" s="7">
        <f>IF(預測IC!CK13&gt;預測IC!CK$25,1,0)</f>
        <v>1</v>
      </c>
      <c r="CL13" s="7">
        <f>IF(預測IC!CL13&gt;預測IC!CL$25,1,0)</f>
        <v>1</v>
      </c>
      <c r="CM13" s="7">
        <f>IF(預測IC!CM13&gt;預測IC!CM$25,1,0)</f>
        <v>1</v>
      </c>
      <c r="CN13" s="7">
        <f>IF(預測IC!CN13&gt;預測IC!CN$25,1,0)</f>
        <v>0</v>
      </c>
      <c r="CO13" s="7">
        <f>IF(預測IC!CO13&gt;預測IC!CO$25,1,0)</f>
        <v>1</v>
      </c>
      <c r="CP13" s="7">
        <f>IF(預測IC!CP13&gt;預測IC!CP$25,1,0)</f>
        <v>1</v>
      </c>
      <c r="CQ13" s="7">
        <f>IF(預測IC!CQ13&gt;預測IC!CQ$25,1,0)</f>
        <v>0</v>
      </c>
      <c r="CR13" s="7">
        <f>IF(預測IC!CR13&gt;預測IC!CR$25,1,0)</f>
        <v>1</v>
      </c>
      <c r="CS13" s="7">
        <f>IF(預測IC!CS13&gt;預測IC!CS$25,1,0)</f>
        <v>0</v>
      </c>
      <c r="CT13" s="7">
        <f>IF(預測IC!CT13&gt;預測IC!CT$25,1,0)</f>
        <v>0</v>
      </c>
      <c r="CU13" s="7">
        <f>IF(預測IC!CU13&gt;預測IC!CU$25,1,0)</f>
        <v>1</v>
      </c>
      <c r="CV13" s="7">
        <f>IF(預測IC!CV13&gt;預測IC!CV$25,1,0)</f>
        <v>0</v>
      </c>
      <c r="CW13" s="7">
        <f>IF(預測IC!CW13&gt;預測IC!CW$25,1,0)</f>
        <v>1</v>
      </c>
      <c r="CX13" s="7">
        <f>IF(預測IC!CX13&gt;預測IC!CX$25,1,0)</f>
        <v>1</v>
      </c>
      <c r="CY13" s="7">
        <f>IF(預測IC!CY13&gt;預測IC!CY$25,1,0)</f>
        <v>0</v>
      </c>
      <c r="CZ13" s="7">
        <f>IF(預測IC!CZ13&gt;預測IC!CZ$25,1,0)</f>
        <v>1</v>
      </c>
      <c r="DA13" s="7">
        <f>IF(預測IC!DA13&gt;預測IC!DA$25,1,0)</f>
        <v>0</v>
      </c>
      <c r="DB13" s="7">
        <f>IF(預測IC!DB13&gt;預測IC!DB$25,1,0)</f>
        <v>1</v>
      </c>
      <c r="DC13" s="7">
        <f>IF(預測IC!DC13&gt;預測IC!DC$25,1,0)</f>
        <v>1</v>
      </c>
      <c r="DD13" s="7">
        <f>IF(預測IC!DD13&gt;預測IC!DD$25,1,0)</f>
        <v>0</v>
      </c>
      <c r="DE13" s="7">
        <f>IF(預測IC!DE13&gt;預測IC!DE$25,1,0)</f>
        <v>0</v>
      </c>
      <c r="DF13" s="7">
        <f>IF(預測IC!DF13&gt;預測IC!DF$25,1,0)</f>
        <v>1</v>
      </c>
      <c r="DG13" s="7">
        <f>IF(預測IC!DG13&gt;預測IC!DG$25,1,0)</f>
        <v>0</v>
      </c>
      <c r="DH13" s="7">
        <f>IF(預測IC!DH13&gt;預測IC!DH$25,1,0)</f>
        <v>0</v>
      </c>
      <c r="DI13" s="7">
        <f>IF(預測IC!DI13&gt;預測IC!DI$25,1,0)</f>
        <v>0</v>
      </c>
      <c r="DJ13" s="7">
        <f>IF(預測IC!DJ13&gt;預測IC!DJ$25,1,0)</f>
        <v>1</v>
      </c>
      <c r="DK13" s="7">
        <f>IF(預測IC!DK13&gt;預測IC!DK$25,1,0)</f>
        <v>0</v>
      </c>
      <c r="DL13" s="7">
        <f>IF(預測IC!DL13&gt;預測IC!DL$25,1,0)</f>
        <v>0</v>
      </c>
      <c r="DM13" s="7">
        <f>IF(預測IC!DM13&gt;預測IC!DM$25,1,0)</f>
        <v>0</v>
      </c>
      <c r="DN13" s="7">
        <f>IF(預測IC!DN13&gt;預測IC!DN$25,1,0)</f>
        <v>1</v>
      </c>
      <c r="DO13" s="7">
        <f>IF(預測IC!DO13&gt;預測IC!DO$25,1,0)</f>
        <v>1</v>
      </c>
      <c r="DP13" s="7">
        <f>IF(預測IC!DP13&gt;預測IC!DP$25,1,0)</f>
        <v>1</v>
      </c>
      <c r="DQ13" s="7">
        <f>IF(預測IC!DQ13&gt;預測IC!DQ$25,1,0)</f>
        <v>0</v>
      </c>
      <c r="DR13" s="7">
        <f>IF(預測IC!DR13&gt;預測IC!DR$25,1,0)</f>
        <v>0</v>
      </c>
      <c r="DS13" s="7">
        <f>IF(預測IC!DS13&gt;預測IC!DS$25,1,0)</f>
        <v>0</v>
      </c>
      <c r="DT13" s="7">
        <f>IF(預測IC!DT13&gt;預測IC!DT$25,1,0)</f>
        <v>0</v>
      </c>
      <c r="DU13" s="7">
        <f>IF(預測IC!DU13&gt;預測IC!DU$25,1,0)</f>
        <v>0</v>
      </c>
      <c r="DV13" s="7">
        <f>IF(預測IC!DV13&gt;預測IC!DV$25,1,0)</f>
        <v>1</v>
      </c>
      <c r="DW13" s="7">
        <f>IF(預測IC!DW13&gt;預測IC!DW$25,1,0)</f>
        <v>1</v>
      </c>
      <c r="DX13" s="7">
        <f>IF(預測IC!DX13&gt;預測IC!DX$25,1,0)</f>
        <v>0</v>
      </c>
      <c r="DY13" s="7">
        <f>IF(預測IC!DY13&gt;預測IC!DY$25,1,0)</f>
        <v>1</v>
      </c>
      <c r="DZ13" s="7">
        <f>IF(預測IC!DZ13&gt;預測IC!DZ$25,1,0)</f>
        <v>1</v>
      </c>
      <c r="EA13" s="7">
        <f>IF(預測IC!EA13&gt;預測IC!EA$25,1,0)</f>
        <v>1</v>
      </c>
      <c r="EB13" s="7">
        <f>IF(預測IC!EB13&gt;預測IC!EB$25,1,0)</f>
        <v>0</v>
      </c>
      <c r="EC13" s="7">
        <f>IF(預測IC!EC13&gt;預測IC!EC$25,1,0)</f>
        <v>1</v>
      </c>
      <c r="ED13" s="7">
        <f>IF(預測IC!ED13&gt;預測IC!ED$25,1,0)</f>
        <v>0</v>
      </c>
      <c r="EE13" s="7">
        <f>IF(預測IC!EE13&gt;預測IC!EE$25,1,0)</f>
        <v>0</v>
      </c>
      <c r="EF13" s="7">
        <f>IF(預測IC!EF13&gt;預測IC!EF$25,1,0)</f>
        <v>1</v>
      </c>
      <c r="EG13">
        <f t="shared" si="6"/>
        <v>73</v>
      </c>
      <c r="EH13" s="12">
        <f t="shared" si="7"/>
        <v>0.53731343283582089</v>
      </c>
    </row>
    <row r="14" spans="1:138" x14ac:dyDescent="0.3">
      <c r="A14" s="1">
        <v>50</v>
      </c>
      <c r="B14" s="1">
        <v>19</v>
      </c>
      <c r="C14" s="7">
        <f>IF(預測IC!C14&gt;預測IC!C$25,1,0)</f>
        <v>1</v>
      </c>
      <c r="D14" s="7">
        <f>IF(預測IC!D14&gt;預測IC!D$25,1,0)</f>
        <v>1</v>
      </c>
      <c r="E14" s="7">
        <f>IF(預測IC!E14&gt;預測IC!E$25,1,0)</f>
        <v>1</v>
      </c>
      <c r="F14" s="7">
        <f>IF(預測IC!F14&gt;預測IC!F$25,1,0)</f>
        <v>1</v>
      </c>
      <c r="G14" s="7">
        <f>IF(預測IC!G14&gt;預測IC!G$25,1,0)</f>
        <v>1</v>
      </c>
      <c r="H14" s="7">
        <f>IF(預測IC!H14&gt;預測IC!H$25,1,0)</f>
        <v>1</v>
      </c>
      <c r="I14" s="7">
        <f>IF(預測IC!I14&gt;預測IC!I$25,1,0)</f>
        <v>1</v>
      </c>
      <c r="J14" s="7">
        <f>IF(預測IC!J14&gt;預測IC!J$25,1,0)</f>
        <v>0</v>
      </c>
      <c r="K14" s="7">
        <f>IF(預測IC!K14&gt;預測IC!K$25,1,0)</f>
        <v>1</v>
      </c>
      <c r="L14" s="7">
        <f>IF(預測IC!L14&gt;預測IC!L$25,1,0)</f>
        <v>0</v>
      </c>
      <c r="M14" s="7">
        <f>IF(預測IC!M14&gt;預測IC!M$25,1,0)</f>
        <v>0</v>
      </c>
      <c r="N14" s="7">
        <f>IF(預測IC!N14&gt;預測IC!N$25,1,0)</f>
        <v>1</v>
      </c>
      <c r="O14" s="7">
        <f>IF(預測IC!O14&gt;預測IC!O$25,1,0)</f>
        <v>1</v>
      </c>
      <c r="P14" s="7">
        <f>IF(預測IC!P14&gt;預測IC!P$25,1,0)</f>
        <v>1</v>
      </c>
      <c r="Q14" s="7">
        <f>IF(預測IC!Q14&gt;預測IC!Q$25,1,0)</f>
        <v>1</v>
      </c>
      <c r="R14" s="7">
        <f>IF(預測IC!R14&gt;預測IC!R$25,1,0)</f>
        <v>0</v>
      </c>
      <c r="S14" s="7">
        <f>IF(預測IC!S14&gt;預測IC!S$25,1,0)</f>
        <v>1</v>
      </c>
      <c r="T14" s="7">
        <f>IF(預測IC!T14&gt;預測IC!T$25,1,0)</f>
        <v>0</v>
      </c>
      <c r="U14" s="7">
        <f>IF(預測IC!U14&gt;預測IC!U$25,1,0)</f>
        <v>1</v>
      </c>
      <c r="V14" s="7">
        <f>IF(預測IC!V14&gt;預測IC!V$25,1,0)</f>
        <v>1</v>
      </c>
      <c r="W14" s="7">
        <f>IF(預測IC!W14&gt;預測IC!W$25,1,0)</f>
        <v>1</v>
      </c>
      <c r="X14" s="7">
        <f>IF(預測IC!X14&gt;預測IC!X$25,1,0)</f>
        <v>1</v>
      </c>
      <c r="Y14" s="7">
        <f>IF(預測IC!Y14&gt;預測IC!Y$25,1,0)</f>
        <v>1</v>
      </c>
      <c r="Z14" s="7">
        <f>IF(預測IC!Z14&gt;預測IC!Z$25,1,0)</f>
        <v>1</v>
      </c>
      <c r="AA14" s="7">
        <f>IF(預測IC!AA14&gt;預測IC!AA$25,1,0)</f>
        <v>1</v>
      </c>
      <c r="AB14" s="7">
        <f>IF(預測IC!AB14&gt;預測IC!AB$25,1,0)</f>
        <v>0</v>
      </c>
      <c r="AC14" s="7">
        <f>IF(預測IC!AC14&gt;預測IC!AC$25,1,0)</f>
        <v>0</v>
      </c>
      <c r="AD14" s="7">
        <f>IF(預測IC!AD14&gt;預測IC!AD$25,1,0)</f>
        <v>1</v>
      </c>
      <c r="AE14" s="7">
        <f>IF(預測IC!AE14&gt;預測IC!AE$25,1,0)</f>
        <v>0</v>
      </c>
      <c r="AF14" s="7">
        <f>IF(預測IC!AF14&gt;預測IC!AF$25,1,0)</f>
        <v>1</v>
      </c>
      <c r="AG14" s="7">
        <f>IF(預測IC!AG14&gt;預測IC!AG$25,1,0)</f>
        <v>0</v>
      </c>
      <c r="AH14" s="7">
        <f>IF(預測IC!AH14&gt;預測IC!AH$25,1,0)</f>
        <v>0</v>
      </c>
      <c r="AI14" s="7">
        <f>IF(預測IC!AI14&gt;預測IC!AI$25,1,0)</f>
        <v>1</v>
      </c>
      <c r="AJ14" s="7">
        <f>IF(預測IC!AJ14&gt;預測IC!AJ$25,1,0)</f>
        <v>1</v>
      </c>
      <c r="AK14" s="7">
        <f>IF(預測IC!AK14&gt;預測IC!AK$25,1,0)</f>
        <v>1</v>
      </c>
      <c r="AL14" s="7">
        <f>IF(預測IC!AL14&gt;預測IC!AL$25,1,0)</f>
        <v>1</v>
      </c>
      <c r="AM14" s="7">
        <f>IF(預測IC!AM14&gt;預測IC!AM$25,1,0)</f>
        <v>1</v>
      </c>
      <c r="AN14" s="7">
        <f>IF(預測IC!AN14&gt;預測IC!AN$25,1,0)</f>
        <v>1</v>
      </c>
      <c r="AO14" s="7">
        <f>IF(預測IC!AO14&gt;預測IC!AO$25,1,0)</f>
        <v>1</v>
      </c>
      <c r="AP14" s="7">
        <f>IF(預測IC!AP14&gt;預測IC!AP$25,1,0)</f>
        <v>0</v>
      </c>
      <c r="AQ14" s="7">
        <f>IF(預測IC!AQ14&gt;預測IC!AQ$25,1,0)</f>
        <v>0</v>
      </c>
      <c r="AR14" s="7">
        <f>IF(預測IC!AR14&gt;預測IC!AR$25,1,0)</f>
        <v>1</v>
      </c>
      <c r="AS14" s="7">
        <f>IF(預測IC!AS14&gt;預測IC!AS$25,1,0)</f>
        <v>1</v>
      </c>
      <c r="AT14" s="7">
        <f>IF(預測IC!AT14&gt;預測IC!AT$25,1,0)</f>
        <v>1</v>
      </c>
      <c r="AU14" s="7">
        <f>IF(預測IC!AU14&gt;預測IC!AU$25,1,0)</f>
        <v>1</v>
      </c>
      <c r="AV14" s="7">
        <f>IF(預測IC!AV14&gt;預測IC!AV$25,1,0)</f>
        <v>0</v>
      </c>
      <c r="AW14" s="7">
        <f>IF(預測IC!AW14&gt;預測IC!AW$25,1,0)</f>
        <v>1</v>
      </c>
      <c r="AX14" s="7">
        <f>IF(預測IC!AX14&gt;預測IC!AX$25,1,0)</f>
        <v>1</v>
      </c>
      <c r="AY14" s="7">
        <f>IF(預測IC!AY14&gt;預測IC!AY$25,1,0)</f>
        <v>0</v>
      </c>
      <c r="AZ14" s="7">
        <f>IF(預測IC!AZ14&gt;預測IC!AZ$25,1,0)</f>
        <v>0</v>
      </c>
      <c r="BA14" s="7">
        <f>IF(預測IC!BA14&gt;預測IC!BA$25,1,0)</f>
        <v>1</v>
      </c>
      <c r="BB14" s="7">
        <f>IF(預測IC!BB14&gt;預測IC!BB$25,1,0)</f>
        <v>1</v>
      </c>
      <c r="BC14" s="7">
        <f>IF(預測IC!BC14&gt;預測IC!BC$25,1,0)</f>
        <v>0</v>
      </c>
      <c r="BD14" s="7">
        <f>IF(預測IC!BD14&gt;預測IC!BD$25,1,0)</f>
        <v>1</v>
      </c>
      <c r="BE14" s="7">
        <f>IF(預測IC!BE14&gt;預測IC!BE$25,1,0)</f>
        <v>1</v>
      </c>
      <c r="BF14" s="7">
        <f>IF(預測IC!BF14&gt;預測IC!BF$25,1,0)</f>
        <v>1</v>
      </c>
      <c r="BG14" s="7">
        <f>IF(預測IC!BG14&gt;預測IC!BG$25,1,0)</f>
        <v>1</v>
      </c>
      <c r="BH14" s="7">
        <f>IF(預測IC!BH14&gt;預測IC!BH$25,1,0)</f>
        <v>1</v>
      </c>
      <c r="BI14" s="7">
        <f>IF(預測IC!BI14&gt;預測IC!BI$25,1,0)</f>
        <v>1</v>
      </c>
      <c r="BJ14" s="7">
        <f>IF(預測IC!BJ14&gt;預測IC!BJ$25,1,0)</f>
        <v>0</v>
      </c>
      <c r="BK14" s="7">
        <f>IF(預測IC!BK14&gt;預測IC!BK$25,1,0)</f>
        <v>0</v>
      </c>
      <c r="BL14" s="7">
        <f>IF(預測IC!BL14&gt;預測IC!BL$25,1,0)</f>
        <v>1</v>
      </c>
      <c r="BM14" s="7">
        <f>IF(預測IC!BM14&gt;預測IC!BM$25,1,0)</f>
        <v>0</v>
      </c>
      <c r="BN14" s="7">
        <f>IF(預測IC!BN14&gt;預測IC!BN$25,1,0)</f>
        <v>0</v>
      </c>
      <c r="BO14" s="7">
        <f>IF(預測IC!BO14&gt;預測IC!BO$25,1,0)</f>
        <v>1</v>
      </c>
      <c r="BP14" s="7">
        <f>IF(預測IC!BP14&gt;預測IC!BP$25,1,0)</f>
        <v>0</v>
      </c>
      <c r="BQ14" s="7">
        <f>IF(預測IC!BQ14&gt;預測IC!BQ$25,1,0)</f>
        <v>1</v>
      </c>
      <c r="BR14" s="7">
        <f>IF(預測IC!BR14&gt;預測IC!BR$25,1,0)</f>
        <v>0</v>
      </c>
      <c r="BS14" s="7">
        <f>IF(預測IC!BS14&gt;預測IC!BS$25,1,0)</f>
        <v>0</v>
      </c>
      <c r="BT14" s="7">
        <f>IF(預測IC!BT14&gt;預測IC!BT$25,1,0)</f>
        <v>1</v>
      </c>
      <c r="BU14" s="7">
        <f>IF(預測IC!BU14&gt;預測IC!BU$25,1,0)</f>
        <v>0</v>
      </c>
      <c r="BV14" s="7">
        <f>IF(預測IC!BV14&gt;預測IC!BV$25,1,0)</f>
        <v>0</v>
      </c>
      <c r="BW14" s="7">
        <f>IF(預測IC!BW14&gt;預測IC!BW$25,1,0)</f>
        <v>1</v>
      </c>
      <c r="BX14" s="7">
        <f>IF(預測IC!BX14&gt;預測IC!BX$25,1,0)</f>
        <v>1</v>
      </c>
      <c r="BY14" s="7">
        <f>IF(預測IC!BY14&gt;預測IC!BY$25,1,0)</f>
        <v>1</v>
      </c>
      <c r="BZ14" s="7">
        <f>IF(預測IC!BZ14&gt;預測IC!BZ$25,1,0)</f>
        <v>0</v>
      </c>
      <c r="CA14" s="7">
        <f>IF(預測IC!CA14&gt;預測IC!CA$25,1,0)</f>
        <v>0</v>
      </c>
      <c r="CB14" s="7">
        <f>IF(預測IC!CB14&gt;預測IC!CB$25,1,0)</f>
        <v>0</v>
      </c>
      <c r="CC14" s="7">
        <f>IF(預測IC!CC14&gt;預測IC!CC$25,1,0)</f>
        <v>1</v>
      </c>
      <c r="CD14" s="7">
        <f>IF(預測IC!CD14&gt;預測IC!CD$25,1,0)</f>
        <v>1</v>
      </c>
      <c r="CE14" s="7">
        <f>IF(預測IC!CE14&gt;預測IC!CE$25,1,0)</f>
        <v>1</v>
      </c>
      <c r="CF14" s="7">
        <f>IF(預測IC!CF14&gt;預測IC!CF$25,1,0)</f>
        <v>0</v>
      </c>
      <c r="CG14" s="7">
        <f>IF(預測IC!CG14&gt;預測IC!CG$25,1,0)</f>
        <v>1</v>
      </c>
      <c r="CH14" s="7">
        <f>IF(預測IC!CH14&gt;預測IC!CH$25,1,0)</f>
        <v>0</v>
      </c>
      <c r="CI14" s="7">
        <f>IF(預測IC!CI14&gt;預測IC!CI$25,1,0)</f>
        <v>0</v>
      </c>
      <c r="CJ14" s="7">
        <f>IF(預測IC!CJ14&gt;預測IC!CJ$25,1,0)</f>
        <v>0</v>
      </c>
      <c r="CK14" s="7">
        <f>IF(預測IC!CK14&gt;預測IC!CK$25,1,0)</f>
        <v>0</v>
      </c>
      <c r="CL14" s="7">
        <f>IF(預測IC!CL14&gt;預測IC!CL$25,1,0)</f>
        <v>0</v>
      </c>
      <c r="CM14" s="7">
        <f>IF(預測IC!CM14&gt;預測IC!CM$25,1,0)</f>
        <v>1</v>
      </c>
      <c r="CN14" s="7">
        <f>IF(預測IC!CN14&gt;預測IC!CN$25,1,0)</f>
        <v>0</v>
      </c>
      <c r="CO14" s="7">
        <f>IF(預測IC!CO14&gt;預測IC!CO$25,1,0)</f>
        <v>0</v>
      </c>
      <c r="CP14" s="7">
        <f>IF(預測IC!CP14&gt;預測IC!CP$25,1,0)</f>
        <v>1</v>
      </c>
      <c r="CQ14" s="7">
        <f>IF(預測IC!CQ14&gt;預測IC!CQ$25,1,0)</f>
        <v>1</v>
      </c>
      <c r="CR14" s="7">
        <f>IF(預測IC!CR14&gt;預測IC!CR$25,1,0)</f>
        <v>1</v>
      </c>
      <c r="CS14" s="7">
        <f>IF(預測IC!CS14&gt;預測IC!CS$25,1,0)</f>
        <v>0</v>
      </c>
      <c r="CT14" s="7">
        <f>IF(預測IC!CT14&gt;預測IC!CT$25,1,0)</f>
        <v>0</v>
      </c>
      <c r="CU14" s="7">
        <f>IF(預測IC!CU14&gt;預測IC!CU$25,1,0)</f>
        <v>0</v>
      </c>
      <c r="CV14" s="7">
        <f>IF(預測IC!CV14&gt;預測IC!CV$25,1,0)</f>
        <v>1</v>
      </c>
      <c r="CW14" s="7">
        <f>IF(預測IC!CW14&gt;預測IC!CW$25,1,0)</f>
        <v>0</v>
      </c>
      <c r="CX14" s="7">
        <f>IF(預測IC!CX14&gt;預測IC!CX$25,1,0)</f>
        <v>1</v>
      </c>
      <c r="CY14" s="7">
        <f>IF(預測IC!CY14&gt;預測IC!CY$25,1,0)</f>
        <v>0</v>
      </c>
      <c r="CZ14" s="7">
        <f>IF(預測IC!CZ14&gt;預測IC!CZ$25,1,0)</f>
        <v>1</v>
      </c>
      <c r="DA14" s="7">
        <f>IF(預測IC!DA14&gt;預測IC!DA$25,1,0)</f>
        <v>0</v>
      </c>
      <c r="DB14" s="7">
        <f>IF(預測IC!DB14&gt;預測IC!DB$25,1,0)</f>
        <v>1</v>
      </c>
      <c r="DC14" s="7">
        <f>IF(預測IC!DC14&gt;預測IC!DC$25,1,0)</f>
        <v>1</v>
      </c>
      <c r="DD14" s="7">
        <f>IF(預測IC!DD14&gt;預測IC!DD$25,1,0)</f>
        <v>0</v>
      </c>
      <c r="DE14" s="7">
        <f>IF(預測IC!DE14&gt;預測IC!DE$25,1,0)</f>
        <v>0</v>
      </c>
      <c r="DF14" s="7">
        <f>IF(預測IC!DF14&gt;預測IC!DF$25,1,0)</f>
        <v>1</v>
      </c>
      <c r="DG14" s="7">
        <f>IF(預測IC!DG14&gt;預測IC!DG$25,1,0)</f>
        <v>0</v>
      </c>
      <c r="DH14" s="7">
        <f>IF(預測IC!DH14&gt;預測IC!DH$25,1,0)</f>
        <v>0</v>
      </c>
      <c r="DI14" s="7">
        <f>IF(預測IC!DI14&gt;預測IC!DI$25,1,0)</f>
        <v>0</v>
      </c>
      <c r="DJ14" s="7">
        <f>IF(預測IC!DJ14&gt;預測IC!DJ$25,1,0)</f>
        <v>1</v>
      </c>
      <c r="DK14" s="7">
        <f>IF(預測IC!DK14&gt;預測IC!DK$25,1,0)</f>
        <v>0</v>
      </c>
      <c r="DL14" s="7">
        <f>IF(預測IC!DL14&gt;預測IC!DL$25,1,0)</f>
        <v>0</v>
      </c>
      <c r="DM14" s="7">
        <f>IF(預測IC!DM14&gt;預測IC!DM$25,1,0)</f>
        <v>0</v>
      </c>
      <c r="DN14" s="7">
        <f>IF(預測IC!DN14&gt;預測IC!DN$25,1,0)</f>
        <v>1</v>
      </c>
      <c r="DO14" s="7">
        <f>IF(預測IC!DO14&gt;預測IC!DO$25,1,0)</f>
        <v>1</v>
      </c>
      <c r="DP14" s="7">
        <f>IF(預測IC!DP14&gt;預測IC!DP$25,1,0)</f>
        <v>1</v>
      </c>
      <c r="DQ14" s="7">
        <f>IF(預測IC!DQ14&gt;預測IC!DQ$25,1,0)</f>
        <v>0</v>
      </c>
      <c r="DR14" s="7">
        <f>IF(預測IC!DR14&gt;預測IC!DR$25,1,0)</f>
        <v>1</v>
      </c>
      <c r="DS14" s="7">
        <f>IF(預測IC!DS14&gt;預測IC!DS$25,1,0)</f>
        <v>0</v>
      </c>
      <c r="DT14" s="7">
        <f>IF(預測IC!DT14&gt;預測IC!DT$25,1,0)</f>
        <v>1</v>
      </c>
      <c r="DU14" s="7">
        <f>IF(預測IC!DU14&gt;預測IC!DU$25,1,0)</f>
        <v>0</v>
      </c>
      <c r="DV14" s="7">
        <f>IF(預測IC!DV14&gt;預測IC!DV$25,1,0)</f>
        <v>1</v>
      </c>
      <c r="DW14" s="7">
        <f>IF(預測IC!DW14&gt;預測IC!DW$25,1,0)</f>
        <v>1</v>
      </c>
      <c r="DX14" s="7">
        <f>IF(預測IC!DX14&gt;預測IC!DX$25,1,0)</f>
        <v>0</v>
      </c>
      <c r="DY14" s="7">
        <f>IF(預測IC!DY14&gt;預測IC!DY$25,1,0)</f>
        <v>1</v>
      </c>
      <c r="DZ14" s="7">
        <f>IF(預測IC!DZ14&gt;預測IC!DZ$25,1,0)</f>
        <v>1</v>
      </c>
      <c r="EA14" s="7">
        <f>IF(預測IC!EA14&gt;預測IC!EA$25,1,0)</f>
        <v>1</v>
      </c>
      <c r="EB14" s="7">
        <f>IF(預測IC!EB14&gt;預測IC!EB$25,1,0)</f>
        <v>1</v>
      </c>
      <c r="EC14" s="7">
        <f>IF(預測IC!EC14&gt;預測IC!EC$25,1,0)</f>
        <v>1</v>
      </c>
      <c r="ED14" s="7">
        <f>IF(預測IC!ED14&gt;預測IC!ED$25,1,0)</f>
        <v>0</v>
      </c>
      <c r="EE14" s="7">
        <f>IF(預測IC!EE14&gt;預測IC!EE$25,1,0)</f>
        <v>0</v>
      </c>
      <c r="EF14" s="7">
        <f>IF(預測IC!EF14&gt;預測IC!EF$25,1,0)</f>
        <v>1</v>
      </c>
      <c r="EG14">
        <f t="shared" si="6"/>
        <v>78</v>
      </c>
      <c r="EH14" s="14">
        <f t="shared" si="7"/>
        <v>0.57462686567164178</v>
      </c>
    </row>
    <row r="15" spans="1:138" x14ac:dyDescent="0.3">
      <c r="A15" s="1">
        <v>100</v>
      </c>
      <c r="B15" s="1">
        <v>10</v>
      </c>
      <c r="C15" s="7">
        <f>IF(預測IC!C15&gt;預測IC!C$25,1,0)</f>
        <v>1</v>
      </c>
      <c r="D15" s="7">
        <f>IF(預測IC!D15&gt;預測IC!D$25,1,0)</f>
        <v>1</v>
      </c>
      <c r="E15" s="7">
        <f>IF(預測IC!E15&gt;預測IC!E$25,1,0)</f>
        <v>1</v>
      </c>
      <c r="F15" s="7">
        <f>IF(預測IC!F15&gt;預測IC!F$25,1,0)</f>
        <v>1</v>
      </c>
      <c r="G15" s="7">
        <f>IF(預測IC!G15&gt;預測IC!G$25,1,0)</f>
        <v>1</v>
      </c>
      <c r="H15" s="7">
        <f>IF(預測IC!H15&gt;預測IC!H$25,1,0)</f>
        <v>1</v>
      </c>
      <c r="I15" s="7">
        <f>IF(預測IC!I15&gt;預測IC!I$25,1,0)</f>
        <v>1</v>
      </c>
      <c r="J15" s="7">
        <f>IF(預測IC!J15&gt;預測IC!J$25,1,0)</f>
        <v>0</v>
      </c>
      <c r="K15" s="7">
        <f>IF(預測IC!K15&gt;預測IC!K$25,1,0)</f>
        <v>1</v>
      </c>
      <c r="L15" s="7">
        <f>IF(預測IC!L15&gt;預測IC!L$25,1,0)</f>
        <v>1</v>
      </c>
      <c r="M15" s="7">
        <f>IF(預測IC!M15&gt;預測IC!M$25,1,0)</f>
        <v>1</v>
      </c>
      <c r="N15" s="7">
        <f>IF(預測IC!N15&gt;預測IC!N$25,1,0)</f>
        <v>1</v>
      </c>
      <c r="O15" s="7">
        <f>IF(預測IC!O15&gt;預測IC!O$25,1,0)</f>
        <v>1</v>
      </c>
      <c r="P15" s="7">
        <f>IF(預測IC!P15&gt;預測IC!P$25,1,0)</f>
        <v>1</v>
      </c>
      <c r="Q15" s="7">
        <f>IF(預測IC!Q15&gt;預測IC!Q$25,1,0)</f>
        <v>1</v>
      </c>
      <c r="R15" s="7">
        <f>IF(預測IC!R15&gt;預測IC!R$25,1,0)</f>
        <v>0</v>
      </c>
      <c r="S15" s="7">
        <f>IF(預測IC!S15&gt;預測IC!S$25,1,0)</f>
        <v>0</v>
      </c>
      <c r="T15" s="7">
        <f>IF(預測IC!T15&gt;預測IC!T$25,1,0)</f>
        <v>0</v>
      </c>
      <c r="U15" s="7">
        <f>IF(預測IC!U15&gt;預測IC!U$25,1,0)</f>
        <v>1</v>
      </c>
      <c r="V15" s="7">
        <f>IF(預測IC!V15&gt;預測IC!V$25,1,0)</f>
        <v>0</v>
      </c>
      <c r="W15" s="7">
        <f>IF(預測IC!W15&gt;預測IC!W$25,1,0)</f>
        <v>1</v>
      </c>
      <c r="X15" s="7">
        <f>IF(預測IC!X15&gt;預測IC!X$25,1,0)</f>
        <v>1</v>
      </c>
      <c r="Y15" s="7">
        <f>IF(預測IC!Y15&gt;預測IC!Y$25,1,0)</f>
        <v>1</v>
      </c>
      <c r="Z15" s="7">
        <f>IF(預測IC!Z15&gt;預測IC!Z$25,1,0)</f>
        <v>0</v>
      </c>
      <c r="AA15" s="7">
        <f>IF(預測IC!AA15&gt;預測IC!AA$25,1,0)</f>
        <v>1</v>
      </c>
      <c r="AB15" s="7">
        <f>IF(預測IC!AB15&gt;預測IC!AB$25,1,0)</f>
        <v>0</v>
      </c>
      <c r="AC15" s="7">
        <f>IF(預測IC!AC15&gt;預測IC!AC$25,1,0)</f>
        <v>0</v>
      </c>
      <c r="AD15" s="7">
        <f>IF(預測IC!AD15&gt;預測IC!AD$25,1,0)</f>
        <v>1</v>
      </c>
      <c r="AE15" s="7">
        <f>IF(預測IC!AE15&gt;預測IC!AE$25,1,0)</f>
        <v>1</v>
      </c>
      <c r="AF15" s="7">
        <f>IF(預測IC!AF15&gt;預測IC!AF$25,1,0)</f>
        <v>1</v>
      </c>
      <c r="AG15" s="7">
        <f>IF(預測IC!AG15&gt;預測IC!AG$25,1,0)</f>
        <v>0</v>
      </c>
      <c r="AH15" s="7">
        <f>IF(預測IC!AH15&gt;預測IC!AH$25,1,0)</f>
        <v>0</v>
      </c>
      <c r="AI15" s="7">
        <f>IF(預測IC!AI15&gt;預測IC!AI$25,1,0)</f>
        <v>1</v>
      </c>
      <c r="AJ15" s="7">
        <f>IF(預測IC!AJ15&gt;預測IC!AJ$25,1,0)</f>
        <v>0</v>
      </c>
      <c r="AK15" s="7">
        <f>IF(預測IC!AK15&gt;預測IC!AK$25,1,0)</f>
        <v>1</v>
      </c>
      <c r="AL15" s="7">
        <f>IF(預測IC!AL15&gt;預測IC!AL$25,1,0)</f>
        <v>1</v>
      </c>
      <c r="AM15" s="7">
        <f>IF(預測IC!AM15&gt;預測IC!AM$25,1,0)</f>
        <v>1</v>
      </c>
      <c r="AN15" s="7">
        <f>IF(預測IC!AN15&gt;預測IC!AN$25,1,0)</f>
        <v>1</v>
      </c>
      <c r="AO15" s="7">
        <f>IF(預測IC!AO15&gt;預測IC!AO$25,1,0)</f>
        <v>1</v>
      </c>
      <c r="AP15" s="7">
        <f>IF(預測IC!AP15&gt;預測IC!AP$25,1,0)</f>
        <v>0</v>
      </c>
      <c r="AQ15" s="7">
        <f>IF(預測IC!AQ15&gt;預測IC!AQ$25,1,0)</f>
        <v>0</v>
      </c>
      <c r="AR15" s="7">
        <f>IF(預測IC!AR15&gt;預測IC!AR$25,1,0)</f>
        <v>1</v>
      </c>
      <c r="AS15" s="7">
        <f>IF(預測IC!AS15&gt;預測IC!AS$25,1,0)</f>
        <v>1</v>
      </c>
      <c r="AT15" s="7">
        <f>IF(預測IC!AT15&gt;預測IC!AT$25,1,0)</f>
        <v>1</v>
      </c>
      <c r="AU15" s="7">
        <f>IF(預測IC!AU15&gt;預測IC!AU$25,1,0)</f>
        <v>1</v>
      </c>
      <c r="AV15" s="7">
        <f>IF(預測IC!AV15&gt;預測IC!AV$25,1,0)</f>
        <v>0</v>
      </c>
      <c r="AW15" s="7">
        <f>IF(預測IC!AW15&gt;預測IC!AW$25,1,0)</f>
        <v>1</v>
      </c>
      <c r="AX15" s="7">
        <f>IF(預測IC!AX15&gt;預測IC!AX$25,1,0)</f>
        <v>1</v>
      </c>
      <c r="AY15" s="7">
        <f>IF(預測IC!AY15&gt;預測IC!AY$25,1,0)</f>
        <v>0</v>
      </c>
      <c r="AZ15" s="7">
        <f>IF(預測IC!AZ15&gt;預測IC!AZ$25,1,0)</f>
        <v>0</v>
      </c>
      <c r="BA15" s="7">
        <f>IF(預測IC!BA15&gt;預測IC!BA$25,1,0)</f>
        <v>1</v>
      </c>
      <c r="BB15" s="7">
        <f>IF(預測IC!BB15&gt;預測IC!BB$25,1,0)</f>
        <v>1</v>
      </c>
      <c r="BC15" s="7">
        <f>IF(預測IC!BC15&gt;預測IC!BC$25,1,0)</f>
        <v>1</v>
      </c>
      <c r="BD15" s="7">
        <f>IF(預測IC!BD15&gt;預測IC!BD$25,1,0)</f>
        <v>1</v>
      </c>
      <c r="BE15" s="7">
        <f>IF(預測IC!BE15&gt;預測IC!BE$25,1,0)</f>
        <v>1</v>
      </c>
      <c r="BF15" s="7">
        <f>IF(預測IC!BF15&gt;預測IC!BF$25,1,0)</f>
        <v>1</v>
      </c>
      <c r="BG15" s="7">
        <f>IF(預測IC!BG15&gt;預測IC!BG$25,1,0)</f>
        <v>1</v>
      </c>
      <c r="BH15" s="7">
        <f>IF(預測IC!BH15&gt;預測IC!BH$25,1,0)</f>
        <v>1</v>
      </c>
      <c r="BI15" s="7">
        <f>IF(預測IC!BI15&gt;預測IC!BI$25,1,0)</f>
        <v>1</v>
      </c>
      <c r="BJ15" s="7">
        <f>IF(預測IC!BJ15&gt;預測IC!BJ$25,1,0)</f>
        <v>1</v>
      </c>
      <c r="BK15" s="7">
        <f>IF(預測IC!BK15&gt;預測IC!BK$25,1,0)</f>
        <v>0</v>
      </c>
      <c r="BL15" s="7">
        <f>IF(預測IC!BL15&gt;預測IC!BL$25,1,0)</f>
        <v>1</v>
      </c>
      <c r="BM15" s="7">
        <f>IF(預測IC!BM15&gt;預測IC!BM$25,1,0)</f>
        <v>0</v>
      </c>
      <c r="BN15" s="7">
        <f>IF(預測IC!BN15&gt;預測IC!BN$25,1,0)</f>
        <v>1</v>
      </c>
      <c r="BO15" s="7">
        <f>IF(預測IC!BO15&gt;預測IC!BO$25,1,0)</f>
        <v>1</v>
      </c>
      <c r="BP15" s="7">
        <f>IF(預測IC!BP15&gt;預測IC!BP$25,1,0)</f>
        <v>0</v>
      </c>
      <c r="BQ15" s="7">
        <f>IF(預測IC!BQ15&gt;預測IC!BQ$25,1,0)</f>
        <v>1</v>
      </c>
      <c r="BR15" s="7">
        <f>IF(預測IC!BR15&gt;預測IC!BR$25,1,0)</f>
        <v>0</v>
      </c>
      <c r="BS15" s="7">
        <f>IF(預測IC!BS15&gt;預測IC!BS$25,1,0)</f>
        <v>0</v>
      </c>
      <c r="BT15" s="7">
        <f>IF(預測IC!BT15&gt;預測IC!BT$25,1,0)</f>
        <v>1</v>
      </c>
      <c r="BU15" s="7">
        <f>IF(預測IC!BU15&gt;預測IC!BU$25,1,0)</f>
        <v>1</v>
      </c>
      <c r="BV15" s="7">
        <f>IF(預測IC!BV15&gt;預測IC!BV$25,1,0)</f>
        <v>1</v>
      </c>
      <c r="BW15" s="7">
        <f>IF(預測IC!BW15&gt;預測IC!BW$25,1,0)</f>
        <v>1</v>
      </c>
      <c r="BX15" s="7">
        <f>IF(預測IC!BX15&gt;預測IC!BX$25,1,0)</f>
        <v>1</v>
      </c>
      <c r="BY15" s="7">
        <f>IF(預測IC!BY15&gt;預測IC!BY$25,1,0)</f>
        <v>1</v>
      </c>
      <c r="BZ15" s="7">
        <f>IF(預測IC!BZ15&gt;預測IC!BZ$25,1,0)</f>
        <v>0</v>
      </c>
      <c r="CA15" s="7">
        <f>IF(預測IC!CA15&gt;預測IC!CA$25,1,0)</f>
        <v>0</v>
      </c>
      <c r="CB15" s="7">
        <f>IF(預測IC!CB15&gt;預測IC!CB$25,1,0)</f>
        <v>0</v>
      </c>
      <c r="CC15" s="7">
        <f>IF(預測IC!CC15&gt;預測IC!CC$25,1,0)</f>
        <v>1</v>
      </c>
      <c r="CD15" s="7">
        <f>IF(預測IC!CD15&gt;預測IC!CD$25,1,0)</f>
        <v>1</v>
      </c>
      <c r="CE15" s="7">
        <f>IF(預測IC!CE15&gt;預測IC!CE$25,1,0)</f>
        <v>1</v>
      </c>
      <c r="CF15" s="7">
        <f>IF(預測IC!CF15&gt;預測IC!CF$25,1,0)</f>
        <v>0</v>
      </c>
      <c r="CG15" s="7">
        <f>IF(預測IC!CG15&gt;預測IC!CG$25,1,0)</f>
        <v>1</v>
      </c>
      <c r="CH15" s="7">
        <f>IF(預測IC!CH15&gt;預測IC!CH$25,1,0)</f>
        <v>0</v>
      </c>
      <c r="CI15" s="7">
        <f>IF(預測IC!CI15&gt;預測IC!CI$25,1,0)</f>
        <v>0</v>
      </c>
      <c r="CJ15" s="7">
        <f>IF(預測IC!CJ15&gt;預測IC!CJ$25,1,0)</f>
        <v>0</v>
      </c>
      <c r="CK15" s="7">
        <f>IF(預測IC!CK15&gt;預測IC!CK$25,1,0)</f>
        <v>1</v>
      </c>
      <c r="CL15" s="7">
        <f>IF(預測IC!CL15&gt;預測IC!CL$25,1,0)</f>
        <v>0</v>
      </c>
      <c r="CM15" s="7">
        <f>IF(預測IC!CM15&gt;預測IC!CM$25,1,0)</f>
        <v>1</v>
      </c>
      <c r="CN15" s="7">
        <f>IF(預測IC!CN15&gt;預測IC!CN$25,1,0)</f>
        <v>0</v>
      </c>
      <c r="CO15" s="7">
        <f>IF(預測IC!CO15&gt;預測IC!CO$25,1,0)</f>
        <v>0</v>
      </c>
      <c r="CP15" s="7">
        <f>IF(預測IC!CP15&gt;預測IC!CP$25,1,0)</f>
        <v>1</v>
      </c>
      <c r="CQ15" s="7">
        <f>IF(預測IC!CQ15&gt;預測IC!CQ$25,1,0)</f>
        <v>1</v>
      </c>
      <c r="CR15" s="7">
        <f>IF(預測IC!CR15&gt;預測IC!CR$25,1,0)</f>
        <v>1</v>
      </c>
      <c r="CS15" s="7">
        <f>IF(預測IC!CS15&gt;預測IC!CS$25,1,0)</f>
        <v>0</v>
      </c>
      <c r="CT15" s="7">
        <f>IF(預測IC!CT15&gt;預測IC!CT$25,1,0)</f>
        <v>0</v>
      </c>
      <c r="CU15" s="7">
        <f>IF(預測IC!CU15&gt;預測IC!CU$25,1,0)</f>
        <v>0</v>
      </c>
      <c r="CV15" s="7">
        <f>IF(預測IC!CV15&gt;預測IC!CV$25,1,0)</f>
        <v>0</v>
      </c>
      <c r="CW15" s="7">
        <f>IF(預測IC!CW15&gt;預測IC!CW$25,1,0)</f>
        <v>0</v>
      </c>
      <c r="CX15" s="7">
        <f>IF(預測IC!CX15&gt;預測IC!CX$25,1,0)</f>
        <v>1</v>
      </c>
      <c r="CY15" s="7">
        <f>IF(預測IC!CY15&gt;預測IC!CY$25,1,0)</f>
        <v>0</v>
      </c>
      <c r="CZ15" s="7">
        <f>IF(預測IC!CZ15&gt;預測IC!CZ$25,1,0)</f>
        <v>1</v>
      </c>
      <c r="DA15" s="7">
        <f>IF(預測IC!DA15&gt;預測IC!DA$25,1,0)</f>
        <v>0</v>
      </c>
      <c r="DB15" s="7">
        <f>IF(預測IC!DB15&gt;預測IC!DB$25,1,0)</f>
        <v>1</v>
      </c>
      <c r="DC15" s="7">
        <f>IF(預測IC!DC15&gt;預測IC!DC$25,1,0)</f>
        <v>1</v>
      </c>
      <c r="DD15" s="7">
        <f>IF(預測IC!DD15&gt;預測IC!DD$25,1,0)</f>
        <v>0</v>
      </c>
      <c r="DE15" s="7">
        <f>IF(預測IC!DE15&gt;預測IC!DE$25,1,0)</f>
        <v>0</v>
      </c>
      <c r="DF15" s="7">
        <f>IF(預測IC!DF15&gt;預測IC!DF$25,1,0)</f>
        <v>1</v>
      </c>
      <c r="DG15" s="7">
        <f>IF(預測IC!DG15&gt;預測IC!DG$25,1,0)</f>
        <v>0</v>
      </c>
      <c r="DH15" s="7">
        <f>IF(預測IC!DH15&gt;預測IC!DH$25,1,0)</f>
        <v>0</v>
      </c>
      <c r="DI15" s="7">
        <f>IF(預測IC!DI15&gt;預測IC!DI$25,1,0)</f>
        <v>0</v>
      </c>
      <c r="DJ15" s="7">
        <f>IF(預測IC!DJ15&gt;預測IC!DJ$25,1,0)</f>
        <v>1</v>
      </c>
      <c r="DK15" s="7">
        <f>IF(預測IC!DK15&gt;預測IC!DK$25,1,0)</f>
        <v>1</v>
      </c>
      <c r="DL15" s="7">
        <f>IF(預測IC!DL15&gt;預測IC!DL$25,1,0)</f>
        <v>1</v>
      </c>
      <c r="DM15" s="7">
        <f>IF(預測IC!DM15&gt;預測IC!DM$25,1,0)</f>
        <v>0</v>
      </c>
      <c r="DN15" s="7">
        <f>IF(預測IC!DN15&gt;預測IC!DN$25,1,0)</f>
        <v>1</v>
      </c>
      <c r="DO15" s="7">
        <f>IF(預測IC!DO15&gt;預測IC!DO$25,1,0)</f>
        <v>1</v>
      </c>
      <c r="DP15" s="7">
        <f>IF(預測IC!DP15&gt;預測IC!DP$25,1,0)</f>
        <v>1</v>
      </c>
      <c r="DQ15" s="7">
        <f>IF(預測IC!DQ15&gt;預測IC!DQ$25,1,0)</f>
        <v>0</v>
      </c>
      <c r="DR15" s="7">
        <f>IF(預測IC!DR15&gt;預測IC!DR$25,1,0)</f>
        <v>1</v>
      </c>
      <c r="DS15" s="7">
        <f>IF(預測IC!DS15&gt;預測IC!DS$25,1,0)</f>
        <v>0</v>
      </c>
      <c r="DT15" s="7">
        <f>IF(預測IC!DT15&gt;預測IC!DT$25,1,0)</f>
        <v>0</v>
      </c>
      <c r="DU15" s="7">
        <f>IF(預測IC!DU15&gt;預測IC!DU$25,1,0)</f>
        <v>0</v>
      </c>
      <c r="DV15" s="7">
        <f>IF(預測IC!DV15&gt;預測IC!DV$25,1,0)</f>
        <v>1</v>
      </c>
      <c r="DW15" s="7">
        <f>IF(預測IC!DW15&gt;預測IC!DW$25,1,0)</f>
        <v>0</v>
      </c>
      <c r="DX15" s="7">
        <f>IF(預測IC!DX15&gt;預測IC!DX$25,1,0)</f>
        <v>0</v>
      </c>
      <c r="DY15" s="7">
        <f>IF(預測IC!DY15&gt;預測IC!DY$25,1,0)</f>
        <v>1</v>
      </c>
      <c r="DZ15" s="7">
        <f>IF(預測IC!DZ15&gt;預測IC!DZ$25,1,0)</f>
        <v>1</v>
      </c>
      <c r="EA15" s="7">
        <f>IF(預測IC!EA15&gt;預測IC!EA$25,1,0)</f>
        <v>1</v>
      </c>
      <c r="EB15" s="7">
        <f>IF(預測IC!EB15&gt;預測IC!EB$25,1,0)</f>
        <v>1</v>
      </c>
      <c r="EC15" s="7">
        <f>IF(預測IC!EC15&gt;預測IC!EC$25,1,0)</f>
        <v>1</v>
      </c>
      <c r="ED15" s="7">
        <f>IF(預測IC!ED15&gt;預測IC!ED$25,1,0)</f>
        <v>0</v>
      </c>
      <c r="EE15" s="7">
        <f>IF(預測IC!EE15&gt;預測IC!EE$25,1,0)</f>
        <v>0</v>
      </c>
      <c r="EF15" s="7">
        <f>IF(預測IC!EF15&gt;預測IC!EF$25,1,0)</f>
        <v>1</v>
      </c>
      <c r="EG15">
        <f t="shared" si="6"/>
        <v>82</v>
      </c>
      <c r="EH15" s="12">
        <f t="shared" si="7"/>
        <v>0.60447761194029848</v>
      </c>
    </row>
    <row r="16" spans="1:138" x14ac:dyDescent="0.3">
      <c r="A16" s="1">
        <v>107</v>
      </c>
      <c r="B16" s="1">
        <v>9</v>
      </c>
      <c r="C16" s="7">
        <f>IF(預測IC!C16&gt;預測IC!C$25,1,0)</f>
        <v>1</v>
      </c>
      <c r="D16" s="7">
        <f>IF(預測IC!D16&gt;預測IC!D$25,1,0)</f>
        <v>1</v>
      </c>
      <c r="E16" s="7">
        <f>IF(預測IC!E16&gt;預測IC!E$25,1,0)</f>
        <v>1</v>
      </c>
      <c r="F16" s="7">
        <f>IF(預測IC!F16&gt;預測IC!F$25,1,0)</f>
        <v>1</v>
      </c>
      <c r="G16" s="7">
        <f>IF(預測IC!G16&gt;預測IC!G$25,1,0)</f>
        <v>1</v>
      </c>
      <c r="H16" s="7">
        <f>IF(預測IC!H16&gt;預測IC!H$25,1,0)</f>
        <v>1</v>
      </c>
      <c r="I16" s="7">
        <f>IF(預測IC!I16&gt;預測IC!I$25,1,0)</f>
        <v>1</v>
      </c>
      <c r="J16" s="7">
        <f>IF(預測IC!J16&gt;預測IC!J$25,1,0)</f>
        <v>0</v>
      </c>
      <c r="K16" s="7">
        <f>IF(預測IC!K16&gt;預測IC!K$25,1,0)</f>
        <v>1</v>
      </c>
      <c r="L16" s="7">
        <f>IF(預測IC!L16&gt;預測IC!L$25,1,0)</f>
        <v>1</v>
      </c>
      <c r="M16" s="7">
        <f>IF(預測IC!M16&gt;預測IC!M$25,1,0)</f>
        <v>1</v>
      </c>
      <c r="N16" s="7">
        <f>IF(預測IC!N16&gt;預測IC!N$25,1,0)</f>
        <v>1</v>
      </c>
      <c r="O16" s="7">
        <f>IF(預測IC!O16&gt;預測IC!O$25,1,0)</f>
        <v>1</v>
      </c>
      <c r="P16" s="7">
        <f>IF(預測IC!P16&gt;預測IC!P$25,1,0)</f>
        <v>1</v>
      </c>
      <c r="Q16" s="7">
        <f>IF(預測IC!Q16&gt;預測IC!Q$25,1,0)</f>
        <v>1</v>
      </c>
      <c r="R16" s="7">
        <f>IF(預測IC!R16&gt;預測IC!R$25,1,0)</f>
        <v>0</v>
      </c>
      <c r="S16" s="7">
        <f>IF(預測IC!S16&gt;預測IC!S$25,1,0)</f>
        <v>0</v>
      </c>
      <c r="T16" s="7">
        <f>IF(預測IC!T16&gt;預測IC!T$25,1,0)</f>
        <v>0</v>
      </c>
      <c r="U16" s="7">
        <f>IF(預測IC!U16&gt;預測IC!U$25,1,0)</f>
        <v>1</v>
      </c>
      <c r="V16" s="7">
        <f>IF(預測IC!V16&gt;預測IC!V$25,1,0)</f>
        <v>0</v>
      </c>
      <c r="W16" s="7">
        <f>IF(預測IC!W16&gt;預測IC!W$25,1,0)</f>
        <v>1</v>
      </c>
      <c r="X16" s="7">
        <f>IF(預測IC!X16&gt;預測IC!X$25,1,0)</f>
        <v>1</v>
      </c>
      <c r="Y16" s="7">
        <f>IF(預測IC!Y16&gt;預測IC!Y$25,1,0)</f>
        <v>1</v>
      </c>
      <c r="Z16" s="7">
        <f>IF(預測IC!Z16&gt;預測IC!Z$25,1,0)</f>
        <v>0</v>
      </c>
      <c r="AA16" s="7">
        <f>IF(預測IC!AA16&gt;預測IC!AA$25,1,0)</f>
        <v>1</v>
      </c>
      <c r="AB16" s="7">
        <f>IF(預測IC!AB16&gt;預測IC!AB$25,1,0)</f>
        <v>0</v>
      </c>
      <c r="AC16" s="7">
        <f>IF(預測IC!AC16&gt;預測IC!AC$25,1,0)</f>
        <v>0</v>
      </c>
      <c r="AD16" s="7">
        <f>IF(預測IC!AD16&gt;預測IC!AD$25,1,0)</f>
        <v>1</v>
      </c>
      <c r="AE16" s="7">
        <f>IF(預測IC!AE16&gt;預測IC!AE$25,1,0)</f>
        <v>1</v>
      </c>
      <c r="AF16" s="7">
        <f>IF(預測IC!AF16&gt;預測IC!AF$25,1,0)</f>
        <v>1</v>
      </c>
      <c r="AG16" s="7">
        <f>IF(預測IC!AG16&gt;預測IC!AG$25,1,0)</f>
        <v>0</v>
      </c>
      <c r="AH16" s="7">
        <f>IF(預測IC!AH16&gt;預測IC!AH$25,1,0)</f>
        <v>0</v>
      </c>
      <c r="AI16" s="7">
        <f>IF(預測IC!AI16&gt;預測IC!AI$25,1,0)</f>
        <v>1</v>
      </c>
      <c r="AJ16" s="7">
        <f>IF(預測IC!AJ16&gt;預測IC!AJ$25,1,0)</f>
        <v>0</v>
      </c>
      <c r="AK16" s="7">
        <f>IF(預測IC!AK16&gt;預測IC!AK$25,1,0)</f>
        <v>1</v>
      </c>
      <c r="AL16" s="7">
        <f>IF(預測IC!AL16&gt;預測IC!AL$25,1,0)</f>
        <v>1</v>
      </c>
      <c r="AM16" s="7">
        <f>IF(預測IC!AM16&gt;預測IC!AM$25,1,0)</f>
        <v>1</v>
      </c>
      <c r="AN16" s="7">
        <f>IF(預測IC!AN16&gt;預測IC!AN$25,1,0)</f>
        <v>1</v>
      </c>
      <c r="AO16" s="7">
        <f>IF(預測IC!AO16&gt;預測IC!AO$25,1,0)</f>
        <v>1</v>
      </c>
      <c r="AP16" s="7">
        <f>IF(預測IC!AP16&gt;預測IC!AP$25,1,0)</f>
        <v>0</v>
      </c>
      <c r="AQ16" s="7">
        <f>IF(預測IC!AQ16&gt;預測IC!AQ$25,1,0)</f>
        <v>0</v>
      </c>
      <c r="AR16" s="7">
        <f>IF(預測IC!AR16&gt;預測IC!AR$25,1,0)</f>
        <v>1</v>
      </c>
      <c r="AS16" s="7">
        <f>IF(預測IC!AS16&gt;預測IC!AS$25,1,0)</f>
        <v>1</v>
      </c>
      <c r="AT16" s="7">
        <f>IF(預測IC!AT16&gt;預測IC!AT$25,1,0)</f>
        <v>1</v>
      </c>
      <c r="AU16" s="7">
        <f>IF(預測IC!AU16&gt;預測IC!AU$25,1,0)</f>
        <v>1</v>
      </c>
      <c r="AV16" s="7">
        <f>IF(預測IC!AV16&gt;預測IC!AV$25,1,0)</f>
        <v>0</v>
      </c>
      <c r="AW16" s="7">
        <f>IF(預測IC!AW16&gt;預測IC!AW$25,1,0)</f>
        <v>1</v>
      </c>
      <c r="AX16" s="7">
        <f>IF(預測IC!AX16&gt;預測IC!AX$25,1,0)</f>
        <v>1</v>
      </c>
      <c r="AY16" s="7">
        <f>IF(預測IC!AY16&gt;預測IC!AY$25,1,0)</f>
        <v>0</v>
      </c>
      <c r="AZ16" s="7">
        <f>IF(預測IC!AZ16&gt;預測IC!AZ$25,1,0)</f>
        <v>0</v>
      </c>
      <c r="BA16" s="7">
        <f>IF(預測IC!BA16&gt;預測IC!BA$25,1,0)</f>
        <v>1</v>
      </c>
      <c r="BB16" s="7">
        <f>IF(預測IC!BB16&gt;預測IC!BB$25,1,0)</f>
        <v>1</v>
      </c>
      <c r="BC16" s="7">
        <f>IF(預測IC!BC16&gt;預測IC!BC$25,1,0)</f>
        <v>1</v>
      </c>
      <c r="BD16" s="7">
        <f>IF(預測IC!BD16&gt;預測IC!BD$25,1,0)</f>
        <v>1</v>
      </c>
      <c r="BE16" s="7">
        <f>IF(預測IC!BE16&gt;預測IC!BE$25,1,0)</f>
        <v>1</v>
      </c>
      <c r="BF16" s="7">
        <f>IF(預測IC!BF16&gt;預測IC!BF$25,1,0)</f>
        <v>1</v>
      </c>
      <c r="BG16" s="7">
        <f>IF(預測IC!BG16&gt;預測IC!BG$25,1,0)</f>
        <v>1</v>
      </c>
      <c r="BH16" s="7">
        <f>IF(預測IC!BH16&gt;預測IC!BH$25,1,0)</f>
        <v>1</v>
      </c>
      <c r="BI16" s="7">
        <f>IF(預測IC!BI16&gt;預測IC!BI$25,1,0)</f>
        <v>1</v>
      </c>
      <c r="BJ16" s="7">
        <f>IF(預測IC!BJ16&gt;預測IC!BJ$25,1,0)</f>
        <v>0</v>
      </c>
      <c r="BK16" s="7">
        <f>IF(預測IC!BK16&gt;預測IC!BK$25,1,0)</f>
        <v>0</v>
      </c>
      <c r="BL16" s="7">
        <f>IF(預測IC!BL16&gt;預測IC!BL$25,1,0)</f>
        <v>1</v>
      </c>
      <c r="BM16" s="7">
        <f>IF(預測IC!BM16&gt;預測IC!BM$25,1,0)</f>
        <v>0</v>
      </c>
      <c r="BN16" s="7">
        <f>IF(預測IC!BN16&gt;預測IC!BN$25,1,0)</f>
        <v>1</v>
      </c>
      <c r="BO16" s="7">
        <f>IF(預測IC!BO16&gt;預測IC!BO$25,1,0)</f>
        <v>1</v>
      </c>
      <c r="BP16" s="7">
        <f>IF(預測IC!BP16&gt;預測IC!BP$25,1,0)</f>
        <v>0</v>
      </c>
      <c r="BQ16" s="7">
        <f>IF(預測IC!BQ16&gt;預測IC!BQ$25,1,0)</f>
        <v>1</v>
      </c>
      <c r="BR16" s="7">
        <f>IF(預測IC!BR16&gt;預測IC!BR$25,1,0)</f>
        <v>0</v>
      </c>
      <c r="BS16" s="7">
        <f>IF(預測IC!BS16&gt;預測IC!BS$25,1,0)</f>
        <v>0</v>
      </c>
      <c r="BT16" s="7">
        <f>IF(預測IC!BT16&gt;預測IC!BT$25,1,0)</f>
        <v>1</v>
      </c>
      <c r="BU16" s="7">
        <f>IF(預測IC!BU16&gt;預測IC!BU$25,1,0)</f>
        <v>1</v>
      </c>
      <c r="BV16" s="7">
        <f>IF(預測IC!BV16&gt;預測IC!BV$25,1,0)</f>
        <v>1</v>
      </c>
      <c r="BW16" s="7">
        <f>IF(預測IC!BW16&gt;預測IC!BW$25,1,0)</f>
        <v>0</v>
      </c>
      <c r="BX16" s="7">
        <f>IF(預測IC!BX16&gt;預測IC!BX$25,1,0)</f>
        <v>1</v>
      </c>
      <c r="BY16" s="7">
        <f>IF(預測IC!BY16&gt;預測IC!BY$25,1,0)</f>
        <v>1</v>
      </c>
      <c r="BZ16" s="7">
        <f>IF(預測IC!BZ16&gt;預測IC!BZ$25,1,0)</f>
        <v>0</v>
      </c>
      <c r="CA16" s="7">
        <f>IF(預測IC!CA16&gt;預測IC!CA$25,1,0)</f>
        <v>0</v>
      </c>
      <c r="CB16" s="7">
        <f>IF(預測IC!CB16&gt;預測IC!CB$25,1,0)</f>
        <v>0</v>
      </c>
      <c r="CC16" s="7">
        <f>IF(預測IC!CC16&gt;預測IC!CC$25,1,0)</f>
        <v>0</v>
      </c>
      <c r="CD16" s="7">
        <f>IF(預測IC!CD16&gt;預測IC!CD$25,1,0)</f>
        <v>1</v>
      </c>
      <c r="CE16" s="7">
        <f>IF(預測IC!CE16&gt;預測IC!CE$25,1,0)</f>
        <v>1</v>
      </c>
      <c r="CF16" s="7">
        <f>IF(預測IC!CF16&gt;預測IC!CF$25,1,0)</f>
        <v>0</v>
      </c>
      <c r="CG16" s="7">
        <f>IF(預測IC!CG16&gt;預測IC!CG$25,1,0)</f>
        <v>1</v>
      </c>
      <c r="CH16" s="7">
        <f>IF(預測IC!CH16&gt;預測IC!CH$25,1,0)</f>
        <v>0</v>
      </c>
      <c r="CI16" s="7">
        <f>IF(預測IC!CI16&gt;預測IC!CI$25,1,0)</f>
        <v>0</v>
      </c>
      <c r="CJ16" s="7">
        <f>IF(預測IC!CJ16&gt;預測IC!CJ$25,1,0)</f>
        <v>0</v>
      </c>
      <c r="CK16" s="7">
        <f>IF(預測IC!CK16&gt;預測IC!CK$25,1,0)</f>
        <v>1</v>
      </c>
      <c r="CL16" s="7">
        <f>IF(預測IC!CL16&gt;預測IC!CL$25,1,0)</f>
        <v>0</v>
      </c>
      <c r="CM16" s="7">
        <f>IF(預測IC!CM16&gt;預測IC!CM$25,1,0)</f>
        <v>1</v>
      </c>
      <c r="CN16" s="7">
        <f>IF(預測IC!CN16&gt;預測IC!CN$25,1,0)</f>
        <v>0</v>
      </c>
      <c r="CO16" s="7">
        <f>IF(預測IC!CO16&gt;預測IC!CO$25,1,0)</f>
        <v>0</v>
      </c>
      <c r="CP16" s="7">
        <f>IF(預測IC!CP16&gt;預測IC!CP$25,1,0)</f>
        <v>1</v>
      </c>
      <c r="CQ16" s="7">
        <f>IF(預測IC!CQ16&gt;預測IC!CQ$25,1,0)</f>
        <v>1</v>
      </c>
      <c r="CR16" s="7">
        <f>IF(預測IC!CR16&gt;預測IC!CR$25,1,0)</f>
        <v>1</v>
      </c>
      <c r="CS16" s="7">
        <f>IF(預測IC!CS16&gt;預測IC!CS$25,1,0)</f>
        <v>0</v>
      </c>
      <c r="CT16" s="7">
        <f>IF(預測IC!CT16&gt;預測IC!CT$25,1,0)</f>
        <v>0</v>
      </c>
      <c r="CU16" s="7">
        <f>IF(預測IC!CU16&gt;預測IC!CU$25,1,0)</f>
        <v>0</v>
      </c>
      <c r="CV16" s="7">
        <f>IF(預測IC!CV16&gt;預測IC!CV$25,1,0)</f>
        <v>0</v>
      </c>
      <c r="CW16" s="7">
        <f>IF(預測IC!CW16&gt;預測IC!CW$25,1,0)</f>
        <v>0</v>
      </c>
      <c r="CX16" s="7">
        <f>IF(預測IC!CX16&gt;預測IC!CX$25,1,0)</f>
        <v>1</v>
      </c>
      <c r="CY16" s="7">
        <f>IF(預測IC!CY16&gt;預測IC!CY$25,1,0)</f>
        <v>0</v>
      </c>
      <c r="CZ16" s="7">
        <f>IF(預測IC!CZ16&gt;預測IC!CZ$25,1,0)</f>
        <v>1</v>
      </c>
      <c r="DA16" s="7">
        <f>IF(預測IC!DA16&gt;預測IC!DA$25,1,0)</f>
        <v>0</v>
      </c>
      <c r="DB16" s="7">
        <f>IF(預測IC!DB16&gt;預測IC!DB$25,1,0)</f>
        <v>1</v>
      </c>
      <c r="DC16" s="7">
        <f>IF(預測IC!DC16&gt;預測IC!DC$25,1,0)</f>
        <v>1</v>
      </c>
      <c r="DD16" s="7">
        <f>IF(預測IC!DD16&gt;預測IC!DD$25,1,0)</f>
        <v>0</v>
      </c>
      <c r="DE16" s="7">
        <f>IF(預測IC!DE16&gt;預測IC!DE$25,1,0)</f>
        <v>0</v>
      </c>
      <c r="DF16" s="7">
        <f>IF(預測IC!DF16&gt;預測IC!DF$25,1,0)</f>
        <v>1</v>
      </c>
      <c r="DG16" s="7">
        <f>IF(預測IC!DG16&gt;預測IC!DG$25,1,0)</f>
        <v>0</v>
      </c>
      <c r="DH16" s="7">
        <f>IF(預測IC!DH16&gt;預測IC!DH$25,1,0)</f>
        <v>0</v>
      </c>
      <c r="DI16" s="7">
        <f>IF(預測IC!DI16&gt;預測IC!DI$25,1,0)</f>
        <v>0</v>
      </c>
      <c r="DJ16" s="7">
        <f>IF(預測IC!DJ16&gt;預測IC!DJ$25,1,0)</f>
        <v>1</v>
      </c>
      <c r="DK16" s="7">
        <f>IF(預測IC!DK16&gt;預測IC!DK$25,1,0)</f>
        <v>1</v>
      </c>
      <c r="DL16" s="7">
        <f>IF(預測IC!DL16&gt;預測IC!DL$25,1,0)</f>
        <v>1</v>
      </c>
      <c r="DM16" s="7">
        <f>IF(預測IC!DM16&gt;預測IC!DM$25,1,0)</f>
        <v>0</v>
      </c>
      <c r="DN16" s="7">
        <f>IF(預測IC!DN16&gt;預測IC!DN$25,1,0)</f>
        <v>1</v>
      </c>
      <c r="DO16" s="7">
        <f>IF(預測IC!DO16&gt;預測IC!DO$25,1,0)</f>
        <v>1</v>
      </c>
      <c r="DP16" s="7">
        <f>IF(預測IC!DP16&gt;預測IC!DP$25,1,0)</f>
        <v>1</v>
      </c>
      <c r="DQ16" s="7">
        <f>IF(預測IC!DQ16&gt;預測IC!DQ$25,1,0)</f>
        <v>0</v>
      </c>
      <c r="DR16" s="7">
        <f>IF(預測IC!DR16&gt;預測IC!DR$25,1,0)</f>
        <v>1</v>
      </c>
      <c r="DS16" s="7">
        <f>IF(預測IC!DS16&gt;預測IC!DS$25,1,0)</f>
        <v>0</v>
      </c>
      <c r="DT16" s="7">
        <f>IF(預測IC!DT16&gt;預測IC!DT$25,1,0)</f>
        <v>0</v>
      </c>
      <c r="DU16" s="7">
        <f>IF(預測IC!DU16&gt;預測IC!DU$25,1,0)</f>
        <v>0</v>
      </c>
      <c r="DV16" s="7">
        <f>IF(預測IC!DV16&gt;預測IC!DV$25,1,0)</f>
        <v>1</v>
      </c>
      <c r="DW16" s="7">
        <f>IF(預測IC!DW16&gt;預測IC!DW$25,1,0)</f>
        <v>1</v>
      </c>
      <c r="DX16" s="7">
        <f>IF(預測IC!DX16&gt;預測IC!DX$25,1,0)</f>
        <v>0</v>
      </c>
      <c r="DY16" s="7">
        <f>IF(預測IC!DY16&gt;預測IC!DY$25,1,0)</f>
        <v>1</v>
      </c>
      <c r="DZ16" s="7">
        <f>IF(預測IC!DZ16&gt;預測IC!DZ$25,1,0)</f>
        <v>1</v>
      </c>
      <c r="EA16" s="7">
        <f>IF(預測IC!EA16&gt;預測IC!EA$25,1,0)</f>
        <v>1</v>
      </c>
      <c r="EB16" s="7">
        <f>IF(預測IC!EB16&gt;預測IC!EB$25,1,0)</f>
        <v>1</v>
      </c>
      <c r="EC16" s="7">
        <f>IF(預測IC!EC16&gt;預測IC!EC$25,1,0)</f>
        <v>0</v>
      </c>
      <c r="ED16" s="7">
        <f>IF(預測IC!ED16&gt;預測IC!ED$25,1,0)</f>
        <v>0</v>
      </c>
      <c r="EE16" s="7">
        <f>IF(預測IC!EE16&gt;預測IC!EE$25,1,0)</f>
        <v>0</v>
      </c>
      <c r="EF16" s="7">
        <f>IF(預測IC!EF16&gt;預測IC!EF$25,1,0)</f>
        <v>1</v>
      </c>
      <c r="EG16">
        <f t="shared" si="6"/>
        <v>79</v>
      </c>
      <c r="EH16" s="14">
        <f t="shared" si="7"/>
        <v>0.58208955223880599</v>
      </c>
    </row>
    <row r="17" spans="1:138" x14ac:dyDescent="0.3">
      <c r="A17" s="1">
        <v>120</v>
      </c>
      <c r="B17" s="1">
        <v>8</v>
      </c>
      <c r="C17" s="7">
        <f>IF(預測IC!C17&gt;預測IC!C$25,1,0)</f>
        <v>1</v>
      </c>
      <c r="D17" s="7">
        <f>IF(預測IC!D17&gt;預測IC!D$25,1,0)</f>
        <v>1</v>
      </c>
      <c r="E17" s="7">
        <f>IF(預測IC!E17&gt;預測IC!E$25,1,0)</f>
        <v>1</v>
      </c>
      <c r="F17" s="7">
        <f>IF(預測IC!F17&gt;預測IC!F$25,1,0)</f>
        <v>1</v>
      </c>
      <c r="G17" s="7">
        <f>IF(預測IC!G17&gt;預測IC!G$25,1,0)</f>
        <v>1</v>
      </c>
      <c r="H17" s="7">
        <f>IF(預測IC!H17&gt;預測IC!H$25,1,0)</f>
        <v>1</v>
      </c>
      <c r="I17" s="7">
        <f>IF(預測IC!I17&gt;預測IC!I$25,1,0)</f>
        <v>1</v>
      </c>
      <c r="J17" s="7">
        <f>IF(預測IC!J17&gt;預測IC!J$25,1,0)</f>
        <v>0</v>
      </c>
      <c r="K17" s="7">
        <f>IF(預測IC!K17&gt;預測IC!K$25,1,0)</f>
        <v>1</v>
      </c>
      <c r="L17" s="7">
        <f>IF(預測IC!L17&gt;預測IC!L$25,1,0)</f>
        <v>1</v>
      </c>
      <c r="M17" s="7">
        <f>IF(預測IC!M17&gt;預測IC!M$25,1,0)</f>
        <v>1</v>
      </c>
      <c r="N17" s="7">
        <f>IF(預測IC!N17&gt;預測IC!N$25,1,0)</f>
        <v>1</v>
      </c>
      <c r="O17" s="7">
        <f>IF(預測IC!O17&gt;預測IC!O$25,1,0)</f>
        <v>1</v>
      </c>
      <c r="P17" s="7">
        <f>IF(預測IC!P17&gt;預測IC!P$25,1,0)</f>
        <v>1</v>
      </c>
      <c r="Q17" s="7">
        <f>IF(預測IC!Q17&gt;預測IC!Q$25,1,0)</f>
        <v>1</v>
      </c>
      <c r="R17" s="7">
        <f>IF(預測IC!R17&gt;預測IC!R$25,1,0)</f>
        <v>0</v>
      </c>
      <c r="S17" s="7">
        <f>IF(預測IC!S17&gt;預測IC!S$25,1,0)</f>
        <v>0</v>
      </c>
      <c r="T17" s="7">
        <f>IF(預測IC!T17&gt;預測IC!T$25,1,0)</f>
        <v>0</v>
      </c>
      <c r="U17" s="7">
        <f>IF(預測IC!U17&gt;預測IC!U$25,1,0)</f>
        <v>1</v>
      </c>
      <c r="V17" s="7">
        <f>IF(預測IC!V17&gt;預測IC!V$25,1,0)</f>
        <v>0</v>
      </c>
      <c r="W17" s="7">
        <f>IF(預測IC!W17&gt;預測IC!W$25,1,0)</f>
        <v>1</v>
      </c>
      <c r="X17" s="7">
        <f>IF(預測IC!X17&gt;預測IC!X$25,1,0)</f>
        <v>1</v>
      </c>
      <c r="Y17" s="7">
        <f>IF(預測IC!Y17&gt;預測IC!Y$25,1,0)</f>
        <v>1</v>
      </c>
      <c r="Z17" s="7">
        <f>IF(預測IC!Z17&gt;預測IC!Z$25,1,0)</f>
        <v>0</v>
      </c>
      <c r="AA17" s="7">
        <f>IF(預測IC!AA17&gt;預測IC!AA$25,1,0)</f>
        <v>1</v>
      </c>
      <c r="AB17" s="7">
        <f>IF(預測IC!AB17&gt;預測IC!AB$25,1,0)</f>
        <v>0</v>
      </c>
      <c r="AC17" s="7">
        <f>IF(預測IC!AC17&gt;預測IC!AC$25,1,0)</f>
        <v>0</v>
      </c>
      <c r="AD17" s="7">
        <f>IF(預測IC!AD17&gt;預測IC!AD$25,1,0)</f>
        <v>1</v>
      </c>
      <c r="AE17" s="7">
        <f>IF(預測IC!AE17&gt;預測IC!AE$25,1,0)</f>
        <v>1</v>
      </c>
      <c r="AF17" s="7">
        <f>IF(預測IC!AF17&gt;預測IC!AF$25,1,0)</f>
        <v>1</v>
      </c>
      <c r="AG17" s="7">
        <f>IF(預測IC!AG17&gt;預測IC!AG$25,1,0)</f>
        <v>0</v>
      </c>
      <c r="AH17" s="7">
        <f>IF(預測IC!AH17&gt;預測IC!AH$25,1,0)</f>
        <v>0</v>
      </c>
      <c r="AI17" s="7">
        <f>IF(預測IC!AI17&gt;預測IC!AI$25,1,0)</f>
        <v>1</v>
      </c>
      <c r="AJ17" s="7">
        <f>IF(預測IC!AJ17&gt;預測IC!AJ$25,1,0)</f>
        <v>0</v>
      </c>
      <c r="AK17" s="7">
        <f>IF(預測IC!AK17&gt;預測IC!AK$25,1,0)</f>
        <v>1</v>
      </c>
      <c r="AL17" s="7">
        <f>IF(預測IC!AL17&gt;預測IC!AL$25,1,0)</f>
        <v>1</v>
      </c>
      <c r="AM17" s="7">
        <f>IF(預測IC!AM17&gt;預測IC!AM$25,1,0)</f>
        <v>1</v>
      </c>
      <c r="AN17" s="7">
        <f>IF(預測IC!AN17&gt;預測IC!AN$25,1,0)</f>
        <v>1</v>
      </c>
      <c r="AO17" s="7">
        <f>IF(預測IC!AO17&gt;預測IC!AO$25,1,0)</f>
        <v>1</v>
      </c>
      <c r="AP17" s="7">
        <f>IF(預測IC!AP17&gt;預測IC!AP$25,1,0)</f>
        <v>0</v>
      </c>
      <c r="AQ17" s="7">
        <f>IF(預測IC!AQ17&gt;預測IC!AQ$25,1,0)</f>
        <v>0</v>
      </c>
      <c r="AR17" s="7">
        <f>IF(預測IC!AR17&gt;預測IC!AR$25,1,0)</f>
        <v>1</v>
      </c>
      <c r="AS17" s="7">
        <f>IF(預測IC!AS17&gt;預測IC!AS$25,1,0)</f>
        <v>1</v>
      </c>
      <c r="AT17" s="7">
        <f>IF(預測IC!AT17&gt;預測IC!AT$25,1,0)</f>
        <v>1</v>
      </c>
      <c r="AU17" s="7">
        <f>IF(預測IC!AU17&gt;預測IC!AU$25,1,0)</f>
        <v>1</v>
      </c>
      <c r="AV17" s="7">
        <f>IF(預測IC!AV17&gt;預測IC!AV$25,1,0)</f>
        <v>0</v>
      </c>
      <c r="AW17" s="7">
        <f>IF(預測IC!AW17&gt;預測IC!AW$25,1,0)</f>
        <v>1</v>
      </c>
      <c r="AX17" s="7">
        <f>IF(預測IC!AX17&gt;預測IC!AX$25,1,0)</f>
        <v>1</v>
      </c>
      <c r="AY17" s="7">
        <f>IF(預測IC!AY17&gt;預測IC!AY$25,1,0)</f>
        <v>0</v>
      </c>
      <c r="AZ17" s="7">
        <f>IF(預測IC!AZ17&gt;預測IC!AZ$25,1,0)</f>
        <v>0</v>
      </c>
      <c r="BA17" s="7">
        <f>IF(預測IC!BA17&gt;預測IC!BA$25,1,0)</f>
        <v>1</v>
      </c>
      <c r="BB17" s="7">
        <f>IF(預測IC!BB17&gt;預測IC!BB$25,1,0)</f>
        <v>1</v>
      </c>
      <c r="BC17" s="7">
        <f>IF(預測IC!BC17&gt;預測IC!BC$25,1,0)</f>
        <v>1</v>
      </c>
      <c r="BD17" s="7">
        <f>IF(預測IC!BD17&gt;預測IC!BD$25,1,0)</f>
        <v>1</v>
      </c>
      <c r="BE17" s="7">
        <f>IF(預測IC!BE17&gt;預測IC!BE$25,1,0)</f>
        <v>1</v>
      </c>
      <c r="BF17" s="7">
        <f>IF(預測IC!BF17&gt;預測IC!BF$25,1,0)</f>
        <v>1</v>
      </c>
      <c r="BG17" s="7">
        <f>IF(預測IC!BG17&gt;預測IC!BG$25,1,0)</f>
        <v>0</v>
      </c>
      <c r="BH17" s="7">
        <f>IF(預測IC!BH17&gt;預測IC!BH$25,1,0)</f>
        <v>1</v>
      </c>
      <c r="BI17" s="7">
        <f>IF(預測IC!BI17&gt;預測IC!BI$25,1,0)</f>
        <v>1</v>
      </c>
      <c r="BJ17" s="7">
        <f>IF(預測IC!BJ17&gt;預測IC!BJ$25,1,0)</f>
        <v>1</v>
      </c>
      <c r="BK17" s="7">
        <f>IF(預測IC!BK17&gt;預測IC!BK$25,1,0)</f>
        <v>0</v>
      </c>
      <c r="BL17" s="7">
        <f>IF(預測IC!BL17&gt;預測IC!BL$25,1,0)</f>
        <v>1</v>
      </c>
      <c r="BM17" s="7">
        <f>IF(預測IC!BM17&gt;預測IC!BM$25,1,0)</f>
        <v>0</v>
      </c>
      <c r="BN17" s="7">
        <f>IF(預測IC!BN17&gt;預測IC!BN$25,1,0)</f>
        <v>1</v>
      </c>
      <c r="BO17" s="7">
        <f>IF(預測IC!BO17&gt;預測IC!BO$25,1,0)</f>
        <v>1</v>
      </c>
      <c r="BP17" s="7">
        <f>IF(預測IC!BP17&gt;預測IC!BP$25,1,0)</f>
        <v>1</v>
      </c>
      <c r="BQ17" s="7">
        <f>IF(預測IC!BQ17&gt;預測IC!BQ$25,1,0)</f>
        <v>1</v>
      </c>
      <c r="BR17" s="7">
        <f>IF(預測IC!BR17&gt;預測IC!BR$25,1,0)</f>
        <v>1</v>
      </c>
      <c r="BS17" s="7">
        <f>IF(預測IC!BS17&gt;預測IC!BS$25,1,0)</f>
        <v>0</v>
      </c>
      <c r="BT17" s="7">
        <f>IF(預測IC!BT17&gt;預測IC!BT$25,1,0)</f>
        <v>1</v>
      </c>
      <c r="BU17" s="7">
        <f>IF(預測IC!BU17&gt;預測IC!BU$25,1,0)</f>
        <v>1</v>
      </c>
      <c r="BV17" s="7">
        <f>IF(預測IC!BV17&gt;預測IC!BV$25,1,0)</f>
        <v>1</v>
      </c>
      <c r="BW17" s="7">
        <f>IF(預測IC!BW17&gt;預測IC!BW$25,1,0)</f>
        <v>0</v>
      </c>
      <c r="BX17" s="7">
        <f>IF(預測IC!BX17&gt;預測IC!BX$25,1,0)</f>
        <v>1</v>
      </c>
      <c r="BY17" s="7">
        <f>IF(預測IC!BY17&gt;預測IC!BY$25,1,0)</f>
        <v>1</v>
      </c>
      <c r="BZ17" s="7">
        <f>IF(預測IC!BZ17&gt;預測IC!BZ$25,1,0)</f>
        <v>0</v>
      </c>
      <c r="CA17" s="7">
        <f>IF(預測IC!CA17&gt;預測IC!CA$25,1,0)</f>
        <v>0</v>
      </c>
      <c r="CB17" s="7">
        <f>IF(預測IC!CB17&gt;預測IC!CB$25,1,0)</f>
        <v>0</v>
      </c>
      <c r="CC17" s="7">
        <f>IF(預測IC!CC17&gt;預測IC!CC$25,1,0)</f>
        <v>0</v>
      </c>
      <c r="CD17" s="7">
        <f>IF(預測IC!CD17&gt;預測IC!CD$25,1,0)</f>
        <v>1</v>
      </c>
      <c r="CE17" s="7">
        <f>IF(預測IC!CE17&gt;預測IC!CE$25,1,0)</f>
        <v>1</v>
      </c>
      <c r="CF17" s="7">
        <f>IF(預測IC!CF17&gt;預測IC!CF$25,1,0)</f>
        <v>0</v>
      </c>
      <c r="CG17" s="7">
        <f>IF(預測IC!CG17&gt;預測IC!CG$25,1,0)</f>
        <v>1</v>
      </c>
      <c r="CH17" s="7">
        <f>IF(預測IC!CH17&gt;預測IC!CH$25,1,0)</f>
        <v>0</v>
      </c>
      <c r="CI17" s="7">
        <f>IF(預測IC!CI17&gt;預測IC!CI$25,1,0)</f>
        <v>0</v>
      </c>
      <c r="CJ17" s="7">
        <f>IF(預測IC!CJ17&gt;預測IC!CJ$25,1,0)</f>
        <v>0</v>
      </c>
      <c r="CK17" s="7">
        <f>IF(預測IC!CK17&gt;預測IC!CK$25,1,0)</f>
        <v>1</v>
      </c>
      <c r="CL17" s="7">
        <f>IF(預測IC!CL17&gt;預測IC!CL$25,1,0)</f>
        <v>0</v>
      </c>
      <c r="CM17" s="7">
        <f>IF(預測IC!CM17&gt;預測IC!CM$25,1,0)</f>
        <v>1</v>
      </c>
      <c r="CN17" s="7">
        <f>IF(預測IC!CN17&gt;預測IC!CN$25,1,0)</f>
        <v>0</v>
      </c>
      <c r="CO17" s="7">
        <f>IF(預測IC!CO17&gt;預測IC!CO$25,1,0)</f>
        <v>0</v>
      </c>
      <c r="CP17" s="7">
        <f>IF(預測IC!CP17&gt;預測IC!CP$25,1,0)</f>
        <v>1</v>
      </c>
      <c r="CQ17" s="7">
        <f>IF(預測IC!CQ17&gt;預測IC!CQ$25,1,0)</f>
        <v>0</v>
      </c>
      <c r="CR17" s="7">
        <f>IF(預測IC!CR17&gt;預測IC!CR$25,1,0)</f>
        <v>1</v>
      </c>
      <c r="CS17" s="7">
        <f>IF(預測IC!CS17&gt;預測IC!CS$25,1,0)</f>
        <v>0</v>
      </c>
      <c r="CT17" s="7">
        <f>IF(預測IC!CT17&gt;預測IC!CT$25,1,0)</f>
        <v>1</v>
      </c>
      <c r="CU17" s="7">
        <f>IF(預測IC!CU17&gt;預測IC!CU$25,1,0)</f>
        <v>0</v>
      </c>
      <c r="CV17" s="7">
        <f>IF(預測IC!CV17&gt;預測IC!CV$25,1,0)</f>
        <v>1</v>
      </c>
      <c r="CW17" s="7">
        <f>IF(預測IC!CW17&gt;預測IC!CW$25,1,0)</f>
        <v>0</v>
      </c>
      <c r="CX17" s="7">
        <f>IF(預測IC!CX17&gt;預測IC!CX$25,1,0)</f>
        <v>1</v>
      </c>
      <c r="CY17" s="7">
        <f>IF(預測IC!CY17&gt;預測IC!CY$25,1,0)</f>
        <v>0</v>
      </c>
      <c r="CZ17" s="7">
        <f>IF(預測IC!CZ17&gt;預測IC!CZ$25,1,0)</f>
        <v>1</v>
      </c>
      <c r="DA17" s="7">
        <f>IF(預測IC!DA17&gt;預測IC!DA$25,1,0)</f>
        <v>0</v>
      </c>
      <c r="DB17" s="7">
        <f>IF(預測IC!DB17&gt;預測IC!DB$25,1,0)</f>
        <v>1</v>
      </c>
      <c r="DC17" s="7">
        <f>IF(預測IC!DC17&gt;預測IC!DC$25,1,0)</f>
        <v>1</v>
      </c>
      <c r="DD17" s="7">
        <f>IF(預測IC!DD17&gt;預測IC!DD$25,1,0)</f>
        <v>0</v>
      </c>
      <c r="DE17" s="7">
        <f>IF(預測IC!DE17&gt;預測IC!DE$25,1,0)</f>
        <v>0</v>
      </c>
      <c r="DF17" s="7">
        <f>IF(預測IC!DF17&gt;預測IC!DF$25,1,0)</f>
        <v>1</v>
      </c>
      <c r="DG17" s="7">
        <f>IF(預測IC!DG17&gt;預測IC!DG$25,1,0)</f>
        <v>0</v>
      </c>
      <c r="DH17" s="7">
        <f>IF(預測IC!DH17&gt;預測IC!DH$25,1,0)</f>
        <v>0</v>
      </c>
      <c r="DI17" s="7">
        <f>IF(預測IC!DI17&gt;預測IC!DI$25,1,0)</f>
        <v>0</v>
      </c>
      <c r="DJ17" s="7">
        <f>IF(預測IC!DJ17&gt;預測IC!DJ$25,1,0)</f>
        <v>1</v>
      </c>
      <c r="DK17" s="7">
        <f>IF(預測IC!DK17&gt;預測IC!DK$25,1,0)</f>
        <v>1</v>
      </c>
      <c r="DL17" s="7">
        <f>IF(預測IC!DL17&gt;預測IC!DL$25,1,0)</f>
        <v>1</v>
      </c>
      <c r="DM17" s="7">
        <f>IF(預測IC!DM17&gt;預測IC!DM$25,1,0)</f>
        <v>0</v>
      </c>
      <c r="DN17" s="7">
        <f>IF(預測IC!DN17&gt;預測IC!DN$25,1,0)</f>
        <v>1</v>
      </c>
      <c r="DO17" s="7">
        <f>IF(預測IC!DO17&gt;預測IC!DO$25,1,0)</f>
        <v>1</v>
      </c>
      <c r="DP17" s="7">
        <f>IF(預測IC!DP17&gt;預測IC!DP$25,1,0)</f>
        <v>1</v>
      </c>
      <c r="DQ17" s="7">
        <f>IF(預測IC!DQ17&gt;預測IC!DQ$25,1,0)</f>
        <v>0</v>
      </c>
      <c r="DR17" s="7">
        <f>IF(預測IC!DR17&gt;預測IC!DR$25,1,0)</f>
        <v>1</v>
      </c>
      <c r="DS17" s="7">
        <f>IF(預測IC!DS17&gt;預測IC!DS$25,1,0)</f>
        <v>0</v>
      </c>
      <c r="DT17" s="7">
        <f>IF(預測IC!DT17&gt;預測IC!DT$25,1,0)</f>
        <v>0</v>
      </c>
      <c r="DU17" s="7">
        <f>IF(預測IC!DU17&gt;預測IC!DU$25,1,0)</f>
        <v>0</v>
      </c>
      <c r="DV17" s="7">
        <f>IF(預測IC!DV17&gt;預測IC!DV$25,1,0)</f>
        <v>1</v>
      </c>
      <c r="DW17" s="7">
        <f>IF(預測IC!DW17&gt;預測IC!DW$25,1,0)</f>
        <v>1</v>
      </c>
      <c r="DX17" s="7">
        <f>IF(預測IC!DX17&gt;預測IC!DX$25,1,0)</f>
        <v>0</v>
      </c>
      <c r="DY17" s="7">
        <f>IF(預測IC!DY17&gt;預測IC!DY$25,1,0)</f>
        <v>1</v>
      </c>
      <c r="DZ17" s="7">
        <f>IF(預測IC!DZ17&gt;預測IC!DZ$25,1,0)</f>
        <v>1</v>
      </c>
      <c r="EA17" s="7">
        <f>IF(預測IC!EA17&gt;預測IC!EA$25,1,0)</f>
        <v>1</v>
      </c>
      <c r="EB17" s="7">
        <f>IF(預測IC!EB17&gt;預測IC!EB$25,1,0)</f>
        <v>1</v>
      </c>
      <c r="EC17" s="7">
        <f>IF(預測IC!EC17&gt;預測IC!EC$25,1,0)</f>
        <v>1</v>
      </c>
      <c r="ED17" s="7">
        <f>IF(預測IC!ED17&gt;預測IC!ED$25,1,0)</f>
        <v>0</v>
      </c>
      <c r="EE17" s="7">
        <f>IF(預測IC!EE17&gt;預測IC!EE$25,1,0)</f>
        <v>0</v>
      </c>
      <c r="EF17" s="7">
        <f>IF(預測IC!EF17&gt;預測IC!EF$25,1,0)</f>
        <v>1</v>
      </c>
      <c r="EG17">
        <f t="shared" si="6"/>
        <v>83</v>
      </c>
      <c r="EH17" s="14">
        <f t="shared" si="7"/>
        <v>0.61194029850746268</v>
      </c>
    </row>
    <row r="18" spans="1:138" x14ac:dyDescent="0.3">
      <c r="A18" s="1">
        <v>137</v>
      </c>
      <c r="B18" s="1">
        <v>7</v>
      </c>
      <c r="C18" s="7">
        <f>IF(預測IC!C18&gt;預測IC!C$25,1,0)</f>
        <v>1</v>
      </c>
      <c r="D18" s="7">
        <f>IF(預測IC!D18&gt;預測IC!D$25,1,0)</f>
        <v>1</v>
      </c>
      <c r="E18" s="7">
        <f>IF(預測IC!E18&gt;預測IC!E$25,1,0)</f>
        <v>1</v>
      </c>
      <c r="F18" s="7">
        <f>IF(預測IC!F18&gt;預測IC!F$25,1,0)</f>
        <v>1</v>
      </c>
      <c r="G18" s="7">
        <f>IF(預測IC!G18&gt;預測IC!G$25,1,0)</f>
        <v>1</v>
      </c>
      <c r="H18" s="7">
        <f>IF(預測IC!H18&gt;預測IC!H$25,1,0)</f>
        <v>1</v>
      </c>
      <c r="I18" s="7">
        <f>IF(預測IC!I18&gt;預測IC!I$25,1,0)</f>
        <v>1</v>
      </c>
      <c r="J18" s="7">
        <f>IF(預測IC!J18&gt;預測IC!J$25,1,0)</f>
        <v>0</v>
      </c>
      <c r="K18" s="7">
        <f>IF(預測IC!K18&gt;預測IC!K$25,1,0)</f>
        <v>1</v>
      </c>
      <c r="L18" s="7">
        <f>IF(預測IC!L18&gt;預測IC!L$25,1,0)</f>
        <v>1</v>
      </c>
      <c r="M18" s="7">
        <f>IF(預測IC!M18&gt;預測IC!M$25,1,0)</f>
        <v>1</v>
      </c>
      <c r="N18" s="7">
        <f>IF(預測IC!N18&gt;預測IC!N$25,1,0)</f>
        <v>1</v>
      </c>
      <c r="O18" s="7">
        <f>IF(預測IC!O18&gt;預測IC!O$25,1,0)</f>
        <v>1</v>
      </c>
      <c r="P18" s="7">
        <f>IF(預測IC!P18&gt;預測IC!P$25,1,0)</f>
        <v>1</v>
      </c>
      <c r="Q18" s="7">
        <f>IF(預測IC!Q18&gt;預測IC!Q$25,1,0)</f>
        <v>1</v>
      </c>
      <c r="R18" s="7">
        <f>IF(預測IC!R18&gt;預測IC!R$25,1,0)</f>
        <v>0</v>
      </c>
      <c r="S18" s="7">
        <f>IF(預測IC!S18&gt;預測IC!S$25,1,0)</f>
        <v>0</v>
      </c>
      <c r="T18" s="7">
        <f>IF(預測IC!T18&gt;預測IC!T$25,1,0)</f>
        <v>0</v>
      </c>
      <c r="U18" s="7">
        <f>IF(預測IC!U18&gt;預測IC!U$25,1,0)</f>
        <v>1</v>
      </c>
      <c r="V18" s="7">
        <f>IF(預測IC!V18&gt;預測IC!V$25,1,0)</f>
        <v>0</v>
      </c>
      <c r="W18" s="7">
        <f>IF(預測IC!W18&gt;預測IC!W$25,1,0)</f>
        <v>1</v>
      </c>
      <c r="X18" s="7">
        <f>IF(預測IC!X18&gt;預測IC!X$25,1,0)</f>
        <v>1</v>
      </c>
      <c r="Y18" s="7">
        <f>IF(預測IC!Y18&gt;預測IC!Y$25,1,0)</f>
        <v>1</v>
      </c>
      <c r="Z18" s="7">
        <f>IF(預測IC!Z18&gt;預測IC!Z$25,1,0)</f>
        <v>0</v>
      </c>
      <c r="AA18" s="7">
        <f>IF(預測IC!AA18&gt;預測IC!AA$25,1,0)</f>
        <v>1</v>
      </c>
      <c r="AB18" s="7">
        <f>IF(預測IC!AB18&gt;預測IC!AB$25,1,0)</f>
        <v>0</v>
      </c>
      <c r="AC18" s="7">
        <f>IF(預測IC!AC18&gt;預測IC!AC$25,1,0)</f>
        <v>0</v>
      </c>
      <c r="AD18" s="7">
        <f>IF(預測IC!AD18&gt;預測IC!AD$25,1,0)</f>
        <v>1</v>
      </c>
      <c r="AE18" s="7">
        <f>IF(預測IC!AE18&gt;預測IC!AE$25,1,0)</f>
        <v>1</v>
      </c>
      <c r="AF18" s="7">
        <f>IF(預測IC!AF18&gt;預測IC!AF$25,1,0)</f>
        <v>1</v>
      </c>
      <c r="AG18" s="7">
        <f>IF(預測IC!AG18&gt;預測IC!AG$25,1,0)</f>
        <v>0</v>
      </c>
      <c r="AH18" s="7">
        <f>IF(預測IC!AH18&gt;預測IC!AH$25,1,0)</f>
        <v>0</v>
      </c>
      <c r="AI18" s="7">
        <f>IF(預測IC!AI18&gt;預測IC!AI$25,1,0)</f>
        <v>1</v>
      </c>
      <c r="AJ18" s="7">
        <f>IF(預測IC!AJ18&gt;預測IC!AJ$25,1,0)</f>
        <v>0</v>
      </c>
      <c r="AK18" s="7">
        <f>IF(預測IC!AK18&gt;預測IC!AK$25,1,0)</f>
        <v>1</v>
      </c>
      <c r="AL18" s="7">
        <f>IF(預測IC!AL18&gt;預測IC!AL$25,1,0)</f>
        <v>1</v>
      </c>
      <c r="AM18" s="7">
        <f>IF(預測IC!AM18&gt;預測IC!AM$25,1,0)</f>
        <v>1</v>
      </c>
      <c r="AN18" s="7">
        <f>IF(預測IC!AN18&gt;預測IC!AN$25,1,0)</f>
        <v>1</v>
      </c>
      <c r="AO18" s="7">
        <f>IF(預測IC!AO18&gt;預測IC!AO$25,1,0)</f>
        <v>0</v>
      </c>
      <c r="AP18" s="7">
        <f>IF(預測IC!AP18&gt;預測IC!AP$25,1,0)</f>
        <v>0</v>
      </c>
      <c r="AQ18" s="7">
        <f>IF(預測IC!AQ18&gt;預測IC!AQ$25,1,0)</f>
        <v>0</v>
      </c>
      <c r="AR18" s="7">
        <f>IF(預測IC!AR18&gt;預測IC!AR$25,1,0)</f>
        <v>1</v>
      </c>
      <c r="AS18" s="7">
        <f>IF(預測IC!AS18&gt;預測IC!AS$25,1,0)</f>
        <v>1</v>
      </c>
      <c r="AT18" s="7">
        <f>IF(預測IC!AT18&gt;預測IC!AT$25,1,0)</f>
        <v>1</v>
      </c>
      <c r="AU18" s="7">
        <f>IF(預測IC!AU18&gt;預測IC!AU$25,1,0)</f>
        <v>1</v>
      </c>
      <c r="AV18" s="7">
        <f>IF(預測IC!AV18&gt;預測IC!AV$25,1,0)</f>
        <v>0</v>
      </c>
      <c r="AW18" s="7">
        <f>IF(預測IC!AW18&gt;預測IC!AW$25,1,0)</f>
        <v>1</v>
      </c>
      <c r="AX18" s="7">
        <f>IF(預測IC!AX18&gt;預測IC!AX$25,1,0)</f>
        <v>1</v>
      </c>
      <c r="AY18" s="7">
        <f>IF(預測IC!AY18&gt;預測IC!AY$25,1,0)</f>
        <v>0</v>
      </c>
      <c r="AZ18" s="7">
        <f>IF(預測IC!AZ18&gt;預測IC!AZ$25,1,0)</f>
        <v>0</v>
      </c>
      <c r="BA18" s="7">
        <f>IF(預測IC!BA18&gt;預測IC!BA$25,1,0)</f>
        <v>1</v>
      </c>
      <c r="BB18" s="7">
        <f>IF(預測IC!BB18&gt;預測IC!BB$25,1,0)</f>
        <v>1</v>
      </c>
      <c r="BC18" s="7">
        <f>IF(預測IC!BC18&gt;預測IC!BC$25,1,0)</f>
        <v>1</v>
      </c>
      <c r="BD18" s="7">
        <f>IF(預測IC!BD18&gt;預測IC!BD$25,1,0)</f>
        <v>0</v>
      </c>
      <c r="BE18" s="7">
        <f>IF(預測IC!BE18&gt;預測IC!BE$25,1,0)</f>
        <v>1</v>
      </c>
      <c r="BF18" s="7">
        <f>IF(預測IC!BF18&gt;預測IC!BF$25,1,0)</f>
        <v>1</v>
      </c>
      <c r="BG18" s="7">
        <f>IF(預測IC!BG18&gt;預測IC!BG$25,1,0)</f>
        <v>0</v>
      </c>
      <c r="BH18" s="7">
        <f>IF(預測IC!BH18&gt;預測IC!BH$25,1,0)</f>
        <v>1</v>
      </c>
      <c r="BI18" s="7">
        <f>IF(預測IC!BI18&gt;預測IC!BI$25,1,0)</f>
        <v>1</v>
      </c>
      <c r="BJ18" s="7">
        <f>IF(預測IC!BJ18&gt;預測IC!BJ$25,1,0)</f>
        <v>1</v>
      </c>
      <c r="BK18" s="7">
        <f>IF(預測IC!BK18&gt;預測IC!BK$25,1,0)</f>
        <v>0</v>
      </c>
      <c r="BL18" s="7">
        <f>IF(預測IC!BL18&gt;預測IC!BL$25,1,0)</f>
        <v>1</v>
      </c>
      <c r="BM18" s="7">
        <f>IF(預測IC!BM18&gt;預測IC!BM$25,1,0)</f>
        <v>0</v>
      </c>
      <c r="BN18" s="7">
        <f>IF(預測IC!BN18&gt;預測IC!BN$25,1,0)</f>
        <v>1</v>
      </c>
      <c r="BO18" s="7">
        <f>IF(預測IC!BO18&gt;預測IC!BO$25,1,0)</f>
        <v>1</v>
      </c>
      <c r="BP18" s="7">
        <f>IF(預測IC!BP18&gt;預測IC!BP$25,1,0)</f>
        <v>1</v>
      </c>
      <c r="BQ18" s="7">
        <f>IF(預測IC!BQ18&gt;預測IC!BQ$25,1,0)</f>
        <v>0</v>
      </c>
      <c r="BR18" s="7">
        <f>IF(預測IC!BR18&gt;預測IC!BR$25,1,0)</f>
        <v>1</v>
      </c>
      <c r="BS18" s="7">
        <f>IF(預測IC!BS18&gt;預測IC!BS$25,1,0)</f>
        <v>0</v>
      </c>
      <c r="BT18" s="7">
        <f>IF(預測IC!BT18&gt;預測IC!BT$25,1,0)</f>
        <v>1</v>
      </c>
      <c r="BU18" s="7">
        <f>IF(預測IC!BU18&gt;預測IC!BU$25,1,0)</f>
        <v>1</v>
      </c>
      <c r="BV18" s="7">
        <f>IF(預測IC!BV18&gt;預測IC!BV$25,1,0)</f>
        <v>1</v>
      </c>
      <c r="BW18" s="7">
        <f>IF(預測IC!BW18&gt;預測IC!BW$25,1,0)</f>
        <v>0</v>
      </c>
      <c r="BX18" s="7">
        <f>IF(預測IC!BX18&gt;預測IC!BX$25,1,0)</f>
        <v>1</v>
      </c>
      <c r="BY18" s="7">
        <f>IF(預測IC!BY18&gt;預測IC!BY$25,1,0)</f>
        <v>1</v>
      </c>
      <c r="BZ18" s="7">
        <f>IF(預測IC!BZ18&gt;預測IC!BZ$25,1,0)</f>
        <v>1</v>
      </c>
      <c r="CA18" s="7">
        <f>IF(預測IC!CA18&gt;預測IC!CA$25,1,0)</f>
        <v>0</v>
      </c>
      <c r="CB18" s="7">
        <f>IF(預測IC!CB18&gt;預測IC!CB$25,1,0)</f>
        <v>0</v>
      </c>
      <c r="CC18" s="7">
        <f>IF(預測IC!CC18&gt;預測IC!CC$25,1,0)</f>
        <v>1</v>
      </c>
      <c r="CD18" s="7">
        <f>IF(預測IC!CD18&gt;預測IC!CD$25,1,0)</f>
        <v>1</v>
      </c>
      <c r="CE18" s="7">
        <f>IF(預測IC!CE18&gt;預測IC!CE$25,1,0)</f>
        <v>1</v>
      </c>
      <c r="CF18" s="7">
        <f>IF(預測IC!CF18&gt;預測IC!CF$25,1,0)</f>
        <v>0</v>
      </c>
      <c r="CG18" s="7">
        <f>IF(預測IC!CG18&gt;預測IC!CG$25,1,0)</f>
        <v>1</v>
      </c>
      <c r="CH18" s="7">
        <f>IF(預測IC!CH18&gt;預測IC!CH$25,1,0)</f>
        <v>1</v>
      </c>
      <c r="CI18" s="7">
        <f>IF(預測IC!CI18&gt;預測IC!CI$25,1,0)</f>
        <v>0</v>
      </c>
      <c r="CJ18" s="7">
        <f>IF(預測IC!CJ18&gt;預測IC!CJ$25,1,0)</f>
        <v>0</v>
      </c>
      <c r="CK18" s="7">
        <f>IF(預測IC!CK18&gt;預測IC!CK$25,1,0)</f>
        <v>1</v>
      </c>
      <c r="CL18" s="7">
        <f>IF(預測IC!CL18&gt;預測IC!CL$25,1,0)</f>
        <v>0</v>
      </c>
      <c r="CM18" s="7">
        <f>IF(預測IC!CM18&gt;預測IC!CM$25,1,0)</f>
        <v>1</v>
      </c>
      <c r="CN18" s="7">
        <f>IF(預測IC!CN18&gt;預測IC!CN$25,1,0)</f>
        <v>0</v>
      </c>
      <c r="CO18" s="7">
        <f>IF(預測IC!CO18&gt;預測IC!CO$25,1,0)</f>
        <v>0</v>
      </c>
      <c r="CP18" s="7">
        <f>IF(預測IC!CP18&gt;預測IC!CP$25,1,0)</f>
        <v>1</v>
      </c>
      <c r="CQ18" s="7">
        <f>IF(預測IC!CQ18&gt;預測IC!CQ$25,1,0)</f>
        <v>0</v>
      </c>
      <c r="CR18" s="7">
        <f>IF(預測IC!CR18&gt;預測IC!CR$25,1,0)</f>
        <v>1</v>
      </c>
      <c r="CS18" s="7">
        <f>IF(預測IC!CS18&gt;預測IC!CS$25,1,0)</f>
        <v>1</v>
      </c>
      <c r="CT18" s="7">
        <f>IF(預測IC!CT18&gt;預測IC!CT$25,1,0)</f>
        <v>1</v>
      </c>
      <c r="CU18" s="7">
        <f>IF(預測IC!CU18&gt;預測IC!CU$25,1,0)</f>
        <v>0</v>
      </c>
      <c r="CV18" s="7">
        <f>IF(預測IC!CV18&gt;預測IC!CV$25,1,0)</f>
        <v>1</v>
      </c>
      <c r="CW18" s="7">
        <f>IF(預測IC!CW18&gt;預測IC!CW$25,1,0)</f>
        <v>0</v>
      </c>
      <c r="CX18" s="7">
        <f>IF(預測IC!CX18&gt;預測IC!CX$25,1,0)</f>
        <v>1</v>
      </c>
      <c r="CY18" s="7">
        <f>IF(預測IC!CY18&gt;預測IC!CY$25,1,0)</f>
        <v>0</v>
      </c>
      <c r="CZ18" s="7">
        <f>IF(預測IC!CZ18&gt;預測IC!CZ$25,1,0)</f>
        <v>1</v>
      </c>
      <c r="DA18" s="7">
        <f>IF(預測IC!DA18&gt;預測IC!DA$25,1,0)</f>
        <v>0</v>
      </c>
      <c r="DB18" s="7">
        <f>IF(預測IC!DB18&gt;預測IC!DB$25,1,0)</f>
        <v>1</v>
      </c>
      <c r="DC18" s="7">
        <f>IF(預測IC!DC18&gt;預測IC!DC$25,1,0)</f>
        <v>1</v>
      </c>
      <c r="DD18" s="7">
        <f>IF(預測IC!DD18&gt;預測IC!DD$25,1,0)</f>
        <v>0</v>
      </c>
      <c r="DE18" s="7">
        <f>IF(預測IC!DE18&gt;預測IC!DE$25,1,0)</f>
        <v>0</v>
      </c>
      <c r="DF18" s="7">
        <f>IF(預測IC!DF18&gt;預測IC!DF$25,1,0)</f>
        <v>1</v>
      </c>
      <c r="DG18" s="7">
        <f>IF(預測IC!DG18&gt;預測IC!DG$25,1,0)</f>
        <v>0</v>
      </c>
      <c r="DH18" s="7">
        <f>IF(預測IC!DH18&gt;預測IC!DH$25,1,0)</f>
        <v>0</v>
      </c>
      <c r="DI18" s="7">
        <f>IF(預測IC!DI18&gt;預測IC!DI$25,1,0)</f>
        <v>0</v>
      </c>
      <c r="DJ18" s="7">
        <f>IF(預測IC!DJ18&gt;預測IC!DJ$25,1,0)</f>
        <v>1</v>
      </c>
      <c r="DK18" s="7">
        <f>IF(預測IC!DK18&gt;預測IC!DK$25,1,0)</f>
        <v>1</v>
      </c>
      <c r="DL18" s="7">
        <f>IF(預測IC!DL18&gt;預測IC!DL$25,1,0)</f>
        <v>1</v>
      </c>
      <c r="DM18" s="7">
        <f>IF(預測IC!DM18&gt;預測IC!DM$25,1,0)</f>
        <v>0</v>
      </c>
      <c r="DN18" s="7">
        <f>IF(預測IC!DN18&gt;預測IC!DN$25,1,0)</f>
        <v>1</v>
      </c>
      <c r="DO18" s="7">
        <f>IF(預測IC!DO18&gt;預測IC!DO$25,1,0)</f>
        <v>1</v>
      </c>
      <c r="DP18" s="7">
        <f>IF(預測IC!DP18&gt;預測IC!DP$25,1,0)</f>
        <v>1</v>
      </c>
      <c r="DQ18" s="7">
        <f>IF(預測IC!DQ18&gt;預測IC!DQ$25,1,0)</f>
        <v>0</v>
      </c>
      <c r="DR18" s="7">
        <f>IF(預測IC!DR18&gt;預測IC!DR$25,1,0)</f>
        <v>1</v>
      </c>
      <c r="DS18" s="7">
        <f>IF(預測IC!DS18&gt;預測IC!DS$25,1,0)</f>
        <v>0</v>
      </c>
      <c r="DT18" s="7">
        <f>IF(預測IC!DT18&gt;預測IC!DT$25,1,0)</f>
        <v>0</v>
      </c>
      <c r="DU18" s="7">
        <f>IF(預測IC!DU18&gt;預測IC!DU$25,1,0)</f>
        <v>0</v>
      </c>
      <c r="DV18" s="7">
        <f>IF(預測IC!DV18&gt;預測IC!DV$25,1,0)</f>
        <v>1</v>
      </c>
      <c r="DW18" s="7">
        <f>IF(預測IC!DW18&gt;預測IC!DW$25,1,0)</f>
        <v>1</v>
      </c>
      <c r="DX18" s="7">
        <f>IF(預測IC!DX18&gt;預測IC!DX$25,1,0)</f>
        <v>0</v>
      </c>
      <c r="DY18" s="7">
        <f>IF(預測IC!DY18&gt;預測IC!DY$25,1,0)</f>
        <v>1</v>
      </c>
      <c r="DZ18" s="7">
        <f>IF(預測IC!DZ18&gt;預測IC!DZ$25,1,0)</f>
        <v>1</v>
      </c>
      <c r="EA18" s="7">
        <f>IF(預測IC!EA18&gt;預測IC!EA$25,1,0)</f>
        <v>1</v>
      </c>
      <c r="EB18" s="7">
        <f>IF(預測IC!EB18&gt;預測IC!EB$25,1,0)</f>
        <v>1</v>
      </c>
      <c r="EC18" s="7">
        <f>IF(預測IC!EC18&gt;預測IC!EC$25,1,0)</f>
        <v>1</v>
      </c>
      <c r="ED18" s="7">
        <f>IF(預測IC!ED18&gt;預測IC!ED$25,1,0)</f>
        <v>0</v>
      </c>
      <c r="EE18" s="7">
        <f>IF(預測IC!EE18&gt;預測IC!EE$25,1,0)</f>
        <v>0</v>
      </c>
      <c r="EF18" s="7">
        <f>IF(預測IC!EF18&gt;預測IC!EF$25,1,0)</f>
        <v>1</v>
      </c>
      <c r="EG18">
        <f t="shared" si="6"/>
        <v>84</v>
      </c>
      <c r="EH18" s="14">
        <f t="shared" si="7"/>
        <v>0.61940298507462688</v>
      </c>
    </row>
    <row r="19" spans="1:138" x14ac:dyDescent="0.3">
      <c r="A19" s="1">
        <v>160</v>
      </c>
      <c r="B19" s="1">
        <v>6</v>
      </c>
      <c r="C19" s="7">
        <f>IF(預測IC!C19&gt;預測IC!C$25,1,0)</f>
        <v>1</v>
      </c>
      <c r="D19" s="7">
        <f>IF(預測IC!D19&gt;預測IC!D$25,1,0)</f>
        <v>1</v>
      </c>
      <c r="E19" s="7">
        <f>IF(預測IC!E19&gt;預測IC!E$25,1,0)</f>
        <v>1</v>
      </c>
      <c r="F19" s="7">
        <f>IF(預測IC!F19&gt;預測IC!F$25,1,0)</f>
        <v>1</v>
      </c>
      <c r="G19" s="7">
        <f>IF(預測IC!G19&gt;預測IC!G$25,1,0)</f>
        <v>1</v>
      </c>
      <c r="H19" s="7">
        <f>IF(預測IC!H19&gt;預測IC!H$25,1,0)</f>
        <v>1</v>
      </c>
      <c r="I19" s="7">
        <f>IF(預測IC!I19&gt;預測IC!I$25,1,0)</f>
        <v>1</v>
      </c>
      <c r="J19" s="7">
        <f>IF(預測IC!J19&gt;預測IC!J$25,1,0)</f>
        <v>0</v>
      </c>
      <c r="K19" s="7">
        <f>IF(預測IC!K19&gt;預測IC!K$25,1,0)</f>
        <v>1</v>
      </c>
      <c r="L19" s="7">
        <f>IF(預測IC!L19&gt;預測IC!L$25,1,0)</f>
        <v>1</v>
      </c>
      <c r="M19" s="7">
        <f>IF(預測IC!M19&gt;預測IC!M$25,1,0)</f>
        <v>1</v>
      </c>
      <c r="N19" s="7">
        <f>IF(預測IC!N19&gt;預測IC!N$25,1,0)</f>
        <v>1</v>
      </c>
      <c r="O19" s="7">
        <f>IF(預測IC!O19&gt;預測IC!O$25,1,0)</f>
        <v>0</v>
      </c>
      <c r="P19" s="7">
        <f>IF(預測IC!P19&gt;預測IC!P$25,1,0)</f>
        <v>0</v>
      </c>
      <c r="Q19" s="7">
        <f>IF(預測IC!Q19&gt;預測IC!Q$25,1,0)</f>
        <v>1</v>
      </c>
      <c r="R19" s="7">
        <f>IF(預測IC!R19&gt;預測IC!R$25,1,0)</f>
        <v>1</v>
      </c>
      <c r="S19" s="7">
        <f>IF(預測IC!S19&gt;預測IC!S$25,1,0)</f>
        <v>0</v>
      </c>
      <c r="T19" s="7">
        <f>IF(預測IC!T19&gt;預測IC!T$25,1,0)</f>
        <v>1</v>
      </c>
      <c r="U19" s="7">
        <f>IF(預測IC!U19&gt;預測IC!U$25,1,0)</f>
        <v>1</v>
      </c>
      <c r="V19" s="7">
        <f>IF(預測IC!V19&gt;預測IC!V$25,1,0)</f>
        <v>0</v>
      </c>
      <c r="W19" s="7">
        <f>IF(預測IC!W19&gt;預測IC!W$25,1,0)</f>
        <v>1</v>
      </c>
      <c r="X19" s="7">
        <f>IF(預測IC!X19&gt;預測IC!X$25,1,0)</f>
        <v>1</v>
      </c>
      <c r="Y19" s="7">
        <f>IF(預測IC!Y19&gt;預測IC!Y$25,1,0)</f>
        <v>1</v>
      </c>
      <c r="Z19" s="7">
        <f>IF(預測IC!Z19&gt;預測IC!Z$25,1,0)</f>
        <v>0</v>
      </c>
      <c r="AA19" s="7">
        <f>IF(預測IC!AA19&gt;預測IC!AA$25,1,0)</f>
        <v>1</v>
      </c>
      <c r="AB19" s="7">
        <f>IF(預測IC!AB19&gt;預測IC!AB$25,1,0)</f>
        <v>0</v>
      </c>
      <c r="AC19" s="7">
        <f>IF(預測IC!AC19&gt;預測IC!AC$25,1,0)</f>
        <v>0</v>
      </c>
      <c r="AD19" s="7">
        <f>IF(預測IC!AD19&gt;預測IC!AD$25,1,0)</f>
        <v>1</v>
      </c>
      <c r="AE19" s="7">
        <f>IF(預測IC!AE19&gt;預測IC!AE$25,1,0)</f>
        <v>1</v>
      </c>
      <c r="AF19" s="7">
        <f>IF(預測IC!AF19&gt;預測IC!AF$25,1,0)</f>
        <v>1</v>
      </c>
      <c r="AG19" s="7">
        <f>IF(預測IC!AG19&gt;預測IC!AG$25,1,0)</f>
        <v>0</v>
      </c>
      <c r="AH19" s="7">
        <f>IF(預測IC!AH19&gt;預測IC!AH$25,1,0)</f>
        <v>0</v>
      </c>
      <c r="AI19" s="7">
        <f>IF(預測IC!AI19&gt;預測IC!AI$25,1,0)</f>
        <v>1</v>
      </c>
      <c r="AJ19" s="7">
        <f>IF(預測IC!AJ19&gt;預測IC!AJ$25,1,0)</f>
        <v>0</v>
      </c>
      <c r="AK19" s="7">
        <f>IF(預測IC!AK19&gt;預測IC!AK$25,1,0)</f>
        <v>1</v>
      </c>
      <c r="AL19" s="7">
        <f>IF(預測IC!AL19&gt;預測IC!AL$25,1,0)</f>
        <v>1</v>
      </c>
      <c r="AM19" s="7">
        <f>IF(預測IC!AM19&gt;預測IC!AM$25,1,0)</f>
        <v>1</v>
      </c>
      <c r="AN19" s="7">
        <f>IF(預測IC!AN19&gt;預測IC!AN$25,1,0)</f>
        <v>1</v>
      </c>
      <c r="AO19" s="7">
        <f>IF(預測IC!AO19&gt;預測IC!AO$25,1,0)</f>
        <v>1</v>
      </c>
      <c r="AP19" s="7">
        <f>IF(預測IC!AP19&gt;預測IC!AP$25,1,0)</f>
        <v>0</v>
      </c>
      <c r="AQ19" s="7">
        <f>IF(預測IC!AQ19&gt;預測IC!AQ$25,1,0)</f>
        <v>0</v>
      </c>
      <c r="AR19" s="7">
        <f>IF(預測IC!AR19&gt;預測IC!AR$25,1,0)</f>
        <v>1</v>
      </c>
      <c r="AS19" s="7">
        <f>IF(預測IC!AS19&gt;預測IC!AS$25,1,0)</f>
        <v>1</v>
      </c>
      <c r="AT19" s="7">
        <f>IF(預測IC!AT19&gt;預測IC!AT$25,1,0)</f>
        <v>1</v>
      </c>
      <c r="AU19" s="7">
        <f>IF(預測IC!AU19&gt;預測IC!AU$25,1,0)</f>
        <v>1</v>
      </c>
      <c r="AV19" s="7">
        <f>IF(預測IC!AV19&gt;預測IC!AV$25,1,0)</f>
        <v>0</v>
      </c>
      <c r="AW19" s="7">
        <f>IF(預測IC!AW19&gt;預測IC!AW$25,1,0)</f>
        <v>1</v>
      </c>
      <c r="AX19" s="7">
        <f>IF(預測IC!AX19&gt;預測IC!AX$25,1,0)</f>
        <v>1</v>
      </c>
      <c r="AY19" s="7">
        <f>IF(預測IC!AY19&gt;預測IC!AY$25,1,0)</f>
        <v>0</v>
      </c>
      <c r="AZ19" s="7">
        <f>IF(預測IC!AZ19&gt;預測IC!AZ$25,1,0)</f>
        <v>0</v>
      </c>
      <c r="BA19" s="7">
        <f>IF(預測IC!BA19&gt;預測IC!BA$25,1,0)</f>
        <v>1</v>
      </c>
      <c r="BB19" s="7">
        <f>IF(預測IC!BB19&gt;預測IC!BB$25,1,0)</f>
        <v>1</v>
      </c>
      <c r="BC19" s="7">
        <f>IF(預測IC!BC19&gt;預測IC!BC$25,1,0)</f>
        <v>1</v>
      </c>
      <c r="BD19" s="7">
        <f>IF(預測IC!BD19&gt;預測IC!BD$25,1,0)</f>
        <v>1</v>
      </c>
      <c r="BE19" s="7">
        <f>IF(預測IC!BE19&gt;預測IC!BE$25,1,0)</f>
        <v>1</v>
      </c>
      <c r="BF19" s="7">
        <f>IF(預測IC!BF19&gt;預測IC!BF$25,1,0)</f>
        <v>1</v>
      </c>
      <c r="BG19" s="7">
        <f>IF(預測IC!BG19&gt;預測IC!BG$25,1,0)</f>
        <v>0</v>
      </c>
      <c r="BH19" s="7">
        <f>IF(預測IC!BH19&gt;預測IC!BH$25,1,0)</f>
        <v>1</v>
      </c>
      <c r="BI19" s="7">
        <f>IF(預測IC!BI19&gt;預測IC!BI$25,1,0)</f>
        <v>1</v>
      </c>
      <c r="BJ19" s="7">
        <f>IF(預測IC!BJ19&gt;預測IC!BJ$25,1,0)</f>
        <v>1</v>
      </c>
      <c r="BK19" s="7">
        <f>IF(預測IC!BK19&gt;預測IC!BK$25,1,0)</f>
        <v>0</v>
      </c>
      <c r="BL19" s="7">
        <f>IF(預測IC!BL19&gt;預測IC!BL$25,1,0)</f>
        <v>1</v>
      </c>
      <c r="BM19" s="7">
        <f>IF(預測IC!BM19&gt;預測IC!BM$25,1,0)</f>
        <v>0</v>
      </c>
      <c r="BN19" s="7">
        <f>IF(預測IC!BN19&gt;預測IC!BN$25,1,0)</f>
        <v>1</v>
      </c>
      <c r="BO19" s="7">
        <f>IF(預測IC!BO19&gt;預測IC!BO$25,1,0)</f>
        <v>1</v>
      </c>
      <c r="BP19" s="7">
        <f>IF(預測IC!BP19&gt;預測IC!BP$25,1,0)</f>
        <v>1</v>
      </c>
      <c r="BQ19" s="7">
        <f>IF(預測IC!BQ19&gt;預測IC!BQ$25,1,0)</f>
        <v>1</v>
      </c>
      <c r="BR19" s="7">
        <f>IF(預測IC!BR19&gt;預測IC!BR$25,1,0)</f>
        <v>1</v>
      </c>
      <c r="BS19" s="7">
        <f>IF(預測IC!BS19&gt;預測IC!BS$25,1,0)</f>
        <v>0</v>
      </c>
      <c r="BT19" s="7">
        <f>IF(預測IC!BT19&gt;預測IC!BT$25,1,0)</f>
        <v>1</v>
      </c>
      <c r="BU19" s="7">
        <f>IF(預測IC!BU19&gt;預測IC!BU$25,1,0)</f>
        <v>1</v>
      </c>
      <c r="BV19" s="7">
        <f>IF(預測IC!BV19&gt;預測IC!BV$25,1,0)</f>
        <v>1</v>
      </c>
      <c r="BW19" s="7">
        <f>IF(預測IC!BW19&gt;預測IC!BW$25,1,0)</f>
        <v>0</v>
      </c>
      <c r="BX19" s="7">
        <f>IF(預測IC!BX19&gt;預測IC!BX$25,1,0)</f>
        <v>1</v>
      </c>
      <c r="BY19" s="7">
        <f>IF(預測IC!BY19&gt;預測IC!BY$25,1,0)</f>
        <v>1</v>
      </c>
      <c r="BZ19" s="7">
        <f>IF(預測IC!BZ19&gt;預測IC!BZ$25,1,0)</f>
        <v>0</v>
      </c>
      <c r="CA19" s="7">
        <f>IF(預測IC!CA19&gt;預測IC!CA$25,1,0)</f>
        <v>0</v>
      </c>
      <c r="CB19" s="7">
        <f>IF(預測IC!CB19&gt;預測IC!CB$25,1,0)</f>
        <v>0</v>
      </c>
      <c r="CC19" s="7">
        <f>IF(預測IC!CC19&gt;預測IC!CC$25,1,0)</f>
        <v>0</v>
      </c>
      <c r="CD19" s="7">
        <f>IF(預測IC!CD19&gt;預測IC!CD$25,1,0)</f>
        <v>1</v>
      </c>
      <c r="CE19" s="7">
        <f>IF(預測IC!CE19&gt;預測IC!CE$25,1,0)</f>
        <v>1</v>
      </c>
      <c r="CF19" s="7">
        <f>IF(預測IC!CF19&gt;預測IC!CF$25,1,0)</f>
        <v>0</v>
      </c>
      <c r="CG19" s="7">
        <f>IF(預測IC!CG19&gt;預測IC!CG$25,1,0)</f>
        <v>1</v>
      </c>
      <c r="CH19" s="7">
        <f>IF(預測IC!CH19&gt;預測IC!CH$25,1,0)</f>
        <v>1</v>
      </c>
      <c r="CI19" s="7">
        <f>IF(預測IC!CI19&gt;預測IC!CI$25,1,0)</f>
        <v>0</v>
      </c>
      <c r="CJ19" s="7">
        <f>IF(預測IC!CJ19&gt;預測IC!CJ$25,1,0)</f>
        <v>0</v>
      </c>
      <c r="CK19" s="7">
        <f>IF(預測IC!CK19&gt;預測IC!CK$25,1,0)</f>
        <v>1</v>
      </c>
      <c r="CL19" s="7">
        <f>IF(預測IC!CL19&gt;預測IC!CL$25,1,0)</f>
        <v>0</v>
      </c>
      <c r="CM19" s="7">
        <f>IF(預測IC!CM19&gt;預測IC!CM$25,1,0)</f>
        <v>1</v>
      </c>
      <c r="CN19" s="7">
        <f>IF(預測IC!CN19&gt;預測IC!CN$25,1,0)</f>
        <v>0</v>
      </c>
      <c r="CO19" s="7">
        <f>IF(預測IC!CO19&gt;預測IC!CO$25,1,0)</f>
        <v>0</v>
      </c>
      <c r="CP19" s="7">
        <f>IF(預測IC!CP19&gt;預測IC!CP$25,1,0)</f>
        <v>1</v>
      </c>
      <c r="CQ19" s="7">
        <f>IF(預測IC!CQ19&gt;預測IC!CQ$25,1,0)</f>
        <v>0</v>
      </c>
      <c r="CR19" s="7">
        <f>IF(預測IC!CR19&gt;預測IC!CR$25,1,0)</f>
        <v>1</v>
      </c>
      <c r="CS19" s="7">
        <f>IF(預測IC!CS19&gt;預測IC!CS$25,1,0)</f>
        <v>1</v>
      </c>
      <c r="CT19" s="7">
        <f>IF(預測IC!CT19&gt;預測IC!CT$25,1,0)</f>
        <v>1</v>
      </c>
      <c r="CU19" s="7">
        <f>IF(預測IC!CU19&gt;預測IC!CU$25,1,0)</f>
        <v>0</v>
      </c>
      <c r="CV19" s="7">
        <f>IF(預測IC!CV19&gt;預測IC!CV$25,1,0)</f>
        <v>1</v>
      </c>
      <c r="CW19" s="7">
        <f>IF(預測IC!CW19&gt;預測IC!CW$25,1,0)</f>
        <v>0</v>
      </c>
      <c r="CX19" s="7">
        <f>IF(預測IC!CX19&gt;預測IC!CX$25,1,0)</f>
        <v>1</v>
      </c>
      <c r="CY19" s="7">
        <f>IF(預測IC!CY19&gt;預測IC!CY$25,1,0)</f>
        <v>0</v>
      </c>
      <c r="CZ19" s="7">
        <f>IF(預測IC!CZ19&gt;預測IC!CZ$25,1,0)</f>
        <v>1</v>
      </c>
      <c r="DA19" s="7">
        <f>IF(預測IC!DA19&gt;預測IC!DA$25,1,0)</f>
        <v>0</v>
      </c>
      <c r="DB19" s="7">
        <f>IF(預測IC!DB19&gt;預測IC!DB$25,1,0)</f>
        <v>1</v>
      </c>
      <c r="DC19" s="7">
        <f>IF(預測IC!DC19&gt;預測IC!DC$25,1,0)</f>
        <v>1</v>
      </c>
      <c r="DD19" s="7">
        <f>IF(預測IC!DD19&gt;預測IC!DD$25,1,0)</f>
        <v>0</v>
      </c>
      <c r="DE19" s="7">
        <f>IF(預測IC!DE19&gt;預測IC!DE$25,1,0)</f>
        <v>0</v>
      </c>
      <c r="DF19" s="7">
        <f>IF(預測IC!DF19&gt;預測IC!DF$25,1,0)</f>
        <v>0</v>
      </c>
      <c r="DG19" s="7">
        <f>IF(預測IC!DG19&gt;預測IC!DG$25,1,0)</f>
        <v>0</v>
      </c>
      <c r="DH19" s="7">
        <f>IF(預測IC!DH19&gt;預測IC!DH$25,1,0)</f>
        <v>0</v>
      </c>
      <c r="DI19" s="7">
        <f>IF(預測IC!DI19&gt;預測IC!DI$25,1,0)</f>
        <v>0</v>
      </c>
      <c r="DJ19" s="7">
        <f>IF(預測IC!DJ19&gt;預測IC!DJ$25,1,0)</f>
        <v>1</v>
      </c>
      <c r="DK19" s="7">
        <f>IF(預測IC!DK19&gt;預測IC!DK$25,1,0)</f>
        <v>1</v>
      </c>
      <c r="DL19" s="7">
        <f>IF(預測IC!DL19&gt;預測IC!DL$25,1,0)</f>
        <v>1</v>
      </c>
      <c r="DM19" s="7">
        <f>IF(預測IC!DM19&gt;預測IC!DM$25,1,0)</f>
        <v>0</v>
      </c>
      <c r="DN19" s="7">
        <f>IF(預測IC!DN19&gt;預測IC!DN$25,1,0)</f>
        <v>1</v>
      </c>
      <c r="DO19" s="7">
        <f>IF(預測IC!DO19&gt;預測IC!DO$25,1,0)</f>
        <v>1</v>
      </c>
      <c r="DP19" s="7">
        <f>IF(預測IC!DP19&gt;預測IC!DP$25,1,0)</f>
        <v>1</v>
      </c>
      <c r="DQ19" s="7">
        <f>IF(預測IC!DQ19&gt;預測IC!DQ$25,1,0)</f>
        <v>0</v>
      </c>
      <c r="DR19" s="7">
        <f>IF(預測IC!DR19&gt;預測IC!DR$25,1,0)</f>
        <v>1</v>
      </c>
      <c r="DS19" s="7">
        <f>IF(預測IC!DS19&gt;預測IC!DS$25,1,0)</f>
        <v>0</v>
      </c>
      <c r="DT19" s="7">
        <f>IF(預測IC!DT19&gt;預測IC!DT$25,1,0)</f>
        <v>0</v>
      </c>
      <c r="DU19" s="7">
        <f>IF(預測IC!DU19&gt;預測IC!DU$25,1,0)</f>
        <v>0</v>
      </c>
      <c r="DV19" s="7">
        <f>IF(預測IC!DV19&gt;預測IC!DV$25,1,0)</f>
        <v>1</v>
      </c>
      <c r="DW19" s="7">
        <f>IF(預測IC!DW19&gt;預測IC!DW$25,1,0)</f>
        <v>1</v>
      </c>
      <c r="DX19" s="7">
        <f>IF(預測IC!DX19&gt;預測IC!DX$25,1,0)</f>
        <v>0</v>
      </c>
      <c r="DY19" s="7">
        <f>IF(預測IC!DY19&gt;預測IC!DY$25,1,0)</f>
        <v>1</v>
      </c>
      <c r="DZ19" s="7">
        <f>IF(預測IC!DZ19&gt;預測IC!DZ$25,1,0)</f>
        <v>1</v>
      </c>
      <c r="EA19" s="7">
        <f>IF(預測IC!EA19&gt;預測IC!EA$25,1,0)</f>
        <v>1</v>
      </c>
      <c r="EB19" s="7">
        <f>IF(預測IC!EB19&gt;預測IC!EB$25,1,0)</f>
        <v>0</v>
      </c>
      <c r="EC19" s="7">
        <f>IF(預測IC!EC19&gt;預測IC!EC$25,1,0)</f>
        <v>0</v>
      </c>
      <c r="ED19" s="7">
        <f>IF(預測IC!ED19&gt;預測IC!ED$25,1,0)</f>
        <v>0</v>
      </c>
      <c r="EE19" s="7">
        <f>IF(預測IC!EE19&gt;預測IC!EE$25,1,0)</f>
        <v>0</v>
      </c>
      <c r="EF19" s="7">
        <f>IF(預測IC!EF19&gt;預測IC!EF$25,1,0)</f>
        <v>1</v>
      </c>
      <c r="EG19">
        <f t="shared" si="6"/>
        <v>82</v>
      </c>
      <c r="EH19" s="12">
        <f t="shared" si="7"/>
        <v>0.60447761194029848</v>
      </c>
    </row>
    <row r="20" spans="1:138" x14ac:dyDescent="0.3">
      <c r="A20" s="1">
        <v>192</v>
      </c>
      <c r="B20" s="1">
        <v>5</v>
      </c>
      <c r="C20" s="7">
        <f>IF(預測IC!C20&gt;預測IC!C$25,1,0)</f>
        <v>1</v>
      </c>
      <c r="D20" s="7">
        <f>IF(預測IC!D20&gt;預測IC!D$25,1,0)</f>
        <v>1</v>
      </c>
      <c r="E20" s="7">
        <f>IF(預測IC!E20&gt;預測IC!E$25,1,0)</f>
        <v>1</v>
      </c>
      <c r="F20" s="7">
        <f>IF(預測IC!F20&gt;預測IC!F$25,1,0)</f>
        <v>1</v>
      </c>
      <c r="G20" s="7">
        <f>IF(預測IC!G20&gt;預測IC!G$25,1,0)</f>
        <v>1</v>
      </c>
      <c r="H20" s="7">
        <f>IF(預測IC!H20&gt;預測IC!H$25,1,0)</f>
        <v>1</v>
      </c>
      <c r="I20" s="7">
        <f>IF(預測IC!I20&gt;預測IC!I$25,1,0)</f>
        <v>1</v>
      </c>
      <c r="J20" s="7">
        <f>IF(預測IC!J20&gt;預測IC!J$25,1,0)</f>
        <v>0</v>
      </c>
      <c r="K20" s="7">
        <f>IF(預測IC!K20&gt;預測IC!K$25,1,0)</f>
        <v>1</v>
      </c>
      <c r="L20" s="7">
        <f>IF(預測IC!L20&gt;預測IC!L$25,1,0)</f>
        <v>1</v>
      </c>
      <c r="M20" s="7">
        <f>IF(預測IC!M20&gt;預測IC!M$25,1,0)</f>
        <v>1</v>
      </c>
      <c r="N20" s="7">
        <f>IF(預測IC!N20&gt;預測IC!N$25,1,0)</f>
        <v>1</v>
      </c>
      <c r="O20" s="7">
        <f>IF(預測IC!O20&gt;預測IC!O$25,1,0)</f>
        <v>0</v>
      </c>
      <c r="P20" s="7">
        <f>IF(預測IC!P20&gt;預測IC!P$25,1,0)</f>
        <v>1</v>
      </c>
      <c r="Q20" s="7">
        <f>IF(預測IC!Q20&gt;預測IC!Q$25,1,0)</f>
        <v>1</v>
      </c>
      <c r="R20" s="7">
        <f>IF(預測IC!R20&gt;預測IC!R$25,1,0)</f>
        <v>1</v>
      </c>
      <c r="S20" s="7">
        <f>IF(預測IC!S20&gt;預測IC!S$25,1,0)</f>
        <v>0</v>
      </c>
      <c r="T20" s="7">
        <f>IF(預測IC!T20&gt;預測IC!T$25,1,0)</f>
        <v>1</v>
      </c>
      <c r="U20" s="7">
        <f>IF(預測IC!U20&gt;預測IC!U$25,1,0)</f>
        <v>1</v>
      </c>
      <c r="V20" s="7">
        <f>IF(預測IC!V20&gt;預測IC!V$25,1,0)</f>
        <v>0</v>
      </c>
      <c r="W20" s="7">
        <f>IF(預測IC!W20&gt;預測IC!W$25,1,0)</f>
        <v>1</v>
      </c>
      <c r="X20" s="7">
        <f>IF(預測IC!X20&gt;預測IC!X$25,1,0)</f>
        <v>1</v>
      </c>
      <c r="Y20" s="7">
        <f>IF(預測IC!Y20&gt;預測IC!Y$25,1,0)</f>
        <v>1</v>
      </c>
      <c r="Z20" s="7">
        <f>IF(預測IC!Z20&gt;預測IC!Z$25,1,0)</f>
        <v>1</v>
      </c>
      <c r="AA20" s="7">
        <f>IF(預測IC!AA20&gt;預測IC!AA$25,1,0)</f>
        <v>1</v>
      </c>
      <c r="AB20" s="7">
        <f>IF(預測IC!AB20&gt;預測IC!AB$25,1,0)</f>
        <v>0</v>
      </c>
      <c r="AC20" s="7">
        <f>IF(預測IC!AC20&gt;預測IC!AC$25,1,0)</f>
        <v>0</v>
      </c>
      <c r="AD20" s="7">
        <f>IF(預測IC!AD20&gt;預測IC!AD$25,1,0)</f>
        <v>1</v>
      </c>
      <c r="AE20" s="7">
        <f>IF(預測IC!AE20&gt;預測IC!AE$25,1,0)</f>
        <v>0</v>
      </c>
      <c r="AF20" s="7">
        <f>IF(預測IC!AF20&gt;預測IC!AF$25,1,0)</f>
        <v>1</v>
      </c>
      <c r="AG20" s="7">
        <f>IF(預測IC!AG20&gt;預測IC!AG$25,1,0)</f>
        <v>0</v>
      </c>
      <c r="AH20" s="7">
        <f>IF(預測IC!AH20&gt;預測IC!AH$25,1,0)</f>
        <v>0</v>
      </c>
      <c r="AI20" s="7">
        <f>IF(預測IC!AI20&gt;預測IC!AI$25,1,0)</f>
        <v>1</v>
      </c>
      <c r="AJ20" s="7">
        <f>IF(預測IC!AJ20&gt;預測IC!AJ$25,1,0)</f>
        <v>0</v>
      </c>
      <c r="AK20" s="7">
        <f>IF(預測IC!AK20&gt;預測IC!AK$25,1,0)</f>
        <v>0</v>
      </c>
      <c r="AL20" s="7">
        <f>IF(預測IC!AL20&gt;預測IC!AL$25,1,0)</f>
        <v>1</v>
      </c>
      <c r="AM20" s="7">
        <f>IF(預測IC!AM20&gt;預測IC!AM$25,1,0)</f>
        <v>1</v>
      </c>
      <c r="AN20" s="7">
        <f>IF(預測IC!AN20&gt;預測IC!AN$25,1,0)</f>
        <v>1</v>
      </c>
      <c r="AO20" s="7">
        <f>IF(預測IC!AO20&gt;預測IC!AO$25,1,0)</f>
        <v>1</v>
      </c>
      <c r="AP20" s="7">
        <f>IF(預測IC!AP20&gt;預測IC!AP$25,1,0)</f>
        <v>0</v>
      </c>
      <c r="AQ20" s="7">
        <f>IF(預測IC!AQ20&gt;預測IC!AQ$25,1,0)</f>
        <v>1</v>
      </c>
      <c r="AR20" s="7">
        <f>IF(預測IC!AR20&gt;預測IC!AR$25,1,0)</f>
        <v>1</v>
      </c>
      <c r="AS20" s="7">
        <f>IF(預測IC!AS20&gt;預測IC!AS$25,1,0)</f>
        <v>1</v>
      </c>
      <c r="AT20" s="7">
        <f>IF(預測IC!AT20&gt;預測IC!AT$25,1,0)</f>
        <v>0</v>
      </c>
      <c r="AU20" s="7">
        <f>IF(預測IC!AU20&gt;預測IC!AU$25,1,0)</f>
        <v>1</v>
      </c>
      <c r="AV20" s="7">
        <f>IF(預測IC!AV20&gt;預測IC!AV$25,1,0)</f>
        <v>0</v>
      </c>
      <c r="AW20" s="7">
        <f>IF(預測IC!AW20&gt;預測IC!AW$25,1,0)</f>
        <v>1</v>
      </c>
      <c r="AX20" s="7">
        <f>IF(預測IC!AX20&gt;預測IC!AX$25,1,0)</f>
        <v>1</v>
      </c>
      <c r="AY20" s="7">
        <f>IF(預測IC!AY20&gt;預測IC!AY$25,1,0)</f>
        <v>0</v>
      </c>
      <c r="AZ20" s="7">
        <f>IF(預測IC!AZ20&gt;預測IC!AZ$25,1,0)</f>
        <v>0</v>
      </c>
      <c r="BA20" s="7">
        <f>IF(預測IC!BA20&gt;預測IC!BA$25,1,0)</f>
        <v>1</v>
      </c>
      <c r="BB20" s="7">
        <f>IF(預測IC!BB20&gt;預測IC!BB$25,1,0)</f>
        <v>1</v>
      </c>
      <c r="BC20" s="7">
        <f>IF(預測IC!BC20&gt;預測IC!BC$25,1,0)</f>
        <v>1</v>
      </c>
      <c r="BD20" s="7">
        <f>IF(預測IC!BD20&gt;預測IC!BD$25,1,0)</f>
        <v>0</v>
      </c>
      <c r="BE20" s="7">
        <f>IF(預測IC!BE20&gt;預測IC!BE$25,1,0)</f>
        <v>0</v>
      </c>
      <c r="BF20" s="7">
        <f>IF(預測IC!BF20&gt;預測IC!BF$25,1,0)</f>
        <v>1</v>
      </c>
      <c r="BG20" s="7">
        <f>IF(預測IC!BG20&gt;預測IC!BG$25,1,0)</f>
        <v>0</v>
      </c>
      <c r="BH20" s="7">
        <f>IF(預測IC!BH20&gt;預測IC!BH$25,1,0)</f>
        <v>1</v>
      </c>
      <c r="BI20" s="7">
        <f>IF(預測IC!BI20&gt;預測IC!BI$25,1,0)</f>
        <v>1</v>
      </c>
      <c r="BJ20" s="7">
        <f>IF(預測IC!BJ20&gt;預測IC!BJ$25,1,0)</f>
        <v>1</v>
      </c>
      <c r="BK20" s="7">
        <f>IF(預測IC!BK20&gt;預測IC!BK$25,1,0)</f>
        <v>0</v>
      </c>
      <c r="BL20" s="7">
        <f>IF(預測IC!BL20&gt;預測IC!BL$25,1,0)</f>
        <v>1</v>
      </c>
      <c r="BM20" s="7">
        <f>IF(預測IC!BM20&gt;預測IC!BM$25,1,0)</f>
        <v>0</v>
      </c>
      <c r="BN20" s="7">
        <f>IF(預測IC!BN20&gt;預測IC!BN$25,1,0)</f>
        <v>1</v>
      </c>
      <c r="BO20" s="7">
        <f>IF(預測IC!BO20&gt;預測IC!BO$25,1,0)</f>
        <v>1</v>
      </c>
      <c r="BP20" s="7">
        <f>IF(預測IC!BP20&gt;預測IC!BP$25,1,0)</f>
        <v>1</v>
      </c>
      <c r="BQ20" s="7">
        <f>IF(預測IC!BQ20&gt;預測IC!BQ$25,1,0)</f>
        <v>1</v>
      </c>
      <c r="BR20" s="7">
        <f>IF(預測IC!BR20&gt;預測IC!BR$25,1,0)</f>
        <v>1</v>
      </c>
      <c r="BS20" s="7">
        <f>IF(預測IC!BS20&gt;預測IC!BS$25,1,0)</f>
        <v>0</v>
      </c>
      <c r="BT20" s="7">
        <f>IF(預測IC!BT20&gt;預測IC!BT$25,1,0)</f>
        <v>1</v>
      </c>
      <c r="BU20" s="7">
        <f>IF(預測IC!BU20&gt;預測IC!BU$25,1,0)</f>
        <v>1</v>
      </c>
      <c r="BV20" s="7">
        <f>IF(預測IC!BV20&gt;預測IC!BV$25,1,0)</f>
        <v>1</v>
      </c>
      <c r="BW20" s="7">
        <f>IF(預測IC!BW20&gt;預測IC!BW$25,1,0)</f>
        <v>0</v>
      </c>
      <c r="BX20" s="7">
        <f>IF(預測IC!BX20&gt;預測IC!BX$25,1,0)</f>
        <v>1</v>
      </c>
      <c r="BY20" s="7">
        <f>IF(預測IC!BY20&gt;預測IC!BY$25,1,0)</f>
        <v>1</v>
      </c>
      <c r="BZ20" s="7">
        <f>IF(預測IC!BZ20&gt;預測IC!BZ$25,1,0)</f>
        <v>0</v>
      </c>
      <c r="CA20" s="7">
        <f>IF(預測IC!CA20&gt;預測IC!CA$25,1,0)</f>
        <v>0</v>
      </c>
      <c r="CB20" s="7">
        <f>IF(預測IC!CB20&gt;預測IC!CB$25,1,0)</f>
        <v>0</v>
      </c>
      <c r="CC20" s="7">
        <f>IF(預測IC!CC20&gt;預測IC!CC$25,1,0)</f>
        <v>0</v>
      </c>
      <c r="CD20" s="7">
        <f>IF(預測IC!CD20&gt;預測IC!CD$25,1,0)</f>
        <v>1</v>
      </c>
      <c r="CE20" s="7">
        <f>IF(預測IC!CE20&gt;預測IC!CE$25,1,0)</f>
        <v>1</v>
      </c>
      <c r="CF20" s="7">
        <f>IF(預測IC!CF20&gt;預測IC!CF$25,1,0)</f>
        <v>0</v>
      </c>
      <c r="CG20" s="7">
        <f>IF(預測IC!CG20&gt;預測IC!CG$25,1,0)</f>
        <v>1</v>
      </c>
      <c r="CH20" s="7">
        <f>IF(預測IC!CH20&gt;預測IC!CH$25,1,0)</f>
        <v>1</v>
      </c>
      <c r="CI20" s="7">
        <f>IF(預測IC!CI20&gt;預測IC!CI$25,1,0)</f>
        <v>0</v>
      </c>
      <c r="CJ20" s="7">
        <f>IF(預測IC!CJ20&gt;預測IC!CJ$25,1,0)</f>
        <v>0</v>
      </c>
      <c r="CK20" s="7">
        <f>IF(預測IC!CK20&gt;預測IC!CK$25,1,0)</f>
        <v>1</v>
      </c>
      <c r="CL20" s="7">
        <f>IF(預測IC!CL20&gt;預測IC!CL$25,1,0)</f>
        <v>0</v>
      </c>
      <c r="CM20" s="7">
        <f>IF(預測IC!CM20&gt;預測IC!CM$25,1,0)</f>
        <v>1</v>
      </c>
      <c r="CN20" s="7">
        <f>IF(預測IC!CN20&gt;預測IC!CN$25,1,0)</f>
        <v>0</v>
      </c>
      <c r="CO20" s="7">
        <f>IF(預測IC!CO20&gt;預測IC!CO$25,1,0)</f>
        <v>0</v>
      </c>
      <c r="CP20" s="7">
        <f>IF(預測IC!CP20&gt;預測IC!CP$25,1,0)</f>
        <v>1</v>
      </c>
      <c r="CQ20" s="7">
        <f>IF(預測IC!CQ20&gt;預測IC!CQ$25,1,0)</f>
        <v>1</v>
      </c>
      <c r="CR20" s="7">
        <f>IF(預測IC!CR20&gt;預測IC!CR$25,1,0)</f>
        <v>1</v>
      </c>
      <c r="CS20" s="7">
        <f>IF(預測IC!CS20&gt;預測IC!CS$25,1,0)</f>
        <v>0</v>
      </c>
      <c r="CT20" s="7">
        <f>IF(預測IC!CT20&gt;預測IC!CT$25,1,0)</f>
        <v>1</v>
      </c>
      <c r="CU20" s="7">
        <f>IF(預測IC!CU20&gt;預測IC!CU$25,1,0)</f>
        <v>0</v>
      </c>
      <c r="CV20" s="7">
        <f>IF(預測IC!CV20&gt;預測IC!CV$25,1,0)</f>
        <v>1</v>
      </c>
      <c r="CW20" s="7">
        <f>IF(預測IC!CW20&gt;預測IC!CW$25,1,0)</f>
        <v>1</v>
      </c>
      <c r="CX20" s="7">
        <f>IF(預測IC!CX20&gt;預測IC!CX$25,1,0)</f>
        <v>1</v>
      </c>
      <c r="CY20" s="7">
        <f>IF(預測IC!CY20&gt;預測IC!CY$25,1,0)</f>
        <v>0</v>
      </c>
      <c r="CZ20" s="7">
        <f>IF(預測IC!CZ20&gt;預測IC!CZ$25,1,0)</f>
        <v>1</v>
      </c>
      <c r="DA20" s="7">
        <f>IF(預測IC!DA20&gt;預測IC!DA$25,1,0)</f>
        <v>0</v>
      </c>
      <c r="DB20" s="7">
        <f>IF(預測IC!DB20&gt;預測IC!DB$25,1,0)</f>
        <v>1</v>
      </c>
      <c r="DC20" s="7">
        <f>IF(預測IC!DC20&gt;預測IC!DC$25,1,0)</f>
        <v>1</v>
      </c>
      <c r="DD20" s="7">
        <f>IF(預測IC!DD20&gt;預測IC!DD$25,1,0)</f>
        <v>0</v>
      </c>
      <c r="DE20" s="7">
        <f>IF(預測IC!DE20&gt;預測IC!DE$25,1,0)</f>
        <v>0</v>
      </c>
      <c r="DF20" s="7">
        <f>IF(預測IC!DF20&gt;預測IC!DF$25,1,0)</f>
        <v>1</v>
      </c>
      <c r="DG20" s="7">
        <f>IF(預測IC!DG20&gt;預測IC!DG$25,1,0)</f>
        <v>0</v>
      </c>
      <c r="DH20" s="7">
        <f>IF(預測IC!DH20&gt;預測IC!DH$25,1,0)</f>
        <v>0</v>
      </c>
      <c r="DI20" s="7">
        <f>IF(預測IC!DI20&gt;預測IC!DI$25,1,0)</f>
        <v>0</v>
      </c>
      <c r="DJ20" s="7">
        <f>IF(預測IC!DJ20&gt;預測IC!DJ$25,1,0)</f>
        <v>1</v>
      </c>
      <c r="DK20" s="7">
        <f>IF(預測IC!DK20&gt;預測IC!DK$25,1,0)</f>
        <v>1</v>
      </c>
      <c r="DL20" s="7">
        <f>IF(預測IC!DL20&gt;預測IC!DL$25,1,0)</f>
        <v>1</v>
      </c>
      <c r="DM20" s="7">
        <f>IF(預測IC!DM20&gt;預測IC!DM$25,1,0)</f>
        <v>0</v>
      </c>
      <c r="DN20" s="7">
        <f>IF(預測IC!DN20&gt;預測IC!DN$25,1,0)</f>
        <v>1</v>
      </c>
      <c r="DO20" s="7">
        <f>IF(預測IC!DO20&gt;預測IC!DO$25,1,0)</f>
        <v>1</v>
      </c>
      <c r="DP20" s="7">
        <f>IF(預測IC!DP20&gt;預測IC!DP$25,1,0)</f>
        <v>1</v>
      </c>
      <c r="DQ20" s="7">
        <f>IF(預測IC!DQ20&gt;預測IC!DQ$25,1,0)</f>
        <v>0</v>
      </c>
      <c r="DR20" s="7">
        <f>IF(預測IC!DR20&gt;預測IC!DR$25,1,0)</f>
        <v>1</v>
      </c>
      <c r="DS20" s="7">
        <f>IF(預測IC!DS20&gt;預測IC!DS$25,1,0)</f>
        <v>0</v>
      </c>
      <c r="DT20" s="7">
        <f>IF(預測IC!DT20&gt;預測IC!DT$25,1,0)</f>
        <v>0</v>
      </c>
      <c r="DU20" s="7">
        <f>IF(預測IC!DU20&gt;預測IC!DU$25,1,0)</f>
        <v>0</v>
      </c>
      <c r="DV20" s="7">
        <f>IF(預測IC!DV20&gt;預測IC!DV$25,1,0)</f>
        <v>1</v>
      </c>
      <c r="DW20" s="7">
        <f>IF(預測IC!DW20&gt;預測IC!DW$25,1,0)</f>
        <v>1</v>
      </c>
      <c r="DX20" s="7">
        <f>IF(預測IC!DX20&gt;預測IC!DX$25,1,0)</f>
        <v>0</v>
      </c>
      <c r="DY20" s="7">
        <f>IF(預測IC!DY20&gt;預測IC!DY$25,1,0)</f>
        <v>1</v>
      </c>
      <c r="DZ20" s="7">
        <f>IF(預測IC!DZ20&gt;預測IC!DZ$25,1,0)</f>
        <v>1</v>
      </c>
      <c r="EA20" s="7">
        <f>IF(預測IC!EA20&gt;預測IC!EA$25,1,0)</f>
        <v>1</v>
      </c>
      <c r="EB20" s="7">
        <f>IF(預測IC!EB20&gt;預測IC!EB$25,1,0)</f>
        <v>1</v>
      </c>
      <c r="EC20" s="7">
        <f>IF(預測IC!EC20&gt;預測IC!EC$25,1,0)</f>
        <v>1</v>
      </c>
      <c r="ED20" s="7">
        <f>IF(預測IC!ED20&gt;預測IC!ED$25,1,0)</f>
        <v>0</v>
      </c>
      <c r="EE20" s="7">
        <f>IF(預測IC!EE20&gt;預測IC!EE$25,1,0)</f>
        <v>0</v>
      </c>
      <c r="EF20" s="7">
        <f>IF(預測IC!EF20&gt;預測IC!EF$25,1,0)</f>
        <v>1</v>
      </c>
      <c r="EG20">
        <f t="shared" si="6"/>
        <v>84</v>
      </c>
      <c r="EH20" s="12">
        <f t="shared" si="7"/>
        <v>0.61940298507462688</v>
      </c>
    </row>
    <row r="21" spans="1:138" x14ac:dyDescent="0.3">
      <c r="A21" s="1">
        <v>241</v>
      </c>
      <c r="B21" s="1">
        <v>4</v>
      </c>
      <c r="C21" s="7">
        <f>IF(預測IC!C21&gt;預測IC!C$25,1,0)</f>
        <v>1</v>
      </c>
      <c r="D21" s="7">
        <f>IF(預測IC!D21&gt;預測IC!D$25,1,0)</f>
        <v>1</v>
      </c>
      <c r="E21" s="7">
        <f>IF(預測IC!E21&gt;預測IC!E$25,1,0)</f>
        <v>0</v>
      </c>
      <c r="F21" s="7">
        <f>IF(預測IC!F21&gt;預測IC!F$25,1,0)</f>
        <v>1</v>
      </c>
      <c r="G21" s="7">
        <f>IF(預測IC!G21&gt;預測IC!G$25,1,0)</f>
        <v>1</v>
      </c>
      <c r="H21" s="7">
        <f>IF(預測IC!H21&gt;預測IC!H$25,1,0)</f>
        <v>1</v>
      </c>
      <c r="I21" s="7">
        <f>IF(預測IC!I21&gt;預測IC!I$25,1,0)</f>
        <v>1</v>
      </c>
      <c r="J21" s="7">
        <f>IF(預測IC!J21&gt;預測IC!J$25,1,0)</f>
        <v>0</v>
      </c>
      <c r="K21" s="7">
        <f>IF(預測IC!K21&gt;預測IC!K$25,1,0)</f>
        <v>1</v>
      </c>
      <c r="L21" s="7">
        <f>IF(預測IC!L21&gt;預測IC!L$25,1,0)</f>
        <v>0</v>
      </c>
      <c r="M21" s="7">
        <f>IF(預測IC!M21&gt;預測IC!M$25,1,0)</f>
        <v>1</v>
      </c>
      <c r="N21" s="7">
        <f>IF(預測IC!N21&gt;預測IC!N$25,1,0)</f>
        <v>1</v>
      </c>
      <c r="O21" s="7">
        <f>IF(預測IC!O21&gt;預測IC!O$25,1,0)</f>
        <v>0</v>
      </c>
      <c r="P21" s="7">
        <f>IF(預測IC!P21&gt;預測IC!P$25,1,0)</f>
        <v>1</v>
      </c>
      <c r="Q21" s="7">
        <f>IF(預測IC!Q21&gt;預測IC!Q$25,1,0)</f>
        <v>1</v>
      </c>
      <c r="R21" s="7">
        <f>IF(預測IC!R21&gt;預測IC!R$25,1,0)</f>
        <v>1</v>
      </c>
      <c r="S21" s="7">
        <f>IF(預測IC!S21&gt;預測IC!S$25,1,0)</f>
        <v>0</v>
      </c>
      <c r="T21" s="7">
        <f>IF(預測IC!T21&gt;預測IC!T$25,1,0)</f>
        <v>1</v>
      </c>
      <c r="U21" s="7">
        <f>IF(預測IC!U21&gt;預測IC!U$25,1,0)</f>
        <v>1</v>
      </c>
      <c r="V21" s="7">
        <f>IF(預測IC!V21&gt;預測IC!V$25,1,0)</f>
        <v>0</v>
      </c>
      <c r="W21" s="7">
        <f>IF(預測IC!W21&gt;預測IC!W$25,1,0)</f>
        <v>1</v>
      </c>
      <c r="X21" s="7">
        <f>IF(預測IC!X21&gt;預測IC!X$25,1,0)</f>
        <v>1</v>
      </c>
      <c r="Y21" s="7">
        <f>IF(預測IC!Y21&gt;預測IC!Y$25,1,0)</f>
        <v>1</v>
      </c>
      <c r="Z21" s="7">
        <f>IF(預測IC!Z21&gt;預測IC!Z$25,1,0)</f>
        <v>1</v>
      </c>
      <c r="AA21" s="7">
        <f>IF(預測IC!AA21&gt;預測IC!AA$25,1,0)</f>
        <v>1</v>
      </c>
      <c r="AB21" s="7">
        <f>IF(預測IC!AB21&gt;預測IC!AB$25,1,0)</f>
        <v>0</v>
      </c>
      <c r="AC21" s="7">
        <f>IF(預測IC!AC21&gt;預測IC!AC$25,1,0)</f>
        <v>0</v>
      </c>
      <c r="AD21" s="7">
        <f>IF(預測IC!AD21&gt;預測IC!AD$25,1,0)</f>
        <v>1</v>
      </c>
      <c r="AE21" s="7">
        <f>IF(預測IC!AE21&gt;預測IC!AE$25,1,0)</f>
        <v>0</v>
      </c>
      <c r="AF21" s="7">
        <f>IF(預測IC!AF21&gt;預測IC!AF$25,1,0)</f>
        <v>1</v>
      </c>
      <c r="AG21" s="7">
        <f>IF(預測IC!AG21&gt;預測IC!AG$25,1,0)</f>
        <v>0</v>
      </c>
      <c r="AH21" s="7">
        <f>IF(預測IC!AH21&gt;預測IC!AH$25,1,0)</f>
        <v>0</v>
      </c>
      <c r="AI21" s="7">
        <f>IF(預測IC!AI21&gt;預測IC!AI$25,1,0)</f>
        <v>1</v>
      </c>
      <c r="AJ21" s="7">
        <f>IF(預測IC!AJ21&gt;預測IC!AJ$25,1,0)</f>
        <v>0</v>
      </c>
      <c r="AK21" s="7">
        <f>IF(預測IC!AK21&gt;預測IC!AK$25,1,0)</f>
        <v>0</v>
      </c>
      <c r="AL21" s="7">
        <f>IF(預測IC!AL21&gt;預測IC!AL$25,1,0)</f>
        <v>1</v>
      </c>
      <c r="AM21" s="7">
        <f>IF(預測IC!AM21&gt;預測IC!AM$25,1,0)</f>
        <v>1</v>
      </c>
      <c r="AN21" s="7">
        <f>IF(預測IC!AN21&gt;預測IC!AN$25,1,0)</f>
        <v>1</v>
      </c>
      <c r="AO21" s="7">
        <f>IF(預測IC!AO21&gt;預測IC!AO$25,1,0)</f>
        <v>1</v>
      </c>
      <c r="AP21" s="7">
        <f>IF(預測IC!AP21&gt;預測IC!AP$25,1,0)</f>
        <v>0</v>
      </c>
      <c r="AQ21" s="7">
        <f>IF(預測IC!AQ21&gt;預測IC!AQ$25,1,0)</f>
        <v>1</v>
      </c>
      <c r="AR21" s="7">
        <f>IF(預測IC!AR21&gt;預測IC!AR$25,1,0)</f>
        <v>1</v>
      </c>
      <c r="AS21" s="7">
        <f>IF(預測IC!AS21&gt;預測IC!AS$25,1,0)</f>
        <v>1</v>
      </c>
      <c r="AT21" s="7">
        <f>IF(預測IC!AT21&gt;預測IC!AT$25,1,0)</f>
        <v>0</v>
      </c>
      <c r="AU21" s="7">
        <f>IF(預測IC!AU21&gt;預測IC!AU$25,1,0)</f>
        <v>1</v>
      </c>
      <c r="AV21" s="7">
        <f>IF(預測IC!AV21&gt;預測IC!AV$25,1,0)</f>
        <v>0</v>
      </c>
      <c r="AW21" s="7">
        <f>IF(預測IC!AW21&gt;預測IC!AW$25,1,0)</f>
        <v>1</v>
      </c>
      <c r="AX21" s="7">
        <f>IF(預測IC!AX21&gt;預測IC!AX$25,1,0)</f>
        <v>1</v>
      </c>
      <c r="AY21" s="7">
        <f>IF(預測IC!AY21&gt;預測IC!AY$25,1,0)</f>
        <v>1</v>
      </c>
      <c r="AZ21" s="7">
        <f>IF(預測IC!AZ21&gt;預測IC!AZ$25,1,0)</f>
        <v>0</v>
      </c>
      <c r="BA21" s="7">
        <f>IF(預測IC!BA21&gt;預測IC!BA$25,1,0)</f>
        <v>1</v>
      </c>
      <c r="BB21" s="7">
        <f>IF(預測IC!BB21&gt;預測IC!BB$25,1,0)</f>
        <v>1</v>
      </c>
      <c r="BC21" s="7">
        <f>IF(預測IC!BC21&gt;預測IC!BC$25,1,0)</f>
        <v>1</v>
      </c>
      <c r="BD21" s="7">
        <f>IF(預測IC!BD21&gt;預測IC!BD$25,1,0)</f>
        <v>0</v>
      </c>
      <c r="BE21" s="7">
        <f>IF(預測IC!BE21&gt;預測IC!BE$25,1,0)</f>
        <v>0</v>
      </c>
      <c r="BF21" s="7">
        <f>IF(預測IC!BF21&gt;預測IC!BF$25,1,0)</f>
        <v>1</v>
      </c>
      <c r="BG21" s="7">
        <f>IF(預測IC!BG21&gt;預測IC!BG$25,1,0)</f>
        <v>1</v>
      </c>
      <c r="BH21" s="7">
        <f>IF(預測IC!BH21&gt;預測IC!BH$25,1,0)</f>
        <v>1</v>
      </c>
      <c r="BI21" s="7">
        <f>IF(預測IC!BI21&gt;預測IC!BI$25,1,0)</f>
        <v>1</v>
      </c>
      <c r="BJ21" s="7">
        <f>IF(預測IC!BJ21&gt;預測IC!BJ$25,1,0)</f>
        <v>1</v>
      </c>
      <c r="BK21" s="7">
        <f>IF(預測IC!BK21&gt;預測IC!BK$25,1,0)</f>
        <v>0</v>
      </c>
      <c r="BL21" s="7">
        <f>IF(預測IC!BL21&gt;預測IC!BL$25,1,0)</f>
        <v>1</v>
      </c>
      <c r="BM21" s="7">
        <f>IF(預測IC!BM21&gt;預測IC!BM$25,1,0)</f>
        <v>0</v>
      </c>
      <c r="BN21" s="7">
        <f>IF(預測IC!BN21&gt;預測IC!BN$25,1,0)</f>
        <v>1</v>
      </c>
      <c r="BO21" s="7">
        <f>IF(預測IC!BO21&gt;預測IC!BO$25,1,0)</f>
        <v>0</v>
      </c>
      <c r="BP21" s="7">
        <f>IF(預測IC!BP21&gt;預測IC!BP$25,1,0)</f>
        <v>1</v>
      </c>
      <c r="BQ21" s="7">
        <f>IF(預測IC!BQ21&gt;預測IC!BQ$25,1,0)</f>
        <v>1</v>
      </c>
      <c r="BR21" s="7">
        <f>IF(預測IC!BR21&gt;預測IC!BR$25,1,0)</f>
        <v>1</v>
      </c>
      <c r="BS21" s="7">
        <f>IF(預測IC!BS21&gt;預測IC!BS$25,1,0)</f>
        <v>0</v>
      </c>
      <c r="BT21" s="7">
        <f>IF(預測IC!BT21&gt;預測IC!BT$25,1,0)</f>
        <v>1</v>
      </c>
      <c r="BU21" s="7">
        <f>IF(預測IC!BU21&gt;預測IC!BU$25,1,0)</f>
        <v>1</v>
      </c>
      <c r="BV21" s="7">
        <f>IF(預測IC!BV21&gt;預測IC!BV$25,1,0)</f>
        <v>1</v>
      </c>
      <c r="BW21" s="7">
        <f>IF(預測IC!BW21&gt;預測IC!BW$25,1,0)</f>
        <v>0</v>
      </c>
      <c r="BX21" s="7">
        <f>IF(預測IC!BX21&gt;預測IC!BX$25,1,0)</f>
        <v>1</v>
      </c>
      <c r="BY21" s="7">
        <f>IF(預測IC!BY21&gt;預測IC!BY$25,1,0)</f>
        <v>1</v>
      </c>
      <c r="BZ21" s="7">
        <f>IF(預測IC!BZ21&gt;預測IC!BZ$25,1,0)</f>
        <v>0</v>
      </c>
      <c r="CA21" s="7">
        <f>IF(預測IC!CA21&gt;預測IC!CA$25,1,0)</f>
        <v>0</v>
      </c>
      <c r="CB21" s="7">
        <f>IF(預測IC!CB21&gt;預測IC!CB$25,1,0)</f>
        <v>0</v>
      </c>
      <c r="CC21" s="7">
        <f>IF(預測IC!CC21&gt;預測IC!CC$25,1,0)</f>
        <v>0</v>
      </c>
      <c r="CD21" s="7">
        <f>IF(預測IC!CD21&gt;預測IC!CD$25,1,0)</f>
        <v>1</v>
      </c>
      <c r="CE21" s="7">
        <f>IF(預測IC!CE21&gt;預測IC!CE$25,1,0)</f>
        <v>1</v>
      </c>
      <c r="CF21" s="7">
        <f>IF(預測IC!CF21&gt;預測IC!CF$25,1,0)</f>
        <v>0</v>
      </c>
      <c r="CG21" s="7">
        <f>IF(預測IC!CG21&gt;預測IC!CG$25,1,0)</f>
        <v>1</v>
      </c>
      <c r="CH21" s="7">
        <f>IF(預測IC!CH21&gt;預測IC!CH$25,1,0)</f>
        <v>1</v>
      </c>
      <c r="CI21" s="7">
        <f>IF(預測IC!CI21&gt;預測IC!CI$25,1,0)</f>
        <v>0</v>
      </c>
      <c r="CJ21" s="7">
        <f>IF(預測IC!CJ21&gt;預測IC!CJ$25,1,0)</f>
        <v>0</v>
      </c>
      <c r="CK21" s="7">
        <f>IF(預測IC!CK21&gt;預測IC!CK$25,1,0)</f>
        <v>1</v>
      </c>
      <c r="CL21" s="7">
        <f>IF(預測IC!CL21&gt;預測IC!CL$25,1,0)</f>
        <v>0</v>
      </c>
      <c r="CM21" s="7">
        <f>IF(預測IC!CM21&gt;預測IC!CM$25,1,0)</f>
        <v>1</v>
      </c>
      <c r="CN21" s="7">
        <f>IF(預測IC!CN21&gt;預測IC!CN$25,1,0)</f>
        <v>0</v>
      </c>
      <c r="CO21" s="7">
        <f>IF(預測IC!CO21&gt;預測IC!CO$25,1,0)</f>
        <v>0</v>
      </c>
      <c r="CP21" s="7">
        <f>IF(預測IC!CP21&gt;預測IC!CP$25,1,0)</f>
        <v>1</v>
      </c>
      <c r="CQ21" s="7">
        <f>IF(預測IC!CQ21&gt;預測IC!CQ$25,1,0)</f>
        <v>1</v>
      </c>
      <c r="CR21" s="7">
        <f>IF(預測IC!CR21&gt;預測IC!CR$25,1,0)</f>
        <v>1</v>
      </c>
      <c r="CS21" s="7">
        <f>IF(預測IC!CS21&gt;預測IC!CS$25,1,0)</f>
        <v>1</v>
      </c>
      <c r="CT21" s="7">
        <f>IF(預測IC!CT21&gt;預測IC!CT$25,1,0)</f>
        <v>1</v>
      </c>
      <c r="CU21" s="7">
        <f>IF(預測IC!CU21&gt;預測IC!CU$25,1,0)</f>
        <v>0</v>
      </c>
      <c r="CV21" s="7">
        <f>IF(預測IC!CV21&gt;預測IC!CV$25,1,0)</f>
        <v>1</v>
      </c>
      <c r="CW21" s="7">
        <f>IF(預測IC!CW21&gt;預測IC!CW$25,1,0)</f>
        <v>1</v>
      </c>
      <c r="CX21" s="7">
        <f>IF(預測IC!CX21&gt;預測IC!CX$25,1,0)</f>
        <v>1</v>
      </c>
      <c r="CY21" s="7">
        <f>IF(預測IC!CY21&gt;預測IC!CY$25,1,0)</f>
        <v>0</v>
      </c>
      <c r="CZ21" s="7">
        <f>IF(預測IC!CZ21&gt;預測IC!CZ$25,1,0)</f>
        <v>1</v>
      </c>
      <c r="DA21" s="7">
        <f>IF(預測IC!DA21&gt;預測IC!DA$25,1,0)</f>
        <v>0</v>
      </c>
      <c r="DB21" s="7">
        <f>IF(預測IC!DB21&gt;預測IC!DB$25,1,0)</f>
        <v>1</v>
      </c>
      <c r="DC21" s="7">
        <f>IF(預測IC!DC21&gt;預測IC!DC$25,1,0)</f>
        <v>1</v>
      </c>
      <c r="DD21" s="7">
        <f>IF(預測IC!DD21&gt;預測IC!DD$25,1,0)</f>
        <v>0</v>
      </c>
      <c r="DE21" s="7">
        <f>IF(預測IC!DE21&gt;預測IC!DE$25,1,0)</f>
        <v>0</v>
      </c>
      <c r="DF21" s="7">
        <f>IF(預測IC!DF21&gt;預測IC!DF$25,1,0)</f>
        <v>1</v>
      </c>
      <c r="DG21" s="7">
        <f>IF(預測IC!DG21&gt;預測IC!DG$25,1,0)</f>
        <v>0</v>
      </c>
      <c r="DH21" s="7">
        <f>IF(預測IC!DH21&gt;預測IC!DH$25,1,0)</f>
        <v>0</v>
      </c>
      <c r="DI21" s="7">
        <f>IF(預測IC!DI21&gt;預測IC!DI$25,1,0)</f>
        <v>1</v>
      </c>
      <c r="DJ21" s="7">
        <f>IF(預測IC!DJ21&gt;預測IC!DJ$25,1,0)</f>
        <v>1</v>
      </c>
      <c r="DK21" s="7">
        <f>IF(預測IC!DK21&gt;預測IC!DK$25,1,0)</f>
        <v>1</v>
      </c>
      <c r="DL21" s="7">
        <f>IF(預測IC!DL21&gt;預測IC!DL$25,1,0)</f>
        <v>1</v>
      </c>
      <c r="DM21" s="7">
        <f>IF(預測IC!DM21&gt;預測IC!DM$25,1,0)</f>
        <v>0</v>
      </c>
      <c r="DN21" s="7">
        <f>IF(預測IC!DN21&gt;預測IC!DN$25,1,0)</f>
        <v>1</v>
      </c>
      <c r="DO21" s="7">
        <f>IF(預測IC!DO21&gt;預測IC!DO$25,1,0)</f>
        <v>1</v>
      </c>
      <c r="DP21" s="7">
        <f>IF(預測IC!DP21&gt;預測IC!DP$25,1,0)</f>
        <v>1</v>
      </c>
      <c r="DQ21" s="7">
        <f>IF(預測IC!DQ21&gt;預測IC!DQ$25,1,0)</f>
        <v>0</v>
      </c>
      <c r="DR21" s="7">
        <f>IF(預測IC!DR21&gt;預測IC!DR$25,1,0)</f>
        <v>1</v>
      </c>
      <c r="DS21" s="7">
        <f>IF(預測IC!DS21&gt;預測IC!DS$25,1,0)</f>
        <v>0</v>
      </c>
      <c r="DT21" s="7">
        <f>IF(預測IC!DT21&gt;預測IC!DT$25,1,0)</f>
        <v>0</v>
      </c>
      <c r="DU21" s="7">
        <f>IF(預測IC!DU21&gt;預測IC!DU$25,1,0)</f>
        <v>0</v>
      </c>
      <c r="DV21" s="7">
        <f>IF(預測IC!DV21&gt;預測IC!DV$25,1,0)</f>
        <v>1</v>
      </c>
      <c r="DW21" s="7">
        <f>IF(預測IC!DW21&gt;預測IC!DW$25,1,0)</f>
        <v>1</v>
      </c>
      <c r="DX21" s="7">
        <f>IF(預測IC!DX21&gt;預測IC!DX$25,1,0)</f>
        <v>0</v>
      </c>
      <c r="DY21" s="7">
        <f>IF(預測IC!DY21&gt;預測IC!DY$25,1,0)</f>
        <v>1</v>
      </c>
      <c r="DZ21" s="7">
        <f>IF(預測IC!DZ21&gt;預測IC!DZ$25,1,0)</f>
        <v>1</v>
      </c>
      <c r="EA21" s="7">
        <f>IF(預測IC!EA21&gt;預測IC!EA$25,1,0)</f>
        <v>1</v>
      </c>
      <c r="EB21" s="7">
        <f>IF(預測IC!EB21&gt;預測IC!EB$25,1,0)</f>
        <v>0</v>
      </c>
      <c r="EC21" s="7">
        <f>IF(預測IC!EC21&gt;預測IC!EC$25,1,0)</f>
        <v>1</v>
      </c>
      <c r="ED21" s="7">
        <f>IF(預測IC!ED21&gt;預測IC!ED$25,1,0)</f>
        <v>0</v>
      </c>
      <c r="EE21" s="7">
        <f>IF(預測IC!EE21&gt;預測IC!EE$25,1,0)</f>
        <v>0</v>
      </c>
      <c r="EF21" s="7">
        <f>IF(預測IC!EF21&gt;預測IC!EF$25,1,0)</f>
        <v>1</v>
      </c>
      <c r="EG21">
        <f t="shared" si="6"/>
        <v>84</v>
      </c>
      <c r="EH21" s="12">
        <f t="shared" si="7"/>
        <v>0.61940298507462688</v>
      </c>
    </row>
    <row r="22" spans="1:138" x14ac:dyDescent="0.3">
      <c r="A22" s="1">
        <v>321</v>
      </c>
      <c r="B22" s="1">
        <v>3</v>
      </c>
      <c r="C22" s="7">
        <f>IF(預測IC!C22&gt;預測IC!C$25,1,0)</f>
        <v>1</v>
      </c>
      <c r="D22" s="7">
        <f>IF(預測IC!D22&gt;預測IC!D$25,1,0)</f>
        <v>1</v>
      </c>
      <c r="E22" s="7">
        <f>IF(預測IC!E22&gt;預測IC!E$25,1,0)</f>
        <v>0</v>
      </c>
      <c r="F22" s="7">
        <f>IF(預測IC!F22&gt;預測IC!F$25,1,0)</f>
        <v>0</v>
      </c>
      <c r="G22" s="7">
        <f>IF(預測IC!G22&gt;預測IC!G$25,1,0)</f>
        <v>1</v>
      </c>
      <c r="H22" s="7">
        <f>IF(預測IC!H22&gt;預測IC!H$25,1,0)</f>
        <v>1</v>
      </c>
      <c r="I22" s="7">
        <f>IF(預測IC!I22&gt;預測IC!I$25,1,0)</f>
        <v>1</v>
      </c>
      <c r="J22" s="7">
        <f>IF(預測IC!J22&gt;預測IC!J$25,1,0)</f>
        <v>0</v>
      </c>
      <c r="K22" s="7">
        <f>IF(預測IC!K22&gt;預測IC!K$25,1,0)</f>
        <v>1</v>
      </c>
      <c r="L22" s="7">
        <f>IF(預測IC!L22&gt;預測IC!L$25,1,0)</f>
        <v>1</v>
      </c>
      <c r="M22" s="7">
        <f>IF(預測IC!M22&gt;預測IC!M$25,1,0)</f>
        <v>0</v>
      </c>
      <c r="N22" s="7">
        <f>IF(預測IC!N22&gt;預測IC!N$25,1,0)</f>
        <v>1</v>
      </c>
      <c r="O22" s="7">
        <f>IF(預測IC!O22&gt;預測IC!O$25,1,0)</f>
        <v>0</v>
      </c>
      <c r="P22" s="7">
        <f>IF(預測IC!P22&gt;預測IC!P$25,1,0)</f>
        <v>1</v>
      </c>
      <c r="Q22" s="7">
        <f>IF(預測IC!Q22&gt;預測IC!Q$25,1,0)</f>
        <v>1</v>
      </c>
      <c r="R22" s="7">
        <f>IF(預測IC!R22&gt;預測IC!R$25,1,0)</f>
        <v>1</v>
      </c>
      <c r="S22" s="7">
        <f>IF(預測IC!S22&gt;預測IC!S$25,1,0)</f>
        <v>0</v>
      </c>
      <c r="T22" s="7">
        <f>IF(預測IC!T22&gt;預測IC!T$25,1,0)</f>
        <v>1</v>
      </c>
      <c r="U22" s="7">
        <f>IF(預測IC!U22&gt;預測IC!U$25,1,0)</f>
        <v>1</v>
      </c>
      <c r="V22" s="7">
        <f>IF(預測IC!V22&gt;預測IC!V$25,1,0)</f>
        <v>0</v>
      </c>
      <c r="W22" s="7">
        <f>IF(預測IC!W22&gt;預測IC!W$25,1,0)</f>
        <v>1</v>
      </c>
      <c r="X22" s="7">
        <f>IF(預測IC!X22&gt;預測IC!X$25,1,0)</f>
        <v>1</v>
      </c>
      <c r="Y22" s="7">
        <f>IF(預測IC!Y22&gt;預測IC!Y$25,1,0)</f>
        <v>0</v>
      </c>
      <c r="Z22" s="7">
        <f>IF(預測IC!Z22&gt;預測IC!Z$25,1,0)</f>
        <v>1</v>
      </c>
      <c r="AA22" s="7">
        <f>IF(預測IC!AA22&gt;預測IC!AA$25,1,0)</f>
        <v>1</v>
      </c>
      <c r="AB22" s="7">
        <f>IF(預測IC!AB22&gt;預測IC!AB$25,1,0)</f>
        <v>0</v>
      </c>
      <c r="AC22" s="7">
        <f>IF(預測IC!AC22&gt;預測IC!AC$25,1,0)</f>
        <v>0</v>
      </c>
      <c r="AD22" s="7">
        <f>IF(預測IC!AD22&gt;預測IC!AD$25,1,0)</f>
        <v>1</v>
      </c>
      <c r="AE22" s="7">
        <f>IF(預測IC!AE22&gt;預測IC!AE$25,1,0)</f>
        <v>0</v>
      </c>
      <c r="AF22" s="7">
        <f>IF(預測IC!AF22&gt;預測IC!AF$25,1,0)</f>
        <v>1</v>
      </c>
      <c r="AG22" s="7">
        <f>IF(預測IC!AG22&gt;預測IC!AG$25,1,0)</f>
        <v>0</v>
      </c>
      <c r="AH22" s="7">
        <f>IF(預測IC!AH22&gt;預測IC!AH$25,1,0)</f>
        <v>0</v>
      </c>
      <c r="AI22" s="7">
        <f>IF(預測IC!AI22&gt;預測IC!AI$25,1,0)</f>
        <v>1</v>
      </c>
      <c r="AJ22" s="7">
        <f>IF(預測IC!AJ22&gt;預測IC!AJ$25,1,0)</f>
        <v>0</v>
      </c>
      <c r="AK22" s="7">
        <f>IF(預測IC!AK22&gt;預測IC!AK$25,1,0)</f>
        <v>1</v>
      </c>
      <c r="AL22" s="7">
        <f>IF(預測IC!AL22&gt;預測IC!AL$25,1,0)</f>
        <v>1</v>
      </c>
      <c r="AM22" s="7">
        <f>IF(預測IC!AM22&gt;預測IC!AM$25,1,0)</f>
        <v>1</v>
      </c>
      <c r="AN22" s="7">
        <f>IF(預測IC!AN22&gt;預測IC!AN$25,1,0)</f>
        <v>1</v>
      </c>
      <c r="AO22" s="7">
        <f>IF(預測IC!AO22&gt;預測IC!AO$25,1,0)</f>
        <v>1</v>
      </c>
      <c r="AP22" s="7">
        <f>IF(預測IC!AP22&gt;預測IC!AP$25,1,0)</f>
        <v>0</v>
      </c>
      <c r="AQ22" s="7">
        <f>IF(預測IC!AQ22&gt;預測IC!AQ$25,1,0)</f>
        <v>1</v>
      </c>
      <c r="AR22" s="7">
        <f>IF(預測IC!AR22&gt;預測IC!AR$25,1,0)</f>
        <v>1</v>
      </c>
      <c r="AS22" s="7">
        <f>IF(預測IC!AS22&gt;預測IC!AS$25,1,0)</f>
        <v>1</v>
      </c>
      <c r="AT22" s="7">
        <f>IF(預測IC!AT22&gt;預測IC!AT$25,1,0)</f>
        <v>0</v>
      </c>
      <c r="AU22" s="7">
        <f>IF(預測IC!AU22&gt;預測IC!AU$25,1,0)</f>
        <v>1</v>
      </c>
      <c r="AV22" s="7">
        <f>IF(預測IC!AV22&gt;預測IC!AV$25,1,0)</f>
        <v>0</v>
      </c>
      <c r="AW22" s="7">
        <f>IF(預測IC!AW22&gt;預測IC!AW$25,1,0)</f>
        <v>0</v>
      </c>
      <c r="AX22" s="7">
        <f>IF(預測IC!AX22&gt;預測IC!AX$25,1,0)</f>
        <v>1</v>
      </c>
      <c r="AY22" s="7">
        <f>IF(預測IC!AY22&gt;預測IC!AY$25,1,0)</f>
        <v>1</v>
      </c>
      <c r="AZ22" s="7">
        <f>IF(預測IC!AZ22&gt;預測IC!AZ$25,1,0)</f>
        <v>0</v>
      </c>
      <c r="BA22" s="7">
        <f>IF(預測IC!BA22&gt;預測IC!BA$25,1,0)</f>
        <v>1</v>
      </c>
      <c r="BB22" s="7">
        <f>IF(預測IC!BB22&gt;預測IC!BB$25,1,0)</f>
        <v>1</v>
      </c>
      <c r="BC22" s="7">
        <f>IF(預測IC!BC22&gt;預測IC!BC$25,1,0)</f>
        <v>0</v>
      </c>
      <c r="BD22" s="7">
        <f>IF(預測IC!BD22&gt;預測IC!BD$25,1,0)</f>
        <v>0</v>
      </c>
      <c r="BE22" s="7">
        <f>IF(預測IC!BE22&gt;預測IC!BE$25,1,0)</f>
        <v>1</v>
      </c>
      <c r="BF22" s="7">
        <f>IF(預測IC!BF22&gt;預測IC!BF$25,1,0)</f>
        <v>1</v>
      </c>
      <c r="BG22" s="7">
        <f>IF(預測IC!BG22&gt;預測IC!BG$25,1,0)</f>
        <v>1</v>
      </c>
      <c r="BH22" s="7">
        <f>IF(預測IC!BH22&gt;預測IC!BH$25,1,0)</f>
        <v>0</v>
      </c>
      <c r="BI22" s="7">
        <f>IF(預測IC!BI22&gt;預測IC!BI$25,1,0)</f>
        <v>1</v>
      </c>
      <c r="BJ22" s="7">
        <f>IF(預測IC!BJ22&gt;預測IC!BJ$25,1,0)</f>
        <v>1</v>
      </c>
      <c r="BK22" s="7">
        <f>IF(預測IC!BK22&gt;預測IC!BK$25,1,0)</f>
        <v>0</v>
      </c>
      <c r="BL22" s="7">
        <f>IF(預測IC!BL22&gt;預測IC!BL$25,1,0)</f>
        <v>1</v>
      </c>
      <c r="BM22" s="7">
        <f>IF(預測IC!BM22&gt;預測IC!BM$25,1,0)</f>
        <v>0</v>
      </c>
      <c r="BN22" s="7">
        <f>IF(預測IC!BN22&gt;預測IC!BN$25,1,0)</f>
        <v>0</v>
      </c>
      <c r="BO22" s="7">
        <f>IF(預測IC!BO22&gt;預測IC!BO$25,1,0)</f>
        <v>0</v>
      </c>
      <c r="BP22" s="7">
        <f>IF(預測IC!BP22&gt;預測IC!BP$25,1,0)</f>
        <v>1</v>
      </c>
      <c r="BQ22" s="7">
        <f>IF(預測IC!BQ22&gt;預測IC!BQ$25,1,0)</f>
        <v>1</v>
      </c>
      <c r="BR22" s="7">
        <f>IF(預測IC!BR22&gt;預測IC!BR$25,1,0)</f>
        <v>1</v>
      </c>
      <c r="BS22" s="7">
        <f>IF(預測IC!BS22&gt;預測IC!BS$25,1,0)</f>
        <v>0</v>
      </c>
      <c r="BT22" s="7">
        <f>IF(預測IC!BT22&gt;預測IC!BT$25,1,0)</f>
        <v>1</v>
      </c>
      <c r="BU22" s="7">
        <f>IF(預測IC!BU22&gt;預測IC!BU$25,1,0)</f>
        <v>1</v>
      </c>
      <c r="BV22" s="7">
        <f>IF(預測IC!BV22&gt;預測IC!BV$25,1,0)</f>
        <v>1</v>
      </c>
      <c r="BW22" s="7">
        <f>IF(預測IC!BW22&gt;預測IC!BW$25,1,0)</f>
        <v>0</v>
      </c>
      <c r="BX22" s="7">
        <f>IF(預測IC!BX22&gt;預測IC!BX$25,1,0)</f>
        <v>1</v>
      </c>
      <c r="BY22" s="7">
        <f>IF(預測IC!BY22&gt;預測IC!BY$25,1,0)</f>
        <v>1</v>
      </c>
      <c r="BZ22" s="7">
        <f>IF(預測IC!BZ22&gt;預測IC!BZ$25,1,0)</f>
        <v>0</v>
      </c>
      <c r="CA22" s="7">
        <f>IF(預測IC!CA22&gt;預測IC!CA$25,1,0)</f>
        <v>0</v>
      </c>
      <c r="CB22" s="7">
        <f>IF(預測IC!CB22&gt;預測IC!CB$25,1,0)</f>
        <v>0</v>
      </c>
      <c r="CC22" s="7">
        <f>IF(預測IC!CC22&gt;預測IC!CC$25,1,0)</f>
        <v>0</v>
      </c>
      <c r="CD22" s="7">
        <f>IF(預測IC!CD22&gt;預測IC!CD$25,1,0)</f>
        <v>1</v>
      </c>
      <c r="CE22" s="7">
        <f>IF(預測IC!CE22&gt;預測IC!CE$25,1,0)</f>
        <v>1</v>
      </c>
      <c r="CF22" s="7">
        <f>IF(預測IC!CF22&gt;預測IC!CF$25,1,0)</f>
        <v>0</v>
      </c>
      <c r="CG22" s="7">
        <f>IF(預測IC!CG22&gt;預測IC!CG$25,1,0)</f>
        <v>1</v>
      </c>
      <c r="CH22" s="7">
        <f>IF(預測IC!CH22&gt;預測IC!CH$25,1,0)</f>
        <v>1</v>
      </c>
      <c r="CI22" s="7">
        <f>IF(預測IC!CI22&gt;預測IC!CI$25,1,0)</f>
        <v>0</v>
      </c>
      <c r="CJ22" s="7">
        <f>IF(預測IC!CJ22&gt;預測IC!CJ$25,1,0)</f>
        <v>0</v>
      </c>
      <c r="CK22" s="7">
        <f>IF(預測IC!CK22&gt;預測IC!CK$25,1,0)</f>
        <v>1</v>
      </c>
      <c r="CL22" s="7">
        <f>IF(預測IC!CL22&gt;預測IC!CL$25,1,0)</f>
        <v>0</v>
      </c>
      <c r="CM22" s="7">
        <f>IF(預測IC!CM22&gt;預測IC!CM$25,1,0)</f>
        <v>1</v>
      </c>
      <c r="CN22" s="7">
        <f>IF(預測IC!CN22&gt;預測IC!CN$25,1,0)</f>
        <v>0</v>
      </c>
      <c r="CO22" s="7">
        <f>IF(預測IC!CO22&gt;預測IC!CO$25,1,0)</f>
        <v>0</v>
      </c>
      <c r="CP22" s="7">
        <f>IF(預測IC!CP22&gt;預測IC!CP$25,1,0)</f>
        <v>1</v>
      </c>
      <c r="CQ22" s="7">
        <f>IF(預測IC!CQ22&gt;預測IC!CQ$25,1,0)</f>
        <v>1</v>
      </c>
      <c r="CR22" s="7">
        <f>IF(預測IC!CR22&gt;預測IC!CR$25,1,0)</f>
        <v>0</v>
      </c>
      <c r="CS22" s="7">
        <f>IF(預測IC!CS22&gt;預測IC!CS$25,1,0)</f>
        <v>0</v>
      </c>
      <c r="CT22" s="7">
        <f>IF(預測IC!CT22&gt;預測IC!CT$25,1,0)</f>
        <v>1</v>
      </c>
      <c r="CU22" s="7">
        <f>IF(預測IC!CU22&gt;預測IC!CU$25,1,0)</f>
        <v>0</v>
      </c>
      <c r="CV22" s="7">
        <f>IF(預測IC!CV22&gt;預測IC!CV$25,1,0)</f>
        <v>1</v>
      </c>
      <c r="CW22" s="7">
        <f>IF(預測IC!CW22&gt;預測IC!CW$25,1,0)</f>
        <v>1</v>
      </c>
      <c r="CX22" s="7">
        <f>IF(預測IC!CX22&gt;預測IC!CX$25,1,0)</f>
        <v>1</v>
      </c>
      <c r="CY22" s="7">
        <f>IF(預測IC!CY22&gt;預測IC!CY$25,1,0)</f>
        <v>0</v>
      </c>
      <c r="CZ22" s="7">
        <f>IF(預測IC!CZ22&gt;預測IC!CZ$25,1,0)</f>
        <v>1</v>
      </c>
      <c r="DA22" s="7">
        <f>IF(預測IC!DA22&gt;預測IC!DA$25,1,0)</f>
        <v>0</v>
      </c>
      <c r="DB22" s="7">
        <f>IF(預測IC!DB22&gt;預測IC!DB$25,1,0)</f>
        <v>1</v>
      </c>
      <c r="DC22" s="7">
        <f>IF(預測IC!DC22&gt;預測IC!DC$25,1,0)</f>
        <v>1</v>
      </c>
      <c r="DD22" s="7">
        <f>IF(預測IC!DD22&gt;預測IC!DD$25,1,0)</f>
        <v>1</v>
      </c>
      <c r="DE22" s="7">
        <f>IF(預測IC!DE22&gt;預測IC!DE$25,1,0)</f>
        <v>0</v>
      </c>
      <c r="DF22" s="7">
        <f>IF(預測IC!DF22&gt;預測IC!DF$25,1,0)</f>
        <v>1</v>
      </c>
      <c r="DG22" s="7">
        <f>IF(預測IC!DG22&gt;預測IC!DG$25,1,0)</f>
        <v>0</v>
      </c>
      <c r="DH22" s="7">
        <f>IF(預測IC!DH22&gt;預測IC!DH$25,1,0)</f>
        <v>0</v>
      </c>
      <c r="DI22" s="7">
        <f>IF(預測IC!DI22&gt;預測IC!DI$25,1,0)</f>
        <v>1</v>
      </c>
      <c r="DJ22" s="7">
        <f>IF(預測IC!DJ22&gt;預測IC!DJ$25,1,0)</f>
        <v>1</v>
      </c>
      <c r="DK22" s="7">
        <f>IF(預測IC!DK22&gt;預測IC!DK$25,1,0)</f>
        <v>1</v>
      </c>
      <c r="DL22" s="7">
        <f>IF(預測IC!DL22&gt;預測IC!DL$25,1,0)</f>
        <v>1</v>
      </c>
      <c r="DM22" s="7">
        <f>IF(預測IC!DM22&gt;預測IC!DM$25,1,0)</f>
        <v>0</v>
      </c>
      <c r="DN22" s="7">
        <f>IF(預測IC!DN22&gt;預測IC!DN$25,1,0)</f>
        <v>1</v>
      </c>
      <c r="DO22" s="7">
        <f>IF(預測IC!DO22&gt;預測IC!DO$25,1,0)</f>
        <v>1</v>
      </c>
      <c r="DP22" s="7">
        <f>IF(預測IC!DP22&gt;預測IC!DP$25,1,0)</f>
        <v>1</v>
      </c>
      <c r="DQ22" s="7">
        <f>IF(預測IC!DQ22&gt;預測IC!DQ$25,1,0)</f>
        <v>0</v>
      </c>
      <c r="DR22" s="7">
        <f>IF(預測IC!DR22&gt;預測IC!DR$25,1,0)</f>
        <v>0</v>
      </c>
      <c r="DS22" s="7">
        <f>IF(預測IC!DS22&gt;預測IC!DS$25,1,0)</f>
        <v>0</v>
      </c>
      <c r="DT22" s="7">
        <f>IF(預測IC!DT22&gt;預測IC!DT$25,1,0)</f>
        <v>0</v>
      </c>
      <c r="DU22" s="7">
        <f>IF(預測IC!DU22&gt;預測IC!DU$25,1,0)</f>
        <v>0</v>
      </c>
      <c r="DV22" s="7">
        <f>IF(預測IC!DV22&gt;預測IC!DV$25,1,0)</f>
        <v>1</v>
      </c>
      <c r="DW22" s="7">
        <f>IF(預測IC!DW22&gt;預測IC!DW$25,1,0)</f>
        <v>1</v>
      </c>
      <c r="DX22" s="7">
        <f>IF(預測IC!DX22&gt;預測IC!DX$25,1,0)</f>
        <v>0</v>
      </c>
      <c r="DY22" s="7">
        <f>IF(預測IC!DY22&gt;預測IC!DY$25,1,0)</f>
        <v>1</v>
      </c>
      <c r="DZ22" s="7">
        <f>IF(預測IC!DZ22&gt;預測IC!DZ$25,1,0)</f>
        <v>1</v>
      </c>
      <c r="EA22" s="7">
        <f>IF(預測IC!EA22&gt;預測IC!EA$25,1,0)</f>
        <v>1</v>
      </c>
      <c r="EB22" s="7">
        <f>IF(預測IC!EB22&gt;預測IC!EB$25,1,0)</f>
        <v>0</v>
      </c>
      <c r="EC22" s="7">
        <f>IF(預測IC!EC22&gt;預測IC!EC$25,1,0)</f>
        <v>1</v>
      </c>
      <c r="ED22" s="7">
        <f>IF(預測IC!ED22&gt;預測IC!ED$25,1,0)</f>
        <v>0</v>
      </c>
      <c r="EE22" s="7">
        <f>IF(預測IC!EE22&gt;預測IC!EE$25,1,0)</f>
        <v>1</v>
      </c>
      <c r="EF22" s="7">
        <f>IF(預測IC!EF22&gt;預測IC!EF$25,1,0)</f>
        <v>0</v>
      </c>
      <c r="EG22">
        <f t="shared" si="6"/>
        <v>78</v>
      </c>
      <c r="EH22" s="12">
        <f t="shared" si="7"/>
        <v>0.58208955223880599</v>
      </c>
    </row>
    <row r="23" spans="1:138" x14ac:dyDescent="0.3">
      <c r="A23" s="1">
        <v>482</v>
      </c>
      <c r="B23" s="1">
        <v>2</v>
      </c>
      <c r="C23" s="7">
        <f>IF(預測IC!C23&gt;預測IC!C$25,1,0)</f>
        <v>1</v>
      </c>
      <c r="D23" s="7">
        <f>IF(預測IC!D23&gt;預測IC!D$25,1,0)</f>
        <v>1</v>
      </c>
      <c r="E23" s="7">
        <f>IF(預測IC!E23&gt;預測IC!E$25,1,0)</f>
        <v>1</v>
      </c>
      <c r="F23" s="7">
        <f>IF(預測IC!F23&gt;預測IC!F$25,1,0)</f>
        <v>1</v>
      </c>
      <c r="G23" s="7">
        <f>IF(預測IC!G23&gt;預測IC!G$25,1,0)</f>
        <v>1</v>
      </c>
      <c r="H23" s="7">
        <f>IF(預測IC!H23&gt;預測IC!H$25,1,0)</f>
        <v>0</v>
      </c>
      <c r="I23" s="7">
        <f>IF(預測IC!I23&gt;預測IC!I$25,1,0)</f>
        <v>0</v>
      </c>
      <c r="J23" s="7">
        <f>IF(預測IC!J23&gt;預測IC!J$25,1,0)</f>
        <v>0</v>
      </c>
      <c r="K23" s="7">
        <f>IF(預測IC!K23&gt;預測IC!K$25,1,0)</f>
        <v>0</v>
      </c>
      <c r="L23" s="7">
        <f>IF(預測IC!L23&gt;預測IC!L$25,1,0)</f>
        <v>1</v>
      </c>
      <c r="M23" s="7">
        <f>IF(預測IC!M23&gt;預測IC!M$25,1,0)</f>
        <v>0</v>
      </c>
      <c r="N23" s="7">
        <f>IF(預測IC!N23&gt;預測IC!N$25,1,0)</f>
        <v>1</v>
      </c>
      <c r="O23" s="7">
        <f>IF(預測IC!O23&gt;預測IC!O$25,1,0)</f>
        <v>0</v>
      </c>
      <c r="P23" s="7">
        <f>IF(預測IC!P23&gt;預測IC!P$25,1,0)</f>
        <v>1</v>
      </c>
      <c r="Q23" s="7">
        <f>IF(預測IC!Q23&gt;預測IC!Q$25,1,0)</f>
        <v>1</v>
      </c>
      <c r="R23" s="7">
        <f>IF(預測IC!R23&gt;預測IC!R$25,1,0)</f>
        <v>1</v>
      </c>
      <c r="S23" s="7">
        <f>IF(預測IC!S23&gt;預測IC!S$25,1,0)</f>
        <v>0</v>
      </c>
      <c r="T23" s="7">
        <f>IF(預測IC!T23&gt;預測IC!T$25,1,0)</f>
        <v>1</v>
      </c>
      <c r="U23" s="7">
        <f>IF(預測IC!U23&gt;預測IC!U$25,1,0)</f>
        <v>1</v>
      </c>
      <c r="V23" s="7">
        <f>IF(預測IC!V23&gt;預測IC!V$25,1,0)</f>
        <v>0</v>
      </c>
      <c r="W23" s="7">
        <f>IF(預測IC!W23&gt;預測IC!W$25,1,0)</f>
        <v>1</v>
      </c>
      <c r="X23" s="7">
        <f>IF(預測IC!X23&gt;預測IC!X$25,1,0)</f>
        <v>1</v>
      </c>
      <c r="Y23" s="7">
        <f>IF(預測IC!Y23&gt;預測IC!Y$25,1,0)</f>
        <v>0</v>
      </c>
      <c r="Z23" s="7">
        <f>IF(預測IC!Z23&gt;預測IC!Z$25,1,0)</f>
        <v>1</v>
      </c>
      <c r="AA23" s="7">
        <f>IF(預測IC!AA23&gt;預測IC!AA$25,1,0)</f>
        <v>1</v>
      </c>
      <c r="AB23" s="7">
        <f>IF(預測IC!AB23&gt;預測IC!AB$25,1,0)</f>
        <v>0</v>
      </c>
      <c r="AC23" s="7">
        <f>IF(預測IC!AC23&gt;預測IC!AC$25,1,0)</f>
        <v>0</v>
      </c>
      <c r="AD23" s="7">
        <f>IF(預測IC!AD23&gt;預測IC!AD$25,1,0)</f>
        <v>1</v>
      </c>
      <c r="AE23" s="7">
        <f>IF(預測IC!AE23&gt;預測IC!AE$25,1,0)</f>
        <v>0</v>
      </c>
      <c r="AF23" s="7">
        <f>IF(預測IC!AF23&gt;預測IC!AF$25,1,0)</f>
        <v>1</v>
      </c>
      <c r="AG23" s="7">
        <f>IF(預測IC!AG23&gt;預測IC!AG$25,1,0)</f>
        <v>0</v>
      </c>
      <c r="AH23" s="7">
        <f>IF(預測IC!AH23&gt;預測IC!AH$25,1,0)</f>
        <v>0</v>
      </c>
      <c r="AI23" s="7">
        <f>IF(預測IC!AI23&gt;預測IC!AI$25,1,0)</f>
        <v>1</v>
      </c>
      <c r="AJ23" s="7">
        <f>IF(預測IC!AJ23&gt;預測IC!AJ$25,1,0)</f>
        <v>0</v>
      </c>
      <c r="AK23" s="7">
        <f>IF(預測IC!AK23&gt;預測IC!AK$25,1,0)</f>
        <v>1</v>
      </c>
      <c r="AL23" s="7">
        <f>IF(預測IC!AL23&gt;預測IC!AL$25,1,0)</f>
        <v>1</v>
      </c>
      <c r="AM23" s="7">
        <f>IF(預測IC!AM23&gt;預測IC!AM$25,1,0)</f>
        <v>0</v>
      </c>
      <c r="AN23" s="7">
        <f>IF(預測IC!AN23&gt;預測IC!AN$25,1,0)</f>
        <v>1</v>
      </c>
      <c r="AO23" s="7">
        <f>IF(預測IC!AO23&gt;預測IC!AO$25,1,0)</f>
        <v>0</v>
      </c>
      <c r="AP23" s="7">
        <f>IF(預測IC!AP23&gt;預測IC!AP$25,1,0)</f>
        <v>0</v>
      </c>
      <c r="AQ23" s="7">
        <f>IF(預測IC!AQ23&gt;預測IC!AQ$25,1,0)</f>
        <v>1</v>
      </c>
      <c r="AR23" s="7">
        <f>IF(預測IC!AR23&gt;預測IC!AR$25,1,0)</f>
        <v>1</v>
      </c>
      <c r="AS23" s="7">
        <f>IF(預測IC!AS23&gt;預測IC!AS$25,1,0)</f>
        <v>0</v>
      </c>
      <c r="AT23" s="7">
        <f>IF(預測IC!AT23&gt;預測IC!AT$25,1,0)</f>
        <v>0</v>
      </c>
      <c r="AU23" s="7">
        <f>IF(預測IC!AU23&gt;預測IC!AU$25,1,0)</f>
        <v>1</v>
      </c>
      <c r="AV23" s="7">
        <f>IF(預測IC!AV23&gt;預測IC!AV$25,1,0)</f>
        <v>0</v>
      </c>
      <c r="AW23" s="7">
        <f>IF(預測IC!AW23&gt;預測IC!AW$25,1,0)</f>
        <v>0</v>
      </c>
      <c r="AX23" s="7">
        <f>IF(預測IC!AX23&gt;預測IC!AX$25,1,0)</f>
        <v>1</v>
      </c>
      <c r="AY23" s="7">
        <f>IF(預測IC!AY23&gt;預測IC!AY$25,1,0)</f>
        <v>1</v>
      </c>
      <c r="AZ23" s="7">
        <f>IF(預測IC!AZ23&gt;預測IC!AZ$25,1,0)</f>
        <v>0</v>
      </c>
      <c r="BA23" s="7">
        <f>IF(預測IC!BA23&gt;預測IC!BA$25,1,0)</f>
        <v>1</v>
      </c>
      <c r="BB23" s="7">
        <f>IF(預測IC!BB23&gt;預測IC!BB$25,1,0)</f>
        <v>1</v>
      </c>
      <c r="BC23" s="7">
        <f>IF(預測IC!BC23&gt;預測IC!BC$25,1,0)</f>
        <v>0</v>
      </c>
      <c r="BD23" s="7">
        <f>IF(預測IC!BD23&gt;預測IC!BD$25,1,0)</f>
        <v>1</v>
      </c>
      <c r="BE23" s="7">
        <f>IF(預測IC!BE23&gt;預測IC!BE$25,1,0)</f>
        <v>0</v>
      </c>
      <c r="BF23" s="7">
        <f>IF(預測IC!BF23&gt;預測IC!BF$25,1,0)</f>
        <v>0</v>
      </c>
      <c r="BG23" s="7">
        <f>IF(預測IC!BG23&gt;預測IC!BG$25,1,0)</f>
        <v>1</v>
      </c>
      <c r="BH23" s="7">
        <f>IF(預測IC!BH23&gt;預測IC!BH$25,1,0)</f>
        <v>0</v>
      </c>
      <c r="BI23" s="7">
        <f>IF(預測IC!BI23&gt;預測IC!BI$25,1,0)</f>
        <v>1</v>
      </c>
      <c r="BJ23" s="7">
        <f>IF(預測IC!BJ23&gt;預測IC!BJ$25,1,0)</f>
        <v>1</v>
      </c>
      <c r="BK23" s="7">
        <f>IF(預測IC!BK23&gt;預測IC!BK$25,1,0)</f>
        <v>0</v>
      </c>
      <c r="BL23" s="7">
        <f>IF(預測IC!BL23&gt;預測IC!BL$25,1,0)</f>
        <v>1</v>
      </c>
      <c r="BM23" s="7">
        <f>IF(預測IC!BM23&gt;預測IC!BM$25,1,0)</f>
        <v>1</v>
      </c>
      <c r="BN23" s="7">
        <f>IF(預測IC!BN23&gt;預測IC!BN$25,1,0)</f>
        <v>0</v>
      </c>
      <c r="BO23" s="7">
        <f>IF(預測IC!BO23&gt;預測IC!BO$25,1,0)</f>
        <v>1</v>
      </c>
      <c r="BP23" s="7">
        <f>IF(預測IC!BP23&gt;預測IC!BP$25,1,0)</f>
        <v>1</v>
      </c>
      <c r="BQ23" s="7">
        <f>IF(預測IC!BQ23&gt;預測IC!BQ$25,1,0)</f>
        <v>1</v>
      </c>
      <c r="BR23" s="7">
        <f>IF(預測IC!BR23&gt;預測IC!BR$25,1,0)</f>
        <v>1</v>
      </c>
      <c r="BS23" s="7">
        <f>IF(預測IC!BS23&gt;預測IC!BS$25,1,0)</f>
        <v>0</v>
      </c>
      <c r="BT23" s="7">
        <f>IF(預測IC!BT23&gt;預測IC!BT$25,1,0)</f>
        <v>1</v>
      </c>
      <c r="BU23" s="7">
        <f>IF(預測IC!BU23&gt;預測IC!BU$25,1,0)</f>
        <v>1</v>
      </c>
      <c r="BV23" s="7">
        <f>IF(預測IC!BV23&gt;預測IC!BV$25,1,0)</f>
        <v>1</v>
      </c>
      <c r="BW23" s="7">
        <f>IF(預測IC!BW23&gt;預測IC!BW$25,1,0)</f>
        <v>0</v>
      </c>
      <c r="BX23" s="7">
        <f>IF(預測IC!BX23&gt;預測IC!BX$25,1,0)</f>
        <v>1</v>
      </c>
      <c r="BY23" s="7">
        <f>IF(預測IC!BY23&gt;預測IC!BY$25,1,0)</f>
        <v>1</v>
      </c>
      <c r="BZ23" s="7">
        <f>IF(預測IC!BZ23&gt;預測IC!BZ$25,1,0)</f>
        <v>0</v>
      </c>
      <c r="CA23" s="7">
        <f>IF(預測IC!CA23&gt;預測IC!CA$25,1,0)</f>
        <v>0</v>
      </c>
      <c r="CB23" s="7">
        <f>IF(預測IC!CB23&gt;預測IC!CB$25,1,0)</f>
        <v>0</v>
      </c>
      <c r="CC23" s="7">
        <f>IF(預測IC!CC23&gt;預測IC!CC$25,1,0)</f>
        <v>0</v>
      </c>
      <c r="CD23" s="7">
        <f>IF(預測IC!CD23&gt;預測IC!CD$25,1,0)</f>
        <v>1</v>
      </c>
      <c r="CE23" s="7">
        <f>IF(預測IC!CE23&gt;預測IC!CE$25,1,0)</f>
        <v>1</v>
      </c>
      <c r="CF23" s="7">
        <f>IF(預測IC!CF23&gt;預測IC!CF$25,1,0)</f>
        <v>0</v>
      </c>
      <c r="CG23" s="7">
        <f>IF(預測IC!CG23&gt;預測IC!CG$25,1,0)</f>
        <v>1</v>
      </c>
      <c r="CH23" s="7">
        <f>IF(預測IC!CH23&gt;預測IC!CH$25,1,0)</f>
        <v>1</v>
      </c>
      <c r="CI23" s="7">
        <f>IF(預測IC!CI23&gt;預測IC!CI$25,1,0)</f>
        <v>0</v>
      </c>
      <c r="CJ23" s="7">
        <f>IF(預測IC!CJ23&gt;預測IC!CJ$25,1,0)</f>
        <v>0</v>
      </c>
      <c r="CK23" s="7">
        <f>IF(預測IC!CK23&gt;預測IC!CK$25,1,0)</f>
        <v>1</v>
      </c>
      <c r="CL23" s="7">
        <f>IF(預測IC!CL23&gt;預測IC!CL$25,1,0)</f>
        <v>0</v>
      </c>
      <c r="CM23" s="7">
        <f>IF(預測IC!CM23&gt;預測IC!CM$25,1,0)</f>
        <v>1</v>
      </c>
      <c r="CN23" s="7">
        <f>IF(預測IC!CN23&gt;預測IC!CN$25,1,0)</f>
        <v>0</v>
      </c>
      <c r="CO23" s="7">
        <f>IF(預測IC!CO23&gt;預測IC!CO$25,1,0)</f>
        <v>0</v>
      </c>
      <c r="CP23" s="7">
        <f>IF(預測IC!CP23&gt;預測IC!CP$25,1,0)</f>
        <v>1</v>
      </c>
      <c r="CQ23" s="7">
        <f>IF(預測IC!CQ23&gt;預測IC!CQ$25,1,0)</f>
        <v>1</v>
      </c>
      <c r="CR23" s="7">
        <f>IF(預測IC!CR23&gt;預測IC!CR$25,1,0)</f>
        <v>0</v>
      </c>
      <c r="CS23" s="7">
        <f>IF(預測IC!CS23&gt;預測IC!CS$25,1,0)</f>
        <v>1</v>
      </c>
      <c r="CT23" s="7">
        <f>IF(預測IC!CT23&gt;預測IC!CT$25,1,0)</f>
        <v>1</v>
      </c>
      <c r="CU23" s="7">
        <f>IF(預測IC!CU23&gt;預測IC!CU$25,1,0)</f>
        <v>1</v>
      </c>
      <c r="CV23" s="7">
        <f>IF(預測IC!CV23&gt;預測IC!CV$25,1,0)</f>
        <v>0</v>
      </c>
      <c r="CW23" s="7">
        <f>IF(預測IC!CW23&gt;預測IC!CW$25,1,0)</f>
        <v>1</v>
      </c>
      <c r="CX23" s="7">
        <f>IF(預測IC!CX23&gt;預測IC!CX$25,1,0)</f>
        <v>0</v>
      </c>
      <c r="CY23" s="7">
        <f>IF(預測IC!CY23&gt;預測IC!CY$25,1,0)</f>
        <v>1</v>
      </c>
      <c r="CZ23" s="7">
        <f>IF(預測IC!CZ23&gt;預測IC!CZ$25,1,0)</f>
        <v>1</v>
      </c>
      <c r="DA23" s="7">
        <f>IF(預測IC!DA23&gt;預測IC!DA$25,1,0)</f>
        <v>0</v>
      </c>
      <c r="DB23" s="7">
        <f>IF(預測IC!DB23&gt;預測IC!DB$25,1,0)</f>
        <v>1</v>
      </c>
      <c r="DC23" s="7">
        <f>IF(預測IC!DC23&gt;預測IC!DC$25,1,0)</f>
        <v>1</v>
      </c>
      <c r="DD23" s="7">
        <f>IF(預測IC!DD23&gt;預測IC!DD$25,1,0)</f>
        <v>1</v>
      </c>
      <c r="DE23" s="7">
        <f>IF(預測IC!DE23&gt;預測IC!DE$25,1,0)</f>
        <v>0</v>
      </c>
      <c r="DF23" s="7">
        <f>IF(預測IC!DF23&gt;預測IC!DF$25,1,0)</f>
        <v>1</v>
      </c>
      <c r="DG23" s="7">
        <f>IF(預測IC!DG23&gt;預測IC!DG$25,1,0)</f>
        <v>0</v>
      </c>
      <c r="DH23" s="7">
        <f>IF(預測IC!DH23&gt;預測IC!DH$25,1,0)</f>
        <v>1</v>
      </c>
      <c r="DI23" s="7">
        <f>IF(預測IC!DI23&gt;預測IC!DI$25,1,0)</f>
        <v>1</v>
      </c>
      <c r="DJ23" s="7">
        <f>IF(預測IC!DJ23&gt;預測IC!DJ$25,1,0)</f>
        <v>0</v>
      </c>
      <c r="DK23" s="7">
        <f>IF(預測IC!DK23&gt;預測IC!DK$25,1,0)</f>
        <v>1</v>
      </c>
      <c r="DL23" s="7">
        <f>IF(預測IC!DL23&gt;預測IC!DL$25,1,0)</f>
        <v>1</v>
      </c>
      <c r="DM23" s="7">
        <f>IF(預測IC!DM23&gt;預測IC!DM$25,1,0)</f>
        <v>0</v>
      </c>
      <c r="DN23" s="7">
        <f>IF(預測IC!DN23&gt;預測IC!DN$25,1,0)</f>
        <v>1</v>
      </c>
      <c r="DO23" s="7">
        <f>IF(預測IC!DO23&gt;預測IC!DO$25,1,0)</f>
        <v>1</v>
      </c>
      <c r="DP23" s="7">
        <f>IF(預測IC!DP23&gt;預測IC!DP$25,1,0)</f>
        <v>1</v>
      </c>
      <c r="DQ23" s="7">
        <f>IF(預測IC!DQ23&gt;預測IC!DQ$25,1,0)</f>
        <v>0</v>
      </c>
      <c r="DR23" s="7">
        <f>IF(預測IC!DR23&gt;預測IC!DR$25,1,0)</f>
        <v>0</v>
      </c>
      <c r="DS23" s="7">
        <f>IF(預測IC!DS23&gt;預測IC!DS$25,1,0)</f>
        <v>0</v>
      </c>
      <c r="DT23" s="7">
        <f>IF(預測IC!DT23&gt;預測IC!DT$25,1,0)</f>
        <v>0</v>
      </c>
      <c r="DU23" s="7">
        <f>IF(預測IC!DU23&gt;預測IC!DU$25,1,0)</f>
        <v>0</v>
      </c>
      <c r="DV23" s="7">
        <f>IF(預測IC!DV23&gt;預測IC!DV$25,1,0)</f>
        <v>1</v>
      </c>
      <c r="DW23" s="7">
        <f>IF(預測IC!DW23&gt;預測IC!DW$25,1,0)</f>
        <v>1</v>
      </c>
      <c r="DX23" s="7">
        <f>IF(預測IC!DX23&gt;預測IC!DX$25,1,0)</f>
        <v>0</v>
      </c>
      <c r="DY23" s="7">
        <f>IF(預測IC!DY23&gt;預測IC!DY$25,1,0)</f>
        <v>0</v>
      </c>
      <c r="DZ23" s="7">
        <f>IF(預測IC!DZ23&gt;預測IC!DZ$25,1,0)</f>
        <v>0</v>
      </c>
      <c r="EA23" s="7">
        <f>IF(預測IC!EA23&gt;預測IC!EA$25,1,0)</f>
        <v>0</v>
      </c>
      <c r="EB23" s="7">
        <f>IF(預測IC!EB23&gt;預測IC!EB$25,1,0)</f>
        <v>0</v>
      </c>
      <c r="EC23" s="7">
        <f>IF(預測IC!EC23&gt;預測IC!EC$25,1,0)</f>
        <v>1</v>
      </c>
      <c r="ED23" s="7">
        <f>IF(預測IC!ED23&gt;預測IC!ED$25,1,0)</f>
        <v>0</v>
      </c>
      <c r="EE23" s="7">
        <f>IF(預測IC!EE23&gt;預測IC!EE$25,1,0)</f>
        <v>1</v>
      </c>
      <c r="EF23" s="7">
        <f>IF(預測IC!EF23&gt;預測IC!EF$25,1,0)</f>
        <v>0</v>
      </c>
      <c r="EG23">
        <f t="shared" si="6"/>
        <v>73</v>
      </c>
      <c r="EH23" s="12">
        <f t="shared" si="7"/>
        <v>0.54477611940298509</v>
      </c>
    </row>
    <row r="24" spans="1:138" x14ac:dyDescent="0.3">
      <c r="A24" s="1">
        <v>964</v>
      </c>
      <c r="B24" s="1">
        <v>1</v>
      </c>
      <c r="C24" s="7">
        <f>IF(預測IC!C24&gt;預測IC!C$25,1,0)</f>
        <v>1</v>
      </c>
      <c r="D24" s="7">
        <f>IF(預測IC!D24&gt;預測IC!D$25,1,0)</f>
        <v>1</v>
      </c>
      <c r="E24" s="7">
        <f>IF(預測IC!E24&gt;預測IC!E$25,1,0)</f>
        <v>1</v>
      </c>
      <c r="F24" s="7">
        <f>IF(預測IC!F24&gt;預測IC!F$25,1,0)</f>
        <v>1</v>
      </c>
      <c r="G24" s="7">
        <f>IF(預測IC!G24&gt;預測IC!G$25,1,0)</f>
        <v>1</v>
      </c>
      <c r="H24" s="7">
        <f>IF(預測IC!H24&gt;預測IC!H$25,1,0)</f>
        <v>1</v>
      </c>
      <c r="I24" s="7">
        <f>IF(預測IC!I24&gt;預測IC!I$25,1,0)</f>
        <v>1</v>
      </c>
      <c r="J24" s="7">
        <f>IF(預測IC!J24&gt;預測IC!J$25,1,0)</f>
        <v>0</v>
      </c>
      <c r="K24" s="7">
        <f>IF(預測IC!K24&gt;預測IC!K$25,1,0)</f>
        <v>1</v>
      </c>
      <c r="L24" s="7">
        <f>IF(預測IC!L24&gt;預測IC!L$25,1,0)</f>
        <v>1</v>
      </c>
      <c r="M24" s="7">
        <f>IF(預測IC!M24&gt;預測IC!M$25,1,0)</f>
        <v>0</v>
      </c>
      <c r="N24" s="7">
        <f>IF(預測IC!N24&gt;預測IC!N$25,1,0)</f>
        <v>1</v>
      </c>
      <c r="O24" s="7">
        <f>IF(預測IC!O24&gt;預測IC!O$25,1,0)</f>
        <v>0</v>
      </c>
      <c r="P24" s="7">
        <f>IF(預測IC!P24&gt;預測IC!P$25,1,0)</f>
        <v>0</v>
      </c>
      <c r="Q24" s="7">
        <f>IF(預測IC!Q24&gt;預測IC!Q$25,1,0)</f>
        <v>1</v>
      </c>
      <c r="R24" s="7">
        <f>IF(預測IC!R24&gt;預測IC!R$25,1,0)</f>
        <v>0</v>
      </c>
      <c r="S24" s="7">
        <f>IF(預測IC!S24&gt;預測IC!S$25,1,0)</f>
        <v>1</v>
      </c>
      <c r="T24" s="7">
        <f>IF(預測IC!T24&gt;預測IC!T$25,1,0)</f>
        <v>1</v>
      </c>
      <c r="U24" s="7">
        <f>IF(預測IC!U24&gt;預測IC!U$25,1,0)</f>
        <v>1</v>
      </c>
      <c r="V24" s="7">
        <f>IF(預測IC!V24&gt;預測IC!V$25,1,0)</f>
        <v>0</v>
      </c>
      <c r="W24" s="7">
        <f>IF(預測IC!W24&gt;預測IC!W$25,1,0)</f>
        <v>1</v>
      </c>
      <c r="X24" s="7">
        <f>IF(預測IC!X24&gt;預測IC!X$25,1,0)</f>
        <v>0</v>
      </c>
      <c r="Y24" s="7">
        <f>IF(預測IC!Y24&gt;預測IC!Y$25,1,0)</f>
        <v>0</v>
      </c>
      <c r="Z24" s="7">
        <f>IF(預測IC!Z24&gt;預測IC!Z$25,1,0)</f>
        <v>0</v>
      </c>
      <c r="AA24" s="7">
        <f>IF(預測IC!AA24&gt;預測IC!AA$25,1,0)</f>
        <v>1</v>
      </c>
      <c r="AB24" s="7">
        <f>IF(預測IC!AB24&gt;預測IC!AB$25,1,0)</f>
        <v>1</v>
      </c>
      <c r="AC24" s="7">
        <f>IF(預測IC!AC24&gt;預測IC!AC$25,1,0)</f>
        <v>0</v>
      </c>
      <c r="AD24" s="7">
        <f>IF(預測IC!AD24&gt;預測IC!AD$25,1,0)</f>
        <v>0</v>
      </c>
      <c r="AE24" s="7">
        <f>IF(預測IC!AE24&gt;預測IC!AE$25,1,0)</f>
        <v>0</v>
      </c>
      <c r="AF24" s="7">
        <f>IF(預測IC!AF24&gt;預測IC!AF$25,1,0)</f>
        <v>1</v>
      </c>
      <c r="AG24" s="7">
        <f>IF(預測IC!AG24&gt;預測IC!AG$25,1,0)</f>
        <v>1</v>
      </c>
      <c r="AH24" s="7">
        <f>IF(預測IC!AH24&gt;預測IC!AH$25,1,0)</f>
        <v>0</v>
      </c>
      <c r="AI24" s="7">
        <f>IF(預測IC!AI24&gt;預測IC!AI$25,1,0)</f>
        <v>0</v>
      </c>
      <c r="AJ24" s="7">
        <f>IF(預測IC!AJ24&gt;預測IC!AJ$25,1,0)</f>
        <v>0</v>
      </c>
      <c r="AK24" s="7">
        <f>IF(預測IC!AK24&gt;預測IC!AK$25,1,0)</f>
        <v>1</v>
      </c>
      <c r="AL24" s="7">
        <f>IF(預測IC!AL24&gt;預測IC!AL$25,1,0)</f>
        <v>0</v>
      </c>
      <c r="AM24" s="7">
        <f>IF(預測IC!AM24&gt;預測IC!AM$25,1,0)</f>
        <v>0</v>
      </c>
      <c r="AN24" s="7">
        <f>IF(預測IC!AN24&gt;預測IC!AN$25,1,0)</f>
        <v>1</v>
      </c>
      <c r="AO24" s="7">
        <f>IF(預測IC!AO24&gt;預測IC!AO$25,1,0)</f>
        <v>1</v>
      </c>
      <c r="AP24" s="7">
        <f>IF(預測IC!AP24&gt;預測IC!AP$25,1,0)</f>
        <v>0</v>
      </c>
      <c r="AQ24" s="7">
        <f>IF(預測IC!AQ24&gt;預測IC!AQ$25,1,0)</f>
        <v>1</v>
      </c>
      <c r="AR24" s="7">
        <f>IF(預測IC!AR24&gt;預測IC!AR$25,1,0)</f>
        <v>0</v>
      </c>
      <c r="AS24" s="7">
        <f>IF(預測IC!AS24&gt;預測IC!AS$25,1,0)</f>
        <v>0</v>
      </c>
      <c r="AT24" s="7">
        <f>IF(預測IC!AT24&gt;預測IC!AT$25,1,0)</f>
        <v>1</v>
      </c>
      <c r="AU24" s="7">
        <f>IF(預測IC!AU24&gt;預測IC!AU$25,1,0)</f>
        <v>1</v>
      </c>
      <c r="AV24" s="7">
        <f>IF(預測IC!AV24&gt;預測IC!AV$25,1,0)</f>
        <v>0</v>
      </c>
      <c r="AW24" s="7">
        <f>IF(預測IC!AW24&gt;預測IC!AW$25,1,0)</f>
        <v>1</v>
      </c>
      <c r="AX24" s="7">
        <f>IF(預測IC!AX24&gt;預測IC!AX$25,1,0)</f>
        <v>1</v>
      </c>
      <c r="AY24" s="7">
        <f>IF(預測IC!AY24&gt;預測IC!AY$25,1,0)</f>
        <v>1</v>
      </c>
      <c r="AZ24" s="7">
        <f>IF(預測IC!AZ24&gt;預測IC!AZ$25,1,0)</f>
        <v>1</v>
      </c>
      <c r="BA24" s="7">
        <f>IF(預測IC!BA24&gt;預測IC!BA$25,1,0)</f>
        <v>1</v>
      </c>
      <c r="BB24" s="7">
        <f>IF(預測IC!BB24&gt;預測IC!BB$25,1,0)</f>
        <v>1</v>
      </c>
      <c r="BC24" s="7">
        <f>IF(預測IC!BC24&gt;預測IC!BC$25,1,0)</f>
        <v>0</v>
      </c>
      <c r="BD24" s="7">
        <f>IF(預測IC!BD24&gt;預測IC!BD$25,1,0)</f>
        <v>1</v>
      </c>
      <c r="BE24" s="7">
        <f>IF(預測IC!BE24&gt;預測IC!BE$25,1,0)</f>
        <v>0</v>
      </c>
      <c r="BF24" s="7">
        <f>IF(預測IC!BF24&gt;預測IC!BF$25,1,0)</f>
        <v>1</v>
      </c>
      <c r="BG24" s="7">
        <f>IF(預測IC!BG24&gt;預測IC!BG$25,1,0)</f>
        <v>1</v>
      </c>
      <c r="BH24" s="7">
        <f>IF(預測IC!BH24&gt;預測IC!BH$25,1,0)</f>
        <v>0</v>
      </c>
      <c r="BI24" s="7">
        <f>IF(預測IC!BI24&gt;預測IC!BI$25,1,0)</f>
        <v>1</v>
      </c>
      <c r="BJ24" s="7">
        <f>IF(預測IC!BJ24&gt;預測IC!BJ$25,1,0)</f>
        <v>1</v>
      </c>
      <c r="BK24" s="7">
        <f>IF(預測IC!BK24&gt;預測IC!BK$25,1,0)</f>
        <v>0</v>
      </c>
      <c r="BL24" s="7">
        <f>IF(預測IC!BL24&gt;預測IC!BL$25,1,0)</f>
        <v>1</v>
      </c>
      <c r="BM24" s="7">
        <f>IF(預測IC!BM24&gt;預測IC!BM$25,1,0)</f>
        <v>0</v>
      </c>
      <c r="BN24" s="7">
        <f>IF(預測IC!BN24&gt;預測IC!BN$25,1,0)</f>
        <v>0</v>
      </c>
      <c r="BO24" s="7">
        <f>IF(預測IC!BO24&gt;預測IC!BO$25,1,0)</f>
        <v>0</v>
      </c>
      <c r="BP24" s="7">
        <f>IF(預測IC!BP24&gt;預測IC!BP$25,1,0)</f>
        <v>1</v>
      </c>
      <c r="BQ24" s="7">
        <f>IF(預測IC!BQ24&gt;預測IC!BQ$25,1,0)</f>
        <v>0</v>
      </c>
      <c r="BR24" s="7">
        <f>IF(預測IC!BR24&gt;預測IC!BR$25,1,0)</f>
        <v>1</v>
      </c>
      <c r="BS24" s="7">
        <f>IF(預測IC!BS24&gt;預測IC!BS$25,1,0)</f>
        <v>0</v>
      </c>
      <c r="BT24" s="7">
        <f>IF(預測IC!BT24&gt;預測IC!BT$25,1,0)</f>
        <v>1</v>
      </c>
      <c r="BU24" s="7">
        <f>IF(預測IC!BU24&gt;預測IC!BU$25,1,0)</f>
        <v>1</v>
      </c>
      <c r="BV24" s="7">
        <f>IF(預測IC!BV24&gt;預測IC!BV$25,1,0)</f>
        <v>1</v>
      </c>
      <c r="BW24" s="7">
        <f>IF(預測IC!BW24&gt;預測IC!BW$25,1,0)</f>
        <v>0</v>
      </c>
      <c r="BX24" s="7">
        <f>IF(預測IC!BX24&gt;預測IC!BX$25,1,0)</f>
        <v>0</v>
      </c>
      <c r="BY24" s="7">
        <f>IF(預測IC!BY24&gt;預測IC!BY$25,1,0)</f>
        <v>1</v>
      </c>
      <c r="BZ24" s="7">
        <f>IF(預測IC!BZ24&gt;預測IC!BZ$25,1,0)</f>
        <v>1</v>
      </c>
      <c r="CA24" s="7">
        <f>IF(預測IC!CA24&gt;預測IC!CA$25,1,0)</f>
        <v>0</v>
      </c>
      <c r="CB24" s="7">
        <f>IF(預測IC!CB24&gt;預測IC!CB$25,1,0)</f>
        <v>1</v>
      </c>
      <c r="CC24" s="7">
        <f>IF(預測IC!CC24&gt;預測IC!CC$25,1,0)</f>
        <v>0</v>
      </c>
      <c r="CD24" s="7">
        <f>IF(預測IC!CD24&gt;預測IC!CD$25,1,0)</f>
        <v>1</v>
      </c>
      <c r="CE24" s="7">
        <f>IF(預測IC!CE24&gt;預測IC!CE$25,1,0)</f>
        <v>1</v>
      </c>
      <c r="CF24" s="7">
        <f>IF(預測IC!CF24&gt;預測IC!CF$25,1,0)</f>
        <v>0</v>
      </c>
      <c r="CG24" s="7">
        <f>IF(預測IC!CG24&gt;預測IC!CG$25,1,0)</f>
        <v>1</v>
      </c>
      <c r="CH24" s="7">
        <f>IF(預測IC!CH24&gt;預測IC!CH$25,1,0)</f>
        <v>1</v>
      </c>
      <c r="CI24" s="7">
        <f>IF(預測IC!CI24&gt;預測IC!CI$25,1,0)</f>
        <v>1</v>
      </c>
      <c r="CJ24" s="7">
        <f>IF(預測IC!CJ24&gt;預測IC!CJ$25,1,0)</f>
        <v>0</v>
      </c>
      <c r="CK24" s="7">
        <f>IF(預測IC!CK24&gt;預測IC!CK$25,1,0)</f>
        <v>1</v>
      </c>
      <c r="CL24" s="7">
        <f>IF(預測IC!CL24&gt;預測IC!CL$25,1,0)</f>
        <v>1</v>
      </c>
      <c r="CM24" s="7">
        <f>IF(預測IC!CM24&gt;預測IC!CM$25,1,0)</f>
        <v>1</v>
      </c>
      <c r="CN24" s="7">
        <f>IF(預測IC!CN24&gt;預測IC!CN$25,1,0)</f>
        <v>0</v>
      </c>
      <c r="CO24" s="7">
        <f>IF(預測IC!CO24&gt;預測IC!CO$25,1,0)</f>
        <v>0</v>
      </c>
      <c r="CP24" s="7">
        <f>IF(預測IC!CP24&gt;預測IC!CP$25,1,0)</f>
        <v>1</v>
      </c>
      <c r="CQ24" s="7">
        <f>IF(預測IC!CQ24&gt;預測IC!CQ$25,1,0)</f>
        <v>1</v>
      </c>
      <c r="CR24" s="7">
        <f>IF(預測IC!CR24&gt;預測IC!CR$25,1,0)</f>
        <v>0</v>
      </c>
      <c r="CS24" s="7">
        <f>IF(預測IC!CS24&gt;預測IC!CS$25,1,0)</f>
        <v>0</v>
      </c>
      <c r="CT24" s="7">
        <f>IF(預測IC!CT24&gt;預測IC!CT$25,1,0)</f>
        <v>1</v>
      </c>
      <c r="CU24" s="7">
        <f>IF(預測IC!CU24&gt;預測IC!CU$25,1,0)</f>
        <v>0</v>
      </c>
      <c r="CV24" s="7">
        <f>IF(預測IC!CV24&gt;預測IC!CV$25,1,0)</f>
        <v>1</v>
      </c>
      <c r="CW24" s="7">
        <f>IF(預測IC!CW24&gt;預測IC!CW$25,1,0)</f>
        <v>1</v>
      </c>
      <c r="CX24" s="7">
        <f>IF(預測IC!CX24&gt;預測IC!CX$25,1,0)</f>
        <v>1</v>
      </c>
      <c r="CY24" s="7">
        <f>IF(預測IC!CY24&gt;預測IC!CY$25,1,0)</f>
        <v>0</v>
      </c>
      <c r="CZ24" s="7">
        <f>IF(預測IC!CZ24&gt;預測IC!CZ$25,1,0)</f>
        <v>1</v>
      </c>
      <c r="DA24" s="7">
        <f>IF(預測IC!DA24&gt;預測IC!DA$25,1,0)</f>
        <v>1</v>
      </c>
      <c r="DB24" s="7">
        <f>IF(預測IC!DB24&gt;預測IC!DB$25,1,0)</f>
        <v>0</v>
      </c>
      <c r="DC24" s="7">
        <f>IF(預測IC!DC24&gt;預測IC!DC$25,1,0)</f>
        <v>1</v>
      </c>
      <c r="DD24" s="7">
        <f>IF(預測IC!DD24&gt;預測IC!DD$25,1,0)</f>
        <v>1</v>
      </c>
      <c r="DE24" s="7">
        <f>IF(預測IC!DE24&gt;預測IC!DE$25,1,0)</f>
        <v>0</v>
      </c>
      <c r="DF24" s="7">
        <f>IF(預測IC!DF24&gt;預測IC!DF$25,1,0)</f>
        <v>0</v>
      </c>
      <c r="DG24" s="7">
        <f>IF(預測IC!DG24&gt;預測IC!DG$25,1,0)</f>
        <v>0</v>
      </c>
      <c r="DH24" s="7">
        <f>IF(預測IC!DH24&gt;預測IC!DH$25,1,0)</f>
        <v>0</v>
      </c>
      <c r="DI24" s="7">
        <f>IF(預測IC!DI24&gt;預測IC!DI$25,1,0)</f>
        <v>1</v>
      </c>
      <c r="DJ24" s="7">
        <f>IF(預測IC!DJ24&gt;預測IC!DJ$25,1,0)</f>
        <v>1</v>
      </c>
      <c r="DK24" s="7">
        <f>IF(預測IC!DK24&gt;預測IC!DK$25,1,0)</f>
        <v>1</v>
      </c>
      <c r="DL24" s="7">
        <f>IF(預測IC!DL24&gt;預測IC!DL$25,1,0)</f>
        <v>1</v>
      </c>
      <c r="DM24" s="7">
        <f>IF(預測IC!DM24&gt;預測IC!DM$25,1,0)</f>
        <v>0</v>
      </c>
      <c r="DN24" s="7">
        <f>IF(預測IC!DN24&gt;預測IC!DN$25,1,0)</f>
        <v>1</v>
      </c>
      <c r="DO24" s="7">
        <f>IF(預測IC!DO24&gt;預測IC!DO$25,1,0)</f>
        <v>1</v>
      </c>
      <c r="DP24" s="7">
        <f>IF(預測IC!DP24&gt;預測IC!DP$25,1,0)</f>
        <v>1</v>
      </c>
      <c r="DQ24" s="7">
        <f>IF(預測IC!DQ24&gt;預測IC!DQ$25,1,0)</f>
        <v>0</v>
      </c>
      <c r="DR24" s="7">
        <f>IF(預測IC!DR24&gt;預測IC!DR$25,1,0)</f>
        <v>0</v>
      </c>
      <c r="DS24" s="7">
        <f>IF(預測IC!DS24&gt;預測IC!DS$25,1,0)</f>
        <v>0</v>
      </c>
      <c r="DT24" s="7">
        <f>IF(預測IC!DT24&gt;預測IC!DT$25,1,0)</f>
        <v>0</v>
      </c>
      <c r="DU24" s="7">
        <f>IF(預測IC!DU24&gt;預測IC!DU$25,1,0)</f>
        <v>0</v>
      </c>
      <c r="DV24" s="7">
        <f>IF(預測IC!DV24&gt;預測IC!DV$25,1,0)</f>
        <v>1</v>
      </c>
      <c r="DW24" s="7">
        <f>IF(預測IC!DW24&gt;預測IC!DW$25,1,0)</f>
        <v>1</v>
      </c>
      <c r="DX24" s="7">
        <f>IF(預測IC!DX24&gt;預測IC!DX$25,1,0)</f>
        <v>0</v>
      </c>
      <c r="DY24" s="7">
        <f>IF(預測IC!DY24&gt;預測IC!DY$25,1,0)</f>
        <v>1</v>
      </c>
      <c r="DZ24" s="7">
        <f>IF(預測IC!DZ24&gt;預測IC!DZ$25,1,0)</f>
        <v>0</v>
      </c>
      <c r="EA24" s="7">
        <f>IF(預測IC!EA24&gt;預測IC!EA$25,1,0)</f>
        <v>0</v>
      </c>
      <c r="EB24" s="7">
        <f>IF(預測IC!EB24&gt;預測IC!EB$25,1,0)</f>
        <v>0</v>
      </c>
      <c r="EC24" s="7">
        <f>IF(預測IC!EC24&gt;預測IC!EC$25,1,0)</f>
        <v>1</v>
      </c>
      <c r="ED24" s="7">
        <f>IF(預測IC!ED24&gt;預測IC!ED$25,1,0)</f>
        <v>0</v>
      </c>
      <c r="EE24" s="7">
        <f>IF(預測IC!EE24&gt;預測IC!EE$25,1,0)</f>
        <v>1</v>
      </c>
      <c r="EF24" s="7">
        <f>IF(預測IC!EF24&gt;預測IC!EF$25,1,0)</f>
        <v>1</v>
      </c>
      <c r="EG24">
        <f t="shared" si="6"/>
        <v>76</v>
      </c>
      <c r="EH24" s="12">
        <f t="shared" si="7"/>
        <v>0.55970149253731338</v>
      </c>
    </row>
    <row r="25" spans="1:138" s="13" customFormat="1" x14ac:dyDescent="0.3">
      <c r="A25" s="6" t="s">
        <v>147</v>
      </c>
      <c r="B25" s="6" t="s">
        <v>148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25"/>
  <sheetViews>
    <sheetView zoomScale="79" workbookViewId="0">
      <selection sqref="A1:XFD1048576"/>
    </sheetView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7" x14ac:dyDescent="0.3">
      <c r="A1" t="s">
        <v>149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7" x14ac:dyDescent="0.3">
      <c r="B3" s="1" t="s">
        <v>136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137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138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7" x14ac:dyDescent="0.3">
      <c r="A6" s="22" t="s">
        <v>139</v>
      </c>
      <c r="B6" s="23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BN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si="0"/>
        <v>bm</v>
      </c>
      <c r="AJ7" s="7" t="str">
        <f t="shared" si="0"/>
        <v>bm</v>
      </c>
      <c r="AK7" s="7" t="str">
        <f t="shared" si="0"/>
        <v>bm</v>
      </c>
      <c r="AL7" s="7" t="str">
        <f t="shared" si="0"/>
        <v>bm</v>
      </c>
      <c r="AM7" s="7" t="str">
        <f t="shared" si="0"/>
        <v>bm</v>
      </c>
      <c r="AN7" s="7" t="str">
        <f t="shared" si="0"/>
        <v>bm</v>
      </c>
      <c r="AO7" s="7" t="str">
        <f t="shared" si="0"/>
        <v>bm</v>
      </c>
      <c r="AP7" s="7" t="str">
        <f t="shared" si="0"/>
        <v>bm</v>
      </c>
      <c r="AQ7" s="7" t="str">
        <f t="shared" si="0"/>
        <v>bm</v>
      </c>
      <c r="AR7" s="7" t="str">
        <f t="shared" si="0"/>
        <v>bm</v>
      </c>
      <c r="AS7" s="7" t="str">
        <f t="shared" si="0"/>
        <v>bm</v>
      </c>
      <c r="AT7" s="7" t="str">
        <f t="shared" si="0"/>
        <v>bm</v>
      </c>
      <c r="AU7" s="7" t="str">
        <f t="shared" si="0"/>
        <v>bm</v>
      </c>
      <c r="AV7" s="7" t="str">
        <f t="shared" si="0"/>
        <v>bm</v>
      </c>
      <c r="AW7" s="7" t="str">
        <f t="shared" si="0"/>
        <v>bm</v>
      </c>
      <c r="AX7" s="7" t="str">
        <f t="shared" si="0"/>
        <v>bm</v>
      </c>
      <c r="AY7" s="7" t="str">
        <f t="shared" si="0"/>
        <v>bm</v>
      </c>
      <c r="AZ7" s="7" t="str">
        <f t="shared" si="0"/>
        <v>bm</v>
      </c>
      <c r="BA7" s="7" t="str">
        <f t="shared" si="0"/>
        <v>size</v>
      </c>
      <c r="BB7" s="7" t="str">
        <f t="shared" si="0"/>
        <v>size</v>
      </c>
      <c r="BC7" s="7" t="str">
        <f t="shared" si="0"/>
        <v>bm</v>
      </c>
      <c r="BD7" s="7" t="str">
        <f t="shared" si="0"/>
        <v>bm</v>
      </c>
      <c r="BE7" s="7" t="str">
        <f t="shared" si="0"/>
        <v>bm</v>
      </c>
      <c r="BF7" s="7" t="str">
        <f t="shared" si="0"/>
        <v>bm</v>
      </c>
      <c r="BG7" s="7" t="str">
        <f t="shared" si="0"/>
        <v>bm</v>
      </c>
      <c r="BH7" s="7" t="str">
        <f t="shared" si="0"/>
        <v>bm</v>
      </c>
      <c r="BI7" s="7" t="str">
        <f t="shared" si="0"/>
        <v>bm</v>
      </c>
      <c r="BJ7" s="7" t="str">
        <f t="shared" si="0"/>
        <v>bm</v>
      </c>
      <c r="BK7" s="7" t="str">
        <f t="shared" si="0"/>
        <v>bm</v>
      </c>
      <c r="BL7" s="7" t="str">
        <f t="shared" si="0"/>
        <v>bm</v>
      </c>
      <c r="BM7" s="7" t="str">
        <f t="shared" si="0"/>
        <v>mom</v>
      </c>
      <c r="BN7" s="7" t="str">
        <f t="shared" si="0"/>
        <v>bm</v>
      </c>
      <c r="BO7" s="7" t="str">
        <f t="shared" ref="BO7:DZ7" si="1">IF(BO6=1,"bm",IF(BO6=2,"size",IF(BO6=3,"mom")))</f>
        <v>bm</v>
      </c>
      <c r="BP7" s="7" t="str">
        <f t="shared" si="1"/>
        <v>bm</v>
      </c>
      <c r="BQ7" s="7" t="str">
        <f t="shared" si="1"/>
        <v>bm</v>
      </c>
      <c r="BR7" s="7" t="str">
        <f t="shared" si="1"/>
        <v>bm</v>
      </c>
      <c r="BS7" s="7" t="str">
        <f t="shared" si="1"/>
        <v>bm</v>
      </c>
      <c r="BT7" s="7" t="str">
        <f t="shared" si="1"/>
        <v>bm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bm</v>
      </c>
      <c r="BZ7" s="7" t="str">
        <f t="shared" si="1"/>
        <v>bm</v>
      </c>
      <c r="CA7" s="7" t="str">
        <f t="shared" si="1"/>
        <v>bm</v>
      </c>
      <c r="CB7" s="7" t="str">
        <f t="shared" si="1"/>
        <v>bm</v>
      </c>
      <c r="CC7" s="7" t="str">
        <f t="shared" si="1"/>
        <v>size</v>
      </c>
      <c r="CD7" s="7" t="str">
        <f t="shared" si="1"/>
        <v>size</v>
      </c>
      <c r="CE7" s="7" t="str">
        <f t="shared" si="1"/>
        <v>size</v>
      </c>
      <c r="CF7" s="7" t="str">
        <f t="shared" si="1"/>
        <v>size</v>
      </c>
      <c r="CG7" s="7" t="str">
        <f t="shared" si="1"/>
        <v>size</v>
      </c>
      <c r="CH7" s="7" t="str">
        <f t="shared" si="1"/>
        <v>bm</v>
      </c>
      <c r="CI7" s="7" t="str">
        <f t="shared" si="1"/>
        <v>bm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bm</v>
      </c>
      <c r="CN7" s="7" t="str">
        <f t="shared" si="1"/>
        <v>bm</v>
      </c>
      <c r="CO7" s="7" t="str">
        <f t="shared" si="1"/>
        <v>bm</v>
      </c>
      <c r="CP7" s="7" t="str">
        <f t="shared" si="1"/>
        <v>bm</v>
      </c>
      <c r="CQ7" s="7" t="str">
        <f t="shared" si="1"/>
        <v>mom</v>
      </c>
      <c r="CR7" s="7" t="str">
        <f t="shared" si="1"/>
        <v>size</v>
      </c>
      <c r="CS7" s="7" t="str">
        <f t="shared" si="1"/>
        <v>size</v>
      </c>
      <c r="CT7" s="7" t="str">
        <f t="shared" si="1"/>
        <v>bm</v>
      </c>
      <c r="CU7" s="7" t="str">
        <f t="shared" si="1"/>
        <v>bm</v>
      </c>
      <c r="CV7" s="7" t="str">
        <f t="shared" si="1"/>
        <v>bm</v>
      </c>
      <c r="CW7" s="7" t="str">
        <f t="shared" si="1"/>
        <v>bm</v>
      </c>
      <c r="CX7" s="7" t="str">
        <f t="shared" si="1"/>
        <v>bm</v>
      </c>
      <c r="CY7" s="7" t="str">
        <f t="shared" si="1"/>
        <v>bm</v>
      </c>
      <c r="CZ7" s="7" t="str">
        <f t="shared" si="1"/>
        <v>bm</v>
      </c>
      <c r="DA7" s="7" t="str">
        <f t="shared" si="1"/>
        <v>bm</v>
      </c>
      <c r="DB7" s="7" t="str">
        <f t="shared" si="1"/>
        <v>size</v>
      </c>
      <c r="DC7" s="7" t="str">
        <f t="shared" si="1"/>
        <v>size</v>
      </c>
      <c r="DD7" s="7" t="str">
        <f t="shared" si="1"/>
        <v>size</v>
      </c>
      <c r="DE7" s="7" t="str">
        <f t="shared" si="1"/>
        <v>bm</v>
      </c>
      <c r="DF7" s="7" t="str">
        <f t="shared" si="1"/>
        <v>bm</v>
      </c>
      <c r="DG7" s="7" t="str">
        <f t="shared" si="1"/>
        <v>bm</v>
      </c>
      <c r="DH7" s="7" t="str">
        <f t="shared" si="1"/>
        <v>bm</v>
      </c>
      <c r="DI7" s="7" t="str">
        <f t="shared" si="1"/>
        <v>bm</v>
      </c>
      <c r="DJ7" s="7" t="str">
        <f t="shared" si="1"/>
        <v>size</v>
      </c>
      <c r="DK7" s="7" t="str">
        <f t="shared" si="1"/>
        <v>bm</v>
      </c>
      <c r="DL7" s="7" t="str">
        <f t="shared" si="1"/>
        <v>bm</v>
      </c>
      <c r="DM7" s="7" t="str">
        <f t="shared" si="1"/>
        <v>bm</v>
      </c>
      <c r="DN7" s="7" t="str">
        <f t="shared" si="1"/>
        <v>bm</v>
      </c>
      <c r="DO7" s="7" t="str">
        <f t="shared" si="1"/>
        <v>bm</v>
      </c>
      <c r="DP7" s="7" t="str">
        <f t="shared" si="1"/>
        <v>bm</v>
      </c>
      <c r="DQ7" s="7" t="str">
        <f t="shared" si="1"/>
        <v>size</v>
      </c>
      <c r="DR7" s="7" t="str">
        <f t="shared" si="1"/>
        <v>bm</v>
      </c>
      <c r="DS7" s="7" t="str">
        <f t="shared" si="1"/>
        <v>bm</v>
      </c>
      <c r="DT7" s="7" t="str">
        <f t="shared" si="1"/>
        <v>size</v>
      </c>
      <c r="DU7" s="7" t="str">
        <f t="shared" si="1"/>
        <v>size</v>
      </c>
      <c r="DV7" s="7" t="str">
        <f t="shared" si="1"/>
        <v>bm</v>
      </c>
      <c r="DW7" s="7" t="str">
        <f t="shared" si="1"/>
        <v>bm</v>
      </c>
      <c r="DX7" s="7" t="str">
        <f t="shared" si="1"/>
        <v>bm</v>
      </c>
      <c r="DY7" s="7" t="str">
        <f t="shared" si="1"/>
        <v>size</v>
      </c>
      <c r="DZ7" s="7" t="str">
        <f t="shared" si="1"/>
        <v>size</v>
      </c>
      <c r="EA7" s="7" t="str">
        <f t="shared" ref="EA7:EG7" si="2">IF(EA6=1,"bm",IF(EA6=2,"size",IF(EA6=3,"mom")))</f>
        <v>size</v>
      </c>
      <c r="EB7" s="7" t="str">
        <f t="shared" si="2"/>
        <v>bm</v>
      </c>
      <c r="EC7" s="7" t="str">
        <f t="shared" si="2"/>
        <v>size</v>
      </c>
      <c r="ED7" s="7" t="str">
        <f t="shared" si="2"/>
        <v>bm</v>
      </c>
      <c r="EE7" s="7" t="str">
        <f t="shared" si="2"/>
        <v>bm</v>
      </c>
      <c r="EF7" s="7" t="str">
        <f t="shared" si="2"/>
        <v>bm</v>
      </c>
      <c r="EG7" s="1" t="str">
        <f t="shared" si="2"/>
        <v>bm</v>
      </c>
    </row>
    <row r="8" spans="1:137" x14ac:dyDescent="0.3">
      <c r="C8" s="7">
        <f t="shared" ref="C8:BN8" si="3">IF(C6=1,C3,IF(C6=2,C4,IF(C6=3,C5)))</f>
        <v>-4.9660318332858187E-2</v>
      </c>
      <c r="D8" s="7">
        <f t="shared" si="3"/>
        <v>-6.445345992925948E-2</v>
      </c>
      <c r="E8" s="7">
        <f t="shared" si="3"/>
        <v>-9.5804928773652709E-2</v>
      </c>
      <c r="F8" s="7">
        <f t="shared" si="3"/>
        <v>-7.6694248625274991E-2</v>
      </c>
      <c r="G8" s="7">
        <f t="shared" si="3"/>
        <v>-2.651532023294172E-2</v>
      </c>
      <c r="H8" s="7">
        <f t="shared" si="3"/>
        <v>-3.4151649822825897E-2</v>
      </c>
      <c r="I8" s="7">
        <f t="shared" si="3"/>
        <v>-4.6190909592046463E-2</v>
      </c>
      <c r="J8" s="7">
        <f t="shared" si="3"/>
        <v>-4.6178362506532247E-2</v>
      </c>
      <c r="K8" s="7">
        <f t="shared" si="3"/>
        <v>-4.5931908840778947E-2</v>
      </c>
      <c r="L8" s="7">
        <f t="shared" si="3"/>
        <v>-4.0811789698647891E-2</v>
      </c>
      <c r="M8" s="7">
        <f t="shared" si="3"/>
        <v>3.2729103566482703E-2</v>
      </c>
      <c r="N8" s="7">
        <f t="shared" si="3"/>
        <v>-3.5831184190578111E-2</v>
      </c>
      <c r="O8" s="7">
        <f t="shared" si="3"/>
        <v>-5.702286088483291E-2</v>
      </c>
      <c r="P8" s="7">
        <f t="shared" si="3"/>
        <v>-4.2462624022791412E-2</v>
      </c>
      <c r="Q8" s="7">
        <f t="shared" si="3"/>
        <v>-3.7772238816422013E-2</v>
      </c>
      <c r="R8" s="7">
        <f t="shared" si="3"/>
        <v>-2.862815930799394E-2</v>
      </c>
      <c r="S8" s="7">
        <f t="shared" si="3"/>
        <v>-3.0997759055884269E-2</v>
      </c>
      <c r="T8" s="7">
        <f t="shared" si="3"/>
        <v>2.262072807092803E-2</v>
      </c>
      <c r="U8" s="7">
        <f t="shared" si="3"/>
        <v>-3.7956683729456563E-2</v>
      </c>
      <c r="V8" s="7">
        <f t="shared" si="3"/>
        <v>-2.9502006234075319E-2</v>
      </c>
      <c r="W8" s="7">
        <f t="shared" si="3"/>
        <v>4.5784045042201092E-2</v>
      </c>
      <c r="X8" s="7">
        <f t="shared" si="3"/>
        <v>-5.4483330503116392E-2</v>
      </c>
      <c r="Y8" s="7">
        <f t="shared" si="3"/>
        <v>-5.7374083583845582E-2</v>
      </c>
      <c r="Z8" s="7">
        <f t="shared" si="3"/>
        <v>-5.062832428295555E-2</v>
      </c>
      <c r="AA8" s="7">
        <f t="shared" si="3"/>
        <v>-4.2319641432599031E-2</v>
      </c>
      <c r="AB8" s="7">
        <f t="shared" si="3"/>
        <v>-4.99371392416516E-2</v>
      </c>
      <c r="AC8" s="7">
        <f t="shared" si="3"/>
        <v>-3.8455291231844213E-2</v>
      </c>
      <c r="AD8" s="7">
        <f t="shared" si="3"/>
        <v>-6.5956474854444447E-2</v>
      </c>
      <c r="AE8" s="7">
        <f t="shared" si="3"/>
        <v>-3.4794942198420678E-2</v>
      </c>
      <c r="AF8" s="7">
        <f t="shared" si="3"/>
        <v>1.3117941025955079E-2</v>
      </c>
      <c r="AG8" s="7">
        <f t="shared" si="3"/>
        <v>-3.2239149636300098E-2</v>
      </c>
      <c r="AH8" s="7">
        <f t="shared" si="3"/>
        <v>3.1884444011299258E-2</v>
      </c>
      <c r="AI8" s="7">
        <f t="shared" si="3"/>
        <v>3.6385761193522617E-2</v>
      </c>
      <c r="AJ8" s="7">
        <f t="shared" si="3"/>
        <v>3.5948919429733099E-2</v>
      </c>
      <c r="AK8" s="7">
        <f t="shared" si="3"/>
        <v>4.3482830969963061E-2</v>
      </c>
      <c r="AL8" s="7">
        <f t="shared" si="3"/>
        <v>3.8462077568039821E-2</v>
      </c>
      <c r="AM8" s="7">
        <f t="shared" si="3"/>
        <v>3.9410244165835981E-2</v>
      </c>
      <c r="AN8" s="7">
        <f t="shared" si="3"/>
        <v>5.0743620516414449E-2</v>
      </c>
      <c r="AO8" s="7">
        <f t="shared" si="3"/>
        <v>5.3684811620656157E-2</v>
      </c>
      <c r="AP8" s="7">
        <f t="shared" si="3"/>
        <v>4.9314899356547669E-2</v>
      </c>
      <c r="AQ8" s="7">
        <f t="shared" si="3"/>
        <v>3.2773687722358558E-2</v>
      </c>
      <c r="AR8" s="7">
        <f t="shared" si="3"/>
        <v>2.8295340626825871E-2</v>
      </c>
      <c r="AS8" s="7">
        <f t="shared" si="3"/>
        <v>2.8377802599917349E-2</v>
      </c>
      <c r="AT8" s="7">
        <f t="shared" si="3"/>
        <v>2.306922946025217E-2</v>
      </c>
      <c r="AU8" s="7">
        <f t="shared" si="3"/>
        <v>2.9397032882625889E-2</v>
      </c>
      <c r="AV8" s="7">
        <f t="shared" si="3"/>
        <v>3.103785222722218E-2</v>
      </c>
      <c r="AW8" s="7">
        <f t="shared" si="3"/>
        <v>2.6297924056821211E-2</v>
      </c>
      <c r="AX8" s="7">
        <f t="shared" si="3"/>
        <v>2.6164811358804361E-2</v>
      </c>
      <c r="AY8" s="7">
        <f t="shared" si="3"/>
        <v>3.2053783671709642E-2</v>
      </c>
      <c r="AZ8" s="7">
        <f t="shared" si="3"/>
        <v>3.4477530774765272E-2</v>
      </c>
      <c r="BA8" s="7">
        <f t="shared" si="3"/>
        <v>-2.96336447127158E-2</v>
      </c>
      <c r="BB8" s="7">
        <f t="shared" si="3"/>
        <v>-3.692311268093771E-2</v>
      </c>
      <c r="BC8" s="7">
        <f t="shared" si="3"/>
        <v>3.7421776938590827E-2</v>
      </c>
      <c r="BD8" s="7">
        <f t="shared" si="3"/>
        <v>3.141372245226793E-2</v>
      </c>
      <c r="BE8" s="7">
        <f t="shared" si="3"/>
        <v>3.2006411062996218E-2</v>
      </c>
      <c r="BF8" s="7">
        <f t="shared" si="3"/>
        <v>2.828182773285309E-2</v>
      </c>
      <c r="BG8" s="7">
        <f t="shared" si="3"/>
        <v>4.1103436715196499E-2</v>
      </c>
      <c r="BH8" s="7">
        <f t="shared" si="3"/>
        <v>4.5198779339126277E-2</v>
      </c>
      <c r="BI8" s="7">
        <f t="shared" si="3"/>
        <v>4.1588040384802467E-2</v>
      </c>
      <c r="BJ8" s="7">
        <f t="shared" si="3"/>
        <v>4.0723405736309587E-2</v>
      </c>
      <c r="BK8" s="7">
        <f t="shared" si="3"/>
        <v>3.6327700059770963E-2</v>
      </c>
      <c r="BL8" s="7">
        <f t="shared" si="3"/>
        <v>3.6173192149872829E-2</v>
      </c>
      <c r="BM8" s="7">
        <f t="shared" si="3"/>
        <v>-3.7766406128849933E-2</v>
      </c>
      <c r="BN8" s="7">
        <f t="shared" si="3"/>
        <v>3.0814038130409348E-2</v>
      </c>
      <c r="BO8" s="7">
        <f t="shared" ref="BO8:DZ8" si="4">IF(BO6=1,BO3,IF(BO6=2,BO4,IF(BO6=3,BO5)))</f>
        <v>3.065585577146604E-2</v>
      </c>
      <c r="BP8" s="7">
        <f t="shared" si="4"/>
        <v>3.4399631895121928E-2</v>
      </c>
      <c r="BQ8" s="7">
        <f t="shared" si="4"/>
        <v>3.4868650026028229E-2</v>
      </c>
      <c r="BR8" s="7">
        <f t="shared" si="4"/>
        <v>3.6324039848933801E-2</v>
      </c>
      <c r="BS8" s="7">
        <f t="shared" si="4"/>
        <v>3.6164468096582622E-2</v>
      </c>
      <c r="BT8" s="7">
        <f t="shared" si="4"/>
        <v>3.8668894956456937E-2</v>
      </c>
      <c r="BU8" s="7">
        <f t="shared" si="4"/>
        <v>4.1103483948852763E-2</v>
      </c>
      <c r="BV8" s="7">
        <f t="shared" si="4"/>
        <v>2.8684133448632881E-2</v>
      </c>
      <c r="BW8" s="7">
        <f t="shared" si="4"/>
        <v>3.521650986163926E-2</v>
      </c>
      <c r="BX8" s="7">
        <f t="shared" si="4"/>
        <v>4.0767200067914247E-2</v>
      </c>
      <c r="BY8" s="7">
        <f t="shared" si="4"/>
        <v>2.160353774972024E-2</v>
      </c>
      <c r="BZ8" s="7">
        <f t="shared" si="4"/>
        <v>3.0433668800390778E-2</v>
      </c>
      <c r="CA8" s="7">
        <f t="shared" si="4"/>
        <v>3.7311958080318418E-2</v>
      </c>
      <c r="CB8" s="7">
        <f t="shared" si="4"/>
        <v>2.7612053143104789E-2</v>
      </c>
      <c r="CC8" s="7">
        <f t="shared" si="4"/>
        <v>-4.1111880962519533E-2</v>
      </c>
      <c r="CD8" s="7">
        <f t="shared" si="4"/>
        <v>-3.2535264061707238E-2</v>
      </c>
      <c r="CE8" s="7">
        <f t="shared" si="4"/>
        <v>-3.032312687201056E-2</v>
      </c>
      <c r="CF8" s="7">
        <f t="shared" si="4"/>
        <v>-6.1293035460275459E-2</v>
      </c>
      <c r="CG8" s="7">
        <f t="shared" si="4"/>
        <v>-4.4169599695747568E-2</v>
      </c>
      <c r="CH8" s="7">
        <f t="shared" si="4"/>
        <v>4.0909001215823568E-2</v>
      </c>
      <c r="CI8" s="7">
        <f t="shared" si="4"/>
        <v>3.9050253240311222E-2</v>
      </c>
      <c r="CJ8" s="7">
        <f t="shared" si="4"/>
        <v>2.4561899640003909E-2</v>
      </c>
      <c r="CK8" s="7">
        <f t="shared" si="4"/>
        <v>3.413446187252573E-2</v>
      </c>
      <c r="CL8" s="7">
        <f t="shared" si="4"/>
        <v>3.5925937532879773E-2</v>
      </c>
      <c r="CM8" s="7">
        <f t="shared" si="4"/>
        <v>4.2466042159304301E-2</v>
      </c>
      <c r="CN8" s="7">
        <f t="shared" si="4"/>
        <v>3.6523906516241801E-2</v>
      </c>
      <c r="CO8" s="7">
        <f t="shared" si="4"/>
        <v>3.7659149571028283E-2</v>
      </c>
      <c r="CP8" s="7">
        <f t="shared" si="4"/>
        <v>3.9957834472595419E-2</v>
      </c>
      <c r="CQ8" s="7">
        <f t="shared" si="4"/>
        <v>9.0067640458367376E-3</v>
      </c>
      <c r="CR8" s="7">
        <f t="shared" si="4"/>
        <v>-1.9179487848293229E-2</v>
      </c>
      <c r="CS8" s="7">
        <f t="shared" si="4"/>
        <v>-2.3347225810085481E-2</v>
      </c>
      <c r="CT8" s="7">
        <f t="shared" si="4"/>
        <v>4.0972167824902372E-2</v>
      </c>
      <c r="CU8" s="7">
        <f t="shared" si="4"/>
        <v>3.8942373224816543E-2</v>
      </c>
      <c r="CV8" s="7">
        <f t="shared" si="4"/>
        <v>4.3015000500199303E-2</v>
      </c>
      <c r="CW8" s="7">
        <f t="shared" si="4"/>
        <v>3.9706600079107632E-2</v>
      </c>
      <c r="CX8" s="7">
        <f t="shared" si="4"/>
        <v>3.9171022856911548E-2</v>
      </c>
      <c r="CY8" s="7">
        <f t="shared" si="4"/>
        <v>3.4940834769569752E-2</v>
      </c>
      <c r="CZ8" s="7">
        <f t="shared" si="4"/>
        <v>3.6026834228159298E-2</v>
      </c>
      <c r="DA8" s="7">
        <f t="shared" si="4"/>
        <v>4.450954814790925E-2</v>
      </c>
      <c r="DB8" s="7">
        <f t="shared" si="4"/>
        <v>-4.4724835819105087E-2</v>
      </c>
      <c r="DC8" s="7">
        <f t="shared" si="4"/>
        <v>-7.0760187276930051E-2</v>
      </c>
      <c r="DD8" s="7">
        <f t="shared" si="4"/>
        <v>-5.7609848887751572E-2</v>
      </c>
      <c r="DE8" s="7">
        <f t="shared" si="4"/>
        <v>4.199397627237688E-2</v>
      </c>
      <c r="DF8" s="7">
        <f t="shared" si="4"/>
        <v>4.1965348731106439E-2</v>
      </c>
      <c r="DG8" s="7">
        <f t="shared" si="4"/>
        <v>4.0382244799122911E-2</v>
      </c>
      <c r="DH8" s="7">
        <f t="shared" si="4"/>
        <v>3.6787240146963857E-2</v>
      </c>
      <c r="DI8" s="7">
        <f t="shared" si="4"/>
        <v>3.6877765546082367E-2</v>
      </c>
      <c r="DJ8" s="7">
        <f t="shared" si="4"/>
        <v>-3.8760923501945078E-2</v>
      </c>
      <c r="DK8" s="7">
        <f t="shared" si="4"/>
        <v>3.6536443043095952E-2</v>
      </c>
      <c r="DL8" s="7">
        <f t="shared" si="4"/>
        <v>3.153055621902446E-2</v>
      </c>
      <c r="DM8" s="7">
        <f t="shared" si="4"/>
        <v>2.866223764473836E-2</v>
      </c>
      <c r="DN8" s="7">
        <f t="shared" si="4"/>
        <v>3.0844743252797239E-2</v>
      </c>
      <c r="DO8" s="7">
        <f t="shared" si="4"/>
        <v>3.3675363611272838E-2</v>
      </c>
      <c r="DP8" s="7">
        <f t="shared" si="4"/>
        <v>3.5102177512429639E-2</v>
      </c>
      <c r="DQ8" s="7">
        <f t="shared" si="4"/>
        <v>-3.7657447804277308E-2</v>
      </c>
      <c r="DR8" s="7">
        <f t="shared" si="4"/>
        <v>3.4114421599711522E-2</v>
      </c>
      <c r="DS8" s="7">
        <f t="shared" si="4"/>
        <v>3.6715906439180962E-2</v>
      </c>
      <c r="DT8" s="7">
        <f t="shared" si="4"/>
        <v>-4.1055975870549932E-2</v>
      </c>
      <c r="DU8" s="7">
        <f t="shared" si="4"/>
        <v>-3.7310577027678322E-2</v>
      </c>
      <c r="DV8" s="7">
        <f t="shared" si="4"/>
        <v>2.524093892652958E-2</v>
      </c>
      <c r="DW8" s="7">
        <f t="shared" si="4"/>
        <v>3.5159202684512107E-2</v>
      </c>
      <c r="DX8" s="7">
        <f t="shared" si="4"/>
        <v>3.2304964005665182E-2</v>
      </c>
      <c r="DY8" s="7">
        <f t="shared" si="4"/>
        <v>-3.3048755705593437E-2</v>
      </c>
      <c r="DZ8" s="7">
        <f t="shared" si="4"/>
        <v>-3.0982285927668149E-2</v>
      </c>
      <c r="EA8" s="7">
        <f t="shared" ref="EA8:EG8" si="5">IF(EA6=1,EA3,IF(EA6=2,EA4,IF(EA6=3,EA5)))</f>
        <v>-3.1659361830993077E-2</v>
      </c>
      <c r="EB8" s="7">
        <f t="shared" si="5"/>
        <v>3.723081253221186E-2</v>
      </c>
      <c r="EC8" s="7">
        <f t="shared" si="5"/>
        <v>-4.1069205257147343E-2</v>
      </c>
      <c r="ED8" s="7">
        <f t="shared" si="5"/>
        <v>3.4186640907954438E-2</v>
      </c>
      <c r="EE8" s="7">
        <f t="shared" si="5"/>
        <v>2.5041157579864502E-2</v>
      </c>
      <c r="EF8" s="7">
        <f t="shared" si="5"/>
        <v>3.4121434975122142E-2</v>
      </c>
      <c r="EG8" s="1">
        <f t="shared" si="5"/>
        <v>0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>
        <v>10</v>
      </c>
      <c r="B12" s="1">
        <v>96</v>
      </c>
      <c r="C12" s="7">
        <v>8.4653346747999555E-2</v>
      </c>
      <c r="D12" s="7">
        <f>C12+預測IC!D12</f>
        <v>0.19934197579322305</v>
      </c>
      <c r="E12" s="7">
        <f>D12+預測IC!E12</f>
        <v>0.24736879918042559</v>
      </c>
      <c r="F12" s="7">
        <f>E12+預測IC!F12</f>
        <v>0.26078990356998405</v>
      </c>
      <c r="G12" s="7">
        <f>F12+預測IC!G12</f>
        <v>0.27251457134600876</v>
      </c>
      <c r="H12" s="7">
        <f>G12+預測IC!H12</f>
        <v>0.31104508359589667</v>
      </c>
      <c r="I12" s="7">
        <f>H12+預測IC!I12</f>
        <v>0.32385487228906218</v>
      </c>
      <c r="J12" s="7">
        <f>I12+預測IC!J12</f>
        <v>0.29444674945007232</v>
      </c>
      <c r="K12" s="7">
        <f>J12+預測IC!K12</f>
        <v>0.31322112958740356</v>
      </c>
      <c r="L12" s="7">
        <f>K12+預測IC!L12</f>
        <v>0.27133018853742985</v>
      </c>
      <c r="M12" s="7">
        <f>L12+預測IC!M12</f>
        <v>0.25577838433726874</v>
      </c>
      <c r="N12" s="7">
        <f>M12+預測IC!N12</f>
        <v>0.3251053711156216</v>
      </c>
      <c r="O12" s="7">
        <f>N12+預測IC!O12</f>
        <v>0.34234611017067418</v>
      </c>
      <c r="P12" s="7">
        <f>O12+預測IC!P12</f>
        <v>0.34257608145860874</v>
      </c>
      <c r="Q12" s="7">
        <f>P12+預測IC!Q12</f>
        <v>0.37784596691108713</v>
      </c>
      <c r="R12" s="7">
        <f>Q12+預測IC!R12</f>
        <v>0.38450885070632401</v>
      </c>
      <c r="S12" s="7">
        <f>R12+預測IC!S12</f>
        <v>0.368036455964392</v>
      </c>
      <c r="T12" s="7">
        <f>S12+預測IC!T12</f>
        <v>0.32479296714487882</v>
      </c>
      <c r="U12" s="7">
        <f>T12+預測IC!U12</f>
        <v>0.30861436826199995</v>
      </c>
      <c r="V12" s="7">
        <f>U12+預測IC!V12</f>
        <v>0.31481883833134439</v>
      </c>
      <c r="W12" s="7">
        <f>V12+預測IC!W12</f>
        <v>0.33709728030465613</v>
      </c>
      <c r="X12" s="7">
        <f>W12+預測IC!X12</f>
        <v>0.36417117072920324</v>
      </c>
      <c r="Y12" s="7">
        <f>X12+預測IC!Y12</f>
        <v>0.37961153914276402</v>
      </c>
      <c r="Z12" s="7">
        <f>Y12+預測IC!Z12</f>
        <v>0.38477744675256753</v>
      </c>
      <c r="AA12" s="7">
        <f>Z12+預測IC!AA12</f>
        <v>0.37326490104034177</v>
      </c>
      <c r="AB12" s="7">
        <f>AA12+預測IC!AB12</f>
        <v>0.36253157143620302</v>
      </c>
      <c r="AC12" s="7">
        <f>AB12+預測IC!AC12</f>
        <v>0.36769895119665957</v>
      </c>
      <c r="AD12" s="7">
        <f>AC12+預測IC!AD12</f>
        <v>0.37022938102788311</v>
      </c>
      <c r="AE12" s="7">
        <f>AD12+預測IC!AE12</f>
        <v>0.31191241795678426</v>
      </c>
      <c r="AF12" s="7">
        <f>AE12+預測IC!AF12</f>
        <v>0.3323445692606492</v>
      </c>
      <c r="AG12" s="7">
        <f>AF12+預測IC!AG12</f>
        <v>0.34442369722385058</v>
      </c>
      <c r="AH12" s="7">
        <f>AG12+預測IC!AH12</f>
        <v>0.35782950187348384</v>
      </c>
      <c r="AI12" s="7">
        <f>AH12+預測IC!AI12</f>
        <v>0.37733555305366978</v>
      </c>
      <c r="AJ12" s="7">
        <f>AI12+預測IC!AJ12</f>
        <v>0.39031930059972436</v>
      </c>
      <c r="AK12" s="7">
        <f>AJ12+預測IC!AK12</f>
        <v>0.43844300475185877</v>
      </c>
      <c r="AL12" s="7">
        <f>AK12+預測IC!AL12</f>
        <v>0.45630200777378083</v>
      </c>
      <c r="AM12" s="7">
        <f>AL12+預測IC!AM12</f>
        <v>0.48638812338637877</v>
      </c>
      <c r="AN12" s="7">
        <f>AM12+預測IC!AN12</f>
        <v>0.55562135769980725</v>
      </c>
      <c r="AO12" s="7">
        <f>AN12+預測IC!AO12</f>
        <v>0.5578501507394803</v>
      </c>
      <c r="AP12" s="7">
        <f>AO12+預測IC!AP12</f>
        <v>0.5241318059576312</v>
      </c>
      <c r="AQ12" s="7">
        <f>AP12+預測IC!AQ12</f>
        <v>0.51650986956904743</v>
      </c>
      <c r="AR12" s="7">
        <f>AQ12+預測IC!AR12</f>
        <v>0.53003612901901387</v>
      </c>
      <c r="AS12" s="7">
        <f>AR12+預測IC!AS12</f>
        <v>0.54913584747371447</v>
      </c>
      <c r="AT12" s="7">
        <f>AS12+預測IC!AT12</f>
        <v>0.56297075218138559</v>
      </c>
      <c r="AU12" s="7">
        <f>AT12+預測IC!AU12</f>
        <v>0.58367941086226105</v>
      </c>
      <c r="AV12" s="7">
        <f>AU12+預測IC!AV12</f>
        <v>0.54231932611723599</v>
      </c>
      <c r="AW12" s="7">
        <f>AV12+預測IC!AW12</f>
        <v>0.54294080313525206</v>
      </c>
      <c r="AX12" s="7">
        <f>AW12+預測IC!AX12</f>
        <v>0.58653927038867493</v>
      </c>
      <c r="AY12" s="7">
        <f>AX12+預測IC!AY12</f>
        <v>0.61149456345634823</v>
      </c>
      <c r="AZ12" s="7">
        <f>AY12+預測IC!AZ12</f>
        <v>0.60919453738469054</v>
      </c>
      <c r="BA12" s="7">
        <f>AZ12+預測IC!BA12</f>
        <v>0.68047069366562551</v>
      </c>
      <c r="BB12" s="7">
        <f>BA12+預測IC!BB12</f>
        <v>0.68625608857990072</v>
      </c>
      <c r="BC12" s="7">
        <f>BB12+預測IC!BC12</f>
        <v>0.69852887761837723</v>
      </c>
      <c r="BD12" s="7">
        <f>BC12+預測IC!BD12</f>
        <v>0.71215943456002984</v>
      </c>
      <c r="BE12" s="7">
        <f>BD12+預測IC!BE12</f>
        <v>0.73076824439941512</v>
      </c>
      <c r="BF12" s="7">
        <f>BE12+預測IC!BF12</f>
        <v>0.79856059688261527</v>
      </c>
      <c r="BG12" s="7">
        <f>BF12+預測IC!BG12</f>
        <v>0.8322314593238781</v>
      </c>
      <c r="BH12" s="7">
        <f>BG12+預測IC!BH12</f>
        <v>0.84645481933520006</v>
      </c>
      <c r="BI12" s="7">
        <f>BH12+預測IC!BI12</f>
        <v>0.89647607236619087</v>
      </c>
      <c r="BJ12" s="7">
        <f>BI12+預測IC!BJ12</f>
        <v>0.895680079046273</v>
      </c>
      <c r="BK12" s="7">
        <f>BJ12+預測IC!BK12</f>
        <v>0.87439541408613908</v>
      </c>
      <c r="BL12" s="7">
        <f>BK12+預測IC!BL12</f>
        <v>0.89910465991628774</v>
      </c>
      <c r="BM12" s="7">
        <f>BL12+預測IC!BM12</f>
        <v>0.84879897539296323</v>
      </c>
      <c r="BN12" s="7">
        <f>BM12+預測IC!BN12</f>
        <v>0.86031551090505975</v>
      </c>
      <c r="BO12" s="7">
        <f>BN12+預測IC!BO12</f>
        <v>0.88456182116129667</v>
      </c>
      <c r="BP12" s="7">
        <f>BO12+預測IC!BP12</f>
        <v>0.87405283585600257</v>
      </c>
      <c r="BQ12" s="7">
        <f>BP12+預測IC!BQ12</f>
        <v>0.88794958547474923</v>
      </c>
      <c r="BR12" s="7">
        <f>BQ12+預測IC!BR12</f>
        <v>0.8856885770213504</v>
      </c>
      <c r="BS12" s="7">
        <f>BR12+預測IC!BS12</f>
        <v>0.90455187040574636</v>
      </c>
      <c r="BT12" s="7">
        <f>BS12+預測IC!BT12</f>
        <v>0.92658333908319057</v>
      </c>
      <c r="BU12" s="7">
        <f>BT12+預測IC!BU12</f>
        <v>0.93536485622328702</v>
      </c>
      <c r="BV12" s="7">
        <f>BU12+預測IC!BV12</f>
        <v>0.95842731195647801</v>
      </c>
      <c r="BW12" s="7">
        <f>BV12+預測IC!BW12</f>
        <v>0.9289435432369485</v>
      </c>
      <c r="BX12" s="7">
        <f>BW12+預測IC!BX12</f>
        <v>0.9404207052408986</v>
      </c>
      <c r="BY12" s="7">
        <f>BX12+預測IC!BY12</f>
        <v>0.90704990490932713</v>
      </c>
      <c r="BZ12" s="7">
        <f>BY12+預測IC!BZ12</f>
        <v>0.95240685060060015</v>
      </c>
      <c r="CA12" s="7">
        <f>BZ12+預測IC!CA12</f>
        <v>0.91800656316025764</v>
      </c>
      <c r="CB12" s="7">
        <f>CA12+預測IC!CB12</f>
        <v>0.91994980529202053</v>
      </c>
      <c r="CC12" s="7">
        <f>CB12+預測IC!CC12</f>
        <v>0.98551641791971045</v>
      </c>
      <c r="CD12" s="7">
        <f>CC12+預測IC!CD12</f>
        <v>1.0297749064836517</v>
      </c>
      <c r="CE12" s="7">
        <f>CD12+預測IC!CE12</f>
        <v>1.1837819193733936</v>
      </c>
      <c r="CF12" s="7">
        <f>CE12+預測IC!CF12</f>
        <v>1.1878598146571684</v>
      </c>
      <c r="CG12" s="7">
        <f>CF12+預測IC!CG12</f>
        <v>1.1881684631545204</v>
      </c>
      <c r="CH12" s="7">
        <f>CG12+預測IC!CH12</f>
        <v>1.2514658355324804</v>
      </c>
      <c r="CI12" s="7">
        <f>CH12+預測IC!CI12</f>
        <v>1.2168099231202747</v>
      </c>
      <c r="CJ12" s="7">
        <f>CI12+預測IC!CJ12</f>
        <v>1.2322551035989635</v>
      </c>
      <c r="CK12" s="7">
        <f>CJ12+預測IC!CK12</f>
        <v>1.2450582477537984</v>
      </c>
      <c r="CL12" s="7">
        <f>CK12+預測IC!CL12</f>
        <v>1.3630738554234088</v>
      </c>
      <c r="CM12" s="7">
        <f>CL12+預測IC!CM12</f>
        <v>1.347854129256068</v>
      </c>
      <c r="CN12" s="7">
        <f>CM12+預測IC!CN12</f>
        <v>1.3207704280415087</v>
      </c>
      <c r="CO12" s="7">
        <f>CN12+預測IC!CO12</f>
        <v>1.2935043011614029</v>
      </c>
      <c r="CP12" s="7">
        <f>CO12+預測IC!CP12</f>
        <v>1.3388033226288967</v>
      </c>
      <c r="CQ12" s="7">
        <f>CP12+預測IC!CQ12</f>
        <v>1.2761189756253219</v>
      </c>
      <c r="CR12" s="7">
        <f>CQ12+預測IC!CR12</f>
        <v>1.3242656009126237</v>
      </c>
      <c r="CS12" s="7">
        <f>CR12+預測IC!CS12</f>
        <v>1.3097559504741541</v>
      </c>
      <c r="CT12" s="7">
        <f>CS12+預測IC!CT12</f>
        <v>1.3089319144506231</v>
      </c>
      <c r="CU12" s="7">
        <f>CT12+預測IC!CU12</f>
        <v>1.3445556301128183</v>
      </c>
      <c r="CV12" s="7">
        <f>CU12+預測IC!CV12</f>
        <v>1.3526682564883554</v>
      </c>
      <c r="CW12" s="7">
        <f>CV12+預測IC!CW12</f>
        <v>1.3582161812328877</v>
      </c>
      <c r="CX12" s="7">
        <f>CW12+預測IC!CX12</f>
        <v>1.4192060637698796</v>
      </c>
      <c r="CY12" s="7">
        <f>CX12+預測IC!CY12</f>
        <v>1.413223121558389</v>
      </c>
      <c r="CZ12" s="7">
        <f>CY12+預測IC!CZ12</f>
        <v>1.4910154488978897</v>
      </c>
      <c r="DA12" s="7">
        <f>CZ12+預測IC!DA12</f>
        <v>1.4966192329682502</v>
      </c>
      <c r="DB12" s="7">
        <f>DA12+預測IC!DB12</f>
        <v>1.5856010494662951</v>
      </c>
      <c r="DC12" s="7">
        <f>DB12+預測IC!DC12</f>
        <v>1.5970740227577851</v>
      </c>
      <c r="DD12" s="7">
        <f>DC12+預測IC!DD12</f>
        <v>1.5579820254262779</v>
      </c>
      <c r="DE12" s="7">
        <f>DD12+預測IC!DE12</f>
        <v>1.5591801338074991</v>
      </c>
      <c r="DF12" s="7">
        <f>DE12+預測IC!DF12</f>
        <v>1.5523456080714586</v>
      </c>
      <c r="DG12" s="7">
        <f>DF12+預測IC!DG12</f>
        <v>1.5513978991321418</v>
      </c>
      <c r="DH12" s="7">
        <f>DG12+預測IC!DH12</f>
        <v>1.5475752171607091</v>
      </c>
      <c r="DI12" s="7">
        <f>DH12+預測IC!DI12</f>
        <v>1.4931320441685767</v>
      </c>
      <c r="DJ12" s="7">
        <f>DI12+預測IC!DJ12</f>
        <v>1.5082502522946688</v>
      </c>
      <c r="DK12" s="7">
        <f>DJ12+預測IC!DK12</f>
        <v>1.4923042991676525</v>
      </c>
      <c r="DL12" s="7">
        <f>DK12+預測IC!DL12</f>
        <v>1.4919496231450087</v>
      </c>
      <c r="DM12" s="7">
        <f>DL12+預測IC!DM12</f>
        <v>1.4871092738999288</v>
      </c>
      <c r="DN12" s="7">
        <f>DM12+預測IC!DN12</f>
        <v>1.5295196392859935</v>
      </c>
      <c r="DO12" s="7">
        <f>DN12+預測IC!DO12</f>
        <v>1.5521193729663223</v>
      </c>
      <c r="DP12" s="7">
        <f>DO12+預測IC!DP12</f>
        <v>1.5847038225666195</v>
      </c>
      <c r="DQ12" s="7">
        <f>DP12+預測IC!DQ12</f>
        <v>1.550841702213571</v>
      </c>
      <c r="DR12" s="7">
        <f>DQ12+預測IC!DR12</f>
        <v>1.569620645492958</v>
      </c>
      <c r="DS12" s="7">
        <f>DR12+預測IC!DS12</f>
        <v>1.5338944900412601</v>
      </c>
      <c r="DT12" s="7">
        <f>DS12+預測IC!DT12</f>
        <v>1.5590121060720963</v>
      </c>
      <c r="DU12" s="7">
        <f>DT12+預測IC!DU12</f>
        <v>1.5017818229277877</v>
      </c>
      <c r="DV12" s="7">
        <f>DU12+預測IC!DV12</f>
        <v>1.5503326474053185</v>
      </c>
      <c r="DW12" s="7">
        <f>DV12+預測IC!DW12</f>
        <v>1.5940582116253559</v>
      </c>
      <c r="DX12" s="7">
        <f>DW12+預測IC!DX12</f>
        <v>1.5439061310829945</v>
      </c>
      <c r="DY12" s="7">
        <f>DX12+預測IC!DY12</f>
        <v>1.5970514419706046</v>
      </c>
      <c r="DZ12" s="7">
        <f>DY12+預測IC!DZ12</f>
        <v>1.6032785913190928</v>
      </c>
      <c r="EA12" s="7">
        <f>DZ12+預測IC!EA12</f>
        <v>1.654376223856624</v>
      </c>
      <c r="EB12" s="7">
        <f>EA12+預測IC!EB12</f>
        <v>1.6572045506314768</v>
      </c>
      <c r="EC12" s="7">
        <f>EB12+預測IC!EC12</f>
        <v>1.6473981692960924</v>
      </c>
      <c r="ED12" s="7">
        <f>EC12+預測IC!ED12</f>
        <v>1.5868900164876083</v>
      </c>
      <c r="EE12" s="7">
        <f>ED12+預測IC!EE12</f>
        <v>1.5988071127600958</v>
      </c>
      <c r="EF12" s="7">
        <f>EE12+預測IC!EF12</f>
        <v>1.6380404607988914</v>
      </c>
    </row>
    <row r="13" spans="1:137" x14ac:dyDescent="0.3">
      <c r="A13" s="1">
        <v>20</v>
      </c>
      <c r="B13" s="1">
        <v>48</v>
      </c>
      <c r="C13" s="7">
        <v>0.104112750252762</v>
      </c>
      <c r="D13" s="7">
        <f>C13+預測IC!D13</f>
        <v>0.22785777904553428</v>
      </c>
      <c r="E13" s="7">
        <f>D13+預測IC!E13</f>
        <v>0.29771933539834072</v>
      </c>
      <c r="F13" s="7">
        <f>E13+預測IC!F13</f>
        <v>0.28626409552296395</v>
      </c>
      <c r="G13" s="7">
        <f>F13+預測IC!G13</f>
        <v>0.30200852157741448</v>
      </c>
      <c r="H13" s="7">
        <f>G13+預測IC!H13</f>
        <v>0.33199815330313576</v>
      </c>
      <c r="I13" s="7">
        <f>H13+預測IC!I13</f>
        <v>0.36112874822683338</v>
      </c>
      <c r="J13" s="7">
        <f>I13+預測IC!J13</f>
        <v>0.31722952114942127</v>
      </c>
      <c r="K13" s="7">
        <f>J13+預測IC!K13</f>
        <v>0.31586221432297379</v>
      </c>
      <c r="L13" s="7">
        <f>K13+預測IC!L13</f>
        <v>0.30983705302932013</v>
      </c>
      <c r="M13" s="7">
        <f>L13+預測IC!M13</f>
        <v>0.31754570929181236</v>
      </c>
      <c r="N13" s="7">
        <f>M13+預測IC!N13</f>
        <v>0.41735262624848296</v>
      </c>
      <c r="O13" s="7">
        <f>N13+預測IC!O13</f>
        <v>0.45714191787511538</v>
      </c>
      <c r="P13" s="7">
        <f>O13+預測IC!P13</f>
        <v>0.473933545613206</v>
      </c>
      <c r="Q13" s="7">
        <f>P13+預測IC!Q13</f>
        <v>0.54715791410076342</v>
      </c>
      <c r="R13" s="7">
        <f>Q13+預測IC!R13</f>
        <v>0.56131785858679994</v>
      </c>
      <c r="S13" s="7">
        <f>R13+預測IC!S13</f>
        <v>0.54907418737788694</v>
      </c>
      <c r="T13" s="7">
        <f>S13+預測IC!T13</f>
        <v>0.4961743844691936</v>
      </c>
      <c r="U13" s="7">
        <f>T13+預測IC!U13</f>
        <v>0.49777140070237941</v>
      </c>
      <c r="V13" s="7">
        <f>U13+預測IC!V13</f>
        <v>0.4776770726885049</v>
      </c>
      <c r="W13" s="7">
        <f>V13+預測IC!W13</f>
        <v>0.50878016057287478</v>
      </c>
      <c r="X13" s="7">
        <f>W13+預測IC!X13</f>
        <v>0.56205705529881844</v>
      </c>
      <c r="Y13" s="7">
        <f>X13+預測IC!Y13</f>
        <v>0.57597804785646711</v>
      </c>
      <c r="Z13" s="7">
        <f>Y13+預測IC!Z13</f>
        <v>0.59656180902559541</v>
      </c>
      <c r="AA13" s="7">
        <f>Z13+預測IC!AA13</f>
        <v>0.58012118957527103</v>
      </c>
      <c r="AB13" s="7">
        <f>AA13+預測IC!AB13</f>
        <v>0.56511961624629259</v>
      </c>
      <c r="AC13" s="7">
        <f>AB13+預測IC!AC13</f>
        <v>0.57315105604224303</v>
      </c>
      <c r="AD13" s="7">
        <f>AC13+預測IC!AD13</f>
        <v>0.59359128441603548</v>
      </c>
      <c r="AE13" s="7">
        <f>AD13+預測IC!AE13</f>
        <v>0.52787190238842496</v>
      </c>
      <c r="AF13" s="7">
        <f>AE13+預測IC!AF13</f>
        <v>0.55981236622272623</v>
      </c>
      <c r="AG13" s="7">
        <f>AF13+預測IC!AG13</f>
        <v>0.56309467640367872</v>
      </c>
      <c r="AH13" s="7">
        <f>AG13+預測IC!AH13</f>
        <v>0.5727360156431951</v>
      </c>
      <c r="AI13" s="7">
        <f>AH13+預測IC!AI13</f>
        <v>0.58480356571726788</v>
      </c>
      <c r="AJ13" s="7">
        <f>AI13+預測IC!AJ13</f>
        <v>0.56852309572899218</v>
      </c>
      <c r="AK13" s="7">
        <f>AJ13+預測IC!AK13</f>
        <v>0.63451100853964815</v>
      </c>
      <c r="AL13" s="7">
        <f>AK13+預測IC!AL13</f>
        <v>0.6576624371348192</v>
      </c>
      <c r="AM13" s="7">
        <f>AL13+預測IC!AM13</f>
        <v>0.70394488067164818</v>
      </c>
      <c r="AN13" s="7">
        <f>AM13+預測IC!AN13</f>
        <v>0.80927511880768233</v>
      </c>
      <c r="AO13" s="7">
        <f>AN13+預測IC!AO13</f>
        <v>0.81858630670709731</v>
      </c>
      <c r="AP13" s="7">
        <f>AO13+預測IC!AP13</f>
        <v>0.75903546634509955</v>
      </c>
      <c r="AQ13" s="7">
        <f>AP13+預測IC!AQ13</f>
        <v>0.7529861775761999</v>
      </c>
      <c r="AR13" s="7">
        <f>AQ13+預測IC!AR13</f>
        <v>0.76367536311213557</v>
      </c>
      <c r="AS13" s="7">
        <f>AR13+預測IC!AS13</f>
        <v>0.80498848159636971</v>
      </c>
      <c r="AT13" s="7">
        <f>AS13+預測IC!AT13</f>
        <v>0.84545156945080946</v>
      </c>
      <c r="AU13" s="7">
        <f>AT13+預測IC!AU13</f>
        <v>0.88642769592678827</v>
      </c>
      <c r="AV13" s="7">
        <f>AU13+預測IC!AV13</f>
        <v>0.87695222328723521</v>
      </c>
      <c r="AW13" s="7">
        <f>AV13+預測IC!AW13</f>
        <v>0.88103223687029864</v>
      </c>
      <c r="AX13" s="7">
        <f>AW13+預測IC!AX13</f>
        <v>0.94818602465340895</v>
      </c>
      <c r="AY13" s="7">
        <f>AX13+預測IC!AY13</f>
        <v>0.96575037100203387</v>
      </c>
      <c r="AZ13" s="7">
        <f>AY13+預測IC!AZ13</f>
        <v>0.95764690353253445</v>
      </c>
      <c r="BA13" s="7">
        <f>AZ13+預測IC!BA13</f>
        <v>1.0374760238763228</v>
      </c>
      <c r="BB13" s="7">
        <f>BA13+預測IC!BB13</f>
        <v>1.0635223694092188</v>
      </c>
      <c r="BC13" s="7">
        <f>BB13+預測IC!BC13</f>
        <v>1.0748061365208765</v>
      </c>
      <c r="BD13" s="7">
        <f>BC13+預測IC!BD13</f>
        <v>1.078150564904558</v>
      </c>
      <c r="BE13" s="7">
        <f>BD13+預測IC!BE13</f>
        <v>1.1055423712101995</v>
      </c>
      <c r="BF13" s="7">
        <f>BE13+預測IC!BF13</f>
        <v>1.1894717865176963</v>
      </c>
      <c r="BG13" s="7">
        <f>BF13+預測IC!BG13</f>
        <v>1.2360382488564079</v>
      </c>
      <c r="BH13" s="7">
        <f>BG13+預測IC!BH13</f>
        <v>1.244513978668027</v>
      </c>
      <c r="BI13" s="7">
        <f>BH13+預測IC!BI13</f>
        <v>1.2969231111247284</v>
      </c>
      <c r="BJ13" s="7">
        <f>BI13+預測IC!BJ13</f>
        <v>1.2800760251344634</v>
      </c>
      <c r="BK13" s="7">
        <f>BJ13+預測IC!BK13</f>
        <v>1.261685000254714</v>
      </c>
      <c r="BL13" s="7">
        <f>BK13+預測IC!BL13</f>
        <v>1.2936328604678891</v>
      </c>
      <c r="BM13" s="7">
        <f>BL13+預測IC!BM13</f>
        <v>1.2402610917726984</v>
      </c>
      <c r="BN13" s="7">
        <f>BM13+預測IC!BN13</f>
        <v>1.2513136336479747</v>
      </c>
      <c r="BO13" s="7">
        <f>BN13+預測IC!BO13</f>
        <v>1.2821923498814487</v>
      </c>
      <c r="BP13" s="7">
        <f>BO13+預測IC!BP13</f>
        <v>1.2916250455761003</v>
      </c>
      <c r="BQ13" s="7">
        <f>BP13+預測IC!BQ13</f>
        <v>1.3332781093655259</v>
      </c>
      <c r="BR13" s="7">
        <f>BQ13+預測IC!BR13</f>
        <v>1.3265966918819685</v>
      </c>
      <c r="BS13" s="7">
        <f>BR13+預測IC!BS13</f>
        <v>1.3340161637221881</v>
      </c>
      <c r="BT13" s="7">
        <f>BS13+預測IC!BT13</f>
        <v>1.3723596693386608</v>
      </c>
      <c r="BU13" s="7">
        <f>BT13+預測IC!BU13</f>
        <v>1.3900662243752147</v>
      </c>
      <c r="BV13" s="7">
        <f>BU13+預測IC!BV13</f>
        <v>1.4107198212514234</v>
      </c>
      <c r="BW13" s="7">
        <f>BV13+預測IC!BW13</f>
        <v>1.4124830590621005</v>
      </c>
      <c r="BX13" s="7">
        <f>BW13+預測IC!BX13</f>
        <v>1.433561126586127</v>
      </c>
      <c r="BY13" s="7">
        <f>BX13+預測IC!BY13</f>
        <v>1.4190487289156366</v>
      </c>
      <c r="BZ13" s="7">
        <f>BY13+預測IC!BZ13</f>
        <v>1.4951868519746867</v>
      </c>
      <c r="CA13" s="7">
        <f>BZ13+預測IC!CA13</f>
        <v>1.4616552863742898</v>
      </c>
      <c r="CB13" s="7">
        <f>CA13+預測IC!CB13</f>
        <v>1.4550594596490696</v>
      </c>
      <c r="CC13" s="7">
        <f>CB13+預測IC!CC13</f>
        <v>1.5751776333873029</v>
      </c>
      <c r="CD13" s="7">
        <f>CC13+預測IC!CD13</f>
        <v>1.6304336814087337</v>
      </c>
      <c r="CE13" s="7">
        <f>CD13+預測IC!CE13</f>
        <v>1.8142615178643424</v>
      </c>
      <c r="CF13" s="7">
        <f>CE13+預測IC!CF13</f>
        <v>1.8324904587009698</v>
      </c>
      <c r="CG13" s="7">
        <f>CF13+預測IC!CG13</f>
        <v>1.8400507273773441</v>
      </c>
      <c r="CH13" s="7">
        <f>CG13+預測IC!CH13</f>
        <v>1.8983853392045513</v>
      </c>
      <c r="CI13" s="7">
        <f>CH13+預測IC!CI13</f>
        <v>1.846531830070288</v>
      </c>
      <c r="CJ13" s="7">
        <f>CI13+預測IC!CJ13</f>
        <v>1.8434257420983369</v>
      </c>
      <c r="CK13" s="7">
        <f>CJ13+預測IC!CK13</f>
        <v>1.8754710113348008</v>
      </c>
      <c r="CL13" s="7">
        <f>CK13+預測IC!CL13</f>
        <v>1.9569243774369816</v>
      </c>
      <c r="CM13" s="7">
        <f>CL13+預測IC!CM13</f>
        <v>1.9466275736805865</v>
      </c>
      <c r="CN13" s="7">
        <f>CM13+預測IC!CN13</f>
        <v>1.9197400076817341</v>
      </c>
      <c r="CO13" s="7">
        <f>CN13+預測IC!CO13</f>
        <v>1.9062825491185067</v>
      </c>
      <c r="CP13" s="7">
        <f>CO13+預測IC!CP13</f>
        <v>1.976009089396241</v>
      </c>
      <c r="CQ13" s="7">
        <f>CP13+預測IC!CQ13</f>
        <v>1.904830224427837</v>
      </c>
      <c r="CR13" s="7">
        <f>CQ13+預測IC!CR13</f>
        <v>1.9692108731652493</v>
      </c>
      <c r="CS13" s="7">
        <f>CR13+預測IC!CS13</f>
        <v>1.9731585238282099</v>
      </c>
      <c r="CT13" s="7">
        <f>CS13+預測IC!CT13</f>
        <v>1.9812293231445885</v>
      </c>
      <c r="CU13" s="7">
        <f>CT13+預測IC!CU13</f>
        <v>2.0183907254268996</v>
      </c>
      <c r="CV13" s="7">
        <f>CU13+預測IC!CV13</f>
        <v>2.0154374132536415</v>
      </c>
      <c r="CW13" s="7">
        <f>CV13+預測IC!CW13</f>
        <v>2.0214144441098876</v>
      </c>
      <c r="CX13" s="7">
        <f>CW13+預測IC!CX13</f>
        <v>2.0814476993499405</v>
      </c>
      <c r="CY13" s="7">
        <f>CX13+預測IC!CY13</f>
        <v>2.0683289592349277</v>
      </c>
      <c r="CZ13" s="7">
        <f>CY13+預測IC!CZ13</f>
        <v>2.1255531795884126</v>
      </c>
      <c r="DA13" s="7">
        <f>CZ13+預測IC!DA13</f>
        <v>2.1199695026625913</v>
      </c>
      <c r="DB13" s="7">
        <f>DA13+預測IC!DB13</f>
        <v>2.2262048239655448</v>
      </c>
      <c r="DC13" s="7">
        <f>DB13+預測IC!DC13</f>
        <v>2.249745822633983</v>
      </c>
      <c r="DD13" s="7">
        <f>DC13+預測IC!DD13</f>
        <v>2.1983391690311644</v>
      </c>
      <c r="DE13" s="7">
        <f>DD13+預測IC!DE13</f>
        <v>2.2042681261572392</v>
      </c>
      <c r="DF13" s="7">
        <f>DE13+預測IC!DF13</f>
        <v>2.1757493293636045</v>
      </c>
      <c r="DG13" s="7">
        <f>DF13+預測IC!DG13</f>
        <v>2.1741186721907146</v>
      </c>
      <c r="DH13" s="7">
        <f>DG13+預測IC!DH13</f>
        <v>2.1854144400726296</v>
      </c>
      <c r="DI13" s="7">
        <f>DH13+預測IC!DI13</f>
        <v>2.1394374149779529</v>
      </c>
      <c r="DJ13" s="7">
        <f>DI13+預測IC!DJ13</f>
        <v>2.1454209996147657</v>
      </c>
      <c r="DK13" s="7">
        <f>DJ13+預測IC!DK13</f>
        <v>2.1578300738333933</v>
      </c>
      <c r="DL13" s="7">
        <f>DK13+預測IC!DL13</f>
        <v>2.1415298273420786</v>
      </c>
      <c r="DM13" s="7">
        <f>DL13+預測IC!DM13</f>
        <v>2.1348709582936349</v>
      </c>
      <c r="DN13" s="7">
        <f>DM13+預測IC!DN13</f>
        <v>2.146370536216148</v>
      </c>
      <c r="DO13" s="7">
        <f>DN13+預測IC!DO13</f>
        <v>2.1932619486042797</v>
      </c>
      <c r="DP13" s="7">
        <f>DO13+預測IC!DP13</f>
        <v>2.2420485844605493</v>
      </c>
      <c r="DQ13" s="7">
        <f>DP13+預測IC!DQ13</f>
        <v>2.2080821222085865</v>
      </c>
      <c r="DR13" s="7">
        <f>DQ13+預測IC!DR13</f>
        <v>2.2218533314808986</v>
      </c>
      <c r="DS13" s="7">
        <f>DR13+預測IC!DS13</f>
        <v>2.1829657036412287</v>
      </c>
      <c r="DT13" s="7">
        <f>DS13+預測IC!DT13</f>
        <v>2.2337969635317338</v>
      </c>
      <c r="DU13" s="7">
        <f>DT13+預測IC!DU13</f>
        <v>2.2007908040891153</v>
      </c>
      <c r="DV13" s="7">
        <f>DU13+預測IC!DV13</f>
        <v>2.2804109481133037</v>
      </c>
      <c r="DW13" s="7">
        <f>DV13+預測IC!DW13</f>
        <v>2.3248287377376542</v>
      </c>
      <c r="DX13" s="7">
        <f>DW13+預測IC!DX13</f>
        <v>2.2603053581591581</v>
      </c>
      <c r="DY13" s="7">
        <f>DX13+預測IC!DY13</f>
        <v>2.317286697206717</v>
      </c>
      <c r="DZ13" s="7">
        <f>DY13+預測IC!DZ13</f>
        <v>2.3355888213530185</v>
      </c>
      <c r="EA13" s="7">
        <f>DZ13+預測IC!EA13</f>
        <v>2.3977074985290483</v>
      </c>
      <c r="EB13" s="7">
        <f>EA13+預測IC!EB13</f>
        <v>2.4190807167284345</v>
      </c>
      <c r="EC13" s="7">
        <f>EB13+預測IC!EC13</f>
        <v>2.4003047131330524</v>
      </c>
      <c r="ED13" s="7">
        <f>EC13+預測IC!ED13</f>
        <v>2.3346226194738176</v>
      </c>
      <c r="EE13" s="7">
        <f>ED13+預測IC!EE13</f>
        <v>2.3425752130487822</v>
      </c>
      <c r="EF13" s="7">
        <f>EE13+預測IC!EF13</f>
        <v>2.4091524284123387</v>
      </c>
    </row>
    <row r="14" spans="1:137" x14ac:dyDescent="0.3">
      <c r="A14" s="1">
        <v>50</v>
      </c>
      <c r="B14" s="1">
        <v>19</v>
      </c>
      <c r="C14" s="7">
        <v>0.1199414897527061</v>
      </c>
      <c r="D14" s="7">
        <f>C14+預測IC!D14</f>
        <v>0.34224993829333211</v>
      </c>
      <c r="E14" s="7">
        <f>D14+預測IC!E14</f>
        <v>0.44101818643555424</v>
      </c>
      <c r="F14" s="7">
        <f>E14+預測IC!F14</f>
        <v>0.47556065060125385</v>
      </c>
      <c r="G14" s="7">
        <f>F14+預測IC!G14</f>
        <v>0.56070941238498795</v>
      </c>
      <c r="H14" s="7">
        <f>G14+預測IC!H14</f>
        <v>0.6202972188204281</v>
      </c>
      <c r="I14" s="7">
        <f>H14+預測IC!I14</f>
        <v>0.69741218125179305</v>
      </c>
      <c r="J14" s="7">
        <f>I14+預測IC!J14</f>
        <v>0.59231779446908484</v>
      </c>
      <c r="K14" s="7">
        <f>J14+預測IC!K14</f>
        <v>0.60476895598487723</v>
      </c>
      <c r="L14" s="7">
        <f>K14+預測IC!L14</f>
        <v>0.59628850841932868</v>
      </c>
      <c r="M14" s="7">
        <f>L14+預測IC!M14</f>
        <v>0.60128302848611648</v>
      </c>
      <c r="N14" s="7">
        <f>M14+預測IC!N14</f>
        <v>0.80611560362734236</v>
      </c>
      <c r="O14" s="7">
        <f>N14+預測IC!O14</f>
        <v>0.84575791169687675</v>
      </c>
      <c r="P14" s="7">
        <f>O14+預測IC!P14</f>
        <v>0.89353767597968403</v>
      </c>
      <c r="Q14" s="7">
        <f>P14+預測IC!Q14</f>
        <v>0.95177562213431888</v>
      </c>
      <c r="R14" s="7">
        <f>Q14+預測IC!R14</f>
        <v>0.93762382582879433</v>
      </c>
      <c r="S14" s="7">
        <f>R14+預測IC!S14</f>
        <v>0.97615792535481205</v>
      </c>
      <c r="T14" s="7">
        <f>S14+預測IC!T14</f>
        <v>0.90631644583391613</v>
      </c>
      <c r="U14" s="7">
        <f>T14+預測IC!U14</f>
        <v>0.94289557535361801</v>
      </c>
      <c r="V14" s="7">
        <f>U14+預測IC!V14</f>
        <v>0.90452002908911344</v>
      </c>
      <c r="W14" s="7">
        <f>V14+預測IC!W14</f>
        <v>0.97852818847736645</v>
      </c>
      <c r="X14" s="7">
        <f>W14+預測IC!X14</f>
        <v>1.0321098969915496</v>
      </c>
      <c r="Y14" s="7">
        <f>X14+預測IC!Y14</f>
        <v>1.0153472336348601</v>
      </c>
      <c r="Z14" s="7">
        <f>Y14+預測IC!Z14</f>
        <v>1.036599434738311</v>
      </c>
      <c r="AA14" s="7">
        <f>Z14+預測IC!AA14</f>
        <v>1.0339720349714969</v>
      </c>
      <c r="AB14" s="7">
        <f>AA14+預測IC!AB14</f>
        <v>1.0066360563659429</v>
      </c>
      <c r="AC14" s="7">
        <f>AB14+預測IC!AC14</f>
        <v>0.9773439726003792</v>
      </c>
      <c r="AD14" s="7">
        <f>AC14+預測IC!AD14</f>
        <v>1.0472185643355214</v>
      </c>
      <c r="AE14" s="7">
        <f>AD14+預測IC!AE14</f>
        <v>1.043199657512641</v>
      </c>
      <c r="AF14" s="7">
        <f>AE14+預測IC!AF14</f>
        <v>1.08362036005504</v>
      </c>
      <c r="AG14" s="7">
        <f>AF14+預測IC!AG14</f>
        <v>1.090010561068933</v>
      </c>
      <c r="AH14" s="7">
        <f>AG14+預測IC!AH14</f>
        <v>1.0952608389994389</v>
      </c>
      <c r="AI14" s="7">
        <f>AH14+預測IC!AI14</f>
        <v>1.1673337899265599</v>
      </c>
      <c r="AJ14" s="7">
        <f>AI14+預測IC!AJ14</f>
        <v>1.182392826009711</v>
      </c>
      <c r="AK14" s="7">
        <f>AJ14+預測IC!AK14</f>
        <v>1.2593042568680131</v>
      </c>
      <c r="AL14" s="7">
        <f>AK14+預測IC!AL14</f>
        <v>1.2972734465904738</v>
      </c>
      <c r="AM14" s="7">
        <f>AL14+預測IC!AM14</f>
        <v>1.3585156129690992</v>
      </c>
      <c r="AN14" s="7">
        <f>AM14+預測IC!AN14</f>
        <v>1.4571102797386428</v>
      </c>
      <c r="AO14" s="7">
        <f>AN14+預測IC!AO14</f>
        <v>1.5180159852040527</v>
      </c>
      <c r="AP14" s="7">
        <f>AO14+預測IC!AP14</f>
        <v>1.4480394600519684</v>
      </c>
      <c r="AQ14" s="7">
        <f>AP14+預測IC!AQ14</f>
        <v>1.4476714923142084</v>
      </c>
      <c r="AR14" s="7">
        <f>AQ14+預測IC!AR14</f>
        <v>1.4853173320764714</v>
      </c>
      <c r="AS14" s="7">
        <f>AR14+預測IC!AS14</f>
        <v>1.5706943180295183</v>
      </c>
      <c r="AT14" s="7">
        <f>AS14+預測IC!AT14</f>
        <v>1.6052008977146628</v>
      </c>
      <c r="AU14" s="7">
        <f>AT14+預測IC!AU14</f>
        <v>1.6451925467179667</v>
      </c>
      <c r="AV14" s="7">
        <f>AU14+預測IC!AV14</f>
        <v>1.6265096612843495</v>
      </c>
      <c r="AW14" s="7">
        <f>AV14+預測IC!AW14</f>
        <v>1.608146729778392</v>
      </c>
      <c r="AX14" s="7">
        <f>AW14+預測IC!AX14</f>
        <v>1.7450977580727847</v>
      </c>
      <c r="AY14" s="7">
        <f>AX14+預測IC!AY14</f>
        <v>1.7601658768445463</v>
      </c>
      <c r="AZ14" s="7">
        <f>AY14+預測IC!AZ14</f>
        <v>1.7068173076723903</v>
      </c>
      <c r="BA14" s="7">
        <f>AZ14+預測IC!BA14</f>
        <v>1.8031546330283643</v>
      </c>
      <c r="BB14" s="7">
        <f>BA14+預測IC!BB14</f>
        <v>1.9050529732868222</v>
      </c>
      <c r="BC14" s="7">
        <f>BB14+預測IC!BC14</f>
        <v>1.8952319743315449</v>
      </c>
      <c r="BD14" s="7">
        <f>BC14+預測IC!BD14</f>
        <v>1.9385597559989503</v>
      </c>
      <c r="BE14" s="7">
        <f>BD14+預測IC!BE14</f>
        <v>1.9823468185344373</v>
      </c>
      <c r="BF14" s="7">
        <f>BE14+預測IC!BF14</f>
        <v>2.0231173400801272</v>
      </c>
      <c r="BG14" s="7">
        <f>BF14+預測IC!BG14</f>
        <v>2.06449160415406</v>
      </c>
      <c r="BH14" s="7">
        <f>BG14+預測IC!BH14</f>
        <v>2.0698343597226607</v>
      </c>
      <c r="BI14" s="7">
        <f>BH14+預測IC!BI14</f>
        <v>2.1200195726135145</v>
      </c>
      <c r="BJ14" s="7">
        <f>BI14+預測IC!BJ14</f>
        <v>2.1000023489422812</v>
      </c>
      <c r="BK14" s="7">
        <f>BJ14+預測IC!BK14</f>
        <v>2.0944085972852085</v>
      </c>
      <c r="BL14" s="7">
        <f>BK14+預測IC!BL14</f>
        <v>2.1541463641275787</v>
      </c>
      <c r="BM14" s="7">
        <f>BL14+預測IC!BM14</f>
        <v>2.1078680391245781</v>
      </c>
      <c r="BN14" s="7">
        <f>BM14+預測IC!BN14</f>
        <v>2.1288045771971293</v>
      </c>
      <c r="BO14" s="7">
        <f>BN14+預測IC!BO14</f>
        <v>2.1624136228743938</v>
      </c>
      <c r="BP14" s="7">
        <f>BO14+預測IC!BP14</f>
        <v>2.1780873563673531</v>
      </c>
      <c r="BQ14" s="7">
        <f>BP14+預測IC!BQ14</f>
        <v>2.1939308802373039</v>
      </c>
      <c r="BR14" s="7">
        <f>BQ14+預測IC!BR14</f>
        <v>2.1660014507046861</v>
      </c>
      <c r="BS14" s="7">
        <f>BR14+預測IC!BS14</f>
        <v>2.124507495560108</v>
      </c>
      <c r="BT14" s="7">
        <f>BS14+預測IC!BT14</f>
        <v>2.1985204578964193</v>
      </c>
      <c r="BU14" s="7">
        <f>BT14+預測IC!BU14</f>
        <v>2.1896656225383886</v>
      </c>
      <c r="BV14" s="7">
        <f>BU14+預測IC!BV14</f>
        <v>2.2153928045548161</v>
      </c>
      <c r="BW14" s="7">
        <f>BV14+預測IC!BW14</f>
        <v>2.2279007528124093</v>
      </c>
      <c r="BX14" s="7">
        <f>BW14+預測IC!BX14</f>
        <v>2.2828715129343622</v>
      </c>
      <c r="BY14" s="7">
        <f>BX14+預測IC!BY14</f>
        <v>2.2762752195693974</v>
      </c>
      <c r="BZ14" s="7">
        <f>BY14+預測IC!BZ14</f>
        <v>2.3363092763981799</v>
      </c>
      <c r="CA14" s="7">
        <f>BZ14+預測IC!CA14</f>
        <v>2.3118440102832429</v>
      </c>
      <c r="CB14" s="7">
        <f>CA14+預測IC!CB14</f>
        <v>2.3339716268254178</v>
      </c>
      <c r="CC14" s="7">
        <f>CB14+預測IC!CC14</f>
        <v>2.4545677854146004</v>
      </c>
      <c r="CD14" s="7">
        <f>CC14+預測IC!CD14</f>
        <v>2.502489626327185</v>
      </c>
      <c r="CE14" s="7">
        <f>CD14+預測IC!CE14</f>
        <v>2.6730449288157354</v>
      </c>
      <c r="CF14" s="7">
        <f>CE14+預測IC!CF14</f>
        <v>2.6527347118932156</v>
      </c>
      <c r="CG14" s="7">
        <f>CF14+預測IC!CG14</f>
        <v>2.7916613884111556</v>
      </c>
      <c r="CH14" s="7">
        <f>CG14+預測IC!CH14</f>
        <v>2.8563227806893727</v>
      </c>
      <c r="CI14" s="7">
        <f>CH14+預測IC!CI14</f>
        <v>2.7504380033260141</v>
      </c>
      <c r="CJ14" s="7">
        <f>CI14+預測IC!CJ14</f>
        <v>2.7217701483818395</v>
      </c>
      <c r="CK14" s="7">
        <f>CJ14+預測IC!CK14</f>
        <v>2.7357865127724854</v>
      </c>
      <c r="CL14" s="7">
        <f>CK14+預測IC!CL14</f>
        <v>2.798056467651322</v>
      </c>
      <c r="CM14" s="7">
        <f>CL14+預測IC!CM14</f>
        <v>2.8300964780196392</v>
      </c>
      <c r="CN14" s="7">
        <f>CM14+預測IC!CN14</f>
        <v>2.8070697893487129</v>
      </c>
      <c r="CO14" s="7">
        <f>CN14+預測IC!CO14</f>
        <v>2.7334820693098201</v>
      </c>
      <c r="CP14" s="7">
        <f>CO14+預測IC!CP14</f>
        <v>2.8332914007915728</v>
      </c>
      <c r="CQ14" s="7">
        <f>CP14+預測IC!CQ14</f>
        <v>2.8010635009041853</v>
      </c>
      <c r="CR14" s="7">
        <f>CQ14+預測IC!CR14</f>
        <v>2.8637041562806331</v>
      </c>
      <c r="CS14" s="7">
        <f>CR14+預測IC!CS14</f>
        <v>2.8598880429371132</v>
      </c>
      <c r="CT14" s="7">
        <f>CS14+預測IC!CT14</f>
        <v>2.8789886194877981</v>
      </c>
      <c r="CU14" s="7">
        <f>CT14+預測IC!CU14</f>
        <v>2.8350715167905833</v>
      </c>
      <c r="CV14" s="7">
        <f>CU14+預測IC!CV14</f>
        <v>2.8578172319288386</v>
      </c>
      <c r="CW14" s="7">
        <f>CV14+預測IC!CW14</f>
        <v>2.8544188494653677</v>
      </c>
      <c r="CX14" s="7">
        <f>CW14+預測IC!CX14</f>
        <v>2.8907182583536071</v>
      </c>
      <c r="CY14" s="7">
        <f>CX14+預測IC!CY14</f>
        <v>2.861959138062133</v>
      </c>
      <c r="CZ14" s="7">
        <f>CY14+預測IC!CZ14</f>
        <v>2.9260227014125162</v>
      </c>
      <c r="DA14" s="7">
        <f>CZ14+預測IC!DA14</f>
        <v>2.9017184122419315</v>
      </c>
      <c r="DB14" s="7">
        <f>DA14+預測IC!DB14</f>
        <v>3.0063258533421613</v>
      </c>
      <c r="DC14" s="7">
        <f>DB14+預測IC!DC14</f>
        <v>3.0210796148391887</v>
      </c>
      <c r="DD14" s="7">
        <f>DC14+預測IC!DD14</f>
        <v>2.9671796480903949</v>
      </c>
      <c r="DE14" s="7">
        <f>DD14+預測IC!DE14</f>
        <v>2.9725639476981596</v>
      </c>
      <c r="DF14" s="7">
        <f>DE14+預測IC!DF14</f>
        <v>2.9367073171410971</v>
      </c>
      <c r="DG14" s="7">
        <f>DF14+預測IC!DG14</f>
        <v>2.9481538735344142</v>
      </c>
      <c r="DH14" s="7">
        <f>DG14+預測IC!DH14</f>
        <v>2.9529287107773259</v>
      </c>
      <c r="DI14" s="7">
        <f>DH14+預測IC!DI14</f>
        <v>2.8943308910684089</v>
      </c>
      <c r="DJ14" s="7">
        <f>DI14+預測IC!DJ14</f>
        <v>2.9102284828811786</v>
      </c>
      <c r="DK14" s="7">
        <f>DJ14+預測IC!DK14</f>
        <v>2.9292995459988345</v>
      </c>
      <c r="DL14" s="7">
        <f>DK14+預測IC!DL14</f>
        <v>2.9141343844439458</v>
      </c>
      <c r="DM14" s="7">
        <f>DL14+預測IC!DM14</f>
        <v>2.9196386535375964</v>
      </c>
      <c r="DN14" s="7">
        <f>DM14+預測IC!DN14</f>
        <v>2.9623011494308606</v>
      </c>
      <c r="DO14" s="7">
        <f>DN14+預測IC!DO14</f>
        <v>3.003676794593658</v>
      </c>
      <c r="DP14" s="7">
        <f>DO14+預測IC!DP14</f>
        <v>3.0472165109513099</v>
      </c>
      <c r="DQ14" s="7">
        <f>DP14+預測IC!DQ14</f>
        <v>2.9911972249651195</v>
      </c>
      <c r="DR14" s="7">
        <f>DQ14+預測IC!DR14</f>
        <v>3.0438197444241193</v>
      </c>
      <c r="DS14" s="7">
        <f>DR14+預測IC!DS14</f>
        <v>3.0087748381532027</v>
      </c>
      <c r="DT14" s="7">
        <f>DS14+預測IC!DT14</f>
        <v>3.1264473514849591</v>
      </c>
      <c r="DU14" s="7">
        <f>DT14+預測IC!DU14</f>
        <v>3.057652078292795</v>
      </c>
      <c r="DV14" s="7">
        <f>DU14+預測IC!DV14</f>
        <v>3.1659144328229023</v>
      </c>
      <c r="DW14" s="7">
        <f>DV14+預測IC!DW14</f>
        <v>3.2642587998406802</v>
      </c>
      <c r="DX14" s="7">
        <f>DW14+預測IC!DX14</f>
        <v>3.162327294288259</v>
      </c>
      <c r="DY14" s="7">
        <f>DX14+預測IC!DY14</f>
        <v>3.2365859943670094</v>
      </c>
      <c r="DZ14" s="7">
        <f>DY14+預測IC!DZ14</f>
        <v>3.2716169942307896</v>
      </c>
      <c r="EA14" s="7">
        <f>DZ14+預測IC!EA14</f>
        <v>3.3791424774283132</v>
      </c>
      <c r="EB14" s="7">
        <f>EA14+預測IC!EB14</f>
        <v>3.4123198105409038</v>
      </c>
      <c r="EC14" s="7">
        <f>EB14+預測IC!EC14</f>
        <v>3.3930283508751544</v>
      </c>
      <c r="ED14" s="7">
        <f>EC14+預測IC!ED14</f>
        <v>3.2903986416889675</v>
      </c>
      <c r="EE14" s="7">
        <f>ED14+預測IC!EE14</f>
        <v>3.3092657985338598</v>
      </c>
      <c r="EF14" s="7">
        <f>EE14+預測IC!EF14</f>
        <v>3.3792222190324179</v>
      </c>
    </row>
    <row r="15" spans="1:137" x14ac:dyDescent="0.3">
      <c r="A15" s="1">
        <v>100</v>
      </c>
      <c r="B15" s="1">
        <v>10</v>
      </c>
      <c r="C15" s="7">
        <v>0.22764465877785839</v>
      </c>
      <c r="D15" s="7">
        <f>C15+預測IC!D15</f>
        <v>0.60035387438778398</v>
      </c>
      <c r="E15" s="7">
        <f>D15+預測IC!E15</f>
        <v>0.66239955450474175</v>
      </c>
      <c r="F15" s="7">
        <f>E15+預測IC!F15</f>
        <v>0.75270326751449845</v>
      </c>
      <c r="G15" s="7">
        <f>F15+預測IC!G15</f>
        <v>0.84930885806476009</v>
      </c>
      <c r="H15" s="7">
        <f>G15+預測IC!H15</f>
        <v>0.96815256177211939</v>
      </c>
      <c r="I15" s="7">
        <f>H15+預測IC!I15</f>
        <v>1.0948813028916313</v>
      </c>
      <c r="J15" s="7">
        <f>I15+預測IC!J15</f>
        <v>1.0303566127818757</v>
      </c>
      <c r="K15" s="7">
        <f>J15+預測IC!K15</f>
        <v>1.026146246396535</v>
      </c>
      <c r="L15" s="7">
        <f>K15+預測IC!L15</f>
        <v>1.0391133313575753</v>
      </c>
      <c r="M15" s="7">
        <f>L15+預測IC!M15</f>
        <v>1.0646110408370626</v>
      </c>
      <c r="N15" s="7">
        <f>M15+預測IC!N15</f>
        <v>1.3949203777018697</v>
      </c>
      <c r="O15" s="7">
        <f>N15+預測IC!O15</f>
        <v>1.4410238709549952</v>
      </c>
      <c r="P15" s="7">
        <f>O15+預測IC!P15</f>
        <v>1.4940071541473507</v>
      </c>
      <c r="Q15" s="7">
        <f>P15+預測IC!Q15</f>
        <v>1.5943825037312416</v>
      </c>
      <c r="R15" s="7">
        <f>Q15+預測IC!R15</f>
        <v>1.6111379400218597</v>
      </c>
      <c r="S15" s="7">
        <f>R15+預測IC!S15</f>
        <v>1.5681040062485283</v>
      </c>
      <c r="T15" s="7">
        <f>S15+預測IC!T15</f>
        <v>1.5013038813054163</v>
      </c>
      <c r="U15" s="7">
        <f>T15+預測IC!U15</f>
        <v>1.548094124464048</v>
      </c>
      <c r="V15" s="7">
        <f>U15+預測IC!V15</f>
        <v>1.4624132425851746</v>
      </c>
      <c r="W15" s="7">
        <f>V15+預測IC!W15</f>
        <v>1.5649568365679176</v>
      </c>
      <c r="X15" s="7">
        <f>W15+預測IC!X15</f>
        <v>1.643393249013505</v>
      </c>
      <c r="Y15" s="7">
        <f>X15+預測IC!Y15</f>
        <v>1.6192046304663501</v>
      </c>
      <c r="Z15" s="7">
        <f>Y15+預測IC!Z15</f>
        <v>1.5955482117806794</v>
      </c>
      <c r="AA15" s="7">
        <f>Z15+預測IC!AA15</f>
        <v>1.6421343357064724</v>
      </c>
      <c r="AB15" s="7">
        <f>AA15+預測IC!AB15</f>
        <v>1.6199679349655394</v>
      </c>
      <c r="AC15" s="7">
        <f>AB15+預測IC!AC15</f>
        <v>1.5799128053954232</v>
      </c>
      <c r="AD15" s="7">
        <f>AC15+預測IC!AD15</f>
        <v>1.6616261802836056</v>
      </c>
      <c r="AE15" s="7">
        <f>AD15+預測IC!AE15</f>
        <v>1.7089126565293091</v>
      </c>
      <c r="AF15" s="7">
        <f>AE15+預測IC!AF15</f>
        <v>1.774732269026349</v>
      </c>
      <c r="AG15" s="7">
        <f>AF15+預測IC!AG15</f>
        <v>1.7649869584244442</v>
      </c>
      <c r="AH15" s="7">
        <f>AG15+預測IC!AH15</f>
        <v>1.7313825850667677</v>
      </c>
      <c r="AI15" s="7">
        <f>AH15+預測IC!AI15</f>
        <v>1.8168126958823747</v>
      </c>
      <c r="AJ15" s="7">
        <f>AI15+預測IC!AJ15</f>
        <v>1.8262775558498505</v>
      </c>
      <c r="AK15" s="7">
        <f>AJ15+預測IC!AK15</f>
        <v>1.8880371755082954</v>
      </c>
      <c r="AL15" s="7">
        <f>AK15+預測IC!AL15</f>
        <v>1.93246883800411</v>
      </c>
      <c r="AM15" s="7">
        <f>AL15+預測IC!AM15</f>
        <v>1.987591460138737</v>
      </c>
      <c r="AN15" s="7">
        <f>AM15+預測IC!AN15</f>
        <v>2.0892801660511204</v>
      </c>
      <c r="AO15" s="7">
        <f>AN15+預測IC!AO15</f>
        <v>2.1526499785145874</v>
      </c>
      <c r="AP15" s="7">
        <f>AO15+預測IC!AP15</f>
        <v>2.0743642846218333</v>
      </c>
      <c r="AQ15" s="7">
        <f>AP15+預測IC!AQ15</f>
        <v>2.0369971578257116</v>
      </c>
      <c r="AR15" s="7">
        <f>AQ15+預測IC!AR15</f>
        <v>2.1272910133016283</v>
      </c>
      <c r="AS15" s="7">
        <f>AR15+預測IC!AS15</f>
        <v>2.1811121923387424</v>
      </c>
      <c r="AT15" s="7">
        <f>AS15+預測IC!AT15</f>
        <v>2.2463671829911709</v>
      </c>
      <c r="AU15" s="7">
        <f>AT15+預測IC!AU15</f>
        <v>2.286310444080637</v>
      </c>
      <c r="AV15" s="7">
        <f>AU15+預測IC!AV15</f>
        <v>2.2390836257531981</v>
      </c>
      <c r="AW15" s="7">
        <f>AV15+預測IC!AW15</f>
        <v>2.2547435650077792</v>
      </c>
      <c r="AX15" s="7">
        <f>AW15+預測IC!AX15</f>
        <v>2.3799775421825142</v>
      </c>
      <c r="AY15" s="7">
        <f>AX15+預測IC!AY15</f>
        <v>2.4079946062925472</v>
      </c>
      <c r="AZ15" s="7">
        <f>AY15+預測IC!AZ15</f>
        <v>2.3166713262240437</v>
      </c>
      <c r="BA15" s="7">
        <f>AZ15+預測IC!BA15</f>
        <v>2.4743592746323824</v>
      </c>
      <c r="BB15" s="7">
        <f>BA15+預測IC!BB15</f>
        <v>2.5831483744485051</v>
      </c>
      <c r="BC15" s="7">
        <f>BB15+預測IC!BC15</f>
        <v>2.6453035181163354</v>
      </c>
      <c r="BD15" s="7">
        <f>BC15+預測IC!BD15</f>
        <v>2.6983467920211313</v>
      </c>
      <c r="BE15" s="7">
        <f>BD15+預測IC!BE15</f>
        <v>2.7467895130387943</v>
      </c>
      <c r="BF15" s="7">
        <f>BE15+預測IC!BF15</f>
        <v>2.7944524924955463</v>
      </c>
      <c r="BG15" s="7">
        <f>BF15+預測IC!BG15</f>
        <v>2.7969420312301114</v>
      </c>
      <c r="BH15" s="7">
        <f>BG15+預測IC!BH15</f>
        <v>2.8313838767118007</v>
      </c>
      <c r="BI15" s="7">
        <f>BH15+預測IC!BI15</f>
        <v>2.8999705358267702</v>
      </c>
      <c r="BJ15" s="7">
        <f>BI15+預測IC!BJ15</f>
        <v>2.8887055087393252</v>
      </c>
      <c r="BK15" s="7">
        <f>BJ15+預測IC!BK15</f>
        <v>2.889529261007131</v>
      </c>
      <c r="BL15" s="7">
        <f>BK15+預測IC!BL15</f>
        <v>2.9489331323484795</v>
      </c>
      <c r="BM15" s="7">
        <f>BL15+預測IC!BM15</f>
        <v>2.9007141278607356</v>
      </c>
      <c r="BN15" s="7">
        <f>BM15+預測IC!BN15</f>
        <v>2.9408566975939254</v>
      </c>
      <c r="BO15" s="7">
        <f>BN15+預測IC!BO15</f>
        <v>2.9685911735488566</v>
      </c>
      <c r="BP15" s="7">
        <f>BO15+預測IC!BP15</f>
        <v>2.9827753942566613</v>
      </c>
      <c r="BQ15" s="7">
        <f>BP15+預測IC!BQ15</f>
        <v>2.995578325546989</v>
      </c>
      <c r="BR15" s="7">
        <f>BQ15+預測IC!BR15</f>
        <v>2.9454208964249293</v>
      </c>
      <c r="BS15" s="7">
        <f>BR15+預測IC!BS15</f>
        <v>2.9285971189746429</v>
      </c>
      <c r="BT15" s="7">
        <f>BS15+預測IC!BT15</f>
        <v>3.0176573247059775</v>
      </c>
      <c r="BU15" s="7">
        <f>BT15+預測IC!BU15</f>
        <v>3.0371337445017708</v>
      </c>
      <c r="BV15" s="7">
        <f>BU15+預測IC!BV15</f>
        <v>3.0960487122543197</v>
      </c>
      <c r="BW15" s="7">
        <f>BV15+預測IC!BW15</f>
        <v>3.0601028221249158</v>
      </c>
      <c r="BX15" s="7">
        <f>BW15+預測IC!BX15</f>
        <v>3.0887387171906471</v>
      </c>
      <c r="BY15" s="7">
        <f>BX15+預測IC!BY15</f>
        <v>3.0270446257115871</v>
      </c>
      <c r="BZ15" s="7">
        <f>BY15+預測IC!BZ15</f>
        <v>3.1299510946889342</v>
      </c>
      <c r="CA15" s="7">
        <f>BZ15+預測IC!CA15</f>
        <v>3.1113590738924919</v>
      </c>
      <c r="CB15" s="7">
        <f>CA15+預測IC!CB15</f>
        <v>3.1264159679043164</v>
      </c>
      <c r="CC15" s="7">
        <f>CB15+預測IC!CC15</f>
        <v>3.3000676736264363</v>
      </c>
      <c r="CD15" s="7">
        <f>CC15+預測IC!CD15</f>
        <v>3.3891621933022567</v>
      </c>
      <c r="CE15" s="7">
        <f>CD15+預測IC!CE15</f>
        <v>3.4625303133507073</v>
      </c>
      <c r="CF15" s="7">
        <f>CE15+預測IC!CF15</f>
        <v>3.4589034964203846</v>
      </c>
      <c r="CG15" s="7">
        <f>CF15+預測IC!CG15</f>
        <v>3.6846347236855119</v>
      </c>
      <c r="CH15" s="7">
        <f>CG15+預測IC!CH15</f>
        <v>3.7475206819692133</v>
      </c>
      <c r="CI15" s="7">
        <f>CH15+預測IC!CI15</f>
        <v>3.7087222670742324</v>
      </c>
      <c r="CJ15" s="7">
        <f>CI15+預測IC!CJ15</f>
        <v>3.6216779110015143</v>
      </c>
      <c r="CK15" s="7">
        <f>CJ15+預測IC!CK15</f>
        <v>3.6783505567736139</v>
      </c>
      <c r="CL15" s="7">
        <f>CK15+預測IC!CL15</f>
        <v>3.7097725317668622</v>
      </c>
      <c r="CM15" s="7">
        <f>CL15+預測IC!CM15</f>
        <v>3.7844036478953158</v>
      </c>
      <c r="CN15" s="7">
        <f>CM15+預測IC!CN15</f>
        <v>3.7417695320961557</v>
      </c>
      <c r="CO15" s="7">
        <f>CN15+預測IC!CO15</f>
        <v>3.6123205072141142</v>
      </c>
      <c r="CP15" s="7">
        <f>CO15+預測IC!CP15</f>
        <v>3.7398563426470641</v>
      </c>
      <c r="CQ15" s="7">
        <f>CP15+預測IC!CQ15</f>
        <v>3.7648197031035031</v>
      </c>
      <c r="CR15" s="7">
        <f>CQ15+預測IC!CR15</f>
        <v>3.7891940218012583</v>
      </c>
      <c r="CS15" s="7">
        <f>CR15+預測IC!CS15</f>
        <v>3.8061050085055137</v>
      </c>
      <c r="CT15" s="7">
        <f>CS15+預測IC!CT15</f>
        <v>3.8134995834809686</v>
      </c>
      <c r="CU15" s="7">
        <f>CT15+預測IC!CU15</f>
        <v>3.7503209235661958</v>
      </c>
      <c r="CV15" s="7">
        <f>CU15+預測IC!CV15</f>
        <v>3.7441790766613869</v>
      </c>
      <c r="CW15" s="7">
        <f>CV15+預測IC!CW15</f>
        <v>3.7316944164809467</v>
      </c>
      <c r="CX15" s="7">
        <f>CW15+預測IC!CX15</f>
        <v>3.7557340235342775</v>
      </c>
      <c r="CY15" s="7">
        <f>CX15+預測IC!CY15</f>
        <v>3.7132633504565153</v>
      </c>
      <c r="CZ15" s="7">
        <f>CY15+預測IC!CZ15</f>
        <v>3.7931502984008576</v>
      </c>
      <c r="DA15" s="7">
        <f>CZ15+預測IC!DA15</f>
        <v>3.7667744629589812</v>
      </c>
      <c r="DB15" s="7">
        <f>DA15+預測IC!DB15</f>
        <v>3.8638227044844462</v>
      </c>
      <c r="DC15" s="7">
        <f>DB15+預測IC!DC15</f>
        <v>3.9405497288174152</v>
      </c>
      <c r="DD15" s="7">
        <f>DC15+預測IC!DD15</f>
        <v>3.8730233197496799</v>
      </c>
      <c r="DE15" s="7">
        <f>DD15+預測IC!DE15</f>
        <v>3.8979720344947228</v>
      </c>
      <c r="DF15" s="7">
        <f>DE15+預測IC!DF15</f>
        <v>3.8555807280953283</v>
      </c>
      <c r="DG15" s="7">
        <f>DF15+預測IC!DG15</f>
        <v>3.8717774597135692</v>
      </c>
      <c r="DH15" s="7">
        <f>DG15+預測IC!DH15</f>
        <v>3.8530684486696773</v>
      </c>
      <c r="DI15" s="7">
        <f>DH15+預測IC!DI15</f>
        <v>3.8413499996602196</v>
      </c>
      <c r="DJ15" s="7">
        <f>DI15+預測IC!DJ15</f>
        <v>3.8889166221012839</v>
      </c>
      <c r="DK15" s="7">
        <f>DJ15+預測IC!DK15</f>
        <v>3.990691456152752</v>
      </c>
      <c r="DL15" s="7">
        <f>DK15+預測IC!DL15</f>
        <v>4.0533269502411899</v>
      </c>
      <c r="DM15" s="7">
        <f>DL15+預測IC!DM15</f>
        <v>4.0295184033735216</v>
      </c>
      <c r="DN15" s="7">
        <f>DM15+預測IC!DN15</f>
        <v>4.0735149007971412</v>
      </c>
      <c r="DO15" s="7">
        <f>DN15+預測IC!DO15</f>
        <v>4.1198116280309423</v>
      </c>
      <c r="DP15" s="7">
        <f>DO15+預測IC!DP15</f>
        <v>4.1435472300378349</v>
      </c>
      <c r="DQ15" s="7">
        <f>DP15+預測IC!DQ15</f>
        <v>4.0706091501336923</v>
      </c>
      <c r="DR15" s="7">
        <f>DQ15+預測IC!DR15</f>
        <v>4.1406197167516305</v>
      </c>
      <c r="DS15" s="7">
        <f>DR15+預測IC!DS15</f>
        <v>4.0643778083398336</v>
      </c>
      <c r="DT15" s="7">
        <f>DS15+預測IC!DT15</f>
        <v>4.0986742072510012</v>
      </c>
      <c r="DU15" s="7">
        <f>DT15+預測IC!DU15</f>
        <v>3.9815465537403534</v>
      </c>
      <c r="DV15" s="7">
        <f>DU15+預測IC!DV15</f>
        <v>4.1213149106812246</v>
      </c>
      <c r="DW15" s="7">
        <f>DV15+預測IC!DW15</f>
        <v>4.1468535378280569</v>
      </c>
      <c r="DX15" s="7">
        <f>DW15+預測IC!DX15</f>
        <v>4.0282372871780705</v>
      </c>
      <c r="DY15" s="7">
        <f>DX15+預測IC!DY15</f>
        <v>4.1718468615588531</v>
      </c>
      <c r="DZ15" s="7">
        <f>DY15+預測IC!DZ15</f>
        <v>4.2123025148628628</v>
      </c>
      <c r="EA15" s="7">
        <f>DZ15+預測IC!EA15</f>
        <v>4.3214794477727416</v>
      </c>
      <c r="EB15" s="7">
        <f>EA15+預測IC!EB15</f>
        <v>4.3699980209039868</v>
      </c>
      <c r="EC15" s="7">
        <f>EB15+預測IC!EC15</f>
        <v>4.3522125025092624</v>
      </c>
      <c r="ED15" s="7">
        <f>EC15+預測IC!ED15</f>
        <v>4.2388554465739512</v>
      </c>
      <c r="EE15" s="7">
        <f>ED15+預測IC!EE15</f>
        <v>4.2226100320378626</v>
      </c>
      <c r="EF15" s="7">
        <f>EE15+預測IC!EF15</f>
        <v>4.2883110231767052</v>
      </c>
    </row>
    <row r="16" spans="1:137" x14ac:dyDescent="0.3">
      <c r="A16" s="1">
        <v>107</v>
      </c>
      <c r="B16" s="1">
        <v>9</v>
      </c>
      <c r="C16" s="7">
        <v>0.20787477708292909</v>
      </c>
      <c r="D16" s="7">
        <f>C16+預測IC!D16</f>
        <v>0.61606975581550971</v>
      </c>
      <c r="E16" s="7">
        <f>D16+預測IC!E16</f>
        <v>0.68107633292683789</v>
      </c>
      <c r="F16" s="7">
        <f>E16+預測IC!F16</f>
        <v>0.80533612083453709</v>
      </c>
      <c r="G16" s="7">
        <f>F16+預測IC!G16</f>
        <v>0.91434863353130869</v>
      </c>
      <c r="H16" s="7">
        <f>G16+預測IC!H16</f>
        <v>0.98719668981895614</v>
      </c>
      <c r="I16" s="7">
        <f>H16+預測IC!I16</f>
        <v>1.0989889917988633</v>
      </c>
      <c r="J16" s="7">
        <f>I16+預測IC!J16</f>
        <v>1.0302949585456356</v>
      </c>
      <c r="K16" s="7">
        <f>J16+預測IC!K16</f>
        <v>1.0482200630638987</v>
      </c>
      <c r="L16" s="7">
        <f>K16+預測IC!L16</f>
        <v>1.0792472140293718</v>
      </c>
      <c r="M16" s="7">
        <f>L16+預測IC!M16</f>
        <v>1.1195816687546125</v>
      </c>
      <c r="N16" s="7">
        <f>M16+預測IC!N16</f>
        <v>1.4865692778771988</v>
      </c>
      <c r="O16" s="7">
        <f>N16+預測IC!O16</f>
        <v>1.5021903701025092</v>
      </c>
      <c r="P16" s="7">
        <f>O16+預測IC!P16</f>
        <v>1.5641701053834172</v>
      </c>
      <c r="Q16" s="7">
        <f>P16+預測IC!Q16</f>
        <v>1.6607882785583268</v>
      </c>
      <c r="R16" s="7">
        <f>Q16+預測IC!R16</f>
        <v>1.6799710408139619</v>
      </c>
      <c r="S16" s="7">
        <f>R16+預測IC!S16</f>
        <v>1.6375558576030078</v>
      </c>
      <c r="T16" s="7">
        <f>S16+預測IC!T16</f>
        <v>1.5703367974454066</v>
      </c>
      <c r="U16" s="7">
        <f>T16+預測IC!U16</f>
        <v>1.6189883132382084</v>
      </c>
      <c r="V16" s="7">
        <f>U16+預測IC!V16</f>
        <v>1.5146721376367667</v>
      </c>
      <c r="W16" s="7">
        <f>V16+預測IC!W16</f>
        <v>1.6163378136845785</v>
      </c>
      <c r="X16" s="7">
        <f>W16+預測IC!X16</f>
        <v>1.6900160913420457</v>
      </c>
      <c r="Y16" s="7">
        <f>X16+預測IC!Y16</f>
        <v>1.6857286442503092</v>
      </c>
      <c r="Z16" s="7">
        <f>Y16+預測IC!Z16</f>
        <v>1.6656528493718845</v>
      </c>
      <c r="AA16" s="7">
        <f>Z16+預測IC!AA16</f>
        <v>1.7158783762377989</v>
      </c>
      <c r="AB16" s="7">
        <f>AA16+預測IC!AB16</f>
        <v>1.6835829618037312</v>
      </c>
      <c r="AC16" s="7">
        <f>AB16+預測IC!AC16</f>
        <v>1.6425424390946481</v>
      </c>
      <c r="AD16" s="7">
        <f>AC16+預測IC!AD16</f>
        <v>1.695678494642505</v>
      </c>
      <c r="AE16" s="7">
        <f>AD16+預測IC!AE16</f>
        <v>1.7472134865244069</v>
      </c>
      <c r="AF16" s="7">
        <f>AE16+預測IC!AF16</f>
        <v>1.810899329105996</v>
      </c>
      <c r="AG16" s="7">
        <f>AF16+預測IC!AG16</f>
        <v>1.80259742150311</v>
      </c>
      <c r="AH16" s="7">
        <f>AG16+預測IC!AH16</f>
        <v>1.7708320210536694</v>
      </c>
      <c r="AI16" s="7">
        <f>AH16+預測IC!AI16</f>
        <v>1.8199100642302375</v>
      </c>
      <c r="AJ16" s="7">
        <f>AI16+預測IC!AJ16</f>
        <v>1.8128840981583614</v>
      </c>
      <c r="AK16" s="7">
        <f>AJ16+預測IC!AK16</f>
        <v>1.8773054989907334</v>
      </c>
      <c r="AL16" s="7">
        <f>AK16+預測IC!AL16</f>
        <v>1.9259944320952567</v>
      </c>
      <c r="AM16" s="7">
        <f>AL16+預測IC!AM16</f>
        <v>1.9920711626970546</v>
      </c>
      <c r="AN16" s="7">
        <f>AM16+預測IC!AN16</f>
        <v>2.0985273627867302</v>
      </c>
      <c r="AO16" s="7">
        <f>AN16+預測IC!AO16</f>
        <v>2.1599520346126426</v>
      </c>
      <c r="AP16" s="7">
        <f>AO16+預測IC!AP16</f>
        <v>2.0821536664670539</v>
      </c>
      <c r="AQ16" s="7">
        <f>AP16+預測IC!AQ16</f>
        <v>2.0436874663209852</v>
      </c>
      <c r="AR16" s="7">
        <f>AQ16+預測IC!AR16</f>
        <v>2.1469786453814774</v>
      </c>
      <c r="AS16" s="7">
        <f>AR16+預測IC!AS16</f>
        <v>2.2120468708554468</v>
      </c>
      <c r="AT16" s="7">
        <f>AS16+預測IC!AT16</f>
        <v>2.261594026173817</v>
      </c>
      <c r="AU16" s="7">
        <f>AT16+預測IC!AU16</f>
        <v>2.3034208644287122</v>
      </c>
      <c r="AV16" s="7">
        <f>AU16+預測IC!AV16</f>
        <v>2.2943483576486936</v>
      </c>
      <c r="AW16" s="7">
        <f>AV16+預測IC!AW16</f>
        <v>2.3336012877233441</v>
      </c>
      <c r="AX16" s="7">
        <f>AW16+預測IC!AX16</f>
        <v>2.434431060967317</v>
      </c>
      <c r="AY16" s="7">
        <f>AX16+預測IC!AY16</f>
        <v>2.468243650811663</v>
      </c>
      <c r="AZ16" s="7">
        <f>AY16+預測IC!AZ16</f>
        <v>2.363334015632951</v>
      </c>
      <c r="BA16" s="7">
        <f>AZ16+預測IC!BA16</f>
        <v>2.523324715807572</v>
      </c>
      <c r="BB16" s="7">
        <f>BA16+預測IC!BB16</f>
        <v>2.6557994534041436</v>
      </c>
      <c r="BC16" s="7">
        <f>BB16+預測IC!BC16</f>
        <v>2.7229209195118353</v>
      </c>
      <c r="BD16" s="7">
        <f>BC16+預測IC!BD16</f>
        <v>2.7588576310577393</v>
      </c>
      <c r="BE16" s="7">
        <f>BD16+預測IC!BE16</f>
        <v>2.8102686254522142</v>
      </c>
      <c r="BF16" s="7">
        <f>BE16+預測IC!BF16</f>
        <v>2.8745366797719325</v>
      </c>
      <c r="BG16" s="7">
        <f>BF16+預測IC!BG16</f>
        <v>2.8880099618198893</v>
      </c>
      <c r="BH16" s="7">
        <f>BG16+預測IC!BH16</f>
        <v>2.8742343473359275</v>
      </c>
      <c r="BI16" s="7">
        <f>BH16+預測IC!BI16</f>
        <v>2.9156781550991893</v>
      </c>
      <c r="BJ16" s="7">
        <f>BI16+預測IC!BJ16</f>
        <v>2.8951743388159819</v>
      </c>
      <c r="BK16" s="7">
        <f>BJ16+預測IC!BK16</f>
        <v>2.8981463291111789</v>
      </c>
      <c r="BL16" s="7">
        <f>BK16+預測IC!BL16</f>
        <v>2.9687698948187022</v>
      </c>
      <c r="BM16" s="7">
        <f>BL16+預測IC!BM16</f>
        <v>2.9292719093275963</v>
      </c>
      <c r="BN16" s="7">
        <f>BM16+預測IC!BN16</f>
        <v>2.9771777419316234</v>
      </c>
      <c r="BO16" s="7">
        <f>BN16+預測IC!BO16</f>
        <v>2.9990681018852809</v>
      </c>
      <c r="BP16" s="7">
        <f>BO16+預測IC!BP16</f>
        <v>3.0199112854328614</v>
      </c>
      <c r="BQ16" s="7">
        <f>BP16+預測IC!BQ16</f>
        <v>3.0363893016877901</v>
      </c>
      <c r="BR16" s="7">
        <f>BQ16+預測IC!BR16</f>
        <v>3.0100924536663456</v>
      </c>
      <c r="BS16" s="7">
        <f>BR16+預測IC!BS16</f>
        <v>2.9969008805188815</v>
      </c>
      <c r="BT16" s="7">
        <f>BS16+預測IC!BT16</f>
        <v>3.0823840717866813</v>
      </c>
      <c r="BU16" s="7">
        <f>BT16+預測IC!BU16</f>
        <v>3.1401491819714815</v>
      </c>
      <c r="BV16" s="7">
        <f>BU16+預測IC!BV16</f>
        <v>3.2008604214183225</v>
      </c>
      <c r="BW16" s="7">
        <f>BV16+預測IC!BW16</f>
        <v>3.1351194939917879</v>
      </c>
      <c r="BX16" s="7">
        <f>BW16+預測IC!BX16</f>
        <v>3.1666787315129188</v>
      </c>
      <c r="BY16" s="7">
        <f>BX16+預測IC!BY16</f>
        <v>3.116114998665676</v>
      </c>
      <c r="BZ16" s="7">
        <f>BY16+預測IC!BZ16</f>
        <v>3.2276408471673252</v>
      </c>
      <c r="CA16" s="7">
        <f>BZ16+預測IC!CA16</f>
        <v>3.1979264574117621</v>
      </c>
      <c r="CB16" s="7">
        <f>CA16+預測IC!CB16</f>
        <v>3.1964984124225446</v>
      </c>
      <c r="CC16" s="7">
        <f>CB16+預測IC!CC16</f>
        <v>3.2408865655927506</v>
      </c>
      <c r="CD16" s="7">
        <f>CC16+預測IC!CD16</f>
        <v>3.3286376558583441</v>
      </c>
      <c r="CE16" s="7">
        <f>CD16+預測IC!CE16</f>
        <v>3.4222518863262601</v>
      </c>
      <c r="CF16" s="7">
        <f>CE16+預測IC!CF16</f>
        <v>3.4075558233598309</v>
      </c>
      <c r="CG16" s="7">
        <f>CF16+預測IC!CG16</f>
        <v>3.5537518633859726</v>
      </c>
      <c r="CH16" s="7">
        <f>CG16+預測IC!CH16</f>
        <v>3.5954492780889997</v>
      </c>
      <c r="CI16" s="7">
        <f>CH16+預測IC!CI16</f>
        <v>3.5567393962604821</v>
      </c>
      <c r="CJ16" s="7">
        <f>CI16+預測IC!CJ16</f>
        <v>3.5112158454728153</v>
      </c>
      <c r="CK16" s="7">
        <f>CJ16+預測IC!CK16</f>
        <v>3.5876888291905056</v>
      </c>
      <c r="CL16" s="7">
        <f>CK16+預測IC!CL16</f>
        <v>3.603567511525215</v>
      </c>
      <c r="CM16" s="7">
        <f>CL16+預測IC!CM16</f>
        <v>3.6925561396747266</v>
      </c>
      <c r="CN16" s="7">
        <f>CM16+預測IC!CN16</f>
        <v>3.6594986245337768</v>
      </c>
      <c r="CO16" s="7">
        <f>CN16+預測IC!CO16</f>
        <v>3.4770466699939475</v>
      </c>
      <c r="CP16" s="7">
        <f>CO16+預測IC!CP16</f>
        <v>3.6136783594760389</v>
      </c>
      <c r="CQ16" s="7">
        <f>CP16+預測IC!CQ16</f>
        <v>3.6340121392964</v>
      </c>
      <c r="CR16" s="7">
        <f>CQ16+預測IC!CR16</f>
        <v>3.6592407958085595</v>
      </c>
      <c r="CS16" s="7">
        <f>CR16+預測IC!CS16</f>
        <v>3.6810478047181818</v>
      </c>
      <c r="CT16" s="7">
        <f>CS16+預測IC!CT16</f>
        <v>3.6861152112190227</v>
      </c>
      <c r="CU16" s="7">
        <f>CT16+預測IC!CU16</f>
        <v>3.6226805568600482</v>
      </c>
      <c r="CV16" s="7">
        <f>CU16+預測IC!CV16</f>
        <v>3.6059294727793274</v>
      </c>
      <c r="CW16" s="7">
        <f>CV16+預測IC!CW16</f>
        <v>3.5967353132467057</v>
      </c>
      <c r="CX16" s="7">
        <f>CW16+預測IC!CX16</f>
        <v>3.6089755980009555</v>
      </c>
      <c r="CY16" s="7">
        <f>CX16+預測IC!CY16</f>
        <v>3.5598585488843302</v>
      </c>
      <c r="CZ16" s="7">
        <f>CY16+預測IC!CZ16</f>
        <v>3.6624918080624629</v>
      </c>
      <c r="DA16" s="7">
        <f>CZ16+預測IC!DA16</f>
        <v>3.6326870140952274</v>
      </c>
      <c r="DB16" s="7">
        <f>DA16+預測IC!DB16</f>
        <v>3.730704296981024</v>
      </c>
      <c r="DC16" s="7">
        <f>DB16+預測IC!DC16</f>
        <v>3.7944449554890691</v>
      </c>
      <c r="DD16" s="7">
        <f>DC16+預測IC!DD16</f>
        <v>3.7200738404864717</v>
      </c>
      <c r="DE16" s="7">
        <f>DD16+預測IC!DE16</f>
        <v>3.7545182128277004</v>
      </c>
      <c r="DF16" s="7">
        <f>DE16+預測IC!DF16</f>
        <v>3.7313717796021413</v>
      </c>
      <c r="DG16" s="7">
        <f>DF16+預測IC!DG16</f>
        <v>3.7458247272335798</v>
      </c>
      <c r="DH16" s="7">
        <f>DG16+預測IC!DH16</f>
        <v>3.7266953838156089</v>
      </c>
      <c r="DI16" s="7">
        <f>DH16+預測IC!DI16</f>
        <v>3.7134619581030868</v>
      </c>
      <c r="DJ16" s="7">
        <f>DI16+預測IC!DJ16</f>
        <v>3.7652151791756419</v>
      </c>
      <c r="DK16" s="7">
        <f>DJ16+預測IC!DK16</f>
        <v>3.8988095358012225</v>
      </c>
      <c r="DL16" s="7">
        <f>DK16+預測IC!DL16</f>
        <v>3.9639225719298672</v>
      </c>
      <c r="DM16" s="7">
        <f>DL16+預測IC!DM16</f>
        <v>3.9335916221715261</v>
      </c>
      <c r="DN16" s="7">
        <f>DM16+預測IC!DN16</f>
        <v>3.9760294755309333</v>
      </c>
      <c r="DO16" s="7">
        <f>DN16+預測IC!DO16</f>
        <v>4.0292513830870771</v>
      </c>
      <c r="DP16" s="7">
        <f>DO16+預測IC!DP16</f>
        <v>4.0490933316663034</v>
      </c>
      <c r="DQ16" s="7">
        <f>DP16+預測IC!DQ16</f>
        <v>3.9815328117206672</v>
      </c>
      <c r="DR16" s="7">
        <f>DQ16+預測IC!DR16</f>
        <v>4.0367240633701824</v>
      </c>
      <c r="DS16" s="7">
        <f>DR16+預測IC!DS16</f>
        <v>3.9429719983804281</v>
      </c>
      <c r="DT16" s="7">
        <f>DS16+預測IC!DT16</f>
        <v>3.9750314905336679</v>
      </c>
      <c r="DU16" s="7">
        <f>DT16+預測IC!DU16</f>
        <v>3.8522594440107039</v>
      </c>
      <c r="DV16" s="7">
        <f>DU16+預測IC!DV16</f>
        <v>3.9892131760284975</v>
      </c>
      <c r="DW16" s="7">
        <f>DV16+預測IC!DW16</f>
        <v>4.0301309057281882</v>
      </c>
      <c r="DX16" s="7">
        <f>DW16+預測IC!DX16</f>
        <v>3.904846199404211</v>
      </c>
      <c r="DY16" s="7">
        <f>DX16+預測IC!DY16</f>
        <v>4.0624183321395835</v>
      </c>
      <c r="DZ16" s="7">
        <f>DY16+預測IC!DZ16</f>
        <v>4.1212290803306297</v>
      </c>
      <c r="EA16" s="7">
        <f>DZ16+預測IC!EA16</f>
        <v>4.2610280990740197</v>
      </c>
      <c r="EB16" s="7">
        <f>EA16+預測IC!EB16</f>
        <v>4.339638737817153</v>
      </c>
      <c r="EC16" s="7">
        <f>EB16+預測IC!EC16</f>
        <v>4.3147007412750327</v>
      </c>
      <c r="ED16" s="7">
        <f>EC16+預測IC!ED16</f>
        <v>4.1992839937761115</v>
      </c>
      <c r="EE16" s="7">
        <f>ED16+預測IC!EE16</f>
        <v>4.1761932822515</v>
      </c>
      <c r="EF16" s="7">
        <f>EE16+預測IC!EF16</f>
        <v>4.2186676837454069</v>
      </c>
    </row>
    <row r="17" spans="1:136" x14ac:dyDescent="0.3">
      <c r="A17" s="1">
        <v>120</v>
      </c>
      <c r="B17" s="1">
        <v>8</v>
      </c>
      <c r="C17" s="7">
        <v>0.2060921883792059</v>
      </c>
      <c r="D17" s="7">
        <f>C17+預測IC!D17</f>
        <v>0.64568067700382725</v>
      </c>
      <c r="E17" s="7">
        <f>D17+預測IC!E17</f>
        <v>0.72527052639458023</v>
      </c>
      <c r="F17" s="7">
        <f>E17+預測IC!F17</f>
        <v>0.87204234070709252</v>
      </c>
      <c r="G17" s="7">
        <f>F17+預測IC!G17</f>
        <v>0.98917382090222716</v>
      </c>
      <c r="H17" s="7">
        <f>G17+預測IC!H17</f>
        <v>1.0941678745299681</v>
      </c>
      <c r="I17" s="7">
        <f>H17+預測IC!I17</f>
        <v>1.1616575296163092</v>
      </c>
      <c r="J17" s="7">
        <f>I17+預測IC!J17</f>
        <v>1.0463584563743593</v>
      </c>
      <c r="K17" s="7">
        <f>J17+預測IC!K17</f>
        <v>1.0858034482920933</v>
      </c>
      <c r="L17" s="7">
        <f>K17+預測IC!L17</f>
        <v>1.1195793778307315</v>
      </c>
      <c r="M17" s="7">
        <f>L17+預測IC!M17</f>
        <v>1.1845114128142176</v>
      </c>
      <c r="N17" s="7">
        <f>M17+預測IC!N17</f>
        <v>1.5896194217536799</v>
      </c>
      <c r="O17" s="7">
        <f>N17+預測IC!O17</f>
        <v>1.6142514769656255</v>
      </c>
      <c r="P17" s="7">
        <f>O17+預測IC!P17</f>
        <v>1.6911670804685266</v>
      </c>
      <c r="Q17" s="7">
        <f>P17+預測IC!Q17</f>
        <v>1.7975973337550033</v>
      </c>
      <c r="R17" s="7">
        <f>Q17+預測IC!R17</f>
        <v>1.7995725850356727</v>
      </c>
      <c r="S17" s="7">
        <f>R17+預測IC!S17</f>
        <v>1.7444405592977004</v>
      </c>
      <c r="T17" s="7">
        <f>S17+預測IC!T17</f>
        <v>1.6732385447648932</v>
      </c>
      <c r="U17" s="7">
        <f>T17+預測IC!U17</f>
        <v>1.7255287787117093</v>
      </c>
      <c r="V17" s="7">
        <f>U17+預測IC!V17</f>
        <v>1.6091724766863091</v>
      </c>
      <c r="W17" s="7">
        <f>V17+預測IC!W17</f>
        <v>1.7287764606986167</v>
      </c>
      <c r="X17" s="7">
        <f>W17+預測IC!X17</f>
        <v>1.8289624277026051</v>
      </c>
      <c r="Y17" s="7">
        <f>X17+預測IC!Y17</f>
        <v>1.8304629290291423</v>
      </c>
      <c r="Z17" s="7">
        <f>Y17+預測IC!Z17</f>
        <v>1.808854439234876</v>
      </c>
      <c r="AA17" s="7">
        <f>Z17+預測IC!AA17</f>
        <v>1.8711086363213476</v>
      </c>
      <c r="AB17" s="7">
        <f>AA17+預測IC!AB17</f>
        <v>1.8265703330519081</v>
      </c>
      <c r="AC17" s="7">
        <f>AB17+預測IC!AC17</f>
        <v>1.785771322064226</v>
      </c>
      <c r="AD17" s="7">
        <f>AC17+預測IC!AD17</f>
        <v>1.83554869752498</v>
      </c>
      <c r="AE17" s="7">
        <f>AD17+預測IC!AE17</f>
        <v>1.8949921972206722</v>
      </c>
      <c r="AF17" s="7">
        <f>AE17+預測IC!AF17</f>
        <v>1.9564215073426123</v>
      </c>
      <c r="AG17" s="7">
        <f>AF17+預測IC!AG17</f>
        <v>1.9550698365368004</v>
      </c>
      <c r="AH17" s="7">
        <f>AG17+預測IC!AH17</f>
        <v>1.9195972173639115</v>
      </c>
      <c r="AI17" s="7">
        <f>AH17+預測IC!AI17</f>
        <v>1.9501849260054251</v>
      </c>
      <c r="AJ17" s="7">
        <f>AI17+預測IC!AJ17</f>
        <v>1.9075822954864683</v>
      </c>
      <c r="AK17" s="7">
        <f>AJ17+預測IC!AK17</f>
        <v>1.9812985702255048</v>
      </c>
      <c r="AL17" s="7">
        <f>AK17+預測IC!AL17</f>
        <v>2.0320229759740611</v>
      </c>
      <c r="AM17" s="7">
        <f>AL17+預測IC!AM17</f>
        <v>2.1073923435617181</v>
      </c>
      <c r="AN17" s="7">
        <f>AM17+預測IC!AN17</f>
        <v>2.2206794639076359</v>
      </c>
      <c r="AO17" s="7">
        <f>AN17+預測IC!AO17</f>
        <v>2.2333117985033599</v>
      </c>
      <c r="AP17" s="7">
        <f>AO17+預測IC!AP17</f>
        <v>2.1560689840837743</v>
      </c>
      <c r="AQ17" s="7">
        <f>AP17+預測IC!AQ17</f>
        <v>2.0955418466822753</v>
      </c>
      <c r="AR17" s="7">
        <f>AQ17+預測IC!AR17</f>
        <v>2.2094725565770927</v>
      </c>
      <c r="AS17" s="7">
        <f>AR17+預測IC!AS17</f>
        <v>2.2657961186115685</v>
      </c>
      <c r="AT17" s="7">
        <f>AS17+預測IC!AT17</f>
        <v>2.3180639250612907</v>
      </c>
      <c r="AU17" s="7">
        <f>AT17+預測IC!AU17</f>
        <v>2.3726194323479786</v>
      </c>
      <c r="AV17" s="7">
        <f>AU17+預測IC!AV17</f>
        <v>2.3514135295657104</v>
      </c>
      <c r="AW17" s="7">
        <f>AV17+預測IC!AW17</f>
        <v>2.3598354176075471</v>
      </c>
      <c r="AX17" s="7">
        <f>AW17+預測IC!AX17</f>
        <v>2.4560759761163462</v>
      </c>
      <c r="AY17" s="7">
        <f>AX17+預測IC!AY17</f>
        <v>2.4834996728069472</v>
      </c>
      <c r="AZ17" s="7">
        <f>AY17+預測IC!AZ17</f>
        <v>2.3583420705467559</v>
      </c>
      <c r="BA17" s="7">
        <f>AZ17+預測IC!BA17</f>
        <v>2.5211484803565187</v>
      </c>
      <c r="BB17" s="7">
        <f>BA17+預測IC!BB17</f>
        <v>2.6744197646349033</v>
      </c>
      <c r="BC17" s="7">
        <f>BB17+預測IC!BC17</f>
        <v>2.7582829598127168</v>
      </c>
      <c r="BD17" s="7">
        <f>BC17+預測IC!BD17</f>
        <v>2.7806394420589218</v>
      </c>
      <c r="BE17" s="7">
        <f>BD17+預測IC!BE17</f>
        <v>2.8579896842969821</v>
      </c>
      <c r="BF17" s="7">
        <f>BE17+預測IC!BF17</f>
        <v>2.9131871809059358</v>
      </c>
      <c r="BG17" s="7">
        <f>BF17+預測IC!BG17</f>
        <v>2.8777929448178985</v>
      </c>
      <c r="BH17" s="7">
        <f>BG17+預測IC!BH17</f>
        <v>2.8913124056696518</v>
      </c>
      <c r="BI17" s="7">
        <f>BH17+預測IC!BI17</f>
        <v>2.9784243511095991</v>
      </c>
      <c r="BJ17" s="7">
        <f>BI17+預測IC!BJ17</f>
        <v>2.9685662868363627</v>
      </c>
      <c r="BK17" s="7">
        <f>BJ17+預測IC!BK17</f>
        <v>2.9547433347662571</v>
      </c>
      <c r="BL17" s="7">
        <f>BK17+預測IC!BL17</f>
        <v>3.0322263015662032</v>
      </c>
      <c r="BM17" s="7">
        <f>BL17+預測IC!BM17</f>
        <v>3.0031672904138489</v>
      </c>
      <c r="BN17" s="7">
        <f>BM17+預測IC!BN17</f>
        <v>3.0500828160077269</v>
      </c>
      <c r="BO17" s="7">
        <f>BN17+預測IC!BO17</f>
        <v>3.0852624314244506</v>
      </c>
      <c r="BP17" s="7">
        <f>BO17+預測IC!BP17</f>
        <v>3.1212584110789314</v>
      </c>
      <c r="BQ17" s="7">
        <f>BP17+預測IC!BQ17</f>
        <v>3.132634921525383</v>
      </c>
      <c r="BR17" s="7">
        <f>BQ17+預測IC!BR17</f>
        <v>3.1229885464006331</v>
      </c>
      <c r="BS17" s="7">
        <f>BR17+預測IC!BS17</f>
        <v>3.1188850772900265</v>
      </c>
      <c r="BT17" s="7">
        <f>BS17+預測IC!BT17</f>
        <v>3.2283014561604499</v>
      </c>
      <c r="BU17" s="7">
        <f>BT17+預測IC!BU17</f>
        <v>3.2994292749112022</v>
      </c>
      <c r="BV17" s="7">
        <f>BU17+預測IC!BV17</f>
        <v>3.3696395779308306</v>
      </c>
      <c r="BW17" s="7">
        <f>BV17+預測IC!BW17</f>
        <v>3.2892078653315648</v>
      </c>
      <c r="BX17" s="7">
        <f>BW17+預測IC!BX17</f>
        <v>3.3180308299512378</v>
      </c>
      <c r="BY17" s="7">
        <f>BX17+預測IC!BY17</f>
        <v>3.2337853623225437</v>
      </c>
      <c r="BZ17" s="7">
        <f>BY17+預測IC!BZ17</f>
        <v>3.3543635182036291</v>
      </c>
      <c r="CA17" s="7">
        <f>BZ17+預測IC!CA17</f>
        <v>3.3264286858451397</v>
      </c>
      <c r="CB17" s="7">
        <f>CA17+預測IC!CB17</f>
        <v>3.3159509783531473</v>
      </c>
      <c r="CC17" s="7">
        <f>CB17+預測IC!CC17</f>
        <v>3.3577112308273831</v>
      </c>
      <c r="CD17" s="7">
        <f>CC17+預測IC!CD17</f>
        <v>3.4218171760927105</v>
      </c>
      <c r="CE17" s="7">
        <f>CD17+預測IC!CE17</f>
        <v>3.5175252497542058</v>
      </c>
      <c r="CF17" s="7">
        <f>CE17+預測IC!CF17</f>
        <v>3.422401900816002</v>
      </c>
      <c r="CG17" s="7">
        <f>CF17+預測IC!CG17</f>
        <v>3.5994365081393536</v>
      </c>
      <c r="CH17" s="7">
        <f>CG17+預測IC!CH17</f>
        <v>3.6580729547464035</v>
      </c>
      <c r="CI17" s="7">
        <f>CH17+預測IC!CI17</f>
        <v>3.6435417697568151</v>
      </c>
      <c r="CJ17" s="7">
        <f>CI17+預測IC!CJ17</f>
        <v>3.5927994482723729</v>
      </c>
      <c r="CK17" s="7">
        <f>CJ17+預測IC!CK17</f>
        <v>3.6845380209302858</v>
      </c>
      <c r="CL17" s="7">
        <f>CK17+預測IC!CL17</f>
        <v>3.6751116761612543</v>
      </c>
      <c r="CM17" s="7">
        <f>CL17+預測IC!CM17</f>
        <v>3.8096810205928286</v>
      </c>
      <c r="CN17" s="7">
        <f>CM17+預測IC!CN17</f>
        <v>3.7829629594418415</v>
      </c>
      <c r="CO17" s="7">
        <f>CN17+預測IC!CO17</f>
        <v>3.5804243321788518</v>
      </c>
      <c r="CP17" s="7">
        <f>CO17+預測IC!CP17</f>
        <v>3.7285836013761955</v>
      </c>
      <c r="CQ17" s="7">
        <f>CP17+預測IC!CQ17</f>
        <v>3.6766764980344688</v>
      </c>
      <c r="CR17" s="7">
        <f>CQ17+預測IC!CR17</f>
        <v>3.6996823275724671</v>
      </c>
      <c r="CS17" s="7">
        <f>CR17+預測IC!CS17</f>
        <v>3.7112278432894721</v>
      </c>
      <c r="CT17" s="7">
        <f>CS17+預測IC!CT17</f>
        <v>3.7604878996786653</v>
      </c>
      <c r="CU17" s="7">
        <f>CT17+預測IC!CU17</f>
        <v>3.6860795920954113</v>
      </c>
      <c r="CV17" s="7">
        <f>CU17+預測IC!CV17</f>
        <v>3.6899592000353385</v>
      </c>
      <c r="CW17" s="7">
        <f>CV17+預測IC!CW17</f>
        <v>3.6701973461259856</v>
      </c>
      <c r="CX17" s="7">
        <f>CW17+預測IC!CX17</f>
        <v>3.6809697406499335</v>
      </c>
      <c r="CY17" s="7">
        <f>CX17+預測IC!CY17</f>
        <v>3.6315864419338437</v>
      </c>
      <c r="CZ17" s="7">
        <f>CY17+預測IC!CZ17</f>
        <v>3.755835279781464</v>
      </c>
      <c r="DA17" s="7">
        <f>CZ17+預測IC!DA17</f>
        <v>3.7119394206363299</v>
      </c>
      <c r="DB17" s="7">
        <f>DA17+預測IC!DB17</f>
        <v>3.8162110465394132</v>
      </c>
      <c r="DC17" s="7">
        <f>DB17+預測IC!DC17</f>
        <v>3.8700993684882956</v>
      </c>
      <c r="DD17" s="7">
        <f>DC17+預測IC!DD17</f>
        <v>3.8219687791497838</v>
      </c>
      <c r="DE17" s="7">
        <f>DD17+預測IC!DE17</f>
        <v>3.8656921949330871</v>
      </c>
      <c r="DF17" s="7">
        <f>DE17+預測IC!DF17</f>
        <v>3.854460824606428</v>
      </c>
      <c r="DG17" s="7">
        <f>DF17+預測IC!DG17</f>
        <v>3.8526215426775194</v>
      </c>
      <c r="DH17" s="7">
        <f>DG17+預測IC!DH17</f>
        <v>3.8138948917395066</v>
      </c>
      <c r="DI17" s="7">
        <f>DH17+預測IC!DI17</f>
        <v>3.808601647415724</v>
      </c>
      <c r="DJ17" s="7">
        <f>DI17+預測IC!DJ17</f>
        <v>3.8657481477430675</v>
      </c>
      <c r="DK17" s="7">
        <f>DJ17+預測IC!DK17</f>
        <v>4.0217845758596136</v>
      </c>
      <c r="DL17" s="7">
        <f>DK17+預測IC!DL17</f>
        <v>4.0953001767967843</v>
      </c>
      <c r="DM17" s="7">
        <f>DL17+預測IC!DM17</f>
        <v>4.0430472662144679</v>
      </c>
      <c r="DN17" s="7">
        <f>DM17+預測IC!DN17</f>
        <v>4.0785362989288068</v>
      </c>
      <c r="DO17" s="7">
        <f>DN17+預測IC!DO17</f>
        <v>4.1319876692687103</v>
      </c>
      <c r="DP17" s="7">
        <f>DO17+預測IC!DP17</f>
        <v>4.1154691610120864</v>
      </c>
      <c r="DQ17" s="7">
        <f>DP17+預測IC!DQ17</f>
        <v>4.0502248128783238</v>
      </c>
      <c r="DR17" s="7">
        <f>DQ17+預測IC!DR17</f>
        <v>4.1061096277546518</v>
      </c>
      <c r="DS17" s="7">
        <f>DR17+預測IC!DS17</f>
        <v>3.9817934679498408</v>
      </c>
      <c r="DT17" s="7">
        <f>DS17+預測IC!DT17</f>
        <v>3.9985366578690336</v>
      </c>
      <c r="DU17" s="7">
        <f>DT17+預測IC!DU17</f>
        <v>3.8690437015490438</v>
      </c>
      <c r="DV17" s="7">
        <f>DU17+預測IC!DV17</f>
        <v>3.9868090996599981</v>
      </c>
      <c r="DW17" s="7">
        <f>DV17+預測IC!DW17</f>
        <v>4.0354905830741483</v>
      </c>
      <c r="DX17" s="7">
        <f>DW17+預測IC!DX17</f>
        <v>3.9059516004776742</v>
      </c>
      <c r="DY17" s="7">
        <f>DX17+預測IC!DY17</f>
        <v>4.0132344960795256</v>
      </c>
      <c r="DZ17" s="7">
        <f>DY17+預測IC!DZ17</f>
        <v>4.0624471252493342</v>
      </c>
      <c r="EA17" s="7">
        <f>DZ17+預測IC!EA17</f>
        <v>4.2270186484814491</v>
      </c>
      <c r="EB17" s="7">
        <f>EA17+預測IC!EB17</f>
        <v>4.3141189976761884</v>
      </c>
      <c r="EC17" s="7">
        <f>EB17+預測IC!EC17</f>
        <v>4.2937578385824269</v>
      </c>
      <c r="ED17" s="7">
        <f>EC17+預測IC!ED17</f>
        <v>4.1654333946535145</v>
      </c>
      <c r="EE17" s="7">
        <f>ED17+預測IC!EE17</f>
        <v>4.1400200343434808</v>
      </c>
      <c r="EF17" s="7">
        <f>EE17+預測IC!EF17</f>
        <v>4.1877298013533322</v>
      </c>
    </row>
    <row r="18" spans="1:136" x14ac:dyDescent="0.3">
      <c r="A18" s="1">
        <v>137</v>
      </c>
      <c r="B18" s="1">
        <v>7</v>
      </c>
      <c r="C18" s="7">
        <v>0.18975112249235829</v>
      </c>
      <c r="D18" s="7">
        <f>C18+預測IC!D18</f>
        <v>0.59163480391442624</v>
      </c>
      <c r="E18" s="7">
        <f>D18+預測IC!E18</f>
        <v>0.64507415418215031</v>
      </c>
      <c r="F18" s="7">
        <f>E18+預測IC!F18</f>
        <v>0.85716480534019279</v>
      </c>
      <c r="G18" s="7">
        <f>F18+預測IC!G18</f>
        <v>0.99022286265980353</v>
      </c>
      <c r="H18" s="7">
        <f>G18+預測IC!H18</f>
        <v>1.1187624244343748</v>
      </c>
      <c r="I18" s="7">
        <f>H18+預測IC!I18</f>
        <v>1.1737150873431763</v>
      </c>
      <c r="J18" s="7">
        <f>I18+預測IC!J18</f>
        <v>1.0485532942546345</v>
      </c>
      <c r="K18" s="7">
        <f>J18+預測IC!K18</f>
        <v>1.0801397445655483</v>
      </c>
      <c r="L18" s="7">
        <f>K18+預測IC!L18</f>
        <v>1.1268124649062214</v>
      </c>
      <c r="M18" s="7">
        <f>L18+預測IC!M18</f>
        <v>1.206515042020198</v>
      </c>
      <c r="N18" s="7">
        <f>M18+預測IC!N18</f>
        <v>1.6683350600908111</v>
      </c>
      <c r="O18" s="7">
        <f>N18+預測IC!O18</f>
        <v>1.692658934933631</v>
      </c>
      <c r="P18" s="7">
        <f>O18+預測IC!P18</f>
        <v>1.747228548044615</v>
      </c>
      <c r="Q18" s="7">
        <f>P18+預測IC!Q18</f>
        <v>1.8689649197092502</v>
      </c>
      <c r="R18" s="7">
        <f>Q18+預測IC!R18</f>
        <v>1.8882911186361064</v>
      </c>
      <c r="S18" s="7">
        <f>R18+預測IC!S18</f>
        <v>1.8192777782423977</v>
      </c>
      <c r="T18" s="7">
        <f>S18+預測IC!T18</f>
        <v>1.765033338210789</v>
      </c>
      <c r="U18" s="7">
        <f>T18+預測IC!U18</f>
        <v>1.7931688658433798</v>
      </c>
      <c r="V18" s="7">
        <f>U18+預測IC!V18</f>
        <v>1.6619149389039387</v>
      </c>
      <c r="W18" s="7">
        <f>V18+預測IC!W18</f>
        <v>1.799832176819645</v>
      </c>
      <c r="X18" s="7">
        <f>W18+預測IC!X18</f>
        <v>1.9269549854451353</v>
      </c>
      <c r="Y18" s="7">
        <f>X18+預測IC!Y18</f>
        <v>1.9511687931657162</v>
      </c>
      <c r="Z18" s="7">
        <f>Y18+預測IC!Z18</f>
        <v>1.9342630769783324</v>
      </c>
      <c r="AA18" s="7">
        <f>Z18+預測IC!AA18</f>
        <v>1.9890675749585476</v>
      </c>
      <c r="AB18" s="7">
        <f>AA18+預測IC!AB18</f>
        <v>1.9264227696958867</v>
      </c>
      <c r="AC18" s="7">
        <f>AB18+預測IC!AC18</f>
        <v>1.8517029463166199</v>
      </c>
      <c r="AD18" s="7">
        <f>AC18+預測IC!AD18</f>
        <v>1.9241467354051514</v>
      </c>
      <c r="AE18" s="7">
        <f>AD18+預測IC!AE18</f>
        <v>2.0013483270240311</v>
      </c>
      <c r="AF18" s="7">
        <f>AE18+預測IC!AF18</f>
        <v>2.0332217451846568</v>
      </c>
      <c r="AG18" s="7">
        <f>AF18+預測IC!AG18</f>
        <v>2.0246033808045132</v>
      </c>
      <c r="AH18" s="7">
        <f>AG18+預測IC!AH18</f>
        <v>1.9844059198359985</v>
      </c>
      <c r="AI18" s="7">
        <f>AH18+預測IC!AI18</f>
        <v>2.0312614611897546</v>
      </c>
      <c r="AJ18" s="7">
        <f>AI18+預測IC!AJ18</f>
        <v>1.9838677050233056</v>
      </c>
      <c r="AK18" s="7">
        <f>AJ18+預測IC!AK18</f>
        <v>2.0140201856209314</v>
      </c>
      <c r="AL18" s="7">
        <f>AK18+預測IC!AL18</f>
        <v>2.061547949253189</v>
      </c>
      <c r="AM18" s="7">
        <f>AL18+預測IC!AM18</f>
        <v>2.1281913546779601</v>
      </c>
      <c r="AN18" s="7">
        <f>AM18+預測IC!AN18</f>
        <v>2.2074859946331618</v>
      </c>
      <c r="AO18" s="7">
        <f>AN18+預測IC!AO18</f>
        <v>2.2129135296008546</v>
      </c>
      <c r="AP18" s="7">
        <f>AO18+預測IC!AP18</f>
        <v>2.1346349376670477</v>
      </c>
      <c r="AQ18" s="7">
        <f>AP18+預測IC!AQ18</f>
        <v>2.0584040923405977</v>
      </c>
      <c r="AR18" s="7">
        <f>AQ18+預測IC!AR18</f>
        <v>2.1829495987035421</v>
      </c>
      <c r="AS18" s="7">
        <f>AR18+預測IC!AS18</f>
        <v>2.2687761502575112</v>
      </c>
      <c r="AT18" s="7">
        <f>AS18+預測IC!AT18</f>
        <v>2.3121018000780897</v>
      </c>
      <c r="AU18" s="7">
        <f>AT18+預測IC!AU18</f>
        <v>2.3766774441576812</v>
      </c>
      <c r="AV18" s="7">
        <f>AU18+預測IC!AV18</f>
        <v>2.3479086882759641</v>
      </c>
      <c r="AW18" s="7">
        <f>AV18+預測IC!AW18</f>
        <v>2.3724467225170716</v>
      </c>
      <c r="AX18" s="7">
        <f>AW18+預測IC!AX18</f>
        <v>2.4800075907729076</v>
      </c>
      <c r="AY18" s="7">
        <f>AX18+預測IC!AY18</f>
        <v>2.5147908694140555</v>
      </c>
      <c r="AZ18" s="7">
        <f>AY18+預測IC!AZ18</f>
        <v>2.3663817870251562</v>
      </c>
      <c r="BA18" s="7">
        <f>AZ18+預測IC!BA18</f>
        <v>2.5468615516947026</v>
      </c>
      <c r="BB18" s="7">
        <f>BA18+預測IC!BB18</f>
        <v>2.7141195701754954</v>
      </c>
      <c r="BC18" s="7">
        <f>BB18+預測IC!BC18</f>
        <v>2.797321142768816</v>
      </c>
      <c r="BD18" s="7">
        <f>BC18+預測IC!BD18</f>
        <v>2.7733048710815158</v>
      </c>
      <c r="BE18" s="7">
        <f>BD18+預測IC!BE18</f>
        <v>2.8416660843196788</v>
      </c>
      <c r="BF18" s="7">
        <f>BE18+預測IC!BF18</f>
        <v>2.8875506206192578</v>
      </c>
      <c r="BG18" s="7">
        <f>BF18+預測IC!BG18</f>
        <v>2.8707443793930536</v>
      </c>
      <c r="BH18" s="7">
        <f>BG18+預測IC!BH18</f>
        <v>2.8912482324568591</v>
      </c>
      <c r="BI18" s="7">
        <f>BH18+預測IC!BI18</f>
        <v>3.0002482393755248</v>
      </c>
      <c r="BJ18" s="7">
        <f>BI18+預測IC!BJ18</f>
        <v>3.0062043034259842</v>
      </c>
      <c r="BK18" s="7">
        <f>BJ18+預測IC!BK18</f>
        <v>2.9482010592557817</v>
      </c>
      <c r="BL18" s="7">
        <f>BK18+預測IC!BL18</f>
        <v>3.0293587330759859</v>
      </c>
      <c r="BM18" s="7">
        <f>BL18+預測IC!BM18</f>
        <v>3.0012773767028906</v>
      </c>
      <c r="BN18" s="7">
        <f>BM18+預測IC!BN18</f>
        <v>3.0540517663267206</v>
      </c>
      <c r="BO18" s="7">
        <f>BN18+預測IC!BO18</f>
        <v>3.074279262433095</v>
      </c>
      <c r="BP18" s="7">
        <f>BO18+預測IC!BP18</f>
        <v>3.1211368027677771</v>
      </c>
      <c r="BQ18" s="7">
        <f>BP18+預測IC!BQ18</f>
        <v>3.1230535868776261</v>
      </c>
      <c r="BR18" s="7">
        <f>BQ18+預測IC!BR18</f>
        <v>3.1173053932936714</v>
      </c>
      <c r="BS18" s="7">
        <f>BR18+預測IC!BS18</f>
        <v>3.1133217681965522</v>
      </c>
      <c r="BT18" s="7">
        <f>BS18+預測IC!BT18</f>
        <v>3.2285585162324386</v>
      </c>
      <c r="BU18" s="7">
        <f>BT18+預測IC!BU18</f>
        <v>3.3092359602724795</v>
      </c>
      <c r="BV18" s="7">
        <f>BU18+預測IC!BV18</f>
        <v>3.390159355549522</v>
      </c>
      <c r="BW18" s="7">
        <f>BV18+預測IC!BW18</f>
        <v>3.3048482686163263</v>
      </c>
      <c r="BX18" s="7">
        <f>BW18+預測IC!BX18</f>
        <v>3.3238667433323621</v>
      </c>
      <c r="BY18" s="7">
        <f>BX18+預測IC!BY18</f>
        <v>3.2007917675083375</v>
      </c>
      <c r="BZ18" s="7">
        <f>BY18+預測IC!BZ18</f>
        <v>3.3541117553109356</v>
      </c>
      <c r="CA18" s="7">
        <f>BZ18+預測IC!CA18</f>
        <v>3.3380352114180747</v>
      </c>
      <c r="CB18" s="7">
        <f>CA18+預測IC!CB18</f>
        <v>3.3134578548056264</v>
      </c>
      <c r="CC18" s="7">
        <f>CB18+預測IC!CC18</f>
        <v>3.4181184786472714</v>
      </c>
      <c r="CD18" s="7">
        <f>CC18+預測IC!CD18</f>
        <v>3.4685642732023099</v>
      </c>
      <c r="CE18" s="7">
        <f>CD18+預測IC!CE18</f>
        <v>3.5458246680805328</v>
      </c>
      <c r="CF18" s="7">
        <f>CE18+預測IC!CF18</f>
        <v>3.4439660525475388</v>
      </c>
      <c r="CG18" s="7">
        <f>CF18+預測IC!CG18</f>
        <v>3.6706074584491586</v>
      </c>
      <c r="CH18" s="7">
        <f>CG18+預測IC!CH18</f>
        <v>3.8332645051363916</v>
      </c>
      <c r="CI18" s="7">
        <f>CH18+預測IC!CI18</f>
        <v>3.7943953652587021</v>
      </c>
      <c r="CJ18" s="7">
        <f>CI18+預測IC!CJ18</f>
        <v>3.7320816874337925</v>
      </c>
      <c r="CK18" s="7">
        <f>CJ18+預測IC!CK18</f>
        <v>3.8227494717260764</v>
      </c>
      <c r="CL18" s="7">
        <f>CK18+預測IC!CL18</f>
        <v>3.7917599266678832</v>
      </c>
      <c r="CM18" s="7">
        <f>CL18+預測IC!CM18</f>
        <v>3.9354084698322769</v>
      </c>
      <c r="CN18" s="7">
        <f>CM18+預測IC!CN18</f>
        <v>3.9003222158541004</v>
      </c>
      <c r="CO18" s="7">
        <f>CN18+預測IC!CO18</f>
        <v>3.6687483373046712</v>
      </c>
      <c r="CP18" s="7">
        <f>CO18+預測IC!CP18</f>
        <v>3.8315874462526818</v>
      </c>
      <c r="CQ18" s="7">
        <f>CP18+預測IC!CQ18</f>
        <v>3.7933447706577392</v>
      </c>
      <c r="CR18" s="7">
        <f>CQ18+預測IC!CR18</f>
        <v>3.8270880729289316</v>
      </c>
      <c r="CS18" s="7">
        <f>CR18+預測IC!CS18</f>
        <v>3.8552166333430202</v>
      </c>
      <c r="CT18" s="7">
        <f>CS18+預測IC!CT18</f>
        <v>3.9457320623452699</v>
      </c>
      <c r="CU18" s="7">
        <f>CT18+預測IC!CU18</f>
        <v>3.8740833711401597</v>
      </c>
      <c r="CV18" s="7">
        <f>CU18+預測IC!CV18</f>
        <v>3.9651236533704481</v>
      </c>
      <c r="CW18" s="7">
        <f>CV18+預測IC!CW18</f>
        <v>3.9566675678059222</v>
      </c>
      <c r="CX18" s="7">
        <f>CW18+預測IC!CX18</f>
        <v>4.0182277536397004</v>
      </c>
      <c r="CY18" s="7">
        <f>CX18+預測IC!CY18</f>
        <v>3.9668703398649181</v>
      </c>
      <c r="CZ18" s="7">
        <f>CY18+預測IC!CZ18</f>
        <v>4.0997132031666892</v>
      </c>
      <c r="DA18" s="7">
        <f>CZ18+預測IC!DA18</f>
        <v>4.0523322636479957</v>
      </c>
      <c r="DB18" s="7">
        <f>DA18+預測IC!DB18</f>
        <v>4.1704469819332077</v>
      </c>
      <c r="DC18" s="7">
        <f>DB18+預測IC!DC18</f>
        <v>4.21965584935732</v>
      </c>
      <c r="DD18" s="7">
        <f>DC18+預測IC!DD18</f>
        <v>4.1485845494497564</v>
      </c>
      <c r="DE18" s="7">
        <f>DD18+預測IC!DE18</f>
        <v>4.1977579943413978</v>
      </c>
      <c r="DF18" s="7">
        <f>DE18+預測IC!DF18</f>
        <v>4.1627152155590279</v>
      </c>
      <c r="DG18" s="7">
        <f>DF18+預測IC!DG18</f>
        <v>4.1550957424014001</v>
      </c>
      <c r="DH18" s="7">
        <f>DG18+預測IC!DH18</f>
        <v>4.1270577291527513</v>
      </c>
      <c r="DI18" s="7">
        <f>DH18+預測IC!DI18</f>
        <v>4.1109430999147243</v>
      </c>
      <c r="DJ18" s="7">
        <f>DI18+預測IC!DJ18</f>
        <v>4.1615976113246189</v>
      </c>
      <c r="DK18" s="7">
        <f>DJ18+預測IC!DK18</f>
        <v>4.3201112384170459</v>
      </c>
      <c r="DL18" s="7">
        <f>DK18+預測IC!DL18</f>
        <v>4.4015089813332873</v>
      </c>
      <c r="DM18" s="7">
        <f>DL18+預測IC!DM18</f>
        <v>4.335000840601249</v>
      </c>
      <c r="DN18" s="7">
        <f>DM18+預測IC!DN18</f>
        <v>4.3182787765232273</v>
      </c>
      <c r="DO18" s="7">
        <f>DN18+預測IC!DO18</f>
        <v>4.3603836840738577</v>
      </c>
      <c r="DP18" s="7">
        <f>DO18+預測IC!DP18</f>
        <v>4.3397789976069916</v>
      </c>
      <c r="DQ18" s="7">
        <f>DP18+預測IC!DQ18</f>
        <v>4.2778234686396246</v>
      </c>
      <c r="DR18" s="7">
        <f>DQ18+預測IC!DR18</f>
        <v>4.3546641234115855</v>
      </c>
      <c r="DS18" s="7">
        <f>DR18+預測IC!DS18</f>
        <v>4.2069421249598529</v>
      </c>
      <c r="DT18" s="7">
        <f>DS18+預測IC!DT18</f>
        <v>4.1995347350003582</v>
      </c>
      <c r="DU18" s="7">
        <f>DT18+預測IC!DU18</f>
        <v>4.0408199122836805</v>
      </c>
      <c r="DV18" s="7">
        <f>DU18+預測IC!DV18</f>
        <v>4.1464605210837426</v>
      </c>
      <c r="DW18" s="7">
        <f>DV18+預測IC!DW18</f>
        <v>4.2283692133681159</v>
      </c>
      <c r="DX18" s="7">
        <f>DW18+預測IC!DX18</f>
        <v>4.074766235905634</v>
      </c>
      <c r="DY18" s="7">
        <f>DX18+預測IC!DY18</f>
        <v>4.211599350843886</v>
      </c>
      <c r="DZ18" s="7">
        <f>DY18+預測IC!DZ18</f>
        <v>4.2662297250004677</v>
      </c>
      <c r="EA18" s="7">
        <f>DZ18+預測IC!EA18</f>
        <v>4.4651754731648046</v>
      </c>
      <c r="EB18" s="7">
        <f>EA18+預測IC!EB18</f>
        <v>4.5650218511431255</v>
      </c>
      <c r="EC18" s="7">
        <f>EB18+預測IC!EC18</f>
        <v>4.5454213352261643</v>
      </c>
      <c r="ED18" s="7">
        <f>EC18+預測IC!ED18</f>
        <v>4.4349433133603986</v>
      </c>
      <c r="EE18" s="7">
        <f>ED18+預測IC!EE18</f>
        <v>4.4210895593858917</v>
      </c>
      <c r="EF18" s="7">
        <f>EE18+預測IC!EF18</f>
        <v>4.4700445764963082</v>
      </c>
    </row>
    <row r="19" spans="1:136" x14ac:dyDescent="0.3">
      <c r="A19" s="1">
        <v>160</v>
      </c>
      <c r="B19" s="1">
        <v>6</v>
      </c>
      <c r="C19" s="7">
        <v>0.19660026531165431</v>
      </c>
      <c r="D19" s="7">
        <f>C19+預測IC!D19</f>
        <v>0.60412097540112364</v>
      </c>
      <c r="E19" s="7">
        <f>D19+預測IC!E19</f>
        <v>0.6699351827311415</v>
      </c>
      <c r="F19" s="7">
        <f>E19+預測IC!F19</f>
        <v>0.90610564810687577</v>
      </c>
      <c r="G19" s="7">
        <f>F19+預測IC!G19</f>
        <v>1.0589699899938483</v>
      </c>
      <c r="H19" s="7">
        <f>G19+預測IC!H19</f>
        <v>1.2365803088165004</v>
      </c>
      <c r="I19" s="7">
        <f>H19+預測IC!I19</f>
        <v>1.2840437141529</v>
      </c>
      <c r="J19" s="7">
        <f>I19+預測IC!J19</f>
        <v>1.1278133610666961</v>
      </c>
      <c r="K19" s="7">
        <f>J19+預測IC!K19</f>
        <v>1.1843543306282613</v>
      </c>
      <c r="L19" s="7">
        <f>K19+預測IC!L19</f>
        <v>1.2147171636842906</v>
      </c>
      <c r="M19" s="7">
        <f>L19+預測IC!M19</f>
        <v>1.3009275027104084</v>
      </c>
      <c r="N19" s="7">
        <f>M19+預測IC!N19</f>
        <v>1.8333015403986495</v>
      </c>
      <c r="O19" s="7">
        <f>N19+預測IC!O19</f>
        <v>1.8135041063972646</v>
      </c>
      <c r="P19" s="7">
        <f>O19+預測IC!P19</f>
        <v>1.8362893195093579</v>
      </c>
      <c r="Q19" s="7">
        <f>P19+預測IC!Q19</f>
        <v>2.006751611589376</v>
      </c>
      <c r="R19" s="7">
        <f>Q19+預測IC!R19</f>
        <v>2.048694241038592</v>
      </c>
      <c r="S19" s="7">
        <f>R19+預測IC!S19</f>
        <v>1.9699979797254312</v>
      </c>
      <c r="T19" s="7">
        <f>S19+預測IC!T19</f>
        <v>1.942843701739132</v>
      </c>
      <c r="U19" s="7">
        <f>T19+預測IC!U19</f>
        <v>1.9870305597374569</v>
      </c>
      <c r="V19" s="7">
        <f>U19+預測IC!V19</f>
        <v>1.8683461012185358</v>
      </c>
      <c r="W19" s="7">
        <f>V19+預測IC!W19</f>
        <v>2.0149670919360458</v>
      </c>
      <c r="X19" s="7">
        <f>W19+預測IC!X19</f>
        <v>2.1378902381817628</v>
      </c>
      <c r="Y19" s="7">
        <f>X19+預測IC!Y19</f>
        <v>2.1619545435268206</v>
      </c>
      <c r="Z19" s="7">
        <f>Y19+預測IC!Z19</f>
        <v>2.1397313042279182</v>
      </c>
      <c r="AA19" s="7">
        <f>Z19+預測IC!AA19</f>
        <v>2.187031426026953</v>
      </c>
      <c r="AB19" s="7">
        <f>AA19+預測IC!AB19</f>
        <v>2.1353126732161956</v>
      </c>
      <c r="AC19" s="7">
        <f>AB19+預測IC!AC19</f>
        <v>2.0517998063233169</v>
      </c>
      <c r="AD19" s="7">
        <f>AC19+預測IC!AD19</f>
        <v>2.0757972635843775</v>
      </c>
      <c r="AE19" s="7">
        <f>AD19+預測IC!AE19</f>
        <v>2.1910291335474446</v>
      </c>
      <c r="AF19" s="7">
        <f>AE19+預測IC!AF19</f>
        <v>2.2298148003563445</v>
      </c>
      <c r="AG19" s="7">
        <f>AF19+預測IC!AG19</f>
        <v>2.2491123455803792</v>
      </c>
      <c r="AH19" s="7">
        <f>AG19+預測IC!AH19</f>
        <v>2.1925546303586758</v>
      </c>
      <c r="AI19" s="7">
        <f>AH19+預測IC!AI19</f>
        <v>2.2743247551481724</v>
      </c>
      <c r="AJ19" s="7">
        <f>AI19+預測IC!AJ19</f>
        <v>2.2227794648209103</v>
      </c>
      <c r="AK19" s="7">
        <f>AJ19+預測IC!AK19</f>
        <v>2.2303315073268628</v>
      </c>
      <c r="AL19" s="7">
        <f>AK19+預測IC!AL19</f>
        <v>2.3006024529976683</v>
      </c>
      <c r="AM19" s="7">
        <f>AL19+預測IC!AM19</f>
        <v>2.3437084648090734</v>
      </c>
      <c r="AN19" s="7">
        <f>AM19+預測IC!AN19</f>
        <v>2.4272767591747555</v>
      </c>
      <c r="AO19" s="7">
        <f>AN19+預測IC!AO19</f>
        <v>2.4531696622201697</v>
      </c>
      <c r="AP19" s="7">
        <f>AO19+預測IC!AP19</f>
        <v>2.3655955419473176</v>
      </c>
      <c r="AQ19" s="7">
        <f>AP19+預測IC!AQ19</f>
        <v>2.2773427848866667</v>
      </c>
      <c r="AR19" s="7">
        <f>AQ19+預測IC!AR19</f>
        <v>2.4308603471995243</v>
      </c>
      <c r="AS19" s="7">
        <f>AR19+預測IC!AS19</f>
        <v>2.5286573024678387</v>
      </c>
      <c r="AT19" s="7">
        <f>AS19+預測IC!AT19</f>
        <v>2.5779522842335401</v>
      </c>
      <c r="AU19" s="7">
        <f>AT19+預測IC!AU19</f>
        <v>2.6543809999471941</v>
      </c>
      <c r="AV19" s="7">
        <f>AU19+預測IC!AV19</f>
        <v>2.6043479792502162</v>
      </c>
      <c r="AW19" s="7">
        <f>AV19+預測IC!AW19</f>
        <v>2.6267041474043529</v>
      </c>
      <c r="AX19" s="7">
        <f>AW19+預測IC!AX19</f>
        <v>2.706910561714766</v>
      </c>
      <c r="AY19" s="7">
        <f>AX19+預測IC!AY19</f>
        <v>2.7364395321081458</v>
      </c>
      <c r="AZ19" s="7">
        <f>AY19+預測IC!AZ19</f>
        <v>2.5495599139399716</v>
      </c>
      <c r="BA19" s="7">
        <f>AZ19+預測IC!BA19</f>
        <v>2.7365566914947523</v>
      </c>
      <c r="BB19" s="7">
        <f>BA19+預測IC!BB19</f>
        <v>2.93835860215796</v>
      </c>
      <c r="BC19" s="7">
        <f>BB19+預測IC!BC19</f>
        <v>3.0024140885041457</v>
      </c>
      <c r="BD19" s="7">
        <f>BC19+預測IC!BD19</f>
        <v>2.9991796958740777</v>
      </c>
      <c r="BE19" s="7">
        <f>BD19+預測IC!BE19</f>
        <v>3.0503115698377443</v>
      </c>
      <c r="BF19" s="7">
        <f>BE19+預測IC!BF19</f>
        <v>3.0638825439868831</v>
      </c>
      <c r="BG19" s="7">
        <f>BF19+預測IC!BG19</f>
        <v>3.0475388856540411</v>
      </c>
      <c r="BH19" s="7">
        <f>BG19+預測IC!BH19</f>
        <v>3.0495570873554723</v>
      </c>
      <c r="BI19" s="7">
        <f>BH19+預測IC!BI19</f>
        <v>3.177355716174691</v>
      </c>
      <c r="BJ19" s="7">
        <f>BI19+預測IC!BJ19</f>
        <v>3.1990630177132702</v>
      </c>
      <c r="BK19" s="7">
        <f>BJ19+預測IC!BK19</f>
        <v>3.1473134916212779</v>
      </c>
      <c r="BL19" s="7">
        <f>BK19+預測IC!BL19</f>
        <v>3.2272781497677809</v>
      </c>
      <c r="BM19" s="7">
        <f>BL19+預測IC!BM19</f>
        <v>3.1954918848986358</v>
      </c>
      <c r="BN19" s="7">
        <f>BM19+預測IC!BN19</f>
        <v>3.2627445323659074</v>
      </c>
      <c r="BO19" s="7">
        <f>BN19+預測IC!BO19</f>
        <v>3.2884734936310229</v>
      </c>
      <c r="BP19" s="7">
        <f>BO19+預測IC!BP19</f>
        <v>3.351292301165155</v>
      </c>
      <c r="BQ19" s="7">
        <f>BP19+預測IC!BQ19</f>
        <v>3.3612263456194782</v>
      </c>
      <c r="BR19" s="7">
        <f>BQ19+預測IC!BR19</f>
        <v>3.3679015916429984</v>
      </c>
      <c r="BS19" s="7">
        <f>BR19+預測IC!BS19</f>
        <v>3.3436452528985163</v>
      </c>
      <c r="BT19" s="7">
        <f>BS19+預測IC!BT19</f>
        <v>3.4852779327520897</v>
      </c>
      <c r="BU19" s="7">
        <f>BT19+預測IC!BU19</f>
        <v>3.5612141839863276</v>
      </c>
      <c r="BV19" s="7">
        <f>BU19+預測IC!BV19</f>
        <v>3.6548694251396738</v>
      </c>
      <c r="BW19" s="7">
        <f>BV19+預測IC!BW19</f>
        <v>3.545902463756029</v>
      </c>
      <c r="BX19" s="7">
        <f>BW19+預測IC!BX19</f>
        <v>3.5799902490278872</v>
      </c>
      <c r="BY19" s="7">
        <f>BX19+預測IC!BY19</f>
        <v>3.4723405124722388</v>
      </c>
      <c r="BZ19" s="7">
        <f>BY19+預測IC!BZ19</f>
        <v>3.5410426372942929</v>
      </c>
      <c r="CA19" s="7">
        <f>BZ19+預測IC!CA19</f>
        <v>3.5117138820705183</v>
      </c>
      <c r="CB19" s="7">
        <f>CA19+預測IC!CB19</f>
        <v>3.4636727135622736</v>
      </c>
      <c r="CC19" s="7">
        <f>CB19+預測IC!CC19</f>
        <v>3.4861789464607909</v>
      </c>
      <c r="CD19" s="7">
        <f>CC19+預測IC!CD19</f>
        <v>3.5738438948221072</v>
      </c>
      <c r="CE19" s="7">
        <f>CD19+預測IC!CE19</f>
        <v>3.662318753759775</v>
      </c>
      <c r="CF19" s="7">
        <f>CE19+預測IC!CF19</f>
        <v>3.5506202662947581</v>
      </c>
      <c r="CG19" s="7">
        <f>CF19+預測IC!CG19</f>
        <v>3.8145133998602967</v>
      </c>
      <c r="CH19" s="7">
        <f>CG19+預測IC!CH19</f>
        <v>3.9674032669102228</v>
      </c>
      <c r="CI19" s="7">
        <f>CH19+預測IC!CI19</f>
        <v>3.9303363207500275</v>
      </c>
      <c r="CJ19" s="7">
        <f>CI19+預測IC!CJ19</f>
        <v>3.8683958207839915</v>
      </c>
      <c r="CK19" s="7">
        <f>CJ19+預測IC!CK19</f>
        <v>3.9723635386010896</v>
      </c>
      <c r="CL19" s="7">
        <f>CK19+預測IC!CL19</f>
        <v>3.9291232586262996</v>
      </c>
      <c r="CM19" s="7">
        <f>CL19+預測IC!CM19</f>
        <v>4.1044709002080149</v>
      </c>
      <c r="CN19" s="7">
        <f>CM19+預測IC!CN19</f>
        <v>4.0275382455407112</v>
      </c>
      <c r="CO19" s="7">
        <f>CN19+預測IC!CO19</f>
        <v>3.7550838409122047</v>
      </c>
      <c r="CP19" s="7">
        <f>CO19+預測IC!CP19</f>
        <v>3.9141164398945376</v>
      </c>
      <c r="CQ19" s="7">
        <f>CP19+預測IC!CQ19</f>
        <v>3.8817218323781191</v>
      </c>
      <c r="CR19" s="7">
        <f>CQ19+預測IC!CR19</f>
        <v>3.9060210348418458</v>
      </c>
      <c r="CS19" s="7">
        <f>CR19+預測IC!CS19</f>
        <v>3.9497960218201502</v>
      </c>
      <c r="CT19" s="7">
        <f>CS19+預測IC!CT19</f>
        <v>4.0724164484501806</v>
      </c>
      <c r="CU19" s="7">
        <f>CT19+預測IC!CU19</f>
        <v>3.9889800513362874</v>
      </c>
      <c r="CV19" s="7">
        <f>CU19+預測IC!CV19</f>
        <v>4.090959912852691</v>
      </c>
      <c r="CW19" s="7">
        <f>CV19+預測IC!CW19</f>
        <v>4.0690581050707921</v>
      </c>
      <c r="CX19" s="7">
        <f>CW19+預測IC!CX19</f>
        <v>4.1266928314389775</v>
      </c>
      <c r="CY19" s="7">
        <f>CX19+預測IC!CY19</f>
        <v>4.0557709618746083</v>
      </c>
      <c r="CZ19" s="7">
        <f>CY19+預測IC!CZ19</f>
        <v>4.1686227905160722</v>
      </c>
      <c r="DA19" s="7">
        <f>CZ19+預測IC!DA19</f>
        <v>4.1103989138128352</v>
      </c>
      <c r="DB19" s="7">
        <f>DA19+預測IC!DB19</f>
        <v>4.2583607605824518</v>
      </c>
      <c r="DC19" s="7">
        <f>DB19+預測IC!DC19</f>
        <v>4.2886372177606056</v>
      </c>
      <c r="DD19" s="7">
        <f>DC19+預測IC!DD19</f>
        <v>4.2250897536081027</v>
      </c>
      <c r="DE19" s="7">
        <f>DD19+預測IC!DE19</f>
        <v>4.2791147089907122</v>
      </c>
      <c r="DF19" s="7">
        <f>DE19+預測IC!DF19</f>
        <v>4.2094216620976894</v>
      </c>
      <c r="DG19" s="7">
        <f>DF19+預測IC!DG19</f>
        <v>4.19667518718704</v>
      </c>
      <c r="DH19" s="7">
        <f>DG19+預測IC!DH19</f>
        <v>4.196518204057635</v>
      </c>
      <c r="DI19" s="7">
        <f>DH19+預測IC!DI19</f>
        <v>4.2001846285000566</v>
      </c>
      <c r="DJ19" s="7">
        <f>DI19+預測IC!DJ19</f>
        <v>4.2806842309100865</v>
      </c>
      <c r="DK19" s="7">
        <f>DJ19+預測IC!DK19</f>
        <v>4.4048288186942939</v>
      </c>
      <c r="DL19" s="7">
        <f>DK19+預測IC!DL19</f>
        <v>4.474996226494163</v>
      </c>
      <c r="DM19" s="7">
        <f>DL19+預測IC!DM19</f>
        <v>4.3930439714601688</v>
      </c>
      <c r="DN19" s="7">
        <f>DM19+預測IC!DN19</f>
        <v>4.3955190945578071</v>
      </c>
      <c r="DO19" s="7">
        <f>DN19+預測IC!DO19</f>
        <v>4.4506456579577511</v>
      </c>
      <c r="DP19" s="7">
        <f>DO19+預測IC!DP19</f>
        <v>4.4784836724407446</v>
      </c>
      <c r="DQ19" s="7">
        <f>DP19+預測IC!DQ19</f>
        <v>4.4278605009910121</v>
      </c>
      <c r="DR19" s="7">
        <f>DQ19+預測IC!DR19</f>
        <v>4.5038228543160601</v>
      </c>
      <c r="DS19" s="7">
        <f>DR19+預測IC!DS19</f>
        <v>4.3258273073620899</v>
      </c>
      <c r="DT19" s="7">
        <f>DS19+預測IC!DT19</f>
        <v>4.3227511801698606</v>
      </c>
      <c r="DU19" s="7">
        <f>DT19+預測IC!DU19</f>
        <v>4.1721692582135477</v>
      </c>
      <c r="DV19" s="7">
        <f>DU19+預測IC!DV19</f>
        <v>4.2836939646541525</v>
      </c>
      <c r="DW19" s="7">
        <f>DV19+預測IC!DW19</f>
        <v>4.3443031039948368</v>
      </c>
      <c r="DX19" s="7">
        <f>DW19+預測IC!DX19</f>
        <v>4.2059379697566595</v>
      </c>
      <c r="DY19" s="7">
        <f>DX19+預測IC!DY19</f>
        <v>4.3451866484422581</v>
      </c>
      <c r="DZ19" s="7">
        <f>DY19+預測IC!DZ19</f>
        <v>4.4237245960647913</v>
      </c>
      <c r="EA19" s="7">
        <f>DZ19+預測IC!EA19</f>
        <v>4.6567704263700715</v>
      </c>
      <c r="EB19" s="7">
        <f>EA19+預測IC!EB19</f>
        <v>4.6785431963828499</v>
      </c>
      <c r="EC19" s="7">
        <f>EB19+預測IC!EC19</f>
        <v>4.6472180864968697</v>
      </c>
      <c r="ED19" s="7">
        <f>EC19+預測IC!ED19</f>
        <v>4.4962827695067125</v>
      </c>
      <c r="EE19" s="7">
        <f>ED19+預測IC!EE19</f>
        <v>4.5089168124471346</v>
      </c>
      <c r="EF19" s="7">
        <f>EE19+預測IC!EF19</f>
        <v>4.5258947673219039</v>
      </c>
    </row>
    <row r="20" spans="1:136" x14ac:dyDescent="0.3">
      <c r="A20" s="1">
        <v>192</v>
      </c>
      <c r="B20" s="1">
        <v>5</v>
      </c>
      <c r="C20" s="7">
        <v>0.2015510478639157</v>
      </c>
      <c r="D20" s="7">
        <f>C20+預測IC!D20</f>
        <v>0.58357606791126559</v>
      </c>
      <c r="E20" s="7">
        <f>D20+預測IC!E20</f>
        <v>0.64091241823804623</v>
      </c>
      <c r="F20" s="7">
        <f>E20+預測IC!F20</f>
        <v>0.82333203693118739</v>
      </c>
      <c r="G20" s="7">
        <f>F20+預測IC!G20</f>
        <v>0.98135940050327097</v>
      </c>
      <c r="H20" s="7">
        <f>G20+預測IC!H20</f>
        <v>1.1252916827589463</v>
      </c>
      <c r="I20" s="7">
        <f>H20+預測IC!I20</f>
        <v>1.1532272244033492</v>
      </c>
      <c r="J20" s="7">
        <f>I20+預測IC!J20</f>
        <v>1.0200199313263221</v>
      </c>
      <c r="K20" s="7">
        <f>J20+預測IC!K20</f>
        <v>1.0574246161784338</v>
      </c>
      <c r="L20" s="7">
        <f>K20+預測IC!L20</f>
        <v>1.0881200991795292</v>
      </c>
      <c r="M20" s="7">
        <f>L20+預測IC!M20</f>
        <v>1.1882535135436152</v>
      </c>
      <c r="N20" s="7">
        <f>M20+預測IC!N20</f>
        <v>1.6882649915530892</v>
      </c>
      <c r="O20" s="7">
        <f>N20+預測IC!O20</f>
        <v>1.5781504664497821</v>
      </c>
      <c r="P20" s="7">
        <f>O20+預測IC!P20</f>
        <v>1.6181789612015522</v>
      </c>
      <c r="Q20" s="7">
        <f>P20+預測IC!Q20</f>
        <v>1.8430037721939474</v>
      </c>
      <c r="R20" s="7">
        <f>Q20+預測IC!R20</f>
        <v>1.909473405282804</v>
      </c>
      <c r="S20" s="7">
        <f>R20+預測IC!S20</f>
        <v>1.8521323227100028</v>
      </c>
      <c r="T20" s="7">
        <f>S20+預測IC!T20</f>
        <v>1.8677952332292622</v>
      </c>
      <c r="U20" s="7">
        <f>T20+預測IC!U20</f>
        <v>1.9000328916487694</v>
      </c>
      <c r="V20" s="7">
        <f>U20+預測IC!V20</f>
        <v>1.7637448282811927</v>
      </c>
      <c r="W20" s="7">
        <f>V20+預測IC!W20</f>
        <v>1.9368302044587735</v>
      </c>
      <c r="X20" s="7">
        <f>W20+預測IC!X20</f>
        <v>2.086872516086312</v>
      </c>
      <c r="Y20" s="7">
        <f>X20+預測IC!Y20</f>
        <v>2.0820167582259965</v>
      </c>
      <c r="Z20" s="7">
        <f>Y20+預測IC!Z20</f>
        <v>2.111174108280343</v>
      </c>
      <c r="AA20" s="7">
        <f>Z20+預測IC!AA20</f>
        <v>2.1781360870625832</v>
      </c>
      <c r="AB20" s="7">
        <f>AA20+預測IC!AB20</f>
        <v>2.145237541742357</v>
      </c>
      <c r="AC20" s="7">
        <f>AB20+預測IC!AC20</f>
        <v>2.048928498917058</v>
      </c>
      <c r="AD20" s="7">
        <f>AC20+預測IC!AD20</f>
        <v>2.075915802487736</v>
      </c>
      <c r="AE20" s="7">
        <f>AD20+預測IC!AE20</f>
        <v>2.0932269521147733</v>
      </c>
      <c r="AF20" s="7">
        <f>AE20+預測IC!AF20</f>
        <v>2.1322716305023532</v>
      </c>
      <c r="AG20" s="7">
        <f>AF20+預測IC!AG20</f>
        <v>2.1260298901302055</v>
      </c>
      <c r="AH20" s="7">
        <f>AG20+預測IC!AH20</f>
        <v>2.035851689415423</v>
      </c>
      <c r="AI20" s="7">
        <f>AH20+預測IC!AI20</f>
        <v>2.1140062343365917</v>
      </c>
      <c r="AJ20" s="7">
        <f>AI20+預測IC!AJ20</f>
        <v>2.052016199789044</v>
      </c>
      <c r="AK20" s="7">
        <f>AJ20+預測IC!AK20</f>
        <v>2.038421084293041</v>
      </c>
      <c r="AL20" s="7">
        <f>AK20+預測IC!AL20</f>
        <v>2.1113145363300179</v>
      </c>
      <c r="AM20" s="7">
        <f>AL20+預測IC!AM20</f>
        <v>2.1444105170788204</v>
      </c>
      <c r="AN20" s="7">
        <f>AM20+預測IC!AN20</f>
        <v>2.2198807105978187</v>
      </c>
      <c r="AO20" s="7">
        <f>AN20+預測IC!AO20</f>
        <v>2.2651657925625068</v>
      </c>
      <c r="AP20" s="7">
        <f>AO20+預測IC!AP20</f>
        <v>2.133435331307119</v>
      </c>
      <c r="AQ20" s="7">
        <f>AP20+預測IC!AQ20</f>
        <v>2.16088781664007</v>
      </c>
      <c r="AR20" s="7">
        <f>AQ20+預測IC!AR20</f>
        <v>2.330936821318994</v>
      </c>
      <c r="AS20" s="7">
        <f>AR20+預測IC!AS20</f>
        <v>2.4430326310018109</v>
      </c>
      <c r="AT20" s="7">
        <f>AS20+預測IC!AT20</f>
        <v>2.4488914047620165</v>
      </c>
      <c r="AU20" s="7">
        <f>AT20+預測IC!AU20</f>
        <v>2.5245837916571423</v>
      </c>
      <c r="AV20" s="7">
        <f>AU20+預測IC!AV20</f>
        <v>2.4699580778746641</v>
      </c>
      <c r="AW20" s="7">
        <f>AV20+預測IC!AW20</f>
        <v>2.4768233460538149</v>
      </c>
      <c r="AX20" s="7">
        <f>AW20+預測IC!AX20</f>
        <v>2.5875558940525165</v>
      </c>
      <c r="AY20" s="7">
        <f>AX20+預測IC!AY20</f>
        <v>2.6262305924954261</v>
      </c>
      <c r="AZ20" s="7">
        <f>AY20+預測IC!AZ20</f>
        <v>2.4124281613183376</v>
      </c>
      <c r="BA20" s="7">
        <f>AZ20+預測IC!BA20</f>
        <v>2.5637658868242506</v>
      </c>
      <c r="BB20" s="7">
        <f>BA20+預測IC!BB20</f>
        <v>2.7949795130123274</v>
      </c>
      <c r="BC20" s="7">
        <f>BB20+預測IC!BC20</f>
        <v>2.8655850806900678</v>
      </c>
      <c r="BD20" s="7">
        <f>BC20+預測IC!BD20</f>
        <v>2.8121552674684707</v>
      </c>
      <c r="BE20" s="7">
        <f>BD20+預測IC!BE20</f>
        <v>2.8062084703292105</v>
      </c>
      <c r="BF20" s="7">
        <f>BE20+預測IC!BF20</f>
        <v>2.8118970526605391</v>
      </c>
      <c r="BG20" s="7">
        <f>BF20+預測IC!BG20</f>
        <v>2.8049709099518458</v>
      </c>
      <c r="BH20" s="7">
        <f>BG20+預測IC!BH20</f>
        <v>2.7333644628377347</v>
      </c>
      <c r="BI20" s="7">
        <f>BH20+預測IC!BI20</f>
        <v>2.8651097299229096</v>
      </c>
      <c r="BJ20" s="7">
        <f>BI20+預測IC!BJ20</f>
        <v>2.8867392417560964</v>
      </c>
      <c r="BK20" s="7">
        <f>BJ20+預測IC!BK20</f>
        <v>2.8275060739132689</v>
      </c>
      <c r="BL20" s="7">
        <f>BK20+預測IC!BL20</f>
        <v>2.9137983050897236</v>
      </c>
      <c r="BM20" s="7">
        <f>BL20+預測IC!BM20</f>
        <v>2.8663297536255348</v>
      </c>
      <c r="BN20" s="7">
        <f>BM20+預測IC!BN20</f>
        <v>2.984886995070906</v>
      </c>
      <c r="BO20" s="7">
        <f>BN20+預測IC!BO20</f>
        <v>2.9464252775549267</v>
      </c>
      <c r="BP20" s="7">
        <f>BO20+預測IC!BP20</f>
        <v>3.0068327983178817</v>
      </c>
      <c r="BQ20" s="7">
        <f>BP20+預測IC!BQ20</f>
        <v>3.0222845052787246</v>
      </c>
      <c r="BR20" s="7">
        <f>BQ20+預測IC!BR20</f>
        <v>3.034358137009197</v>
      </c>
      <c r="BS20" s="7">
        <f>BR20+預測IC!BS20</f>
        <v>3.0397656432003881</v>
      </c>
      <c r="BT20" s="7">
        <f>BS20+預測IC!BT20</f>
        <v>3.1875686763790352</v>
      </c>
      <c r="BU20" s="7">
        <f>BT20+預測IC!BU20</f>
        <v>3.2863236257467419</v>
      </c>
      <c r="BV20" s="7">
        <f>BU20+預測IC!BV20</f>
        <v>3.4022419573098137</v>
      </c>
      <c r="BW20" s="7">
        <f>BV20+預測IC!BW20</f>
        <v>3.2667387054973376</v>
      </c>
      <c r="BX20" s="7">
        <f>BW20+預測IC!BX20</f>
        <v>3.2974323421805818</v>
      </c>
      <c r="BY20" s="7">
        <f>BX20+預測IC!BY20</f>
        <v>3.1921983758112784</v>
      </c>
      <c r="BZ20" s="7">
        <f>BY20+預測IC!BZ20</f>
        <v>3.2824697800715619</v>
      </c>
      <c r="CA20" s="7">
        <f>BZ20+預測IC!CA20</f>
        <v>3.2423670520198091</v>
      </c>
      <c r="CB20" s="7">
        <f>CA20+預測IC!CB20</f>
        <v>3.2041151020088812</v>
      </c>
      <c r="CC20" s="7">
        <f>CB20+預測IC!CC20</f>
        <v>3.2170302494869616</v>
      </c>
      <c r="CD20" s="7">
        <f>CC20+預測IC!CD20</f>
        <v>3.3130948971295568</v>
      </c>
      <c r="CE20" s="7">
        <f>CD20+預測IC!CE20</f>
        <v>3.3988730697319971</v>
      </c>
      <c r="CF20" s="7">
        <f>CE20+預測IC!CF20</f>
        <v>3.2676645139671825</v>
      </c>
      <c r="CG20" s="7">
        <f>CF20+預測IC!CG20</f>
        <v>3.589603036266567</v>
      </c>
      <c r="CH20" s="7">
        <f>CG20+預測IC!CH20</f>
        <v>3.6614670618637053</v>
      </c>
      <c r="CI20" s="7">
        <f>CH20+預測IC!CI20</f>
        <v>3.6310723880946232</v>
      </c>
      <c r="CJ20" s="7">
        <f>CI20+預測IC!CJ20</f>
        <v>3.5076320682072724</v>
      </c>
      <c r="CK20" s="7">
        <f>CJ20+預測IC!CK20</f>
        <v>3.5986104649573791</v>
      </c>
      <c r="CL20" s="7">
        <f>CK20+預測IC!CL20</f>
        <v>3.5064255307682499</v>
      </c>
      <c r="CM20" s="7">
        <f>CL20+預測IC!CM20</f>
        <v>3.6954766959388707</v>
      </c>
      <c r="CN20" s="7">
        <f>CM20+預測IC!CN20</f>
        <v>3.7176361073093553</v>
      </c>
      <c r="CO20" s="7">
        <f>CN20+預測IC!CO20</f>
        <v>3.3016647721403429</v>
      </c>
      <c r="CP20" s="7">
        <f>CO20+預測IC!CP20</f>
        <v>3.4936959772493701</v>
      </c>
      <c r="CQ20" s="7">
        <f>CP20+預測IC!CQ20</f>
        <v>3.4705779319490873</v>
      </c>
      <c r="CR20" s="7">
        <f>CQ20+預測IC!CR20</f>
        <v>3.4959404847231013</v>
      </c>
      <c r="CS20" s="7">
        <f>CR20+預測IC!CS20</f>
        <v>3.5182335228824608</v>
      </c>
      <c r="CT20" s="7">
        <f>CS20+預測IC!CT20</f>
        <v>3.6087075602967271</v>
      </c>
      <c r="CU20" s="7">
        <f>CT20+預測IC!CU20</f>
        <v>3.5138399020302149</v>
      </c>
      <c r="CV20" s="7">
        <f>CU20+預測IC!CV20</f>
        <v>3.6063509777256408</v>
      </c>
      <c r="CW20" s="7">
        <f>CV20+預測IC!CW20</f>
        <v>3.6163040406469236</v>
      </c>
      <c r="CX20" s="7">
        <f>CW20+預測IC!CX20</f>
        <v>3.7066025915146881</v>
      </c>
      <c r="CY20" s="7">
        <f>CX20+預測IC!CY20</f>
        <v>3.694122858846391</v>
      </c>
      <c r="CZ20" s="7">
        <f>CY20+預測IC!CZ20</f>
        <v>3.8492845039955892</v>
      </c>
      <c r="DA20" s="7">
        <f>CZ20+預測IC!DA20</f>
        <v>3.8018126108404116</v>
      </c>
      <c r="DB20" s="7">
        <f>DA20+預測IC!DB20</f>
        <v>3.8787806806111957</v>
      </c>
      <c r="DC20" s="7">
        <f>DB20+預測IC!DC20</f>
        <v>3.9076818413137993</v>
      </c>
      <c r="DD20" s="7">
        <f>DC20+預測IC!DD20</f>
        <v>3.8395188290000148</v>
      </c>
      <c r="DE20" s="7">
        <f>DD20+預測IC!DE20</f>
        <v>3.8127689650790861</v>
      </c>
      <c r="DF20" s="7">
        <f>DE20+預測IC!DF20</f>
        <v>3.8136280866115069</v>
      </c>
      <c r="DG20" s="7">
        <f>DF20+預測IC!DG20</f>
        <v>3.8094258759911361</v>
      </c>
      <c r="DH20" s="7">
        <f>DG20+預測IC!DH20</f>
        <v>3.7984504642486092</v>
      </c>
      <c r="DI20" s="7">
        <f>DH20+預測IC!DI20</f>
        <v>3.7755737324635565</v>
      </c>
      <c r="DJ20" s="7">
        <f>DI20+預測IC!DJ20</f>
        <v>3.8568507526233593</v>
      </c>
      <c r="DK20" s="7">
        <f>DJ20+預測IC!DK20</f>
        <v>3.941804734069414</v>
      </c>
      <c r="DL20" s="7">
        <f>DK20+預測IC!DL20</f>
        <v>4.0176313702479565</v>
      </c>
      <c r="DM20" s="7">
        <f>DL20+預測IC!DM20</f>
        <v>4.0269150205273938</v>
      </c>
      <c r="DN20" s="7">
        <f>DM20+預測IC!DN20</f>
        <v>4.0849342271815932</v>
      </c>
      <c r="DO20" s="7">
        <f>DN20+預測IC!DO20</f>
        <v>4.1507500290195631</v>
      </c>
      <c r="DP20" s="7">
        <f>DO20+預測IC!DP20</f>
        <v>4.1605805604104509</v>
      </c>
      <c r="DQ20" s="7">
        <f>DP20+預測IC!DQ20</f>
        <v>4.1220402493260826</v>
      </c>
      <c r="DR20" s="7">
        <f>DQ20+預測IC!DR20</f>
        <v>4.2005529093543732</v>
      </c>
      <c r="DS20" s="7">
        <f>DR20+預測IC!DS20</f>
        <v>3.9944718117760187</v>
      </c>
      <c r="DT20" s="7">
        <f>DS20+預測IC!DT20</f>
        <v>3.9993011559600014</v>
      </c>
      <c r="DU20" s="7">
        <f>DT20+預測IC!DU20</f>
        <v>3.8229259870296048</v>
      </c>
      <c r="DV20" s="7">
        <f>DU20+預測IC!DV20</f>
        <v>3.9522714588684638</v>
      </c>
      <c r="DW20" s="7">
        <f>DV20+預測IC!DW20</f>
        <v>4.021331662826503</v>
      </c>
      <c r="DX20" s="7">
        <f>DW20+預測IC!DX20</f>
        <v>3.8674653332201885</v>
      </c>
      <c r="DY20" s="7">
        <f>DX20+預測IC!DY20</f>
        <v>3.9890567909955901</v>
      </c>
      <c r="DZ20" s="7">
        <f>DY20+預測IC!DZ20</f>
        <v>4.079256437154565</v>
      </c>
      <c r="EA20" s="7">
        <f>DZ20+預測IC!EA20</f>
        <v>4.3729464211187361</v>
      </c>
      <c r="EB20" s="7">
        <f>EA20+預測IC!EB20</f>
        <v>4.4120140544697017</v>
      </c>
      <c r="EC20" s="7">
        <f>EB20+預測IC!EC20</f>
        <v>4.4349904665779141</v>
      </c>
      <c r="ED20" s="7">
        <f>EC20+預測IC!ED20</f>
        <v>4.2580716055109038</v>
      </c>
      <c r="EE20" s="7">
        <f>ED20+預測IC!EE20</f>
        <v>4.2604388364382855</v>
      </c>
      <c r="EF20" s="7">
        <f>EE20+預測IC!EF20</f>
        <v>4.2807202530541923</v>
      </c>
    </row>
    <row r="21" spans="1:136" x14ac:dyDescent="0.3">
      <c r="A21" s="1">
        <v>241</v>
      </c>
      <c r="B21" s="1">
        <v>4</v>
      </c>
      <c r="C21" s="7">
        <v>0.21462957980695321</v>
      </c>
      <c r="D21" s="7">
        <f>C21+預測IC!D21</f>
        <v>0.34101749657377678</v>
      </c>
      <c r="E21" s="7">
        <f>D21+預測IC!E21</f>
        <v>0.32732732628798616</v>
      </c>
      <c r="F21" s="7">
        <f>E21+預測IC!F21</f>
        <v>0.53074082384731358</v>
      </c>
      <c r="G21" s="7">
        <f>F21+預測IC!G21</f>
        <v>0.67607268265431397</v>
      </c>
      <c r="H21" s="7">
        <f>G21+預測IC!H21</f>
        <v>0.83823677044815192</v>
      </c>
      <c r="I21" s="7">
        <f>H21+預測IC!I21</f>
        <v>0.85234804892913385</v>
      </c>
      <c r="J21" s="7">
        <f>I21+預測IC!J21</f>
        <v>0.71560513358927724</v>
      </c>
      <c r="K21" s="7">
        <f>J21+預測IC!K21</f>
        <v>0.71707542954941317</v>
      </c>
      <c r="L21" s="7">
        <f>K21+預測IC!L21</f>
        <v>0.71204627624335248</v>
      </c>
      <c r="M21" s="7">
        <f>L21+預測IC!M21</f>
        <v>0.78770692617011306</v>
      </c>
      <c r="N21" s="7">
        <f>M21+預測IC!N21</f>
        <v>1.3725981907908382</v>
      </c>
      <c r="O21" s="7">
        <f>N21+預測IC!O21</f>
        <v>1.2333206973438491</v>
      </c>
      <c r="P21" s="7">
        <f>O21+預測IC!P21</f>
        <v>1.2787478903613523</v>
      </c>
      <c r="Q21" s="7">
        <f>P21+預測IC!Q21</f>
        <v>1.552831335632042</v>
      </c>
      <c r="R21" s="7">
        <f>Q21+預測IC!R21</f>
        <v>1.6377365668253825</v>
      </c>
      <c r="S21" s="7">
        <f>R21+預測IC!S21</f>
        <v>1.6011732751686856</v>
      </c>
      <c r="T21" s="7">
        <f>S21+預測IC!T21</f>
        <v>1.5871329108284806</v>
      </c>
      <c r="U21" s="7">
        <f>T21+預測IC!U21</f>
        <v>1.5773082700940837</v>
      </c>
      <c r="V21" s="7">
        <f>U21+預測IC!V21</f>
        <v>1.4455577814415812</v>
      </c>
      <c r="W21" s="7">
        <f>V21+預測IC!W21</f>
        <v>1.6033462610570437</v>
      </c>
      <c r="X21" s="7">
        <f>W21+預測IC!X21</f>
        <v>1.8111475284103815</v>
      </c>
      <c r="Y21" s="7">
        <f>X21+預測IC!Y21</f>
        <v>1.8010038680371789</v>
      </c>
      <c r="Z21" s="7">
        <f>Y21+預測IC!Z21</f>
        <v>1.8404615837171361</v>
      </c>
      <c r="AA21" s="7">
        <f>Z21+預測IC!AA21</f>
        <v>1.8684950399093445</v>
      </c>
      <c r="AB21" s="7">
        <f>AA21+預測IC!AB21</f>
        <v>1.8465390960202104</v>
      </c>
      <c r="AC21" s="7">
        <f>AB21+預測IC!AC21</f>
        <v>1.6869968235560087</v>
      </c>
      <c r="AD21" s="7">
        <f>AC21+預測IC!AD21</f>
        <v>1.6610635475585738</v>
      </c>
      <c r="AE21" s="7">
        <f>AD21+預測IC!AE21</f>
        <v>1.6713751582526337</v>
      </c>
      <c r="AF21" s="7">
        <f>AE21+預測IC!AF21</f>
        <v>1.7245007681391966</v>
      </c>
      <c r="AG21" s="7">
        <f>AF21+預測IC!AG21</f>
        <v>1.7139300150992383</v>
      </c>
      <c r="AH21" s="7">
        <f>AG21+預測IC!AH21</f>
        <v>1.6063486525344399</v>
      </c>
      <c r="AI21" s="7">
        <f>AH21+預測IC!AI21</f>
        <v>1.685942861867731</v>
      </c>
      <c r="AJ21" s="7">
        <f>AI21+預測IC!AJ21</f>
        <v>1.6155375199212623</v>
      </c>
      <c r="AK21" s="7">
        <f>AJ21+預測IC!AK21</f>
        <v>1.5797343523031522</v>
      </c>
      <c r="AL21" s="7">
        <f>AK21+預測IC!AL21</f>
        <v>1.6451141750362628</v>
      </c>
      <c r="AM21" s="7">
        <f>AL21+預測IC!AM21</f>
        <v>1.7136499824838933</v>
      </c>
      <c r="AN21" s="7">
        <f>AM21+預測IC!AN21</f>
        <v>1.8256060385469877</v>
      </c>
      <c r="AO21" s="7">
        <f>AN21+預測IC!AO21</f>
        <v>1.8733324341907143</v>
      </c>
      <c r="AP21" s="7">
        <f>AO21+預測IC!AP21</f>
        <v>1.800797290620695</v>
      </c>
      <c r="AQ21" s="7">
        <f>AP21+預測IC!AQ21</f>
        <v>1.8776627976312428</v>
      </c>
      <c r="AR21" s="7">
        <f>AQ21+預測IC!AR21</f>
        <v>2.0828450758617238</v>
      </c>
      <c r="AS21" s="7">
        <f>AR21+預測IC!AS21</f>
        <v>2.1473009445083533</v>
      </c>
      <c r="AT21" s="7">
        <f>AS21+預測IC!AT21</f>
        <v>2.1448080332311981</v>
      </c>
      <c r="AU21" s="7">
        <f>AT21+預測IC!AU21</f>
        <v>2.1926176647401552</v>
      </c>
      <c r="AV21" s="7">
        <f>AU21+預測IC!AV21</f>
        <v>2.1370968846780216</v>
      </c>
      <c r="AW21" s="7">
        <f>AV21+預測IC!AW21</f>
        <v>2.1468879146321189</v>
      </c>
      <c r="AX21" s="7">
        <f>AW21+預測IC!AX21</f>
        <v>2.2900356021018755</v>
      </c>
      <c r="AY21" s="7">
        <f>AX21+預測IC!AY21</f>
        <v>2.3370568930799136</v>
      </c>
      <c r="AZ21" s="7">
        <f>AY21+預測IC!AZ21</f>
        <v>2.0821456231827771</v>
      </c>
      <c r="BA21" s="7">
        <f>AZ21+預測IC!BA21</f>
        <v>2.221738305344104</v>
      </c>
      <c r="BB21" s="7">
        <f>BA21+預測IC!BB21</f>
        <v>2.5162509423214257</v>
      </c>
      <c r="BC21" s="7">
        <f>BB21+預測IC!BC21</f>
        <v>2.5545720900466193</v>
      </c>
      <c r="BD21" s="7">
        <f>BC21+預測IC!BD21</f>
        <v>2.5328212266759915</v>
      </c>
      <c r="BE21" s="7">
        <f>BD21+預測IC!BE21</f>
        <v>2.5391717600733932</v>
      </c>
      <c r="BF21" s="7">
        <f>BE21+預測IC!BF21</f>
        <v>2.5427488602538277</v>
      </c>
      <c r="BG21" s="7">
        <f>BF21+預測IC!BG21</f>
        <v>2.5793840494706402</v>
      </c>
      <c r="BH21" s="7">
        <f>BG21+預測IC!BH21</f>
        <v>2.503062686331885</v>
      </c>
      <c r="BI21" s="7">
        <f>BH21+預測IC!BI21</f>
        <v>2.669032282510277</v>
      </c>
      <c r="BJ21" s="7">
        <f>BI21+預測IC!BJ21</f>
        <v>2.6926113086919945</v>
      </c>
      <c r="BK21" s="7">
        <f>BJ21+預測IC!BK21</f>
        <v>2.6241614283124597</v>
      </c>
      <c r="BL21" s="7">
        <f>BK21+預測IC!BL21</f>
        <v>2.7668825209588093</v>
      </c>
      <c r="BM21" s="7">
        <f>BL21+預測IC!BM21</f>
        <v>2.7260872349300884</v>
      </c>
      <c r="BN21" s="7">
        <f>BM21+預測IC!BN21</f>
        <v>2.7897351829223362</v>
      </c>
      <c r="BO21" s="7">
        <f>BN21+預測IC!BO21</f>
        <v>2.725877946508656</v>
      </c>
      <c r="BP21" s="7">
        <f>BO21+預測IC!BP21</f>
        <v>2.8303870759280705</v>
      </c>
      <c r="BQ21" s="7">
        <f>BP21+預測IC!BQ21</f>
        <v>2.8849293067625754</v>
      </c>
      <c r="BR21" s="7">
        <f>BQ21+預測IC!BR21</f>
        <v>2.89725316894644</v>
      </c>
      <c r="BS21" s="7">
        <f>BR21+預測IC!BS21</f>
        <v>2.9031133417016162</v>
      </c>
      <c r="BT21" s="7">
        <f>BS21+預測IC!BT21</f>
        <v>3.035358035676059</v>
      </c>
      <c r="BU21" s="7">
        <f>BT21+預測IC!BU21</f>
        <v>3.170854497874628</v>
      </c>
      <c r="BV21" s="7">
        <f>BU21+預測IC!BV21</f>
        <v>3.3129974980600814</v>
      </c>
      <c r="BW21" s="7">
        <f>BV21+預測IC!BW21</f>
        <v>3.1663183011243503</v>
      </c>
      <c r="BX21" s="7">
        <f>BW21+預測IC!BX21</f>
        <v>3.1633274818399362</v>
      </c>
      <c r="BY21" s="7">
        <f>BX21+預測IC!BY21</f>
        <v>3.1129476306218198</v>
      </c>
      <c r="BZ21" s="7">
        <f>BY21+預測IC!BZ21</f>
        <v>3.1606105593425355</v>
      </c>
      <c r="CA21" s="7">
        <f>BZ21+預測IC!CA21</f>
        <v>3.1000929560401369</v>
      </c>
      <c r="CB21" s="7">
        <f>CA21+預測IC!CB21</f>
        <v>3.0366715648418787</v>
      </c>
      <c r="CC21" s="7">
        <f>CB21+預測IC!CC21</f>
        <v>3.0286526105709126</v>
      </c>
      <c r="CD21" s="7">
        <f>CC21+預測IC!CD21</f>
        <v>3.1130761615634279</v>
      </c>
      <c r="CE21" s="7">
        <f>CD21+預測IC!CE21</f>
        <v>3.174591043917582</v>
      </c>
      <c r="CF21" s="7">
        <f>CE21+預測IC!CF21</f>
        <v>3.0474205678259736</v>
      </c>
      <c r="CG21" s="7">
        <f>CF21+預測IC!CG21</f>
        <v>3.36758735120645</v>
      </c>
      <c r="CH21" s="7">
        <f>CG21+預測IC!CH21</f>
        <v>3.4476876722826617</v>
      </c>
      <c r="CI21" s="7">
        <f>CH21+預測IC!CI21</f>
        <v>3.3671880558916794</v>
      </c>
      <c r="CJ21" s="7">
        <f>CI21+預測IC!CJ21</f>
        <v>3.2815602988751769</v>
      </c>
      <c r="CK21" s="7">
        <f>CJ21+預測IC!CK21</f>
        <v>3.408610845605311</v>
      </c>
      <c r="CL21" s="7">
        <f>CK21+預測IC!CL21</f>
        <v>3.2747204209823462</v>
      </c>
      <c r="CM21" s="7">
        <f>CL21+預測IC!CM21</f>
        <v>3.5002234093857174</v>
      </c>
      <c r="CN21" s="7">
        <f>CM21+預測IC!CN21</f>
        <v>3.5307622995894929</v>
      </c>
      <c r="CO21" s="7">
        <f>CN21+預測IC!CO21</f>
        <v>3.0158970509919003</v>
      </c>
      <c r="CP21" s="7">
        <f>CO21+預測IC!CP21</f>
        <v>3.2385971118698129</v>
      </c>
      <c r="CQ21" s="7">
        <f>CP21+預測IC!CQ21</f>
        <v>3.2156849177003166</v>
      </c>
      <c r="CR21" s="7">
        <f>CQ21+預測IC!CR21</f>
        <v>3.2273007065604196</v>
      </c>
      <c r="CS21" s="7">
        <f>CR21+預測IC!CS21</f>
        <v>3.2582084522429171</v>
      </c>
      <c r="CT21" s="7">
        <f>CS21+預測IC!CT21</f>
        <v>3.3405013250972559</v>
      </c>
      <c r="CU21" s="7">
        <f>CT21+預測IC!CU21</f>
        <v>3.2778277649277645</v>
      </c>
      <c r="CV21" s="7">
        <f>CU21+預測IC!CV21</f>
        <v>3.3760533969491515</v>
      </c>
      <c r="CW21" s="7">
        <f>CV21+預測IC!CW21</f>
        <v>3.4410588142301402</v>
      </c>
      <c r="CX21" s="7">
        <f>CW21+預測IC!CX21</f>
        <v>3.543180989887547</v>
      </c>
      <c r="CY21" s="7">
        <f>CX21+預測IC!CY21</f>
        <v>3.5346990734836328</v>
      </c>
      <c r="CZ21" s="7">
        <f>CY21+預測IC!CZ21</f>
        <v>3.7721504443094629</v>
      </c>
      <c r="DA21" s="7">
        <f>CZ21+預測IC!DA21</f>
        <v>3.7733427007661948</v>
      </c>
      <c r="DB21" s="7">
        <f>DA21+預測IC!DB21</f>
        <v>3.8448039145401931</v>
      </c>
      <c r="DC21" s="7">
        <f>DB21+預測IC!DC21</f>
        <v>3.8931130619056997</v>
      </c>
      <c r="DD21" s="7">
        <f>DC21+預測IC!DD21</f>
        <v>3.8260855657049579</v>
      </c>
      <c r="DE21" s="7">
        <f>DD21+預測IC!DE21</f>
        <v>3.8383236742932767</v>
      </c>
      <c r="DF21" s="7">
        <f>DE21+預測IC!DF21</f>
        <v>3.8598845549911514</v>
      </c>
      <c r="DG21" s="7">
        <f>DF21+預測IC!DG21</f>
        <v>3.8677309331196845</v>
      </c>
      <c r="DH21" s="7">
        <f>DG21+預測IC!DH21</f>
        <v>3.8818077533321391</v>
      </c>
      <c r="DI21" s="7">
        <f>DH21+預測IC!DI21</f>
        <v>3.9162152316123184</v>
      </c>
      <c r="DJ21" s="7">
        <f>DI21+預測IC!DJ21</f>
        <v>3.9895180231143939</v>
      </c>
      <c r="DK21" s="7">
        <f>DJ21+預測IC!DK21</f>
        <v>4.1290207299332984</v>
      </c>
      <c r="DL21" s="7">
        <f>DK21+預測IC!DL21</f>
        <v>4.2273856687726745</v>
      </c>
      <c r="DM21" s="7">
        <f>DL21+預測IC!DM21</f>
        <v>4.1975515491304343</v>
      </c>
      <c r="DN21" s="7">
        <f>DM21+預測IC!DN21</f>
        <v>4.2687491616244273</v>
      </c>
      <c r="DO21" s="7">
        <f>DN21+預測IC!DO21</f>
        <v>4.3511949539551074</v>
      </c>
      <c r="DP21" s="7">
        <f>DO21+預測IC!DP21</f>
        <v>4.3754611090486737</v>
      </c>
      <c r="DQ21" s="7">
        <f>DP21+預測IC!DQ21</f>
        <v>4.3472450569962771</v>
      </c>
      <c r="DR21" s="7">
        <f>DQ21+預測IC!DR21</f>
        <v>4.3974159160333581</v>
      </c>
      <c r="DS21" s="7">
        <f>DR21+預測IC!DS21</f>
        <v>4.1965764421960623</v>
      </c>
      <c r="DT21" s="7">
        <f>DS21+預測IC!DT21</f>
        <v>4.1868677992537995</v>
      </c>
      <c r="DU21" s="7">
        <f>DT21+預測IC!DU21</f>
        <v>4.0382530826153857</v>
      </c>
      <c r="DV21" s="7">
        <f>DU21+預測IC!DV21</f>
        <v>4.178529059485264</v>
      </c>
      <c r="DW21" s="7">
        <f>DV21+預測IC!DW21</f>
        <v>4.3067769281493851</v>
      </c>
      <c r="DX21" s="7">
        <f>DW21+預測IC!DX21</f>
        <v>4.1208107141182015</v>
      </c>
      <c r="DY21" s="7">
        <f>DX21+預測IC!DY21</f>
        <v>4.2875416852067936</v>
      </c>
      <c r="DZ21" s="7">
        <f>DY21+預測IC!DZ21</f>
        <v>4.3864722588666991</v>
      </c>
      <c r="EA21" s="7">
        <f>DZ21+預測IC!EA21</f>
        <v>4.6525290911460448</v>
      </c>
      <c r="EB21" s="7">
        <f>EA21+預測IC!EB21</f>
        <v>4.6609372373166309</v>
      </c>
      <c r="EC21" s="7">
        <f>EB21+預測IC!EC21</f>
        <v>4.6881261689263969</v>
      </c>
      <c r="ED21" s="7">
        <f>EC21+預測IC!ED21</f>
        <v>4.6336273125782164</v>
      </c>
      <c r="EE21" s="7">
        <f>ED21+預測IC!EE21</f>
        <v>4.6480561646866345</v>
      </c>
      <c r="EF21" s="7">
        <f>EE21+預測IC!EF21</f>
        <v>4.6292849006445156</v>
      </c>
    </row>
    <row r="22" spans="1:136" x14ac:dyDescent="0.3">
      <c r="A22" s="1">
        <v>321</v>
      </c>
      <c r="B22" s="1">
        <v>3</v>
      </c>
      <c r="C22" s="7">
        <v>0.20528030103697539</v>
      </c>
      <c r="D22" s="7">
        <f>C22+預測IC!D22</f>
        <v>0.34770815311437386</v>
      </c>
      <c r="E22" s="7">
        <f>D22+預測IC!E22</f>
        <v>0.33035305419791489</v>
      </c>
      <c r="F22" s="7">
        <f>E22+預測IC!F22</f>
        <v>0.19048560388852789</v>
      </c>
      <c r="G22" s="7">
        <f>F22+預測IC!G22</f>
        <v>0.42343102848385061</v>
      </c>
      <c r="H22" s="7">
        <f>G22+預測IC!H22</f>
        <v>0.54760909144449688</v>
      </c>
      <c r="I22" s="7">
        <f>H22+預測IC!I22</f>
        <v>0.56504643465078708</v>
      </c>
      <c r="J22" s="7">
        <f>I22+預測IC!J22</f>
        <v>0.4607929319141576</v>
      </c>
      <c r="K22" s="7">
        <f>J22+預測IC!K22</f>
        <v>0.4894497120305516</v>
      </c>
      <c r="L22" s="7">
        <f>K22+預測IC!L22</f>
        <v>0.50372292071553382</v>
      </c>
      <c r="M22" s="7">
        <f>L22+預測IC!M22</f>
        <v>0.27856431565195211</v>
      </c>
      <c r="N22" s="7">
        <f>M22+預測IC!N22</f>
        <v>1.034707758769291</v>
      </c>
      <c r="O22" s="7">
        <f>N22+預測IC!O22</f>
        <v>0.96826542660433679</v>
      </c>
      <c r="P22" s="7">
        <f>O22+預測IC!P22</f>
        <v>1.0588963010309711</v>
      </c>
      <c r="Q22" s="7">
        <f>P22+預測IC!Q22</f>
        <v>1.1861671912623613</v>
      </c>
      <c r="R22" s="7">
        <f>Q22+預測IC!R22</f>
        <v>1.2528654838686928</v>
      </c>
      <c r="S22" s="7">
        <f>R22+預測IC!S22</f>
        <v>1.2136313403315135</v>
      </c>
      <c r="T22" s="7">
        <f>S22+預測IC!T22</f>
        <v>1.1933927278546794</v>
      </c>
      <c r="U22" s="7">
        <f>T22+預測IC!U22</f>
        <v>1.2458816343503012</v>
      </c>
      <c r="V22" s="7">
        <f>U22+預測IC!V22</f>
        <v>1.0702567318798888</v>
      </c>
      <c r="W22" s="7">
        <f>V22+預測IC!W22</f>
        <v>1.2777369989041862</v>
      </c>
      <c r="X22" s="7">
        <f>W22+預測IC!X22</f>
        <v>1.5349393501176833</v>
      </c>
      <c r="Y22" s="7">
        <f>X22+預測IC!Y22</f>
        <v>1.4650860184148826</v>
      </c>
      <c r="Z22" s="7">
        <f>Y22+預測IC!Z22</f>
        <v>1.488952140205239</v>
      </c>
      <c r="AA22" s="7">
        <f>Z22+預測IC!AA22</f>
        <v>1.607072754575122</v>
      </c>
      <c r="AB22" s="7">
        <f>AA22+預測IC!AB22</f>
        <v>1.6109379847004615</v>
      </c>
      <c r="AC22" s="7">
        <f>AB22+預測IC!AC22</f>
        <v>1.4337249065515987</v>
      </c>
      <c r="AD22" s="7">
        <f>AC22+預測IC!AD22</f>
        <v>1.4151311573369374</v>
      </c>
      <c r="AE22" s="7">
        <f>AD22+預測IC!AE22</f>
        <v>1.3299834713792302</v>
      </c>
      <c r="AF22" s="7">
        <f>AE22+預測IC!AF22</f>
        <v>1.3771657875372543</v>
      </c>
      <c r="AG22" s="7">
        <f>AF22+預測IC!AG22</f>
        <v>1.3311919745295653</v>
      </c>
      <c r="AH22" s="7">
        <f>AG22+預測IC!AH22</f>
        <v>1.2253260151090926</v>
      </c>
      <c r="AI22" s="7">
        <f>AH22+預測IC!AI22</f>
        <v>1.3194672757664785</v>
      </c>
      <c r="AJ22" s="7">
        <f>AI22+預測IC!AJ22</f>
        <v>1.2877674264400703</v>
      </c>
      <c r="AK22" s="7">
        <f>AJ22+預測IC!AK22</f>
        <v>1.389055987180466</v>
      </c>
      <c r="AL22" s="7">
        <f>AK22+預測IC!AL22</f>
        <v>1.4293969539873663</v>
      </c>
      <c r="AM22" s="7">
        <f>AL22+預測IC!AM22</f>
        <v>1.5134858574550698</v>
      </c>
      <c r="AN22" s="7">
        <f>AM22+預測IC!AN22</f>
        <v>1.6246186671186291</v>
      </c>
      <c r="AO22" s="7">
        <f>AN22+預測IC!AO22</f>
        <v>1.6993360405123348</v>
      </c>
      <c r="AP22" s="7">
        <f>AO22+預測IC!AP22</f>
        <v>1.6367996866243422</v>
      </c>
      <c r="AQ22" s="7">
        <f>AP22+預測IC!AQ22</f>
        <v>1.7162258041029352</v>
      </c>
      <c r="AR22" s="7">
        <f>AQ22+預測IC!AR22</f>
        <v>1.9667584822613176</v>
      </c>
      <c r="AS22" s="7">
        <f>AR22+預測IC!AS22</f>
        <v>2.0495689211598673</v>
      </c>
      <c r="AT22" s="7">
        <f>AS22+預測IC!AT22</f>
        <v>2.0244325593198411</v>
      </c>
      <c r="AU22" s="7">
        <f>AT22+預測IC!AU22</f>
        <v>2.0579330112307108</v>
      </c>
      <c r="AV22" s="7">
        <f>AU22+預測IC!AV22</f>
        <v>1.9981198345548308</v>
      </c>
      <c r="AW22" s="7">
        <f>AV22+預測IC!AW22</f>
        <v>1.9679704453478217</v>
      </c>
      <c r="AX22" s="7">
        <f>AW22+預測IC!AX22</f>
        <v>2.1417338453278458</v>
      </c>
      <c r="AY22" s="7">
        <f>AX22+預測IC!AY22</f>
        <v>2.2134672306620766</v>
      </c>
      <c r="AZ22" s="7">
        <f>AY22+預測IC!AZ22</f>
        <v>2.0585634523409246</v>
      </c>
      <c r="BA22" s="7">
        <f>AZ22+預測IC!BA22</f>
        <v>2.1083384099251115</v>
      </c>
      <c r="BB22" s="7">
        <f>BA22+預測IC!BB22</f>
        <v>2.4778889932215993</v>
      </c>
      <c r="BC22" s="7">
        <f>BB22+預測IC!BC22</f>
        <v>2.347052055098644</v>
      </c>
      <c r="BD22" s="7">
        <f>BC22+預測IC!BD22</f>
        <v>2.3248778736328157</v>
      </c>
      <c r="BE22" s="7">
        <f>BD22+預測IC!BE22</f>
        <v>2.347094057027296</v>
      </c>
      <c r="BF22" s="7">
        <f>BE22+預測IC!BF22</f>
        <v>2.3607328743656155</v>
      </c>
      <c r="BG22" s="7">
        <f>BF22+預測IC!BG22</f>
        <v>2.4070123865340016</v>
      </c>
      <c r="BH22" s="7">
        <f>BG22+預測IC!BH22</f>
        <v>2.2790518441958696</v>
      </c>
      <c r="BI22" s="7">
        <f>BH22+預測IC!BI22</f>
        <v>2.3901405636057764</v>
      </c>
      <c r="BJ22" s="7">
        <f>BI22+預測IC!BJ22</f>
        <v>2.4451369787564974</v>
      </c>
      <c r="BK22" s="7">
        <f>BJ22+預測IC!BK22</f>
        <v>2.4032973428228321</v>
      </c>
      <c r="BL22" s="7">
        <f>BK22+預測IC!BL22</f>
        <v>2.5650776818938676</v>
      </c>
      <c r="BM22" s="7">
        <f>BL22+預測IC!BM22</f>
        <v>2.5626471986483343</v>
      </c>
      <c r="BN22" s="7">
        <f>BM22+預測IC!BN22</f>
        <v>2.5473196466252919</v>
      </c>
      <c r="BO22" s="7">
        <f>BN22+預測IC!BO22</f>
        <v>2.4968352175125412</v>
      </c>
      <c r="BP22" s="7">
        <f>BO22+預測IC!BP22</f>
        <v>2.5716707676676478</v>
      </c>
      <c r="BQ22" s="7">
        <f>BP22+預測IC!BQ22</f>
        <v>2.5995008650659606</v>
      </c>
      <c r="BR22" s="7">
        <f>BQ22+預測IC!BR22</f>
        <v>2.6203144745324134</v>
      </c>
      <c r="BS22" s="7">
        <f>BR22+預測IC!BS22</f>
        <v>2.6039416921556144</v>
      </c>
      <c r="BT22" s="7">
        <f>BS22+預測IC!BT22</f>
        <v>2.7344723954921606</v>
      </c>
      <c r="BU22" s="7">
        <f>BT22+預測IC!BU22</f>
        <v>2.9474211616301709</v>
      </c>
      <c r="BV22" s="7">
        <f>BU22+預測IC!BV22</f>
        <v>3.1059651340277799</v>
      </c>
      <c r="BW22" s="7">
        <f>BV22+預測IC!BW22</f>
        <v>2.9312966361001727</v>
      </c>
      <c r="BX22" s="7">
        <f>BW22+預測IC!BX22</f>
        <v>2.9679340817921451</v>
      </c>
      <c r="BY22" s="7">
        <f>BX22+預測IC!BY22</f>
        <v>2.9631872953894103</v>
      </c>
      <c r="BZ22" s="7">
        <f>BY22+預測IC!BZ22</f>
        <v>3.0104450312523023</v>
      </c>
      <c r="CA22" s="7">
        <f>BZ22+預測IC!CA22</f>
        <v>2.982954952771979</v>
      </c>
      <c r="CB22" s="7">
        <f>CA22+預測IC!CB22</f>
        <v>2.8339616745260523</v>
      </c>
      <c r="CC22" s="7">
        <f>CB22+預測IC!CC22</f>
        <v>2.7088576792060195</v>
      </c>
      <c r="CD22" s="7">
        <f>CC22+預測IC!CD22</f>
        <v>2.8043762220710158</v>
      </c>
      <c r="CE22" s="7">
        <f>CD22+預測IC!CE22</f>
        <v>2.8712163677078335</v>
      </c>
      <c r="CF22" s="7">
        <f>CE22+預測IC!CF22</f>
        <v>2.7156437992853668</v>
      </c>
      <c r="CG22" s="7">
        <f>CF22+預測IC!CG22</f>
        <v>3.159444614339777</v>
      </c>
      <c r="CH22" s="7">
        <f>CG22+預測IC!CH22</f>
        <v>3.275363385619225</v>
      </c>
      <c r="CI22" s="7">
        <f>CH22+預測IC!CI22</f>
        <v>3.1575836393408658</v>
      </c>
      <c r="CJ22" s="7">
        <f>CI22+預測IC!CJ22</f>
        <v>3.0542041342513033</v>
      </c>
      <c r="CK22" s="7">
        <f>CJ22+預測IC!CK22</f>
        <v>3.0903674768559859</v>
      </c>
      <c r="CL22" s="7">
        <f>CK22+預測IC!CL22</f>
        <v>2.849715678230945</v>
      </c>
      <c r="CM22" s="7">
        <f>CL22+預測IC!CM22</f>
        <v>3.1701476818887704</v>
      </c>
      <c r="CN22" s="7">
        <f>CM22+預測IC!CN22</f>
        <v>3.1616009100678628</v>
      </c>
      <c r="CO22" s="7">
        <f>CN22+預測IC!CO22</f>
        <v>2.5116444418187074</v>
      </c>
      <c r="CP22" s="7">
        <f>CO22+預測IC!CP22</f>
        <v>2.7710529987881101</v>
      </c>
      <c r="CQ22" s="7">
        <f>CP22+預測IC!CQ22</f>
        <v>2.7538933832689865</v>
      </c>
      <c r="CR22" s="7">
        <f>CQ22+預測IC!CR22</f>
        <v>2.7254711781898258</v>
      </c>
      <c r="CS22" s="7">
        <f>CR22+預測IC!CS22</f>
        <v>2.7499107650218586</v>
      </c>
      <c r="CT22" s="7">
        <f>CS22+預測IC!CT22</f>
        <v>2.8081432863778439</v>
      </c>
      <c r="CU22" s="7">
        <f>CT22+預測IC!CU22</f>
        <v>2.6879115744137461</v>
      </c>
      <c r="CV22" s="7">
        <f>CU22+預測IC!CV22</f>
        <v>2.8001452696208005</v>
      </c>
      <c r="CW22" s="7">
        <f>CV22+預測IC!CW22</f>
        <v>2.8365965229469658</v>
      </c>
      <c r="CX22" s="7">
        <f>CW22+預測IC!CX22</f>
        <v>2.8403461162148149</v>
      </c>
      <c r="CY22" s="7">
        <f>CX22+預測IC!CY22</f>
        <v>2.8323572904413057</v>
      </c>
      <c r="CZ22" s="7">
        <f>CY22+預測IC!CZ22</f>
        <v>3.0952777750405449</v>
      </c>
      <c r="DA22" s="7">
        <f>CZ22+預測IC!DA22</f>
        <v>3.0912860211586208</v>
      </c>
      <c r="DB22" s="7">
        <f>DA22+預測IC!DB22</f>
        <v>3.1453276428691428</v>
      </c>
      <c r="DC22" s="7">
        <f>DB22+預測IC!DC22</f>
        <v>3.2176696766020867</v>
      </c>
      <c r="DD22" s="7">
        <f>DC22+預測IC!DD22</f>
        <v>3.2017070987865242</v>
      </c>
      <c r="DE22" s="7">
        <f>DD22+預測IC!DE22</f>
        <v>3.1962153408045739</v>
      </c>
      <c r="DF22" s="7">
        <f>DE22+預測IC!DF22</f>
        <v>3.2132471160781271</v>
      </c>
      <c r="DG22" s="7">
        <f>DF22+預測IC!DG22</f>
        <v>3.2452321591590145</v>
      </c>
      <c r="DH22" s="7">
        <f>DG22+預測IC!DH22</f>
        <v>3.2591775053425183</v>
      </c>
      <c r="DI22" s="7">
        <f>DH22+預測IC!DI22</f>
        <v>3.3227385046047675</v>
      </c>
      <c r="DJ22" s="7">
        <f>DI22+預測IC!DJ22</f>
        <v>3.3655154267294463</v>
      </c>
      <c r="DK22" s="7">
        <f>DJ22+預測IC!DK22</f>
        <v>3.5446501405522866</v>
      </c>
      <c r="DL22" s="7">
        <f>DK22+預測IC!DL22</f>
        <v>3.6695917882896696</v>
      </c>
      <c r="DM22" s="7">
        <f>DL22+預測IC!DM22</f>
        <v>3.6061257372516362</v>
      </c>
      <c r="DN22" s="7">
        <f>DM22+預測IC!DN22</f>
        <v>3.6528890654556436</v>
      </c>
      <c r="DO22" s="7">
        <f>DN22+預測IC!DO22</f>
        <v>3.7763265667672816</v>
      </c>
      <c r="DP22" s="7">
        <f>DO22+預測IC!DP22</f>
        <v>3.7865538246201855</v>
      </c>
      <c r="DQ22" s="7">
        <f>DP22+預測IC!DQ22</f>
        <v>3.7347036227825643</v>
      </c>
      <c r="DR22" s="7">
        <f>DQ22+預測IC!DR22</f>
        <v>3.7286110701672461</v>
      </c>
      <c r="DS22" s="7">
        <f>DR22+預測IC!DS22</f>
        <v>3.5315601486048869</v>
      </c>
      <c r="DT22" s="7">
        <f>DS22+預測IC!DT22</f>
        <v>3.4878787022807987</v>
      </c>
      <c r="DU22" s="7">
        <f>DT22+預測IC!DU22</f>
        <v>3.3263317913980686</v>
      </c>
      <c r="DV22" s="7">
        <f>DU22+預測IC!DV22</f>
        <v>3.4520369090762464</v>
      </c>
      <c r="DW22" s="7">
        <f>DV22+預測IC!DW22</f>
        <v>3.5304266327832434</v>
      </c>
      <c r="DX22" s="7">
        <f>DW22+預測IC!DX22</f>
        <v>3.3079840243349485</v>
      </c>
      <c r="DY22" s="7">
        <f>DX22+預測IC!DY22</f>
        <v>3.4279400490536105</v>
      </c>
      <c r="DZ22" s="7">
        <f>DY22+預測IC!DZ22</f>
        <v>3.5387745538413218</v>
      </c>
      <c r="EA22" s="7">
        <f>DZ22+預測IC!EA22</f>
        <v>3.6791307158420152</v>
      </c>
      <c r="EB22" s="7">
        <f>EA22+預測IC!EB22</f>
        <v>3.5985339883066971</v>
      </c>
      <c r="EC22" s="7">
        <f>EB22+預測IC!EC22</f>
        <v>3.6866194357331215</v>
      </c>
      <c r="ED22" s="7">
        <f>EC22+預測IC!ED22</f>
        <v>3.609205868675514</v>
      </c>
      <c r="EE22" s="7">
        <f>ED22+預測IC!EE22</f>
        <v>3.6426521724877272</v>
      </c>
      <c r="EF22" s="7">
        <f>EE22+預測IC!EF22</f>
        <v>3.6078619261155547</v>
      </c>
    </row>
    <row r="23" spans="1:136" x14ac:dyDescent="0.3">
      <c r="A23" s="1">
        <v>482</v>
      </c>
      <c r="B23" s="1">
        <v>2</v>
      </c>
      <c r="C23" s="7">
        <v>0.28298926569632887</v>
      </c>
      <c r="D23" s="7">
        <f>C23+預測IC!D23</f>
        <v>0.53708189314779009</v>
      </c>
      <c r="E23" s="7">
        <f>D23+預測IC!E23</f>
        <v>0.67008708720396104</v>
      </c>
      <c r="F23" s="7">
        <f>E23+預測IC!F23</f>
        <v>0.66634685426205031</v>
      </c>
      <c r="G23" s="7">
        <f>F23+預測IC!G23</f>
        <v>1.0279789750404831</v>
      </c>
      <c r="H23" s="7">
        <f>G23+預測IC!H23</f>
        <v>1.0097905041989985</v>
      </c>
      <c r="I23" s="7">
        <f>H23+預測IC!I23</f>
        <v>0.97340401533259147</v>
      </c>
      <c r="J23" s="7">
        <f>I23+預測IC!J23</f>
        <v>0.85852650940214636</v>
      </c>
      <c r="K23" s="7">
        <f>J23+預測IC!K23</f>
        <v>0.79860862489408346</v>
      </c>
      <c r="L23" s="7">
        <f>K23+預測IC!L23</f>
        <v>0.84937945859926645</v>
      </c>
      <c r="M23" s="7">
        <f>L23+預測IC!M23</f>
        <v>0.58681011155192619</v>
      </c>
      <c r="N23" s="7">
        <f>M23+預測IC!N23</f>
        <v>1.5627115548232062</v>
      </c>
      <c r="O23" s="7">
        <f>N23+預測IC!O23</f>
        <v>1.4398118475160377</v>
      </c>
      <c r="P23" s="7">
        <f>O23+預測IC!P23</f>
        <v>1.4944933735505856</v>
      </c>
      <c r="Q23" s="7">
        <f>P23+預測IC!Q23</f>
        <v>1.7856668670172904</v>
      </c>
      <c r="R23" s="7">
        <f>Q23+預測IC!R23</f>
        <v>1.848488844987052</v>
      </c>
      <c r="S23" s="7">
        <f>R23+預測IC!S23</f>
        <v>1.7759161805369899</v>
      </c>
      <c r="T23" s="7">
        <f>S23+預測IC!T23</f>
        <v>1.7755428113285112</v>
      </c>
      <c r="U23" s="7">
        <f>T23+預測IC!U23</f>
        <v>1.8347846008096127</v>
      </c>
      <c r="V23" s="7">
        <f>U23+預測IC!V23</f>
        <v>1.6023073974386879</v>
      </c>
      <c r="W23" s="7">
        <f>V23+預測IC!W23</f>
        <v>1.9339265476878325</v>
      </c>
      <c r="X23" s="7">
        <f>W23+預測IC!X23</f>
        <v>2.1284830091454769</v>
      </c>
      <c r="Y23" s="7">
        <f>X23+預測IC!Y23</f>
        <v>2.0605330875541261</v>
      </c>
      <c r="Z23" s="7">
        <f>Y23+預測IC!Z23</f>
        <v>2.1015850540743775</v>
      </c>
      <c r="AA23" s="7">
        <f>Z23+預測IC!AA23</f>
        <v>2.2532343859204236</v>
      </c>
      <c r="AB23" s="7">
        <f>AA23+預測IC!AB23</f>
        <v>2.2842257709764158</v>
      </c>
      <c r="AC23" s="7">
        <f>AB23+預測IC!AC23</f>
        <v>2.0502171500299711</v>
      </c>
      <c r="AD23" s="7">
        <f>AC23+預測IC!AD23</f>
        <v>2.047221858459487</v>
      </c>
      <c r="AE23" s="7">
        <f>AD23+預測IC!AE23</f>
        <v>1.8255086226378379</v>
      </c>
      <c r="AF23" s="7">
        <f>AE23+預測IC!AF23</f>
        <v>1.8924148827275891</v>
      </c>
      <c r="AG23" s="7">
        <f>AF23+預測IC!AG23</f>
        <v>1.8903572056771618</v>
      </c>
      <c r="AH23" s="7">
        <f>AG23+預測IC!AH23</f>
        <v>1.8061856211539786</v>
      </c>
      <c r="AI23" s="7">
        <f>AH23+預測IC!AI23</f>
        <v>1.8294138877764605</v>
      </c>
      <c r="AJ23" s="7">
        <f>AI23+預測IC!AJ23</f>
        <v>1.8350570256246148</v>
      </c>
      <c r="AK23" s="7">
        <f>AJ23+預測IC!AK23</f>
        <v>1.9491681249718058</v>
      </c>
      <c r="AL23" s="7">
        <f>AK23+預測IC!AL23</f>
        <v>2.0805998381643414</v>
      </c>
      <c r="AM23" s="7">
        <f>AL23+預測IC!AM23</f>
        <v>2.0883693271692065</v>
      </c>
      <c r="AN23" s="7">
        <f>AM23+預測IC!AN23</f>
        <v>2.3306840265265074</v>
      </c>
      <c r="AO23" s="7">
        <f>AN23+預測IC!AO23</f>
        <v>2.3253470743350833</v>
      </c>
      <c r="AP23" s="7">
        <f>AO23+預測IC!AP23</f>
        <v>2.3284681736873889</v>
      </c>
      <c r="AQ23" s="7">
        <f>AP23+預測IC!AQ23</f>
        <v>2.4178931659469995</v>
      </c>
      <c r="AR23" s="7">
        <f>AQ23+預測IC!AR23</f>
        <v>2.7546372097920671</v>
      </c>
      <c r="AS23" s="7">
        <f>AR23+預測IC!AS23</f>
        <v>2.7399303217946893</v>
      </c>
      <c r="AT23" s="7">
        <f>AS23+預測IC!AT23</f>
        <v>2.6985025999810395</v>
      </c>
      <c r="AU23" s="7">
        <f>AT23+預測IC!AU23</f>
        <v>2.731648126109544</v>
      </c>
      <c r="AV23" s="7">
        <f>AU23+預測IC!AV23</f>
        <v>2.7040091319121697</v>
      </c>
      <c r="AW23" s="7">
        <f>AV23+預測IC!AW23</f>
        <v>2.6519822220737668</v>
      </c>
      <c r="AX23" s="7">
        <f>AW23+預測IC!AX23</f>
        <v>2.7218203759008111</v>
      </c>
      <c r="AY23" s="7">
        <f>AX23+預測IC!AY23</f>
        <v>2.8920543567413932</v>
      </c>
      <c r="AZ23" s="7">
        <f>AY23+預測IC!AZ23</f>
        <v>2.828300739340333</v>
      </c>
      <c r="BA23" s="7">
        <f>AZ23+預測IC!BA23</f>
        <v>2.8822990779701905</v>
      </c>
      <c r="BB23" s="7">
        <f>BA23+預測IC!BB23</f>
        <v>3.449125604017631</v>
      </c>
      <c r="BC23" s="7">
        <f>BB23+預測IC!BC23</f>
        <v>3.1482973548445652</v>
      </c>
      <c r="BD23" s="7">
        <f>BC23+預測IC!BD23</f>
        <v>3.2431282361910156</v>
      </c>
      <c r="BE23" s="7">
        <f>BD23+預測IC!BE23</f>
        <v>3.1716974737937189</v>
      </c>
      <c r="BF23" s="7">
        <f>BE23+預測IC!BF23</f>
        <v>3.1488504831890327</v>
      </c>
      <c r="BG23" s="7">
        <f>BF23+預測IC!BG23</f>
        <v>3.2236119543857851</v>
      </c>
      <c r="BH23" s="7">
        <f>BG23+預測IC!BH23</f>
        <v>3.020127973030498</v>
      </c>
      <c r="BI23" s="7">
        <f>BH23+預測IC!BI23</f>
        <v>3.211240052353697</v>
      </c>
      <c r="BJ23" s="7">
        <f>BI23+預測IC!BJ23</f>
        <v>3.315243367621624</v>
      </c>
      <c r="BK23" s="7">
        <f>BJ23+預測IC!BK23</f>
        <v>3.3172774759581016</v>
      </c>
      <c r="BL23" s="7">
        <f>BK23+預測IC!BL23</f>
        <v>3.4668117722083411</v>
      </c>
      <c r="BM23" s="7">
        <f>BL23+預測IC!BM23</f>
        <v>3.5363072342327917</v>
      </c>
      <c r="BN23" s="7">
        <f>BM23+預測IC!BN23</f>
        <v>3.5293600634739786</v>
      </c>
      <c r="BO23" s="7">
        <f>BN23+預測IC!BO23</f>
        <v>3.5658850052199775</v>
      </c>
      <c r="BP23" s="7">
        <f>BO23+預測IC!BP23</f>
        <v>3.6641514044314341</v>
      </c>
      <c r="BQ23" s="7">
        <f>BP23+預測IC!BQ23</f>
        <v>3.7361993058667</v>
      </c>
      <c r="BR23" s="7">
        <f>BQ23+預測IC!BR23</f>
        <v>3.7540436273306628</v>
      </c>
      <c r="BS23" s="7">
        <f>BR23+預測IC!BS23</f>
        <v>3.6807682386727509</v>
      </c>
      <c r="BT23" s="7">
        <f>BS23+預測IC!BT23</f>
        <v>3.8244180446987479</v>
      </c>
      <c r="BU23" s="7">
        <f>BT23+預測IC!BU23</f>
        <v>4.0301057805446936</v>
      </c>
      <c r="BV23" s="7">
        <f>BU23+預測IC!BV23</f>
        <v>4.1435733489048818</v>
      </c>
      <c r="BW23" s="7">
        <f>BV23+預測IC!BW23</f>
        <v>3.9414210156291904</v>
      </c>
      <c r="BX23" s="7">
        <f>BW23+預測IC!BX23</f>
        <v>3.9332078959019374</v>
      </c>
      <c r="BY23" s="7">
        <f>BX23+預測IC!BY23</f>
        <v>3.9230022032075897</v>
      </c>
      <c r="BZ23" s="7">
        <f>BY23+預測IC!BZ23</f>
        <v>3.9306719656394344</v>
      </c>
      <c r="CA23" s="7">
        <f>BZ23+預測IC!CA23</f>
        <v>3.8550187658928055</v>
      </c>
      <c r="CB23" s="7">
        <f>CA23+預測IC!CB23</f>
        <v>3.6374045629003655</v>
      </c>
      <c r="CC23" s="7">
        <f>CB23+預測IC!CC23</f>
        <v>3.5528599481845902</v>
      </c>
      <c r="CD23" s="7">
        <f>CC23+預測IC!CD23</f>
        <v>3.6941018923461391</v>
      </c>
      <c r="CE23" s="7">
        <f>CD23+預測IC!CE23</f>
        <v>3.7537041941838565</v>
      </c>
      <c r="CF23" s="7">
        <f>CE23+預測IC!CF23</f>
        <v>3.570270957898297</v>
      </c>
      <c r="CG23" s="7">
        <f>CF23+預測IC!CG23</f>
        <v>3.8631748960160341</v>
      </c>
      <c r="CH23" s="7">
        <f>CG23+預測IC!CH23</f>
        <v>4.0433713449374622</v>
      </c>
      <c r="CI23" s="7">
        <f>CH23+預測IC!CI23</f>
        <v>3.7334719278093651</v>
      </c>
      <c r="CJ23" s="7">
        <f>CI23+預測IC!CJ23</f>
        <v>3.7135965602589547</v>
      </c>
      <c r="CK23" s="7">
        <f>CJ23+預測IC!CK23</f>
        <v>3.8097135549869163</v>
      </c>
      <c r="CL23" s="7">
        <f>CK23+預測IC!CL23</f>
        <v>3.4010525423194977</v>
      </c>
      <c r="CM23" s="7">
        <f>CL23+預測IC!CM23</f>
        <v>3.787785488842407</v>
      </c>
      <c r="CN23" s="7">
        <f>CM23+預測IC!CN23</f>
        <v>3.7347803104726038</v>
      </c>
      <c r="CO23" s="7">
        <f>CN23+預測IC!CO23</f>
        <v>2.8258570231069839</v>
      </c>
      <c r="CP23" s="7">
        <f>CO23+預測IC!CP23</f>
        <v>3.1372177662697407</v>
      </c>
      <c r="CQ23" s="7">
        <f>CP23+預測IC!CQ23</f>
        <v>3.1619200363491218</v>
      </c>
      <c r="CR23" s="7">
        <f>CQ23+預測IC!CR23</f>
        <v>3.1236871971779019</v>
      </c>
      <c r="CS23" s="7">
        <f>CR23+預測IC!CS23</f>
        <v>3.1927025680348069</v>
      </c>
      <c r="CT23" s="7">
        <f>CS23+預測IC!CT23</f>
        <v>3.2383651097460606</v>
      </c>
      <c r="CU23" s="7">
        <f>CT23+預測IC!CU23</f>
        <v>3.2173085140327737</v>
      </c>
      <c r="CV23" s="7">
        <f>CU23+預測IC!CV23</f>
        <v>3.1950633765439682</v>
      </c>
      <c r="CW23" s="7">
        <f>CV23+預測IC!CW23</f>
        <v>3.295964708346387</v>
      </c>
      <c r="CX23" s="7">
        <f>CW23+預測IC!CX23</f>
        <v>3.2072477142498608</v>
      </c>
      <c r="CY23" s="7">
        <f>CX23+預測IC!CY23</f>
        <v>3.2292942450032394</v>
      </c>
      <c r="CZ23" s="7">
        <f>CY23+預測IC!CZ23</f>
        <v>3.4112930388605904</v>
      </c>
      <c r="DA23" s="7">
        <f>CZ23+預測IC!DA23</f>
        <v>3.38031090263468</v>
      </c>
      <c r="DB23" s="7">
        <f>DA23+預測IC!DB23</f>
        <v>3.3990579690778997</v>
      </c>
      <c r="DC23" s="7">
        <f>DB23+預測IC!DC23</f>
        <v>3.4714740027343258</v>
      </c>
      <c r="DD23" s="7">
        <f>DC23+預測IC!DD23</f>
        <v>3.4530661764613244</v>
      </c>
      <c r="DE23" s="7">
        <f>DD23+預測IC!DE23</f>
        <v>3.4436709505096794</v>
      </c>
      <c r="DF23" s="7">
        <f>DE23+預測IC!DF23</f>
        <v>3.5056130775545848</v>
      </c>
      <c r="DG23" s="7">
        <f>DF23+預測IC!DG23</f>
        <v>3.5438830894293019</v>
      </c>
      <c r="DH23" s="7">
        <f>DG23+預測IC!DH23</f>
        <v>3.5992965367380445</v>
      </c>
      <c r="DI23" s="7">
        <f>DH23+預測IC!DI23</f>
        <v>3.6527761336540654</v>
      </c>
      <c r="DJ23" s="7">
        <f>DI23+預測IC!DJ23</f>
        <v>3.6189515573586695</v>
      </c>
      <c r="DK23" s="7">
        <f>DJ23+預測IC!DK23</f>
        <v>3.8967847739175125</v>
      </c>
      <c r="DL23" s="7">
        <f>DK23+預測IC!DL23</f>
        <v>4.1128858334577858</v>
      </c>
      <c r="DM23" s="7">
        <f>DL23+預測IC!DM23</f>
        <v>4.0933885285384202</v>
      </c>
      <c r="DN23" s="7">
        <f>DM23+預測IC!DN23</f>
        <v>4.0998857245823901</v>
      </c>
      <c r="DO23" s="7">
        <f>DN23+預測IC!DO23</f>
        <v>4.2639770283162237</v>
      </c>
      <c r="DP23" s="7">
        <f>DO23+預測IC!DP23</f>
        <v>4.3110652609719464</v>
      </c>
      <c r="DQ23" s="7">
        <f>DP23+預測IC!DQ23</f>
        <v>4.1899332197144892</v>
      </c>
      <c r="DR23" s="7">
        <f>DQ23+預測IC!DR23</f>
        <v>4.1000472169831825</v>
      </c>
      <c r="DS23" s="7">
        <f>DR23+預測IC!DS23</f>
        <v>3.8119506400641363</v>
      </c>
      <c r="DT23" s="7">
        <f>DS23+預測IC!DT23</f>
        <v>3.7577001793955236</v>
      </c>
      <c r="DU23" s="7">
        <f>DT23+預測IC!DU23</f>
        <v>3.7020607006872415</v>
      </c>
      <c r="DV23" s="7">
        <f>DU23+預測IC!DV23</f>
        <v>3.9783323090166811</v>
      </c>
      <c r="DW23" s="7">
        <f>DV23+預測IC!DW23</f>
        <v>4.1195605415995198</v>
      </c>
      <c r="DX23" s="7">
        <f>DW23+預測IC!DX23</f>
        <v>3.8060673352205536</v>
      </c>
      <c r="DY23" s="7">
        <f>DX23+預測IC!DY23</f>
        <v>3.7521411106829627</v>
      </c>
      <c r="DZ23" s="7">
        <f>DY23+預測IC!DZ23</f>
        <v>3.5349671229305213</v>
      </c>
      <c r="EA23" s="7">
        <f>DZ23+預測IC!EA23</f>
        <v>3.5062083431541162</v>
      </c>
      <c r="EB23" s="7">
        <f>EA23+預測IC!EB23</f>
        <v>3.443454903443441</v>
      </c>
      <c r="EC23" s="7">
        <f>EB23+預測IC!EC23</f>
        <v>3.537099436603961</v>
      </c>
      <c r="ED23" s="7">
        <f>EC23+預測IC!ED23</f>
        <v>3.44567353198418</v>
      </c>
      <c r="EE23" s="7">
        <f>ED23+預測IC!EE23</f>
        <v>3.5047242158724203</v>
      </c>
      <c r="EF23" s="7">
        <f>EE23+預測IC!EF23</f>
        <v>3.4569419372807606</v>
      </c>
    </row>
    <row r="24" spans="1:136" x14ac:dyDescent="0.3">
      <c r="A24" s="1">
        <v>964</v>
      </c>
      <c r="B24" s="1">
        <v>1</v>
      </c>
      <c r="C24" s="7">
        <v>9.9113364206882743E-2</v>
      </c>
      <c r="D24" s="7">
        <f>C24+預測IC!D24</f>
        <v>0.19972327710611135</v>
      </c>
      <c r="E24" s="7">
        <f>D24+預測IC!E24</f>
        <v>0.48423577479661328</v>
      </c>
      <c r="F24" s="7">
        <f>E24+預測IC!F24</f>
        <v>0.55956226862831993</v>
      </c>
      <c r="G24" s="7">
        <f>F24+預測IC!G24</f>
        <v>0.78916932048648369</v>
      </c>
      <c r="H24" s="7">
        <f>G24+預測IC!H24</f>
        <v>0.82502511714144033</v>
      </c>
      <c r="I24" s="7">
        <f>H24+預測IC!I24</f>
        <v>0.84195220632218415</v>
      </c>
      <c r="J24" s="7">
        <f>I24+預測IC!J24</f>
        <v>0.72648940810816165</v>
      </c>
      <c r="K24" s="7">
        <f>J24+預測IC!K24</f>
        <v>0.78022240477639571</v>
      </c>
      <c r="L24" s="7">
        <f>K24+預測IC!L24</f>
        <v>0.87402209803314612</v>
      </c>
      <c r="M24" s="7">
        <f>L24+預測IC!M24</f>
        <v>0.41099455383300765</v>
      </c>
      <c r="N24" s="7">
        <f>M24+預測IC!N24</f>
        <v>2.1800259229455765</v>
      </c>
      <c r="O24" s="7">
        <f>N24+預測IC!O24</f>
        <v>1.935748059557393</v>
      </c>
      <c r="P24" s="7">
        <f>O24+預測IC!P24</f>
        <v>1.9374843484217403</v>
      </c>
      <c r="Q24" s="7">
        <f>P24+預測IC!Q24</f>
        <v>1.934637212819343</v>
      </c>
      <c r="R24" s="7">
        <f>Q24+預測IC!R24</f>
        <v>1.9068143889342548</v>
      </c>
      <c r="S24" s="7">
        <f>R24+預測IC!S24</f>
        <v>1.8957599287268061</v>
      </c>
      <c r="T24" s="7">
        <f>S24+預測IC!T24</f>
        <v>2.0194509728185954</v>
      </c>
      <c r="U24" s="7">
        <f>T24+預測IC!U24</f>
        <v>2.305307262799996</v>
      </c>
      <c r="V24" s="7">
        <f>U24+預測IC!V24</f>
        <v>2.206628751540666</v>
      </c>
      <c r="W24" s="7">
        <f>V24+預測IC!W24</f>
        <v>2.7023407374966086</v>
      </c>
      <c r="X24" s="7">
        <f>W24+預測IC!X24</f>
        <v>2.7014418610315913</v>
      </c>
      <c r="Y24" s="7">
        <f>X24+預測IC!Y24</f>
        <v>2.5811243679670608</v>
      </c>
      <c r="Z24" s="7">
        <f>Y24+預測IC!Z24</f>
        <v>2.5567298192174848</v>
      </c>
      <c r="AA24" s="7">
        <f>Z24+預測IC!AA24</f>
        <v>2.6510894020312792</v>
      </c>
      <c r="AB24" s="7">
        <f>AA24+預測IC!AB24</f>
        <v>2.9514831955882617</v>
      </c>
      <c r="AC24" s="7">
        <f>AB24+預測IC!AC24</f>
        <v>2.7053142368035621</v>
      </c>
      <c r="AD24" s="7">
        <f>AC24+預測IC!AD24</f>
        <v>2.6453920899927432</v>
      </c>
      <c r="AE24" s="7">
        <f>AD24+預測IC!AE24</f>
        <v>2.4701232749854012</v>
      </c>
      <c r="AF24" s="7">
        <f>AE24+預測IC!AF24</f>
        <v>2.4926452850201919</v>
      </c>
      <c r="AG24" s="7">
        <f>AF24+預測IC!AG24</f>
        <v>2.5985457574945925</v>
      </c>
      <c r="AH24" s="7">
        <f>AG24+預測IC!AH24</f>
        <v>2.5418483974268029</v>
      </c>
      <c r="AI24" s="7">
        <f>AH24+預測IC!AI24</f>
        <v>2.5330400663283754</v>
      </c>
      <c r="AJ24" s="7">
        <f>AI24+預測IC!AJ24</f>
        <v>2.4521488223290002</v>
      </c>
      <c r="AK24" s="7">
        <f>AJ24+預測IC!AK24</f>
        <v>2.5370327753971926</v>
      </c>
      <c r="AL24" s="7">
        <f>AK24+預測IC!AL24</f>
        <v>2.4823558399065573</v>
      </c>
      <c r="AM24" s="7">
        <f>AL24+預測IC!AM24</f>
        <v>2.4634365584860305</v>
      </c>
      <c r="AN24" s="7">
        <f>AM24+預測IC!AN24</f>
        <v>2.6846260236314619</v>
      </c>
      <c r="AO24" s="7">
        <f>AN24+預測IC!AO24</f>
        <v>2.7507161354604519</v>
      </c>
      <c r="AP24" s="7">
        <f>AO24+預測IC!AP24</f>
        <v>2.7278644199713553</v>
      </c>
      <c r="AQ24" s="7">
        <f>AP24+預測IC!AQ24</f>
        <v>2.774941392805601</v>
      </c>
      <c r="AR24" s="7">
        <f>AQ24+預測IC!AR24</f>
        <v>2.7845806494132082</v>
      </c>
      <c r="AS24" s="7">
        <f>AR24+預測IC!AS24</f>
        <v>2.756624572146618</v>
      </c>
      <c r="AT24" s="7">
        <f>AS24+預測IC!AT24</f>
        <v>2.7870837796313266</v>
      </c>
      <c r="AU24" s="7">
        <f>AT24+預測IC!AU24</f>
        <v>2.8311790994965511</v>
      </c>
      <c r="AV24" s="7">
        <f>AU24+預測IC!AV24</f>
        <v>2.7440271473096551</v>
      </c>
      <c r="AW24" s="7">
        <f>AV24+預測IC!AW24</f>
        <v>2.7490146888206941</v>
      </c>
      <c r="AX24" s="7">
        <f>AW24+預測IC!AX24</f>
        <v>2.7773208754091185</v>
      </c>
      <c r="AY24" s="7">
        <f>AX24+預測IC!AY24</f>
        <v>2.945448169294008</v>
      </c>
      <c r="AZ24" s="7">
        <f>AY24+預測IC!AZ24</f>
        <v>2.9833152428936733</v>
      </c>
      <c r="BA24" s="7">
        <f>AZ24+預測IC!BA24</f>
        <v>3.0338065483056855</v>
      </c>
      <c r="BB24" s="7">
        <f>BA24+預測IC!BB24</f>
        <v>3.7245830796863575</v>
      </c>
      <c r="BC24" s="7">
        <f>BB24+預測IC!BC24</f>
        <v>2.92136706664198</v>
      </c>
      <c r="BD24" s="7">
        <f>BC24+預測IC!BD24</f>
        <v>3.1069622858884154</v>
      </c>
      <c r="BE24" s="7">
        <f>BD24+預測IC!BE24</f>
        <v>3.0608979318567284</v>
      </c>
      <c r="BF24" s="7">
        <f>BE24+預測IC!BF24</f>
        <v>3.1485492679108207</v>
      </c>
      <c r="BG24" s="7">
        <f>BF24+預測IC!BG24</f>
        <v>3.1753852337771318</v>
      </c>
      <c r="BH24" s="7">
        <f>BG24+預測IC!BH24</f>
        <v>2.7891298968635967</v>
      </c>
      <c r="BI24" s="7">
        <f>BH24+預測IC!BI24</f>
        <v>3.012759002933644</v>
      </c>
      <c r="BJ24" s="7">
        <f>BI24+預測IC!BJ24</f>
        <v>3.0161073186885283</v>
      </c>
      <c r="BK24" s="7">
        <f>BJ24+預測IC!BK24</f>
        <v>3.0201308655828147</v>
      </c>
      <c r="BL24" s="7">
        <f>BK24+預測IC!BL24</f>
        <v>3.3372951595075313</v>
      </c>
      <c r="BM24" s="7">
        <f>BL24+預測IC!BM24</f>
        <v>3.2525122196685432</v>
      </c>
      <c r="BN24" s="7">
        <f>BM24+預測IC!BN24</f>
        <v>3.259361561514118</v>
      </c>
      <c r="BO24" s="7">
        <f>BN24+預測IC!BO24</f>
        <v>3.0982518704184763</v>
      </c>
      <c r="BP24" s="7">
        <f>BO24+預測IC!BP24</f>
        <v>3.221603051547798</v>
      </c>
      <c r="BQ24" s="7">
        <f>BP24+預測IC!BQ24</f>
        <v>3.1574334182176829</v>
      </c>
      <c r="BR24" s="7">
        <f>BQ24+預測IC!BR24</f>
        <v>3.1997896415211007</v>
      </c>
      <c r="BS24" s="7">
        <f>BR24+預測IC!BS24</f>
        <v>3.1985049240366439</v>
      </c>
      <c r="BT24" s="7">
        <f>BS24+預測IC!BT24</f>
        <v>3.3147756200908312</v>
      </c>
      <c r="BU24" s="7">
        <f>BT24+預測IC!BU24</f>
        <v>3.543102251650772</v>
      </c>
      <c r="BV24" s="7">
        <f>BU24+預測IC!BV24</f>
        <v>3.650830705538755</v>
      </c>
      <c r="BW24" s="7">
        <f>BV24+預測IC!BW24</f>
        <v>3.588994821903162</v>
      </c>
      <c r="BX24" s="7">
        <f>BW24+預測IC!BX24</f>
        <v>3.4560347661927042</v>
      </c>
      <c r="BY24" s="7">
        <f>BX24+預測IC!BY24</f>
        <v>3.5657804353601215</v>
      </c>
      <c r="BZ24" s="7">
        <f>BY24+預測IC!BZ24</f>
        <v>3.8246733342101185</v>
      </c>
      <c r="CA24" s="7">
        <f>BZ24+預測IC!CA24</f>
        <v>3.7094516534367039</v>
      </c>
      <c r="CB24" s="7">
        <f>CA24+預測IC!CB24</f>
        <v>3.9182136277245729</v>
      </c>
      <c r="CC24" s="7">
        <f>CB24+預測IC!CC24</f>
        <v>3.7357437478370112</v>
      </c>
      <c r="CD24" s="7">
        <f>CC24+預測IC!CD24</f>
        <v>3.7656972737070276</v>
      </c>
      <c r="CE24" s="7">
        <f>CD24+預測IC!CE24</f>
        <v>3.931262147698142</v>
      </c>
      <c r="CF24" s="7">
        <f>CE24+預測IC!CF24</f>
        <v>3.7661307946887459</v>
      </c>
      <c r="CG24" s="7">
        <f>CF24+預測IC!CG24</f>
        <v>4.0034086295486713</v>
      </c>
      <c r="CH24" s="7">
        <f>CG24+預測IC!CH24</f>
        <v>4.3576859263911745</v>
      </c>
      <c r="CI24" s="7">
        <f>CH24+預測IC!CI24</f>
        <v>4.6861377471004388</v>
      </c>
      <c r="CJ24" s="7">
        <f>CI24+預測IC!CJ24</f>
        <v>4.6992472325198582</v>
      </c>
      <c r="CK24" s="7">
        <f>CJ24+預測IC!CK24</f>
        <v>4.7927773118355548</v>
      </c>
      <c r="CL24" s="7">
        <f>CK24+預測IC!CL24</f>
        <v>4.9345326452080958</v>
      </c>
      <c r="CM24" s="7">
        <f>CL24+預測IC!CM24</f>
        <v>5.4841197551671961</v>
      </c>
      <c r="CN24" s="7">
        <f>CM24+預測IC!CN24</f>
        <v>5.3763809887099825</v>
      </c>
      <c r="CO24" s="7">
        <f>CN24+預測IC!CO24</f>
        <v>4.5997277703737511</v>
      </c>
      <c r="CP24" s="7">
        <f>CO24+預測IC!CP24</f>
        <v>4.7600719751885929</v>
      </c>
      <c r="CQ24" s="7">
        <f>CP24+預測IC!CQ24</f>
        <v>4.9202616218160937</v>
      </c>
      <c r="CR24" s="7">
        <f>CQ24+預測IC!CR24</f>
        <v>4.8234437146247551</v>
      </c>
      <c r="CS24" s="7">
        <f>CR24+預測IC!CS24</f>
        <v>4.7965887921036465</v>
      </c>
      <c r="CT24" s="7">
        <f>CS24+預測IC!CT24</f>
        <v>4.8930078002510422</v>
      </c>
      <c r="CU24" s="7">
        <f>CT24+預測IC!CU24</f>
        <v>4.8202564525943323</v>
      </c>
      <c r="CV24" s="7">
        <f>CU24+預測IC!CV24</f>
        <v>4.8353205001337081</v>
      </c>
      <c r="CW24" s="7">
        <f>CV24+預測IC!CW24</f>
        <v>5.0104376662057151</v>
      </c>
      <c r="CX24" s="7">
        <f>CW24+預測IC!CX24</f>
        <v>5.0656448599144017</v>
      </c>
      <c r="CY24" s="7">
        <f>CX24+預測IC!CY24</f>
        <v>4.9855779552775825</v>
      </c>
      <c r="CZ24" s="7">
        <f>CY24+預測IC!CZ24</f>
        <v>5.0977845837221496</v>
      </c>
      <c r="DA24" s="7">
        <f>CZ24+預測IC!DA24</f>
        <v>5.1222957878849043</v>
      </c>
      <c r="DB24" s="7">
        <f>DA24+預測IC!DB24</f>
        <v>5.1057939220359083</v>
      </c>
      <c r="DC24" s="7">
        <f>DB24+預測IC!DC24</f>
        <v>5.2853470372752565</v>
      </c>
      <c r="DD24" s="7">
        <f>DC24+預測IC!DD24</f>
        <v>5.3346468099460314</v>
      </c>
      <c r="DE24" s="7">
        <f>DD24+預測IC!DE24</f>
        <v>5.1585840524364963</v>
      </c>
      <c r="DF24" s="7">
        <f>DE24+預測IC!DF24</f>
        <v>5.0539190764159354</v>
      </c>
      <c r="DG24" s="7">
        <f>DF24+預測IC!DG24</f>
        <v>5.1130249105402799</v>
      </c>
      <c r="DH24" s="7">
        <f>DG24+預測IC!DH24</f>
        <v>5.1138714356056463</v>
      </c>
      <c r="DI24" s="7">
        <f>DH24+預測IC!DI24</f>
        <v>5.2557468945439156</v>
      </c>
      <c r="DJ24" s="7">
        <f>DI24+預測IC!DJ24</f>
        <v>5.2768283657017667</v>
      </c>
      <c r="DK24" s="7">
        <f>DJ24+預測IC!DK24</f>
        <v>5.6163375763322101</v>
      </c>
      <c r="DL24" s="7">
        <f>DK24+預測IC!DL24</f>
        <v>5.8294420026180909</v>
      </c>
      <c r="DM24" s="7">
        <f>DL24+預測IC!DM24</f>
        <v>5.6880024753912162</v>
      </c>
      <c r="DN24" s="7">
        <f>DM24+預測IC!DN24</f>
        <v>5.9213370461659123</v>
      </c>
      <c r="DO24" s="7">
        <f>DN24+預測IC!DO24</f>
        <v>6.1067778487986004</v>
      </c>
      <c r="DP24" s="7">
        <f>DO24+預測IC!DP24</f>
        <v>6.2211512742846145</v>
      </c>
      <c r="DQ24" s="7">
        <f>DP24+預測IC!DQ24</f>
        <v>6.1706650838056891</v>
      </c>
      <c r="DR24" s="7">
        <f>DQ24+預測IC!DR24</f>
        <v>6.1501494535936603</v>
      </c>
      <c r="DS24" s="7">
        <f>DR24+預測IC!DS24</f>
        <v>5.9338879125608148</v>
      </c>
      <c r="DT24" s="7">
        <f>DS24+預測IC!DT24</f>
        <v>5.8591545672948104</v>
      </c>
      <c r="DU24" s="7">
        <f>DT24+預測IC!DU24</f>
        <v>5.8809359626560402</v>
      </c>
      <c r="DV24" s="7">
        <f>DU24+預測IC!DV24</f>
        <v>6.0391606612998547</v>
      </c>
      <c r="DW24" s="7">
        <f>DV24+預測IC!DW24</f>
        <v>6.1480177511911851</v>
      </c>
      <c r="DX24" s="7">
        <f>DW24+預測IC!DX24</f>
        <v>5.8364246233986812</v>
      </c>
      <c r="DY24" s="7">
        <f>DX24+預測IC!DY24</f>
        <v>5.8331847467901383</v>
      </c>
      <c r="DZ24" s="7">
        <f>DY24+預測IC!DZ24</f>
        <v>5.3996781680534465</v>
      </c>
      <c r="EA24" s="7">
        <f>DZ24+預測IC!EA24</f>
        <v>5.3447579842119435</v>
      </c>
      <c r="EB24" s="7">
        <f>EA24+預測IC!EB24</f>
        <v>5.3151758078466491</v>
      </c>
      <c r="EC24" s="7">
        <f>EB24+預測IC!EC24</f>
        <v>5.4588192814063579</v>
      </c>
      <c r="ED24" s="7">
        <f>EC24+預測IC!ED24</f>
        <v>5.4026464361079958</v>
      </c>
      <c r="EE24" s="7">
        <f>ED24+預測IC!EE24</f>
        <v>5.5160758752992143</v>
      </c>
      <c r="EF24" s="7">
        <f>EE24+預測IC!EF24</f>
        <v>5.5833525523431824</v>
      </c>
    </row>
    <row r="25" spans="1:136" s="13" customFormat="1" x14ac:dyDescent="0.3">
      <c r="A25" s="15" t="s">
        <v>147</v>
      </c>
      <c r="B25" s="15" t="s">
        <v>148</v>
      </c>
      <c r="C25" s="16">
        <v>-1.7446770539390338E-2</v>
      </c>
      <c r="D25" s="17">
        <f>C25+預測IC!D25</f>
        <v>3.2542899924252917E-3</v>
      </c>
      <c r="E25" s="17">
        <f>D25+預測IC!E25</f>
        <v>2.7236419247192001E-2</v>
      </c>
      <c r="F25" s="17">
        <f>E25+預測IC!F25</f>
        <v>2.0678840274368924E-2</v>
      </c>
      <c r="G25" s="17">
        <f>F25+預測IC!G25</f>
        <v>5.2523970074888612E-2</v>
      </c>
      <c r="H25" s="17">
        <f>G25+預測IC!H25</f>
        <v>8.6872502811879138E-2</v>
      </c>
      <c r="I25" s="17">
        <f>H25+預測IC!I25</f>
        <v>7.8617570030553904E-2</v>
      </c>
      <c r="J25" s="17">
        <f>I25+預測IC!J25</f>
        <v>9.1461094424606662E-2</v>
      </c>
      <c r="K25" s="17">
        <f>J25+預測IC!K25</f>
        <v>4.0442569797815839E-2</v>
      </c>
      <c r="L25" s="17">
        <f>K25+預測IC!L25</f>
        <v>4.1316512538852428E-2</v>
      </c>
      <c r="M25" s="17">
        <f>L25+預測IC!M25</f>
        <v>6.4706088044348353E-2</v>
      </c>
      <c r="N25" s="17">
        <f>M25+預測IC!N25</f>
        <v>7.7695060244681202E-2</v>
      </c>
      <c r="O25" s="17">
        <f>N25+預測IC!O25</f>
        <v>8.3549648970316082E-2</v>
      </c>
      <c r="P25" s="17">
        <f>O25+預測IC!P25</f>
        <v>0.11096285554210664</v>
      </c>
      <c r="Q25" s="17">
        <f>P25+預測IC!Q25</f>
        <v>0.10724991942441378</v>
      </c>
      <c r="R25" s="17">
        <f>Q25+預測IC!R25</f>
        <v>0.13132653347223711</v>
      </c>
      <c r="S25" s="17">
        <f>R25+預測IC!S25</f>
        <v>0.11913650817319715</v>
      </c>
      <c r="T25" s="17">
        <f>S25+預測IC!T25</f>
        <v>7.9386930013607554E-2</v>
      </c>
      <c r="U25" s="17">
        <f>T25+預測IC!U25</f>
        <v>6.2314801819580018E-3</v>
      </c>
      <c r="V25" s="17">
        <f>U25+預測IC!V25</f>
        <v>-5.2028749728156659E-2</v>
      </c>
      <c r="W25" s="17">
        <f>V25+預測IC!W25</f>
        <v>-5.1255952162648284E-2</v>
      </c>
      <c r="X25" s="17">
        <f>W25+預測IC!X25</f>
        <v>-6.6644310274293142E-3</v>
      </c>
      <c r="Y25" s="17">
        <f>X25+預測IC!Y25</f>
        <v>-3.4364111077642409E-2</v>
      </c>
      <c r="Z25" s="17">
        <f>Y25+預測IC!Z25</f>
        <v>-3.226910512789876E-2</v>
      </c>
      <c r="AA25" s="17">
        <f>Z25+預測IC!AA25</f>
        <v>-5.5669656120462874E-2</v>
      </c>
      <c r="AB25" s="17">
        <f>AA25+預測IC!AB25</f>
        <v>-2.3540285023140685E-2</v>
      </c>
      <c r="AC25" s="17">
        <f>AB25+預測IC!AC25</f>
        <v>1.5362988070925745E-2</v>
      </c>
      <c r="AD25" s="17">
        <f>AC25+預測IC!AD25</f>
        <v>-2.7502394100178525E-2</v>
      </c>
      <c r="AE25" s="17">
        <f>AD25+預測IC!AE25</f>
        <v>-8.8551995500263658E-3</v>
      </c>
      <c r="AF25" s="17">
        <f>AE25+預測IC!AF25</f>
        <v>6.3745687725025833E-3</v>
      </c>
      <c r="AG25" s="17">
        <f>AF25+預測IC!AG25</f>
        <v>4.2391172551395004E-2</v>
      </c>
      <c r="AH25" s="17">
        <f>AG25+預測IC!AH25</f>
        <v>5.174578393671117E-2</v>
      </c>
      <c r="AI25" s="17">
        <f>AH25+預測IC!AI25</f>
        <v>6.2494035273549312E-2</v>
      </c>
      <c r="AJ25" s="17">
        <f>AI25+預測IC!AJ25</f>
        <v>7.5851789326630281E-2</v>
      </c>
      <c r="AK25" s="17">
        <f>AJ25+預測IC!AK25</f>
        <v>7.0519041997534893E-2</v>
      </c>
      <c r="AL25" s="17">
        <f>AK25+預測IC!AL25</f>
        <v>7.1902177804796574E-2</v>
      </c>
      <c r="AM25" s="17">
        <f>AL25+預測IC!AM25</f>
        <v>9.2698106224871041E-2</v>
      </c>
      <c r="AN25" s="17">
        <f>AM25+預測IC!AN25</f>
        <v>0.12421580844526167</v>
      </c>
      <c r="AO25" s="17">
        <f>AN25+預測IC!AO25</f>
        <v>0.13045752497859112</v>
      </c>
      <c r="AP25" s="17">
        <f>AO25+預測IC!AP25</f>
        <v>0.13660278663216249</v>
      </c>
      <c r="AQ25" s="17">
        <f>AP25+預測IC!AQ25</f>
        <v>0.15354914430885899</v>
      </c>
      <c r="AR25" s="17">
        <f>AQ25+預測IC!AR25</f>
        <v>0.18823197476316722</v>
      </c>
      <c r="AS25" s="17">
        <f>AR25+預測IC!AS25</f>
        <v>0.19133056338036419</v>
      </c>
      <c r="AT25" s="17">
        <f>AS25+預測IC!AT25</f>
        <v>0.2064119105238503</v>
      </c>
      <c r="AU25" s="17">
        <f>AT25+預測IC!AU25</f>
        <v>0.18716070129398632</v>
      </c>
      <c r="AV25" s="17">
        <f>AU25+預測IC!AV25</f>
        <v>0.22587221468161775</v>
      </c>
      <c r="AW25" s="17">
        <f>AV25+預測IC!AW25</f>
        <v>0.20401526354588115</v>
      </c>
      <c r="AX25" s="17">
        <f>AW25+預測IC!AX25</f>
        <v>0.21178956425567083</v>
      </c>
      <c r="AY25" s="17">
        <f>AX25+預測IC!AY25</f>
        <v>0.25418681095099677</v>
      </c>
      <c r="AZ25" s="17">
        <f>AY25+預測IC!AZ25</f>
        <v>0.22787783608983703</v>
      </c>
      <c r="BA25" s="17">
        <f>AZ25+預測IC!BA25</f>
        <v>0.23744958539855326</v>
      </c>
      <c r="BB25" s="17">
        <f>BA25+預測IC!BB25</f>
        <v>0.21319984413227844</v>
      </c>
      <c r="BC25" s="17">
        <f>BB25+預測IC!BC25</f>
        <v>0.23336321827619427</v>
      </c>
      <c r="BD25" s="17">
        <f>BC25+預測IC!BD25</f>
        <v>0.22985821949407825</v>
      </c>
      <c r="BE25" s="17">
        <f>BD25+預測IC!BE25</f>
        <v>0.25001015459262055</v>
      </c>
      <c r="BF25" s="17">
        <f>BE25+預測IC!BF25</f>
        <v>0.25059149082339083</v>
      </c>
      <c r="BG25" s="17">
        <f>BF25+預測IC!BG25</f>
        <v>0.24537178987013822</v>
      </c>
      <c r="BH25" s="17">
        <f>BG25+預測IC!BH25</f>
        <v>0.12950002846800823</v>
      </c>
      <c r="BI25" s="17">
        <f>BH25+預測IC!BI25</f>
        <v>0.13822525416044559</v>
      </c>
      <c r="BJ25" s="17">
        <f>BI25+預測IC!BJ25</f>
        <v>0.12184799318262345</v>
      </c>
      <c r="BK25" s="17">
        <f>BJ25+預測IC!BK25</f>
        <v>0.14268836478288388</v>
      </c>
      <c r="BL25" s="17">
        <f>BK25+預測IC!BL25</f>
        <v>0.18766423688499859</v>
      </c>
      <c r="BM25" s="17">
        <f>BL25+預測IC!BM25</f>
        <v>0.21161854296686244</v>
      </c>
      <c r="BN25" s="17">
        <f>BM25+預測IC!BN25</f>
        <v>0.24185764435830504</v>
      </c>
      <c r="BO25" s="17">
        <f>BN25+預測IC!BO25</f>
        <v>0.19813175676721753</v>
      </c>
      <c r="BP25" s="17">
        <f>BO25+預測IC!BP25</f>
        <v>0.22002122633541615</v>
      </c>
      <c r="BQ25" s="17">
        <f>BP25+預測IC!BQ25</f>
        <v>0.22864865659892455</v>
      </c>
      <c r="BR25" s="17">
        <f>BQ25+預測IC!BR25</f>
        <v>0.20945570260426577</v>
      </c>
      <c r="BS25" s="17">
        <f>BR25+預測IC!BS25</f>
        <v>0.22919083249239883</v>
      </c>
      <c r="BT25" s="17">
        <f>BS25+預測IC!BT25</f>
        <v>0.27688516997609824</v>
      </c>
      <c r="BU25" s="17">
        <f>BT25+預測IC!BU25</f>
        <v>0.28833998678268163</v>
      </c>
      <c r="BV25" s="17">
        <f>BU25+預測IC!BV25</f>
        <v>0.33156860751789485</v>
      </c>
      <c r="BW25" s="17">
        <f>BV25+預測IC!BW25</f>
        <v>0.28882117708097205</v>
      </c>
      <c r="BX25" s="17">
        <f>BW25+預測IC!BX25</f>
        <v>0.27100988465317749</v>
      </c>
      <c r="BY25" s="17">
        <f>BX25+預測IC!BY25</f>
        <v>0.11985678778410189</v>
      </c>
      <c r="BZ25" s="17">
        <f>BY25+預測IC!BZ25</f>
        <v>0.24408079140367717</v>
      </c>
      <c r="CA25" s="17">
        <f>BZ25+預測IC!CA25</f>
        <v>0.23952353755914751</v>
      </c>
      <c r="CB25" s="17">
        <f>CA25+預測IC!CB25</f>
        <v>0.29973477776405871</v>
      </c>
      <c r="CC25" s="17">
        <f>CB25+預測IC!CC25</f>
        <v>0.385726811246561</v>
      </c>
      <c r="CD25" s="17">
        <f>CC25+預測IC!CD25</f>
        <v>0.37991833166419492</v>
      </c>
      <c r="CE25" s="17">
        <f>CD25+預測IC!CE25</f>
        <v>0.37387698467522684</v>
      </c>
      <c r="CF25" s="17">
        <f>CE25+預測IC!CF25</f>
        <v>0.37632930904747891</v>
      </c>
      <c r="CG25" s="17">
        <f>CF25+預測IC!CG25</f>
        <v>0.46596556098450181</v>
      </c>
      <c r="CH25" s="17">
        <f>CG25+預測IC!CH25</f>
        <v>0.53695829351125968</v>
      </c>
      <c r="CI25" s="17">
        <f>CH25+預測IC!CI25</f>
        <v>0.56412893641304307</v>
      </c>
      <c r="CJ25" s="17">
        <f>CI25+預測IC!CJ25</f>
        <v>0.61659736483837313</v>
      </c>
      <c r="CK25" s="17">
        <f>CJ25+預測IC!CK25</f>
        <v>0.64607802578142259</v>
      </c>
      <c r="CL25" s="17">
        <f>CK25+預測IC!CL25</f>
        <v>0.71290310684162383</v>
      </c>
      <c r="CM25" s="17">
        <f>CL25+預測IC!CM25</f>
        <v>0.68413087782180682</v>
      </c>
      <c r="CN25" s="17">
        <f>CM25+預測IC!CN25</f>
        <v>0.72359339372344467</v>
      </c>
      <c r="CO25" s="17">
        <f>CN25+預測IC!CO25</f>
        <v>0.69456230674608477</v>
      </c>
      <c r="CP25" s="17">
        <f>CO25+預測IC!CP25</f>
        <v>0.70854618926555268</v>
      </c>
      <c r="CQ25" s="17">
        <f>CP25+預測IC!CQ25</f>
        <v>0.67626922430621883</v>
      </c>
      <c r="CR25" s="17">
        <f>CQ25+預測IC!CR25</f>
        <v>0.6793728009191129</v>
      </c>
      <c r="CS25" s="17">
        <f>CR25+預測IC!CS25</f>
        <v>0.70496465668619601</v>
      </c>
      <c r="CT25" s="17">
        <f>CS25+預測IC!CT25</f>
        <v>0.74935654297338927</v>
      </c>
      <c r="CU25" s="17">
        <f>CT25+預測IC!CU25</f>
        <v>0.71901758442381181</v>
      </c>
      <c r="CV25" s="17">
        <f>CU25+預測IC!CV25</f>
        <v>0.7177596079692401</v>
      </c>
      <c r="CW25" s="17">
        <f>CV25+預測IC!CW25</f>
        <v>0.72009596442509805</v>
      </c>
      <c r="CX25" s="17">
        <f>CW25+預測IC!CX25</f>
        <v>0.655831819499192</v>
      </c>
      <c r="CY25" s="17">
        <f>CX25+預測IC!CY25</f>
        <v>0.66874159895818441</v>
      </c>
      <c r="CZ25" s="17">
        <f>CY25+預測IC!CZ25</f>
        <v>0.54326450428732564</v>
      </c>
      <c r="DA25" s="17">
        <f>CZ25+預測IC!DA25</f>
        <v>0.55495518722711823</v>
      </c>
      <c r="DB25" s="17">
        <f>DA25+預測IC!DB25</f>
        <v>0.56129303092785998</v>
      </c>
      <c r="DC25" s="17">
        <f>DB25+預測IC!DC25</f>
        <v>0.44398767445847448</v>
      </c>
      <c r="DD25" s="17">
        <f>DC25+預測IC!DD25</f>
        <v>0.40797680240902789</v>
      </c>
      <c r="DE25" s="17">
        <f>DD25+預測IC!DE25</f>
        <v>0.54688810648129582</v>
      </c>
      <c r="DF25" s="17">
        <f>DE25+預測IC!DF25</f>
        <v>0.49574460025519007</v>
      </c>
      <c r="DG25" s="17">
        <f>DF25+預測IC!DG25</f>
        <v>0.57247604743715907</v>
      </c>
      <c r="DH25" s="17">
        <f>DG25+預測IC!DH25</f>
        <v>0.58798482963416721</v>
      </c>
      <c r="DI25" s="17">
        <f>DH25+預測IC!DI25</f>
        <v>0.61120860330892302</v>
      </c>
      <c r="DJ25" s="17">
        <f>DI25+預測IC!DJ25</f>
        <v>0.59283572694769515</v>
      </c>
      <c r="DK25" s="17">
        <f>DJ25+預測IC!DK25</f>
        <v>0.65503474103279458</v>
      </c>
      <c r="DL25" s="17">
        <f>DK25+預測IC!DL25</f>
        <v>0.67513304551975173</v>
      </c>
      <c r="DM25" s="17">
        <f>DL25+預測IC!DM25</f>
        <v>0.68863198526781977</v>
      </c>
      <c r="DN25" s="17">
        <f>DM25+預測IC!DN25</f>
        <v>0.65837977253939894</v>
      </c>
      <c r="DO25" s="17">
        <f>DN25+預測IC!DO25</f>
        <v>0.64135693683134509</v>
      </c>
      <c r="DP25" s="17">
        <f>DO25+預測IC!DP25</f>
        <v>0.61956841355888315</v>
      </c>
      <c r="DQ25" s="17">
        <f>DP25+預測IC!DQ25</f>
        <v>0.70531403814402038</v>
      </c>
      <c r="DR25" s="17">
        <f>DQ25+預測IC!DR25</f>
        <v>0.73342078174899417</v>
      </c>
      <c r="DS25" s="17">
        <f>DR25+預測IC!DS25</f>
        <v>0.73111762194163477</v>
      </c>
      <c r="DT25" s="17">
        <f>DS25+預測IC!DT25</f>
        <v>0.78958882007312226</v>
      </c>
      <c r="DU25" s="17">
        <f>DT25+預測IC!DU25</f>
        <v>0.85724776912176992</v>
      </c>
      <c r="DV25" s="17">
        <f>DU25+預測IC!DV25</f>
        <v>0.86226853976220219</v>
      </c>
      <c r="DW25" s="17">
        <f>DV25+預測IC!DW25</f>
        <v>0.89968472343740924</v>
      </c>
      <c r="DX25" s="17">
        <f>DW25+預測IC!DX25</f>
        <v>0.98379572718345132</v>
      </c>
      <c r="DY25" s="17">
        <f>DX25+預測IC!DY25</f>
        <v>0.94696332863943844</v>
      </c>
      <c r="DZ25" s="17">
        <f>DY25+預測IC!DZ25</f>
        <v>0.95005503145637549</v>
      </c>
      <c r="EA25" s="17">
        <f>DZ25+預測IC!EA25</f>
        <v>0.94809740324208092</v>
      </c>
      <c r="EB25" s="17">
        <f>EA25+預測IC!EB25</f>
        <v>0.97455650684560069</v>
      </c>
      <c r="EC25" s="17">
        <f>EB25+預測IC!EC25</f>
        <v>0.94980396808491041</v>
      </c>
      <c r="ED25" s="17">
        <f>EC25+預測IC!ED25</f>
        <v>0.98391945906747036</v>
      </c>
      <c r="EE25" s="17">
        <f>ED25+預測IC!EE25</f>
        <v>1.0049814330565034</v>
      </c>
      <c r="EF25" s="17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G25"/>
  <sheetViews>
    <sheetView zoomScale="118" workbookViewId="0">
      <selection activeCell="EA31" sqref="EA31"/>
    </sheetView>
  </sheetViews>
  <sheetFormatPr defaultRowHeight="15" x14ac:dyDescent="0.3"/>
  <cols>
    <col min="137" max="137" width="10" bestFit="1" customWidth="1"/>
  </cols>
  <sheetData>
    <row r="1" spans="1:137" x14ac:dyDescent="0.3">
      <c r="A1" t="s">
        <v>149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7" x14ac:dyDescent="0.3">
      <c r="B3" s="1" t="s">
        <v>136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7" x14ac:dyDescent="0.3">
      <c r="B4" s="1" t="s">
        <v>137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7" x14ac:dyDescent="0.3">
      <c r="B5" s="1" t="s">
        <v>138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7" x14ac:dyDescent="0.3">
      <c r="A6" s="22" t="s">
        <v>139</v>
      </c>
      <c r="B6" s="23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mom</v>
      </c>
      <c r="AP7" s="7" t="str">
        <f t="shared" si="1"/>
        <v>size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mom</v>
      </c>
      <c r="AU7" s="7" t="str">
        <f t="shared" si="1"/>
        <v>mom</v>
      </c>
      <c r="AV7" s="7" t="str">
        <f t="shared" si="1"/>
        <v>size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bm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bm</v>
      </c>
      <c r="BH7" s="7" t="str">
        <f t="shared" si="1"/>
        <v>bm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bm</v>
      </c>
      <c r="BP7" s="7" t="str">
        <f t="shared" si="2"/>
        <v>size</v>
      </c>
      <c r="BQ7" s="7" t="str">
        <f t="shared" si="2"/>
        <v>mom</v>
      </c>
      <c r="BR7" s="7" t="str">
        <f t="shared" si="2"/>
        <v>bm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size</v>
      </c>
      <c r="BW7" s="7" t="str">
        <f t="shared" si="2"/>
        <v>mom</v>
      </c>
      <c r="BX7" s="7" t="str">
        <f t="shared" si="2"/>
        <v>mom</v>
      </c>
      <c r="BY7" s="7" t="str">
        <f t="shared" si="2"/>
        <v>size</v>
      </c>
      <c r="BZ7" s="7" t="str">
        <f t="shared" si="2"/>
        <v>bm</v>
      </c>
      <c r="CA7" s="7" t="str">
        <f t="shared" si="2"/>
        <v>bm</v>
      </c>
      <c r="CB7" s="7" t="str">
        <f t="shared" si="2"/>
        <v>size</v>
      </c>
      <c r="CC7" s="7" t="str">
        <f t="shared" si="2"/>
        <v>size</v>
      </c>
      <c r="CD7" s="7" t="str">
        <f t="shared" si="2"/>
        <v>mom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mom</v>
      </c>
      <c r="CL7" s="7" t="str">
        <f t="shared" si="2"/>
        <v>mom</v>
      </c>
      <c r="CM7" s="7" t="str">
        <f t="shared" si="2"/>
        <v>bm</v>
      </c>
      <c r="CN7" s="7" t="str">
        <f t="shared" si="2"/>
        <v>bm</v>
      </c>
      <c r="CO7" s="7" t="str">
        <f t="shared" si="2"/>
        <v>mom</v>
      </c>
      <c r="CP7" s="7" t="str">
        <f t="shared" si="2"/>
        <v>bm</v>
      </c>
      <c r="CQ7" s="7" t="str">
        <f t="shared" si="2"/>
        <v>mom</v>
      </c>
      <c r="CR7" s="7" t="str">
        <f t="shared" si="2"/>
        <v>mom</v>
      </c>
      <c r="CS7" s="7" t="str">
        <f t="shared" si="2"/>
        <v>size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size</v>
      </c>
      <c r="CW7" s="7" t="str">
        <f t="shared" si="3"/>
        <v>mom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mom</v>
      </c>
      <c r="DH7" s="7" t="str">
        <f t="shared" si="3"/>
        <v>size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bm</v>
      </c>
      <c r="DQ7" s="7" t="str">
        <f t="shared" si="3"/>
        <v>mom</v>
      </c>
      <c r="DR7" s="7" t="str">
        <f t="shared" si="3"/>
        <v>size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mom</v>
      </c>
      <c r="EC7" s="7" t="str">
        <f t="shared" si="4"/>
        <v>mom</v>
      </c>
      <c r="ED7" s="7" t="str">
        <f t="shared" si="4"/>
        <v>mom</v>
      </c>
      <c r="EE7" s="7" t="str">
        <f t="shared" si="4"/>
        <v>mom</v>
      </c>
      <c r="EF7" s="7" t="str">
        <f t="shared" si="4"/>
        <v>size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-0.20935792122733929</v>
      </c>
      <c r="D8" s="7">
        <f t="shared" si="5"/>
        <v>-0.19625335237819111</v>
      </c>
      <c r="E8" s="7">
        <f t="shared" si="5"/>
        <v>0.52484760680152232</v>
      </c>
      <c r="F8" s="7">
        <f t="shared" si="5"/>
        <v>4.6837059958046809E-2</v>
      </c>
      <c r="G8" s="7">
        <f t="shared" si="5"/>
        <v>-0.2104714261735883</v>
      </c>
      <c r="H8" s="7">
        <f t="shared" si="5"/>
        <v>0.4744149628629204</v>
      </c>
      <c r="I8" s="7">
        <f t="shared" si="5"/>
        <v>-0.196765586355543</v>
      </c>
      <c r="J8" s="7">
        <f t="shared" si="5"/>
        <v>0.27883034253821021</v>
      </c>
      <c r="K8" s="7">
        <f t="shared" si="5"/>
        <v>0.27552845629080469</v>
      </c>
      <c r="L8" s="7">
        <f t="shared" si="5"/>
        <v>-0.43004286310886081</v>
      </c>
      <c r="M8" s="7">
        <f t="shared" si="5"/>
        <v>0.32376774959305898</v>
      </c>
      <c r="N8" s="7">
        <f t="shared" si="5"/>
        <v>-0.34824165047033961</v>
      </c>
      <c r="O8" s="7">
        <f t="shared" si="5"/>
        <v>0.31084678168383018</v>
      </c>
      <c r="P8" s="7">
        <f t="shared" si="5"/>
        <v>0.39546612391174241</v>
      </c>
      <c r="Q8" s="7">
        <f t="shared" si="5"/>
        <v>-0.12307050339382571</v>
      </c>
      <c r="R8" s="7">
        <f t="shared" si="5"/>
        <v>-0.1125584938483795</v>
      </c>
      <c r="S8" s="7">
        <f t="shared" si="5"/>
        <v>0.3057921371194337</v>
      </c>
      <c r="T8" s="7">
        <f t="shared" si="5"/>
        <v>-0.14458476697667119</v>
      </c>
      <c r="U8" s="7">
        <f t="shared" si="5"/>
        <v>-0.26280780822848671</v>
      </c>
      <c r="V8" s="7">
        <f t="shared" si="5"/>
        <v>-0.13936695356286269</v>
      </c>
      <c r="W8" s="7">
        <f t="shared" si="5"/>
        <v>-0.39469012652483237</v>
      </c>
      <c r="X8" s="7">
        <f t="shared" si="5"/>
        <v>-0.16973075948726549</v>
      </c>
      <c r="Y8" s="7">
        <f t="shared" si="5"/>
        <v>-0.68127295831176804</v>
      </c>
      <c r="Z8" s="7">
        <f t="shared" si="5"/>
        <v>0.1030897419422631</v>
      </c>
      <c r="AA8" s="7">
        <f t="shared" si="5"/>
        <v>0.48637748963693123</v>
      </c>
      <c r="AB8" s="7">
        <f t="shared" si="5"/>
        <v>-0.23481983175156351</v>
      </c>
      <c r="AC8" s="7">
        <f t="shared" si="5"/>
        <v>-8.9163225286403025E-2</v>
      </c>
      <c r="AD8" s="7">
        <f t="shared" si="5"/>
        <v>0.14514145822358679</v>
      </c>
      <c r="AE8" s="7">
        <f t="shared" si="5"/>
        <v>7.4669147590605167E-2</v>
      </c>
      <c r="AF8" s="7">
        <f t="shared" si="5"/>
        <v>0.17577042279847119</v>
      </c>
      <c r="AG8" s="7">
        <f t="shared" si="5"/>
        <v>-0.30336041259100399</v>
      </c>
      <c r="AH8" s="7">
        <f t="shared" si="5"/>
        <v>-0.3482499081721625</v>
      </c>
      <c r="AI8" s="7">
        <f t="shared" ref="AI8:BN8" si="6">IF(AI6=1,AI3,IF(AI6=2,AI4,IF(AI6=3,AI5)))</f>
        <v>0.25872371710226461</v>
      </c>
      <c r="AJ8" s="7">
        <f t="shared" si="6"/>
        <v>-0.48889196953357</v>
      </c>
      <c r="AK8" s="7">
        <f t="shared" si="6"/>
        <v>0.13254842946584691</v>
      </c>
      <c r="AL8" s="7">
        <f t="shared" si="6"/>
        <v>0.1873807232887153</v>
      </c>
      <c r="AM8" s="7">
        <f t="shared" si="6"/>
        <v>9.6837349683265961E-2</v>
      </c>
      <c r="AN8" s="7">
        <f t="shared" si="6"/>
        <v>0.2075736584826228</v>
      </c>
      <c r="AO8" s="7">
        <f t="shared" si="6"/>
        <v>0.1844633194704077</v>
      </c>
      <c r="AP8" s="7">
        <f t="shared" si="6"/>
        <v>7.9750638168698984E-2</v>
      </c>
      <c r="AQ8" s="7">
        <f t="shared" si="6"/>
        <v>-0.2114396427417905</v>
      </c>
      <c r="AR8" s="7">
        <f t="shared" si="6"/>
        <v>0.1144314103616733</v>
      </c>
      <c r="AS8" s="7">
        <f t="shared" si="6"/>
        <v>0.14111009314114389</v>
      </c>
      <c r="AT8" s="7">
        <f t="shared" si="6"/>
        <v>0.1516447920969482</v>
      </c>
      <c r="AU8" s="7">
        <f t="shared" si="6"/>
        <v>-0.20083705233961571</v>
      </c>
      <c r="AV8" s="7">
        <f t="shared" si="6"/>
        <v>-0.21769900369851489</v>
      </c>
      <c r="AW8" s="7">
        <f t="shared" si="6"/>
        <v>-0.1741550037979904</v>
      </c>
      <c r="AX8" s="7">
        <f t="shared" si="6"/>
        <v>0.1122931240608864</v>
      </c>
      <c r="AY8" s="7">
        <f t="shared" si="6"/>
        <v>-0.118056117907044</v>
      </c>
      <c r="AZ8" s="7">
        <f t="shared" si="6"/>
        <v>0.20621977214253931</v>
      </c>
      <c r="BA8" s="7">
        <f t="shared" si="6"/>
        <v>0.16049954912817649</v>
      </c>
      <c r="BB8" s="7">
        <f t="shared" si="6"/>
        <v>-0.25246377965845751</v>
      </c>
      <c r="BC8" s="7">
        <f t="shared" si="6"/>
        <v>0.1567368975950931</v>
      </c>
      <c r="BD8" s="7">
        <f t="shared" si="6"/>
        <v>0.16688346547535879</v>
      </c>
      <c r="BE8" s="7">
        <f t="shared" si="6"/>
        <v>-0.13147229447438241</v>
      </c>
      <c r="BF8" s="7">
        <f t="shared" si="6"/>
        <v>-0.28526227318364472</v>
      </c>
      <c r="BG8" s="7">
        <f t="shared" si="6"/>
        <v>0.31531123716866039</v>
      </c>
      <c r="BH8" s="7">
        <f t="shared" si="6"/>
        <v>0.27010117711850462</v>
      </c>
      <c r="BI8" s="7">
        <f t="shared" si="6"/>
        <v>5.812657406460206E-2</v>
      </c>
      <c r="BJ8" s="7">
        <f t="shared" si="6"/>
        <v>-0.25986983403483388</v>
      </c>
      <c r="BK8" s="7">
        <f t="shared" si="6"/>
        <v>0.18487944696901781</v>
      </c>
      <c r="BL8" s="7">
        <f t="shared" si="6"/>
        <v>-0.26913172790454543</v>
      </c>
      <c r="BM8" s="7">
        <f t="shared" si="6"/>
        <v>0.1717381908649544</v>
      </c>
      <c r="BN8" s="7">
        <f t="shared" si="6"/>
        <v>-0.18092216130584951</v>
      </c>
      <c r="BO8" s="7">
        <f t="shared" ref="BO8:CT8" si="7">IF(BO6=1,BO3,IF(BO6=2,BO4,IF(BO6=3,BO5)))</f>
        <v>-0.149287939972541</v>
      </c>
      <c r="BP8" s="7">
        <f t="shared" si="7"/>
        <v>8.3627121253362802E-2</v>
      </c>
      <c r="BQ8" s="7">
        <f t="shared" si="7"/>
        <v>-0.16861046240236999</v>
      </c>
      <c r="BR8" s="7">
        <f t="shared" si="7"/>
        <v>0.21346470331308601</v>
      </c>
      <c r="BS8" s="7">
        <f t="shared" si="7"/>
        <v>0.1244241075337672</v>
      </c>
      <c r="BT8" s="7">
        <f t="shared" si="7"/>
        <v>0.20772231279415901</v>
      </c>
      <c r="BU8" s="7">
        <f t="shared" si="7"/>
        <v>0.1137793780847101</v>
      </c>
      <c r="BV8" s="7">
        <f t="shared" si="7"/>
        <v>0.17197266141593739</v>
      </c>
      <c r="BW8" s="7">
        <f t="shared" si="7"/>
        <v>-0.1268015683060742</v>
      </c>
      <c r="BX8" s="7">
        <f t="shared" si="7"/>
        <v>-0.10582029087279909</v>
      </c>
      <c r="BY8" s="7">
        <f t="shared" si="7"/>
        <v>-0.1826948620902353</v>
      </c>
      <c r="BZ8" s="7">
        <f t="shared" si="7"/>
        <v>-0.14071284467671319</v>
      </c>
      <c r="CA8" s="7">
        <f t="shared" si="7"/>
        <v>7.3472777058867567E-2</v>
      </c>
      <c r="CB8" s="7">
        <f t="shared" si="7"/>
        <v>0.19801890737320349</v>
      </c>
      <c r="CC8" s="7">
        <f t="shared" si="7"/>
        <v>-0.29446404903659129</v>
      </c>
      <c r="CD8" s="7">
        <f t="shared" si="7"/>
        <v>0.32742328506094998</v>
      </c>
      <c r="CE8" s="7">
        <f t="shared" si="7"/>
        <v>0.21879703659667429</v>
      </c>
      <c r="CF8" s="7">
        <f t="shared" si="7"/>
        <v>-0.14937324914413941</v>
      </c>
      <c r="CG8" s="7">
        <f t="shared" si="7"/>
        <v>0.16320028060313421</v>
      </c>
      <c r="CH8" s="7">
        <f t="shared" si="7"/>
        <v>-6.9038325074175663E-2</v>
      </c>
      <c r="CI8" s="7">
        <f t="shared" si="7"/>
        <v>-0.11536214708505139</v>
      </c>
      <c r="CJ8" s="7">
        <f t="shared" si="7"/>
        <v>-0.39111281147264998</v>
      </c>
      <c r="CK8" s="7">
        <f t="shared" si="7"/>
        <v>0.37897350211797709</v>
      </c>
      <c r="CL8" s="7">
        <f t="shared" si="7"/>
        <v>-7.6383453932209341E-2</v>
      </c>
      <c r="CM8" s="7">
        <f t="shared" si="7"/>
        <v>0.18311247425732111</v>
      </c>
      <c r="CN8" s="7">
        <f t="shared" si="7"/>
        <v>-0.39746167912504499</v>
      </c>
      <c r="CO8" s="7">
        <f t="shared" si="7"/>
        <v>0.43716796518582229</v>
      </c>
      <c r="CP8" s="7">
        <f t="shared" si="7"/>
        <v>-9.5682049872747255E-2</v>
      </c>
      <c r="CQ8" s="7">
        <f t="shared" si="7"/>
        <v>-0.49935244279872992</v>
      </c>
      <c r="CR8" s="7">
        <f t="shared" si="7"/>
        <v>0.3398570382696095</v>
      </c>
      <c r="CS8" s="7">
        <f t="shared" si="7"/>
        <v>-0.27901111949972451</v>
      </c>
      <c r="CT8" s="7">
        <f t="shared" si="7"/>
        <v>0.2246197528310597</v>
      </c>
      <c r="CU8" s="7">
        <f t="shared" ref="CU8:DZ8" si="8">IF(CU6=1,CU3,IF(CU6=2,CU4,IF(CU6=3,CU5)))</f>
        <v>-0.25171771168640761</v>
      </c>
      <c r="CV8" s="7">
        <f t="shared" si="8"/>
        <v>0.1117497704879042</v>
      </c>
      <c r="CW8" s="7">
        <f t="shared" si="8"/>
        <v>0.2108770628752098</v>
      </c>
      <c r="CX8" s="7">
        <f t="shared" si="8"/>
        <v>0.25016150139728283</v>
      </c>
      <c r="CY8" s="7">
        <f t="shared" si="8"/>
        <v>-0.52413353929587791</v>
      </c>
      <c r="CZ8" s="7">
        <f t="shared" si="8"/>
        <v>0.8216183061041753</v>
      </c>
      <c r="DA8" s="7">
        <f t="shared" si="8"/>
        <v>0.31254073484350059</v>
      </c>
      <c r="DB8" s="7">
        <f t="shared" si="8"/>
        <v>-0.15564612733519101</v>
      </c>
      <c r="DC8" s="7">
        <f t="shared" si="8"/>
        <v>-0.1869585274246745</v>
      </c>
      <c r="DD8" s="7">
        <f t="shared" si="8"/>
        <v>-0.42083892435479142</v>
      </c>
      <c r="DE8" s="7">
        <f t="shared" si="8"/>
        <v>-0.2279724207651195</v>
      </c>
      <c r="DF8" s="7">
        <f t="shared" si="8"/>
        <v>-0.33715973842927388</v>
      </c>
      <c r="DG8" s="7">
        <f t="shared" si="8"/>
        <v>-0.44400370439279008</v>
      </c>
      <c r="DH8" s="7">
        <f t="shared" si="8"/>
        <v>0.15762567020768259</v>
      </c>
      <c r="DI8" s="7">
        <f t="shared" si="8"/>
        <v>0.30896916307249689</v>
      </c>
      <c r="DJ8" s="7">
        <f t="shared" si="8"/>
        <v>-0.28669247758290828</v>
      </c>
      <c r="DK8" s="7">
        <f t="shared" si="8"/>
        <v>0.84621248517861269</v>
      </c>
      <c r="DL8" s="7">
        <f t="shared" si="8"/>
        <v>-0.16924034367306559</v>
      </c>
      <c r="DM8" s="7">
        <f t="shared" si="8"/>
        <v>-0.43945016692248923</v>
      </c>
      <c r="DN8" s="7">
        <f t="shared" si="8"/>
        <v>0.74751336560070059</v>
      </c>
      <c r="DO8" s="7">
        <f t="shared" si="8"/>
        <v>-0.39996426308914668</v>
      </c>
      <c r="DP8" s="7">
        <f t="shared" si="8"/>
        <v>0.16113140194021491</v>
      </c>
      <c r="DQ8" s="7">
        <f t="shared" si="8"/>
        <v>-0.58863430244229409</v>
      </c>
      <c r="DR8" s="7">
        <f t="shared" si="8"/>
        <v>-0.1292436792863576</v>
      </c>
      <c r="DS8" s="7">
        <f t="shared" si="8"/>
        <v>-0.19878519438361211</v>
      </c>
      <c r="DT8" s="7">
        <f t="shared" si="8"/>
        <v>0.4132117833889476</v>
      </c>
      <c r="DU8" s="7">
        <f t="shared" si="8"/>
        <v>-0.17065403209770361</v>
      </c>
      <c r="DV8" s="7">
        <f t="shared" si="8"/>
        <v>0.68828031734213269</v>
      </c>
      <c r="DW8" s="7">
        <f t="shared" si="8"/>
        <v>6.6155769939567149E-2</v>
      </c>
      <c r="DX8" s="7">
        <f t="shared" si="8"/>
        <v>-0.1999347157162332</v>
      </c>
      <c r="DY8" s="7">
        <f t="shared" si="8"/>
        <v>0.56631420698904078</v>
      </c>
      <c r="DZ8" s="7">
        <f t="shared" si="8"/>
        <v>0.47362880432099852</v>
      </c>
      <c r="EA8" s="7">
        <f t="shared" ref="EA8:EG8" si="9">IF(EA6=1,EA3,IF(EA6=2,EA4,IF(EA6=3,EA5)))</f>
        <v>-0.1948807812701929</v>
      </c>
      <c r="EB8" s="7">
        <f t="shared" si="9"/>
        <v>-1.076360940060376</v>
      </c>
      <c r="EC8" s="7">
        <f t="shared" si="9"/>
        <v>-0.13610628648279391</v>
      </c>
      <c r="ED8" s="7">
        <f t="shared" si="9"/>
        <v>-0.27349656344743889</v>
      </c>
      <c r="EE8" s="7">
        <f t="shared" si="9"/>
        <v>0.60134859370029736</v>
      </c>
      <c r="EF8" s="7">
        <f t="shared" si="9"/>
        <v>0.24381115553913091</v>
      </c>
      <c r="EG8" s="1">
        <f t="shared" si="9"/>
        <v>0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B11" s="1" t="s">
        <v>142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B12" s="1" t="s">
        <v>156</v>
      </c>
      <c r="C12" s="7">
        <v>8.4653346747999555E-2</v>
      </c>
      <c r="D12" s="7">
        <f>C12+預測IC!D12</f>
        <v>0.19934197579322305</v>
      </c>
      <c r="E12" s="7">
        <f>D12+預測IC!E12</f>
        <v>0.24736879918042559</v>
      </c>
      <c r="F12" s="7">
        <f>E12+預測IC!F12</f>
        <v>0.26078990356998405</v>
      </c>
      <c r="G12" s="7">
        <f>F12+預測IC!G12</f>
        <v>0.27251457134600876</v>
      </c>
      <c r="H12" s="7">
        <f>G12+預測IC!H12</f>
        <v>0.31104508359589667</v>
      </c>
      <c r="I12" s="7">
        <f>H12+預測IC!I12</f>
        <v>0.32385487228906218</v>
      </c>
      <c r="J12" s="7">
        <f>I12+預測IC!J12</f>
        <v>0.29444674945007232</v>
      </c>
      <c r="K12" s="7">
        <f>J12+預測IC!K12</f>
        <v>0.31322112958740356</v>
      </c>
      <c r="L12" s="7">
        <f>K12+預測IC!L12</f>
        <v>0.27133018853742985</v>
      </c>
      <c r="M12" s="7">
        <f>L12+預測IC!M12</f>
        <v>0.25577838433726874</v>
      </c>
      <c r="N12" s="7">
        <f>M12+預測IC!N12</f>
        <v>0.3251053711156216</v>
      </c>
      <c r="O12" s="7">
        <f>N12+預測IC!O12</f>
        <v>0.34234611017067418</v>
      </c>
      <c r="P12" s="7">
        <f>O12+預測IC!P12</f>
        <v>0.34257608145860874</v>
      </c>
      <c r="Q12" s="7">
        <f>P12+預測IC!Q12</f>
        <v>0.37784596691108713</v>
      </c>
      <c r="R12" s="7">
        <f>Q12+預測IC!R12</f>
        <v>0.38450885070632401</v>
      </c>
      <c r="S12" s="7">
        <f>R12+預測IC!S12</f>
        <v>0.368036455964392</v>
      </c>
      <c r="T12" s="7">
        <f>S12+預測IC!T12</f>
        <v>0.32479296714487882</v>
      </c>
      <c r="U12" s="7">
        <f>T12+預測IC!U12</f>
        <v>0.30861436826199995</v>
      </c>
      <c r="V12" s="7">
        <f>U12+預測IC!V12</f>
        <v>0.31481883833134439</v>
      </c>
      <c r="W12" s="7">
        <f>V12+預測IC!W12</f>
        <v>0.33709728030465613</v>
      </c>
      <c r="X12" s="7">
        <f>W12+預測IC!X12</f>
        <v>0.36417117072920324</v>
      </c>
      <c r="Y12" s="7">
        <f>X12+預測IC!Y12</f>
        <v>0.37961153914276402</v>
      </c>
      <c r="Z12" s="7">
        <f>Y12+預測IC!Z12</f>
        <v>0.38477744675256753</v>
      </c>
      <c r="AA12" s="7">
        <f>Z12+預測IC!AA12</f>
        <v>0.37326490104034177</v>
      </c>
      <c r="AB12" s="7">
        <f>AA12+預測IC!AB12</f>
        <v>0.36253157143620302</v>
      </c>
      <c r="AC12" s="7">
        <f>AB12+預測IC!AC12</f>
        <v>0.36769895119665957</v>
      </c>
      <c r="AD12" s="7">
        <f>AC12+預測IC!AD12</f>
        <v>0.37022938102788311</v>
      </c>
      <c r="AE12" s="7">
        <f>AD12+預測IC!AE12</f>
        <v>0.31191241795678426</v>
      </c>
      <c r="AF12" s="7">
        <f>AE12+預測IC!AF12</f>
        <v>0.3323445692606492</v>
      </c>
      <c r="AG12" s="7">
        <f>AF12+預測IC!AG12</f>
        <v>0.34442369722385058</v>
      </c>
      <c r="AH12" s="7">
        <f>AG12+預測IC!AH12</f>
        <v>0.35782950187348384</v>
      </c>
      <c r="AI12" s="7">
        <f>AH12+預測IC!AI12</f>
        <v>0.37733555305366978</v>
      </c>
      <c r="AJ12" s="7">
        <f>AI12+預測IC!AJ12</f>
        <v>0.39031930059972436</v>
      </c>
      <c r="AK12" s="7">
        <f>AJ12+預測IC!AK12</f>
        <v>0.43844300475185877</v>
      </c>
      <c r="AL12" s="7">
        <f>AK12+預測IC!AL12</f>
        <v>0.45630200777378083</v>
      </c>
      <c r="AM12" s="7">
        <f>AL12+預測IC!AM12</f>
        <v>0.48638812338637877</v>
      </c>
      <c r="AN12" s="7">
        <f>AM12+預測IC!AN12</f>
        <v>0.55562135769980725</v>
      </c>
      <c r="AO12" s="7">
        <f>AN12+預測IC!AO12</f>
        <v>0.5578501507394803</v>
      </c>
      <c r="AP12" s="7">
        <f>AO12+預測IC!AP12</f>
        <v>0.5241318059576312</v>
      </c>
      <c r="AQ12" s="7">
        <f>AP12+預測IC!AQ12</f>
        <v>0.51650986956904743</v>
      </c>
      <c r="AR12" s="7">
        <f>AQ12+預測IC!AR12</f>
        <v>0.53003612901901387</v>
      </c>
      <c r="AS12" s="7">
        <f>AR12+預測IC!AS12</f>
        <v>0.54913584747371447</v>
      </c>
      <c r="AT12" s="7">
        <f>AS12+預測IC!AT12</f>
        <v>0.56297075218138559</v>
      </c>
      <c r="AU12" s="7">
        <f>AT12+預測IC!AU12</f>
        <v>0.58367941086226105</v>
      </c>
      <c r="AV12" s="7">
        <f>AU12+預測IC!AV12</f>
        <v>0.54231932611723599</v>
      </c>
      <c r="AW12" s="7">
        <f>AV12+預測IC!AW12</f>
        <v>0.54294080313525206</v>
      </c>
      <c r="AX12" s="7">
        <f>AW12+預測IC!AX12</f>
        <v>0.58653927038867493</v>
      </c>
      <c r="AY12" s="7">
        <f>AX12+預測IC!AY12</f>
        <v>0.61149456345634823</v>
      </c>
      <c r="AZ12" s="7">
        <f>AY12+預測IC!AZ12</f>
        <v>0.60919453738469054</v>
      </c>
      <c r="BA12" s="7">
        <f>AZ12+預測IC!BA12</f>
        <v>0.68047069366562551</v>
      </c>
      <c r="BB12" s="7">
        <f>BA12+預測IC!BB12</f>
        <v>0.68625608857990072</v>
      </c>
      <c r="BC12" s="7">
        <f>BB12+預測IC!BC12</f>
        <v>0.69852887761837723</v>
      </c>
      <c r="BD12" s="7">
        <f>BC12+預測IC!BD12</f>
        <v>0.71215943456002984</v>
      </c>
      <c r="BE12" s="7">
        <f>BD12+預測IC!BE12</f>
        <v>0.73076824439941512</v>
      </c>
      <c r="BF12" s="7">
        <f>BE12+預測IC!BF12</f>
        <v>0.79856059688261527</v>
      </c>
      <c r="BG12" s="7">
        <f>BF12+預測IC!BG12</f>
        <v>0.8322314593238781</v>
      </c>
      <c r="BH12" s="7">
        <f>BG12+預測IC!BH12</f>
        <v>0.84645481933520006</v>
      </c>
      <c r="BI12" s="7">
        <f>BH12+預測IC!BI12</f>
        <v>0.89647607236619087</v>
      </c>
      <c r="BJ12" s="7">
        <f>BI12+預測IC!BJ12</f>
        <v>0.895680079046273</v>
      </c>
      <c r="BK12" s="7">
        <f>BJ12+預測IC!BK12</f>
        <v>0.87439541408613908</v>
      </c>
      <c r="BL12" s="7">
        <f>BK12+預測IC!BL12</f>
        <v>0.89910465991628774</v>
      </c>
      <c r="BM12" s="7">
        <f>BL12+預測IC!BM12</f>
        <v>0.84879897539296323</v>
      </c>
      <c r="BN12" s="7">
        <f>BM12+預測IC!BN12</f>
        <v>0.86031551090505975</v>
      </c>
      <c r="BO12" s="7">
        <f>BN12+預測IC!BO12</f>
        <v>0.88456182116129667</v>
      </c>
      <c r="BP12" s="7">
        <f>BO12+預測IC!BP12</f>
        <v>0.87405283585600257</v>
      </c>
      <c r="BQ12" s="7">
        <f>BP12+預測IC!BQ12</f>
        <v>0.88794958547474923</v>
      </c>
      <c r="BR12" s="7">
        <f>BQ12+預測IC!BR12</f>
        <v>0.8856885770213504</v>
      </c>
      <c r="BS12" s="7">
        <f>BR12+預測IC!BS12</f>
        <v>0.90455187040574636</v>
      </c>
      <c r="BT12" s="7">
        <f>BS12+預測IC!BT12</f>
        <v>0.92658333908319057</v>
      </c>
      <c r="BU12" s="7">
        <f>BT12+預測IC!BU12</f>
        <v>0.93536485622328702</v>
      </c>
      <c r="BV12" s="7">
        <f>BU12+預測IC!BV12</f>
        <v>0.95842731195647801</v>
      </c>
      <c r="BW12" s="7">
        <f>BV12+預測IC!BW12</f>
        <v>0.9289435432369485</v>
      </c>
      <c r="BX12" s="7">
        <f>BW12+預測IC!BX12</f>
        <v>0.9404207052408986</v>
      </c>
      <c r="BY12" s="7">
        <f>BX12+預測IC!BY12</f>
        <v>0.90704990490932713</v>
      </c>
      <c r="BZ12" s="7">
        <f>BY12+預測IC!BZ12</f>
        <v>0.95240685060060015</v>
      </c>
      <c r="CA12" s="7">
        <f>BZ12+預測IC!CA12</f>
        <v>0.91800656316025764</v>
      </c>
      <c r="CB12" s="7">
        <f>CA12+預測IC!CB12</f>
        <v>0.91994980529202053</v>
      </c>
      <c r="CC12" s="7">
        <f>CB12+預測IC!CC12</f>
        <v>0.98551641791971045</v>
      </c>
      <c r="CD12" s="7">
        <f>CC12+預測IC!CD12</f>
        <v>1.0297749064836517</v>
      </c>
      <c r="CE12" s="7">
        <f>CD12+預測IC!CE12</f>
        <v>1.1837819193733936</v>
      </c>
      <c r="CF12" s="7">
        <f>CE12+預測IC!CF12</f>
        <v>1.1878598146571684</v>
      </c>
      <c r="CG12" s="7">
        <f>CF12+預測IC!CG12</f>
        <v>1.1881684631545204</v>
      </c>
      <c r="CH12" s="7">
        <f>CG12+預測IC!CH12</f>
        <v>1.2514658355324804</v>
      </c>
      <c r="CI12" s="7">
        <f>CH12+預測IC!CI12</f>
        <v>1.2168099231202747</v>
      </c>
      <c r="CJ12" s="7">
        <f>CI12+預測IC!CJ12</f>
        <v>1.2322551035989635</v>
      </c>
      <c r="CK12" s="7">
        <f>CJ12+預測IC!CK12</f>
        <v>1.2450582477537984</v>
      </c>
      <c r="CL12" s="7">
        <f>CK12+預測IC!CL12</f>
        <v>1.3630738554234088</v>
      </c>
      <c r="CM12" s="7">
        <f>CL12+預測IC!CM12</f>
        <v>1.347854129256068</v>
      </c>
      <c r="CN12" s="7">
        <f>CM12+預測IC!CN12</f>
        <v>1.3207704280415087</v>
      </c>
      <c r="CO12" s="7">
        <f>CN12+預測IC!CO12</f>
        <v>1.2935043011614029</v>
      </c>
      <c r="CP12" s="7">
        <f>CO12+預測IC!CP12</f>
        <v>1.3388033226288967</v>
      </c>
      <c r="CQ12" s="7">
        <f>CP12+預測IC!CQ12</f>
        <v>1.2761189756253219</v>
      </c>
      <c r="CR12" s="7">
        <f>CQ12+預測IC!CR12</f>
        <v>1.3242656009126237</v>
      </c>
      <c r="CS12" s="7">
        <f>CR12+預測IC!CS12</f>
        <v>1.3097559504741541</v>
      </c>
      <c r="CT12" s="7">
        <f>CS12+預測IC!CT12</f>
        <v>1.3089319144506231</v>
      </c>
      <c r="CU12" s="7">
        <f>CT12+預測IC!CU12</f>
        <v>1.3445556301128183</v>
      </c>
      <c r="CV12" s="7">
        <f>CU12+預測IC!CV12</f>
        <v>1.3526682564883554</v>
      </c>
      <c r="CW12" s="7">
        <f>CV12+預測IC!CW12</f>
        <v>1.3582161812328877</v>
      </c>
      <c r="CX12" s="7">
        <f>CW12+預測IC!CX12</f>
        <v>1.4192060637698796</v>
      </c>
      <c r="CY12" s="7">
        <f>CX12+預測IC!CY12</f>
        <v>1.413223121558389</v>
      </c>
      <c r="CZ12" s="7">
        <f>CY12+預測IC!CZ12</f>
        <v>1.4910154488978897</v>
      </c>
      <c r="DA12" s="7">
        <f>CZ12+預測IC!DA12</f>
        <v>1.4966192329682502</v>
      </c>
      <c r="DB12" s="7">
        <f>DA12+預測IC!DB12</f>
        <v>1.5856010494662951</v>
      </c>
      <c r="DC12" s="7">
        <f>DB12+預測IC!DC12</f>
        <v>1.5970740227577851</v>
      </c>
      <c r="DD12" s="7">
        <f>DC12+預測IC!DD12</f>
        <v>1.5579820254262779</v>
      </c>
      <c r="DE12" s="7">
        <f>DD12+預測IC!DE12</f>
        <v>1.5591801338074991</v>
      </c>
      <c r="DF12" s="7">
        <f>DE12+預測IC!DF12</f>
        <v>1.5523456080714586</v>
      </c>
      <c r="DG12" s="7">
        <f>DF12+預測IC!DG12</f>
        <v>1.5513978991321418</v>
      </c>
      <c r="DH12" s="7">
        <f>DG12+預測IC!DH12</f>
        <v>1.5475752171607091</v>
      </c>
      <c r="DI12" s="7">
        <f>DH12+預測IC!DI12</f>
        <v>1.4931320441685767</v>
      </c>
      <c r="DJ12" s="7">
        <f>DI12+預測IC!DJ12</f>
        <v>1.5082502522946688</v>
      </c>
      <c r="DK12" s="7">
        <f>DJ12+預測IC!DK12</f>
        <v>1.4923042991676525</v>
      </c>
      <c r="DL12" s="7">
        <f>DK12+預測IC!DL12</f>
        <v>1.4919496231450087</v>
      </c>
      <c r="DM12" s="7">
        <f>DL12+預測IC!DM12</f>
        <v>1.4871092738999288</v>
      </c>
      <c r="DN12" s="7">
        <f>DM12+預測IC!DN12</f>
        <v>1.5295196392859935</v>
      </c>
      <c r="DO12" s="7">
        <f>DN12+預測IC!DO12</f>
        <v>1.5521193729663223</v>
      </c>
      <c r="DP12" s="7">
        <f>DO12+預測IC!DP12</f>
        <v>1.5847038225666195</v>
      </c>
      <c r="DQ12" s="7">
        <f>DP12+預測IC!DQ12</f>
        <v>1.550841702213571</v>
      </c>
      <c r="DR12" s="7">
        <f>DQ12+預測IC!DR12</f>
        <v>1.569620645492958</v>
      </c>
      <c r="DS12" s="7">
        <f>DR12+預測IC!DS12</f>
        <v>1.5338944900412601</v>
      </c>
      <c r="DT12" s="7">
        <f>DS12+預測IC!DT12</f>
        <v>1.5590121060720963</v>
      </c>
      <c r="DU12" s="7">
        <f>DT12+預測IC!DU12</f>
        <v>1.5017818229277877</v>
      </c>
      <c r="DV12" s="7">
        <f>DU12+預測IC!DV12</f>
        <v>1.5503326474053185</v>
      </c>
      <c r="DW12" s="7">
        <f>DV12+預測IC!DW12</f>
        <v>1.5940582116253559</v>
      </c>
      <c r="DX12" s="7">
        <f>DW12+預測IC!DX12</f>
        <v>1.5439061310829945</v>
      </c>
      <c r="DY12" s="7">
        <f>DX12+預測IC!DY12</f>
        <v>1.5970514419706046</v>
      </c>
      <c r="DZ12" s="7">
        <f>DY12+預測IC!DZ12</f>
        <v>1.6032785913190928</v>
      </c>
      <c r="EA12" s="7">
        <f>DZ12+預測IC!EA12</f>
        <v>1.654376223856624</v>
      </c>
      <c r="EB12" s="7">
        <f>EA12+預測IC!EB12</f>
        <v>1.6572045506314768</v>
      </c>
      <c r="EC12" s="7">
        <f>EB12+預測IC!EC12</f>
        <v>1.6473981692960924</v>
      </c>
      <c r="ED12" s="7">
        <f>EC12+預測IC!ED12</f>
        <v>1.5868900164876083</v>
      </c>
      <c r="EE12" s="7">
        <f>ED12+預測IC!EE12</f>
        <v>1.5988071127600958</v>
      </c>
      <c r="EF12" s="7">
        <f>EE12+預測IC!EF12</f>
        <v>1.6380404607988914</v>
      </c>
    </row>
    <row r="13" spans="1:137" x14ac:dyDescent="0.3">
      <c r="B13" s="1" t="s">
        <v>157</v>
      </c>
      <c r="C13" s="7">
        <v>0.104112750252762</v>
      </c>
      <c r="D13" s="7">
        <f>C13+預測IC!D13</f>
        <v>0.22785777904553428</v>
      </c>
      <c r="E13" s="7">
        <f>D13+預測IC!E13</f>
        <v>0.29771933539834072</v>
      </c>
      <c r="F13" s="7">
        <f>E13+預測IC!F13</f>
        <v>0.28626409552296395</v>
      </c>
      <c r="G13" s="7">
        <f>F13+預測IC!G13</f>
        <v>0.30200852157741448</v>
      </c>
      <c r="H13" s="7">
        <f>G13+預測IC!H13</f>
        <v>0.33199815330313576</v>
      </c>
      <c r="I13" s="7">
        <f>H13+預測IC!I13</f>
        <v>0.36112874822683338</v>
      </c>
      <c r="J13" s="7">
        <f>I13+預測IC!J13</f>
        <v>0.31722952114942127</v>
      </c>
      <c r="K13" s="7">
        <f>J13+預測IC!K13</f>
        <v>0.31586221432297379</v>
      </c>
      <c r="L13" s="7">
        <f>K13+預測IC!L13</f>
        <v>0.30983705302932013</v>
      </c>
      <c r="M13" s="7">
        <f>L13+預測IC!M13</f>
        <v>0.31754570929181236</v>
      </c>
      <c r="N13" s="7">
        <f>M13+預測IC!N13</f>
        <v>0.41735262624848296</v>
      </c>
      <c r="O13" s="7">
        <f>N13+預測IC!O13</f>
        <v>0.45714191787511538</v>
      </c>
      <c r="P13" s="7">
        <f>O13+預測IC!P13</f>
        <v>0.473933545613206</v>
      </c>
      <c r="Q13" s="7">
        <f>P13+預測IC!Q13</f>
        <v>0.54715791410076342</v>
      </c>
      <c r="R13" s="7">
        <f>Q13+預測IC!R13</f>
        <v>0.56131785858679994</v>
      </c>
      <c r="S13" s="7">
        <f>R13+預測IC!S13</f>
        <v>0.54907418737788694</v>
      </c>
      <c r="T13" s="7">
        <f>S13+預測IC!T13</f>
        <v>0.4961743844691936</v>
      </c>
      <c r="U13" s="7">
        <f>T13+預測IC!U13</f>
        <v>0.49777140070237941</v>
      </c>
      <c r="V13" s="7">
        <f>U13+預測IC!V13</f>
        <v>0.4776770726885049</v>
      </c>
      <c r="W13" s="7">
        <f>V13+預測IC!W13</f>
        <v>0.50878016057287478</v>
      </c>
      <c r="X13" s="7">
        <f>W13+預測IC!X13</f>
        <v>0.56205705529881844</v>
      </c>
      <c r="Y13" s="7">
        <f>X13+預測IC!Y13</f>
        <v>0.57597804785646711</v>
      </c>
      <c r="Z13" s="7">
        <f>Y13+預測IC!Z13</f>
        <v>0.59656180902559541</v>
      </c>
      <c r="AA13" s="7">
        <f>Z13+預測IC!AA13</f>
        <v>0.58012118957527103</v>
      </c>
      <c r="AB13" s="7">
        <f>AA13+預測IC!AB13</f>
        <v>0.56511961624629259</v>
      </c>
      <c r="AC13" s="7">
        <f>AB13+預測IC!AC13</f>
        <v>0.57315105604224303</v>
      </c>
      <c r="AD13" s="7">
        <f>AC13+預測IC!AD13</f>
        <v>0.59359128441603548</v>
      </c>
      <c r="AE13" s="7">
        <f>AD13+預測IC!AE13</f>
        <v>0.52787190238842496</v>
      </c>
      <c r="AF13" s="7">
        <f>AE13+預測IC!AF13</f>
        <v>0.55981236622272623</v>
      </c>
      <c r="AG13" s="7">
        <f>AF13+預測IC!AG13</f>
        <v>0.56309467640367872</v>
      </c>
      <c r="AH13" s="7">
        <f>AG13+預測IC!AH13</f>
        <v>0.5727360156431951</v>
      </c>
      <c r="AI13" s="7">
        <f>AH13+預測IC!AI13</f>
        <v>0.58480356571726788</v>
      </c>
      <c r="AJ13" s="7">
        <f>AI13+預測IC!AJ13</f>
        <v>0.56852309572899218</v>
      </c>
      <c r="AK13" s="7">
        <f>AJ13+預測IC!AK13</f>
        <v>0.63451100853964815</v>
      </c>
      <c r="AL13" s="7">
        <f>AK13+預測IC!AL13</f>
        <v>0.6576624371348192</v>
      </c>
      <c r="AM13" s="7">
        <f>AL13+預測IC!AM13</f>
        <v>0.70394488067164818</v>
      </c>
      <c r="AN13" s="7">
        <f>AM13+預測IC!AN13</f>
        <v>0.80927511880768233</v>
      </c>
      <c r="AO13" s="7">
        <f>AN13+預測IC!AO13</f>
        <v>0.81858630670709731</v>
      </c>
      <c r="AP13" s="7">
        <f>AO13+預測IC!AP13</f>
        <v>0.75903546634509955</v>
      </c>
      <c r="AQ13" s="7">
        <f>AP13+預測IC!AQ13</f>
        <v>0.7529861775761999</v>
      </c>
      <c r="AR13" s="7">
        <f>AQ13+預測IC!AR13</f>
        <v>0.76367536311213557</v>
      </c>
      <c r="AS13" s="7">
        <f>AR13+預測IC!AS13</f>
        <v>0.80498848159636971</v>
      </c>
      <c r="AT13" s="7">
        <f>AS13+預測IC!AT13</f>
        <v>0.84545156945080946</v>
      </c>
      <c r="AU13" s="7">
        <f>AT13+預測IC!AU13</f>
        <v>0.88642769592678827</v>
      </c>
      <c r="AV13" s="7">
        <f>AU13+預測IC!AV13</f>
        <v>0.87695222328723521</v>
      </c>
      <c r="AW13" s="7">
        <f>AV13+預測IC!AW13</f>
        <v>0.88103223687029864</v>
      </c>
      <c r="AX13" s="7">
        <f>AW13+預測IC!AX13</f>
        <v>0.94818602465340895</v>
      </c>
      <c r="AY13" s="7">
        <f>AX13+預測IC!AY13</f>
        <v>0.96575037100203387</v>
      </c>
      <c r="AZ13" s="7">
        <f>AY13+預測IC!AZ13</f>
        <v>0.95764690353253445</v>
      </c>
      <c r="BA13" s="7">
        <f>AZ13+預測IC!BA13</f>
        <v>1.0374760238763228</v>
      </c>
      <c r="BB13" s="7">
        <f>BA13+預測IC!BB13</f>
        <v>1.0635223694092188</v>
      </c>
      <c r="BC13" s="7">
        <f>BB13+預測IC!BC13</f>
        <v>1.0748061365208765</v>
      </c>
      <c r="BD13" s="7">
        <f>BC13+預測IC!BD13</f>
        <v>1.078150564904558</v>
      </c>
      <c r="BE13" s="7">
        <f>BD13+預測IC!BE13</f>
        <v>1.1055423712101995</v>
      </c>
      <c r="BF13" s="7">
        <f>BE13+預測IC!BF13</f>
        <v>1.1894717865176963</v>
      </c>
      <c r="BG13" s="7">
        <f>BF13+預測IC!BG13</f>
        <v>1.2360382488564079</v>
      </c>
      <c r="BH13" s="7">
        <f>BG13+預測IC!BH13</f>
        <v>1.244513978668027</v>
      </c>
      <c r="BI13" s="7">
        <f>BH13+預測IC!BI13</f>
        <v>1.2969231111247284</v>
      </c>
      <c r="BJ13" s="7">
        <f>BI13+預測IC!BJ13</f>
        <v>1.2800760251344634</v>
      </c>
      <c r="BK13" s="7">
        <f>BJ13+預測IC!BK13</f>
        <v>1.261685000254714</v>
      </c>
      <c r="BL13" s="7">
        <f>BK13+預測IC!BL13</f>
        <v>1.2936328604678891</v>
      </c>
      <c r="BM13" s="7">
        <f>BL13+預測IC!BM13</f>
        <v>1.2402610917726984</v>
      </c>
      <c r="BN13" s="7">
        <f>BM13+預測IC!BN13</f>
        <v>1.2513136336479747</v>
      </c>
      <c r="BO13" s="7">
        <f>BN13+預測IC!BO13</f>
        <v>1.2821923498814487</v>
      </c>
      <c r="BP13" s="7">
        <f>BO13+預測IC!BP13</f>
        <v>1.2916250455761003</v>
      </c>
      <c r="BQ13" s="7">
        <f>BP13+預測IC!BQ13</f>
        <v>1.3332781093655259</v>
      </c>
      <c r="BR13" s="7">
        <f>BQ13+預測IC!BR13</f>
        <v>1.3265966918819685</v>
      </c>
      <c r="BS13" s="7">
        <f>BR13+預測IC!BS13</f>
        <v>1.3340161637221881</v>
      </c>
      <c r="BT13" s="7">
        <f>BS13+預測IC!BT13</f>
        <v>1.3723596693386608</v>
      </c>
      <c r="BU13" s="7">
        <f>BT13+預測IC!BU13</f>
        <v>1.3900662243752147</v>
      </c>
      <c r="BV13" s="7">
        <f>BU13+預測IC!BV13</f>
        <v>1.4107198212514234</v>
      </c>
      <c r="BW13" s="7">
        <f>BV13+預測IC!BW13</f>
        <v>1.4124830590621005</v>
      </c>
      <c r="BX13" s="7">
        <f>BW13+預測IC!BX13</f>
        <v>1.433561126586127</v>
      </c>
      <c r="BY13" s="7">
        <f>BX13+預測IC!BY13</f>
        <v>1.4190487289156366</v>
      </c>
      <c r="BZ13" s="7">
        <f>BY13+預測IC!BZ13</f>
        <v>1.4951868519746867</v>
      </c>
      <c r="CA13" s="7">
        <f>BZ13+預測IC!CA13</f>
        <v>1.4616552863742898</v>
      </c>
      <c r="CB13" s="7">
        <f>CA13+預測IC!CB13</f>
        <v>1.4550594596490696</v>
      </c>
      <c r="CC13" s="7">
        <f>CB13+預測IC!CC13</f>
        <v>1.5751776333873029</v>
      </c>
      <c r="CD13" s="7">
        <f>CC13+預測IC!CD13</f>
        <v>1.6304336814087337</v>
      </c>
      <c r="CE13" s="7">
        <f>CD13+預測IC!CE13</f>
        <v>1.8142615178643424</v>
      </c>
      <c r="CF13" s="7">
        <f>CE13+預測IC!CF13</f>
        <v>1.8324904587009698</v>
      </c>
      <c r="CG13" s="7">
        <f>CF13+預測IC!CG13</f>
        <v>1.8400507273773441</v>
      </c>
      <c r="CH13" s="7">
        <f>CG13+預測IC!CH13</f>
        <v>1.8983853392045513</v>
      </c>
      <c r="CI13" s="7">
        <f>CH13+預測IC!CI13</f>
        <v>1.846531830070288</v>
      </c>
      <c r="CJ13" s="7">
        <f>CI13+預測IC!CJ13</f>
        <v>1.8434257420983369</v>
      </c>
      <c r="CK13" s="7">
        <f>CJ13+預測IC!CK13</f>
        <v>1.8754710113348008</v>
      </c>
      <c r="CL13" s="7">
        <f>CK13+預測IC!CL13</f>
        <v>1.9569243774369816</v>
      </c>
      <c r="CM13" s="7">
        <f>CL13+預測IC!CM13</f>
        <v>1.9466275736805865</v>
      </c>
      <c r="CN13" s="7">
        <f>CM13+預測IC!CN13</f>
        <v>1.9197400076817341</v>
      </c>
      <c r="CO13" s="7">
        <f>CN13+預測IC!CO13</f>
        <v>1.9062825491185067</v>
      </c>
      <c r="CP13" s="7">
        <f>CO13+預測IC!CP13</f>
        <v>1.976009089396241</v>
      </c>
      <c r="CQ13" s="7">
        <f>CP13+預測IC!CQ13</f>
        <v>1.904830224427837</v>
      </c>
      <c r="CR13" s="7">
        <f>CQ13+預測IC!CR13</f>
        <v>1.9692108731652493</v>
      </c>
      <c r="CS13" s="7">
        <f>CR13+預測IC!CS13</f>
        <v>1.9731585238282099</v>
      </c>
      <c r="CT13" s="7">
        <f>CS13+預測IC!CT13</f>
        <v>1.9812293231445885</v>
      </c>
      <c r="CU13" s="7">
        <f>CT13+預測IC!CU13</f>
        <v>2.0183907254268996</v>
      </c>
      <c r="CV13" s="7">
        <f>CU13+預測IC!CV13</f>
        <v>2.0154374132536415</v>
      </c>
      <c r="CW13" s="7">
        <f>CV13+預測IC!CW13</f>
        <v>2.0214144441098876</v>
      </c>
      <c r="CX13" s="7">
        <f>CW13+預測IC!CX13</f>
        <v>2.0814476993499405</v>
      </c>
      <c r="CY13" s="7">
        <f>CX13+預測IC!CY13</f>
        <v>2.0683289592349277</v>
      </c>
      <c r="CZ13" s="7">
        <f>CY13+預測IC!CZ13</f>
        <v>2.1255531795884126</v>
      </c>
      <c r="DA13" s="7">
        <f>CZ13+預測IC!DA13</f>
        <v>2.1199695026625913</v>
      </c>
      <c r="DB13" s="7">
        <f>DA13+預測IC!DB13</f>
        <v>2.2262048239655448</v>
      </c>
      <c r="DC13" s="7">
        <f>DB13+預測IC!DC13</f>
        <v>2.249745822633983</v>
      </c>
      <c r="DD13" s="7">
        <f>DC13+預測IC!DD13</f>
        <v>2.1983391690311644</v>
      </c>
      <c r="DE13" s="7">
        <f>DD13+預測IC!DE13</f>
        <v>2.2042681261572392</v>
      </c>
      <c r="DF13" s="7">
        <f>DE13+預測IC!DF13</f>
        <v>2.1757493293636045</v>
      </c>
      <c r="DG13" s="7">
        <f>DF13+預測IC!DG13</f>
        <v>2.1741186721907146</v>
      </c>
      <c r="DH13" s="7">
        <f>DG13+預測IC!DH13</f>
        <v>2.1854144400726296</v>
      </c>
      <c r="DI13" s="7">
        <f>DH13+預測IC!DI13</f>
        <v>2.1394374149779529</v>
      </c>
      <c r="DJ13" s="7">
        <f>DI13+預測IC!DJ13</f>
        <v>2.1454209996147657</v>
      </c>
      <c r="DK13" s="7">
        <f>DJ13+預測IC!DK13</f>
        <v>2.1578300738333933</v>
      </c>
      <c r="DL13" s="7">
        <f>DK13+預測IC!DL13</f>
        <v>2.1415298273420786</v>
      </c>
      <c r="DM13" s="7">
        <f>DL13+預測IC!DM13</f>
        <v>2.1348709582936349</v>
      </c>
      <c r="DN13" s="7">
        <f>DM13+預測IC!DN13</f>
        <v>2.146370536216148</v>
      </c>
      <c r="DO13" s="7">
        <f>DN13+預測IC!DO13</f>
        <v>2.1932619486042797</v>
      </c>
      <c r="DP13" s="7">
        <f>DO13+預測IC!DP13</f>
        <v>2.2420485844605493</v>
      </c>
      <c r="DQ13" s="7">
        <f>DP13+預測IC!DQ13</f>
        <v>2.2080821222085865</v>
      </c>
      <c r="DR13" s="7">
        <f>DQ13+預測IC!DR13</f>
        <v>2.2218533314808986</v>
      </c>
      <c r="DS13" s="7">
        <f>DR13+預測IC!DS13</f>
        <v>2.1829657036412287</v>
      </c>
      <c r="DT13" s="7">
        <f>DS13+預測IC!DT13</f>
        <v>2.2337969635317338</v>
      </c>
      <c r="DU13" s="7">
        <f>DT13+預測IC!DU13</f>
        <v>2.2007908040891153</v>
      </c>
      <c r="DV13" s="7">
        <f>DU13+預測IC!DV13</f>
        <v>2.2804109481133037</v>
      </c>
      <c r="DW13" s="7">
        <f>DV13+預測IC!DW13</f>
        <v>2.3248287377376542</v>
      </c>
      <c r="DX13" s="7">
        <f>DW13+預測IC!DX13</f>
        <v>2.2603053581591581</v>
      </c>
      <c r="DY13" s="7">
        <f>DX13+預測IC!DY13</f>
        <v>2.317286697206717</v>
      </c>
      <c r="DZ13" s="7">
        <f>DY13+預測IC!DZ13</f>
        <v>2.3355888213530185</v>
      </c>
      <c r="EA13" s="7">
        <f>DZ13+預測IC!EA13</f>
        <v>2.3977074985290483</v>
      </c>
      <c r="EB13" s="7">
        <f>EA13+預測IC!EB13</f>
        <v>2.4190807167284345</v>
      </c>
      <c r="EC13" s="7">
        <f>EB13+預測IC!EC13</f>
        <v>2.4003047131330524</v>
      </c>
      <c r="ED13" s="7">
        <f>EC13+預測IC!ED13</f>
        <v>2.3346226194738176</v>
      </c>
      <c r="EE13" s="7">
        <f>ED13+預測IC!EE13</f>
        <v>2.3425752130487822</v>
      </c>
      <c r="EF13" s="7">
        <f>EE13+預測IC!EF13</f>
        <v>2.4091524284123387</v>
      </c>
    </row>
    <row r="14" spans="1:137" x14ac:dyDescent="0.3">
      <c r="B14" s="1" t="s">
        <v>158</v>
      </c>
      <c r="C14" s="7">
        <v>0.1199414897527061</v>
      </c>
      <c r="D14" s="7">
        <f>C14+預測IC!D14</f>
        <v>0.34224993829333211</v>
      </c>
      <c r="E14" s="7">
        <f>D14+預測IC!E14</f>
        <v>0.44101818643555424</v>
      </c>
      <c r="F14" s="7">
        <f>E14+預測IC!F14</f>
        <v>0.47556065060125385</v>
      </c>
      <c r="G14" s="7">
        <f>F14+預測IC!G14</f>
        <v>0.56070941238498795</v>
      </c>
      <c r="H14" s="7">
        <f>G14+預測IC!H14</f>
        <v>0.6202972188204281</v>
      </c>
      <c r="I14" s="7">
        <f>H14+預測IC!I14</f>
        <v>0.69741218125179305</v>
      </c>
      <c r="J14" s="7">
        <f>I14+預測IC!J14</f>
        <v>0.59231779446908484</v>
      </c>
      <c r="K14" s="7">
        <f>J14+預測IC!K14</f>
        <v>0.60476895598487723</v>
      </c>
      <c r="L14" s="7">
        <f>K14+預測IC!L14</f>
        <v>0.59628850841932868</v>
      </c>
      <c r="M14" s="7">
        <f>L14+預測IC!M14</f>
        <v>0.60128302848611648</v>
      </c>
      <c r="N14" s="7">
        <f>M14+預測IC!N14</f>
        <v>0.80611560362734236</v>
      </c>
      <c r="O14" s="7">
        <f>N14+預測IC!O14</f>
        <v>0.84575791169687675</v>
      </c>
      <c r="P14" s="7">
        <f>O14+預測IC!P14</f>
        <v>0.89353767597968403</v>
      </c>
      <c r="Q14" s="7">
        <f>P14+預測IC!Q14</f>
        <v>0.95177562213431888</v>
      </c>
      <c r="R14" s="7">
        <f>Q14+預測IC!R14</f>
        <v>0.93762382582879433</v>
      </c>
      <c r="S14" s="7">
        <f>R14+預測IC!S14</f>
        <v>0.97615792535481205</v>
      </c>
      <c r="T14" s="7">
        <f>S14+預測IC!T14</f>
        <v>0.90631644583391613</v>
      </c>
      <c r="U14" s="7">
        <f>T14+預測IC!U14</f>
        <v>0.94289557535361801</v>
      </c>
      <c r="V14" s="7">
        <f>U14+預測IC!V14</f>
        <v>0.90452002908911344</v>
      </c>
      <c r="W14" s="7">
        <f>V14+預測IC!W14</f>
        <v>0.97852818847736645</v>
      </c>
      <c r="X14" s="7">
        <f>W14+預測IC!X14</f>
        <v>1.0321098969915496</v>
      </c>
      <c r="Y14" s="7">
        <f>X14+預測IC!Y14</f>
        <v>1.0153472336348601</v>
      </c>
      <c r="Z14" s="7">
        <f>Y14+預測IC!Z14</f>
        <v>1.036599434738311</v>
      </c>
      <c r="AA14" s="7">
        <f>Z14+預測IC!AA14</f>
        <v>1.0339720349714969</v>
      </c>
      <c r="AB14" s="7">
        <f>AA14+預測IC!AB14</f>
        <v>1.0066360563659429</v>
      </c>
      <c r="AC14" s="7">
        <f>AB14+預測IC!AC14</f>
        <v>0.9773439726003792</v>
      </c>
      <c r="AD14" s="7">
        <f>AC14+預測IC!AD14</f>
        <v>1.0472185643355214</v>
      </c>
      <c r="AE14" s="7">
        <f>AD14+預測IC!AE14</f>
        <v>1.043199657512641</v>
      </c>
      <c r="AF14" s="7">
        <f>AE14+預測IC!AF14</f>
        <v>1.08362036005504</v>
      </c>
      <c r="AG14" s="7">
        <f>AF14+預測IC!AG14</f>
        <v>1.090010561068933</v>
      </c>
      <c r="AH14" s="7">
        <f>AG14+預測IC!AH14</f>
        <v>1.0952608389994389</v>
      </c>
      <c r="AI14" s="7">
        <f>AH14+預測IC!AI14</f>
        <v>1.1673337899265599</v>
      </c>
      <c r="AJ14" s="7">
        <f>AI14+預測IC!AJ14</f>
        <v>1.182392826009711</v>
      </c>
      <c r="AK14" s="7">
        <f>AJ14+預測IC!AK14</f>
        <v>1.2593042568680131</v>
      </c>
      <c r="AL14" s="7">
        <f>AK14+預測IC!AL14</f>
        <v>1.2972734465904738</v>
      </c>
      <c r="AM14" s="7">
        <f>AL14+預測IC!AM14</f>
        <v>1.3585156129690992</v>
      </c>
      <c r="AN14" s="7">
        <f>AM14+預測IC!AN14</f>
        <v>1.4571102797386428</v>
      </c>
      <c r="AO14" s="7">
        <f>AN14+預測IC!AO14</f>
        <v>1.5180159852040527</v>
      </c>
      <c r="AP14" s="7">
        <f>AO14+預測IC!AP14</f>
        <v>1.4480394600519684</v>
      </c>
      <c r="AQ14" s="7">
        <f>AP14+預測IC!AQ14</f>
        <v>1.4476714923142084</v>
      </c>
      <c r="AR14" s="7">
        <f>AQ14+預測IC!AR14</f>
        <v>1.4853173320764714</v>
      </c>
      <c r="AS14" s="7">
        <f>AR14+預測IC!AS14</f>
        <v>1.5706943180295183</v>
      </c>
      <c r="AT14" s="7">
        <f>AS14+預測IC!AT14</f>
        <v>1.6052008977146628</v>
      </c>
      <c r="AU14" s="7">
        <f>AT14+預測IC!AU14</f>
        <v>1.6451925467179667</v>
      </c>
      <c r="AV14" s="7">
        <f>AU14+預測IC!AV14</f>
        <v>1.6265096612843495</v>
      </c>
      <c r="AW14" s="7">
        <f>AV14+預測IC!AW14</f>
        <v>1.608146729778392</v>
      </c>
      <c r="AX14" s="7">
        <f>AW14+預測IC!AX14</f>
        <v>1.7450977580727847</v>
      </c>
      <c r="AY14" s="7">
        <f>AX14+預測IC!AY14</f>
        <v>1.7601658768445463</v>
      </c>
      <c r="AZ14" s="7">
        <f>AY14+預測IC!AZ14</f>
        <v>1.7068173076723903</v>
      </c>
      <c r="BA14" s="7">
        <f>AZ14+預測IC!BA14</f>
        <v>1.8031546330283643</v>
      </c>
      <c r="BB14" s="7">
        <f>BA14+預測IC!BB14</f>
        <v>1.9050529732868222</v>
      </c>
      <c r="BC14" s="7">
        <f>BB14+預測IC!BC14</f>
        <v>1.8952319743315449</v>
      </c>
      <c r="BD14" s="7">
        <f>BC14+預測IC!BD14</f>
        <v>1.9385597559989503</v>
      </c>
      <c r="BE14" s="7">
        <f>BD14+預測IC!BE14</f>
        <v>1.9823468185344373</v>
      </c>
      <c r="BF14" s="7">
        <f>BE14+預測IC!BF14</f>
        <v>2.0231173400801272</v>
      </c>
      <c r="BG14" s="7">
        <f>BF14+預測IC!BG14</f>
        <v>2.06449160415406</v>
      </c>
      <c r="BH14" s="7">
        <f>BG14+預測IC!BH14</f>
        <v>2.0698343597226607</v>
      </c>
      <c r="BI14" s="7">
        <f>BH14+預測IC!BI14</f>
        <v>2.1200195726135145</v>
      </c>
      <c r="BJ14" s="7">
        <f>BI14+預測IC!BJ14</f>
        <v>2.1000023489422812</v>
      </c>
      <c r="BK14" s="7">
        <f>BJ14+預測IC!BK14</f>
        <v>2.0944085972852085</v>
      </c>
      <c r="BL14" s="7">
        <f>BK14+預測IC!BL14</f>
        <v>2.1541463641275787</v>
      </c>
      <c r="BM14" s="7">
        <f>BL14+預測IC!BM14</f>
        <v>2.1078680391245781</v>
      </c>
      <c r="BN14" s="7">
        <f>BM14+預測IC!BN14</f>
        <v>2.1288045771971293</v>
      </c>
      <c r="BO14" s="7">
        <f>BN14+預測IC!BO14</f>
        <v>2.1624136228743938</v>
      </c>
      <c r="BP14" s="7">
        <f>BO14+預測IC!BP14</f>
        <v>2.1780873563673531</v>
      </c>
      <c r="BQ14" s="7">
        <f>BP14+預測IC!BQ14</f>
        <v>2.1939308802373039</v>
      </c>
      <c r="BR14" s="7">
        <f>BQ14+預測IC!BR14</f>
        <v>2.1660014507046861</v>
      </c>
      <c r="BS14" s="7">
        <f>BR14+預測IC!BS14</f>
        <v>2.124507495560108</v>
      </c>
      <c r="BT14" s="7">
        <f>BS14+預測IC!BT14</f>
        <v>2.1985204578964193</v>
      </c>
      <c r="BU14" s="7">
        <f>BT14+預測IC!BU14</f>
        <v>2.1896656225383886</v>
      </c>
      <c r="BV14" s="7">
        <f>BU14+預測IC!BV14</f>
        <v>2.2153928045548161</v>
      </c>
      <c r="BW14" s="7">
        <f>BV14+預測IC!BW14</f>
        <v>2.2279007528124093</v>
      </c>
      <c r="BX14" s="7">
        <f>BW14+預測IC!BX14</f>
        <v>2.2828715129343622</v>
      </c>
      <c r="BY14" s="7">
        <f>BX14+預測IC!BY14</f>
        <v>2.2762752195693974</v>
      </c>
      <c r="BZ14" s="7">
        <f>BY14+預測IC!BZ14</f>
        <v>2.3363092763981799</v>
      </c>
      <c r="CA14" s="7">
        <f>BZ14+預測IC!CA14</f>
        <v>2.3118440102832429</v>
      </c>
      <c r="CB14" s="7">
        <f>CA14+預測IC!CB14</f>
        <v>2.3339716268254178</v>
      </c>
      <c r="CC14" s="7">
        <f>CB14+預測IC!CC14</f>
        <v>2.4545677854146004</v>
      </c>
      <c r="CD14" s="7">
        <f>CC14+預測IC!CD14</f>
        <v>2.502489626327185</v>
      </c>
      <c r="CE14" s="7">
        <f>CD14+預測IC!CE14</f>
        <v>2.6730449288157354</v>
      </c>
      <c r="CF14" s="7">
        <f>CE14+預測IC!CF14</f>
        <v>2.6527347118932156</v>
      </c>
      <c r="CG14" s="7">
        <f>CF14+預測IC!CG14</f>
        <v>2.7916613884111556</v>
      </c>
      <c r="CH14" s="7">
        <f>CG14+預測IC!CH14</f>
        <v>2.8563227806893727</v>
      </c>
      <c r="CI14" s="7">
        <f>CH14+預測IC!CI14</f>
        <v>2.7504380033260141</v>
      </c>
      <c r="CJ14" s="7">
        <f>CI14+預測IC!CJ14</f>
        <v>2.7217701483818395</v>
      </c>
      <c r="CK14" s="7">
        <f>CJ14+預測IC!CK14</f>
        <v>2.7357865127724854</v>
      </c>
      <c r="CL14" s="7">
        <f>CK14+預測IC!CL14</f>
        <v>2.798056467651322</v>
      </c>
      <c r="CM14" s="7">
        <f>CL14+預測IC!CM14</f>
        <v>2.8300964780196392</v>
      </c>
      <c r="CN14" s="7">
        <f>CM14+預測IC!CN14</f>
        <v>2.8070697893487129</v>
      </c>
      <c r="CO14" s="7">
        <f>CN14+預測IC!CO14</f>
        <v>2.7334820693098201</v>
      </c>
      <c r="CP14" s="7">
        <f>CO14+預測IC!CP14</f>
        <v>2.8332914007915728</v>
      </c>
      <c r="CQ14" s="7">
        <f>CP14+預測IC!CQ14</f>
        <v>2.8010635009041853</v>
      </c>
      <c r="CR14" s="7">
        <f>CQ14+預測IC!CR14</f>
        <v>2.8637041562806331</v>
      </c>
      <c r="CS14" s="7">
        <f>CR14+預測IC!CS14</f>
        <v>2.8598880429371132</v>
      </c>
      <c r="CT14" s="7">
        <f>CS14+預測IC!CT14</f>
        <v>2.8789886194877981</v>
      </c>
      <c r="CU14" s="7">
        <f>CT14+預測IC!CU14</f>
        <v>2.8350715167905833</v>
      </c>
      <c r="CV14" s="7">
        <f>CU14+預測IC!CV14</f>
        <v>2.8578172319288386</v>
      </c>
      <c r="CW14" s="7">
        <f>CV14+預測IC!CW14</f>
        <v>2.8544188494653677</v>
      </c>
      <c r="CX14" s="7">
        <f>CW14+預測IC!CX14</f>
        <v>2.8907182583536071</v>
      </c>
      <c r="CY14" s="7">
        <f>CX14+預測IC!CY14</f>
        <v>2.861959138062133</v>
      </c>
      <c r="CZ14" s="7">
        <f>CY14+預測IC!CZ14</f>
        <v>2.9260227014125162</v>
      </c>
      <c r="DA14" s="7">
        <f>CZ14+預測IC!DA14</f>
        <v>2.9017184122419315</v>
      </c>
      <c r="DB14" s="7">
        <f>DA14+預測IC!DB14</f>
        <v>3.0063258533421613</v>
      </c>
      <c r="DC14" s="7">
        <f>DB14+預測IC!DC14</f>
        <v>3.0210796148391887</v>
      </c>
      <c r="DD14" s="7">
        <f>DC14+預測IC!DD14</f>
        <v>2.9671796480903949</v>
      </c>
      <c r="DE14" s="7">
        <f>DD14+預測IC!DE14</f>
        <v>2.9725639476981596</v>
      </c>
      <c r="DF14" s="7">
        <f>DE14+預測IC!DF14</f>
        <v>2.9367073171410971</v>
      </c>
      <c r="DG14" s="7">
        <f>DF14+預測IC!DG14</f>
        <v>2.9481538735344142</v>
      </c>
      <c r="DH14" s="7">
        <f>DG14+預測IC!DH14</f>
        <v>2.9529287107773259</v>
      </c>
      <c r="DI14" s="7">
        <f>DH14+預測IC!DI14</f>
        <v>2.8943308910684089</v>
      </c>
      <c r="DJ14" s="7">
        <f>DI14+預測IC!DJ14</f>
        <v>2.9102284828811786</v>
      </c>
      <c r="DK14" s="7">
        <f>DJ14+預測IC!DK14</f>
        <v>2.9292995459988345</v>
      </c>
      <c r="DL14" s="7">
        <f>DK14+預測IC!DL14</f>
        <v>2.9141343844439458</v>
      </c>
      <c r="DM14" s="7">
        <f>DL14+預測IC!DM14</f>
        <v>2.9196386535375964</v>
      </c>
      <c r="DN14" s="7">
        <f>DM14+預測IC!DN14</f>
        <v>2.9623011494308606</v>
      </c>
      <c r="DO14" s="7">
        <f>DN14+預測IC!DO14</f>
        <v>3.003676794593658</v>
      </c>
      <c r="DP14" s="7">
        <f>DO14+預測IC!DP14</f>
        <v>3.0472165109513099</v>
      </c>
      <c r="DQ14" s="7">
        <f>DP14+預測IC!DQ14</f>
        <v>2.9911972249651195</v>
      </c>
      <c r="DR14" s="7">
        <f>DQ14+預測IC!DR14</f>
        <v>3.0438197444241193</v>
      </c>
      <c r="DS14" s="7">
        <f>DR14+預測IC!DS14</f>
        <v>3.0087748381532027</v>
      </c>
      <c r="DT14" s="7">
        <f>DS14+預測IC!DT14</f>
        <v>3.1264473514849591</v>
      </c>
      <c r="DU14" s="7">
        <f>DT14+預測IC!DU14</f>
        <v>3.057652078292795</v>
      </c>
      <c r="DV14" s="7">
        <f>DU14+預測IC!DV14</f>
        <v>3.1659144328229023</v>
      </c>
      <c r="DW14" s="7">
        <f>DV14+預測IC!DW14</f>
        <v>3.2642587998406802</v>
      </c>
      <c r="DX14" s="7">
        <f>DW14+預測IC!DX14</f>
        <v>3.162327294288259</v>
      </c>
      <c r="DY14" s="7">
        <f>DX14+預測IC!DY14</f>
        <v>3.2365859943670094</v>
      </c>
      <c r="DZ14" s="7">
        <f>DY14+預測IC!DZ14</f>
        <v>3.2716169942307896</v>
      </c>
      <c r="EA14" s="7">
        <f>DZ14+預測IC!EA14</f>
        <v>3.3791424774283132</v>
      </c>
      <c r="EB14" s="7">
        <f>EA14+預測IC!EB14</f>
        <v>3.4123198105409038</v>
      </c>
      <c r="EC14" s="7">
        <f>EB14+預測IC!EC14</f>
        <v>3.3930283508751544</v>
      </c>
      <c r="ED14" s="7">
        <f>EC14+預測IC!ED14</f>
        <v>3.2903986416889675</v>
      </c>
      <c r="EE14" s="7">
        <f>ED14+預測IC!EE14</f>
        <v>3.3092657985338598</v>
      </c>
      <c r="EF14" s="7">
        <f>EE14+預測IC!EF14</f>
        <v>3.3792222190324179</v>
      </c>
    </row>
    <row r="15" spans="1:137" x14ac:dyDescent="0.3">
      <c r="B15" s="1" t="s">
        <v>159</v>
      </c>
      <c r="C15" s="7">
        <v>0.22764465877785839</v>
      </c>
      <c r="D15" s="7">
        <f>C15+預測IC!D15</f>
        <v>0.60035387438778398</v>
      </c>
      <c r="E15" s="7">
        <f>D15+預測IC!E15</f>
        <v>0.66239955450474175</v>
      </c>
      <c r="F15" s="7">
        <f>E15+預測IC!F15</f>
        <v>0.75270326751449845</v>
      </c>
      <c r="G15" s="7">
        <f>F15+預測IC!G15</f>
        <v>0.84930885806476009</v>
      </c>
      <c r="H15" s="7">
        <f>G15+預測IC!H15</f>
        <v>0.96815256177211939</v>
      </c>
      <c r="I15" s="7">
        <f>H15+預測IC!I15</f>
        <v>1.0948813028916313</v>
      </c>
      <c r="J15" s="7">
        <f>I15+預測IC!J15</f>
        <v>1.0303566127818757</v>
      </c>
      <c r="K15" s="7">
        <f>J15+預測IC!K15</f>
        <v>1.026146246396535</v>
      </c>
      <c r="L15" s="7">
        <f>K15+預測IC!L15</f>
        <v>1.0391133313575753</v>
      </c>
      <c r="M15" s="7">
        <f>L15+預測IC!M15</f>
        <v>1.0646110408370626</v>
      </c>
      <c r="N15" s="7">
        <f>M15+預測IC!N15</f>
        <v>1.3949203777018697</v>
      </c>
      <c r="O15" s="7">
        <f>N15+預測IC!O15</f>
        <v>1.4410238709549952</v>
      </c>
      <c r="P15" s="7">
        <f>O15+預測IC!P15</f>
        <v>1.4940071541473507</v>
      </c>
      <c r="Q15" s="7">
        <f>P15+預測IC!Q15</f>
        <v>1.5943825037312416</v>
      </c>
      <c r="R15" s="7">
        <f>Q15+預測IC!R15</f>
        <v>1.6111379400218597</v>
      </c>
      <c r="S15" s="7">
        <f>R15+預測IC!S15</f>
        <v>1.5681040062485283</v>
      </c>
      <c r="T15" s="7">
        <f>S15+預測IC!T15</f>
        <v>1.5013038813054163</v>
      </c>
      <c r="U15" s="7">
        <f>T15+預測IC!U15</f>
        <v>1.548094124464048</v>
      </c>
      <c r="V15" s="7">
        <f>U15+預測IC!V15</f>
        <v>1.4624132425851746</v>
      </c>
      <c r="W15" s="7">
        <f>V15+預測IC!W15</f>
        <v>1.5649568365679176</v>
      </c>
      <c r="X15" s="7">
        <f>W15+預測IC!X15</f>
        <v>1.643393249013505</v>
      </c>
      <c r="Y15" s="7">
        <f>X15+預測IC!Y15</f>
        <v>1.6192046304663501</v>
      </c>
      <c r="Z15" s="7">
        <f>Y15+預測IC!Z15</f>
        <v>1.5955482117806794</v>
      </c>
      <c r="AA15" s="7">
        <f>Z15+預測IC!AA15</f>
        <v>1.6421343357064724</v>
      </c>
      <c r="AB15" s="7">
        <f>AA15+預測IC!AB15</f>
        <v>1.6199679349655394</v>
      </c>
      <c r="AC15" s="7">
        <f>AB15+預測IC!AC15</f>
        <v>1.5799128053954232</v>
      </c>
      <c r="AD15" s="7">
        <f>AC15+預測IC!AD15</f>
        <v>1.6616261802836056</v>
      </c>
      <c r="AE15" s="7">
        <f>AD15+預測IC!AE15</f>
        <v>1.7089126565293091</v>
      </c>
      <c r="AF15" s="7">
        <f>AE15+預測IC!AF15</f>
        <v>1.774732269026349</v>
      </c>
      <c r="AG15" s="7">
        <f>AF15+預測IC!AG15</f>
        <v>1.7649869584244442</v>
      </c>
      <c r="AH15" s="7">
        <f>AG15+預測IC!AH15</f>
        <v>1.7313825850667677</v>
      </c>
      <c r="AI15" s="7">
        <f>AH15+預測IC!AI15</f>
        <v>1.8168126958823747</v>
      </c>
      <c r="AJ15" s="7">
        <f>AI15+預測IC!AJ15</f>
        <v>1.8262775558498505</v>
      </c>
      <c r="AK15" s="7">
        <f>AJ15+預測IC!AK15</f>
        <v>1.8880371755082954</v>
      </c>
      <c r="AL15" s="7">
        <f>AK15+預測IC!AL15</f>
        <v>1.93246883800411</v>
      </c>
      <c r="AM15" s="7">
        <f>AL15+預測IC!AM15</f>
        <v>1.987591460138737</v>
      </c>
      <c r="AN15" s="7">
        <f>AM15+預測IC!AN15</f>
        <v>2.0892801660511204</v>
      </c>
      <c r="AO15" s="7">
        <f>AN15+預測IC!AO15</f>
        <v>2.1526499785145874</v>
      </c>
      <c r="AP15" s="7">
        <f>AO15+預測IC!AP15</f>
        <v>2.0743642846218333</v>
      </c>
      <c r="AQ15" s="7">
        <f>AP15+預測IC!AQ15</f>
        <v>2.0369971578257116</v>
      </c>
      <c r="AR15" s="7">
        <f>AQ15+預測IC!AR15</f>
        <v>2.1272910133016283</v>
      </c>
      <c r="AS15" s="7">
        <f>AR15+預測IC!AS15</f>
        <v>2.1811121923387424</v>
      </c>
      <c r="AT15" s="7">
        <f>AS15+預測IC!AT15</f>
        <v>2.2463671829911709</v>
      </c>
      <c r="AU15" s="7">
        <f>AT15+預測IC!AU15</f>
        <v>2.286310444080637</v>
      </c>
      <c r="AV15" s="7">
        <f>AU15+預測IC!AV15</f>
        <v>2.2390836257531981</v>
      </c>
      <c r="AW15" s="7">
        <f>AV15+預測IC!AW15</f>
        <v>2.2547435650077792</v>
      </c>
      <c r="AX15" s="7">
        <f>AW15+預測IC!AX15</f>
        <v>2.3799775421825142</v>
      </c>
      <c r="AY15" s="7">
        <f>AX15+預測IC!AY15</f>
        <v>2.4079946062925472</v>
      </c>
      <c r="AZ15" s="7">
        <f>AY15+預測IC!AZ15</f>
        <v>2.3166713262240437</v>
      </c>
      <c r="BA15" s="7">
        <f>AZ15+預測IC!BA15</f>
        <v>2.4743592746323824</v>
      </c>
      <c r="BB15" s="7">
        <f>BA15+預測IC!BB15</f>
        <v>2.5831483744485051</v>
      </c>
      <c r="BC15" s="7">
        <f>BB15+預測IC!BC15</f>
        <v>2.6453035181163354</v>
      </c>
      <c r="BD15" s="7">
        <f>BC15+預測IC!BD15</f>
        <v>2.6983467920211313</v>
      </c>
      <c r="BE15" s="7">
        <f>BD15+預測IC!BE15</f>
        <v>2.7467895130387943</v>
      </c>
      <c r="BF15" s="7">
        <f>BE15+預測IC!BF15</f>
        <v>2.7944524924955463</v>
      </c>
      <c r="BG15" s="7">
        <f>BF15+預測IC!BG15</f>
        <v>2.7969420312301114</v>
      </c>
      <c r="BH15" s="7">
        <f>BG15+預測IC!BH15</f>
        <v>2.8313838767118007</v>
      </c>
      <c r="BI15" s="7">
        <f>BH15+預測IC!BI15</f>
        <v>2.8999705358267702</v>
      </c>
      <c r="BJ15" s="7">
        <f>BI15+預測IC!BJ15</f>
        <v>2.8887055087393252</v>
      </c>
      <c r="BK15" s="7">
        <f>BJ15+預測IC!BK15</f>
        <v>2.889529261007131</v>
      </c>
      <c r="BL15" s="7">
        <f>BK15+預測IC!BL15</f>
        <v>2.9489331323484795</v>
      </c>
      <c r="BM15" s="7">
        <f>BL15+預測IC!BM15</f>
        <v>2.9007141278607356</v>
      </c>
      <c r="BN15" s="7">
        <f>BM15+預測IC!BN15</f>
        <v>2.9408566975939254</v>
      </c>
      <c r="BO15" s="7">
        <f>BN15+預測IC!BO15</f>
        <v>2.9685911735488566</v>
      </c>
      <c r="BP15" s="7">
        <f>BO15+預測IC!BP15</f>
        <v>2.9827753942566613</v>
      </c>
      <c r="BQ15" s="7">
        <f>BP15+預測IC!BQ15</f>
        <v>2.995578325546989</v>
      </c>
      <c r="BR15" s="7">
        <f>BQ15+預測IC!BR15</f>
        <v>2.9454208964249293</v>
      </c>
      <c r="BS15" s="7">
        <f>BR15+預測IC!BS15</f>
        <v>2.9285971189746429</v>
      </c>
      <c r="BT15" s="7">
        <f>BS15+預測IC!BT15</f>
        <v>3.0176573247059775</v>
      </c>
      <c r="BU15" s="7">
        <f>BT15+預測IC!BU15</f>
        <v>3.0371337445017708</v>
      </c>
      <c r="BV15" s="7">
        <f>BU15+預測IC!BV15</f>
        <v>3.0960487122543197</v>
      </c>
      <c r="BW15" s="7">
        <f>BV15+預測IC!BW15</f>
        <v>3.0601028221249158</v>
      </c>
      <c r="BX15" s="7">
        <f>BW15+預測IC!BX15</f>
        <v>3.0887387171906471</v>
      </c>
      <c r="BY15" s="7">
        <f>BX15+預測IC!BY15</f>
        <v>3.0270446257115871</v>
      </c>
      <c r="BZ15" s="7">
        <f>BY15+預測IC!BZ15</f>
        <v>3.1299510946889342</v>
      </c>
      <c r="CA15" s="7">
        <f>BZ15+預測IC!CA15</f>
        <v>3.1113590738924919</v>
      </c>
      <c r="CB15" s="7">
        <f>CA15+預測IC!CB15</f>
        <v>3.1264159679043164</v>
      </c>
      <c r="CC15" s="7">
        <f>CB15+預測IC!CC15</f>
        <v>3.3000676736264363</v>
      </c>
      <c r="CD15" s="7">
        <f>CC15+預測IC!CD15</f>
        <v>3.3891621933022567</v>
      </c>
      <c r="CE15" s="7">
        <f>CD15+預測IC!CE15</f>
        <v>3.4625303133507073</v>
      </c>
      <c r="CF15" s="7">
        <f>CE15+預測IC!CF15</f>
        <v>3.4589034964203846</v>
      </c>
      <c r="CG15" s="7">
        <f>CF15+預測IC!CG15</f>
        <v>3.6846347236855119</v>
      </c>
      <c r="CH15" s="7">
        <f>CG15+預測IC!CH15</f>
        <v>3.7475206819692133</v>
      </c>
      <c r="CI15" s="7">
        <f>CH15+預測IC!CI15</f>
        <v>3.7087222670742324</v>
      </c>
      <c r="CJ15" s="7">
        <f>CI15+預測IC!CJ15</f>
        <v>3.6216779110015143</v>
      </c>
      <c r="CK15" s="7">
        <f>CJ15+預測IC!CK15</f>
        <v>3.6783505567736139</v>
      </c>
      <c r="CL15" s="7">
        <f>CK15+預測IC!CL15</f>
        <v>3.7097725317668622</v>
      </c>
      <c r="CM15" s="7">
        <f>CL15+預測IC!CM15</f>
        <v>3.7844036478953158</v>
      </c>
      <c r="CN15" s="7">
        <f>CM15+預測IC!CN15</f>
        <v>3.7417695320961557</v>
      </c>
      <c r="CO15" s="7">
        <f>CN15+預測IC!CO15</f>
        <v>3.6123205072141142</v>
      </c>
      <c r="CP15" s="7">
        <f>CO15+預測IC!CP15</f>
        <v>3.7398563426470641</v>
      </c>
      <c r="CQ15" s="7">
        <f>CP15+預測IC!CQ15</f>
        <v>3.7648197031035031</v>
      </c>
      <c r="CR15" s="7">
        <f>CQ15+預測IC!CR15</f>
        <v>3.7891940218012583</v>
      </c>
      <c r="CS15" s="7">
        <f>CR15+預測IC!CS15</f>
        <v>3.8061050085055137</v>
      </c>
      <c r="CT15" s="7">
        <f>CS15+預測IC!CT15</f>
        <v>3.8134995834809686</v>
      </c>
      <c r="CU15" s="7">
        <f>CT15+預測IC!CU15</f>
        <v>3.7503209235661958</v>
      </c>
      <c r="CV15" s="7">
        <f>CU15+預測IC!CV15</f>
        <v>3.7441790766613869</v>
      </c>
      <c r="CW15" s="7">
        <f>CV15+預測IC!CW15</f>
        <v>3.7316944164809467</v>
      </c>
      <c r="CX15" s="7">
        <f>CW15+預測IC!CX15</f>
        <v>3.7557340235342775</v>
      </c>
      <c r="CY15" s="7">
        <f>CX15+預測IC!CY15</f>
        <v>3.7132633504565153</v>
      </c>
      <c r="CZ15" s="7">
        <f>CY15+預測IC!CZ15</f>
        <v>3.7931502984008576</v>
      </c>
      <c r="DA15" s="7">
        <f>CZ15+預測IC!DA15</f>
        <v>3.7667744629589812</v>
      </c>
      <c r="DB15" s="7">
        <f>DA15+預測IC!DB15</f>
        <v>3.8638227044844462</v>
      </c>
      <c r="DC15" s="7">
        <f>DB15+預測IC!DC15</f>
        <v>3.9405497288174152</v>
      </c>
      <c r="DD15" s="7">
        <f>DC15+預測IC!DD15</f>
        <v>3.8730233197496799</v>
      </c>
      <c r="DE15" s="7">
        <f>DD15+預測IC!DE15</f>
        <v>3.8979720344947228</v>
      </c>
      <c r="DF15" s="7">
        <f>DE15+預測IC!DF15</f>
        <v>3.8555807280953283</v>
      </c>
      <c r="DG15" s="7">
        <f>DF15+預測IC!DG15</f>
        <v>3.8717774597135692</v>
      </c>
      <c r="DH15" s="7">
        <f>DG15+預測IC!DH15</f>
        <v>3.8530684486696773</v>
      </c>
      <c r="DI15" s="7">
        <f>DH15+預測IC!DI15</f>
        <v>3.8413499996602196</v>
      </c>
      <c r="DJ15" s="7">
        <f>DI15+預測IC!DJ15</f>
        <v>3.8889166221012839</v>
      </c>
      <c r="DK15" s="7">
        <f>DJ15+預測IC!DK15</f>
        <v>3.990691456152752</v>
      </c>
      <c r="DL15" s="7">
        <f>DK15+預測IC!DL15</f>
        <v>4.0533269502411899</v>
      </c>
      <c r="DM15" s="7">
        <f>DL15+預測IC!DM15</f>
        <v>4.0295184033735216</v>
      </c>
      <c r="DN15" s="7">
        <f>DM15+預測IC!DN15</f>
        <v>4.0735149007971412</v>
      </c>
      <c r="DO15" s="7">
        <f>DN15+預測IC!DO15</f>
        <v>4.1198116280309423</v>
      </c>
      <c r="DP15" s="7">
        <f>DO15+預測IC!DP15</f>
        <v>4.1435472300378349</v>
      </c>
      <c r="DQ15" s="7">
        <f>DP15+預測IC!DQ15</f>
        <v>4.0706091501336923</v>
      </c>
      <c r="DR15" s="7">
        <f>DQ15+預測IC!DR15</f>
        <v>4.1406197167516305</v>
      </c>
      <c r="DS15" s="7">
        <f>DR15+預測IC!DS15</f>
        <v>4.0643778083398336</v>
      </c>
      <c r="DT15" s="7">
        <f>DS15+預測IC!DT15</f>
        <v>4.0986742072510012</v>
      </c>
      <c r="DU15" s="7">
        <f>DT15+預測IC!DU15</f>
        <v>3.9815465537403534</v>
      </c>
      <c r="DV15" s="7">
        <f>DU15+預測IC!DV15</f>
        <v>4.1213149106812246</v>
      </c>
      <c r="DW15" s="7">
        <f>DV15+預測IC!DW15</f>
        <v>4.1468535378280569</v>
      </c>
      <c r="DX15" s="7">
        <f>DW15+預測IC!DX15</f>
        <v>4.0282372871780705</v>
      </c>
      <c r="DY15" s="7">
        <f>DX15+預測IC!DY15</f>
        <v>4.1718468615588531</v>
      </c>
      <c r="DZ15" s="7">
        <f>DY15+預測IC!DZ15</f>
        <v>4.2123025148628628</v>
      </c>
      <c r="EA15" s="7">
        <f>DZ15+預測IC!EA15</f>
        <v>4.3214794477727416</v>
      </c>
      <c r="EB15" s="7">
        <f>EA15+預測IC!EB15</f>
        <v>4.3699980209039868</v>
      </c>
      <c r="EC15" s="7">
        <f>EB15+預測IC!EC15</f>
        <v>4.3522125025092624</v>
      </c>
      <c r="ED15" s="7">
        <f>EC15+預測IC!ED15</f>
        <v>4.2388554465739512</v>
      </c>
      <c r="EE15" s="7">
        <f>ED15+預測IC!EE15</f>
        <v>4.2226100320378626</v>
      </c>
      <c r="EF15" s="7">
        <f>EE15+預測IC!EF15</f>
        <v>4.2883110231767052</v>
      </c>
    </row>
    <row r="16" spans="1:137" x14ac:dyDescent="0.3">
      <c r="B16" s="1" t="s">
        <v>161</v>
      </c>
      <c r="C16" s="7">
        <v>0.20787477708292909</v>
      </c>
      <c r="D16" s="7">
        <f>C16+預測IC!D16</f>
        <v>0.61606975581550971</v>
      </c>
      <c r="E16" s="7">
        <f>D16+預測IC!E16</f>
        <v>0.68107633292683789</v>
      </c>
      <c r="F16" s="7">
        <f>E16+預測IC!F16</f>
        <v>0.80533612083453709</v>
      </c>
      <c r="G16" s="7">
        <f>F16+預測IC!G16</f>
        <v>0.91434863353130869</v>
      </c>
      <c r="H16" s="7">
        <f>G16+預測IC!H16</f>
        <v>0.98719668981895614</v>
      </c>
      <c r="I16" s="7">
        <f>H16+預測IC!I16</f>
        <v>1.0989889917988633</v>
      </c>
      <c r="J16" s="7">
        <f>I16+預測IC!J16</f>
        <v>1.0302949585456356</v>
      </c>
      <c r="K16" s="7">
        <f>J16+預測IC!K16</f>
        <v>1.0482200630638987</v>
      </c>
      <c r="L16" s="7">
        <f>K16+預測IC!L16</f>
        <v>1.0792472140293718</v>
      </c>
      <c r="M16" s="7">
        <f>L16+預測IC!M16</f>
        <v>1.1195816687546125</v>
      </c>
      <c r="N16" s="7">
        <f>M16+預測IC!N16</f>
        <v>1.4865692778771988</v>
      </c>
      <c r="O16" s="7">
        <f>N16+預測IC!O16</f>
        <v>1.5021903701025092</v>
      </c>
      <c r="P16" s="7">
        <f>O16+預測IC!P16</f>
        <v>1.5641701053834172</v>
      </c>
      <c r="Q16" s="7">
        <f>P16+預測IC!Q16</f>
        <v>1.6607882785583268</v>
      </c>
      <c r="R16" s="7">
        <f>Q16+預測IC!R16</f>
        <v>1.6799710408139619</v>
      </c>
      <c r="S16" s="7">
        <f>R16+預測IC!S16</f>
        <v>1.6375558576030078</v>
      </c>
      <c r="T16" s="7">
        <f>S16+預測IC!T16</f>
        <v>1.5703367974454066</v>
      </c>
      <c r="U16" s="7">
        <f>T16+預測IC!U16</f>
        <v>1.6189883132382084</v>
      </c>
      <c r="V16" s="7">
        <f>U16+預測IC!V16</f>
        <v>1.5146721376367667</v>
      </c>
      <c r="W16" s="7">
        <f>V16+預測IC!W16</f>
        <v>1.6163378136845785</v>
      </c>
      <c r="X16" s="7">
        <f>W16+預測IC!X16</f>
        <v>1.6900160913420457</v>
      </c>
      <c r="Y16" s="7">
        <f>X16+預測IC!Y16</f>
        <v>1.6857286442503092</v>
      </c>
      <c r="Z16" s="7">
        <f>Y16+預測IC!Z16</f>
        <v>1.6656528493718845</v>
      </c>
      <c r="AA16" s="7">
        <f>Z16+預測IC!AA16</f>
        <v>1.7158783762377989</v>
      </c>
      <c r="AB16" s="7">
        <f>AA16+預測IC!AB16</f>
        <v>1.6835829618037312</v>
      </c>
      <c r="AC16" s="7">
        <f>AB16+預測IC!AC16</f>
        <v>1.6425424390946481</v>
      </c>
      <c r="AD16" s="7">
        <f>AC16+預測IC!AD16</f>
        <v>1.695678494642505</v>
      </c>
      <c r="AE16" s="7">
        <f>AD16+預測IC!AE16</f>
        <v>1.7472134865244069</v>
      </c>
      <c r="AF16" s="7">
        <f>AE16+預測IC!AF16</f>
        <v>1.810899329105996</v>
      </c>
      <c r="AG16" s="7">
        <f>AF16+預測IC!AG16</f>
        <v>1.80259742150311</v>
      </c>
      <c r="AH16" s="7">
        <f>AG16+預測IC!AH16</f>
        <v>1.7708320210536694</v>
      </c>
      <c r="AI16" s="7">
        <f>AH16+預測IC!AI16</f>
        <v>1.8199100642302375</v>
      </c>
      <c r="AJ16" s="7">
        <f>AI16+預測IC!AJ16</f>
        <v>1.8128840981583614</v>
      </c>
      <c r="AK16" s="7">
        <f>AJ16+預測IC!AK16</f>
        <v>1.8773054989907334</v>
      </c>
      <c r="AL16" s="7">
        <f>AK16+預測IC!AL16</f>
        <v>1.9259944320952567</v>
      </c>
      <c r="AM16" s="7">
        <f>AL16+預測IC!AM16</f>
        <v>1.9920711626970546</v>
      </c>
      <c r="AN16" s="7">
        <f>AM16+預測IC!AN16</f>
        <v>2.0985273627867302</v>
      </c>
      <c r="AO16" s="7">
        <f>AN16+預測IC!AO16</f>
        <v>2.1599520346126426</v>
      </c>
      <c r="AP16" s="7">
        <f>AO16+預測IC!AP16</f>
        <v>2.0821536664670539</v>
      </c>
      <c r="AQ16" s="7">
        <f>AP16+預測IC!AQ16</f>
        <v>2.0436874663209852</v>
      </c>
      <c r="AR16" s="7">
        <f>AQ16+預測IC!AR16</f>
        <v>2.1469786453814774</v>
      </c>
      <c r="AS16" s="7">
        <f>AR16+預測IC!AS16</f>
        <v>2.2120468708554468</v>
      </c>
      <c r="AT16" s="7">
        <f>AS16+預測IC!AT16</f>
        <v>2.261594026173817</v>
      </c>
      <c r="AU16" s="7">
        <f>AT16+預測IC!AU16</f>
        <v>2.3034208644287122</v>
      </c>
      <c r="AV16" s="7">
        <f>AU16+預測IC!AV16</f>
        <v>2.2943483576486936</v>
      </c>
      <c r="AW16" s="7">
        <f>AV16+預測IC!AW16</f>
        <v>2.3336012877233441</v>
      </c>
      <c r="AX16" s="7">
        <f>AW16+預測IC!AX16</f>
        <v>2.434431060967317</v>
      </c>
      <c r="AY16" s="7">
        <f>AX16+預測IC!AY16</f>
        <v>2.468243650811663</v>
      </c>
      <c r="AZ16" s="7">
        <f>AY16+預測IC!AZ16</f>
        <v>2.363334015632951</v>
      </c>
      <c r="BA16" s="7">
        <f>AZ16+預測IC!BA16</f>
        <v>2.523324715807572</v>
      </c>
      <c r="BB16" s="7">
        <f>BA16+預測IC!BB16</f>
        <v>2.6557994534041436</v>
      </c>
      <c r="BC16" s="7">
        <f>BB16+預測IC!BC16</f>
        <v>2.7229209195118353</v>
      </c>
      <c r="BD16" s="7">
        <f>BC16+預測IC!BD16</f>
        <v>2.7588576310577393</v>
      </c>
      <c r="BE16" s="7">
        <f>BD16+預測IC!BE16</f>
        <v>2.8102686254522142</v>
      </c>
      <c r="BF16" s="7">
        <f>BE16+預測IC!BF16</f>
        <v>2.8745366797719325</v>
      </c>
      <c r="BG16" s="7">
        <f>BF16+預測IC!BG16</f>
        <v>2.8880099618198893</v>
      </c>
      <c r="BH16" s="7">
        <f>BG16+預測IC!BH16</f>
        <v>2.8742343473359275</v>
      </c>
      <c r="BI16" s="7">
        <f>BH16+預測IC!BI16</f>
        <v>2.9156781550991893</v>
      </c>
      <c r="BJ16" s="7">
        <f>BI16+預測IC!BJ16</f>
        <v>2.8951743388159819</v>
      </c>
      <c r="BK16" s="7">
        <f>BJ16+預測IC!BK16</f>
        <v>2.8981463291111789</v>
      </c>
      <c r="BL16" s="7">
        <f>BK16+預測IC!BL16</f>
        <v>2.9687698948187022</v>
      </c>
      <c r="BM16" s="7">
        <f>BL16+預測IC!BM16</f>
        <v>2.9292719093275963</v>
      </c>
      <c r="BN16" s="7">
        <f>BM16+預測IC!BN16</f>
        <v>2.9771777419316234</v>
      </c>
      <c r="BO16" s="7">
        <f>BN16+預測IC!BO16</f>
        <v>2.9990681018852809</v>
      </c>
      <c r="BP16" s="7">
        <f>BO16+預測IC!BP16</f>
        <v>3.0199112854328614</v>
      </c>
      <c r="BQ16" s="7">
        <f>BP16+預測IC!BQ16</f>
        <v>3.0363893016877901</v>
      </c>
      <c r="BR16" s="7">
        <f>BQ16+預測IC!BR16</f>
        <v>3.0100924536663456</v>
      </c>
      <c r="BS16" s="7">
        <f>BR16+預測IC!BS16</f>
        <v>2.9969008805188815</v>
      </c>
      <c r="BT16" s="7">
        <f>BS16+預測IC!BT16</f>
        <v>3.0823840717866813</v>
      </c>
      <c r="BU16" s="7">
        <f>BT16+預測IC!BU16</f>
        <v>3.1401491819714815</v>
      </c>
      <c r="BV16" s="7">
        <f>BU16+預測IC!BV16</f>
        <v>3.2008604214183225</v>
      </c>
      <c r="BW16" s="7">
        <f>BV16+預測IC!BW16</f>
        <v>3.1351194939917879</v>
      </c>
      <c r="BX16" s="7">
        <f>BW16+預測IC!BX16</f>
        <v>3.1666787315129188</v>
      </c>
      <c r="BY16" s="7">
        <f>BX16+預測IC!BY16</f>
        <v>3.116114998665676</v>
      </c>
      <c r="BZ16" s="7">
        <f>BY16+預測IC!BZ16</f>
        <v>3.2276408471673252</v>
      </c>
      <c r="CA16" s="7">
        <f>BZ16+預測IC!CA16</f>
        <v>3.1979264574117621</v>
      </c>
      <c r="CB16" s="7">
        <f>CA16+預測IC!CB16</f>
        <v>3.1964984124225446</v>
      </c>
      <c r="CC16" s="7">
        <f>CB16+預測IC!CC16</f>
        <v>3.2408865655927506</v>
      </c>
      <c r="CD16" s="7">
        <f>CC16+預測IC!CD16</f>
        <v>3.3286376558583441</v>
      </c>
      <c r="CE16" s="7">
        <f>CD16+預測IC!CE16</f>
        <v>3.4222518863262601</v>
      </c>
      <c r="CF16" s="7">
        <f>CE16+預測IC!CF16</f>
        <v>3.4075558233598309</v>
      </c>
      <c r="CG16" s="7">
        <f>CF16+預測IC!CG16</f>
        <v>3.5537518633859726</v>
      </c>
      <c r="CH16" s="7">
        <f>CG16+預測IC!CH16</f>
        <v>3.5954492780889997</v>
      </c>
      <c r="CI16" s="7">
        <f>CH16+預測IC!CI16</f>
        <v>3.5567393962604821</v>
      </c>
      <c r="CJ16" s="7">
        <f>CI16+預測IC!CJ16</f>
        <v>3.5112158454728153</v>
      </c>
      <c r="CK16" s="7">
        <f>CJ16+預測IC!CK16</f>
        <v>3.5876888291905056</v>
      </c>
      <c r="CL16" s="7">
        <f>CK16+預測IC!CL16</f>
        <v>3.603567511525215</v>
      </c>
      <c r="CM16" s="7">
        <f>CL16+預測IC!CM16</f>
        <v>3.6925561396747266</v>
      </c>
      <c r="CN16" s="7">
        <f>CM16+預測IC!CN16</f>
        <v>3.6594986245337768</v>
      </c>
      <c r="CO16" s="7">
        <f>CN16+預測IC!CO16</f>
        <v>3.4770466699939475</v>
      </c>
      <c r="CP16" s="7">
        <f>CO16+預測IC!CP16</f>
        <v>3.6136783594760389</v>
      </c>
      <c r="CQ16" s="7">
        <f>CP16+預測IC!CQ16</f>
        <v>3.6340121392964</v>
      </c>
      <c r="CR16" s="7">
        <f>CQ16+預測IC!CR16</f>
        <v>3.6592407958085595</v>
      </c>
      <c r="CS16" s="7">
        <f>CR16+預測IC!CS16</f>
        <v>3.6810478047181818</v>
      </c>
      <c r="CT16" s="7">
        <f>CS16+預測IC!CT16</f>
        <v>3.6861152112190227</v>
      </c>
      <c r="CU16" s="7">
        <f>CT16+預測IC!CU16</f>
        <v>3.6226805568600482</v>
      </c>
      <c r="CV16" s="7">
        <f>CU16+預測IC!CV16</f>
        <v>3.6059294727793274</v>
      </c>
      <c r="CW16" s="7">
        <f>CV16+預測IC!CW16</f>
        <v>3.5967353132467057</v>
      </c>
      <c r="CX16" s="7">
        <f>CW16+預測IC!CX16</f>
        <v>3.6089755980009555</v>
      </c>
      <c r="CY16" s="7">
        <f>CX16+預測IC!CY16</f>
        <v>3.5598585488843302</v>
      </c>
      <c r="CZ16" s="7">
        <f>CY16+預測IC!CZ16</f>
        <v>3.6624918080624629</v>
      </c>
      <c r="DA16" s="7">
        <f>CZ16+預測IC!DA16</f>
        <v>3.6326870140952274</v>
      </c>
      <c r="DB16" s="7">
        <f>DA16+預測IC!DB16</f>
        <v>3.730704296981024</v>
      </c>
      <c r="DC16" s="7">
        <f>DB16+預測IC!DC16</f>
        <v>3.7944449554890691</v>
      </c>
      <c r="DD16" s="7">
        <f>DC16+預測IC!DD16</f>
        <v>3.7200738404864717</v>
      </c>
      <c r="DE16" s="7">
        <f>DD16+預測IC!DE16</f>
        <v>3.7545182128277004</v>
      </c>
      <c r="DF16" s="7">
        <f>DE16+預測IC!DF16</f>
        <v>3.7313717796021413</v>
      </c>
      <c r="DG16" s="7">
        <f>DF16+預測IC!DG16</f>
        <v>3.7458247272335798</v>
      </c>
      <c r="DH16" s="7">
        <f>DG16+預測IC!DH16</f>
        <v>3.7266953838156089</v>
      </c>
      <c r="DI16" s="7">
        <f>DH16+預測IC!DI16</f>
        <v>3.7134619581030868</v>
      </c>
      <c r="DJ16" s="7">
        <f>DI16+預測IC!DJ16</f>
        <v>3.7652151791756419</v>
      </c>
      <c r="DK16" s="7">
        <f>DJ16+預測IC!DK16</f>
        <v>3.8988095358012225</v>
      </c>
      <c r="DL16" s="7">
        <f>DK16+預測IC!DL16</f>
        <v>3.9639225719298672</v>
      </c>
      <c r="DM16" s="7">
        <f>DL16+預測IC!DM16</f>
        <v>3.9335916221715261</v>
      </c>
      <c r="DN16" s="7">
        <f>DM16+預測IC!DN16</f>
        <v>3.9760294755309333</v>
      </c>
      <c r="DO16" s="7">
        <f>DN16+預測IC!DO16</f>
        <v>4.0292513830870771</v>
      </c>
      <c r="DP16" s="7">
        <f>DO16+預測IC!DP16</f>
        <v>4.0490933316663034</v>
      </c>
      <c r="DQ16" s="7">
        <f>DP16+預測IC!DQ16</f>
        <v>3.9815328117206672</v>
      </c>
      <c r="DR16" s="7">
        <f>DQ16+預測IC!DR16</f>
        <v>4.0367240633701824</v>
      </c>
      <c r="DS16" s="7">
        <f>DR16+預測IC!DS16</f>
        <v>3.9429719983804281</v>
      </c>
      <c r="DT16" s="7">
        <f>DS16+預測IC!DT16</f>
        <v>3.9750314905336679</v>
      </c>
      <c r="DU16" s="7">
        <f>DT16+預測IC!DU16</f>
        <v>3.8522594440107039</v>
      </c>
      <c r="DV16" s="7">
        <f>DU16+預測IC!DV16</f>
        <v>3.9892131760284975</v>
      </c>
      <c r="DW16" s="7">
        <f>DV16+預測IC!DW16</f>
        <v>4.0301309057281882</v>
      </c>
      <c r="DX16" s="7">
        <f>DW16+預測IC!DX16</f>
        <v>3.904846199404211</v>
      </c>
      <c r="DY16" s="7">
        <f>DX16+預測IC!DY16</f>
        <v>4.0624183321395835</v>
      </c>
      <c r="DZ16" s="7">
        <f>DY16+預測IC!DZ16</f>
        <v>4.1212290803306297</v>
      </c>
      <c r="EA16" s="7">
        <f>DZ16+預測IC!EA16</f>
        <v>4.2610280990740197</v>
      </c>
      <c r="EB16" s="7">
        <f>EA16+預測IC!EB16</f>
        <v>4.339638737817153</v>
      </c>
      <c r="EC16" s="7">
        <f>EB16+預測IC!EC16</f>
        <v>4.3147007412750327</v>
      </c>
      <c r="ED16" s="7">
        <f>EC16+預測IC!ED16</f>
        <v>4.1992839937761115</v>
      </c>
      <c r="EE16" s="7">
        <f>ED16+預測IC!EE16</f>
        <v>4.1761932822515</v>
      </c>
      <c r="EF16" s="7">
        <f>EE16+預測IC!EF16</f>
        <v>4.2186676837454069</v>
      </c>
    </row>
    <row r="17" spans="1:136" x14ac:dyDescent="0.3">
      <c r="B17" s="1" t="s">
        <v>160</v>
      </c>
      <c r="C17" s="7">
        <v>0.2060921883792059</v>
      </c>
      <c r="D17" s="7">
        <f>C17+預測IC!D17</f>
        <v>0.64568067700382725</v>
      </c>
      <c r="E17" s="7">
        <f>D17+預測IC!E17</f>
        <v>0.72527052639458023</v>
      </c>
      <c r="F17" s="7">
        <f>E17+預測IC!F17</f>
        <v>0.87204234070709252</v>
      </c>
      <c r="G17" s="7">
        <f>F17+預測IC!G17</f>
        <v>0.98917382090222716</v>
      </c>
      <c r="H17" s="7">
        <f>G17+預測IC!H17</f>
        <v>1.0941678745299681</v>
      </c>
      <c r="I17" s="7">
        <f>H17+預測IC!I17</f>
        <v>1.1616575296163092</v>
      </c>
      <c r="J17" s="7"/>
      <c r="K17" s="7">
        <f>J17+預測IC!K17</f>
        <v>3.9444991917733881E-2</v>
      </c>
      <c r="L17" s="7">
        <f>K17+預測IC!L17</f>
        <v>7.3220921456372018E-2</v>
      </c>
      <c r="M17" s="7">
        <f>L17+預測IC!M17</f>
        <v>0.1381529564398582</v>
      </c>
      <c r="N17" s="7">
        <f>M17+預測IC!N17</f>
        <v>0.54326096537932034</v>
      </c>
      <c r="O17" s="7">
        <f>N17+預測IC!O17</f>
        <v>0.56789302059126601</v>
      </c>
      <c r="P17" s="7">
        <f>O17+預測IC!P17</f>
        <v>0.64480862409416695</v>
      </c>
      <c r="Q17" s="7">
        <f>P17+預測IC!Q17</f>
        <v>0.75123887738064377</v>
      </c>
      <c r="R17" s="7">
        <f>Q17+預測IC!R17</f>
        <v>0.75321412866131321</v>
      </c>
      <c r="S17" s="7">
        <f>R17+預測IC!S17</f>
        <v>0.69808210292334083</v>
      </c>
      <c r="T17" s="7">
        <f>S17+預測IC!T17</f>
        <v>0.62688008839053377</v>
      </c>
      <c r="U17" s="7">
        <f>T17+預測IC!U17</f>
        <v>0.67917032233734997</v>
      </c>
      <c r="V17" s="7">
        <f>U17+預測IC!V17</f>
        <v>0.56281402031194983</v>
      </c>
      <c r="W17" s="7">
        <f>V17+預測IC!W17</f>
        <v>0.68241800432425737</v>
      </c>
      <c r="X17" s="7">
        <f>W17+預測IC!X17</f>
        <v>0.78260397132824566</v>
      </c>
      <c r="Y17" s="7">
        <f>X17+預測IC!Y17</f>
        <v>0.78410447265478289</v>
      </c>
      <c r="Z17" s="7">
        <f>Y17+預測IC!Z17</f>
        <v>0.76249598286051656</v>
      </c>
      <c r="AA17" s="7">
        <f>Z17+預測IC!AA17</f>
        <v>0.82475017994698829</v>
      </c>
      <c r="AB17" s="7">
        <f>AA17+預測IC!AB17</f>
        <v>0.78021187667754865</v>
      </c>
      <c r="AC17" s="7">
        <f>AB17+預測IC!AC17</f>
        <v>0.73941286568986642</v>
      </c>
      <c r="AD17" s="7">
        <f>AC17+預測IC!AD17</f>
        <v>0.78919024115062053</v>
      </c>
      <c r="AE17" s="7">
        <f>AD17+預測IC!AE17</f>
        <v>0.84863374084631293</v>
      </c>
      <c r="AF17" s="7">
        <f>AE17+預測IC!AF17</f>
        <v>0.91006305096825302</v>
      </c>
      <c r="AG17" s="7">
        <f>AF17+預測IC!AG17</f>
        <v>0.90871138016244124</v>
      </c>
      <c r="AH17" s="7">
        <f>AG17+預測IC!AH17</f>
        <v>0.87323876098955244</v>
      </c>
      <c r="AI17" s="7">
        <f>AH17+預測IC!AI17</f>
        <v>0.90382646963106605</v>
      </c>
      <c r="AJ17" s="7">
        <f>AI17+預測IC!AJ17</f>
        <v>0.8612238391121092</v>
      </c>
      <c r="AK17" s="7">
        <f>AJ17+預測IC!AK17</f>
        <v>0.93494011385114562</v>
      </c>
      <c r="AL17" s="7">
        <f>AK17+預測IC!AL17</f>
        <v>0.98566451959970214</v>
      </c>
      <c r="AM17" s="7">
        <f>AL17+預測IC!AM17</f>
        <v>1.061033887187359</v>
      </c>
      <c r="AN17" s="7">
        <f>AM17+預測IC!AN17</f>
        <v>1.1743210075332766</v>
      </c>
      <c r="AO17" s="7">
        <f>AN17+預測IC!AO17</f>
        <v>1.1869533421290008</v>
      </c>
      <c r="AP17" s="7">
        <f>AO17+預測IC!AP17</f>
        <v>1.1097105277094153</v>
      </c>
      <c r="AQ17" s="7">
        <f>AP17+預測IC!AQ17</f>
        <v>1.0491833903079162</v>
      </c>
      <c r="AR17" s="7">
        <f>AQ17+預測IC!AR17</f>
        <v>1.1631141002027334</v>
      </c>
      <c r="AS17" s="7">
        <f>AR17+預測IC!AS17</f>
        <v>1.2194376622372092</v>
      </c>
      <c r="AT17" s="7">
        <f>AS17+預測IC!AT17</f>
        <v>1.2717054686869314</v>
      </c>
      <c r="AU17" s="7">
        <f>AT17+預測IC!AU17</f>
        <v>1.3262609759736192</v>
      </c>
      <c r="AV17" s="7">
        <f>AU17+預測IC!AV17</f>
        <v>1.3050550731913508</v>
      </c>
      <c r="AW17" s="7">
        <f>AV17+預測IC!AW17</f>
        <v>1.3134769612331876</v>
      </c>
      <c r="AX17" s="7">
        <f>AW17+預測IC!AX17</f>
        <v>1.4097175197419864</v>
      </c>
      <c r="AY17" s="7">
        <f>AX17+預測IC!AY17</f>
        <v>1.4371412164325874</v>
      </c>
      <c r="AZ17" s="7">
        <f>AY17+預測IC!AZ17</f>
        <v>1.3119836141723964</v>
      </c>
      <c r="BA17" s="7">
        <f>AZ17+預測IC!BA17</f>
        <v>1.4747900239821592</v>
      </c>
      <c r="BB17" s="7">
        <f>BA17+預測IC!BB17</f>
        <v>1.628061308260544</v>
      </c>
      <c r="BC17" s="7">
        <f>BB17+預測IC!BC17</f>
        <v>1.7119245034383577</v>
      </c>
      <c r="BD17" s="7">
        <f>BC17+預測IC!BD17</f>
        <v>1.7342809856845625</v>
      </c>
      <c r="BE17" s="7">
        <f>BD17+預測IC!BE17</f>
        <v>1.8116312279226228</v>
      </c>
      <c r="BF17" s="7">
        <f>BE17+預測IC!BF17</f>
        <v>1.8668287245315764</v>
      </c>
      <c r="BG17" s="7">
        <f>BF17+預測IC!BG17</f>
        <v>1.8314344884435392</v>
      </c>
      <c r="BH17" s="7">
        <f>BG17+預測IC!BH17</f>
        <v>1.8449539492952922</v>
      </c>
      <c r="BI17" s="7">
        <f>BH17+預測IC!BI17</f>
        <v>1.9320658947352394</v>
      </c>
      <c r="BJ17" s="7">
        <f>BI17+預測IC!BJ17</f>
        <v>1.9222078304620029</v>
      </c>
      <c r="BK17" s="7">
        <f>BJ17+預測IC!BK17</f>
        <v>1.9083848783918975</v>
      </c>
      <c r="BL17" s="7">
        <f>BK17+預測IC!BL17</f>
        <v>1.9858678451918437</v>
      </c>
      <c r="BM17" s="7">
        <f>BL17+預測IC!BM17</f>
        <v>1.9568088340394894</v>
      </c>
      <c r="BN17" s="7">
        <f>BM17+預測IC!BN17</f>
        <v>2.0037243596333671</v>
      </c>
      <c r="BO17" s="7">
        <f>BN17+預測IC!BO17</f>
        <v>2.0389039750500908</v>
      </c>
      <c r="BP17" s="7">
        <f>BO17+預測IC!BP17</f>
        <v>2.0748999547045717</v>
      </c>
      <c r="BQ17" s="7">
        <f>BP17+預測IC!BQ17</f>
        <v>2.0862764651510233</v>
      </c>
      <c r="BR17" s="7">
        <f>BQ17+預測IC!BR17</f>
        <v>2.0766300900262733</v>
      </c>
      <c r="BS17" s="7">
        <f>BR17+預測IC!BS17</f>
        <v>2.0725266209156668</v>
      </c>
      <c r="BT17" s="7">
        <f>BS17+預測IC!BT17</f>
        <v>2.1819429997860902</v>
      </c>
      <c r="BU17" s="7">
        <f>BT17+預測IC!BU17</f>
        <v>2.2530708185368424</v>
      </c>
      <c r="BV17" s="7">
        <f>BU17+預測IC!BV17</f>
        <v>2.3232811215564708</v>
      </c>
      <c r="BW17" s="7">
        <f>BV17+預測IC!BW17</f>
        <v>2.2428494089572051</v>
      </c>
      <c r="BX17" s="7">
        <f>BW17+預測IC!BX17</f>
        <v>2.271672373576878</v>
      </c>
      <c r="BY17" s="7">
        <f>BX17+預測IC!BY17</f>
        <v>2.1874269059481835</v>
      </c>
      <c r="BZ17" s="7">
        <f>BY17+預測IC!BZ17</f>
        <v>2.3080050618292689</v>
      </c>
      <c r="CA17" s="7">
        <f>BZ17+預測IC!CA17</f>
        <v>2.2800702294707795</v>
      </c>
      <c r="CB17" s="7">
        <f>CA17+預測IC!CB17</f>
        <v>2.2695925219787871</v>
      </c>
      <c r="CC17" s="7">
        <f>CB17+預測IC!CC17</f>
        <v>2.3113527744530229</v>
      </c>
      <c r="CD17" s="7">
        <f>CC17+預測IC!CD17</f>
        <v>2.3754587197183503</v>
      </c>
      <c r="CE17" s="7">
        <f>CD17+預測IC!CE17</f>
        <v>2.4711667933798456</v>
      </c>
      <c r="CF17" s="7">
        <f>CE17+預測IC!CF17</f>
        <v>2.3760434444416418</v>
      </c>
      <c r="CG17" s="7">
        <f>CF17+預測IC!CG17</f>
        <v>2.5530780517649934</v>
      </c>
      <c r="CH17" s="7">
        <f>CG17+預測IC!CH17</f>
        <v>2.6117144983720433</v>
      </c>
      <c r="CI17" s="7">
        <f>CH17+預測IC!CI17</f>
        <v>2.5971833133824549</v>
      </c>
      <c r="CJ17" s="7">
        <f>CI17+預測IC!CJ17</f>
        <v>2.5464409918980127</v>
      </c>
      <c r="CK17" s="7">
        <f>CJ17+預測IC!CK17</f>
        <v>2.6381795645559256</v>
      </c>
      <c r="CL17" s="7">
        <f>CK17+預測IC!CL17</f>
        <v>2.6287532197868941</v>
      </c>
      <c r="CM17" s="7">
        <f>CL17+預測IC!CM17</f>
        <v>2.7633225642184684</v>
      </c>
      <c r="CN17" s="7">
        <f>CM17+預測IC!CN17</f>
        <v>2.7366045030674813</v>
      </c>
      <c r="CO17" s="7">
        <f>CN17+預測IC!CO17</f>
        <v>2.5340658758044916</v>
      </c>
      <c r="CP17" s="7">
        <f>CO17+預測IC!CP17</f>
        <v>2.6822251450018353</v>
      </c>
      <c r="CQ17" s="7">
        <f>CP17+預測IC!CQ17</f>
        <v>2.6303180416601086</v>
      </c>
      <c r="CR17" s="7">
        <f>CQ17+預測IC!CR17</f>
        <v>2.6533238711981069</v>
      </c>
      <c r="CS17" s="7">
        <f>CR17+預測IC!CS17</f>
        <v>2.6648693869151119</v>
      </c>
      <c r="CT17" s="7">
        <f>CS17+預測IC!CT17</f>
        <v>2.7141294433043051</v>
      </c>
      <c r="CU17" s="7">
        <f>CT17+預測IC!CU17</f>
        <v>2.639721135721051</v>
      </c>
      <c r="CV17" s="7">
        <f>CU17+預測IC!CV17</f>
        <v>2.6436007436609783</v>
      </c>
      <c r="CW17" s="7">
        <f>CV17+預測IC!CW17</f>
        <v>2.6238388897516254</v>
      </c>
      <c r="CX17" s="7">
        <f>CW17+預測IC!CX17</f>
        <v>2.6346112842755733</v>
      </c>
      <c r="CY17" s="7">
        <f>CX17+預測IC!CY17</f>
        <v>2.5852279855594835</v>
      </c>
      <c r="CZ17" s="7">
        <f>CY17+預測IC!CZ17</f>
        <v>2.7094768234071038</v>
      </c>
      <c r="DA17" s="7">
        <f>CZ17+預測IC!DA17</f>
        <v>2.6655809642619697</v>
      </c>
      <c r="DB17" s="7">
        <f>DA17+預測IC!DB17</f>
        <v>2.769852590165053</v>
      </c>
      <c r="DC17" s="7">
        <f>DB17+預測IC!DC17</f>
        <v>2.8237409121139354</v>
      </c>
      <c r="DD17" s="7">
        <f>DC17+預測IC!DD17</f>
        <v>2.7756103227754236</v>
      </c>
      <c r="DE17" s="7">
        <f>DD17+預測IC!DE17</f>
        <v>2.8193337385587269</v>
      </c>
      <c r="DF17" s="7">
        <f>DE17+預測IC!DF17</f>
        <v>2.8081023682320678</v>
      </c>
      <c r="DG17" s="7">
        <f>DF17+預測IC!DG17</f>
        <v>2.8062630863031592</v>
      </c>
      <c r="DH17" s="7">
        <f>DG17+預測IC!DH17</f>
        <v>2.7675364353651464</v>
      </c>
      <c r="DI17" s="7">
        <f>DH17+預測IC!DI17</f>
        <v>2.7622431910413638</v>
      </c>
      <c r="DJ17" s="7">
        <f>DI17+預測IC!DJ17</f>
        <v>2.8193896913687073</v>
      </c>
      <c r="DK17" s="7">
        <f>DJ17+預測IC!DK17</f>
        <v>2.9754261194852534</v>
      </c>
      <c r="DL17" s="7">
        <f>DK17+預測IC!DL17</f>
        <v>3.0489417204224245</v>
      </c>
      <c r="DM17" s="7">
        <f>DL17+預測IC!DM17</f>
        <v>2.9966888098401085</v>
      </c>
      <c r="DN17" s="7">
        <f>DM17+預測IC!DN17</f>
        <v>3.0321778425544474</v>
      </c>
      <c r="DO17" s="7">
        <f>DN17+預測IC!DO17</f>
        <v>3.085629212894351</v>
      </c>
      <c r="DP17" s="7">
        <f>DO17+預測IC!DP17</f>
        <v>3.0691107046377275</v>
      </c>
      <c r="DQ17" s="7">
        <f>DP17+預測IC!DQ17</f>
        <v>3.0038663565039654</v>
      </c>
      <c r="DR17" s="7">
        <f>DQ17+預測IC!DR17</f>
        <v>3.0597511713802938</v>
      </c>
      <c r="DS17" s="7">
        <f>DR17+預測IC!DS17</f>
        <v>2.9354350115754828</v>
      </c>
      <c r="DT17" s="7">
        <f>DS17+預測IC!DT17</f>
        <v>2.9521782014946756</v>
      </c>
      <c r="DU17" s="7">
        <f>DT17+預測IC!DU17</f>
        <v>2.8226852451746858</v>
      </c>
      <c r="DV17" s="7">
        <f>DU17+預測IC!DV17</f>
        <v>2.9404506432856401</v>
      </c>
      <c r="DW17" s="7">
        <f>DV17+預測IC!DW17</f>
        <v>2.9891321266997903</v>
      </c>
      <c r="DX17" s="7">
        <f>DW17+預測IC!DX17</f>
        <v>2.8595931441033162</v>
      </c>
      <c r="DY17" s="7">
        <f>DX17+預測IC!DY17</f>
        <v>2.9668760397051681</v>
      </c>
      <c r="DZ17" s="7">
        <f>DY17+預測IC!DZ17</f>
        <v>3.0160886688749762</v>
      </c>
      <c r="EA17" s="7">
        <f>DZ17+預測IC!EA17</f>
        <v>3.1806601921070912</v>
      </c>
      <c r="EB17" s="7">
        <f>EA17+預測IC!EB17</f>
        <v>3.2677605413018305</v>
      </c>
      <c r="EC17" s="7">
        <f>EB17+預測IC!EC17</f>
        <v>3.2473993822080685</v>
      </c>
      <c r="ED17" s="7">
        <f>EC17+預測IC!ED17</f>
        <v>3.1190749382791556</v>
      </c>
      <c r="EE17" s="7">
        <f>ED17+預測IC!EE17</f>
        <v>3.0936615779691219</v>
      </c>
      <c r="EF17" s="7">
        <f>EE17+預測IC!EF17</f>
        <v>3.1413713449789737</v>
      </c>
    </row>
    <row r="18" spans="1:136" x14ac:dyDescent="0.3">
      <c r="B18" s="1" t="s">
        <v>162</v>
      </c>
      <c r="C18" s="7">
        <v>0.18975112249235829</v>
      </c>
      <c r="D18" s="7">
        <f>C18+預測IC!D18</f>
        <v>0.59163480391442624</v>
      </c>
      <c r="E18" s="7">
        <f>D18+預測IC!E18</f>
        <v>0.64507415418215031</v>
      </c>
      <c r="F18" s="7">
        <f>E18+預測IC!F18</f>
        <v>0.85716480534019279</v>
      </c>
      <c r="G18" s="7">
        <f>F18+預測IC!G18</f>
        <v>0.99022286265980353</v>
      </c>
      <c r="H18" s="7">
        <f>G18+預測IC!H18</f>
        <v>1.1187624244343748</v>
      </c>
      <c r="I18" s="7">
        <f>H18+預測IC!I18</f>
        <v>1.1737150873431763</v>
      </c>
      <c r="J18" s="7">
        <f>I18+預測IC!J18</f>
        <v>1.0485532942546345</v>
      </c>
      <c r="K18" s="7">
        <f>J18+預測IC!K18</f>
        <v>1.0801397445655483</v>
      </c>
      <c r="L18" s="7">
        <f>K18+預測IC!L18</f>
        <v>1.1268124649062214</v>
      </c>
      <c r="M18" s="7">
        <f>L18+預測IC!M18</f>
        <v>1.206515042020198</v>
      </c>
      <c r="N18" s="7">
        <f>M18+預測IC!N18</f>
        <v>1.6683350600908111</v>
      </c>
      <c r="O18" s="7">
        <f>N18+預測IC!O18</f>
        <v>1.692658934933631</v>
      </c>
      <c r="P18" s="7">
        <f>O18+預測IC!P18</f>
        <v>1.747228548044615</v>
      </c>
      <c r="Q18" s="7">
        <f>P18+預測IC!Q18</f>
        <v>1.8689649197092502</v>
      </c>
      <c r="R18" s="7">
        <f>Q18+預測IC!R18</f>
        <v>1.8882911186361064</v>
      </c>
      <c r="S18" s="7">
        <f>R18+預測IC!S18</f>
        <v>1.8192777782423977</v>
      </c>
      <c r="T18" s="7">
        <f>S18+預測IC!T18</f>
        <v>1.765033338210789</v>
      </c>
      <c r="U18" s="7">
        <f>T18+預測IC!U18</f>
        <v>1.7931688658433798</v>
      </c>
      <c r="V18" s="7">
        <f>U18+預測IC!V18</f>
        <v>1.6619149389039387</v>
      </c>
      <c r="W18" s="7">
        <f>V18+預測IC!W18</f>
        <v>1.799832176819645</v>
      </c>
      <c r="X18" s="7">
        <f>W18+預測IC!X18</f>
        <v>1.9269549854451353</v>
      </c>
      <c r="Y18" s="7">
        <f>X18+預測IC!Y18</f>
        <v>1.9511687931657162</v>
      </c>
      <c r="Z18" s="7">
        <f>Y18+預測IC!Z18</f>
        <v>1.9342630769783324</v>
      </c>
      <c r="AA18" s="7">
        <f>Z18+預測IC!AA18</f>
        <v>1.9890675749585476</v>
      </c>
      <c r="AB18" s="7">
        <f>AA18+預測IC!AB18</f>
        <v>1.9264227696958867</v>
      </c>
      <c r="AC18" s="7">
        <f>AB18+預測IC!AC18</f>
        <v>1.8517029463166199</v>
      </c>
      <c r="AD18" s="7">
        <f>AC18+預測IC!AD18</f>
        <v>1.9241467354051514</v>
      </c>
      <c r="AE18" s="7">
        <f>AD18+預測IC!AE18</f>
        <v>2.0013483270240311</v>
      </c>
      <c r="AF18" s="7">
        <f>AE18+預測IC!AF18</f>
        <v>2.0332217451846568</v>
      </c>
      <c r="AG18" s="7">
        <f>AF18+預測IC!AG18</f>
        <v>2.0246033808045132</v>
      </c>
      <c r="AH18" s="7">
        <f>AG18+預測IC!AH18</f>
        <v>1.9844059198359985</v>
      </c>
      <c r="AI18" s="7">
        <f>AH18+預測IC!AI18</f>
        <v>2.0312614611897546</v>
      </c>
      <c r="AJ18" s="7">
        <f>AI18+預測IC!AJ18</f>
        <v>1.9838677050233056</v>
      </c>
      <c r="AK18" s="7">
        <f>AJ18+預測IC!AK18</f>
        <v>2.0140201856209314</v>
      </c>
      <c r="AL18" s="7">
        <f>AK18+預測IC!AL18</f>
        <v>2.061547949253189</v>
      </c>
      <c r="AM18" s="7">
        <f>AL18+預測IC!AM18</f>
        <v>2.1281913546779601</v>
      </c>
      <c r="AN18" s="7">
        <f>AM18+預測IC!AN18</f>
        <v>2.2074859946331618</v>
      </c>
      <c r="AO18" s="7">
        <f>AN18+預測IC!AO18</f>
        <v>2.2129135296008546</v>
      </c>
      <c r="AP18" s="7">
        <f>AO18+預測IC!AP18</f>
        <v>2.1346349376670477</v>
      </c>
      <c r="AQ18" s="7">
        <f>AP18+預測IC!AQ18</f>
        <v>2.0584040923405977</v>
      </c>
      <c r="AR18" s="7">
        <f>AQ18+預測IC!AR18</f>
        <v>2.1829495987035421</v>
      </c>
      <c r="AS18" s="7">
        <f>AR18+預測IC!AS18</f>
        <v>2.2687761502575112</v>
      </c>
      <c r="AT18" s="7">
        <f>AS18+預測IC!AT18</f>
        <v>2.3121018000780897</v>
      </c>
      <c r="AU18" s="7">
        <f>AT18+預測IC!AU18</f>
        <v>2.3766774441576812</v>
      </c>
      <c r="AV18" s="7">
        <f>AU18+預測IC!AV18</f>
        <v>2.3479086882759641</v>
      </c>
      <c r="AW18" s="7">
        <f>AV18+預測IC!AW18</f>
        <v>2.3724467225170716</v>
      </c>
      <c r="AX18" s="7">
        <f>AW18+預測IC!AX18</f>
        <v>2.4800075907729076</v>
      </c>
      <c r="AY18" s="7">
        <f>AX18+預測IC!AY18</f>
        <v>2.5147908694140555</v>
      </c>
      <c r="AZ18" s="7">
        <f>AY18+預測IC!AZ18</f>
        <v>2.3663817870251562</v>
      </c>
      <c r="BA18" s="7">
        <f>AZ18+預測IC!BA18</f>
        <v>2.5468615516947026</v>
      </c>
      <c r="BB18" s="7">
        <f>BA18+預測IC!BB18</f>
        <v>2.7141195701754954</v>
      </c>
      <c r="BC18" s="7">
        <f>BB18+預測IC!BC18</f>
        <v>2.797321142768816</v>
      </c>
      <c r="BD18" s="7">
        <f>BC18+預測IC!BD18</f>
        <v>2.7733048710815158</v>
      </c>
      <c r="BE18" s="7">
        <f>BD18+預測IC!BE18</f>
        <v>2.8416660843196788</v>
      </c>
      <c r="BF18" s="7">
        <f>BE18+預測IC!BF18</f>
        <v>2.8875506206192578</v>
      </c>
      <c r="BG18" s="7">
        <f>BF18+預測IC!BG18</f>
        <v>2.8707443793930536</v>
      </c>
      <c r="BH18" s="7">
        <f>BG18+預測IC!BH18</f>
        <v>2.8912482324568591</v>
      </c>
      <c r="BI18" s="7">
        <f>BH18+預測IC!BI18</f>
        <v>3.0002482393755248</v>
      </c>
      <c r="BJ18" s="7">
        <f>BI18+預測IC!BJ18</f>
        <v>3.0062043034259842</v>
      </c>
      <c r="BK18" s="7">
        <f>BJ18+預測IC!BK18</f>
        <v>2.9482010592557817</v>
      </c>
      <c r="BL18" s="7">
        <f>BK18+預測IC!BL18</f>
        <v>3.0293587330759859</v>
      </c>
      <c r="BM18" s="7">
        <f>BL18+預測IC!BM18</f>
        <v>3.0012773767028906</v>
      </c>
      <c r="BN18" s="7">
        <f>BM18+預測IC!BN18</f>
        <v>3.0540517663267206</v>
      </c>
      <c r="BO18" s="7">
        <f>BN18+預測IC!BO18</f>
        <v>3.074279262433095</v>
      </c>
      <c r="BP18" s="7">
        <f>BO18+預測IC!BP18</f>
        <v>3.1211368027677771</v>
      </c>
      <c r="BQ18" s="7">
        <f>BP18+預測IC!BQ18</f>
        <v>3.1230535868776261</v>
      </c>
      <c r="BR18" s="7">
        <f>BQ18+預測IC!BR18</f>
        <v>3.1173053932936714</v>
      </c>
      <c r="BS18" s="7">
        <f>BR18+預測IC!BS18</f>
        <v>3.1133217681965522</v>
      </c>
      <c r="BT18" s="7">
        <f>BS18+預測IC!BT18</f>
        <v>3.2285585162324386</v>
      </c>
      <c r="BU18" s="7">
        <f>BT18+預測IC!BU18</f>
        <v>3.3092359602724795</v>
      </c>
      <c r="BV18" s="7">
        <f>BU18+預測IC!BV18</f>
        <v>3.390159355549522</v>
      </c>
      <c r="BW18" s="7">
        <f>BV18+預測IC!BW18</f>
        <v>3.3048482686163263</v>
      </c>
      <c r="BX18" s="7">
        <f>BW18+預測IC!BX18</f>
        <v>3.3238667433323621</v>
      </c>
      <c r="BY18" s="7">
        <f>BX18+預測IC!BY18</f>
        <v>3.2007917675083375</v>
      </c>
      <c r="BZ18" s="7">
        <f>BY18+預測IC!BZ18</f>
        <v>3.3541117553109356</v>
      </c>
      <c r="CA18" s="7">
        <f>BZ18+預測IC!CA18</f>
        <v>3.3380352114180747</v>
      </c>
      <c r="CB18" s="7">
        <f>CA18+預測IC!CB18</f>
        <v>3.3134578548056264</v>
      </c>
      <c r="CC18" s="7">
        <f>CB18+預測IC!CC18</f>
        <v>3.4181184786472714</v>
      </c>
      <c r="CD18" s="7">
        <f>CC18+預測IC!CD18</f>
        <v>3.4685642732023099</v>
      </c>
      <c r="CE18" s="7">
        <f>CD18+預測IC!CE18</f>
        <v>3.5458246680805328</v>
      </c>
      <c r="CF18" s="7">
        <f>CE18+預測IC!CF18</f>
        <v>3.4439660525475388</v>
      </c>
      <c r="CG18" s="7">
        <f>CF18+預測IC!CG18</f>
        <v>3.6706074584491586</v>
      </c>
      <c r="CH18" s="7">
        <f>CG18+預測IC!CH18</f>
        <v>3.8332645051363916</v>
      </c>
      <c r="CI18" s="7">
        <f>CH18+預測IC!CI18</f>
        <v>3.7943953652587021</v>
      </c>
      <c r="CJ18" s="7">
        <f>CI18+預測IC!CJ18</f>
        <v>3.7320816874337925</v>
      </c>
      <c r="CK18" s="7">
        <f>CJ18+預測IC!CK18</f>
        <v>3.8227494717260764</v>
      </c>
      <c r="CL18" s="7">
        <f>CK18+預測IC!CL18</f>
        <v>3.7917599266678832</v>
      </c>
      <c r="CM18" s="7">
        <f>CL18+預測IC!CM18</f>
        <v>3.9354084698322769</v>
      </c>
      <c r="CN18" s="7">
        <f>CM18+預測IC!CN18</f>
        <v>3.9003222158541004</v>
      </c>
      <c r="CO18" s="7">
        <f>CN18+預測IC!CO18</f>
        <v>3.6687483373046712</v>
      </c>
      <c r="CP18" s="7">
        <f>CO18+預測IC!CP18</f>
        <v>3.8315874462526818</v>
      </c>
      <c r="CQ18" s="7">
        <f>CP18+預測IC!CQ18</f>
        <v>3.7933447706577392</v>
      </c>
      <c r="CR18" s="7">
        <f>CQ18+預測IC!CR18</f>
        <v>3.8270880729289316</v>
      </c>
      <c r="CS18" s="7">
        <f>CR18+預測IC!CS18</f>
        <v>3.8552166333430202</v>
      </c>
      <c r="CT18" s="7">
        <f>CS18+預測IC!CT18</f>
        <v>3.9457320623452699</v>
      </c>
      <c r="CU18" s="7">
        <f>CT18+預測IC!CU18</f>
        <v>3.8740833711401597</v>
      </c>
      <c r="CV18" s="7">
        <f>CU18+預測IC!CV18</f>
        <v>3.9651236533704481</v>
      </c>
      <c r="CW18" s="7">
        <f>CV18+預測IC!CW18</f>
        <v>3.9566675678059222</v>
      </c>
      <c r="CX18" s="7">
        <f>CW18+預測IC!CX18</f>
        <v>4.0182277536397004</v>
      </c>
      <c r="CY18" s="7">
        <f>CX18+預測IC!CY18</f>
        <v>3.9668703398649181</v>
      </c>
      <c r="CZ18" s="7">
        <f>CY18+預測IC!CZ18</f>
        <v>4.0997132031666892</v>
      </c>
      <c r="DA18" s="7">
        <f>CZ18+預測IC!DA18</f>
        <v>4.0523322636479957</v>
      </c>
      <c r="DB18" s="7">
        <f>DA18+預測IC!DB18</f>
        <v>4.1704469819332077</v>
      </c>
      <c r="DC18" s="7">
        <f>DB18+預測IC!DC18</f>
        <v>4.21965584935732</v>
      </c>
      <c r="DD18" s="7">
        <f>DC18+預測IC!DD18</f>
        <v>4.1485845494497564</v>
      </c>
      <c r="DE18" s="7">
        <f>DD18+預測IC!DE18</f>
        <v>4.1977579943413978</v>
      </c>
      <c r="DF18" s="7">
        <f>DE18+預測IC!DF18</f>
        <v>4.1627152155590279</v>
      </c>
      <c r="DG18" s="7">
        <f>DF18+預測IC!DG18</f>
        <v>4.1550957424014001</v>
      </c>
      <c r="DH18" s="7">
        <f>DG18+預測IC!DH18</f>
        <v>4.1270577291527513</v>
      </c>
      <c r="DI18" s="7">
        <f>DH18+預測IC!DI18</f>
        <v>4.1109430999147243</v>
      </c>
      <c r="DJ18" s="7">
        <f>DI18+預測IC!DJ18</f>
        <v>4.1615976113246189</v>
      </c>
      <c r="DK18" s="7">
        <f>DJ18+預測IC!DK18</f>
        <v>4.3201112384170459</v>
      </c>
      <c r="DL18" s="7">
        <f>DK18+預測IC!DL18</f>
        <v>4.4015089813332873</v>
      </c>
      <c r="DM18" s="7">
        <f>DL18+預測IC!DM18</f>
        <v>4.335000840601249</v>
      </c>
      <c r="DN18" s="7">
        <f>DM18+預測IC!DN18</f>
        <v>4.3182787765232273</v>
      </c>
      <c r="DO18" s="7">
        <f>DN18+預測IC!DO18</f>
        <v>4.3603836840738577</v>
      </c>
      <c r="DP18" s="7">
        <f>DO18+預測IC!DP18</f>
        <v>4.3397789976069916</v>
      </c>
      <c r="DQ18" s="7">
        <f>DP18+預測IC!DQ18</f>
        <v>4.2778234686396246</v>
      </c>
      <c r="DR18" s="7">
        <f>DQ18+預測IC!DR18</f>
        <v>4.3546641234115855</v>
      </c>
      <c r="DS18" s="7">
        <f>DR18+預測IC!DS18</f>
        <v>4.2069421249598529</v>
      </c>
      <c r="DT18" s="7">
        <f>DS18+預測IC!DT18</f>
        <v>4.1995347350003582</v>
      </c>
      <c r="DU18" s="7">
        <f>DT18+預測IC!DU18</f>
        <v>4.0408199122836805</v>
      </c>
      <c r="DV18" s="7">
        <f>DU18+預測IC!DV18</f>
        <v>4.1464605210837426</v>
      </c>
      <c r="DW18" s="7">
        <f>DV18+預測IC!DW18</f>
        <v>4.2283692133681159</v>
      </c>
      <c r="DX18" s="7">
        <f>DW18+預測IC!DX18</f>
        <v>4.074766235905634</v>
      </c>
      <c r="DY18" s="7">
        <f>DX18+預測IC!DY18</f>
        <v>4.211599350843886</v>
      </c>
      <c r="DZ18" s="7">
        <f>DY18+預測IC!DZ18</f>
        <v>4.2662297250004677</v>
      </c>
      <c r="EA18" s="7">
        <f>DZ18+預測IC!EA18</f>
        <v>4.4651754731648046</v>
      </c>
      <c r="EB18" s="7">
        <f>EA18+預測IC!EB18</f>
        <v>4.5650218511431255</v>
      </c>
      <c r="EC18" s="7">
        <f>EB18+預測IC!EC18</f>
        <v>4.5454213352261643</v>
      </c>
      <c r="ED18" s="7">
        <f>EC18+預測IC!ED18</f>
        <v>4.4349433133603986</v>
      </c>
      <c r="EE18" s="7">
        <f>ED18+預測IC!EE18</f>
        <v>4.4210895593858917</v>
      </c>
      <c r="EF18" s="7">
        <f>EE18+預測IC!EF18</f>
        <v>4.4700445764963082</v>
      </c>
    </row>
    <row r="19" spans="1:136" x14ac:dyDescent="0.3">
      <c r="B19" s="1" t="s">
        <v>167</v>
      </c>
      <c r="C19" s="7">
        <v>0.19660026531165431</v>
      </c>
      <c r="D19" s="7">
        <f>C19+預測IC!D19</f>
        <v>0.60412097540112364</v>
      </c>
      <c r="E19" s="7">
        <f>D19+預測IC!E19</f>
        <v>0.6699351827311415</v>
      </c>
      <c r="F19" s="7">
        <f>E19+預測IC!F19</f>
        <v>0.90610564810687577</v>
      </c>
      <c r="G19" s="7">
        <f>F19+預測IC!G19</f>
        <v>1.0589699899938483</v>
      </c>
      <c r="H19" s="7">
        <f>G19+預測IC!H19</f>
        <v>1.2365803088165004</v>
      </c>
      <c r="I19" s="7">
        <f>H19+預測IC!I19</f>
        <v>1.2840437141529</v>
      </c>
      <c r="J19" s="7">
        <f>I19+預測IC!J19</f>
        <v>1.1278133610666961</v>
      </c>
      <c r="K19" s="7">
        <f>J19+預測IC!K19</f>
        <v>1.1843543306282613</v>
      </c>
      <c r="L19" s="7">
        <f>K19+預測IC!L19</f>
        <v>1.2147171636842906</v>
      </c>
      <c r="M19" s="7">
        <f>L19+預測IC!M19</f>
        <v>1.3009275027104084</v>
      </c>
      <c r="N19" s="7">
        <f>M19+預測IC!N19</f>
        <v>1.8333015403986495</v>
      </c>
      <c r="O19" s="7">
        <f>N19+預測IC!O19</f>
        <v>1.8135041063972646</v>
      </c>
      <c r="P19" s="7">
        <f>O19+預測IC!P19</f>
        <v>1.8362893195093579</v>
      </c>
      <c r="Q19" s="7">
        <f>P19+預測IC!Q19</f>
        <v>2.006751611589376</v>
      </c>
      <c r="R19" s="7">
        <f>Q19+預測IC!R19</f>
        <v>2.048694241038592</v>
      </c>
      <c r="S19" s="7">
        <f>R19+預測IC!S19</f>
        <v>1.9699979797254312</v>
      </c>
      <c r="T19" s="7">
        <f>S19+預測IC!T19</f>
        <v>1.942843701739132</v>
      </c>
      <c r="U19" s="7">
        <f>T19+預測IC!U19</f>
        <v>1.9870305597374569</v>
      </c>
      <c r="V19" s="7">
        <f>U19+預測IC!V19</f>
        <v>1.8683461012185358</v>
      </c>
      <c r="W19" s="7">
        <f>V19+預測IC!W19</f>
        <v>2.0149670919360458</v>
      </c>
      <c r="X19" s="7">
        <f>W19+預測IC!X19</f>
        <v>2.1378902381817628</v>
      </c>
      <c r="Y19" s="7">
        <f>X19+預測IC!Y19</f>
        <v>2.1619545435268206</v>
      </c>
      <c r="Z19" s="7">
        <f>Y19+預測IC!Z19</f>
        <v>2.1397313042279182</v>
      </c>
      <c r="AA19" s="7">
        <f>Z19+預測IC!AA19</f>
        <v>2.187031426026953</v>
      </c>
      <c r="AB19" s="7">
        <f>AA19+預測IC!AB19</f>
        <v>2.1353126732161956</v>
      </c>
      <c r="AC19" s="7">
        <f>AB19+預測IC!AC19</f>
        <v>2.0517998063233169</v>
      </c>
      <c r="AD19" s="7">
        <f>AC19+預測IC!AD19</f>
        <v>2.0757972635843775</v>
      </c>
      <c r="AE19" s="7">
        <f>AD19+預測IC!AE19</f>
        <v>2.1910291335474446</v>
      </c>
      <c r="AF19" s="7">
        <f>AE19+預測IC!AF19</f>
        <v>2.2298148003563445</v>
      </c>
      <c r="AG19" s="7">
        <f>AF19+預測IC!AG19</f>
        <v>2.2491123455803792</v>
      </c>
      <c r="AH19" s="7">
        <f>AG19+預測IC!AH19</f>
        <v>2.1925546303586758</v>
      </c>
      <c r="AI19" s="7">
        <f>AH19+預測IC!AI19</f>
        <v>2.2743247551481724</v>
      </c>
      <c r="AJ19" s="7">
        <f>AI19+預測IC!AJ19</f>
        <v>2.2227794648209103</v>
      </c>
      <c r="AK19" s="7">
        <f>AJ19+預測IC!AK19</f>
        <v>2.2303315073268628</v>
      </c>
      <c r="AL19" s="7">
        <f>AK19+預測IC!AL19</f>
        <v>2.3006024529976683</v>
      </c>
      <c r="AM19" s="7">
        <f>AL19+預測IC!AM19</f>
        <v>2.3437084648090734</v>
      </c>
      <c r="AN19" s="7">
        <f>AM19+預測IC!AN19</f>
        <v>2.4272767591747555</v>
      </c>
      <c r="AO19" s="7">
        <f>AN19+預測IC!AO19</f>
        <v>2.4531696622201697</v>
      </c>
      <c r="AP19" s="7">
        <f>AO19+預測IC!AP19</f>
        <v>2.3655955419473176</v>
      </c>
      <c r="AQ19" s="7">
        <f>AP19+預測IC!AQ19</f>
        <v>2.2773427848866667</v>
      </c>
      <c r="AR19" s="7">
        <f>AQ19+預測IC!AR19</f>
        <v>2.4308603471995243</v>
      </c>
      <c r="AS19" s="7">
        <f>AR19+預測IC!AS19</f>
        <v>2.5286573024678387</v>
      </c>
      <c r="AT19" s="7">
        <f>AS19+預測IC!AT19</f>
        <v>2.5779522842335401</v>
      </c>
      <c r="AU19" s="7">
        <f>AT19+預測IC!AU19</f>
        <v>2.6543809999471941</v>
      </c>
      <c r="AV19" s="7">
        <f>AU19+預測IC!AV19</f>
        <v>2.6043479792502162</v>
      </c>
      <c r="AW19" s="7">
        <f>AV19+預測IC!AW19</f>
        <v>2.6267041474043529</v>
      </c>
      <c r="AX19" s="7">
        <f>AW19+預測IC!AX19</f>
        <v>2.706910561714766</v>
      </c>
      <c r="AY19" s="7">
        <f>AX19+預測IC!AY19</f>
        <v>2.7364395321081458</v>
      </c>
      <c r="AZ19" s="7">
        <f>AY19+預測IC!AZ19</f>
        <v>2.5495599139399716</v>
      </c>
      <c r="BA19" s="7">
        <f>AZ19+預測IC!BA19</f>
        <v>2.7365566914947523</v>
      </c>
      <c r="BB19" s="7">
        <f>BA19+預測IC!BB19</f>
        <v>2.93835860215796</v>
      </c>
      <c r="BC19" s="7">
        <f>BB19+預測IC!BC19</f>
        <v>3.0024140885041457</v>
      </c>
      <c r="BD19" s="7">
        <f>BC19+預測IC!BD19</f>
        <v>2.9991796958740777</v>
      </c>
      <c r="BE19" s="7">
        <f>BD19+預測IC!BE19</f>
        <v>3.0503115698377443</v>
      </c>
      <c r="BF19" s="7">
        <f>BE19+預測IC!BF19</f>
        <v>3.0638825439868831</v>
      </c>
      <c r="BG19" s="7">
        <f>BF19+預測IC!BG19</f>
        <v>3.0475388856540411</v>
      </c>
      <c r="BH19" s="7">
        <f>BG19+預測IC!BH19</f>
        <v>3.0495570873554723</v>
      </c>
      <c r="BI19" s="7">
        <f>BH19+預測IC!BI19</f>
        <v>3.177355716174691</v>
      </c>
      <c r="BJ19" s="7">
        <f>BI19+預測IC!BJ19</f>
        <v>3.1990630177132702</v>
      </c>
      <c r="BK19" s="7">
        <f>BJ19+預測IC!BK19</f>
        <v>3.1473134916212779</v>
      </c>
      <c r="BL19" s="7">
        <f>BK19+預測IC!BL19</f>
        <v>3.2272781497677809</v>
      </c>
      <c r="BM19" s="7">
        <f>BL19+預測IC!BM19</f>
        <v>3.1954918848986358</v>
      </c>
      <c r="BN19" s="7">
        <f>BM19+預測IC!BN19</f>
        <v>3.2627445323659074</v>
      </c>
      <c r="BO19" s="7">
        <f>BN19+預測IC!BO19</f>
        <v>3.2884734936310229</v>
      </c>
      <c r="BP19" s="7">
        <f>BO19+預測IC!BP19</f>
        <v>3.351292301165155</v>
      </c>
      <c r="BQ19" s="7">
        <f>BP19+預測IC!BQ19</f>
        <v>3.3612263456194782</v>
      </c>
      <c r="BR19" s="7">
        <f>BQ19+預測IC!BR19</f>
        <v>3.3679015916429984</v>
      </c>
      <c r="BS19" s="7">
        <f>BR19+預測IC!BS19</f>
        <v>3.3436452528985163</v>
      </c>
      <c r="BT19" s="7">
        <f>BS19+預測IC!BT19</f>
        <v>3.4852779327520897</v>
      </c>
      <c r="BU19" s="7">
        <f>BT19+預測IC!BU19</f>
        <v>3.5612141839863276</v>
      </c>
      <c r="BV19" s="7">
        <f>BU19+預測IC!BV19</f>
        <v>3.6548694251396738</v>
      </c>
      <c r="BW19" s="7">
        <f>BV19+預測IC!BW19</f>
        <v>3.545902463756029</v>
      </c>
      <c r="BX19" s="7">
        <f>BW19+預測IC!BX19</f>
        <v>3.5799902490278872</v>
      </c>
      <c r="BY19" s="7">
        <f>BX19+預測IC!BY19</f>
        <v>3.4723405124722388</v>
      </c>
      <c r="BZ19" s="7">
        <f>BY19+預測IC!BZ19</f>
        <v>3.5410426372942929</v>
      </c>
      <c r="CA19" s="7">
        <f>BZ19+預測IC!CA19</f>
        <v>3.5117138820705183</v>
      </c>
      <c r="CB19" s="7">
        <f>CA19+預測IC!CB19</f>
        <v>3.4636727135622736</v>
      </c>
      <c r="CC19" s="7">
        <f>CB19+預測IC!CC19</f>
        <v>3.4861789464607909</v>
      </c>
      <c r="CD19" s="7">
        <f>CC19+預測IC!CD19</f>
        <v>3.5738438948221072</v>
      </c>
      <c r="CE19" s="7">
        <f>CD19+預測IC!CE19</f>
        <v>3.662318753759775</v>
      </c>
      <c r="CF19" s="7">
        <f>CE19+預測IC!CF19</f>
        <v>3.5506202662947581</v>
      </c>
      <c r="CG19" s="7">
        <f>CF19+預測IC!CG19</f>
        <v>3.8145133998602967</v>
      </c>
      <c r="CH19" s="7">
        <f>CG19+預測IC!CH19</f>
        <v>3.9674032669102228</v>
      </c>
      <c r="CI19" s="7">
        <f>CH19+預測IC!CI19</f>
        <v>3.9303363207500275</v>
      </c>
      <c r="CJ19" s="7">
        <f>CI19+預測IC!CJ19</f>
        <v>3.8683958207839915</v>
      </c>
      <c r="CK19" s="7">
        <f>CJ19+預測IC!CK19</f>
        <v>3.9723635386010896</v>
      </c>
      <c r="CL19" s="7">
        <f>CK19+預測IC!CL19</f>
        <v>3.9291232586262996</v>
      </c>
      <c r="CM19" s="7">
        <f>CL19+預測IC!CM19</f>
        <v>4.1044709002080149</v>
      </c>
      <c r="CN19" s="7">
        <f>CM19+預測IC!CN19</f>
        <v>4.0275382455407112</v>
      </c>
      <c r="CO19" s="7">
        <f>CN19+預測IC!CO19</f>
        <v>3.7550838409122047</v>
      </c>
      <c r="CP19" s="7">
        <f>CO19+預測IC!CP19</f>
        <v>3.9141164398945376</v>
      </c>
      <c r="CQ19" s="7">
        <f>CP19+預測IC!CQ19</f>
        <v>3.8817218323781191</v>
      </c>
      <c r="CR19" s="7">
        <f>CQ19+預測IC!CR19</f>
        <v>3.9060210348418458</v>
      </c>
      <c r="CS19" s="7">
        <f>CR19+預測IC!CS19</f>
        <v>3.9497960218201502</v>
      </c>
      <c r="CT19" s="7">
        <f>CS19+預測IC!CT19</f>
        <v>4.0724164484501806</v>
      </c>
      <c r="CU19" s="7">
        <f>CT19+預測IC!CU19</f>
        <v>3.9889800513362874</v>
      </c>
      <c r="CV19" s="7">
        <f>CU19+預測IC!CV19</f>
        <v>4.090959912852691</v>
      </c>
      <c r="CW19" s="7">
        <f>CV19+預測IC!CW19</f>
        <v>4.0690581050707921</v>
      </c>
      <c r="CX19" s="7">
        <f>CW19+預測IC!CX19</f>
        <v>4.1266928314389775</v>
      </c>
      <c r="CY19" s="7">
        <f>CX19+預測IC!CY19</f>
        <v>4.0557709618746083</v>
      </c>
      <c r="CZ19" s="7">
        <f>CY19+預測IC!CZ19</f>
        <v>4.1686227905160722</v>
      </c>
      <c r="DA19" s="7">
        <f>CZ19+預測IC!DA19</f>
        <v>4.1103989138128352</v>
      </c>
      <c r="DB19" s="7">
        <f>DA19+預測IC!DB19</f>
        <v>4.2583607605824518</v>
      </c>
      <c r="DC19" s="7">
        <f>DB19+預測IC!DC19</f>
        <v>4.2886372177606056</v>
      </c>
      <c r="DD19" s="7">
        <f>DC19+預測IC!DD19</f>
        <v>4.2250897536081027</v>
      </c>
      <c r="DE19" s="7">
        <f>DD19+預測IC!DE19</f>
        <v>4.2791147089907122</v>
      </c>
      <c r="DF19" s="7">
        <f>DE19+預測IC!DF19</f>
        <v>4.2094216620976894</v>
      </c>
      <c r="DG19" s="7">
        <f>DF19+預測IC!DG19</f>
        <v>4.19667518718704</v>
      </c>
      <c r="DH19" s="7">
        <f>DG19+預測IC!DH19</f>
        <v>4.196518204057635</v>
      </c>
      <c r="DI19" s="7">
        <f>DH19+預測IC!DI19</f>
        <v>4.2001846285000566</v>
      </c>
      <c r="DJ19" s="7">
        <f>DI19+預測IC!DJ19</f>
        <v>4.2806842309100865</v>
      </c>
      <c r="DK19" s="7">
        <f>DJ19+預測IC!DK19</f>
        <v>4.4048288186942939</v>
      </c>
      <c r="DL19" s="7">
        <f>DK19+預測IC!DL19</f>
        <v>4.474996226494163</v>
      </c>
      <c r="DM19" s="7">
        <f>DL19+預測IC!DM19</f>
        <v>4.3930439714601688</v>
      </c>
      <c r="DN19" s="7">
        <f>DM19+預測IC!DN19</f>
        <v>4.3955190945578071</v>
      </c>
      <c r="DO19" s="7">
        <f>DN19+預測IC!DO19</f>
        <v>4.4506456579577511</v>
      </c>
      <c r="DP19" s="7">
        <f>DO19+預測IC!DP19</f>
        <v>4.4784836724407446</v>
      </c>
      <c r="DQ19" s="7">
        <f>DP19+預測IC!DQ19</f>
        <v>4.4278605009910121</v>
      </c>
      <c r="DR19" s="7">
        <f>DQ19+預測IC!DR19</f>
        <v>4.5038228543160601</v>
      </c>
      <c r="DS19" s="7">
        <f>DR19+預測IC!DS19</f>
        <v>4.3258273073620899</v>
      </c>
      <c r="DT19" s="7">
        <f>DS19+預測IC!DT19</f>
        <v>4.3227511801698606</v>
      </c>
      <c r="DU19" s="7">
        <f>DT19+預測IC!DU19</f>
        <v>4.1721692582135477</v>
      </c>
      <c r="DV19" s="7">
        <f>DU19+預測IC!DV19</f>
        <v>4.2836939646541525</v>
      </c>
      <c r="DW19" s="7">
        <f>DV19+預測IC!DW19</f>
        <v>4.3443031039948368</v>
      </c>
      <c r="DX19" s="7">
        <f>DW19+預測IC!DX19</f>
        <v>4.2059379697566595</v>
      </c>
      <c r="DY19" s="7">
        <f>DX19+預測IC!DY19</f>
        <v>4.3451866484422581</v>
      </c>
      <c r="DZ19" s="7">
        <f>DY19+預測IC!DZ19</f>
        <v>4.4237245960647913</v>
      </c>
      <c r="EA19" s="7">
        <f>DZ19+預測IC!EA19</f>
        <v>4.6567704263700715</v>
      </c>
      <c r="EB19" s="7">
        <f>EA19+預測IC!EB19</f>
        <v>4.6785431963828499</v>
      </c>
      <c r="EC19" s="7">
        <f>EB19+預測IC!EC19</f>
        <v>4.6472180864968697</v>
      </c>
      <c r="ED19" s="7">
        <f>EC19+預測IC!ED19</f>
        <v>4.4962827695067125</v>
      </c>
      <c r="EE19" s="7">
        <f>ED19+預測IC!EE19</f>
        <v>4.5089168124471346</v>
      </c>
      <c r="EF19" s="7">
        <f>EE19+預測IC!EF19</f>
        <v>4.5258947673219039</v>
      </c>
    </row>
    <row r="20" spans="1:136" x14ac:dyDescent="0.3">
      <c r="B20" s="1" t="s">
        <v>166</v>
      </c>
      <c r="C20" s="7">
        <v>0.2015510478639157</v>
      </c>
      <c r="D20" s="7">
        <f>C20+預測IC!D20</f>
        <v>0.58357606791126559</v>
      </c>
      <c r="E20" s="7">
        <f>D20+預測IC!E20</f>
        <v>0.64091241823804623</v>
      </c>
      <c r="F20" s="7">
        <f>E20+預測IC!F20</f>
        <v>0.82333203693118739</v>
      </c>
      <c r="G20" s="7">
        <f>F20+預測IC!G20</f>
        <v>0.98135940050327097</v>
      </c>
      <c r="H20" s="7">
        <f>G20+預測IC!H20</f>
        <v>1.1252916827589463</v>
      </c>
      <c r="I20" s="7">
        <f>H20+預測IC!I20</f>
        <v>1.1532272244033492</v>
      </c>
      <c r="J20" s="7">
        <f>I20+預測IC!J20</f>
        <v>1.0200199313263221</v>
      </c>
      <c r="K20" s="7">
        <f>J20+預測IC!K20</f>
        <v>1.0574246161784338</v>
      </c>
      <c r="L20" s="7">
        <f>K20+預測IC!L20</f>
        <v>1.0881200991795292</v>
      </c>
      <c r="M20" s="7">
        <f>L20+預測IC!M20</f>
        <v>1.1882535135436152</v>
      </c>
      <c r="N20" s="7">
        <f>M20+預測IC!N20</f>
        <v>1.6882649915530892</v>
      </c>
      <c r="O20" s="7">
        <f>N20+預測IC!O20</f>
        <v>1.5781504664497821</v>
      </c>
      <c r="P20" s="7">
        <f>O20+預測IC!P20</f>
        <v>1.6181789612015522</v>
      </c>
      <c r="Q20" s="7">
        <f>P20+預測IC!Q20</f>
        <v>1.8430037721939474</v>
      </c>
      <c r="R20" s="7">
        <f>Q20+預測IC!R20</f>
        <v>1.909473405282804</v>
      </c>
      <c r="S20" s="7">
        <f>R20+預測IC!S20</f>
        <v>1.8521323227100028</v>
      </c>
      <c r="T20" s="7">
        <f>S20+預測IC!T20</f>
        <v>1.8677952332292622</v>
      </c>
      <c r="U20" s="7">
        <f>T20+預測IC!U20</f>
        <v>1.9000328916487694</v>
      </c>
      <c r="V20" s="7">
        <f>U20+預測IC!V20</f>
        <v>1.7637448282811927</v>
      </c>
      <c r="W20" s="7">
        <f>V20+預測IC!W20</f>
        <v>1.9368302044587735</v>
      </c>
      <c r="X20" s="7">
        <f>W20+預測IC!X20</f>
        <v>2.086872516086312</v>
      </c>
      <c r="Y20" s="7">
        <f>X20+預測IC!Y20</f>
        <v>2.0820167582259965</v>
      </c>
      <c r="Z20" s="7">
        <f>Y20+預測IC!Z20</f>
        <v>2.111174108280343</v>
      </c>
      <c r="AA20" s="7">
        <f>Z20+預測IC!AA20</f>
        <v>2.1781360870625832</v>
      </c>
      <c r="AB20" s="7">
        <f>AA20+預測IC!AB20</f>
        <v>2.145237541742357</v>
      </c>
      <c r="AC20" s="7">
        <f>AB20+預測IC!AC20</f>
        <v>2.048928498917058</v>
      </c>
      <c r="AD20" s="7">
        <f>AC20+預測IC!AD20</f>
        <v>2.075915802487736</v>
      </c>
      <c r="AE20" s="7">
        <f>AD20+預測IC!AE20</f>
        <v>2.0932269521147733</v>
      </c>
      <c r="AF20" s="7">
        <f>AE20+預測IC!AF20</f>
        <v>2.1322716305023532</v>
      </c>
      <c r="AG20" s="7">
        <f>AF20+預測IC!AG20</f>
        <v>2.1260298901302055</v>
      </c>
      <c r="AH20" s="7">
        <f>AG20+預測IC!AH20</f>
        <v>2.035851689415423</v>
      </c>
      <c r="AI20" s="7">
        <f>AH20+預測IC!AI20</f>
        <v>2.1140062343365917</v>
      </c>
      <c r="AJ20" s="7">
        <f>AI20+預測IC!AJ20</f>
        <v>2.052016199789044</v>
      </c>
      <c r="AK20" s="7">
        <f>AJ20+預測IC!AK20</f>
        <v>2.038421084293041</v>
      </c>
      <c r="AL20" s="7">
        <f>AK20+預測IC!AL20</f>
        <v>2.1113145363300179</v>
      </c>
      <c r="AM20" s="7">
        <f>AL20+預測IC!AM20</f>
        <v>2.1444105170788204</v>
      </c>
      <c r="AN20" s="7">
        <f>AM20+預測IC!AN20</f>
        <v>2.2198807105978187</v>
      </c>
      <c r="AO20" s="7">
        <f>AN20+預測IC!AO20</f>
        <v>2.2651657925625068</v>
      </c>
      <c r="AP20" s="7">
        <f>AO20+預測IC!AP20</f>
        <v>2.133435331307119</v>
      </c>
      <c r="AQ20" s="7">
        <f>AP20+預測IC!AQ20</f>
        <v>2.16088781664007</v>
      </c>
      <c r="AR20" s="7">
        <f>AQ20+預測IC!AR20</f>
        <v>2.330936821318994</v>
      </c>
      <c r="AS20" s="7">
        <f>AR20+預測IC!AS20</f>
        <v>2.4430326310018109</v>
      </c>
      <c r="AT20" s="7">
        <f>AS20+預測IC!AT20</f>
        <v>2.4488914047620165</v>
      </c>
      <c r="AU20" s="7">
        <f>AT20+預測IC!AU20</f>
        <v>2.5245837916571423</v>
      </c>
      <c r="AV20" s="7">
        <f>AU20+預測IC!AV20</f>
        <v>2.4699580778746641</v>
      </c>
      <c r="AW20" s="7">
        <f>AV20+預測IC!AW20</f>
        <v>2.4768233460538149</v>
      </c>
      <c r="AX20" s="7">
        <f>AW20+預測IC!AX20</f>
        <v>2.5875558940525165</v>
      </c>
      <c r="AY20" s="7">
        <f>AX20+預測IC!AY20</f>
        <v>2.6262305924954261</v>
      </c>
      <c r="AZ20" s="7">
        <f>AY20+預測IC!AZ20</f>
        <v>2.4124281613183376</v>
      </c>
      <c r="BA20" s="7">
        <f>AZ20+預測IC!BA20</f>
        <v>2.5637658868242506</v>
      </c>
      <c r="BB20" s="7">
        <f>BA20+預測IC!BB20</f>
        <v>2.7949795130123274</v>
      </c>
      <c r="BC20" s="7">
        <f>BB20+預測IC!BC20</f>
        <v>2.8655850806900678</v>
      </c>
      <c r="BD20" s="7">
        <f>BC20+預測IC!BD20</f>
        <v>2.8121552674684707</v>
      </c>
      <c r="BE20" s="7">
        <f>BD20+預測IC!BE20</f>
        <v>2.8062084703292105</v>
      </c>
      <c r="BF20" s="7">
        <f>BE20+預測IC!BF20</f>
        <v>2.8118970526605391</v>
      </c>
      <c r="BG20" s="7">
        <f>BF20+預測IC!BG20</f>
        <v>2.8049709099518458</v>
      </c>
      <c r="BH20" s="7">
        <f>BG20+預測IC!BH20</f>
        <v>2.7333644628377347</v>
      </c>
      <c r="BI20" s="7">
        <f>BH20+預測IC!BI20</f>
        <v>2.8651097299229096</v>
      </c>
      <c r="BJ20" s="7">
        <f>BI20+預測IC!BJ20</f>
        <v>2.8867392417560964</v>
      </c>
      <c r="BK20" s="7">
        <f>BJ20+預測IC!BK20</f>
        <v>2.8275060739132689</v>
      </c>
      <c r="BL20" s="7">
        <f>BK20+預測IC!BL20</f>
        <v>2.9137983050897236</v>
      </c>
      <c r="BM20" s="7">
        <f>BL20+預測IC!BM20</f>
        <v>2.8663297536255348</v>
      </c>
      <c r="BN20" s="7">
        <f>BM20+預測IC!BN20</f>
        <v>2.984886995070906</v>
      </c>
      <c r="BO20" s="7">
        <f>BN20+預測IC!BO20</f>
        <v>2.9464252775549267</v>
      </c>
      <c r="BP20" s="7">
        <f>BO20+預測IC!BP20</f>
        <v>3.0068327983178817</v>
      </c>
      <c r="BQ20" s="7">
        <f>BP20+預測IC!BQ20</f>
        <v>3.0222845052787246</v>
      </c>
      <c r="BR20" s="7">
        <f>BQ20+預測IC!BR20</f>
        <v>3.034358137009197</v>
      </c>
      <c r="BS20" s="7">
        <f>BR20+預測IC!BS20</f>
        <v>3.0397656432003881</v>
      </c>
      <c r="BT20" s="7">
        <f>BS20+預測IC!BT20</f>
        <v>3.1875686763790352</v>
      </c>
      <c r="BU20" s="7">
        <f>BT20+預測IC!BU20</f>
        <v>3.2863236257467419</v>
      </c>
      <c r="BV20" s="7">
        <f>BU20+預測IC!BV20</f>
        <v>3.4022419573098137</v>
      </c>
      <c r="BW20" s="7">
        <f>BV20+預測IC!BW20</f>
        <v>3.2667387054973376</v>
      </c>
      <c r="BX20" s="7">
        <f>BW20+預測IC!BX20</f>
        <v>3.2974323421805818</v>
      </c>
      <c r="BY20" s="7">
        <f>BX20+預測IC!BY20</f>
        <v>3.1921983758112784</v>
      </c>
      <c r="BZ20" s="7">
        <f>BY20+預測IC!BZ20</f>
        <v>3.2824697800715619</v>
      </c>
      <c r="CA20" s="7">
        <f>BZ20+預測IC!CA20</f>
        <v>3.2423670520198091</v>
      </c>
      <c r="CB20" s="7">
        <f>CA20+預測IC!CB20</f>
        <v>3.2041151020088812</v>
      </c>
      <c r="CC20" s="7">
        <f>CB20+預測IC!CC20</f>
        <v>3.2170302494869616</v>
      </c>
      <c r="CD20" s="7">
        <f>CC20+預測IC!CD20</f>
        <v>3.3130948971295568</v>
      </c>
      <c r="CE20" s="7">
        <f>CD20+預測IC!CE20</f>
        <v>3.3988730697319971</v>
      </c>
      <c r="CF20" s="7">
        <f>CE20+預測IC!CF20</f>
        <v>3.2676645139671825</v>
      </c>
      <c r="CG20" s="7">
        <f>CF20+預測IC!CG20</f>
        <v>3.589603036266567</v>
      </c>
      <c r="CH20" s="7">
        <f>CG20+預測IC!CH20</f>
        <v>3.6614670618637053</v>
      </c>
      <c r="CI20" s="7">
        <f>CH20+預測IC!CI20</f>
        <v>3.6310723880946232</v>
      </c>
      <c r="CJ20" s="7">
        <f>CI20+預測IC!CJ20</f>
        <v>3.5076320682072724</v>
      </c>
      <c r="CK20" s="7">
        <f>CJ20+預測IC!CK20</f>
        <v>3.5986104649573791</v>
      </c>
      <c r="CL20" s="7">
        <f>CK20+預測IC!CL20</f>
        <v>3.5064255307682499</v>
      </c>
      <c r="CM20" s="7">
        <f>CL20+預測IC!CM20</f>
        <v>3.6954766959388707</v>
      </c>
      <c r="CN20" s="7">
        <f>CM20+預測IC!CN20</f>
        <v>3.7176361073093553</v>
      </c>
      <c r="CO20" s="7">
        <f>CN20+預測IC!CO20</f>
        <v>3.3016647721403429</v>
      </c>
      <c r="CP20" s="7">
        <f>CO20+預測IC!CP20</f>
        <v>3.4936959772493701</v>
      </c>
      <c r="CQ20" s="7">
        <f>CP20+預測IC!CQ20</f>
        <v>3.4705779319490873</v>
      </c>
      <c r="CR20" s="7">
        <f>CQ20+預測IC!CR20</f>
        <v>3.4959404847231013</v>
      </c>
      <c r="CS20" s="7">
        <f>CR20+預測IC!CS20</f>
        <v>3.5182335228824608</v>
      </c>
      <c r="CT20" s="7">
        <f>CS20+預測IC!CT20</f>
        <v>3.6087075602967271</v>
      </c>
      <c r="CU20" s="7">
        <f>CT20+預測IC!CU20</f>
        <v>3.5138399020302149</v>
      </c>
      <c r="CV20" s="7">
        <f>CU20+預測IC!CV20</f>
        <v>3.6063509777256408</v>
      </c>
      <c r="CW20" s="7">
        <f>CV20+預測IC!CW20</f>
        <v>3.6163040406469236</v>
      </c>
      <c r="CX20" s="7">
        <f>CW20+預測IC!CX20</f>
        <v>3.7066025915146881</v>
      </c>
      <c r="CY20" s="7">
        <f>CX20+預測IC!CY20</f>
        <v>3.694122858846391</v>
      </c>
      <c r="CZ20" s="7">
        <f>CY20+預測IC!CZ20</f>
        <v>3.8492845039955892</v>
      </c>
      <c r="DA20" s="7">
        <f>CZ20+預測IC!DA20</f>
        <v>3.8018126108404116</v>
      </c>
      <c r="DB20" s="7">
        <f>DA20+預測IC!DB20</f>
        <v>3.8787806806111957</v>
      </c>
      <c r="DC20" s="7">
        <f>DB20+預測IC!DC20</f>
        <v>3.9076818413137993</v>
      </c>
      <c r="DD20" s="7">
        <f>DC20+預測IC!DD20</f>
        <v>3.8395188290000148</v>
      </c>
      <c r="DE20" s="7">
        <f>DD20+預測IC!DE20</f>
        <v>3.8127689650790861</v>
      </c>
      <c r="DF20" s="7">
        <f>DE20+預測IC!DF20</f>
        <v>3.8136280866115069</v>
      </c>
      <c r="DG20" s="7">
        <f>DF20+預測IC!DG20</f>
        <v>3.8094258759911361</v>
      </c>
      <c r="DH20" s="7">
        <f>DG20+預測IC!DH20</f>
        <v>3.7984504642486092</v>
      </c>
      <c r="DI20" s="7">
        <f>DH20+預測IC!DI20</f>
        <v>3.7755737324635565</v>
      </c>
      <c r="DJ20" s="7">
        <f>DI20+預測IC!DJ20</f>
        <v>3.8568507526233593</v>
      </c>
      <c r="DK20" s="7">
        <f>DJ20+預測IC!DK20</f>
        <v>3.941804734069414</v>
      </c>
      <c r="DL20" s="7">
        <f>DK20+預測IC!DL20</f>
        <v>4.0176313702479565</v>
      </c>
      <c r="DM20" s="7">
        <f>DL20+預測IC!DM20</f>
        <v>4.0269150205273938</v>
      </c>
      <c r="DN20" s="7">
        <f>DM20+預測IC!DN20</f>
        <v>4.0849342271815932</v>
      </c>
      <c r="DO20" s="7">
        <f>DN20+預測IC!DO20</f>
        <v>4.1507500290195631</v>
      </c>
      <c r="DP20" s="7">
        <f>DO20+預測IC!DP20</f>
        <v>4.1605805604104509</v>
      </c>
      <c r="DQ20" s="7">
        <f>DP20+預測IC!DQ20</f>
        <v>4.1220402493260826</v>
      </c>
      <c r="DR20" s="7">
        <f>DQ20+預測IC!DR20</f>
        <v>4.2005529093543732</v>
      </c>
      <c r="DS20" s="7">
        <f>DR20+預測IC!DS20</f>
        <v>3.9944718117760187</v>
      </c>
      <c r="DT20" s="7">
        <f>DS20+預測IC!DT20</f>
        <v>3.9993011559600014</v>
      </c>
      <c r="DU20" s="7">
        <f>DT20+預測IC!DU20</f>
        <v>3.8229259870296048</v>
      </c>
      <c r="DV20" s="7">
        <f>DU20+預測IC!DV20</f>
        <v>3.9522714588684638</v>
      </c>
      <c r="DW20" s="7">
        <f>DV20+預測IC!DW20</f>
        <v>4.021331662826503</v>
      </c>
      <c r="DX20" s="7">
        <f>DW20+預測IC!DX20</f>
        <v>3.8674653332201885</v>
      </c>
      <c r="DY20" s="7">
        <f>DX20+預測IC!DY20</f>
        <v>3.9890567909955901</v>
      </c>
      <c r="DZ20" s="7">
        <f>DY20+預測IC!DZ20</f>
        <v>4.079256437154565</v>
      </c>
      <c r="EA20" s="7">
        <f>DZ20+預測IC!EA20</f>
        <v>4.3729464211187361</v>
      </c>
      <c r="EB20" s="7">
        <f>EA20+預測IC!EB20</f>
        <v>4.4120140544697017</v>
      </c>
      <c r="EC20" s="7">
        <f>EB20+預測IC!EC20</f>
        <v>4.4349904665779141</v>
      </c>
      <c r="ED20" s="7">
        <f>EC20+預測IC!ED20</f>
        <v>4.2580716055109038</v>
      </c>
      <c r="EE20" s="7">
        <f>ED20+預測IC!EE20</f>
        <v>4.2604388364382855</v>
      </c>
      <c r="EF20" s="7">
        <f>EE20+預測IC!EF20</f>
        <v>4.2807202530541923</v>
      </c>
    </row>
    <row r="21" spans="1:136" x14ac:dyDescent="0.3">
      <c r="B21" s="1" t="s">
        <v>165</v>
      </c>
      <c r="C21" s="7">
        <v>0.21462957980695321</v>
      </c>
      <c r="D21" s="7">
        <f>C21+預測IC!D21</f>
        <v>0.34101749657377678</v>
      </c>
      <c r="E21" s="7">
        <f>D21+預測IC!E21</f>
        <v>0.32732732628798616</v>
      </c>
      <c r="F21" s="7">
        <f>E21+預測IC!F21</f>
        <v>0.53074082384731358</v>
      </c>
      <c r="G21" s="7">
        <f>F21+預測IC!G21</f>
        <v>0.67607268265431397</v>
      </c>
      <c r="H21" s="7">
        <f>G21+預測IC!H21</f>
        <v>0.83823677044815192</v>
      </c>
      <c r="I21" s="7">
        <f>H21+預測IC!I21</f>
        <v>0.85234804892913385</v>
      </c>
      <c r="J21" s="7">
        <f>I21+預測IC!J21</f>
        <v>0.71560513358927724</v>
      </c>
      <c r="K21" s="7">
        <f>J21+預測IC!K21</f>
        <v>0.71707542954941317</v>
      </c>
      <c r="L21" s="7">
        <f>K21+預測IC!L21</f>
        <v>0.71204627624335248</v>
      </c>
      <c r="M21" s="7">
        <f>L21+預測IC!M21</f>
        <v>0.78770692617011306</v>
      </c>
      <c r="N21" s="7">
        <f>M21+預測IC!N21</f>
        <v>1.3725981907908382</v>
      </c>
      <c r="O21" s="7">
        <f>N21+預測IC!O21</f>
        <v>1.2333206973438491</v>
      </c>
      <c r="P21" s="7">
        <f>O21+預測IC!P21</f>
        <v>1.2787478903613523</v>
      </c>
      <c r="Q21" s="7">
        <f>P21+預測IC!Q21</f>
        <v>1.552831335632042</v>
      </c>
      <c r="R21" s="7">
        <f>Q21+預測IC!R21</f>
        <v>1.6377365668253825</v>
      </c>
      <c r="S21" s="7">
        <f>R21+預測IC!S21</f>
        <v>1.6011732751686856</v>
      </c>
      <c r="T21" s="7">
        <f>S21+預測IC!T21</f>
        <v>1.5871329108284806</v>
      </c>
      <c r="U21" s="7">
        <f>T21+預測IC!U21</f>
        <v>1.5773082700940837</v>
      </c>
      <c r="V21" s="7">
        <f>U21+預測IC!V21</f>
        <v>1.4455577814415812</v>
      </c>
      <c r="W21" s="7">
        <f>V21+預測IC!W21</f>
        <v>1.6033462610570437</v>
      </c>
      <c r="X21" s="7">
        <f>W21+預測IC!X21</f>
        <v>1.8111475284103815</v>
      </c>
      <c r="Y21" s="7">
        <f>X21+預測IC!Y21</f>
        <v>1.8010038680371789</v>
      </c>
      <c r="Z21" s="7">
        <f>Y21+預測IC!Z21</f>
        <v>1.8404615837171361</v>
      </c>
      <c r="AA21" s="7">
        <f>Z21+預測IC!AA21</f>
        <v>1.8684950399093445</v>
      </c>
      <c r="AB21" s="7">
        <f>AA21+預測IC!AB21</f>
        <v>1.8465390960202104</v>
      </c>
      <c r="AC21" s="7">
        <f>AB21+預測IC!AC21</f>
        <v>1.6869968235560087</v>
      </c>
      <c r="AD21" s="7">
        <f>AC21+預測IC!AD21</f>
        <v>1.6610635475585738</v>
      </c>
      <c r="AE21" s="7">
        <f>AD21+預測IC!AE21</f>
        <v>1.6713751582526337</v>
      </c>
      <c r="AF21" s="7">
        <f>AE21+預測IC!AF21</f>
        <v>1.7245007681391966</v>
      </c>
      <c r="AG21" s="7">
        <f>AF21+預測IC!AG21</f>
        <v>1.7139300150992383</v>
      </c>
      <c r="AH21" s="7">
        <f>AG21+預測IC!AH21</f>
        <v>1.6063486525344399</v>
      </c>
      <c r="AI21" s="7">
        <f>AH21+預測IC!AI21</f>
        <v>1.685942861867731</v>
      </c>
      <c r="AJ21" s="7">
        <f>AI21+預測IC!AJ21</f>
        <v>1.6155375199212623</v>
      </c>
      <c r="AK21" s="7">
        <f>AJ21+預測IC!AK21</f>
        <v>1.5797343523031522</v>
      </c>
      <c r="AL21" s="7">
        <f>AK21+預測IC!AL21</f>
        <v>1.6451141750362628</v>
      </c>
      <c r="AM21" s="7">
        <f>AL21+預測IC!AM21</f>
        <v>1.7136499824838933</v>
      </c>
      <c r="AN21" s="7">
        <f>AM21+預測IC!AN21</f>
        <v>1.8256060385469877</v>
      </c>
      <c r="AO21" s="7">
        <f>AN21+預測IC!AO21</f>
        <v>1.8733324341907143</v>
      </c>
      <c r="AP21" s="7">
        <f>AO21+預測IC!AP21</f>
        <v>1.800797290620695</v>
      </c>
      <c r="AQ21" s="7">
        <f>AP21+預測IC!AQ21</f>
        <v>1.8776627976312428</v>
      </c>
      <c r="AR21" s="7">
        <f>AQ21+預測IC!AR21</f>
        <v>2.0828450758617238</v>
      </c>
      <c r="AS21" s="7">
        <f>AR21+預測IC!AS21</f>
        <v>2.1473009445083533</v>
      </c>
      <c r="AT21" s="7">
        <f>AS21+預測IC!AT21</f>
        <v>2.1448080332311981</v>
      </c>
      <c r="AU21" s="7">
        <f>AT21+預測IC!AU21</f>
        <v>2.1926176647401552</v>
      </c>
      <c r="AV21" s="7">
        <f>AU21+預測IC!AV21</f>
        <v>2.1370968846780216</v>
      </c>
      <c r="AW21" s="7">
        <f>AV21+預測IC!AW21</f>
        <v>2.1468879146321189</v>
      </c>
      <c r="AX21" s="7">
        <f>AW21+預測IC!AX21</f>
        <v>2.2900356021018755</v>
      </c>
      <c r="AY21" s="7">
        <f>AX21+預測IC!AY21</f>
        <v>2.3370568930799136</v>
      </c>
      <c r="AZ21" s="7">
        <f>AY21+預測IC!AZ21</f>
        <v>2.0821456231827771</v>
      </c>
      <c r="BA21" s="7">
        <f>AZ21+預測IC!BA21</f>
        <v>2.221738305344104</v>
      </c>
      <c r="BB21" s="7">
        <f>BA21+預測IC!BB21</f>
        <v>2.5162509423214257</v>
      </c>
      <c r="BC21" s="7">
        <f>BB21+預測IC!BC21</f>
        <v>2.5545720900466193</v>
      </c>
      <c r="BD21" s="7">
        <f>BC21+預測IC!BD21</f>
        <v>2.5328212266759915</v>
      </c>
      <c r="BE21" s="7">
        <f>BD21+預測IC!BE21</f>
        <v>2.5391717600733932</v>
      </c>
      <c r="BF21" s="7">
        <f>BE21+預測IC!BF21</f>
        <v>2.5427488602538277</v>
      </c>
      <c r="BG21" s="7">
        <f>BF21+預測IC!BG21</f>
        <v>2.5793840494706402</v>
      </c>
      <c r="BH21" s="7">
        <f>BG21+預測IC!BH21</f>
        <v>2.503062686331885</v>
      </c>
      <c r="BI21" s="7">
        <f>BH21+預測IC!BI21</f>
        <v>2.669032282510277</v>
      </c>
      <c r="BJ21" s="7">
        <f>BI21+預測IC!BJ21</f>
        <v>2.6926113086919945</v>
      </c>
      <c r="BK21" s="7">
        <f>BJ21+預測IC!BK21</f>
        <v>2.6241614283124597</v>
      </c>
      <c r="BL21" s="7">
        <f>BK21+預測IC!BL21</f>
        <v>2.7668825209588093</v>
      </c>
      <c r="BM21" s="7">
        <f>BL21+預測IC!BM21</f>
        <v>2.7260872349300884</v>
      </c>
      <c r="BN21" s="7">
        <f>BM21+預測IC!BN21</f>
        <v>2.7897351829223362</v>
      </c>
      <c r="BO21" s="7">
        <f>BN21+預測IC!BO21</f>
        <v>2.725877946508656</v>
      </c>
      <c r="BP21" s="7">
        <f>BO21+預測IC!BP21</f>
        <v>2.8303870759280705</v>
      </c>
      <c r="BQ21" s="7">
        <f>BP21+預測IC!BQ21</f>
        <v>2.8849293067625754</v>
      </c>
      <c r="BR21" s="7">
        <f>BQ21+預測IC!BR21</f>
        <v>2.89725316894644</v>
      </c>
      <c r="BS21" s="7">
        <f>BR21+預測IC!BS21</f>
        <v>2.9031133417016162</v>
      </c>
      <c r="BT21" s="7">
        <f>BS21+預測IC!BT21</f>
        <v>3.035358035676059</v>
      </c>
      <c r="BU21" s="7">
        <f>BT21+預測IC!BU21</f>
        <v>3.170854497874628</v>
      </c>
      <c r="BV21" s="7">
        <f>BU21+預測IC!BV21</f>
        <v>3.3129974980600814</v>
      </c>
      <c r="BW21" s="7">
        <f>BV21+預測IC!BW21</f>
        <v>3.1663183011243503</v>
      </c>
      <c r="BX21" s="7">
        <f>BW21+預測IC!BX21</f>
        <v>3.1633274818399362</v>
      </c>
      <c r="BY21" s="7">
        <f>BX21+預測IC!BY21</f>
        <v>3.1129476306218198</v>
      </c>
      <c r="BZ21" s="7">
        <f>BY21+預測IC!BZ21</f>
        <v>3.1606105593425355</v>
      </c>
      <c r="CA21" s="7">
        <f>BZ21+預測IC!CA21</f>
        <v>3.1000929560401369</v>
      </c>
      <c r="CB21" s="7">
        <f>CA21+預測IC!CB21</f>
        <v>3.0366715648418787</v>
      </c>
      <c r="CC21" s="7">
        <f>CB21+預測IC!CC21</f>
        <v>3.0286526105709126</v>
      </c>
      <c r="CD21" s="7">
        <f>CC21+預測IC!CD21</f>
        <v>3.1130761615634279</v>
      </c>
      <c r="CE21" s="7">
        <f>CD21+預測IC!CE21</f>
        <v>3.174591043917582</v>
      </c>
      <c r="CF21" s="7">
        <f>CE21+預測IC!CF21</f>
        <v>3.0474205678259736</v>
      </c>
      <c r="CG21" s="7">
        <f>CF21+預測IC!CG21</f>
        <v>3.36758735120645</v>
      </c>
      <c r="CH21" s="7">
        <f>CG21+預測IC!CH21</f>
        <v>3.4476876722826617</v>
      </c>
      <c r="CI21" s="7">
        <f>CH21+預測IC!CI21</f>
        <v>3.3671880558916794</v>
      </c>
      <c r="CJ21" s="7">
        <f>CI21+預測IC!CJ21</f>
        <v>3.2815602988751769</v>
      </c>
      <c r="CK21" s="7">
        <f>CJ21+預測IC!CK21</f>
        <v>3.408610845605311</v>
      </c>
      <c r="CL21" s="7">
        <f>CK21+預測IC!CL21</f>
        <v>3.2747204209823462</v>
      </c>
      <c r="CM21" s="7">
        <f>CL21+預測IC!CM21</f>
        <v>3.5002234093857174</v>
      </c>
      <c r="CN21" s="7">
        <f>CM21+預測IC!CN21</f>
        <v>3.5307622995894929</v>
      </c>
      <c r="CO21" s="7">
        <f>CN21+預測IC!CO21</f>
        <v>3.0158970509919003</v>
      </c>
      <c r="CP21" s="7">
        <f>CO21+預測IC!CP21</f>
        <v>3.2385971118698129</v>
      </c>
      <c r="CQ21" s="7">
        <f>CP21+預測IC!CQ21</f>
        <v>3.2156849177003166</v>
      </c>
      <c r="CR21" s="7">
        <f>CQ21+預測IC!CR21</f>
        <v>3.2273007065604196</v>
      </c>
      <c r="CS21" s="7">
        <f>CR21+預測IC!CS21</f>
        <v>3.2582084522429171</v>
      </c>
      <c r="CT21" s="7">
        <f>CS21+預測IC!CT21</f>
        <v>3.3405013250972559</v>
      </c>
      <c r="CU21" s="7">
        <f>CT21+預測IC!CU21</f>
        <v>3.2778277649277645</v>
      </c>
      <c r="CV21" s="7">
        <f>CU21+預測IC!CV21</f>
        <v>3.3760533969491515</v>
      </c>
      <c r="CW21" s="7">
        <f>CV21+預測IC!CW21</f>
        <v>3.4410588142301402</v>
      </c>
      <c r="CX21" s="7">
        <f>CW21+預測IC!CX21</f>
        <v>3.543180989887547</v>
      </c>
      <c r="CY21" s="7">
        <f>CX21+預測IC!CY21</f>
        <v>3.5346990734836328</v>
      </c>
      <c r="CZ21" s="7">
        <f>CY21+預測IC!CZ21</f>
        <v>3.7721504443094629</v>
      </c>
      <c r="DA21" s="7">
        <f>CZ21+預測IC!DA21</f>
        <v>3.7733427007661948</v>
      </c>
      <c r="DB21" s="7">
        <f>DA21+預測IC!DB21</f>
        <v>3.8448039145401931</v>
      </c>
      <c r="DC21" s="7">
        <f>DB21+預測IC!DC21</f>
        <v>3.8931130619056997</v>
      </c>
      <c r="DD21" s="7">
        <f>DC21+預測IC!DD21</f>
        <v>3.8260855657049579</v>
      </c>
      <c r="DE21" s="7">
        <f>DD21+預測IC!DE21</f>
        <v>3.8383236742932767</v>
      </c>
      <c r="DF21" s="7">
        <f>DE21+預測IC!DF21</f>
        <v>3.8598845549911514</v>
      </c>
      <c r="DG21" s="7">
        <f>DF21+預測IC!DG21</f>
        <v>3.8677309331196845</v>
      </c>
      <c r="DH21" s="7">
        <f>DG21+預測IC!DH21</f>
        <v>3.8818077533321391</v>
      </c>
      <c r="DI21" s="7">
        <f>DH21+預測IC!DI21</f>
        <v>3.9162152316123184</v>
      </c>
      <c r="DJ21" s="7">
        <f>DI21+預測IC!DJ21</f>
        <v>3.9895180231143939</v>
      </c>
      <c r="DK21" s="7">
        <f>DJ21+預測IC!DK21</f>
        <v>4.1290207299332984</v>
      </c>
      <c r="DL21" s="7">
        <f>DK21+預測IC!DL21</f>
        <v>4.2273856687726745</v>
      </c>
      <c r="DM21" s="7">
        <f>DL21+預測IC!DM21</f>
        <v>4.1975515491304343</v>
      </c>
      <c r="DN21" s="7">
        <f>DM21+預測IC!DN21</f>
        <v>4.2687491616244273</v>
      </c>
      <c r="DO21" s="7">
        <f>DN21+預測IC!DO21</f>
        <v>4.3511949539551074</v>
      </c>
      <c r="DP21" s="7">
        <f>DO21+預測IC!DP21</f>
        <v>4.3754611090486737</v>
      </c>
      <c r="DQ21" s="7">
        <f>DP21+預測IC!DQ21</f>
        <v>4.3472450569962771</v>
      </c>
      <c r="DR21" s="7">
        <f>DQ21+預測IC!DR21</f>
        <v>4.3974159160333581</v>
      </c>
      <c r="DS21" s="7">
        <f>DR21+預測IC!DS21</f>
        <v>4.1965764421960623</v>
      </c>
      <c r="DT21" s="7">
        <f>DS21+預測IC!DT21</f>
        <v>4.1868677992537995</v>
      </c>
      <c r="DU21" s="7">
        <f>DT21+預測IC!DU21</f>
        <v>4.0382530826153857</v>
      </c>
      <c r="DV21" s="7">
        <f>DU21+預測IC!DV21</f>
        <v>4.178529059485264</v>
      </c>
      <c r="DW21" s="7">
        <f>DV21+預測IC!DW21</f>
        <v>4.3067769281493851</v>
      </c>
      <c r="DX21" s="7">
        <f>DW21+預測IC!DX21</f>
        <v>4.1208107141182015</v>
      </c>
      <c r="DY21" s="7">
        <f>DX21+預測IC!DY21</f>
        <v>4.2875416852067936</v>
      </c>
      <c r="DZ21" s="7">
        <f>DY21+預測IC!DZ21</f>
        <v>4.3864722588666991</v>
      </c>
      <c r="EA21" s="7">
        <f>DZ21+預測IC!EA21</f>
        <v>4.6525290911460448</v>
      </c>
      <c r="EB21" s="7">
        <f>EA21+預測IC!EB21</f>
        <v>4.6609372373166309</v>
      </c>
      <c r="EC21" s="7">
        <f>EB21+預測IC!EC21</f>
        <v>4.6881261689263969</v>
      </c>
      <c r="ED21" s="7">
        <f>EC21+預測IC!ED21</f>
        <v>4.6336273125782164</v>
      </c>
      <c r="EE21" s="7">
        <f>ED21+預測IC!EE21</f>
        <v>4.6480561646866345</v>
      </c>
      <c r="EF21" s="7">
        <f>EE21+預測IC!EF21</f>
        <v>4.6292849006445156</v>
      </c>
    </row>
    <row r="22" spans="1:136" x14ac:dyDescent="0.3">
      <c r="B22" s="1" t="s">
        <v>168</v>
      </c>
      <c r="C22" s="7">
        <v>0.20528030103697539</v>
      </c>
      <c r="D22" s="7">
        <f>C22+預測IC!D22</f>
        <v>0.34770815311437386</v>
      </c>
      <c r="E22" s="7">
        <f>D22+預測IC!E22</f>
        <v>0.33035305419791489</v>
      </c>
      <c r="F22" s="7">
        <f>E22+預測IC!F22</f>
        <v>0.19048560388852789</v>
      </c>
      <c r="G22" s="7">
        <f>F22+預測IC!G22</f>
        <v>0.42343102848385061</v>
      </c>
      <c r="H22" s="7">
        <f>G22+預測IC!H22</f>
        <v>0.54760909144449688</v>
      </c>
      <c r="I22" s="7">
        <f>H22+預測IC!I22</f>
        <v>0.56504643465078708</v>
      </c>
      <c r="J22" s="7">
        <f>I22+預測IC!J22</f>
        <v>0.4607929319141576</v>
      </c>
      <c r="K22" s="7">
        <f>J22+預測IC!K22</f>
        <v>0.4894497120305516</v>
      </c>
      <c r="L22" s="7">
        <f>K22+預測IC!L22</f>
        <v>0.50372292071553382</v>
      </c>
      <c r="M22" s="7">
        <f>L22+預測IC!M22</f>
        <v>0.27856431565195211</v>
      </c>
      <c r="N22" s="7">
        <f>M22+預測IC!N22</f>
        <v>1.034707758769291</v>
      </c>
      <c r="O22" s="7">
        <f>N22+預測IC!O22</f>
        <v>0.96826542660433679</v>
      </c>
      <c r="P22" s="7">
        <f>O22+預測IC!P22</f>
        <v>1.0588963010309711</v>
      </c>
      <c r="Q22" s="7">
        <f>P22+預測IC!Q22</f>
        <v>1.1861671912623613</v>
      </c>
      <c r="R22" s="7">
        <f>Q22+預測IC!R22</f>
        <v>1.2528654838686928</v>
      </c>
      <c r="S22" s="7">
        <f>R22+預測IC!S22</f>
        <v>1.2136313403315135</v>
      </c>
      <c r="T22" s="7">
        <f>S22+預測IC!T22</f>
        <v>1.1933927278546794</v>
      </c>
      <c r="U22" s="7">
        <f>T22+預測IC!U22</f>
        <v>1.2458816343503012</v>
      </c>
      <c r="V22" s="7">
        <f>U22+預測IC!V22</f>
        <v>1.0702567318798888</v>
      </c>
      <c r="W22" s="7">
        <f>V22+預測IC!W22</f>
        <v>1.2777369989041862</v>
      </c>
      <c r="X22" s="7">
        <f>W22+預測IC!X22</f>
        <v>1.5349393501176833</v>
      </c>
      <c r="Y22" s="7">
        <f>X22+預測IC!Y22</f>
        <v>1.4650860184148826</v>
      </c>
      <c r="Z22" s="7">
        <f>Y22+預測IC!Z22</f>
        <v>1.488952140205239</v>
      </c>
      <c r="AA22" s="7">
        <f>Z22+預測IC!AA22</f>
        <v>1.607072754575122</v>
      </c>
      <c r="AB22" s="7">
        <f>AA22+預測IC!AB22</f>
        <v>1.6109379847004615</v>
      </c>
      <c r="AC22" s="7">
        <f>AB22+預測IC!AC22</f>
        <v>1.4337249065515987</v>
      </c>
      <c r="AD22" s="7">
        <f>AC22+預測IC!AD22</f>
        <v>1.4151311573369374</v>
      </c>
      <c r="AE22" s="7">
        <f>AD22+預測IC!AE22</f>
        <v>1.3299834713792302</v>
      </c>
      <c r="AF22" s="7">
        <f>AE22+預測IC!AF22</f>
        <v>1.3771657875372543</v>
      </c>
      <c r="AG22" s="7">
        <f>AF22+預測IC!AG22</f>
        <v>1.3311919745295653</v>
      </c>
      <c r="AH22" s="7">
        <f>AG22+預測IC!AH22</f>
        <v>1.2253260151090926</v>
      </c>
      <c r="AI22" s="7">
        <f>AH22+預測IC!AI22</f>
        <v>1.3194672757664785</v>
      </c>
      <c r="AJ22" s="7">
        <f>AI22+預測IC!AJ22</f>
        <v>1.2877674264400703</v>
      </c>
      <c r="AK22" s="7">
        <f>AJ22+預測IC!AK22</f>
        <v>1.389055987180466</v>
      </c>
      <c r="AL22" s="7">
        <f>AK22+預測IC!AL22</f>
        <v>1.4293969539873663</v>
      </c>
      <c r="AM22" s="7">
        <f>AL22+預測IC!AM22</f>
        <v>1.5134858574550698</v>
      </c>
      <c r="AN22" s="7">
        <f>AM22+預測IC!AN22</f>
        <v>1.6246186671186291</v>
      </c>
      <c r="AO22" s="7">
        <f>AN22+預測IC!AO22</f>
        <v>1.6993360405123348</v>
      </c>
      <c r="AP22" s="7">
        <f>AO22+預測IC!AP22</f>
        <v>1.6367996866243422</v>
      </c>
      <c r="AQ22" s="7">
        <f>AP22+預測IC!AQ22</f>
        <v>1.7162258041029352</v>
      </c>
      <c r="AR22" s="7">
        <f>AQ22+預測IC!AR22</f>
        <v>1.9667584822613176</v>
      </c>
      <c r="AS22" s="7">
        <f>AR22+預測IC!AS22</f>
        <v>2.0495689211598673</v>
      </c>
      <c r="AT22" s="7">
        <f>AS22+預測IC!AT22</f>
        <v>2.0244325593198411</v>
      </c>
      <c r="AU22" s="7">
        <f>AT22+預測IC!AU22</f>
        <v>2.0579330112307108</v>
      </c>
      <c r="AV22" s="7">
        <f>AU22+預測IC!AV22</f>
        <v>1.9981198345548308</v>
      </c>
      <c r="AW22" s="7">
        <f>AV22+預測IC!AW22</f>
        <v>1.9679704453478217</v>
      </c>
      <c r="AX22" s="7">
        <f>AW22+預測IC!AX22</f>
        <v>2.1417338453278458</v>
      </c>
      <c r="AY22" s="7">
        <f>AX22+預測IC!AY22</f>
        <v>2.2134672306620766</v>
      </c>
      <c r="AZ22" s="7">
        <f>AY22+預測IC!AZ22</f>
        <v>2.0585634523409246</v>
      </c>
      <c r="BA22" s="7">
        <f>AZ22+預測IC!BA22</f>
        <v>2.1083384099251115</v>
      </c>
      <c r="BB22" s="7">
        <f>BA22+預測IC!BB22</f>
        <v>2.4778889932215993</v>
      </c>
      <c r="BC22" s="7">
        <f>BB22+預測IC!BC22</f>
        <v>2.347052055098644</v>
      </c>
      <c r="BD22" s="7">
        <f>BC22+預測IC!BD22</f>
        <v>2.3248778736328157</v>
      </c>
      <c r="BE22" s="7">
        <f>BD22+預測IC!BE22</f>
        <v>2.347094057027296</v>
      </c>
      <c r="BF22" s="7">
        <f>BE22+預測IC!BF22</f>
        <v>2.3607328743656155</v>
      </c>
      <c r="BG22" s="7">
        <f>BF22+預測IC!BG22</f>
        <v>2.4070123865340016</v>
      </c>
      <c r="BH22" s="7">
        <f>BG22+預測IC!BH22</f>
        <v>2.2790518441958696</v>
      </c>
      <c r="BI22" s="7">
        <f>BH22+預測IC!BI22</f>
        <v>2.3901405636057764</v>
      </c>
      <c r="BJ22" s="7">
        <f>BI22+預測IC!BJ22</f>
        <v>2.4451369787564974</v>
      </c>
      <c r="BK22" s="7">
        <f>BJ22+預測IC!BK22</f>
        <v>2.4032973428228321</v>
      </c>
      <c r="BL22" s="7">
        <f>BK22+預測IC!BL22</f>
        <v>2.5650776818938676</v>
      </c>
      <c r="BM22" s="7">
        <f>BL22+預測IC!BM22</f>
        <v>2.5626471986483343</v>
      </c>
      <c r="BN22" s="7">
        <f>BM22+預測IC!BN22</f>
        <v>2.5473196466252919</v>
      </c>
      <c r="BO22" s="7">
        <f>BN22+預測IC!BO22</f>
        <v>2.4968352175125412</v>
      </c>
      <c r="BP22" s="7">
        <f>BO22+預測IC!BP22</f>
        <v>2.5716707676676478</v>
      </c>
      <c r="BQ22" s="7">
        <f>BP22+預測IC!BQ22</f>
        <v>2.5995008650659606</v>
      </c>
      <c r="BR22" s="7">
        <f>BQ22+預測IC!BR22</f>
        <v>2.6203144745324134</v>
      </c>
      <c r="BS22" s="7">
        <f>BR22+預測IC!BS22</f>
        <v>2.6039416921556144</v>
      </c>
      <c r="BT22" s="7">
        <f>BS22+預測IC!BT22</f>
        <v>2.7344723954921606</v>
      </c>
      <c r="BU22" s="7">
        <f>BT22+預測IC!BU22</f>
        <v>2.9474211616301709</v>
      </c>
      <c r="BV22" s="7">
        <f>BU22+預測IC!BV22</f>
        <v>3.1059651340277799</v>
      </c>
      <c r="BW22" s="7">
        <f>BV22+預測IC!BW22</f>
        <v>2.9312966361001727</v>
      </c>
      <c r="BX22" s="7">
        <f>BW22+預測IC!BX22</f>
        <v>2.9679340817921451</v>
      </c>
      <c r="BY22" s="7">
        <f>BX22+預測IC!BY22</f>
        <v>2.9631872953894103</v>
      </c>
      <c r="BZ22" s="7">
        <f>BY22+預測IC!BZ22</f>
        <v>3.0104450312523023</v>
      </c>
      <c r="CA22" s="7">
        <f>BZ22+預測IC!CA22</f>
        <v>2.982954952771979</v>
      </c>
      <c r="CB22" s="7">
        <f>CA22+預測IC!CB22</f>
        <v>2.8339616745260523</v>
      </c>
      <c r="CC22" s="7">
        <f>CB22+預測IC!CC22</f>
        <v>2.7088576792060195</v>
      </c>
      <c r="CD22" s="7">
        <f>CC22+預測IC!CD22</f>
        <v>2.8043762220710158</v>
      </c>
      <c r="CE22" s="7">
        <f>CD22+預測IC!CE22</f>
        <v>2.8712163677078335</v>
      </c>
      <c r="CF22" s="7">
        <f>CE22+預測IC!CF22</f>
        <v>2.7156437992853668</v>
      </c>
      <c r="CG22" s="7">
        <f>CF22+預測IC!CG22</f>
        <v>3.159444614339777</v>
      </c>
      <c r="CH22" s="7">
        <f>CG22+預測IC!CH22</f>
        <v>3.275363385619225</v>
      </c>
      <c r="CI22" s="7">
        <f>CH22+預測IC!CI22</f>
        <v>3.1575836393408658</v>
      </c>
      <c r="CJ22" s="7">
        <f>CI22+預測IC!CJ22</f>
        <v>3.0542041342513033</v>
      </c>
      <c r="CK22" s="7">
        <f>CJ22+預測IC!CK22</f>
        <v>3.0903674768559859</v>
      </c>
      <c r="CL22" s="7">
        <f>CK22+預測IC!CL22</f>
        <v>2.849715678230945</v>
      </c>
      <c r="CM22" s="7">
        <f>CL22+預測IC!CM22</f>
        <v>3.1701476818887704</v>
      </c>
      <c r="CN22" s="7">
        <f>CM22+預測IC!CN22</f>
        <v>3.1616009100678628</v>
      </c>
      <c r="CO22" s="7">
        <f>CN22+預測IC!CO22</f>
        <v>2.5116444418187074</v>
      </c>
      <c r="CP22" s="7">
        <f>CO22+預測IC!CP22</f>
        <v>2.7710529987881101</v>
      </c>
      <c r="CQ22" s="7">
        <f>CP22+預測IC!CQ22</f>
        <v>2.7538933832689865</v>
      </c>
      <c r="CR22" s="7">
        <f>CQ22+預測IC!CR22</f>
        <v>2.7254711781898258</v>
      </c>
      <c r="CS22" s="7">
        <f>CR22+預測IC!CS22</f>
        <v>2.7499107650218586</v>
      </c>
      <c r="CT22" s="7">
        <f>CS22+預測IC!CT22</f>
        <v>2.8081432863778439</v>
      </c>
      <c r="CU22" s="7">
        <f>CT22+預測IC!CU22</f>
        <v>2.6879115744137461</v>
      </c>
      <c r="CV22" s="7">
        <f>CU22+預測IC!CV22</f>
        <v>2.8001452696208005</v>
      </c>
      <c r="CW22" s="7">
        <f>CV22+預測IC!CW22</f>
        <v>2.8365965229469658</v>
      </c>
      <c r="CX22" s="7">
        <f>CW22+預測IC!CX22</f>
        <v>2.8403461162148149</v>
      </c>
      <c r="CY22" s="7">
        <f>CX22+預測IC!CY22</f>
        <v>2.8323572904413057</v>
      </c>
      <c r="CZ22" s="7">
        <f>CY22+預測IC!CZ22</f>
        <v>3.0952777750405449</v>
      </c>
      <c r="DA22" s="7">
        <f>CZ22+預測IC!DA22</f>
        <v>3.0912860211586208</v>
      </c>
      <c r="DB22" s="7">
        <f>DA22+預測IC!DB22</f>
        <v>3.1453276428691428</v>
      </c>
      <c r="DC22" s="7">
        <f>DB22+預測IC!DC22</f>
        <v>3.2176696766020867</v>
      </c>
      <c r="DD22" s="7">
        <f>DC22+預測IC!DD22</f>
        <v>3.2017070987865242</v>
      </c>
      <c r="DE22" s="7">
        <f>DD22+預測IC!DE22</f>
        <v>3.1962153408045739</v>
      </c>
      <c r="DF22" s="7">
        <f>DE22+預測IC!DF22</f>
        <v>3.2132471160781271</v>
      </c>
      <c r="DG22" s="7">
        <f>DF22+預測IC!DG22</f>
        <v>3.2452321591590145</v>
      </c>
      <c r="DH22" s="7">
        <f>DG22+預測IC!DH22</f>
        <v>3.2591775053425183</v>
      </c>
      <c r="DI22" s="7">
        <f>DH22+預測IC!DI22</f>
        <v>3.3227385046047675</v>
      </c>
      <c r="DJ22" s="7">
        <f>DI22+預測IC!DJ22</f>
        <v>3.3655154267294463</v>
      </c>
      <c r="DK22" s="7">
        <f>DJ22+預測IC!DK22</f>
        <v>3.5446501405522866</v>
      </c>
      <c r="DL22" s="7">
        <f>DK22+預測IC!DL22</f>
        <v>3.6695917882896696</v>
      </c>
      <c r="DM22" s="7">
        <f>DL22+預測IC!DM22</f>
        <v>3.6061257372516362</v>
      </c>
      <c r="DN22" s="7">
        <f>DM22+預測IC!DN22</f>
        <v>3.6528890654556436</v>
      </c>
      <c r="DO22" s="7">
        <f>DN22+預測IC!DO22</f>
        <v>3.7763265667672816</v>
      </c>
      <c r="DP22" s="7">
        <f>DO22+預測IC!DP22</f>
        <v>3.7865538246201855</v>
      </c>
      <c r="DQ22" s="7">
        <f>DP22+預測IC!DQ22</f>
        <v>3.7347036227825643</v>
      </c>
      <c r="DR22" s="7">
        <f>DQ22+預測IC!DR22</f>
        <v>3.7286110701672461</v>
      </c>
      <c r="DS22" s="7">
        <f>DR22+預測IC!DS22</f>
        <v>3.5315601486048869</v>
      </c>
      <c r="DT22" s="7">
        <f>DS22+預測IC!DT22</f>
        <v>3.4878787022807987</v>
      </c>
      <c r="DU22" s="7">
        <f>DT22+預測IC!DU22</f>
        <v>3.3263317913980686</v>
      </c>
      <c r="DV22" s="7">
        <f>DU22+預測IC!DV22</f>
        <v>3.4520369090762464</v>
      </c>
      <c r="DW22" s="7">
        <f>DV22+預測IC!DW22</f>
        <v>3.5304266327832434</v>
      </c>
      <c r="DX22" s="7">
        <f>DW22+預測IC!DX22</f>
        <v>3.3079840243349485</v>
      </c>
      <c r="DY22" s="7">
        <f>DX22+預測IC!DY22</f>
        <v>3.4279400490536105</v>
      </c>
      <c r="DZ22" s="7">
        <f>DY22+預測IC!DZ22</f>
        <v>3.5387745538413218</v>
      </c>
      <c r="EA22" s="7">
        <f>DZ22+預測IC!EA22</f>
        <v>3.6791307158420152</v>
      </c>
      <c r="EB22" s="7">
        <f>EA22+預測IC!EB22</f>
        <v>3.5985339883066971</v>
      </c>
      <c r="EC22" s="7">
        <f>EB22+預測IC!EC22</f>
        <v>3.6866194357331215</v>
      </c>
      <c r="ED22" s="7">
        <f>EC22+預測IC!ED22</f>
        <v>3.609205868675514</v>
      </c>
      <c r="EE22" s="7">
        <f>ED22+預測IC!EE22</f>
        <v>3.6426521724877272</v>
      </c>
      <c r="EF22" s="7">
        <f>EE22+預測IC!EF22</f>
        <v>3.6078619261155547</v>
      </c>
    </row>
    <row r="23" spans="1:136" x14ac:dyDescent="0.3">
      <c r="B23" s="1" t="s">
        <v>164</v>
      </c>
      <c r="C23" s="7">
        <v>0.28298926569632887</v>
      </c>
      <c r="D23" s="7">
        <f>C23+預測IC!D23</f>
        <v>0.53708189314779009</v>
      </c>
      <c r="E23" s="7">
        <f>D23+預測IC!E23</f>
        <v>0.67008708720396104</v>
      </c>
      <c r="F23" s="7">
        <f>E23+預測IC!F23</f>
        <v>0.66634685426205031</v>
      </c>
      <c r="G23" s="7">
        <f>F23+預測IC!G23</f>
        <v>1.0279789750404831</v>
      </c>
      <c r="H23" s="7">
        <f>G23+預測IC!H23</f>
        <v>1.0097905041989985</v>
      </c>
      <c r="I23" s="7">
        <f>H23+預測IC!I23</f>
        <v>0.97340401533259147</v>
      </c>
      <c r="J23" s="7">
        <f>I23+預測IC!J23</f>
        <v>0.85852650940214636</v>
      </c>
      <c r="K23" s="7">
        <f>J23+預測IC!K23</f>
        <v>0.79860862489408346</v>
      </c>
      <c r="L23" s="7">
        <f>K23+預測IC!L23</f>
        <v>0.84937945859926645</v>
      </c>
      <c r="M23" s="7">
        <f>L23+預測IC!M23</f>
        <v>0.58681011155192619</v>
      </c>
      <c r="N23" s="7">
        <f>M23+預測IC!N23</f>
        <v>1.5627115548232062</v>
      </c>
      <c r="O23" s="7">
        <f>N23+預測IC!O23</f>
        <v>1.4398118475160377</v>
      </c>
      <c r="P23" s="7">
        <f>O23+預測IC!P23</f>
        <v>1.4944933735505856</v>
      </c>
      <c r="Q23" s="7">
        <f>P23+預測IC!Q23</f>
        <v>1.7856668670172904</v>
      </c>
      <c r="R23" s="7">
        <f>Q23+預測IC!R23</f>
        <v>1.848488844987052</v>
      </c>
      <c r="S23" s="7">
        <f>R23+預測IC!S23</f>
        <v>1.7759161805369899</v>
      </c>
      <c r="T23" s="7">
        <f>S23+預測IC!T23</f>
        <v>1.7755428113285112</v>
      </c>
      <c r="U23" s="7">
        <f>T23+預測IC!U23</f>
        <v>1.8347846008096127</v>
      </c>
      <c r="V23" s="7">
        <f>U23+預測IC!V23</f>
        <v>1.6023073974386879</v>
      </c>
      <c r="W23" s="7">
        <f>V23+預測IC!W23</f>
        <v>1.9339265476878325</v>
      </c>
      <c r="X23" s="7">
        <f>W23+預測IC!X23</f>
        <v>2.1284830091454769</v>
      </c>
      <c r="Y23" s="7">
        <f>X23+預測IC!Y23</f>
        <v>2.0605330875541261</v>
      </c>
      <c r="Z23" s="7">
        <f>Y23+預測IC!Z23</f>
        <v>2.1015850540743775</v>
      </c>
      <c r="AA23" s="7">
        <f>Z23+預測IC!AA23</f>
        <v>2.2532343859204236</v>
      </c>
      <c r="AB23" s="7">
        <f>AA23+預測IC!AB23</f>
        <v>2.2842257709764158</v>
      </c>
      <c r="AC23" s="7">
        <f>AB23+預測IC!AC23</f>
        <v>2.0502171500299711</v>
      </c>
      <c r="AD23" s="7">
        <f>AC23+預測IC!AD23</f>
        <v>2.047221858459487</v>
      </c>
      <c r="AE23" s="7">
        <f>AD23+預測IC!AE23</f>
        <v>1.8255086226378379</v>
      </c>
      <c r="AF23" s="7">
        <f>AE23+預測IC!AF23</f>
        <v>1.8924148827275891</v>
      </c>
      <c r="AG23" s="7">
        <f>AF23+預測IC!AG23</f>
        <v>1.8903572056771618</v>
      </c>
      <c r="AH23" s="7">
        <f>AG23+預測IC!AH23</f>
        <v>1.8061856211539786</v>
      </c>
      <c r="AI23" s="7">
        <f>AH23+預測IC!AI23</f>
        <v>1.8294138877764605</v>
      </c>
      <c r="AJ23" s="7">
        <f>AI23+預測IC!AJ23</f>
        <v>1.8350570256246148</v>
      </c>
      <c r="AK23" s="7">
        <f>AJ23+預測IC!AK23</f>
        <v>1.9491681249718058</v>
      </c>
      <c r="AL23" s="7">
        <f>AK23+預測IC!AL23</f>
        <v>2.0805998381643414</v>
      </c>
      <c r="AM23" s="7">
        <f>AL23+預測IC!AM23</f>
        <v>2.0883693271692065</v>
      </c>
      <c r="AN23" s="7">
        <f>AM23+預測IC!AN23</f>
        <v>2.3306840265265074</v>
      </c>
      <c r="AO23" s="7">
        <f>AN23+預測IC!AO23</f>
        <v>2.3253470743350833</v>
      </c>
      <c r="AP23" s="7">
        <f>AO23+預測IC!AP23</f>
        <v>2.3284681736873889</v>
      </c>
      <c r="AQ23" s="7">
        <f>AP23+預測IC!AQ23</f>
        <v>2.4178931659469995</v>
      </c>
      <c r="AR23" s="7">
        <f>AQ23+預測IC!AR23</f>
        <v>2.7546372097920671</v>
      </c>
      <c r="AS23" s="7">
        <f>AR23+預測IC!AS23</f>
        <v>2.7399303217946893</v>
      </c>
      <c r="AT23" s="7">
        <f>AS23+預測IC!AT23</f>
        <v>2.6985025999810395</v>
      </c>
      <c r="AU23" s="7">
        <f>AT23+預測IC!AU23</f>
        <v>2.731648126109544</v>
      </c>
      <c r="AV23" s="7">
        <f>AU23+預測IC!AV23</f>
        <v>2.7040091319121697</v>
      </c>
      <c r="AW23" s="7">
        <f>AV23+預測IC!AW23</f>
        <v>2.6519822220737668</v>
      </c>
      <c r="AX23" s="7">
        <f>AW23+預測IC!AX23</f>
        <v>2.7218203759008111</v>
      </c>
      <c r="AY23" s="7">
        <f>AX23+預測IC!AY23</f>
        <v>2.8920543567413932</v>
      </c>
      <c r="AZ23" s="7">
        <f>AY23+預測IC!AZ23</f>
        <v>2.828300739340333</v>
      </c>
      <c r="BA23" s="7">
        <f>AZ23+預測IC!BA23</f>
        <v>2.8822990779701905</v>
      </c>
      <c r="BB23" s="7">
        <f>BA23+預測IC!BB23</f>
        <v>3.449125604017631</v>
      </c>
      <c r="BC23" s="7">
        <f>BB23+預測IC!BC23</f>
        <v>3.1482973548445652</v>
      </c>
      <c r="BD23" s="7">
        <f>BC23+預測IC!BD23</f>
        <v>3.2431282361910156</v>
      </c>
      <c r="BE23" s="7">
        <f>BD23+預測IC!BE23</f>
        <v>3.1716974737937189</v>
      </c>
      <c r="BF23" s="7">
        <f>BE23+預測IC!BF23</f>
        <v>3.1488504831890327</v>
      </c>
      <c r="BG23" s="7">
        <f>BF23+預測IC!BG23</f>
        <v>3.2236119543857851</v>
      </c>
      <c r="BH23" s="7">
        <f>BG23+預測IC!BH23</f>
        <v>3.020127973030498</v>
      </c>
      <c r="BI23" s="7">
        <f>BH23+預測IC!BI23</f>
        <v>3.211240052353697</v>
      </c>
      <c r="BJ23" s="7">
        <f>BI23+預測IC!BJ23</f>
        <v>3.315243367621624</v>
      </c>
      <c r="BK23" s="7">
        <f>BJ23+預測IC!BK23</f>
        <v>3.3172774759581016</v>
      </c>
      <c r="BL23" s="7">
        <f>BK23+預測IC!BL23</f>
        <v>3.4668117722083411</v>
      </c>
      <c r="BM23" s="7">
        <f>BL23+預測IC!BM23</f>
        <v>3.5363072342327917</v>
      </c>
      <c r="BN23" s="7">
        <f>BM23+預測IC!BN23</f>
        <v>3.5293600634739786</v>
      </c>
      <c r="BO23" s="7">
        <f>BN23+預測IC!BO23</f>
        <v>3.5658850052199775</v>
      </c>
      <c r="BP23" s="7">
        <f>BO23+預測IC!BP23</f>
        <v>3.6641514044314341</v>
      </c>
      <c r="BQ23" s="7">
        <f>BP23+預測IC!BQ23</f>
        <v>3.7361993058667</v>
      </c>
      <c r="BR23" s="7">
        <f>BQ23+預測IC!BR23</f>
        <v>3.7540436273306628</v>
      </c>
      <c r="BS23" s="7">
        <f>BR23+預測IC!BS23</f>
        <v>3.6807682386727509</v>
      </c>
      <c r="BT23" s="7">
        <f>BS23+預測IC!BT23</f>
        <v>3.8244180446987479</v>
      </c>
      <c r="BU23" s="7">
        <f>BT23+預測IC!BU23</f>
        <v>4.0301057805446936</v>
      </c>
      <c r="BV23" s="7">
        <f>BU23+預測IC!BV23</f>
        <v>4.1435733489048818</v>
      </c>
      <c r="BW23" s="7">
        <f>BV23+預測IC!BW23</f>
        <v>3.9414210156291904</v>
      </c>
      <c r="BX23" s="7">
        <f>BW23+預測IC!BX23</f>
        <v>3.9332078959019374</v>
      </c>
      <c r="BY23" s="7">
        <f>BX23+預測IC!BY23</f>
        <v>3.9230022032075897</v>
      </c>
      <c r="BZ23" s="7">
        <f>BY23+預測IC!BZ23</f>
        <v>3.9306719656394344</v>
      </c>
      <c r="CA23" s="7">
        <f>BZ23+預測IC!CA23</f>
        <v>3.8550187658928055</v>
      </c>
      <c r="CB23" s="7">
        <f>CA23+預測IC!CB23</f>
        <v>3.6374045629003655</v>
      </c>
      <c r="CC23" s="7">
        <f>CB23+預測IC!CC23</f>
        <v>3.5528599481845902</v>
      </c>
      <c r="CD23" s="7">
        <f>CC23+預測IC!CD23</f>
        <v>3.6941018923461391</v>
      </c>
      <c r="CE23" s="7">
        <f>CD23+預測IC!CE23</f>
        <v>3.7537041941838565</v>
      </c>
      <c r="CF23" s="7">
        <f>CE23+預測IC!CF23</f>
        <v>3.570270957898297</v>
      </c>
      <c r="CG23" s="7">
        <f>CF23+預測IC!CG23</f>
        <v>3.8631748960160341</v>
      </c>
      <c r="CH23" s="7">
        <f>CG23+預測IC!CH23</f>
        <v>4.0433713449374622</v>
      </c>
      <c r="CI23" s="7">
        <f>CH23+預測IC!CI23</f>
        <v>3.7334719278093651</v>
      </c>
      <c r="CJ23" s="7">
        <f>CI23+預測IC!CJ23</f>
        <v>3.7135965602589547</v>
      </c>
      <c r="CK23" s="7">
        <f>CJ23+預測IC!CK23</f>
        <v>3.8097135549869163</v>
      </c>
      <c r="CL23" s="7">
        <f>CK23+預測IC!CL23</f>
        <v>3.4010525423194977</v>
      </c>
      <c r="CM23" s="7">
        <f>CL23+預測IC!CM23</f>
        <v>3.787785488842407</v>
      </c>
      <c r="CN23" s="7">
        <f>CM23+預測IC!CN23</f>
        <v>3.7347803104726038</v>
      </c>
      <c r="CO23" s="7">
        <f>CN23+預測IC!CO23</f>
        <v>2.8258570231069839</v>
      </c>
      <c r="CP23" s="7">
        <f>CO23+預測IC!CP23</f>
        <v>3.1372177662697407</v>
      </c>
      <c r="CQ23" s="7">
        <f>CP23+預測IC!CQ23</f>
        <v>3.1619200363491218</v>
      </c>
      <c r="CR23" s="7">
        <f>CQ23+預測IC!CR23</f>
        <v>3.1236871971779019</v>
      </c>
      <c r="CS23" s="7">
        <f>CR23+預測IC!CS23</f>
        <v>3.1927025680348069</v>
      </c>
      <c r="CT23" s="7">
        <f>CS23+預測IC!CT23</f>
        <v>3.2383651097460606</v>
      </c>
      <c r="CU23" s="7">
        <f>CT23+預測IC!CU23</f>
        <v>3.2173085140327737</v>
      </c>
      <c r="CV23" s="7">
        <f>CU23+預測IC!CV23</f>
        <v>3.1950633765439682</v>
      </c>
      <c r="CW23" s="7">
        <f>CV23+預測IC!CW23</f>
        <v>3.295964708346387</v>
      </c>
      <c r="CX23" s="7">
        <f>CW23+預測IC!CX23</f>
        <v>3.2072477142498608</v>
      </c>
      <c r="CY23" s="7">
        <f>CX23+預測IC!CY23</f>
        <v>3.2292942450032394</v>
      </c>
      <c r="CZ23" s="7">
        <f>CY23+預測IC!CZ23</f>
        <v>3.4112930388605904</v>
      </c>
      <c r="DA23" s="7">
        <f>CZ23+預測IC!DA23</f>
        <v>3.38031090263468</v>
      </c>
      <c r="DB23" s="7">
        <f>DA23+預測IC!DB23</f>
        <v>3.3990579690778997</v>
      </c>
      <c r="DC23" s="7">
        <f>DB23+預測IC!DC23</f>
        <v>3.4714740027343258</v>
      </c>
      <c r="DD23" s="7">
        <f>DC23+預測IC!DD23</f>
        <v>3.4530661764613244</v>
      </c>
      <c r="DE23" s="7">
        <f>DD23+預測IC!DE23</f>
        <v>3.4436709505096794</v>
      </c>
      <c r="DF23" s="7">
        <f>DE23+預測IC!DF23</f>
        <v>3.5056130775545848</v>
      </c>
      <c r="DG23" s="7">
        <f>DF23+預測IC!DG23</f>
        <v>3.5438830894293019</v>
      </c>
      <c r="DH23" s="7">
        <f>DG23+預測IC!DH23</f>
        <v>3.5992965367380445</v>
      </c>
      <c r="DI23" s="7">
        <f>DH23+預測IC!DI23</f>
        <v>3.6527761336540654</v>
      </c>
      <c r="DJ23" s="7">
        <f>DI23+預測IC!DJ23</f>
        <v>3.6189515573586695</v>
      </c>
      <c r="DK23" s="7">
        <f>DJ23+預測IC!DK23</f>
        <v>3.8967847739175125</v>
      </c>
      <c r="DL23" s="7">
        <f>DK23+預測IC!DL23</f>
        <v>4.1128858334577858</v>
      </c>
      <c r="DM23" s="7">
        <f>DL23+預測IC!DM23</f>
        <v>4.0933885285384202</v>
      </c>
      <c r="DN23" s="7">
        <f>DM23+預測IC!DN23</f>
        <v>4.0998857245823901</v>
      </c>
      <c r="DO23" s="7">
        <f>DN23+預測IC!DO23</f>
        <v>4.2639770283162237</v>
      </c>
      <c r="DP23" s="7">
        <f>DO23+預測IC!DP23</f>
        <v>4.3110652609719464</v>
      </c>
      <c r="DQ23" s="7">
        <f>DP23+預測IC!DQ23</f>
        <v>4.1899332197144892</v>
      </c>
      <c r="DR23" s="7">
        <f>DQ23+預測IC!DR23</f>
        <v>4.1000472169831825</v>
      </c>
      <c r="DS23" s="7">
        <f>DR23+預測IC!DS23</f>
        <v>3.8119506400641363</v>
      </c>
      <c r="DT23" s="7">
        <f>DS23+預測IC!DT23</f>
        <v>3.7577001793955236</v>
      </c>
      <c r="DU23" s="7">
        <f>DT23+預測IC!DU23</f>
        <v>3.7020607006872415</v>
      </c>
      <c r="DV23" s="7">
        <f>DU23+預測IC!DV23</f>
        <v>3.9783323090166811</v>
      </c>
      <c r="DW23" s="7">
        <f>DV23+預測IC!DW23</f>
        <v>4.1195605415995198</v>
      </c>
      <c r="DX23" s="7">
        <f>DW23+預測IC!DX23</f>
        <v>3.8060673352205536</v>
      </c>
      <c r="DY23" s="7">
        <f>DX23+預測IC!DY23</f>
        <v>3.7521411106829627</v>
      </c>
      <c r="DZ23" s="7">
        <f>DY23+預測IC!DZ23</f>
        <v>3.5349671229305213</v>
      </c>
      <c r="EA23" s="7">
        <f>DZ23+預測IC!EA23</f>
        <v>3.5062083431541162</v>
      </c>
      <c r="EB23" s="7">
        <f>EA23+預測IC!EB23</f>
        <v>3.443454903443441</v>
      </c>
      <c r="EC23" s="7">
        <f>EB23+預測IC!EC23</f>
        <v>3.537099436603961</v>
      </c>
      <c r="ED23" s="7">
        <f>EC23+預測IC!ED23</f>
        <v>3.44567353198418</v>
      </c>
      <c r="EE23" s="7">
        <f>ED23+預測IC!EE23</f>
        <v>3.5047242158724203</v>
      </c>
      <c r="EF23" s="7">
        <f>EE23+預測IC!EF23</f>
        <v>3.4569419372807606</v>
      </c>
    </row>
    <row r="24" spans="1:136" x14ac:dyDescent="0.3">
      <c r="B24" s="1" t="s">
        <v>163</v>
      </c>
      <c r="C24" s="7">
        <v>9.9113364206882743E-2</v>
      </c>
      <c r="D24" s="7">
        <f>C24+預測IC!D24</f>
        <v>0.19972327710611135</v>
      </c>
      <c r="E24" s="7">
        <f>D24+預測IC!E24</f>
        <v>0.48423577479661328</v>
      </c>
      <c r="F24" s="7">
        <f>E24+預測IC!F24</f>
        <v>0.55956226862831993</v>
      </c>
      <c r="G24" s="7">
        <f>F24+預測IC!G24</f>
        <v>0.78916932048648369</v>
      </c>
      <c r="H24" s="7">
        <f>G24+預測IC!H24</f>
        <v>0.82502511714144033</v>
      </c>
      <c r="I24" s="7">
        <f>H24+預測IC!I24</f>
        <v>0.84195220632218415</v>
      </c>
      <c r="J24" s="7">
        <f>I24+預測IC!J24</f>
        <v>0.72648940810816165</v>
      </c>
      <c r="K24" s="7">
        <f>J24+預測IC!K24</f>
        <v>0.78022240477639571</v>
      </c>
      <c r="L24" s="7">
        <f>K24+預測IC!L24</f>
        <v>0.87402209803314612</v>
      </c>
      <c r="M24" s="7">
        <f>L24+預測IC!M24</f>
        <v>0.41099455383300765</v>
      </c>
      <c r="N24" s="7">
        <f>M24+預測IC!N24</f>
        <v>2.1800259229455765</v>
      </c>
      <c r="O24" s="7">
        <f>N24+預測IC!O24</f>
        <v>1.935748059557393</v>
      </c>
      <c r="P24" s="7">
        <f>O24+預測IC!P24</f>
        <v>1.9374843484217403</v>
      </c>
      <c r="Q24" s="7">
        <f>P24+預測IC!Q24</f>
        <v>1.934637212819343</v>
      </c>
      <c r="R24" s="7">
        <f>Q24+預測IC!R24</f>
        <v>1.9068143889342548</v>
      </c>
      <c r="S24" s="7">
        <f>R24+預測IC!S24</f>
        <v>1.8957599287268061</v>
      </c>
      <c r="T24" s="7">
        <f>S24+預測IC!T24</f>
        <v>2.0194509728185954</v>
      </c>
      <c r="U24" s="7">
        <f>T24+預測IC!U24</f>
        <v>2.305307262799996</v>
      </c>
      <c r="V24" s="7">
        <f>U24+預測IC!V24</f>
        <v>2.206628751540666</v>
      </c>
      <c r="W24" s="7">
        <f>V24+預測IC!W24</f>
        <v>2.7023407374966086</v>
      </c>
      <c r="X24" s="7">
        <f>W24+預測IC!X24</f>
        <v>2.7014418610315913</v>
      </c>
      <c r="Y24" s="7">
        <f>X24+預測IC!Y24</f>
        <v>2.5811243679670608</v>
      </c>
      <c r="Z24" s="7">
        <f>Y24+預測IC!Z24</f>
        <v>2.5567298192174848</v>
      </c>
      <c r="AA24" s="7">
        <f>Z24+預測IC!AA24</f>
        <v>2.6510894020312792</v>
      </c>
      <c r="AB24" s="7">
        <f>AA24+預測IC!AB24</f>
        <v>2.9514831955882617</v>
      </c>
      <c r="AC24" s="7">
        <f>AB24+預測IC!AC24</f>
        <v>2.7053142368035621</v>
      </c>
      <c r="AD24" s="7">
        <f>AC24+預測IC!AD24</f>
        <v>2.6453920899927432</v>
      </c>
      <c r="AE24" s="7">
        <f>AD24+預測IC!AE24</f>
        <v>2.4701232749854012</v>
      </c>
      <c r="AF24" s="7">
        <f>AE24+預測IC!AF24</f>
        <v>2.4926452850201919</v>
      </c>
      <c r="AG24" s="7">
        <f>AF24+預測IC!AG24</f>
        <v>2.5985457574945925</v>
      </c>
      <c r="AH24" s="7">
        <f>AG24+預測IC!AH24</f>
        <v>2.5418483974268029</v>
      </c>
      <c r="AI24" s="7">
        <f>AH24+預測IC!AI24</f>
        <v>2.5330400663283754</v>
      </c>
      <c r="AJ24" s="7">
        <f>AI24+預測IC!AJ24</f>
        <v>2.4521488223290002</v>
      </c>
      <c r="AK24" s="7">
        <f>AJ24+預測IC!AK24</f>
        <v>2.5370327753971926</v>
      </c>
      <c r="AL24" s="7">
        <f>AK24+預測IC!AL24</f>
        <v>2.4823558399065573</v>
      </c>
      <c r="AM24" s="7">
        <f>AL24+預測IC!AM24</f>
        <v>2.4634365584860305</v>
      </c>
      <c r="AN24" s="7">
        <f>AM24+預測IC!AN24</f>
        <v>2.6846260236314619</v>
      </c>
      <c r="AO24" s="7">
        <f>AN24+預測IC!AO24</f>
        <v>2.7507161354604519</v>
      </c>
      <c r="AP24" s="7">
        <f>AO24+預測IC!AP24</f>
        <v>2.7278644199713553</v>
      </c>
      <c r="AQ24" s="7">
        <f>AP24+預測IC!AQ24</f>
        <v>2.774941392805601</v>
      </c>
      <c r="AR24" s="7">
        <f>AQ24+預測IC!AR24</f>
        <v>2.7845806494132082</v>
      </c>
      <c r="AS24" s="7">
        <f>AR24+預測IC!AS24</f>
        <v>2.756624572146618</v>
      </c>
      <c r="AT24" s="7">
        <f>AS24+預測IC!AT24</f>
        <v>2.7870837796313266</v>
      </c>
      <c r="AU24" s="7">
        <f>AT24+預測IC!AU24</f>
        <v>2.8311790994965511</v>
      </c>
      <c r="AV24" s="7">
        <f>AU24+預測IC!AV24</f>
        <v>2.7440271473096551</v>
      </c>
      <c r="AW24" s="7">
        <f>AV24+預測IC!AW24</f>
        <v>2.7490146888206941</v>
      </c>
      <c r="AX24" s="7">
        <f>AW24+預測IC!AX24</f>
        <v>2.7773208754091185</v>
      </c>
      <c r="AY24" s="7">
        <f>AX24+預測IC!AY24</f>
        <v>2.945448169294008</v>
      </c>
      <c r="AZ24" s="7">
        <f>AY24+預測IC!AZ24</f>
        <v>2.9833152428936733</v>
      </c>
      <c r="BA24" s="7">
        <f>AZ24+預測IC!BA24</f>
        <v>3.0338065483056855</v>
      </c>
      <c r="BB24" s="7">
        <f>BA24+預測IC!BB24</f>
        <v>3.7245830796863575</v>
      </c>
      <c r="BC24" s="7">
        <f>BB24+預測IC!BC24</f>
        <v>2.92136706664198</v>
      </c>
      <c r="BD24" s="7">
        <f>BC24+預測IC!BD24</f>
        <v>3.1069622858884154</v>
      </c>
      <c r="BE24" s="7">
        <f>BD24+預測IC!BE24</f>
        <v>3.0608979318567284</v>
      </c>
      <c r="BF24" s="7">
        <f>BE24+預測IC!BF24</f>
        <v>3.1485492679108207</v>
      </c>
      <c r="BG24" s="7">
        <f>BF24+預測IC!BG24</f>
        <v>3.1753852337771318</v>
      </c>
      <c r="BH24" s="7">
        <f>BG24+預測IC!BH24</f>
        <v>2.7891298968635967</v>
      </c>
      <c r="BI24" s="7">
        <f>BH24+預測IC!BI24</f>
        <v>3.012759002933644</v>
      </c>
      <c r="BJ24" s="7">
        <f>BI24+預測IC!BJ24</f>
        <v>3.0161073186885283</v>
      </c>
      <c r="BK24" s="7">
        <f>BJ24+預測IC!BK24</f>
        <v>3.0201308655828147</v>
      </c>
      <c r="BL24" s="7">
        <f>BK24+預測IC!BL24</f>
        <v>3.3372951595075313</v>
      </c>
      <c r="BM24" s="7">
        <f>BL24+預測IC!BM24</f>
        <v>3.2525122196685432</v>
      </c>
      <c r="BN24" s="7">
        <f>BM24+預測IC!BN24</f>
        <v>3.259361561514118</v>
      </c>
      <c r="BO24" s="7">
        <f>BN24+預測IC!BO24</f>
        <v>3.0982518704184763</v>
      </c>
      <c r="BP24" s="7">
        <f>BO24+預測IC!BP24</f>
        <v>3.221603051547798</v>
      </c>
      <c r="BQ24" s="7">
        <f>BP24+預測IC!BQ24</f>
        <v>3.1574334182176829</v>
      </c>
      <c r="BR24" s="7">
        <f>BQ24+預測IC!BR24</f>
        <v>3.1997896415211007</v>
      </c>
      <c r="BS24" s="7">
        <f>BR24+預測IC!BS24</f>
        <v>3.1985049240366439</v>
      </c>
      <c r="BT24" s="7">
        <f>BS24+預測IC!BT24</f>
        <v>3.3147756200908312</v>
      </c>
      <c r="BU24" s="7">
        <f>BT24+預測IC!BU24</f>
        <v>3.543102251650772</v>
      </c>
      <c r="BV24" s="7">
        <f>BU24+預測IC!BV24</f>
        <v>3.650830705538755</v>
      </c>
      <c r="BW24" s="7">
        <f>BV24+預測IC!BW24</f>
        <v>3.588994821903162</v>
      </c>
      <c r="BX24" s="7">
        <f>BW24+預測IC!BX24</f>
        <v>3.4560347661927042</v>
      </c>
      <c r="BY24" s="7">
        <f>BX24+預測IC!BY24</f>
        <v>3.5657804353601215</v>
      </c>
      <c r="BZ24" s="7">
        <f>BY24+預測IC!BZ24</f>
        <v>3.8246733342101185</v>
      </c>
      <c r="CA24" s="7">
        <f>BZ24+預測IC!CA24</f>
        <v>3.7094516534367039</v>
      </c>
      <c r="CB24" s="7">
        <f>CA24+預測IC!CB24</f>
        <v>3.9182136277245729</v>
      </c>
      <c r="CC24" s="7">
        <f>CB24+預測IC!CC24</f>
        <v>3.7357437478370112</v>
      </c>
      <c r="CD24" s="7">
        <f>CC24+預測IC!CD24</f>
        <v>3.7656972737070276</v>
      </c>
      <c r="CE24" s="7">
        <f>CD24+預測IC!CE24</f>
        <v>3.931262147698142</v>
      </c>
      <c r="CF24" s="7">
        <f>CE24+預測IC!CF24</f>
        <v>3.7661307946887459</v>
      </c>
      <c r="CG24" s="7">
        <f>CF24+預測IC!CG24</f>
        <v>4.0034086295486713</v>
      </c>
      <c r="CH24" s="7">
        <f>CG24+預測IC!CH24</f>
        <v>4.3576859263911745</v>
      </c>
      <c r="CI24" s="7">
        <f>CH24+預測IC!CI24</f>
        <v>4.6861377471004388</v>
      </c>
      <c r="CJ24" s="7">
        <f>CI24+預測IC!CJ24</f>
        <v>4.6992472325198582</v>
      </c>
      <c r="CK24" s="7">
        <f>CJ24+預測IC!CK24</f>
        <v>4.7927773118355548</v>
      </c>
      <c r="CL24" s="7">
        <f>CK24+預測IC!CL24</f>
        <v>4.9345326452080958</v>
      </c>
      <c r="CM24" s="7">
        <f>CL24+預測IC!CM24</f>
        <v>5.4841197551671961</v>
      </c>
      <c r="CN24" s="7">
        <f>CM24+預測IC!CN24</f>
        <v>5.3763809887099825</v>
      </c>
      <c r="CO24" s="7">
        <f>CN24+預測IC!CO24</f>
        <v>4.5997277703737511</v>
      </c>
      <c r="CP24" s="7">
        <f>CO24+預測IC!CP24</f>
        <v>4.7600719751885929</v>
      </c>
      <c r="CQ24" s="7">
        <f>CP24+預測IC!CQ24</f>
        <v>4.9202616218160937</v>
      </c>
      <c r="CR24" s="7">
        <f>CQ24+預測IC!CR24</f>
        <v>4.8234437146247551</v>
      </c>
      <c r="CS24" s="7">
        <f>CR24+預測IC!CS24</f>
        <v>4.7965887921036465</v>
      </c>
      <c r="CT24" s="7">
        <f>CS24+預測IC!CT24</f>
        <v>4.8930078002510422</v>
      </c>
      <c r="CU24" s="7">
        <f>CT24+預測IC!CU24</f>
        <v>4.8202564525943323</v>
      </c>
      <c r="CV24" s="7">
        <f>CU24+預測IC!CV24</f>
        <v>4.8353205001337081</v>
      </c>
      <c r="CW24" s="7">
        <f>CV24+預測IC!CW24</f>
        <v>5.0104376662057151</v>
      </c>
      <c r="CX24" s="7">
        <f>CW24+預測IC!CX24</f>
        <v>5.0656448599144017</v>
      </c>
      <c r="CY24" s="7">
        <f>CX24+預測IC!CY24</f>
        <v>4.9855779552775825</v>
      </c>
      <c r="CZ24" s="7">
        <f>CY24+預測IC!CZ24</f>
        <v>5.0977845837221496</v>
      </c>
      <c r="DA24" s="7">
        <f>CZ24+預測IC!DA24</f>
        <v>5.1222957878849043</v>
      </c>
      <c r="DB24" s="7">
        <f>DA24+預測IC!DB24</f>
        <v>5.1057939220359083</v>
      </c>
      <c r="DC24" s="7">
        <f>DB24+預測IC!DC24</f>
        <v>5.2853470372752565</v>
      </c>
      <c r="DD24" s="7">
        <f>DC24+預測IC!DD24</f>
        <v>5.3346468099460314</v>
      </c>
      <c r="DE24" s="7">
        <f>DD24+預測IC!DE24</f>
        <v>5.1585840524364963</v>
      </c>
      <c r="DF24" s="7">
        <f>DE24+預測IC!DF24</f>
        <v>5.0539190764159354</v>
      </c>
      <c r="DG24" s="7">
        <f>DF24+預測IC!DG24</f>
        <v>5.1130249105402799</v>
      </c>
      <c r="DH24" s="7">
        <f>DG24+預測IC!DH24</f>
        <v>5.1138714356056463</v>
      </c>
      <c r="DI24" s="7">
        <f>DH24+預測IC!DI24</f>
        <v>5.2557468945439156</v>
      </c>
      <c r="DJ24" s="7">
        <f>DI24+預測IC!DJ24</f>
        <v>5.2768283657017667</v>
      </c>
      <c r="DK24" s="7">
        <f>DJ24+預測IC!DK24</f>
        <v>5.6163375763322101</v>
      </c>
      <c r="DL24" s="7">
        <f>DK24+預測IC!DL24</f>
        <v>5.8294420026180909</v>
      </c>
      <c r="DM24" s="7">
        <f>DL24+預測IC!DM24</f>
        <v>5.6880024753912162</v>
      </c>
      <c r="DN24" s="7">
        <f>DM24+預測IC!DN24</f>
        <v>5.9213370461659123</v>
      </c>
      <c r="DO24" s="7">
        <f>DN24+預測IC!DO24</f>
        <v>6.1067778487986004</v>
      </c>
      <c r="DP24" s="7">
        <f>DO24+預測IC!DP24</f>
        <v>6.2211512742846145</v>
      </c>
      <c r="DQ24" s="7">
        <f>DP24+預測IC!DQ24</f>
        <v>6.1706650838056891</v>
      </c>
      <c r="DR24" s="7">
        <f>DQ24+預測IC!DR24</f>
        <v>6.1501494535936603</v>
      </c>
      <c r="DS24" s="7">
        <f>DR24+預測IC!DS24</f>
        <v>5.9338879125608148</v>
      </c>
      <c r="DT24" s="7">
        <f>DS24+預測IC!DT24</f>
        <v>5.8591545672948104</v>
      </c>
      <c r="DU24" s="7">
        <f>DT24+預測IC!DU24</f>
        <v>5.8809359626560402</v>
      </c>
      <c r="DV24" s="7">
        <f>DU24+預測IC!DV24</f>
        <v>6.0391606612998547</v>
      </c>
      <c r="DW24" s="7">
        <f>DV24+預測IC!DW24</f>
        <v>6.1480177511911851</v>
      </c>
      <c r="DX24" s="7">
        <f>DW24+預測IC!DX24</f>
        <v>5.8364246233986812</v>
      </c>
      <c r="DY24" s="7">
        <f>DX24+預測IC!DY24</f>
        <v>5.8331847467901383</v>
      </c>
      <c r="DZ24" s="7">
        <f>DY24+預測IC!DZ24</f>
        <v>5.3996781680534465</v>
      </c>
      <c r="EA24" s="7">
        <f>DZ24+預測IC!EA24</f>
        <v>5.3447579842119435</v>
      </c>
      <c r="EB24" s="7">
        <f>EA24+預測IC!EB24</f>
        <v>5.3151758078466491</v>
      </c>
      <c r="EC24" s="7">
        <f>EB24+預測IC!EC24</f>
        <v>5.4588192814063579</v>
      </c>
      <c r="ED24" s="7">
        <f>EC24+預測IC!ED24</f>
        <v>5.4026464361079958</v>
      </c>
      <c r="EE24" s="7">
        <f>ED24+預測IC!EE24</f>
        <v>5.5160758752992143</v>
      </c>
      <c r="EF24" s="7">
        <f>EE24+預測IC!EF24</f>
        <v>5.5833525523431824</v>
      </c>
    </row>
    <row r="25" spans="1:136" s="13" customFormat="1" x14ac:dyDescent="0.3">
      <c r="A25" s="15" t="s">
        <v>147</v>
      </c>
      <c r="B25" s="15" t="s">
        <v>148</v>
      </c>
      <c r="C25" s="16">
        <v>-1.7446770539390338E-2</v>
      </c>
      <c r="D25" s="17">
        <f>C25+預測IC!D25</f>
        <v>3.2542899924252917E-3</v>
      </c>
      <c r="E25" s="17">
        <f>D25+預測IC!E25</f>
        <v>2.7236419247192001E-2</v>
      </c>
      <c r="F25" s="17">
        <f>E25+預測IC!F25</f>
        <v>2.0678840274368924E-2</v>
      </c>
      <c r="G25" s="17">
        <f>F25+預測IC!G25</f>
        <v>5.2523970074888612E-2</v>
      </c>
      <c r="H25" s="17">
        <f>G25+預測IC!H25</f>
        <v>8.6872502811879138E-2</v>
      </c>
      <c r="I25" s="17">
        <f>H25+預測IC!I25</f>
        <v>7.8617570030553904E-2</v>
      </c>
      <c r="J25" s="17">
        <f>I25+預測IC!J25</f>
        <v>9.1461094424606662E-2</v>
      </c>
      <c r="K25" s="17">
        <f>J25+預測IC!K25</f>
        <v>4.0442569797815839E-2</v>
      </c>
      <c r="L25" s="17">
        <f>K25+預測IC!L25</f>
        <v>4.1316512538852428E-2</v>
      </c>
      <c r="M25" s="17">
        <f>L25+預測IC!M25</f>
        <v>6.4706088044348353E-2</v>
      </c>
      <c r="N25" s="17">
        <f>M25+預測IC!N25</f>
        <v>7.7695060244681202E-2</v>
      </c>
      <c r="O25" s="17">
        <f>N25+預測IC!O25</f>
        <v>8.3549648970316082E-2</v>
      </c>
      <c r="P25" s="17">
        <f>O25+預測IC!P25</f>
        <v>0.11096285554210664</v>
      </c>
      <c r="Q25" s="17">
        <f>P25+預測IC!Q25</f>
        <v>0.10724991942441378</v>
      </c>
      <c r="R25" s="17">
        <f>Q25+預測IC!R25</f>
        <v>0.13132653347223711</v>
      </c>
      <c r="S25" s="17">
        <f>R25+預測IC!S25</f>
        <v>0.11913650817319715</v>
      </c>
      <c r="T25" s="17">
        <f>S25+預測IC!T25</f>
        <v>7.9386930013607554E-2</v>
      </c>
      <c r="U25" s="17">
        <f>T25+預測IC!U25</f>
        <v>6.2314801819580018E-3</v>
      </c>
      <c r="V25" s="17">
        <f>U25+預測IC!V25</f>
        <v>-5.2028749728156659E-2</v>
      </c>
      <c r="W25" s="17">
        <f>V25+預測IC!W25</f>
        <v>-5.1255952162648284E-2</v>
      </c>
      <c r="X25" s="17">
        <f>W25+預測IC!X25</f>
        <v>-6.6644310274293142E-3</v>
      </c>
      <c r="Y25" s="17">
        <f>X25+預測IC!Y25</f>
        <v>-3.4364111077642409E-2</v>
      </c>
      <c r="Z25" s="17">
        <f>Y25+預測IC!Z25</f>
        <v>-3.226910512789876E-2</v>
      </c>
      <c r="AA25" s="17">
        <f>Z25+預測IC!AA25</f>
        <v>-5.5669656120462874E-2</v>
      </c>
      <c r="AB25" s="17">
        <f>AA25+預測IC!AB25</f>
        <v>-2.3540285023140685E-2</v>
      </c>
      <c r="AC25" s="17">
        <f>AB25+預測IC!AC25</f>
        <v>1.5362988070925745E-2</v>
      </c>
      <c r="AD25" s="17">
        <f>AC25+預測IC!AD25</f>
        <v>-2.7502394100178525E-2</v>
      </c>
      <c r="AE25" s="17">
        <f>AD25+預測IC!AE25</f>
        <v>-8.8551995500263658E-3</v>
      </c>
      <c r="AF25" s="17">
        <f>AE25+預測IC!AF25</f>
        <v>6.3745687725025833E-3</v>
      </c>
      <c r="AG25" s="17">
        <f>AF25+預測IC!AG25</f>
        <v>4.2391172551395004E-2</v>
      </c>
      <c r="AH25" s="17">
        <f>AG25+預測IC!AH25</f>
        <v>5.174578393671117E-2</v>
      </c>
      <c r="AI25" s="17">
        <f>AH25+預測IC!AI25</f>
        <v>6.2494035273549312E-2</v>
      </c>
      <c r="AJ25" s="17">
        <f>AI25+預測IC!AJ25</f>
        <v>7.5851789326630281E-2</v>
      </c>
      <c r="AK25" s="17">
        <f>AJ25+預測IC!AK25</f>
        <v>7.0519041997534893E-2</v>
      </c>
      <c r="AL25" s="17">
        <f>AK25+預測IC!AL25</f>
        <v>7.1902177804796574E-2</v>
      </c>
      <c r="AM25" s="17">
        <f>AL25+預測IC!AM25</f>
        <v>9.2698106224871041E-2</v>
      </c>
      <c r="AN25" s="17">
        <f>AM25+預測IC!AN25</f>
        <v>0.12421580844526167</v>
      </c>
      <c r="AO25" s="17">
        <f>AN25+預測IC!AO25</f>
        <v>0.13045752497859112</v>
      </c>
      <c r="AP25" s="17">
        <f>AO25+預測IC!AP25</f>
        <v>0.13660278663216249</v>
      </c>
      <c r="AQ25" s="17">
        <f>AP25+預測IC!AQ25</f>
        <v>0.15354914430885899</v>
      </c>
      <c r="AR25" s="17">
        <f>AQ25+預測IC!AR25</f>
        <v>0.18823197476316722</v>
      </c>
      <c r="AS25" s="17">
        <f>AR25+預測IC!AS25</f>
        <v>0.19133056338036419</v>
      </c>
      <c r="AT25" s="17">
        <f>AS25+預測IC!AT25</f>
        <v>0.2064119105238503</v>
      </c>
      <c r="AU25" s="17">
        <f>AT25+預測IC!AU25</f>
        <v>0.18716070129398632</v>
      </c>
      <c r="AV25" s="17">
        <f>AU25+預測IC!AV25</f>
        <v>0.22587221468161775</v>
      </c>
      <c r="AW25" s="17">
        <f>AV25+預測IC!AW25</f>
        <v>0.20401526354588115</v>
      </c>
      <c r="AX25" s="17">
        <f>AW25+預測IC!AX25</f>
        <v>0.21178956425567083</v>
      </c>
      <c r="AY25" s="17">
        <f>AX25+預測IC!AY25</f>
        <v>0.25418681095099677</v>
      </c>
      <c r="AZ25" s="17">
        <f>AY25+預測IC!AZ25</f>
        <v>0.22787783608983703</v>
      </c>
      <c r="BA25" s="17">
        <f>AZ25+預測IC!BA25</f>
        <v>0.23744958539855326</v>
      </c>
      <c r="BB25" s="17">
        <f>BA25+預測IC!BB25</f>
        <v>0.21319984413227844</v>
      </c>
      <c r="BC25" s="17">
        <f>BB25+預測IC!BC25</f>
        <v>0.23336321827619427</v>
      </c>
      <c r="BD25" s="17">
        <f>BC25+預測IC!BD25</f>
        <v>0.22985821949407825</v>
      </c>
      <c r="BE25" s="17">
        <f>BD25+預測IC!BE25</f>
        <v>0.25001015459262055</v>
      </c>
      <c r="BF25" s="17">
        <f>BE25+預測IC!BF25</f>
        <v>0.25059149082339083</v>
      </c>
      <c r="BG25" s="17">
        <f>BF25+預測IC!BG25</f>
        <v>0.24537178987013822</v>
      </c>
      <c r="BH25" s="17">
        <f>BG25+預測IC!BH25</f>
        <v>0.12950002846800823</v>
      </c>
      <c r="BI25" s="17">
        <f>BH25+預測IC!BI25</f>
        <v>0.13822525416044559</v>
      </c>
      <c r="BJ25" s="17">
        <f>BI25+預測IC!BJ25</f>
        <v>0.12184799318262345</v>
      </c>
      <c r="BK25" s="17">
        <f>BJ25+預測IC!BK25</f>
        <v>0.14268836478288388</v>
      </c>
      <c r="BL25" s="17">
        <f>BK25+預測IC!BL25</f>
        <v>0.18766423688499859</v>
      </c>
      <c r="BM25" s="17">
        <f>BL25+預測IC!BM25</f>
        <v>0.21161854296686244</v>
      </c>
      <c r="BN25" s="17">
        <f>BM25+預測IC!BN25</f>
        <v>0.24185764435830504</v>
      </c>
      <c r="BO25" s="17">
        <f>BN25+預測IC!BO25</f>
        <v>0.19813175676721753</v>
      </c>
      <c r="BP25" s="17">
        <f>BO25+預測IC!BP25</f>
        <v>0.22002122633541615</v>
      </c>
      <c r="BQ25" s="17">
        <f>BP25+預測IC!BQ25</f>
        <v>0.22864865659892455</v>
      </c>
      <c r="BR25" s="17">
        <f>BQ25+預測IC!BR25</f>
        <v>0.20945570260426577</v>
      </c>
      <c r="BS25" s="17">
        <f>BR25+預測IC!BS25</f>
        <v>0.22919083249239883</v>
      </c>
      <c r="BT25" s="17">
        <f>BS25+預測IC!BT25</f>
        <v>0.27688516997609824</v>
      </c>
      <c r="BU25" s="17">
        <f>BT25+預測IC!BU25</f>
        <v>0.28833998678268163</v>
      </c>
      <c r="BV25" s="17">
        <f>BU25+預測IC!BV25</f>
        <v>0.33156860751789485</v>
      </c>
      <c r="BW25" s="17">
        <f>BV25+預測IC!BW25</f>
        <v>0.28882117708097205</v>
      </c>
      <c r="BX25" s="17">
        <f>BW25+預測IC!BX25</f>
        <v>0.27100988465317749</v>
      </c>
      <c r="BY25" s="17">
        <f>BX25+預測IC!BY25</f>
        <v>0.11985678778410189</v>
      </c>
      <c r="BZ25" s="17">
        <f>BY25+預測IC!BZ25</f>
        <v>0.24408079140367717</v>
      </c>
      <c r="CA25" s="17">
        <f>BZ25+預測IC!CA25</f>
        <v>0.23952353755914751</v>
      </c>
      <c r="CB25" s="17">
        <f>CA25+預測IC!CB25</f>
        <v>0.29973477776405871</v>
      </c>
      <c r="CC25" s="17">
        <f>CB25+預測IC!CC25</f>
        <v>0.385726811246561</v>
      </c>
      <c r="CD25" s="17">
        <f>CC25+預測IC!CD25</f>
        <v>0.37991833166419492</v>
      </c>
      <c r="CE25" s="17">
        <f>CD25+預測IC!CE25</f>
        <v>0.37387698467522684</v>
      </c>
      <c r="CF25" s="17">
        <f>CE25+預測IC!CF25</f>
        <v>0.37632930904747891</v>
      </c>
      <c r="CG25" s="17">
        <f>CF25+預測IC!CG25</f>
        <v>0.46596556098450181</v>
      </c>
      <c r="CH25" s="17">
        <f>CG25+預測IC!CH25</f>
        <v>0.53695829351125968</v>
      </c>
      <c r="CI25" s="17">
        <f>CH25+預測IC!CI25</f>
        <v>0.56412893641304307</v>
      </c>
      <c r="CJ25" s="17">
        <f>CI25+預測IC!CJ25</f>
        <v>0.61659736483837313</v>
      </c>
      <c r="CK25" s="17">
        <f>CJ25+預測IC!CK25</f>
        <v>0.64607802578142259</v>
      </c>
      <c r="CL25" s="17">
        <f>CK25+預測IC!CL25</f>
        <v>0.71290310684162383</v>
      </c>
      <c r="CM25" s="17">
        <f>CL25+預測IC!CM25</f>
        <v>0.68413087782180682</v>
      </c>
      <c r="CN25" s="17">
        <f>CM25+預測IC!CN25</f>
        <v>0.72359339372344467</v>
      </c>
      <c r="CO25" s="17">
        <f>CN25+預測IC!CO25</f>
        <v>0.69456230674608477</v>
      </c>
      <c r="CP25" s="17">
        <f>CO25+預測IC!CP25</f>
        <v>0.70854618926555268</v>
      </c>
      <c r="CQ25" s="17">
        <f>CP25+預測IC!CQ25</f>
        <v>0.67626922430621883</v>
      </c>
      <c r="CR25" s="17">
        <f>CQ25+預測IC!CR25</f>
        <v>0.6793728009191129</v>
      </c>
      <c r="CS25" s="17">
        <f>CR25+預測IC!CS25</f>
        <v>0.70496465668619601</v>
      </c>
      <c r="CT25" s="17">
        <f>CS25+預測IC!CT25</f>
        <v>0.74935654297338927</v>
      </c>
      <c r="CU25" s="17">
        <f>CT25+預測IC!CU25</f>
        <v>0.71901758442381181</v>
      </c>
      <c r="CV25" s="17">
        <f>CU25+預測IC!CV25</f>
        <v>0.7177596079692401</v>
      </c>
      <c r="CW25" s="17">
        <f>CV25+預測IC!CW25</f>
        <v>0.72009596442509805</v>
      </c>
      <c r="CX25" s="17">
        <f>CW25+預測IC!CX25</f>
        <v>0.655831819499192</v>
      </c>
      <c r="CY25" s="17">
        <f>CX25+預測IC!CY25</f>
        <v>0.66874159895818441</v>
      </c>
      <c r="CZ25" s="17">
        <f>CY25+預測IC!CZ25</f>
        <v>0.54326450428732564</v>
      </c>
      <c r="DA25" s="17">
        <f>CZ25+預測IC!DA25</f>
        <v>0.55495518722711823</v>
      </c>
      <c r="DB25" s="17">
        <f>DA25+預測IC!DB25</f>
        <v>0.56129303092785998</v>
      </c>
      <c r="DC25" s="17">
        <f>DB25+預測IC!DC25</f>
        <v>0.44398767445847448</v>
      </c>
      <c r="DD25" s="17">
        <f>DC25+預測IC!DD25</f>
        <v>0.40797680240902789</v>
      </c>
      <c r="DE25" s="17">
        <f>DD25+預測IC!DE25</f>
        <v>0.54688810648129582</v>
      </c>
      <c r="DF25" s="17">
        <f>DE25+預測IC!DF25</f>
        <v>0.49574460025519007</v>
      </c>
      <c r="DG25" s="17">
        <f>DF25+預測IC!DG25</f>
        <v>0.57247604743715907</v>
      </c>
      <c r="DH25" s="17">
        <f>DG25+預測IC!DH25</f>
        <v>0.58798482963416721</v>
      </c>
      <c r="DI25" s="17">
        <f>DH25+預測IC!DI25</f>
        <v>0.61120860330892302</v>
      </c>
      <c r="DJ25" s="17">
        <f>DI25+預測IC!DJ25</f>
        <v>0.59283572694769515</v>
      </c>
      <c r="DK25" s="17">
        <f>DJ25+預測IC!DK25</f>
        <v>0.65503474103279458</v>
      </c>
      <c r="DL25" s="17">
        <f>DK25+預測IC!DL25</f>
        <v>0.67513304551975173</v>
      </c>
      <c r="DM25" s="17">
        <f>DL25+預測IC!DM25</f>
        <v>0.68863198526781977</v>
      </c>
      <c r="DN25" s="17">
        <f>DM25+預測IC!DN25</f>
        <v>0.65837977253939894</v>
      </c>
      <c r="DO25" s="17">
        <f>DN25+預測IC!DO25</f>
        <v>0.64135693683134509</v>
      </c>
      <c r="DP25" s="17">
        <f>DO25+預測IC!DP25</f>
        <v>0.61956841355888315</v>
      </c>
      <c r="DQ25" s="17">
        <f>DP25+預測IC!DQ25</f>
        <v>0.70531403814402038</v>
      </c>
      <c r="DR25" s="17">
        <f>DQ25+預測IC!DR25</f>
        <v>0.73342078174899417</v>
      </c>
      <c r="DS25" s="17">
        <f>DR25+預測IC!DS25</f>
        <v>0.73111762194163477</v>
      </c>
      <c r="DT25" s="17">
        <f>DS25+預測IC!DT25</f>
        <v>0.78958882007312226</v>
      </c>
      <c r="DU25" s="17">
        <f>DT25+預測IC!DU25</f>
        <v>0.85724776912176992</v>
      </c>
      <c r="DV25" s="17">
        <f>DU25+預測IC!DV25</f>
        <v>0.86226853976220219</v>
      </c>
      <c r="DW25" s="17">
        <f>DV25+預測IC!DW25</f>
        <v>0.89968472343740924</v>
      </c>
      <c r="DX25" s="17">
        <f>DW25+預測IC!DX25</f>
        <v>0.98379572718345132</v>
      </c>
      <c r="DY25" s="17">
        <f>DX25+預測IC!DY25</f>
        <v>0.94696332863943844</v>
      </c>
      <c r="DZ25" s="17">
        <f>DY25+預測IC!DZ25</f>
        <v>0.95005503145637549</v>
      </c>
      <c r="EA25" s="17">
        <f>DZ25+預測IC!EA25</f>
        <v>0.94809740324208092</v>
      </c>
      <c r="EB25" s="17">
        <f>EA25+預測IC!EB25</f>
        <v>0.97455650684560069</v>
      </c>
      <c r="EC25" s="17">
        <f>EB25+預測IC!EC25</f>
        <v>0.94980396808491041</v>
      </c>
      <c r="ED25" s="17">
        <f>EC25+預測IC!ED25</f>
        <v>0.98391945906747036</v>
      </c>
      <c r="EE25" s="17">
        <f>ED25+預測IC!EE25</f>
        <v>1.0049814330565034</v>
      </c>
      <c r="EF25" s="17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CCBC-E64D-498C-ADBB-58F76782F4B6}">
  <dimension ref="A1:EG25"/>
  <sheetViews>
    <sheetView tabSelected="1" topLeftCell="BU18" zoomScale="43" workbookViewId="0">
      <selection activeCell="DO67" sqref="DO67"/>
    </sheetView>
  </sheetViews>
  <sheetFormatPr defaultRowHeight="15" x14ac:dyDescent="0.3"/>
  <cols>
    <col min="137" max="137" width="10" bestFit="1" customWidth="1"/>
  </cols>
  <sheetData>
    <row r="1" spans="1:137" x14ac:dyDescent="0.3">
      <c r="A1" t="s">
        <v>149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7" x14ac:dyDescent="0.3">
      <c r="B3" s="1" t="s">
        <v>136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137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138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7" x14ac:dyDescent="0.3">
      <c r="A6" s="22" t="s">
        <v>139</v>
      </c>
      <c r="B6" s="23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BN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si="0"/>
        <v>bm</v>
      </c>
      <c r="AJ7" s="7" t="str">
        <f t="shared" si="0"/>
        <v>bm</v>
      </c>
      <c r="AK7" s="7" t="str">
        <f t="shared" si="0"/>
        <v>bm</v>
      </c>
      <c r="AL7" s="7" t="str">
        <f t="shared" si="0"/>
        <v>bm</v>
      </c>
      <c r="AM7" s="7" t="str">
        <f t="shared" si="0"/>
        <v>bm</v>
      </c>
      <c r="AN7" s="7" t="str">
        <f t="shared" si="0"/>
        <v>bm</v>
      </c>
      <c r="AO7" s="7" t="str">
        <f t="shared" si="0"/>
        <v>bm</v>
      </c>
      <c r="AP7" s="7" t="str">
        <f t="shared" si="0"/>
        <v>bm</v>
      </c>
      <c r="AQ7" s="7" t="str">
        <f t="shared" si="0"/>
        <v>bm</v>
      </c>
      <c r="AR7" s="7" t="str">
        <f t="shared" si="0"/>
        <v>bm</v>
      </c>
      <c r="AS7" s="7" t="str">
        <f t="shared" si="0"/>
        <v>bm</v>
      </c>
      <c r="AT7" s="7" t="str">
        <f t="shared" si="0"/>
        <v>bm</v>
      </c>
      <c r="AU7" s="7" t="str">
        <f t="shared" si="0"/>
        <v>bm</v>
      </c>
      <c r="AV7" s="7" t="str">
        <f t="shared" si="0"/>
        <v>bm</v>
      </c>
      <c r="AW7" s="7" t="str">
        <f t="shared" si="0"/>
        <v>bm</v>
      </c>
      <c r="AX7" s="7" t="str">
        <f t="shared" si="0"/>
        <v>bm</v>
      </c>
      <c r="AY7" s="7" t="str">
        <f t="shared" si="0"/>
        <v>bm</v>
      </c>
      <c r="AZ7" s="7" t="str">
        <f t="shared" si="0"/>
        <v>bm</v>
      </c>
      <c r="BA7" s="7" t="str">
        <f t="shared" si="0"/>
        <v>size</v>
      </c>
      <c r="BB7" s="7" t="str">
        <f t="shared" si="0"/>
        <v>size</v>
      </c>
      <c r="BC7" s="7" t="str">
        <f t="shared" si="0"/>
        <v>bm</v>
      </c>
      <c r="BD7" s="7" t="str">
        <f t="shared" si="0"/>
        <v>bm</v>
      </c>
      <c r="BE7" s="7" t="str">
        <f t="shared" si="0"/>
        <v>bm</v>
      </c>
      <c r="BF7" s="7" t="str">
        <f t="shared" si="0"/>
        <v>bm</v>
      </c>
      <c r="BG7" s="7" t="str">
        <f t="shared" si="0"/>
        <v>bm</v>
      </c>
      <c r="BH7" s="7" t="str">
        <f t="shared" si="0"/>
        <v>bm</v>
      </c>
      <c r="BI7" s="7" t="str">
        <f t="shared" si="0"/>
        <v>bm</v>
      </c>
      <c r="BJ7" s="7" t="str">
        <f t="shared" si="0"/>
        <v>bm</v>
      </c>
      <c r="BK7" s="7" t="str">
        <f t="shared" si="0"/>
        <v>bm</v>
      </c>
      <c r="BL7" s="7" t="str">
        <f t="shared" si="0"/>
        <v>bm</v>
      </c>
      <c r="BM7" s="7" t="str">
        <f t="shared" si="0"/>
        <v>mom</v>
      </c>
      <c r="BN7" s="7" t="str">
        <f t="shared" si="0"/>
        <v>bm</v>
      </c>
      <c r="BO7" s="7" t="str">
        <f t="shared" ref="BO7:DZ7" si="1">IF(BO6=1,"bm",IF(BO6=2,"size",IF(BO6=3,"mom")))</f>
        <v>bm</v>
      </c>
      <c r="BP7" s="7" t="str">
        <f t="shared" si="1"/>
        <v>bm</v>
      </c>
      <c r="BQ7" s="7" t="str">
        <f t="shared" si="1"/>
        <v>bm</v>
      </c>
      <c r="BR7" s="7" t="str">
        <f t="shared" si="1"/>
        <v>bm</v>
      </c>
      <c r="BS7" s="7" t="str">
        <f t="shared" si="1"/>
        <v>bm</v>
      </c>
      <c r="BT7" s="7" t="str">
        <f t="shared" si="1"/>
        <v>bm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bm</v>
      </c>
      <c r="BZ7" s="7" t="str">
        <f t="shared" si="1"/>
        <v>bm</v>
      </c>
      <c r="CA7" s="7" t="str">
        <f t="shared" si="1"/>
        <v>bm</v>
      </c>
      <c r="CB7" s="7" t="str">
        <f t="shared" si="1"/>
        <v>bm</v>
      </c>
      <c r="CC7" s="7" t="str">
        <f t="shared" si="1"/>
        <v>size</v>
      </c>
      <c r="CD7" s="7" t="str">
        <f t="shared" si="1"/>
        <v>size</v>
      </c>
      <c r="CE7" s="7" t="str">
        <f t="shared" si="1"/>
        <v>size</v>
      </c>
      <c r="CF7" s="7" t="str">
        <f t="shared" si="1"/>
        <v>size</v>
      </c>
      <c r="CG7" s="7" t="str">
        <f t="shared" si="1"/>
        <v>size</v>
      </c>
      <c r="CH7" s="7" t="str">
        <f t="shared" si="1"/>
        <v>bm</v>
      </c>
      <c r="CI7" s="7" t="str">
        <f t="shared" si="1"/>
        <v>bm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bm</v>
      </c>
      <c r="CN7" s="7" t="str">
        <f t="shared" si="1"/>
        <v>bm</v>
      </c>
      <c r="CO7" s="7" t="str">
        <f t="shared" si="1"/>
        <v>bm</v>
      </c>
      <c r="CP7" s="7" t="str">
        <f t="shared" si="1"/>
        <v>bm</v>
      </c>
      <c r="CQ7" s="7" t="str">
        <f t="shared" si="1"/>
        <v>mom</v>
      </c>
      <c r="CR7" s="7" t="str">
        <f t="shared" si="1"/>
        <v>size</v>
      </c>
      <c r="CS7" s="7" t="str">
        <f t="shared" si="1"/>
        <v>size</v>
      </c>
      <c r="CT7" s="7" t="str">
        <f t="shared" si="1"/>
        <v>bm</v>
      </c>
      <c r="CU7" s="7" t="str">
        <f t="shared" si="1"/>
        <v>bm</v>
      </c>
      <c r="CV7" s="7" t="str">
        <f t="shared" si="1"/>
        <v>bm</v>
      </c>
      <c r="CW7" s="7" t="str">
        <f t="shared" si="1"/>
        <v>bm</v>
      </c>
      <c r="CX7" s="7" t="str">
        <f t="shared" si="1"/>
        <v>bm</v>
      </c>
      <c r="CY7" s="7" t="str">
        <f t="shared" si="1"/>
        <v>bm</v>
      </c>
      <c r="CZ7" s="7" t="str">
        <f t="shared" si="1"/>
        <v>bm</v>
      </c>
      <c r="DA7" s="7" t="str">
        <f t="shared" si="1"/>
        <v>bm</v>
      </c>
      <c r="DB7" s="7" t="str">
        <f t="shared" si="1"/>
        <v>size</v>
      </c>
      <c r="DC7" s="7" t="str">
        <f t="shared" si="1"/>
        <v>size</v>
      </c>
      <c r="DD7" s="7" t="str">
        <f t="shared" si="1"/>
        <v>size</v>
      </c>
      <c r="DE7" s="7" t="str">
        <f t="shared" si="1"/>
        <v>bm</v>
      </c>
      <c r="DF7" s="7" t="str">
        <f t="shared" si="1"/>
        <v>bm</v>
      </c>
      <c r="DG7" s="7" t="str">
        <f t="shared" si="1"/>
        <v>bm</v>
      </c>
      <c r="DH7" s="7" t="str">
        <f t="shared" si="1"/>
        <v>bm</v>
      </c>
      <c r="DI7" s="7" t="str">
        <f t="shared" si="1"/>
        <v>bm</v>
      </c>
      <c r="DJ7" s="7" t="str">
        <f t="shared" si="1"/>
        <v>size</v>
      </c>
      <c r="DK7" s="7" t="str">
        <f t="shared" si="1"/>
        <v>bm</v>
      </c>
      <c r="DL7" s="7" t="str">
        <f t="shared" si="1"/>
        <v>bm</v>
      </c>
      <c r="DM7" s="7" t="str">
        <f t="shared" si="1"/>
        <v>bm</v>
      </c>
      <c r="DN7" s="7" t="str">
        <f t="shared" si="1"/>
        <v>bm</v>
      </c>
      <c r="DO7" s="7" t="str">
        <f t="shared" si="1"/>
        <v>bm</v>
      </c>
      <c r="DP7" s="7" t="str">
        <f t="shared" si="1"/>
        <v>bm</v>
      </c>
      <c r="DQ7" s="7" t="str">
        <f t="shared" si="1"/>
        <v>size</v>
      </c>
      <c r="DR7" s="7" t="str">
        <f t="shared" si="1"/>
        <v>bm</v>
      </c>
      <c r="DS7" s="7" t="str">
        <f t="shared" si="1"/>
        <v>bm</v>
      </c>
      <c r="DT7" s="7" t="str">
        <f t="shared" si="1"/>
        <v>size</v>
      </c>
      <c r="DU7" s="7" t="str">
        <f t="shared" si="1"/>
        <v>size</v>
      </c>
      <c r="DV7" s="7" t="str">
        <f t="shared" si="1"/>
        <v>bm</v>
      </c>
      <c r="DW7" s="7" t="str">
        <f t="shared" si="1"/>
        <v>bm</v>
      </c>
      <c r="DX7" s="7" t="str">
        <f t="shared" si="1"/>
        <v>bm</v>
      </c>
      <c r="DY7" s="7" t="str">
        <f t="shared" si="1"/>
        <v>size</v>
      </c>
      <c r="DZ7" s="7" t="str">
        <f t="shared" si="1"/>
        <v>size</v>
      </c>
      <c r="EA7" s="7" t="str">
        <f t="shared" ref="EA7:EG7" si="2">IF(EA6=1,"bm",IF(EA6=2,"size",IF(EA6=3,"mom")))</f>
        <v>size</v>
      </c>
      <c r="EB7" s="7" t="str">
        <f t="shared" si="2"/>
        <v>bm</v>
      </c>
      <c r="EC7" s="7" t="str">
        <f t="shared" si="2"/>
        <v>size</v>
      </c>
      <c r="ED7" s="7" t="str">
        <f t="shared" si="2"/>
        <v>bm</v>
      </c>
      <c r="EE7" s="7" t="str">
        <f t="shared" si="2"/>
        <v>bm</v>
      </c>
      <c r="EF7" s="7" t="str">
        <f t="shared" si="2"/>
        <v>bm</v>
      </c>
      <c r="EG7" s="1" t="str">
        <f t="shared" si="2"/>
        <v>bm</v>
      </c>
    </row>
    <row r="8" spans="1:137" x14ac:dyDescent="0.3">
      <c r="C8" s="7">
        <f t="shared" ref="C8:BN8" si="3">IF(C6=1,C3,IF(C6=2,C4,IF(C6=3,C5)))</f>
        <v>-4.9660318332858187E-2</v>
      </c>
      <c r="D8" s="7">
        <f t="shared" si="3"/>
        <v>-6.445345992925948E-2</v>
      </c>
      <c r="E8" s="7">
        <f t="shared" si="3"/>
        <v>-9.5804928773652709E-2</v>
      </c>
      <c r="F8" s="7">
        <f t="shared" si="3"/>
        <v>-7.6694248625274991E-2</v>
      </c>
      <c r="G8" s="7">
        <f t="shared" si="3"/>
        <v>-2.651532023294172E-2</v>
      </c>
      <c r="H8" s="7">
        <f t="shared" si="3"/>
        <v>-3.4151649822825897E-2</v>
      </c>
      <c r="I8" s="7">
        <f t="shared" si="3"/>
        <v>-4.6190909592046463E-2</v>
      </c>
      <c r="J8" s="7">
        <f t="shared" si="3"/>
        <v>-4.6178362506532247E-2</v>
      </c>
      <c r="K8" s="7">
        <f t="shared" si="3"/>
        <v>-4.5931908840778947E-2</v>
      </c>
      <c r="L8" s="7">
        <f t="shared" si="3"/>
        <v>-4.0811789698647891E-2</v>
      </c>
      <c r="M8" s="7">
        <f t="shared" si="3"/>
        <v>3.2729103566482703E-2</v>
      </c>
      <c r="N8" s="7">
        <f t="shared" si="3"/>
        <v>-3.5831184190578111E-2</v>
      </c>
      <c r="O8" s="7">
        <f t="shared" si="3"/>
        <v>-5.702286088483291E-2</v>
      </c>
      <c r="P8" s="7">
        <f t="shared" si="3"/>
        <v>-4.2462624022791412E-2</v>
      </c>
      <c r="Q8" s="7">
        <f t="shared" si="3"/>
        <v>-3.7772238816422013E-2</v>
      </c>
      <c r="R8" s="7">
        <f t="shared" si="3"/>
        <v>-2.862815930799394E-2</v>
      </c>
      <c r="S8" s="7">
        <f t="shared" si="3"/>
        <v>-3.0997759055884269E-2</v>
      </c>
      <c r="T8" s="7">
        <f t="shared" si="3"/>
        <v>2.262072807092803E-2</v>
      </c>
      <c r="U8" s="7">
        <f t="shared" si="3"/>
        <v>-3.7956683729456563E-2</v>
      </c>
      <c r="V8" s="7">
        <f t="shared" si="3"/>
        <v>-2.9502006234075319E-2</v>
      </c>
      <c r="W8" s="7">
        <f t="shared" si="3"/>
        <v>4.5784045042201092E-2</v>
      </c>
      <c r="X8" s="7">
        <f t="shared" si="3"/>
        <v>-5.4483330503116392E-2</v>
      </c>
      <c r="Y8" s="7">
        <f t="shared" si="3"/>
        <v>-5.7374083583845582E-2</v>
      </c>
      <c r="Z8" s="7">
        <f t="shared" si="3"/>
        <v>-5.062832428295555E-2</v>
      </c>
      <c r="AA8" s="7">
        <f t="shared" si="3"/>
        <v>-4.2319641432599031E-2</v>
      </c>
      <c r="AB8" s="7">
        <f t="shared" si="3"/>
        <v>-4.99371392416516E-2</v>
      </c>
      <c r="AC8" s="7">
        <f t="shared" si="3"/>
        <v>-3.8455291231844213E-2</v>
      </c>
      <c r="AD8" s="7">
        <f t="shared" si="3"/>
        <v>-6.5956474854444447E-2</v>
      </c>
      <c r="AE8" s="7">
        <f t="shared" si="3"/>
        <v>-3.4794942198420678E-2</v>
      </c>
      <c r="AF8" s="7">
        <f t="shared" si="3"/>
        <v>1.3117941025955079E-2</v>
      </c>
      <c r="AG8" s="7">
        <f t="shared" si="3"/>
        <v>-3.2239149636300098E-2</v>
      </c>
      <c r="AH8" s="7">
        <f t="shared" si="3"/>
        <v>3.1884444011299258E-2</v>
      </c>
      <c r="AI8" s="7">
        <f t="shared" si="3"/>
        <v>3.6385761193522617E-2</v>
      </c>
      <c r="AJ8" s="7">
        <f t="shared" si="3"/>
        <v>3.5948919429733099E-2</v>
      </c>
      <c r="AK8" s="7">
        <f t="shared" si="3"/>
        <v>4.3482830969963061E-2</v>
      </c>
      <c r="AL8" s="7">
        <f t="shared" si="3"/>
        <v>3.8462077568039821E-2</v>
      </c>
      <c r="AM8" s="7">
        <f t="shared" si="3"/>
        <v>3.9410244165835981E-2</v>
      </c>
      <c r="AN8" s="7">
        <f t="shared" si="3"/>
        <v>5.0743620516414449E-2</v>
      </c>
      <c r="AO8" s="7">
        <f t="shared" si="3"/>
        <v>5.3684811620656157E-2</v>
      </c>
      <c r="AP8" s="7">
        <f t="shared" si="3"/>
        <v>4.9314899356547669E-2</v>
      </c>
      <c r="AQ8" s="7">
        <f t="shared" si="3"/>
        <v>3.2773687722358558E-2</v>
      </c>
      <c r="AR8" s="7">
        <f t="shared" si="3"/>
        <v>2.8295340626825871E-2</v>
      </c>
      <c r="AS8" s="7">
        <f t="shared" si="3"/>
        <v>2.8377802599917349E-2</v>
      </c>
      <c r="AT8" s="7">
        <f t="shared" si="3"/>
        <v>2.306922946025217E-2</v>
      </c>
      <c r="AU8" s="7">
        <f t="shared" si="3"/>
        <v>2.9397032882625889E-2</v>
      </c>
      <c r="AV8" s="7">
        <f t="shared" si="3"/>
        <v>3.103785222722218E-2</v>
      </c>
      <c r="AW8" s="7">
        <f t="shared" si="3"/>
        <v>2.6297924056821211E-2</v>
      </c>
      <c r="AX8" s="7">
        <f t="shared" si="3"/>
        <v>2.6164811358804361E-2</v>
      </c>
      <c r="AY8" s="7">
        <f t="shared" si="3"/>
        <v>3.2053783671709642E-2</v>
      </c>
      <c r="AZ8" s="7">
        <f t="shared" si="3"/>
        <v>3.4477530774765272E-2</v>
      </c>
      <c r="BA8" s="7">
        <f t="shared" si="3"/>
        <v>-2.96336447127158E-2</v>
      </c>
      <c r="BB8" s="7">
        <f t="shared" si="3"/>
        <v>-3.692311268093771E-2</v>
      </c>
      <c r="BC8" s="7">
        <f t="shared" si="3"/>
        <v>3.7421776938590827E-2</v>
      </c>
      <c r="BD8" s="7">
        <f t="shared" si="3"/>
        <v>3.141372245226793E-2</v>
      </c>
      <c r="BE8" s="7">
        <f t="shared" si="3"/>
        <v>3.2006411062996218E-2</v>
      </c>
      <c r="BF8" s="7">
        <f t="shared" si="3"/>
        <v>2.828182773285309E-2</v>
      </c>
      <c r="BG8" s="7">
        <f t="shared" si="3"/>
        <v>4.1103436715196499E-2</v>
      </c>
      <c r="BH8" s="7">
        <f t="shared" si="3"/>
        <v>4.5198779339126277E-2</v>
      </c>
      <c r="BI8" s="7">
        <f t="shared" si="3"/>
        <v>4.1588040384802467E-2</v>
      </c>
      <c r="BJ8" s="7">
        <f t="shared" si="3"/>
        <v>4.0723405736309587E-2</v>
      </c>
      <c r="BK8" s="7">
        <f t="shared" si="3"/>
        <v>3.6327700059770963E-2</v>
      </c>
      <c r="BL8" s="7">
        <f t="shared" si="3"/>
        <v>3.6173192149872829E-2</v>
      </c>
      <c r="BM8" s="7">
        <f t="shared" si="3"/>
        <v>-3.7766406128849933E-2</v>
      </c>
      <c r="BN8" s="7">
        <f t="shared" si="3"/>
        <v>3.0814038130409348E-2</v>
      </c>
      <c r="BO8" s="7">
        <f t="shared" ref="BO8:DZ8" si="4">IF(BO6=1,BO3,IF(BO6=2,BO4,IF(BO6=3,BO5)))</f>
        <v>3.065585577146604E-2</v>
      </c>
      <c r="BP8" s="7">
        <f t="shared" si="4"/>
        <v>3.4399631895121928E-2</v>
      </c>
      <c r="BQ8" s="7">
        <f t="shared" si="4"/>
        <v>3.4868650026028229E-2</v>
      </c>
      <c r="BR8" s="7">
        <f t="shared" si="4"/>
        <v>3.6324039848933801E-2</v>
      </c>
      <c r="BS8" s="7">
        <f t="shared" si="4"/>
        <v>3.6164468096582622E-2</v>
      </c>
      <c r="BT8" s="7">
        <f t="shared" si="4"/>
        <v>3.8668894956456937E-2</v>
      </c>
      <c r="BU8" s="7">
        <f t="shared" si="4"/>
        <v>4.1103483948852763E-2</v>
      </c>
      <c r="BV8" s="7">
        <f t="shared" si="4"/>
        <v>2.8684133448632881E-2</v>
      </c>
      <c r="BW8" s="7">
        <f t="shared" si="4"/>
        <v>3.521650986163926E-2</v>
      </c>
      <c r="BX8" s="7">
        <f t="shared" si="4"/>
        <v>4.0767200067914247E-2</v>
      </c>
      <c r="BY8" s="7">
        <f t="shared" si="4"/>
        <v>2.160353774972024E-2</v>
      </c>
      <c r="BZ8" s="7">
        <f t="shared" si="4"/>
        <v>3.0433668800390778E-2</v>
      </c>
      <c r="CA8" s="7">
        <f t="shared" si="4"/>
        <v>3.7311958080318418E-2</v>
      </c>
      <c r="CB8" s="7">
        <f t="shared" si="4"/>
        <v>2.7612053143104789E-2</v>
      </c>
      <c r="CC8" s="7">
        <f t="shared" si="4"/>
        <v>-4.1111880962519533E-2</v>
      </c>
      <c r="CD8" s="7">
        <f t="shared" si="4"/>
        <v>-3.2535264061707238E-2</v>
      </c>
      <c r="CE8" s="7">
        <f t="shared" si="4"/>
        <v>-3.032312687201056E-2</v>
      </c>
      <c r="CF8" s="7">
        <f t="shared" si="4"/>
        <v>-6.1293035460275459E-2</v>
      </c>
      <c r="CG8" s="7">
        <f t="shared" si="4"/>
        <v>-4.4169599695747568E-2</v>
      </c>
      <c r="CH8" s="7">
        <f t="shared" si="4"/>
        <v>4.0909001215823568E-2</v>
      </c>
      <c r="CI8" s="7">
        <f t="shared" si="4"/>
        <v>3.9050253240311222E-2</v>
      </c>
      <c r="CJ8" s="7">
        <f t="shared" si="4"/>
        <v>2.4561899640003909E-2</v>
      </c>
      <c r="CK8" s="7">
        <f t="shared" si="4"/>
        <v>3.413446187252573E-2</v>
      </c>
      <c r="CL8" s="7">
        <f t="shared" si="4"/>
        <v>3.5925937532879773E-2</v>
      </c>
      <c r="CM8" s="7">
        <f t="shared" si="4"/>
        <v>4.2466042159304301E-2</v>
      </c>
      <c r="CN8" s="7">
        <f t="shared" si="4"/>
        <v>3.6523906516241801E-2</v>
      </c>
      <c r="CO8" s="7">
        <f t="shared" si="4"/>
        <v>3.7659149571028283E-2</v>
      </c>
      <c r="CP8" s="7">
        <f t="shared" si="4"/>
        <v>3.9957834472595419E-2</v>
      </c>
      <c r="CQ8" s="7">
        <f t="shared" si="4"/>
        <v>9.0067640458367376E-3</v>
      </c>
      <c r="CR8" s="7">
        <f t="shared" si="4"/>
        <v>-1.9179487848293229E-2</v>
      </c>
      <c r="CS8" s="7">
        <f t="shared" si="4"/>
        <v>-2.3347225810085481E-2</v>
      </c>
      <c r="CT8" s="7">
        <f t="shared" si="4"/>
        <v>4.0972167824902372E-2</v>
      </c>
      <c r="CU8" s="7">
        <f t="shared" si="4"/>
        <v>3.8942373224816543E-2</v>
      </c>
      <c r="CV8" s="7">
        <f t="shared" si="4"/>
        <v>4.3015000500199303E-2</v>
      </c>
      <c r="CW8" s="7">
        <f t="shared" si="4"/>
        <v>3.9706600079107632E-2</v>
      </c>
      <c r="CX8" s="7">
        <f t="shared" si="4"/>
        <v>3.9171022856911548E-2</v>
      </c>
      <c r="CY8" s="7">
        <f t="shared" si="4"/>
        <v>3.4940834769569752E-2</v>
      </c>
      <c r="CZ8" s="7">
        <f t="shared" si="4"/>
        <v>3.6026834228159298E-2</v>
      </c>
      <c r="DA8" s="7">
        <f t="shared" si="4"/>
        <v>4.450954814790925E-2</v>
      </c>
      <c r="DB8" s="7">
        <f t="shared" si="4"/>
        <v>-4.4724835819105087E-2</v>
      </c>
      <c r="DC8" s="7">
        <f t="shared" si="4"/>
        <v>-7.0760187276930051E-2</v>
      </c>
      <c r="DD8" s="7">
        <f t="shared" si="4"/>
        <v>-5.7609848887751572E-2</v>
      </c>
      <c r="DE8" s="7">
        <f t="shared" si="4"/>
        <v>4.199397627237688E-2</v>
      </c>
      <c r="DF8" s="7">
        <f t="shared" si="4"/>
        <v>4.1965348731106439E-2</v>
      </c>
      <c r="DG8" s="7">
        <f t="shared" si="4"/>
        <v>4.0382244799122911E-2</v>
      </c>
      <c r="DH8" s="7">
        <f t="shared" si="4"/>
        <v>3.6787240146963857E-2</v>
      </c>
      <c r="DI8" s="7">
        <f t="shared" si="4"/>
        <v>3.6877765546082367E-2</v>
      </c>
      <c r="DJ8" s="7">
        <f t="shared" si="4"/>
        <v>-3.8760923501945078E-2</v>
      </c>
      <c r="DK8" s="7">
        <f t="shared" si="4"/>
        <v>3.6536443043095952E-2</v>
      </c>
      <c r="DL8" s="7">
        <f t="shared" si="4"/>
        <v>3.153055621902446E-2</v>
      </c>
      <c r="DM8" s="7">
        <f t="shared" si="4"/>
        <v>2.866223764473836E-2</v>
      </c>
      <c r="DN8" s="7">
        <f t="shared" si="4"/>
        <v>3.0844743252797239E-2</v>
      </c>
      <c r="DO8" s="7">
        <f t="shared" si="4"/>
        <v>3.3675363611272838E-2</v>
      </c>
      <c r="DP8" s="7">
        <f t="shared" si="4"/>
        <v>3.5102177512429639E-2</v>
      </c>
      <c r="DQ8" s="7">
        <f t="shared" si="4"/>
        <v>-3.7657447804277308E-2</v>
      </c>
      <c r="DR8" s="7">
        <f t="shared" si="4"/>
        <v>3.4114421599711522E-2</v>
      </c>
      <c r="DS8" s="7">
        <f t="shared" si="4"/>
        <v>3.6715906439180962E-2</v>
      </c>
      <c r="DT8" s="7">
        <f t="shared" si="4"/>
        <v>-4.1055975870549932E-2</v>
      </c>
      <c r="DU8" s="7">
        <f t="shared" si="4"/>
        <v>-3.7310577027678322E-2</v>
      </c>
      <c r="DV8" s="7">
        <f t="shared" si="4"/>
        <v>2.524093892652958E-2</v>
      </c>
      <c r="DW8" s="7">
        <f t="shared" si="4"/>
        <v>3.5159202684512107E-2</v>
      </c>
      <c r="DX8" s="7">
        <f t="shared" si="4"/>
        <v>3.2304964005665182E-2</v>
      </c>
      <c r="DY8" s="7">
        <f t="shared" si="4"/>
        <v>-3.3048755705593437E-2</v>
      </c>
      <c r="DZ8" s="7">
        <f t="shared" si="4"/>
        <v>-3.0982285927668149E-2</v>
      </c>
      <c r="EA8" s="7">
        <f t="shared" ref="EA8:EG8" si="5">IF(EA6=1,EA3,IF(EA6=2,EA4,IF(EA6=3,EA5)))</f>
        <v>-3.1659361830993077E-2</v>
      </c>
      <c r="EB8" s="7">
        <f t="shared" si="5"/>
        <v>3.723081253221186E-2</v>
      </c>
      <c r="EC8" s="7">
        <f t="shared" si="5"/>
        <v>-4.1069205257147343E-2</v>
      </c>
      <c r="ED8" s="7">
        <f t="shared" si="5"/>
        <v>3.4186640907954438E-2</v>
      </c>
      <c r="EE8" s="7">
        <f t="shared" si="5"/>
        <v>2.5041157579864502E-2</v>
      </c>
      <c r="EF8" s="7">
        <f t="shared" si="5"/>
        <v>3.4121434975122142E-2</v>
      </c>
      <c r="EG8" s="1">
        <f t="shared" si="5"/>
        <v>0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A11" s="1" t="s">
        <v>169</v>
      </c>
      <c r="B11" s="1" t="s">
        <v>142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>
        <v>96</v>
      </c>
      <c r="B12" s="1" t="s">
        <v>156</v>
      </c>
      <c r="C12" s="7" cm="1">
        <f t="array" ref="C12">PRODUCT(1 + 預測IC!$C12:C12) - 1</f>
        <v>8.4653346747999514E-2</v>
      </c>
      <c r="D12" s="7" cm="1">
        <f t="array" ref="D12">PRODUCT(1 + 預測IC!$C12:D12) - 1</f>
        <v>0.20905075207584112</v>
      </c>
      <c r="E12" s="7" cm="1">
        <f t="array" ref="E12">PRODUCT(1 + 預測IC!$C12:E12) - 1</f>
        <v>0.26711761901195197</v>
      </c>
      <c r="F12" s="7" cm="1">
        <f t="array" ref="F12">PRODUCT(1 + 預測IC!$C12:F12) - 1</f>
        <v>0.28412373685056025</v>
      </c>
      <c r="G12" s="7" cm="1">
        <f t="array" ref="G12">PRODUCT(1 + 預測IC!$C12:G12) - 1</f>
        <v>0.29917966104844052</v>
      </c>
      <c r="H12" s="7" cm="1">
        <f t="array" ref="H12">PRODUCT(1 + 預測IC!$C12:H12) - 1</f>
        <v>0.34923771889327271</v>
      </c>
      <c r="I12" s="7" cm="1">
        <f t="array" ref="I12">PRODUCT(1 + 預測IC!$C12:I12) - 1</f>
        <v>0.36652116896914411</v>
      </c>
      <c r="J12" s="7" cm="1">
        <f t="array" ref="J12">PRODUCT(1 + 預測IC!$C12:J12) - 1</f>
        <v>0.32633434657001947</v>
      </c>
      <c r="K12" s="7" cm="1">
        <f t="array" ref="K12">PRODUCT(1 + 預測IC!$C12:K12) - 1</f>
        <v>0.35123545178172377</v>
      </c>
      <c r="L12" s="7" cm="1">
        <f t="array" ref="L12">PRODUCT(1 + 預測IC!$C12:L12) - 1</f>
        <v>0.29463092712650107</v>
      </c>
      <c r="M12" s="7" cm="1">
        <f t="array" ref="M12">PRODUCT(1 + 預測IC!$C12:M12) - 1</f>
        <v>0.27449708043635668</v>
      </c>
      <c r="N12" s="7" cm="1">
        <f t="array" ref="N12">PRODUCT(1 + 預測IC!$C12:N12) - 1</f>
        <v>0.36285412268081729</v>
      </c>
      <c r="O12" s="7" cm="1">
        <f t="array" ref="O12">PRODUCT(1 + 預測IC!$C12:O12) - 1</f>
        <v>0.3863507349800599</v>
      </c>
      <c r="P12" s="7" cm="1">
        <f t="array" ref="P12">PRODUCT(1 + 預測IC!$C12:P12) - 1</f>
        <v>0.38666955584411222</v>
      </c>
      <c r="Q12" s="7" cm="1">
        <f t="array" ref="Q12">PRODUCT(1 + 預測IC!$C12:Q12) - 1</f>
        <v>0.43557723223917333</v>
      </c>
      <c r="R12" s="7" cm="1">
        <f t="array" ref="R12">PRODUCT(1 + 預測IC!$C12:R12) - 1</f>
        <v>0.4451423165166708</v>
      </c>
      <c r="S12" s="7" cm="1">
        <f t="array" ref="S12">PRODUCT(1 + 預測IC!$C12:S12) - 1</f>
        <v>0.42133736182073811</v>
      </c>
      <c r="T12" s="7" cm="1">
        <f t="array" ref="T12">PRODUCT(1 + 預測IC!$C12:T12) - 1</f>
        <v>0.35987377550608679</v>
      </c>
      <c r="U12" s="7" cm="1">
        <f t="array" ref="U12">PRODUCT(1 + 預測IC!$C12:U12) - 1</f>
        <v>0.33787292316082773</v>
      </c>
      <c r="V12" s="7" cm="1">
        <f t="array" ref="V12">PRODUCT(1 + 預測IC!$C12:V12) - 1</f>
        <v>0.34617371566916533</v>
      </c>
      <c r="W12" s="7" cm="1">
        <f t="array" ref="W12">PRODUCT(1 + 預測IC!$C12:W12) - 1</f>
        <v>0.37616436867969827</v>
      </c>
      <c r="X12" s="7" cm="1">
        <f t="array" ref="X12">PRODUCT(1 + 預測IC!$C12:X12) - 1</f>
        <v>0.41342249200349857</v>
      </c>
      <c r="Y12" s="7" cm="1">
        <f t="array" ref="Y12">PRODUCT(1 + 預測IC!$C12:Y12) - 1</f>
        <v>0.43524625600404554</v>
      </c>
      <c r="Z12" s="7" cm="1">
        <f t="array" ref="Z12">PRODUCT(1 + 預測IC!$C12:Z12) - 1</f>
        <v>0.44266060555987896</v>
      </c>
      <c r="AA12" s="7" cm="1">
        <f t="array" ref="AA12">PRODUCT(1 + 預測IC!$C12:AA12) - 1</f>
        <v>0.42605190939114368</v>
      </c>
      <c r="AB12" s="7" cm="1">
        <f t="array" ref="AB12">PRODUCT(1 + 預測IC!$C12:AB12) - 1</f>
        <v>0.41074562421503713</v>
      </c>
      <c r="AC12" s="7" cm="1">
        <f t="array" ref="AC12">PRODUCT(1 + 預測IC!$C12:AC12) - 1</f>
        <v>0.41803548260075862</v>
      </c>
      <c r="AD12" s="7" cm="1">
        <f t="array" ref="AD12">PRODUCT(1 + 預測IC!$C12:AD12) - 1</f>
        <v>0.42162372188766484</v>
      </c>
      <c r="AE12" s="7" cm="1">
        <f t="array" ref="AE12">PRODUCT(1 + 預測IC!$C12:AE12) - 1</f>
        <v>0.33871894379734369</v>
      </c>
      <c r="AF12" s="7" cm="1">
        <f t="array" ref="AF12">PRODUCT(1 + 預測IC!$C12:AF12) - 1</f>
        <v>0.36607185181036139</v>
      </c>
      <c r="AG12" s="7" cm="1">
        <f t="array" ref="AG12">PRODUCT(1 + 預測IC!$C12:AG12) - 1</f>
        <v>0.38257280851530617</v>
      </c>
      <c r="AH12" s="7" cm="1">
        <f t="array" ref="AH12">PRODUCT(1 + 預測IC!$C12:AH12) - 1</f>
        <v>0.40110730950015716</v>
      </c>
      <c r="AI12" s="7" cm="1">
        <f t="array" ref="AI12">PRODUCT(1 + 預測IC!$C12:AI12) - 1</f>
        <v>0.42843738038819978</v>
      </c>
      <c r="AJ12" s="7" cm="1">
        <f t="array" ref="AJ12">PRODUCT(1 + 預測IC!$C12:AJ12) - 1</f>
        <v>0.44698385072050772</v>
      </c>
      <c r="AK12" s="7" cm="1">
        <f t="array" ref="AK12">PRODUCT(1 + 預測IC!$C12:AK12) - 1</f>
        <v>0.51661807346549771</v>
      </c>
      <c r="AL12" s="7" cm="1">
        <f t="array" ref="AL12">PRODUCT(1 + 預測IC!$C12:AL12) - 1</f>
        <v>0.54370336022261978</v>
      </c>
      <c r="AM12" s="7" cm="1">
        <f t="array" ref="AM12">PRODUCT(1 + 預測IC!$C12:AM12) - 1</f>
        <v>0.59014739798983351</v>
      </c>
      <c r="AN12" s="7" cm="1">
        <f t="array" ref="AN12">PRODUCT(1 + 預測IC!$C12:AN12) - 1</f>
        <v>0.70023844538775237</v>
      </c>
      <c r="AO12" s="7" cm="1">
        <f t="array" ref="AO12">PRODUCT(1 + 預測IC!$C12:AO12) - 1</f>
        <v>0.70402792500061739</v>
      </c>
      <c r="AP12" s="7" cm="1">
        <f t="array" ref="AP12">PRODUCT(1 + 預測IC!$C12:AP12) - 1</f>
        <v>0.64657092390754745</v>
      </c>
      <c r="AQ12" s="7" cm="1">
        <f t="array" ref="AQ12">PRODUCT(1 + 預測IC!$C12:AQ12) - 1</f>
        <v>0.63402086506623245</v>
      </c>
      <c r="AR12" s="7" cm="1">
        <f t="array" ref="AR12">PRODUCT(1 + 預測IC!$C12:AR12) - 1</f>
        <v>0.65612305523377668</v>
      </c>
      <c r="AS12" s="7" cm="1">
        <f t="array" ref="AS12">PRODUCT(1 + 預測IC!$C12:AS12) - 1</f>
        <v>0.68775453931508035</v>
      </c>
      <c r="AT12" s="7" cm="1">
        <f t="array" ref="AT12">PRODUCT(1 + 預測IC!$C12:AT12) - 1</f>
        <v>0.71110446253644377</v>
      </c>
      <c r="AU12" s="7" cm="1">
        <f t="array" ref="AU12">PRODUCT(1 + 預測IC!$C12:AU12) - 1</f>
        <v>0.74653914081843364</v>
      </c>
      <c r="AV12" s="7" cm="1">
        <f t="array" ref="AV12">PRODUCT(1 + 預測IC!$C12:AV12) - 1</f>
        <v>0.67430213394367988</v>
      </c>
      <c r="AW12" s="7" cm="1">
        <f t="array" ref="AW12">PRODUCT(1 + 預測IC!$C12:AW12) - 1</f>
        <v>0.67534267424114125</v>
      </c>
      <c r="AX12" s="7" cm="1">
        <f t="array" ref="AX12">PRODUCT(1 + 預測IC!$C12:AX12) - 1</f>
        <v>0.74838504696230546</v>
      </c>
      <c r="AY12" s="7" cm="1">
        <f t="array" ref="AY12">PRODUCT(1 + 預測IC!$C12:AY12) - 1</f>
        <v>0.79201650820438751</v>
      </c>
      <c r="AZ12" s="7" cm="1">
        <f t="array" ref="AZ12">PRODUCT(1 + 預測IC!$C12:AZ12) - 1</f>
        <v>0.78789482351467655</v>
      </c>
      <c r="BA12" s="7" cm="1">
        <f t="array" ref="BA12">PRODUCT(1 + 預測IC!$C12:BA12) - 1</f>
        <v>0.91532909436938326</v>
      </c>
      <c r="BB12" s="7" cm="1">
        <f t="array" ref="BB12">PRODUCT(1 + 預測IC!$C12:BB12) - 1</f>
        <v>0.92641002957111129</v>
      </c>
      <c r="BC12" s="7" cm="1">
        <f t="array" ref="BC12">PRODUCT(1 + 預測IC!$C12:BC12) - 1</f>
        <v>0.95005245346564271</v>
      </c>
      <c r="BD12" s="7" cm="1">
        <f t="array" ref="BD12">PRODUCT(1 + 預測IC!$C12:BD12) - 1</f>
        <v>0.97663275447181541</v>
      </c>
      <c r="BE12" s="7" cm="1">
        <f t="array" ref="BE12">PRODUCT(1 + 預測IC!$C12:BE12) - 1</f>
        <v>1.0134155375220817</v>
      </c>
      <c r="BF12" s="7" cm="1">
        <f t="array" ref="BF12">PRODUCT(1 + 預測IC!$C12:BF12) - 1</f>
        <v>1.1499097133369305</v>
      </c>
      <c r="BG12" s="7" cm="1">
        <f t="array" ref="BG12">PRODUCT(1 + 預測IC!$C12:BG12) - 1</f>
        <v>1.2222990275558328</v>
      </c>
      <c r="BH12" s="7" cm="1">
        <f t="array" ref="BH12">PRODUCT(1 + 預測IC!$C12:BH12) - 1</f>
        <v>1.25390758667757</v>
      </c>
      <c r="BI12" s="7" cm="1">
        <f t="array" ref="BI12">PRODUCT(1 + 預測IC!$C12:BI12) - 1</f>
        <v>1.3666508683792382</v>
      </c>
      <c r="BJ12" s="7" cm="1">
        <f t="array" ref="BJ12">PRODUCT(1 + 預測IC!$C12:BJ12) - 1</f>
        <v>1.3647670300974304</v>
      </c>
      <c r="BK12" s="7" cm="1">
        <f t="array" ref="BK12">PRODUCT(1 + 預測IC!$C12:BK12) - 1</f>
        <v>1.3144337561530355</v>
      </c>
      <c r="BL12" s="7" cm="1">
        <f t="array" ref="BL12">PRODUCT(1 + 預測IC!$C12:BL12) - 1</f>
        <v>1.3716216687914149</v>
      </c>
      <c r="BM12" s="7" cm="1">
        <f t="array" ref="BM12">PRODUCT(1 + 預測IC!$C12:BM12) - 1</f>
        <v>1.2523156173125134</v>
      </c>
      <c r="BN12" s="7" cm="1">
        <f t="array" ref="BN12">PRODUCT(1 + 預測IC!$C12:BN12) - 1</f>
        <v>1.2782544901037425</v>
      </c>
      <c r="BO12" s="7" cm="1">
        <f t="array" ref="BO12">PRODUCT(1 + 預測IC!$C12:BO12) - 1</f>
        <v>1.3334937553134627</v>
      </c>
      <c r="BP12" s="7" cm="1">
        <f t="array" ref="BP12">PRODUCT(1 + 預測IC!$C12:BP12) - 1</f>
        <v>1.308971103728878</v>
      </c>
      <c r="BQ12" s="7" cm="1">
        <f t="array" ref="BQ12">PRODUCT(1 + 預測IC!$C12:BQ12) - 1</f>
        <v>1.3410582970343197</v>
      </c>
      <c r="BR12" s="7" cm="1">
        <f t="array" ref="BR12">PRODUCT(1 + 預測IC!$C12:BR12) - 1</f>
        <v>1.3357651444348257</v>
      </c>
      <c r="BS12" s="7" cm="1">
        <f t="array" ref="BS12">PRODUCT(1 + 預測IC!$C12:BS12) - 1</f>
        <v>1.3798253676313457</v>
      </c>
      <c r="BT12" s="7" cm="1">
        <f t="array" ref="BT12">PRODUCT(1 + 預測IC!$C12:BT12) - 1</f>
        <v>1.4322564156761031</v>
      </c>
      <c r="BU12" s="7" cm="1">
        <f t="array" ref="BU12">PRODUCT(1 + 預測IC!$C12:BU12) - 1</f>
        <v>1.4536153170794721</v>
      </c>
      <c r="BV12" s="7" cm="1">
        <f t="array" ref="BV12">PRODUCT(1 + 預測IC!$C12:BV12) - 1</f>
        <v>1.5102017117158972</v>
      </c>
      <c r="BW12" s="7" cm="1">
        <f t="array" ref="BW12">PRODUCT(1 + 預測IC!$C12:BW12) - 1</f>
        <v>1.4361915050082987</v>
      </c>
      <c r="BX12" s="7" cm="1">
        <f t="array" ref="BX12">PRODUCT(1 + 預測IC!$C12:BX12) - 1</f>
        <v>1.4641520695839256</v>
      </c>
      <c r="BY12" s="7" cm="1">
        <f t="array" ref="BY12">PRODUCT(1 + 預測IC!$C12:BY12) - 1</f>
        <v>1.3819213428832118</v>
      </c>
      <c r="BZ12" s="7" cm="1">
        <f t="array" ref="BZ12">PRODUCT(1 + 預測IC!$C12:BZ12) - 1</f>
        <v>1.4899580198732498</v>
      </c>
      <c r="CA12" s="7" cm="1">
        <f t="array" ref="CA12">PRODUCT(1 + 預測IC!$C12:CA12) - 1</f>
        <v>1.4043027482752239</v>
      </c>
      <c r="CB12" s="7" cm="1">
        <f t="array" ref="CB12">PRODUCT(1 + 預測IC!$C12:CB12) - 1</f>
        <v>1.4089748906731856</v>
      </c>
      <c r="CC12" s="7" cm="1">
        <f t="array" ref="CC12">PRODUCT(1 + 預測IC!$C12:CC12) - 1</f>
        <v>1.566923214159786</v>
      </c>
      <c r="CD12" s="7" cm="1">
        <f t="array" ref="CD12">PRODUCT(1 + 預測IC!$C12:CD12) - 1</f>
        <v>1.680531355878192</v>
      </c>
      <c r="CE12" s="7" cm="1">
        <f t="array" ref="CE12">PRODUCT(1 + 預測IC!$C12:CE12) - 1</f>
        <v>2.0933519829542822</v>
      </c>
      <c r="CF12" s="7" cm="1">
        <f t="array" ref="CF12">PRODUCT(1 + 預測IC!$C12:CF12) - 1</f>
        <v>2.1059663484166267</v>
      </c>
      <c r="CG12" s="7" cm="1">
        <f t="array" ref="CG12">PRODUCT(1 + 預測IC!$C12:CG12) - 1</f>
        <v>2.1069250002628914</v>
      </c>
      <c r="CH12" s="7" cm="1">
        <f t="array" ref="CH12">PRODUCT(1 + 預測IC!$C12:CH12) - 1</f>
        <v>2.303585188954925</v>
      </c>
      <c r="CI12" s="7" cm="1">
        <f t="array" ref="CI12">PRODUCT(1 + 預測IC!$C12:CI12) - 1</f>
        <v>2.1890964300002431</v>
      </c>
      <c r="CJ12" s="7" cm="1">
        <f t="array" ref="CJ12">PRODUCT(1 + 預測IC!$C12:CJ12) - 1</f>
        <v>2.2383525999255389</v>
      </c>
      <c r="CK12" s="7" cm="1">
        <f t="array" ref="CK12">PRODUCT(1 + 預測IC!$C12:CK12) - 1</f>
        <v>2.2798136950865699</v>
      </c>
      <c r="CL12" s="7" cm="1">
        <f t="array" ref="CL12">PRODUCT(1 + 預測IC!$C12:CL12) - 1</f>
        <v>2.6668829013553217</v>
      </c>
      <c r="CM12" s="7" cm="1">
        <f t="array" ref="CM12">PRODUCT(1 + 預測IC!$C12:CM12) - 1</f>
        <v>2.6110739477089897</v>
      </c>
      <c r="CN12" s="7" cm="1">
        <f t="array" ref="CN12">PRODUCT(1 + 預測IC!$C12:CN12) - 1</f>
        <v>2.5132726998455599</v>
      </c>
      <c r="CO12" s="7" cm="1">
        <f t="array" ref="CO12">PRODUCT(1 + 預測IC!$C12:CO12) - 1</f>
        <v>2.417479360647159</v>
      </c>
      <c r="CP12" s="7" cm="1">
        <f t="array" ref="CP12">PRODUCT(1 + 預測IC!$C12:CP12) - 1</f>
        <v>2.5722878315698314</v>
      </c>
      <c r="CQ12" s="7" cm="1">
        <f t="array" ref="CQ12">PRODUCT(1 + 預測IC!$C12:CQ12) - 1</f>
        <v>2.3483613015390605</v>
      </c>
      <c r="CR12" s="7" cm="1">
        <f t="array" ref="CR12">PRODUCT(1 + 預測IC!$C12:CR12) - 1</f>
        <v>2.5095735984507637</v>
      </c>
      <c r="CS12" s="7" cm="1">
        <f t="array" ref="CS12">PRODUCT(1 + 預測IC!$C12:CS12) - 1</f>
        <v>2.4586509123491616</v>
      </c>
      <c r="CT12" s="7" cm="1">
        <f t="array" ref="CT12">PRODUCT(1 + 預測IC!$C12:CT12) - 1</f>
        <v>2.4558008594045675</v>
      </c>
      <c r="CU12" s="7" cm="1">
        <f t="array" ref="CU12">PRODUCT(1 + 預測IC!$C12:CU12) - 1</f>
        <v>2.5789093266051659</v>
      </c>
      <c r="CV12" s="7" cm="1">
        <f t="array" ref="CV12">PRODUCT(1 + 預測IC!$C12:CV12) - 1</f>
        <v>2.6079436808038388</v>
      </c>
      <c r="CW12" s="7" cm="1">
        <f t="array" ref="CW12">PRODUCT(1 + 預測IC!$C12:CW12) - 1</f>
        <v>2.6279602808274491</v>
      </c>
      <c r="CX12" s="7" cm="1">
        <f t="array" ref="CX12">PRODUCT(1 + 預測IC!$C12:CX12) - 1</f>
        <v>2.8492291522039865</v>
      </c>
      <c r="CY12" s="7" cm="1">
        <f t="array" ref="CY12">PRODUCT(1 + 預測IC!$C12:CY12) - 1</f>
        <v>2.8261994366275656</v>
      </c>
      <c r="CZ12" s="7" cm="1">
        <f t="array" ref="CZ12">PRODUCT(1 + 預測IC!$C12:CZ12) - 1</f>
        <v>3.1238483956679106</v>
      </c>
      <c r="DA12" s="7" cm="1">
        <f t="array" ref="DA12">PRODUCT(1 + 預測IC!$C12:DA12) - 1</f>
        <v>3.1469575516161363</v>
      </c>
      <c r="DB12" s="7" cm="1">
        <f t="array" ref="DB12">PRODUCT(1 + 預測IC!$C12:DB12) - 1</f>
        <v>3.5159613674992247</v>
      </c>
      <c r="DC12" s="7" cm="1">
        <f t="array" ref="DC12">PRODUCT(1 + 預測IC!$C12:DC12) - 1</f>
        <v>3.5677728716539443</v>
      </c>
      <c r="DD12" s="7" cm="1">
        <f t="array" ref="DD12">PRODUCT(1 + 預測IC!$C12:DD12) - 1</f>
        <v>3.3892095067443178</v>
      </c>
      <c r="DE12" s="7" cm="1">
        <f t="array" ref="DE12">PRODUCT(1 + 預測IC!$C12:DE12) - 1</f>
        <v>3.3944682554412839</v>
      </c>
      <c r="DF12" s="7" cm="1">
        <f t="array" ref="DF12">PRODUCT(1 + 預測IC!$C12:DF12) - 1</f>
        <v>3.3644341490532579</v>
      </c>
      <c r="DG12" s="7" cm="1">
        <f t="array" ref="DG12">PRODUCT(1 + 預測IC!$C12:DG12) - 1</f>
        <v>3.3602979357951401</v>
      </c>
      <c r="DH12" s="7" cm="1">
        <f t="array" ref="DH12">PRODUCT(1 + 預測IC!$C12:DH12) - 1</f>
        <v>3.3436299034859012</v>
      </c>
      <c r="DI12" s="7" cm="1">
        <f t="array" ref="DI12">PRODUCT(1 + 預測IC!$C12:DI12) - 1</f>
        <v>3.1071489092366189</v>
      </c>
      <c r="DJ12" s="7" cm="1">
        <f t="array" ref="DJ12">PRODUCT(1 + 預測IC!$C12:DJ12) - 1</f>
        <v>3.1692416412513102</v>
      </c>
      <c r="DK12" s="7" cm="1">
        <f t="array" ref="DK12">PRODUCT(1 + 預測IC!$C12:DK12) - 1</f>
        <v>3.1027591094647127</v>
      </c>
      <c r="DL12" s="7" cm="1">
        <f t="array" ref="DL12">PRODUCT(1 + 預測IC!$C12:DL12) - 1</f>
        <v>3.1013039591819025</v>
      </c>
      <c r="DM12" s="7" cm="1">
        <f t="array" ref="DM12">PRODUCT(1 + 預測IC!$C12:DM12) - 1</f>
        <v>3.0814522156592332</v>
      </c>
      <c r="DN12" s="7" cm="1">
        <f t="array" ref="DN12">PRODUCT(1 + 預測IC!$C12:DN12) - 1</f>
        <v>3.2545480954311055</v>
      </c>
      <c r="DO12" s="7" cm="1">
        <f t="array" ref="DO12">PRODUCT(1 + 預測IC!$C12:DO12) - 1</f>
        <v>3.3506997493179984</v>
      </c>
      <c r="DP12" s="7" cm="1">
        <f t="array" ref="DP12">PRODUCT(1 + 預測IC!$C12:DP12) - 1</f>
        <v>3.4924649060256758</v>
      </c>
      <c r="DQ12" s="7" cm="1">
        <f t="array" ref="DQ12">PRODUCT(1 + 預測IC!$C12:DQ12) - 1</f>
        <v>3.3403405186959878</v>
      </c>
      <c r="DR12" s="7" cm="1">
        <f t="array" ref="DR12">PRODUCT(1 + 預測IC!$C12:DR12) - 1</f>
        <v>3.4218475271098052</v>
      </c>
      <c r="DS12" s="7" cm="1">
        <f t="array" ref="DS12">PRODUCT(1 + 預測IC!$C12:DS12) - 1</f>
        <v>3.263871914972575</v>
      </c>
      <c r="DT12" s="7" cm="1">
        <f t="array" ref="DT12">PRODUCT(1 + 預測IC!$C12:DT12) - 1</f>
        <v>3.3709702125375225</v>
      </c>
      <c r="DU12" s="7" cm="1">
        <f t="array" ref="DU12">PRODUCT(1 + 預測IC!$C12:DU12) - 1</f>
        <v>3.120818349658661</v>
      </c>
      <c r="DV12" s="7" cm="1">
        <f t="array" ref="DV12">PRODUCT(1 + 預測IC!$C12:DV12) - 1</f>
        <v>3.3208874780567266</v>
      </c>
      <c r="DW12" s="7" cm="1">
        <f t="array" ref="DW12">PRODUCT(1 + 預測IC!$C12:DW12) - 1</f>
        <v>3.5098207209660517</v>
      </c>
      <c r="DX12" s="7" cm="1">
        <f t="array" ref="DX12">PRODUCT(1 + 預測IC!$C12:DX12) - 1</f>
        <v>3.283643828936551</v>
      </c>
      <c r="DY12" s="7" cm="1">
        <f t="array" ref="DY12">PRODUCT(1 + 預測IC!$C12:DY12) - 1</f>
        <v>3.5112994119571761</v>
      </c>
      <c r="DZ12" s="7" cm="1">
        <f t="array" ref="DZ12">PRODUCT(1 + 預測IC!$C12:DZ12) - 1</f>
        <v>3.5393919471511808</v>
      </c>
      <c r="EA12" s="7" cm="1">
        <f t="array" ref="EA12">PRODUCT(1 + 預測IC!$C12:EA12) - 1</f>
        <v>3.77134412881054</v>
      </c>
      <c r="EB12" s="7" cm="1">
        <f t="array" ref="EB12">PRODUCT(1 + 預測IC!$C12:EB12) - 1</f>
        <v>3.7848390491620911</v>
      </c>
      <c r="EC12" s="7" cm="1">
        <f t="array" ref="EC12">PRODUCT(1 + 預測IC!$C12:EC12) - 1</f>
        <v>3.7379170928175691</v>
      </c>
      <c r="ED12" s="7" cm="1">
        <f t="array" ref="ED12">PRODUCT(1 + 預測IC!$C12:ED12) - 1</f>
        <v>3.4512344813714346</v>
      </c>
      <c r="EE12" s="7" cm="1">
        <f t="array" ref="EE12">PRODUCT(1 + 預測IC!$C12:EE12) - 1</f>
        <v>3.504280271217354</v>
      </c>
      <c r="EF12" s="7" cm="1">
        <f t="array" ref="EF12">PRODUCT(1 + 預測IC!$C12:EF12) - 1</f>
        <v>3.6809982667623053</v>
      </c>
    </row>
    <row r="13" spans="1:137" x14ac:dyDescent="0.3">
      <c r="A13" s="1">
        <v>48</v>
      </c>
      <c r="B13" s="1" t="s">
        <v>157</v>
      </c>
      <c r="C13" s="7" cm="1">
        <f t="array" ref="C13">PRODUCT(1 + 預測IC!$C13:C13) - 1</f>
        <v>0.1041127502527619</v>
      </c>
      <c r="D13" s="7" cm="1">
        <f t="array" ref="D13">PRODUCT(1 + 預測IC!$C13:D13) - 1</f>
        <v>0.24074121432325701</v>
      </c>
      <c r="E13" s="7" cm="1">
        <f t="array" ref="E13">PRODUCT(1 + 預測IC!$C13:E13) - 1</f>
        <v>0.32742132658695078</v>
      </c>
      <c r="F13" s="7" cm="1">
        <f t="array" ref="F13">PRODUCT(1 + 預測IC!$C13:F13) - 1</f>
        <v>0.31221539687520639</v>
      </c>
      <c r="G13" s="7" cm="1">
        <f t="array" ref="G13">PRODUCT(1 + 預測IC!$C13:G13) - 1</f>
        <v>0.33287547515881966</v>
      </c>
      <c r="H13" s="7" cm="1">
        <f t="array" ref="H13">PRODUCT(1 + 預測IC!$C13:H13) - 1</f>
        <v>0.37284791979507848</v>
      </c>
      <c r="I13" s="7" cm="1">
        <f t="array" ref="I13">PRODUCT(1 + 預測IC!$C13:I13) - 1</f>
        <v>0.41283979643847002</v>
      </c>
      <c r="J13" s="7" cm="1">
        <f t="array" ref="J13">PRODUCT(1 + 預測IC!$C13:J13) - 1</f>
        <v>0.35081722139061289</v>
      </c>
      <c r="K13" s="7" cm="1">
        <f t="array" ref="K13">PRODUCT(1 + 預測IC!$C13:K13) - 1</f>
        <v>0.34897023978252273</v>
      </c>
      <c r="L13" s="7" cm="1">
        <f t="array" ref="L13">PRODUCT(1 + 預測IC!$C13:L13) - 1</f>
        <v>0.34084247650749444</v>
      </c>
      <c r="M13" s="7" cm="1">
        <f t="array" ref="M13">PRODUCT(1 + 預測IC!$C13:M13) - 1</f>
        <v>0.35117857026103949</v>
      </c>
      <c r="N13" s="7" cm="1">
        <f t="array" ref="N13">PRODUCT(1 + 預測IC!$C13:N13) - 1</f>
        <v>0.48603553761671603</v>
      </c>
      <c r="O13" s="7" cm="1">
        <f t="array" ref="O13">PRODUCT(1 + 預測IC!$C13:O13) - 1</f>
        <v>0.54516383899048715</v>
      </c>
      <c r="P13" s="7" cm="1">
        <f t="array" ref="P13">PRODUCT(1 + 預測IC!$C13:P13) - 1</f>
        <v>0.57110965496917432</v>
      </c>
      <c r="Q13" s="7" cm="1">
        <f t="array" ref="Q13">PRODUCT(1 + 預測IC!$C13:Q13) - 1</f>
        <v>0.68615316727899645</v>
      </c>
      <c r="R13" s="7" cm="1">
        <f t="array" ref="R13">PRODUCT(1 + 預測IC!$C13:R13) - 1</f>
        <v>0.71002900252262169</v>
      </c>
      <c r="S13" s="7" cm="1">
        <f t="array" ref="S13">PRODUCT(1 + 預測IC!$C13:S13) - 1</f>
        <v>0.68909196965802932</v>
      </c>
      <c r="T13" s="7" cm="1">
        <f t="array" ref="T13">PRODUCT(1 + 預測IC!$C13:T13) - 1</f>
        <v>0.59973933736846297</v>
      </c>
      <c r="U13" s="7" cm="1">
        <f t="array" ref="U13">PRODUCT(1 + 預測IC!$C13:U13) - 1</f>
        <v>0.60229414705910633</v>
      </c>
      <c r="V13" s="7" cm="1">
        <f t="array" ref="V13">PRODUCT(1 + 預測IC!$C13:V13) - 1</f>
        <v>0.57009712289338954</v>
      </c>
      <c r="W13" s="7" cm="1">
        <f t="array" ref="W13">PRODUCT(1 + 預測IC!$C13:W13) - 1</f>
        <v>0.61893199169373903</v>
      </c>
      <c r="X13" s="7" cm="1">
        <f t="array" ref="X13">PRODUCT(1 + 預測IC!$C13:X13) - 1</f>
        <v>0.70518366098366858</v>
      </c>
      <c r="Y13" s="7" cm="1">
        <f t="array" ref="Y13">PRODUCT(1 + 預測IC!$C13:Y13) - 1</f>
        <v>0.72892151003764627</v>
      </c>
      <c r="Z13" s="7" cm="1">
        <f t="array" ref="Z13">PRODUCT(1 + 預測IC!$C13:Z13) - 1</f>
        <v>0.76450921748042955</v>
      </c>
      <c r="AA13" s="7" cm="1">
        <f t="array" ref="AA13">PRODUCT(1 + 預測IC!$C13:AA13) - 1</f>
        <v>0.73549959291924405</v>
      </c>
      <c r="AB13" s="7" cm="1">
        <f t="array" ref="AB13">PRODUCT(1 + 預測IC!$C13:AB13) - 1</f>
        <v>0.70946436851365369</v>
      </c>
      <c r="AC13" s="7" cm="1">
        <f t="array" ref="AC13">PRODUCT(1 + 預測IC!$C13:AC13) - 1</f>
        <v>0.72319382867269355</v>
      </c>
      <c r="AD13" s="7" cm="1">
        <f t="array" ref="AD13">PRODUCT(1 + 預測IC!$C13:AD13) - 1</f>
        <v>0.75841630406307292</v>
      </c>
      <c r="AE13" s="7" cm="1">
        <f t="array" ref="AE13">PRODUCT(1 + 預測IC!$C13:AE13) - 1</f>
        <v>0.64285427121277294</v>
      </c>
      <c r="AF13" s="7" cm="1">
        <f t="array" ref="AF13">PRODUCT(1 + 預測IC!$C13:AF13) - 1</f>
        <v>0.69532779864747196</v>
      </c>
      <c r="AG13" s="7" cm="1">
        <f t="array" ref="AG13">PRODUCT(1 + 預測IC!$C13:AG13) - 1</f>
        <v>0.70089239034102424</v>
      </c>
      <c r="AH13" s="7" cm="1">
        <f t="array" ref="AH13">PRODUCT(1 + 預測IC!$C13:AH13) - 1</f>
        <v>0.71729127088621425</v>
      </c>
      <c r="AI13" s="7" cm="1">
        <f t="array" ref="AI13">PRODUCT(1 + 預測IC!$C13:AI13) - 1</f>
        <v>0.73801476928940168</v>
      </c>
      <c r="AJ13" s="7" cm="1">
        <f t="array" ref="AJ13">PRODUCT(1 + 預測IC!$C13:AJ13) - 1</f>
        <v>0.70971907199880557</v>
      </c>
      <c r="AK13" s="7" cm="1">
        <f t="array" ref="AK13">PRODUCT(1 + 預測IC!$C13:AK13) - 1</f>
        <v>0.82253986505257837</v>
      </c>
      <c r="AL13" s="7" cm="1">
        <f t="array" ref="AL13">PRODUCT(1 + 預測IC!$C13:AL13) - 1</f>
        <v>0.86473426660019581</v>
      </c>
      <c r="AM13" s="7" cm="1">
        <f t="array" ref="AM13">PRODUCT(1 + 預測IC!$C13:AM13) - 1</f>
        <v>0.95103872500530962</v>
      </c>
      <c r="AN13" s="7" cm="1">
        <f t="array" ref="AN13">PRODUCT(1 + 預測IC!$C13:AN13) - 1</f>
        <v>1.1565420985227433</v>
      </c>
      <c r="AO13" s="7" cm="1">
        <f t="array" ref="AO13">PRODUCT(1 + 預測IC!$C13:AO13) - 1</f>
        <v>1.1766220672150873</v>
      </c>
      <c r="AP13" s="7" cm="1">
        <f t="array" ref="AP13">PRODUCT(1 + 預測IC!$C13:AP13) - 1</f>
        <v>1.0470023939619599</v>
      </c>
      <c r="AQ13" s="7" cm="1">
        <f t="array" ref="AQ13">PRODUCT(1 + 預測IC!$C13:AQ13) - 1</f>
        <v>1.0346194853702553</v>
      </c>
      <c r="AR13" s="7" cm="1">
        <f t="array" ref="AR13">PRODUCT(1 + 預測IC!$C13:AR13) - 1</f>
        <v>1.0563679105444077</v>
      </c>
      <c r="AS13" s="7" cm="1">
        <f t="array" ref="AS13">PRODUCT(1 + 預測IC!$C13:AS13) - 1</f>
        <v>1.1413228816799057</v>
      </c>
      <c r="AT13" s="7" cm="1">
        <f t="array" ref="AT13">PRODUCT(1 + 預測IC!$C13:AT13) - 1</f>
        <v>1.2279674175660418</v>
      </c>
      <c r="AU13" s="7" cm="1">
        <f t="array" ref="AU13">PRODUCT(1 + 預測IC!$C13:AU13) - 1</f>
        <v>1.3192608922525881</v>
      </c>
      <c r="AV13" s="7" cm="1">
        <f t="array" ref="AV13">PRODUCT(1 + 預測IC!$C13:AV13) - 1</f>
        <v>1.2972847991240632</v>
      </c>
      <c r="AW13" s="7" cm="1">
        <f t="array" ref="AW13">PRODUCT(1 + 預測IC!$C13:AW13) - 1</f>
        <v>1.3066577523086544</v>
      </c>
      <c r="AX13" s="7" cm="1">
        <f t="array" ref="AX13">PRODUCT(1 + 預測IC!$C13:AX13) - 1</f>
        <v>1.4615585574954562</v>
      </c>
      <c r="AY13" s="7" cm="1">
        <f t="array" ref="AY13">PRODUCT(1 + 預測IC!$C13:AY13) - 1</f>
        <v>1.5047942245567283</v>
      </c>
      <c r="AZ13" s="7" cm="1">
        <f t="array" ref="AZ13">PRODUCT(1 + 預測IC!$C13:AZ13) - 1</f>
        <v>1.4844967060402428</v>
      </c>
      <c r="BA13" s="7" cm="1">
        <f t="array" ref="BA13">PRODUCT(1 + 預測IC!$C13:BA13) - 1</f>
        <v>1.6828318925804751</v>
      </c>
      <c r="BB13" s="7" cm="1">
        <f t="array" ref="BB13">PRODUCT(1 + 預測IC!$C13:BB13) - 1</f>
        <v>1.7527098590612997</v>
      </c>
      <c r="BC13" s="7" cm="1">
        <f t="array" ref="BC13">PRODUCT(1 + 預測IC!$C13:BC13) - 1</f>
        <v>1.7837707960369116</v>
      </c>
      <c r="BD13" s="7" cm="1">
        <f t="array" ref="BD13">PRODUCT(1 + 預測IC!$C13:BD13) - 1</f>
        <v>1.7930809181008409</v>
      </c>
      <c r="BE13" s="7" cm="1">
        <f t="array" ref="BE13">PRODUCT(1 + 預測IC!$C13:BE13) - 1</f>
        <v>1.8695884496054425</v>
      </c>
      <c r="BF13" s="7" cm="1">
        <f t="array" ref="BF13">PRODUCT(1 + 預測IC!$C13:BF13) - 1</f>
        <v>2.1104313303539732</v>
      </c>
      <c r="BG13" s="7" cm="1">
        <f t="array" ref="BG13">PRODUCT(1 + 預測IC!$C13:BG13) - 1</f>
        <v>2.2552731137560502</v>
      </c>
      <c r="BH13" s="7" cm="1">
        <f t="array" ref="BH13">PRODUCT(1 + 預測IC!$C13:BH13) - 1</f>
        <v>2.282863929131274</v>
      </c>
      <c r="BI13" s="7" cm="1">
        <f t="array" ref="BI13">PRODUCT(1 + 預測IC!$C13:BI13) - 1</f>
        <v>2.4549159796304418</v>
      </c>
      <c r="BJ13" s="7" cm="1">
        <f t="array" ref="BJ13">PRODUCT(1 + 預測IC!$C13:BJ13) - 1</f>
        <v>2.3967107130324679</v>
      </c>
      <c r="BK13" s="7" cm="1">
        <f t="array" ref="BK13">PRODUCT(1 + 預測IC!$C13:BK13) - 1</f>
        <v>2.3342417217997764</v>
      </c>
      <c r="BL13" s="7" cm="1">
        <f t="array" ref="BL13">PRODUCT(1 + 預測IC!$C13:BL13) - 1</f>
        <v>2.4407636102447721</v>
      </c>
      <c r="BM13" s="7" cm="1">
        <f t="array" ref="BM13">PRODUCT(1 + 預測IC!$C13:BM13) - 1</f>
        <v>2.257123970703959</v>
      </c>
      <c r="BN13" s="7" cm="1">
        <f t="array" ref="BN13">PRODUCT(1 + 預測IC!$C13:BN13) - 1</f>
        <v>2.2931234697831306</v>
      </c>
      <c r="BO13" s="7" cm="1">
        <f t="array" ref="BO13">PRODUCT(1 + 預測IC!$C13:BO13) - 1</f>
        <v>2.3948108949283573</v>
      </c>
      <c r="BP13" s="7" cm="1">
        <f t="array" ref="BP13">PRODUCT(1 + 預測IC!$C13:BP13) - 1</f>
        <v>2.4268331130411043</v>
      </c>
      <c r="BQ13" s="7" cm="1">
        <f t="array" ref="BQ13">PRODUCT(1 + 預測IC!$C13:BQ13) - 1</f>
        <v>2.5695712112943214</v>
      </c>
      <c r="BR13" s="7" cm="1">
        <f t="array" ref="BR13">PRODUCT(1 + 預測IC!$C13:BR13) - 1</f>
        <v>2.5457214157943762</v>
      </c>
      <c r="BS13" s="7" cm="1">
        <f t="array" ref="BS13">PRODUCT(1 + 預測IC!$C13:BS13) - 1</f>
        <v>2.5720287959921264</v>
      </c>
      <c r="BT13" s="7" cm="1">
        <f t="array" ref="BT13">PRODUCT(1 + 預測IC!$C13:BT13) - 1</f>
        <v>2.7089929021934536</v>
      </c>
      <c r="BU13" s="7" cm="1">
        <f t="array" ref="BU13">PRODUCT(1 + 預測IC!$C13:BU13) - 1</f>
        <v>2.7746663891463297</v>
      </c>
      <c r="BV13" s="7" cm="1">
        <f t="array" ref="BV13">PRODUCT(1 + 預測IC!$C13:BV13) - 1</f>
        <v>2.8526268270899324</v>
      </c>
      <c r="BW13" s="7" cm="1">
        <f t="array" ref="BW13">PRODUCT(1 + 預測IC!$C13:BW13) - 1</f>
        <v>2.8594199243818865</v>
      </c>
      <c r="BX13" s="7" cm="1">
        <f t="array" ref="BX13">PRODUCT(1 + 預測IC!$C13:BX13) - 1</f>
        <v>2.9407690381515814</v>
      </c>
      <c r="BY13" s="7" cm="1">
        <f t="array" ref="BY13">PRODUCT(1 + 預測IC!$C13:BY13) - 1</f>
        <v>2.8835790307423692</v>
      </c>
      <c r="BZ13" s="7" cm="1">
        <f t="array" ref="BZ13">PRODUCT(1 + 預測IC!$C13:BZ13) - 1</f>
        <v>3.1792674488945787</v>
      </c>
      <c r="CA13" s="7" cm="1">
        <f t="array" ref="CA13">PRODUCT(1 + 預測IC!$C13:CA13) - 1</f>
        <v>3.0391300682703672</v>
      </c>
      <c r="CB13" s="7" cm="1">
        <f t="array" ref="CB13">PRODUCT(1 + 預測IC!$C13:CB13) - 1</f>
        <v>3.0124886662194292</v>
      </c>
      <c r="CC13" s="7" cm="1">
        <f t="array" ref="CC13">PRODUCT(1 + 預測IC!$C13:CC13) - 1</f>
        <v>3.4944614769510665</v>
      </c>
      <c r="CD13" s="7" cm="1">
        <f t="array" ref="CD13">PRODUCT(1 + 預測IC!$C13:CD13) - 1</f>
        <v>3.7428076561519452</v>
      </c>
      <c r="CE13" s="7" cm="1">
        <f t="array" ref="CE13">PRODUCT(1 + 預測IC!$C13:CE13) - 1</f>
        <v>4.614667726307454</v>
      </c>
      <c r="CF13" s="7" cm="1">
        <f t="array" ref="CF13">PRODUCT(1 + 預測IC!$C13:CF13) - 1</f>
        <v>4.7170171721076342</v>
      </c>
      <c r="CG13" s="7" cm="1">
        <f t="array" ref="CG13">PRODUCT(1 + 預測IC!$C13:CG13) - 1</f>
        <v>4.7602393579562134</v>
      </c>
      <c r="CH13" s="7" cm="1">
        <f t="array" ref="CH13">PRODUCT(1 + 預測IC!$C13:CH13) - 1</f>
        <v>5.0962606849343901</v>
      </c>
      <c r="CI13" s="7" cm="1">
        <f t="array" ref="CI13">PRODUCT(1 + 預測IC!$C13:CI13) - 1</f>
        <v>4.7801481758232942</v>
      </c>
      <c r="CJ13" s="7" cm="1">
        <f t="array" ref="CJ13">PRODUCT(1 + 預測IC!$C13:CJ13) - 1</f>
        <v>4.7621945270982735</v>
      </c>
      <c r="CK13" s="7" cm="1">
        <f t="array" ref="CK13">PRODUCT(1 + 預測IC!$C13:CK13) - 1</f>
        <v>4.9468456021120168</v>
      </c>
      <c r="CL13" s="7" cm="1">
        <f t="array" ref="CL13">PRODUCT(1 + 預測IC!$C13:CL13) - 1</f>
        <v>5.4312361940939908</v>
      </c>
      <c r="CM13" s="7" cm="1">
        <f t="array" ref="CM13">PRODUCT(1 + 預測IC!$C13:CM13) - 1</f>
        <v>5.3650150170923805</v>
      </c>
      <c r="CN13" s="7" cm="1">
        <f t="array" ref="CN13">PRODUCT(1 + 預測IC!$C13:CN13) - 1</f>
        <v>5.1938752557366232</v>
      </c>
      <c r="CO13" s="7" cm="1">
        <f t="array" ref="CO13">PRODUCT(1 + 預測IC!$C13:CO13) - 1</f>
        <v>5.1105214361367475</v>
      </c>
      <c r="CP13" s="7" cm="1">
        <f t="array" ref="CP13">PRODUCT(1 + 預測IC!$C13:CP13) - 1</f>
        <v>5.5365869551714955</v>
      </c>
      <c r="CQ13" s="7" cm="1">
        <f t="array" ref="CQ13">PRODUCT(1 + 預測IC!$C13:CQ13) - 1</f>
        <v>5.071320114935113</v>
      </c>
      <c r="CR13" s="7" cm="1">
        <f t="array" ref="CR13">PRODUCT(1 + 預測IC!$C13:CR13) - 1</f>
        <v>5.4621956426271367</v>
      </c>
      <c r="CS13" s="7" cm="1">
        <f t="array" ref="CS13">PRODUCT(1 + 預測IC!$C13:CS13) - 1</f>
        <v>5.4877061335399349</v>
      </c>
      <c r="CT13" s="7" cm="1">
        <f t="array" ref="CT13">PRODUCT(1 + 預測IC!$C13:CT13) - 1</f>
        <v>5.5400671077673742</v>
      </c>
      <c r="CU13" s="7" cm="1">
        <f t="array" ref="CU13">PRODUCT(1 + 預測IC!$C13:CU13) - 1</f>
        <v>5.7831051725124292</v>
      </c>
      <c r="CV13" s="7" cm="1">
        <f t="array" ref="CV13">PRODUCT(1 + 預測IC!$C13:CV13) - 1</f>
        <v>5.7630725454339595</v>
      </c>
      <c r="CW13" s="7" cm="1">
        <f t="array" ref="CW13">PRODUCT(1 + 預測IC!$C13:CW13) - 1</f>
        <v>5.8034956387210492</v>
      </c>
      <c r="CX13" s="7" cm="1">
        <f t="array" ref="CX13">PRODUCT(1 + 預測IC!$C13:CX13) - 1</f>
        <v>6.2119316289249777</v>
      </c>
      <c r="CY13" s="7" cm="1">
        <f t="array" ref="CY13">PRODUCT(1 + 預測IC!$C13:CY13) - 1</f>
        <v>6.1173201721578705</v>
      </c>
      <c r="CZ13" s="7" cm="1">
        <f t="array" ref="CZ13">PRODUCT(1 + 預測IC!$C13:CZ13) - 1</f>
        <v>6.5246032700157377</v>
      </c>
      <c r="DA13" s="7" cm="1">
        <f t="array" ref="DA13">PRODUCT(1 + 預測IC!$C13:DA13) - 1</f>
        <v>6.4825883163609905</v>
      </c>
      <c r="DB13" s="7" cm="1">
        <f t="array" ref="DB13">PRODUCT(1 + 預測IC!$C13:DB13) - 1</f>
        <v>7.2775034903273266</v>
      </c>
      <c r="DC13" s="7" cm="1">
        <f t="array" ref="DC13">PRODUCT(1 + 預測IC!$C13:DC13) - 1</f>
        <v>7.4723641889711168</v>
      </c>
      <c r="DD13" s="7" cm="1">
        <f t="array" ref="DD13">PRODUCT(1 + 預測IC!$C13:DD13) - 1</f>
        <v>7.0368282979117538</v>
      </c>
      <c r="DE13" s="7" cm="1">
        <f t="array" ref="DE13">PRODUCT(1 + 預測IC!$C13:DE13) - 1</f>
        <v>7.0844783083196994</v>
      </c>
      <c r="DF13" s="7" cm="1">
        <f t="array" ref="DF13">PRODUCT(1 + 預測IC!$C13:DF13) - 1</f>
        <v>6.853918714262182</v>
      </c>
      <c r="DG13" s="7" cm="1">
        <f t="array" ref="DG13">PRODUCT(1 + 預測IC!$C13:DG13) - 1</f>
        <v>6.8411116653754762</v>
      </c>
      <c r="DH13" s="7" cm="1">
        <f t="array" ref="DH13">PRODUCT(1 + 預測IC!$C13:DH13) - 1</f>
        <v>6.9296830426837337</v>
      </c>
      <c r="DI13" s="7" cm="1">
        <f t="array" ref="DI13">PRODUCT(1 + 預測IC!$C13:DI13) - 1</f>
        <v>6.5650998064374306</v>
      </c>
      <c r="DJ13" s="7" cm="1">
        <f t="array" ref="DJ13">PRODUCT(1 + 預測IC!$C13:DJ13) - 1</f>
        <v>6.6103662214151848</v>
      </c>
      <c r="DK13" s="7" cm="1">
        <f t="array" ref="DK13">PRODUCT(1 + 預測IC!$C13:DK13) - 1</f>
        <v>6.7048038206876619</v>
      </c>
      <c r="DL13" s="7" cm="1">
        <f t="array" ref="DL13">PRODUCT(1 + 預測IC!$C13:DL13) - 1</f>
        <v>6.5792136192432311</v>
      </c>
      <c r="DM13" s="7" cm="1">
        <f t="array" ref="DM13">PRODUCT(1 + 預測IC!$C13:DM13) - 1</f>
        <v>6.5287446282625075</v>
      </c>
      <c r="DN13" s="7" cm="1">
        <f t="array" ref="DN13">PRODUCT(1 + 預測IC!$C13:DN13) - 1</f>
        <v>6.6153220137739144</v>
      </c>
      <c r="DO13" s="7" cm="1">
        <f t="array" ref="DO13">PRODUCT(1 + 預測IC!$C13:DO13) - 1</f>
        <v>6.9724152187902044</v>
      </c>
      <c r="DP13" s="7" cm="1">
        <f t="array" ref="DP13">PRODUCT(1 + 預測IC!$C13:DP13) - 1</f>
        <v>7.3613625369643021</v>
      </c>
      <c r="DQ13" s="7" cm="1">
        <f t="array" ref="DQ13">PRODUCT(1 + 預測IC!$C13:DQ13) - 1</f>
        <v>7.0773566319775298</v>
      </c>
      <c r="DR13" s="7" cm="1">
        <f t="array" ref="DR13">PRODUCT(1 + 預測IC!$C13:DR13) - 1</f>
        <v>7.1885916005235888</v>
      </c>
      <c r="DS13" s="7" cm="1">
        <f t="array" ref="DS13">PRODUCT(1 + 預測IC!$C13:DS13) - 1</f>
        <v>6.8701566978313817</v>
      </c>
      <c r="DT13" s="7" cm="1">
        <f t="array" ref="DT13">PRODUCT(1 + 預測IC!$C13:DT13) - 1</f>
        <v>7.2702066783178498</v>
      </c>
      <c r="DU13" s="7" cm="1">
        <f t="array" ref="DU13">PRODUCT(1 + 預測IC!$C13:DU13) - 1</f>
        <v>6.9972389180698835</v>
      </c>
      <c r="DV13" s="7" cm="1">
        <f t="array" ref="DV13">PRODUCT(1 + 預測IC!$C13:DV13) - 1</f>
        <v>7.6339802325224539</v>
      </c>
      <c r="DW13" s="7" cm="1">
        <f t="array" ref="DW13">PRODUCT(1 + 預測IC!$C13:DW13) - 1</f>
        <v>8.0174825501114348</v>
      </c>
      <c r="DX13" s="7" cm="1">
        <f t="array" ref="DX13">PRODUCT(1 + 預測IC!$C13:DX13) - 1</f>
        <v>7.4356441006881298</v>
      </c>
      <c r="DY13" s="7" cm="1">
        <f t="array" ref="DY13">PRODUCT(1 + 預測IC!$C13:DY13) - 1</f>
        <v>7.9163183972739795</v>
      </c>
      <c r="DZ13" s="7" cm="1">
        <f t="array" ref="DZ13">PRODUCT(1 + 預測IC!$C13:DZ13) - 1</f>
        <v>8.0795059635088418</v>
      </c>
      <c r="EA13" s="7" cm="1">
        <f t="array" ref="EA13">PRODUCT(1 + 預測IC!$C13:EA13) - 1</f>
        <v>8.6435128633738856</v>
      </c>
      <c r="EB13" s="7" cm="1">
        <f t="array" ref="EB13">PRODUCT(1 + 預測IC!$C13:EB13) - 1</f>
        <v>8.8496257680113661</v>
      </c>
      <c r="EC13" s="7" cm="1">
        <f t="array" ref="EC13">PRODUCT(1 + 預測IC!$C13:EC13) - 1</f>
        <v>8.6646891591780157</v>
      </c>
      <c r="ED13" s="7" cm="1">
        <f t="array" ref="ED13">PRODUCT(1 + 預測IC!$C13:ED13) - 1</f>
        <v>8.029892140637493</v>
      </c>
      <c r="EE13" s="7" cm="1">
        <f t="array" ref="EE13">PRODUCT(1 + 預測IC!$C13:EE13) - 1</f>
        <v>8.1017032028577489</v>
      </c>
      <c r="EF13" s="7" cm="1">
        <f t="array" ref="EF13">PRODUCT(1 + 預測IC!$C13:EF13) - 1</f>
        <v>8.7076692571695791</v>
      </c>
    </row>
    <row r="14" spans="1:137" x14ac:dyDescent="0.3">
      <c r="A14" s="1">
        <v>19</v>
      </c>
      <c r="B14" s="1" t="s">
        <v>158</v>
      </c>
      <c r="C14" s="7" cm="1">
        <f t="array" ref="C14">PRODUCT(1 + 預測IC!$C14:C14) - 1</f>
        <v>0.11994148975270602</v>
      </c>
      <c r="D14" s="7" cm="1">
        <f t="array" ref="D14">PRODUCT(1 + 預測IC!$C14:D14) - 1</f>
        <v>0.36891394479590733</v>
      </c>
      <c r="E14" s="7" cm="1">
        <f t="array" ref="E14">PRODUCT(1 + 預測IC!$C14:E14) - 1</f>
        <v>0.50411917698085751</v>
      </c>
      <c r="F14" s="7" cm="1">
        <f t="array" ref="F14">PRODUCT(1 + 預測IC!$C14:F14) - 1</f>
        <v>0.55607515975266053</v>
      </c>
      <c r="G14" s="7" cm="1">
        <f t="array" ref="G14">PRODUCT(1 + 預測IC!$C14:G14) - 1</f>
        <v>0.68857303284802573</v>
      </c>
      <c r="H14" s="7" cm="1">
        <f t="array" ref="H14">PRODUCT(1 + 預測IC!$C14:H14) - 1</f>
        <v>0.7891913958814778</v>
      </c>
      <c r="I14" s="7" cm="1">
        <f t="array" ref="I14">PRODUCT(1 + 預測IC!$C14:I14) - 1</f>
        <v>0.92716482315739945</v>
      </c>
      <c r="J14" s="7" cm="1">
        <f t="array" ref="J14">PRODUCT(1 + 預測IC!$C14:J14) - 1</f>
        <v>0.72463061783846627</v>
      </c>
      <c r="K14" s="7" cm="1">
        <f t="array" ref="K14">PRODUCT(1 + 預測IC!$C14:K14) - 1</f>
        <v>0.74610427221625364</v>
      </c>
      <c r="L14" s="7" cm="1">
        <f t="array" ref="L14">PRODUCT(1 + 預測IC!$C14:L14) - 1</f>
        <v>0.73129652649174348</v>
      </c>
      <c r="M14" s="7" cm="1">
        <f t="array" ref="M14">PRODUCT(1 + 預測IC!$C14:M14) - 1</f>
        <v>0.73994352173486644</v>
      </c>
      <c r="N14" s="7" cm="1">
        <f t="array" ref="N14">PRODUCT(1 + 預測IC!$C14:N14) - 1</f>
        <v>1.0963406338921127</v>
      </c>
      <c r="O14" s="7" cm="1">
        <f t="array" ref="O14">PRODUCT(1 + 預測IC!$C14:O14) - 1</f>
        <v>1.1794444151195469</v>
      </c>
      <c r="P14" s="7" cm="1">
        <f t="array" ref="P14">PRODUCT(1 + 預測IC!$C14:P14) - 1</f>
        <v>1.2835777555414398</v>
      </c>
      <c r="Q14" s="7" cm="1">
        <f t="array" ref="Q14">PRODUCT(1 + 預測IC!$C14:Q14) - 1</f>
        <v>1.4165686339085846</v>
      </c>
      <c r="R14" s="7" cm="1">
        <f t="array" ref="R14">PRODUCT(1 + 預測IC!$C14:R14) - 1</f>
        <v>1.3823698468431904</v>
      </c>
      <c r="S14" s="7" cm="1">
        <f t="array" ref="S14">PRODUCT(1 + 預測IC!$C14:S14) - 1</f>
        <v>1.4741723236292295</v>
      </c>
      <c r="T14" s="7" cm="1">
        <f t="array" ref="T14">PRODUCT(1 + 預測IC!$C14:T14) - 1</f>
        <v>1.3013724679573113</v>
      </c>
      <c r="U14" s="7" cm="1">
        <f t="array" ref="U14">PRODUCT(1 + 預測IC!$C14:U14) - 1</f>
        <v>1.3855546695357974</v>
      </c>
      <c r="V14" s="7" cm="1">
        <f t="array" ref="V14">PRODUCT(1 + 預測IC!$C14:V14) - 1</f>
        <v>1.2940077059485215</v>
      </c>
      <c r="W14" s="7" cm="1">
        <f t="array" ref="W14">PRODUCT(1 + 預測IC!$C14:W14) - 1</f>
        <v>1.4637829938882403</v>
      </c>
      <c r="X14" s="7" cm="1">
        <f t="array" ref="X14">PRODUCT(1 + 預測IC!$C14:X14) - 1</f>
        <v>1.5957966961089616</v>
      </c>
      <c r="Y14" s="7" cm="1">
        <f t="array" ref="Y14">PRODUCT(1 + 預測IC!$C14:Y14) - 1</f>
        <v>1.5522842299496804</v>
      </c>
      <c r="Z14" s="7" cm="1">
        <f t="array" ref="Z14">PRODUCT(1 + 預測IC!$C14:Z14) - 1</f>
        <v>1.6065258876777371</v>
      </c>
      <c r="AA14" s="7" cm="1">
        <f t="array" ref="AA14">PRODUCT(1 + 預測IC!$C14:AA14) - 1</f>
        <v>1.5996775021682579</v>
      </c>
      <c r="AB14" s="7" cm="1">
        <f t="array" ref="AB14">PRODUCT(1 + 預測IC!$C14:AB14) - 1</f>
        <v>1.5286127735876458</v>
      </c>
      <c r="AC14" s="7" cm="1">
        <f t="array" ref="AC14">PRODUCT(1 + 預測IC!$C14:AC14) - 1</f>
        <v>1.454544436413042</v>
      </c>
      <c r="AD14" s="7" cm="1">
        <f t="array" ref="AD14">PRODUCT(1 + 預測IC!$C14:AD14) - 1</f>
        <v>1.6260547268031682</v>
      </c>
      <c r="AE14" s="7" cm="1">
        <f t="array" ref="AE14">PRODUCT(1 + 預測IC!$C14:AE14) - 1</f>
        <v>1.6155008575443612</v>
      </c>
      <c r="AF14" s="7" cm="1">
        <f t="array" ref="AF14">PRODUCT(1 + 預測IC!$C14:AF14) - 1</f>
        <v>1.7212212397065514</v>
      </c>
      <c r="AG14" s="7" cm="1">
        <f t="array" ref="AG14">PRODUCT(1 + 預測IC!$C14:AG14) - 1</f>
        <v>1.7386103904315515</v>
      </c>
      <c r="AH14" s="7" cm="1">
        <f t="array" ref="AH14">PRODUCT(1 + 預測IC!$C14:AH14) - 1</f>
        <v>1.7529888561246887</v>
      </c>
      <c r="AI14" s="7" cm="1">
        <f t="array" ref="AI14">PRODUCT(1 + 預測IC!$C14:AI14) - 1</f>
        <v>1.9514048868550744</v>
      </c>
      <c r="AJ14" s="7" cm="1">
        <f t="array" ref="AJ14">PRODUCT(1 + 預測IC!$C14:AJ14) - 1</f>
        <v>1.9958501995422133</v>
      </c>
      <c r="AK14" s="7" cm="1">
        <f t="array" ref="AK14">PRODUCT(1 + 預測IC!$C14:AK14) - 1</f>
        <v>2.2262653250261346</v>
      </c>
      <c r="AL14" s="7" cm="1">
        <f t="array" ref="AL14">PRODUCT(1 + 預測IC!$C14:AL14) - 1</f>
        <v>2.3487640052470486</v>
      </c>
      <c r="AM14" s="7" cm="1">
        <f t="array" ref="AM14">PRODUCT(1 + 預測IC!$C14:AM14) - 1</f>
        <v>2.5538495676191402</v>
      </c>
      <c r="AN14" s="7" cm="1">
        <f t="array" ref="AN14">PRODUCT(1 + 預測IC!$C14:AN14) - 1</f>
        <v>2.9042401814876362</v>
      </c>
      <c r="AO14" s="7" cm="1">
        <f t="array" ref="AO14">PRODUCT(1 + 預測IC!$C14:AO14) - 1</f>
        <v>3.1420306840475405</v>
      </c>
      <c r="AP14" s="7" cm="1">
        <f t="array" ref="AP14">PRODUCT(1 + 預測IC!$C14:AP14) - 1</f>
        <v>2.8521857697045832</v>
      </c>
      <c r="AQ14" s="7" cm="1">
        <f t="array" ref="AQ14">PRODUCT(1 + 預測IC!$C14:AQ14) - 1</f>
        <v>2.8507682896214739</v>
      </c>
      <c r="AR14" s="7" cm="1">
        <f t="array" ref="AR14">PRODUCT(1 + 預測IC!$C14:AR14) - 1</f>
        <v>2.9957336956141676</v>
      </c>
      <c r="AS14" s="7" cm="1">
        <f t="array" ref="AS14">PRODUCT(1 + 預測IC!$C14:AS14) - 1</f>
        <v>3.3368773952167343</v>
      </c>
      <c r="AT14" s="7" cm="1">
        <f t="array" ref="AT14">PRODUCT(1 + 預測IC!$C14:AT14) - 1</f>
        <v>3.4865282006394827</v>
      </c>
      <c r="AU14" s="7" cm="1">
        <f t="array" ref="AU14">PRODUCT(1 + 預測IC!$C14:AU14) - 1</f>
        <v>3.6659518616828812</v>
      </c>
      <c r="AV14" s="7" cm="1">
        <f t="array" ref="AV14">PRODUCT(1 + 預測IC!$C14:AV14) - 1</f>
        <v>3.5787784176122868</v>
      </c>
      <c r="AW14" s="7" cm="1">
        <f t="array" ref="AW14">PRODUCT(1 + 預測IC!$C14:AW14) - 1</f>
        <v>3.4946986231487163</v>
      </c>
      <c r="AX14" s="7" cm="1">
        <f t="array" ref="AX14">PRODUCT(1 + 預測IC!$C14:AX14) - 1</f>
        <v>4.1102522214623241</v>
      </c>
      <c r="AY14" s="7" cm="1">
        <f t="array" ref="AY14">PRODUCT(1 + 預測IC!$C14:AY14) - 1</f>
        <v>4.1872541088889772</v>
      </c>
      <c r="AZ14" s="7" cm="1">
        <f t="array" ref="AZ14">PRODUCT(1 + 預測IC!$C14:AZ14) - 1</f>
        <v>3.910521524247363</v>
      </c>
      <c r="BA14" s="7" cm="1">
        <f t="array" ref="BA14">PRODUCT(1 + 預測IC!$C14:BA14) - 1</f>
        <v>4.3835880339962952</v>
      </c>
      <c r="BB14" s="7" cm="1">
        <f t="array" ref="BB14">PRODUCT(1 + 預測IC!$C14:BB14) - 1</f>
        <v>4.9321667192958119</v>
      </c>
      <c r="BC14" s="7" cm="1">
        <f t="array" ref="BC14">PRODUCT(1 + 預測IC!$C14:BC14) - 1</f>
        <v>4.8739069161430759</v>
      </c>
      <c r="BD14" s="7" cm="1">
        <f t="array" ref="BD14">PRODUCT(1 + 預測IC!$C14:BD14) - 1</f>
        <v>5.1284102725403855</v>
      </c>
      <c r="BE14" s="7" cm="1">
        <f t="array" ref="BE14">PRODUCT(1 + 預測IC!$C14:BE14) - 1</f>
        <v>5.3967553563872324</v>
      </c>
      <c r="BF14" s="7" cm="1">
        <f t="array" ref="BF14">PRODUCT(1 + 預測IC!$C14:BF14) - 1</f>
        <v>5.6575544084673242</v>
      </c>
      <c r="BG14" s="7" cm="1">
        <f t="array" ref="BG14">PRODUCT(1 + 預測IC!$C14:BG14) - 1</f>
        <v>5.9330058226498261</v>
      </c>
      <c r="BH14" s="7" cm="1">
        <f t="array" ref="BH14">PRODUCT(1 + 預測IC!$C14:BH14) - 1</f>
        <v>5.9700471781159301</v>
      </c>
      <c r="BI14" s="7" cm="1">
        <f t="array" ref="BI14">PRODUCT(1 + 預測IC!$C14:BI14) - 1</f>
        <v>6.3198404796089722</v>
      </c>
      <c r="BJ14" s="7" cm="1">
        <f t="array" ref="BJ14">PRODUCT(1 + 預測IC!$C14:BJ14) - 1</f>
        <v>6.1733175954908921</v>
      </c>
      <c r="BK14" s="7" cm="1">
        <f t="array" ref="BK14">PRODUCT(1 + 預測IC!$C14:BK14) - 1</f>
        <v>6.1331918383044046</v>
      </c>
      <c r="BL14" s="7" cm="1">
        <f t="array" ref="BL14">PRODUCT(1 + 預測IC!$C14:BL14) - 1</f>
        <v>6.5593127891829326</v>
      </c>
      <c r="BM14" s="7" cm="1">
        <f t="array" ref="BM14">PRODUCT(1 + 預測IC!$C14:BM14) - 1</f>
        <v>6.2094804551257878</v>
      </c>
      <c r="BN14" s="7" cm="1">
        <f t="array" ref="BN14">PRODUCT(1 + 預測IC!$C14:BN14) - 1</f>
        <v>6.3604220171578447</v>
      </c>
      <c r="BO14" s="7" cm="1">
        <f t="array" ref="BO14">PRODUCT(1 + 預測IC!$C14:BO14) - 1</f>
        <v>6.6077987769364457</v>
      </c>
      <c r="BP14" s="7" cm="1">
        <f t="array" ref="BP14">PRODUCT(1 + 預測IC!$C14:BP14) - 1</f>
        <v>6.7270413874342072</v>
      </c>
      <c r="BQ14" s="7" cm="1">
        <f t="array" ref="BQ14">PRODUCT(1 + 預測IC!$C14:BQ14) - 1</f>
        <v>6.849464952100119</v>
      </c>
      <c r="BR14" s="7" cm="1">
        <f t="array" ref="BR14">PRODUCT(1 + 預測IC!$C14:BR14) - 1</f>
        <v>6.6302338738516848</v>
      </c>
      <c r="BS14" s="7" cm="1">
        <f t="array" ref="BS14">PRODUCT(1 + 預測IC!$C14:BS14) - 1</f>
        <v>6.313625291747444</v>
      </c>
      <c r="BT14" s="7" cm="1">
        <f t="array" ref="BT14">PRODUCT(1 + 預測IC!$C14:BT14) - 1</f>
        <v>6.8549283650074413</v>
      </c>
      <c r="BU14" s="7" cm="1">
        <f t="array" ref="BU14">PRODUCT(1 + 預測IC!$C14:BU14) - 1</f>
        <v>6.7853742675861737</v>
      </c>
      <c r="BV14" s="7" cm="1">
        <f t="array" ref="BV14">PRODUCT(1 + 預測IC!$C14:BV14) - 1</f>
        <v>6.985670008434373</v>
      </c>
      <c r="BW14" s="7" cm="1">
        <f t="array" ref="BW14">PRODUCT(1 + 預測IC!$C14:BW14) - 1</f>
        <v>7.0855543557020848</v>
      </c>
      <c r="BX14" s="7" cm="1">
        <f t="array" ref="BX14">PRODUCT(1 + 預測IC!$C14:BX14) - 1</f>
        <v>7.5300234246423976</v>
      </c>
      <c r="BY14" s="7" cm="1">
        <f t="array" ref="BY14">PRODUCT(1 + 預測IC!$C14:BY14) - 1</f>
        <v>7.4737568877234324</v>
      </c>
      <c r="BZ14" s="7" cm="1">
        <f t="array" ref="BZ14">PRODUCT(1 + 預測IC!$C14:BZ14) - 1</f>
        <v>7.9824708902743069</v>
      </c>
      <c r="CA14" s="7" cm="1">
        <f t="array" ref="CA14">PRODUCT(1 + 預測IC!$C14:CA14) - 1</f>
        <v>7.7627123495740697</v>
      </c>
      <c r="CB14" s="7" cm="1">
        <f t="array" ref="CB14">PRODUCT(1 + 預測IC!$C14:CB14) - 1</f>
        <v>7.9566102883148258</v>
      </c>
      <c r="CC14" s="7" cm="1">
        <f t="array" ref="CC14">PRODUCT(1 + 預測IC!$C14:CC14) - 1</f>
        <v>9.0367430830659448</v>
      </c>
      <c r="CD14" s="7" cm="1">
        <f t="array" ref="CD14">PRODUCT(1 + 預測IC!$C14:CD14) - 1</f>
        <v>9.5177222883731147</v>
      </c>
      <c r="CE14" s="7" cm="1">
        <f t="array" ref="CE14">PRODUCT(1 + 預測IC!$C14:CE14) - 1</f>
        <v>11.31157559475716</v>
      </c>
      <c r="CF14" s="7" cm="1">
        <f t="array" ref="CF14">PRODUCT(1 + 預測IC!$C14:CF14) - 1</f>
        <v>11.061524823769645</v>
      </c>
      <c r="CG14" s="7" cm="1">
        <f t="array" ref="CG14">PRODUCT(1 + 預測IC!$C14:CG14) - 1</f>
        <v>12.737192381274593</v>
      </c>
      <c r="CH14" s="7" cm="1">
        <f t="array" ref="CH14">PRODUCT(1 + 預測IC!$C14:CH14) - 1</f>
        <v>13.625458366641524</v>
      </c>
      <c r="CI14" s="7" cm="1">
        <f t="array" ref="CI14">PRODUCT(1 + 預測IC!$C14:CI14) - 1</f>
        <v>12.076844963652613</v>
      </c>
      <c r="CJ14" s="7" cm="1">
        <f t="array" ref="CJ14">PRODUCT(1 + 預測IC!$C14:CJ14) - 1</f>
        <v>11.70195986910716</v>
      </c>
      <c r="CK14" s="7" cm="1">
        <f t="array" ref="CK14">PRODUCT(1 + 預測IC!$C14:CK14) - 1</f>
        <v>11.87999516710793</v>
      </c>
      <c r="CL14" s="7" cm="1">
        <f t="array" ref="CL14">PRODUCT(1 + 預測IC!$C14:CL14) - 1</f>
        <v>12.682031885003374</v>
      </c>
      <c r="CM14" s="7" cm="1">
        <f t="array" ref="CM14">PRODUCT(1 + 預測IC!$C14:CM14) - 1</f>
        <v>13.120404328458529</v>
      </c>
      <c r="CN14" s="7" cm="1">
        <f t="array" ref="CN14">PRODUCT(1 + 預測IC!$C14:CN14) - 1</f>
        <v>12.795258174079517</v>
      </c>
      <c r="CO14" s="7" cm="1">
        <f t="array" ref="CO14">PRODUCT(1 + 預測IC!$C14:CO14) - 1</f>
        <v>11.780096577701103</v>
      </c>
      <c r="CP14" s="7" cm="1">
        <f t="array" ref="CP14">PRODUCT(1 + 預測IC!$C14:CP14) - 1</f>
        <v>13.055669473393687</v>
      </c>
      <c r="CQ14" s="7" cm="1">
        <f t="array" ref="CQ14">PRODUCT(1 + 預測IC!$C14:CQ14) - 1</f>
        <v>12.602684764754944</v>
      </c>
      <c r="CR14" s="7" cm="1">
        <f t="array" ref="CR14">PRODUCT(1 + 預測IC!$C14:CR14) - 1</f>
        <v>13.454765853298419</v>
      </c>
      <c r="CS14" s="7" cm="1">
        <f t="array" ref="CS14">PRODUCT(1 + 預測IC!$C14:CS14) - 1</f>
        <v>13.39960482844819</v>
      </c>
      <c r="CT14" s="7" cm="1">
        <f t="array" ref="CT14">PRODUCT(1 + 預測IC!$C14:CT14) - 1</f>
        <v>13.674645582773577</v>
      </c>
      <c r="CU14" s="7" cm="1">
        <f t="array" ref="CU14">PRODUCT(1 + 預測IC!$C14:CU14) - 1</f>
        <v>13.030177665669683</v>
      </c>
      <c r="CV14" s="7" cm="1">
        <f t="array" ref="CV14">PRODUCT(1 + 預測IC!$C14:CV14) - 1</f>
        <v>13.349304090192117</v>
      </c>
      <c r="CW14" s="7" cm="1">
        <f t="array" ref="CW14">PRODUCT(1 + 預測IC!$C14:CW14) - 1</f>
        <v>13.300539666808998</v>
      </c>
      <c r="CX14" s="7" cm="1">
        <f t="array" ref="CX14">PRODUCT(1 + 預測IC!$C14:CX14) - 1</f>
        <v>13.819640803496981</v>
      </c>
      <c r="CY14" s="7" cm="1">
        <f t="array" ref="CY14">PRODUCT(1 + 預測IC!$C14:CY14) - 1</f>
        <v>13.393440970952772</v>
      </c>
      <c r="CZ14" s="7" cm="1">
        <f t="array" ref="CZ14">PRODUCT(1 + 預測IC!$C14:CZ14) - 1</f>
        <v>14.315536088425409</v>
      </c>
      <c r="DA14" s="7" cm="1">
        <f t="array" ref="DA14">PRODUCT(1 + 預測IC!$C14:DA14) - 1</f>
        <v>13.943302870529795</v>
      </c>
      <c r="DB14" s="7" cm="1">
        <f t="array" ref="DB14">PRODUCT(1 + 預測IC!$C14:DB14) - 1</f>
        <v>15.506483545401636</v>
      </c>
      <c r="DC14" s="7" cm="1">
        <f t="array" ref="DC14">PRODUCT(1 + 預測IC!$C14:DC14) - 1</f>
        <v>15.750016266785103</v>
      </c>
      <c r="DD14" s="7" cm="1">
        <f t="array" ref="DD14">PRODUCT(1 + 預測IC!$C14:DD14) - 1</f>
        <v>14.847190946963632</v>
      </c>
      <c r="DE14" s="7" cm="1">
        <f t="array" ref="DE14">PRODUCT(1 + 預測IC!$C14:DE14) - 1</f>
        <v>14.932516970963537</v>
      </c>
      <c r="DF14" s="7" cm="1">
        <f t="array" ref="DF14">PRODUCT(1 + 預測IC!$C14:DF14) - 1</f>
        <v>14.361230596091568</v>
      </c>
      <c r="DG14" s="7" cm="1">
        <f t="array" ref="DG14">PRODUCT(1 + 預測IC!$C14:DG14) - 1</f>
        <v>14.537063788380481</v>
      </c>
      <c r="DH14" s="7" cm="1">
        <f t="array" ref="DH14">PRODUCT(1 + 預測IC!$C14:DH14) - 1</f>
        <v>14.611250739202731</v>
      </c>
      <c r="DI14" s="7" cm="1">
        <f t="array" ref="DI14">PRODUCT(1 + 預測IC!$C14:DI14) - 1</f>
        <v>13.696465482956231</v>
      </c>
      <c r="DJ14" s="7" cm="1">
        <f t="array" ref="DJ14">PRODUCT(1 + 預測IC!$C14:DJ14) - 1</f>
        <v>13.930103892294733</v>
      </c>
      <c r="DK14" s="7" cm="1">
        <f t="array" ref="DK14">PRODUCT(1 + 預測IC!$C14:DK14) - 1</f>
        <v>14.214836845977844</v>
      </c>
      <c r="DL14" s="7" cm="1">
        <f t="array" ref="DL14">PRODUCT(1 + 預測IC!$C14:DL14) - 1</f>
        <v>13.984101387177319</v>
      </c>
      <c r="DM14" s="7" cm="1">
        <f t="array" ref="DM14">PRODUCT(1 + 預測IC!$C14:DM14) - 1</f>
        <v>14.066577913338882</v>
      </c>
      <c r="DN14" s="7" cm="1">
        <f t="array" ref="DN14">PRODUCT(1 + 預測IC!$C14:DN14) - 1</f>
        <v>14.709355731692249</v>
      </c>
      <c r="DO14" s="7" cm="1">
        <f t="array" ref="DO14">PRODUCT(1 + 預測IC!$C14:DO14) - 1</f>
        <v>15.359340460182903</v>
      </c>
      <c r="DP14" s="7" cm="1">
        <f t="array" ref="DP14">PRODUCT(1 + 預測IC!$C14:DP14) - 1</f>
        <v>16.071621503617529</v>
      </c>
      <c r="DQ14" s="7" cm="1">
        <f t="array" ref="DQ14">PRODUCT(1 + 預測IC!$C14:DQ14) - 1</f>
        <v>15.115281456358378</v>
      </c>
      <c r="DR14" s="7" cm="1">
        <f t="array" ref="DR14">PRODUCT(1 + 預測IC!$C14:DR14) - 1</f>
        <v>15.963308168382852</v>
      </c>
      <c r="DS14" s="7" cm="1">
        <f t="array" ref="DS14">PRODUCT(1 + 預測IC!$C14:DS14) - 1</f>
        <v>15.368830623577196</v>
      </c>
      <c r="DT14" s="7" cm="1">
        <f t="array" ref="DT14">PRODUCT(1 + 預測IC!$C14:DT14) - 1</f>
        <v>17.294992063355348</v>
      </c>
      <c r="DU14" s="7" cm="1">
        <f t="array" ref="DU14">PRODUCT(1 + 預測IC!$C14:DU14) - 1</f>
        <v>16.036383086308337</v>
      </c>
      <c r="DV14" s="7" cm="1">
        <f t="array" ref="DV14">PRODUCT(1 + 預測IC!$C14:DV14) - 1</f>
        <v>17.880782031908975</v>
      </c>
      <c r="DW14" s="7" cm="1">
        <f t="array" ref="DW14">PRODUCT(1 + 預測IC!$C14:DW14) - 1</f>
        <v>19.737600589637694</v>
      </c>
      <c r="DX14" s="7" cm="1">
        <f t="array" ref="DX14">PRODUCT(1 + 預測IC!$C14:DX14) - 1</f>
        <v>17.623785739991146</v>
      </c>
      <c r="DY14" s="7" cm="1">
        <f t="array" ref="DY14">PRODUCT(1 + 預測IC!$C14:DY14) - 1</f>
        <v>19.006763859588062</v>
      </c>
      <c r="DZ14" s="7" cm="1">
        <f t="array" ref="DZ14">PRODUCT(1 + 預測IC!$C14:DZ14) - 1</f>
        <v>19.707620801627971</v>
      </c>
      <c r="EA14" s="7" cm="1">
        <f t="array" ref="EA14">PRODUCT(1 + 預測IC!$C14:EA14) - 1</f>
        <v>21.934217734194114</v>
      </c>
      <c r="EB14" s="7" cm="1">
        <f t="array" ref="EB14">PRODUCT(1 + 預測IC!$C14:EB14) - 1</f>
        <v>22.69511391563816</v>
      </c>
      <c r="EC14" s="7" cm="1">
        <f t="array" ref="EC14">PRODUCT(1 + 預測IC!$C14:EC14) - 1</f>
        <v>22.238000581259289</v>
      </c>
      <c r="ED14" s="7" cm="1">
        <f t="array" ref="ED14">PRODUCT(1 + 預測IC!$C14:ED14) - 1</f>
        <v>19.853091339536206</v>
      </c>
      <c r="EE14" s="7" cm="1">
        <f t="array" ref="EE14">PRODUCT(1 + 預測IC!$C14:EE14) - 1</f>
        <v>20.246529884540106</v>
      </c>
      <c r="EF14" s="7" cm="1">
        <f t="array" ref="EF14">PRODUCT(1 + 預測IC!$C14:EF14) - 1</f>
        <v>21.732861063278175</v>
      </c>
    </row>
    <row r="15" spans="1:137" x14ac:dyDescent="0.3">
      <c r="A15" s="1">
        <v>10</v>
      </c>
      <c r="B15" s="1" t="s">
        <v>159</v>
      </c>
      <c r="C15" s="7" cm="1">
        <f t="array" ref="C15">PRODUCT(1 + 預測IC!$C15:C15) - 1</f>
        <v>0.22764465877785844</v>
      </c>
      <c r="D15" s="7" cm="1">
        <f t="array" ref="D15">PRODUCT(1 + 預測IC!$C15:D15) - 1</f>
        <v>0.68519913659866893</v>
      </c>
      <c r="E15" s="7" cm="1">
        <f t="array" ref="E15">PRODUCT(1 + 預測IC!$C15:E15) - 1</f>
        <v>0.78975846316144338</v>
      </c>
      <c r="F15" s="7" cm="1">
        <f t="array" ref="F15">PRODUCT(1 + 預測IC!$C15:F15) - 1</f>
        <v>0.95138029777555744</v>
      </c>
      <c r="G15" s="7" cm="1">
        <f t="array" ref="G15">PRODUCT(1 + 預測IC!$C15:G15) - 1</f>
        <v>1.1398945438303105</v>
      </c>
      <c r="H15" s="7" cm="1">
        <f t="array" ref="H15">PRODUCT(1 + 預測IC!$C15:H15) - 1</f>
        <v>1.3942075369622748</v>
      </c>
      <c r="I15" s="7" cm="1">
        <f t="array" ref="I15">PRODUCT(1 + 預測IC!$C15:I15) - 1</f>
        <v>1.6976224441003511</v>
      </c>
      <c r="J15" s="7" cm="1">
        <f t="array" ref="J15">PRODUCT(1 + 預測IC!$C15:J15) - 1</f>
        <v>1.5235591918616547</v>
      </c>
      <c r="K15" s="7" cm="1">
        <f t="array" ref="K15">PRODUCT(1 + 預測IC!$C15:K15) - 1</f>
        <v>1.5129340830688225</v>
      </c>
      <c r="L15" s="7" cm="1">
        <f t="array" ref="L15">PRODUCT(1 + 預測IC!$C15:L15) - 1</f>
        <v>1.5455195128254702</v>
      </c>
      <c r="M15" s="7" cm="1">
        <f t="array" ref="M15">PRODUCT(1 + 預測IC!$C15:M15) - 1</f>
        <v>1.61042442983786</v>
      </c>
      <c r="N15" s="7" cm="1">
        <f t="array" ref="N15">PRODUCT(1 + 預測IC!$C15:N15) - 1</f>
        <v>2.4726719921932951</v>
      </c>
      <c r="O15" s="7" cm="1">
        <f t="array" ref="O15">PRODUCT(1 + 預測IC!$C15:O15) - 1</f>
        <v>2.6327743019556964</v>
      </c>
      <c r="P15" s="7" cm="1">
        <f t="array" ref="P15">PRODUCT(1 + 預測IC!$C15:P15) - 1</f>
        <v>2.825250611570127</v>
      </c>
      <c r="Q15" s="7" cm="1">
        <f t="array" ref="Q15">PRODUCT(1 + 預測IC!$C15:Q15) - 1</f>
        <v>3.2092114789524704</v>
      </c>
      <c r="R15" s="7" cm="1">
        <f t="array" ref="R15">PRODUCT(1 + 預測IC!$C15:R15) - 1</f>
        <v>3.2797386537217967</v>
      </c>
      <c r="S15" s="7" cm="1">
        <f t="array" ref="S15">PRODUCT(1 + 預測IC!$C15:S15) - 1</f>
        <v>3.0955646639303671</v>
      </c>
      <c r="T15" s="7" cm="1">
        <f t="array" ref="T15">PRODUCT(1 + 預測IC!$C15:T15) - 1</f>
        <v>2.8219804326672238</v>
      </c>
      <c r="U15" s="7" cm="1">
        <f t="array" ref="U15">PRODUCT(1 + 預測IC!$C15:U15) - 1</f>
        <v>3.0008118264592563</v>
      </c>
      <c r="V15" s="7" cm="1">
        <f t="array" ref="V15">PRODUCT(1 + 預測IC!$C15:V15) - 1</f>
        <v>2.6580187409368006</v>
      </c>
      <c r="W15" s="7" cm="1">
        <f t="array" ref="W15">PRODUCT(1 + 預測IC!$C15:W15) - 1</f>
        <v>3.0331251294886892</v>
      </c>
      <c r="X15" s="7" cm="1">
        <f t="array" ref="X15">PRODUCT(1 + 預測IC!$C15:X15) - 1</f>
        <v>3.3494689955899268</v>
      </c>
      <c r="Y15" s="7" cm="1">
        <f t="array" ref="Y15">PRODUCT(1 + 預測IC!$C15:Y15) - 1</f>
        <v>3.2442613491729251</v>
      </c>
      <c r="Z15" s="7" cm="1">
        <f t="array" ref="Z15">PRODUCT(1 + 預測IC!$C15:Z15) - 1</f>
        <v>3.14385732568548</v>
      </c>
      <c r="AA15" s="7" cm="1">
        <f t="array" ref="AA15">PRODUCT(1 + 預測IC!$C15:AA15) - 1</f>
        <v>3.3369035765906689</v>
      </c>
      <c r="AB15" s="7" cm="1">
        <f t="array" ref="AB15">PRODUCT(1 + 預測IC!$C15:AB15) - 1</f>
        <v>3.2407700339371743</v>
      </c>
      <c r="AC15" s="7" cm="1">
        <f t="array" ref="AC15">PRODUCT(1 + 預測IC!$C15:AC15) - 1</f>
        <v>3.0709054407507548</v>
      </c>
      <c r="AD15" s="7" cm="1">
        <f t="array" ref="AD15">PRODUCT(1 + 預測IC!$C15:AD15) - 1</f>
        <v>3.4035528631651628</v>
      </c>
      <c r="AE15" s="7" cm="1">
        <f t="array" ref="AE15">PRODUCT(1 + 預測IC!$C15:AE15) - 1</f>
        <v>3.6117813610259217</v>
      </c>
      <c r="AF15" s="7" cm="1">
        <f t="array" ref="AF15">PRODUCT(1 + 預測IC!$C15:AF15) - 1</f>
        <v>3.915327023129719</v>
      </c>
      <c r="AG15" s="7" cm="1">
        <f t="array" ref="AG15">PRODUCT(1 + 預測IC!$C15:AG15) - 1</f>
        <v>3.8674256345793836</v>
      </c>
      <c r="AH15" s="7" cm="1">
        <f t="array" ref="AH15">PRODUCT(1 + 預測IC!$C15:AH15) - 1</f>
        <v>3.7038588462642528</v>
      </c>
      <c r="AI15" s="7" cm="1">
        <f t="array" ref="AI15">PRODUCT(1 + 預測IC!$C15:AI15) - 1</f>
        <v>4.1057100287615818</v>
      </c>
      <c r="AJ15" s="7" cm="1">
        <f t="array" ref="AJ15">PRODUCT(1 + 預測IC!$C15:AJ15) - 1</f>
        <v>4.1540348592183474</v>
      </c>
      <c r="AK15" s="7" cm="1">
        <f t="array" ref="AK15">PRODUCT(1 + 預測IC!$C15:AK15) - 1</f>
        <v>4.4723460918300395</v>
      </c>
      <c r="AL15" s="7" cm="1">
        <f t="array" ref="AL15">PRODUCT(1 + 預測IC!$C15:AL15) - 1</f>
        <v>4.7154915264425217</v>
      </c>
      <c r="AM15" s="7" cm="1">
        <f t="array" ref="AM15">PRODUCT(1 + 預測IC!$C15:AM15) - 1</f>
        <v>5.0305444061682758</v>
      </c>
      <c r="AN15" s="7" cm="1">
        <f t="array" ref="AN15">PRODUCT(1 + 預測IC!$C15:AN15) - 1</f>
        <v>5.6437826627786905</v>
      </c>
      <c r="AO15" s="7" cm="1">
        <f t="array" ref="AO15">PRODUCT(1 + 預測IC!$C15:AO15) - 1</f>
        <v>6.0647979241670109</v>
      </c>
      <c r="AP15" s="7" cm="1">
        <f t="array" ref="AP15">PRODUCT(1 + 預測IC!$C15:AP15) - 1</f>
        <v>5.511725316461507</v>
      </c>
      <c r="AQ15" s="7" cm="1">
        <f t="array" ref="AQ15">PRODUCT(1 + 預測IC!$C15:AQ15) - 1</f>
        <v>5.2684008508997744</v>
      </c>
      <c r="AR15" s="7" cm="1">
        <f t="array" ref="AR15">PRODUCT(1 + 預測IC!$C15:AR15) - 1</f>
        <v>5.8343989313960325</v>
      </c>
      <c r="AS15" s="7" cm="1">
        <f t="array" ref="AS15">PRODUCT(1 + 預測IC!$C15:AS15) - 1</f>
        <v>6.2022343398937583</v>
      </c>
      <c r="AT15" s="7" cm="1">
        <f t="array" ref="AT15">PRODUCT(1 + 預測IC!$C15:AT15) - 1</f>
        <v>6.6722160744201249</v>
      </c>
      <c r="AU15" s="7" cm="1">
        <f t="array" ref="AU15">PRODUCT(1 + 預測IC!$C15:AU15) - 1</f>
        <v>6.9786694042154886</v>
      </c>
      <c r="AV15" s="7" cm="1">
        <f t="array" ref="AV15">PRODUCT(1 + 預測IC!$C15:AV15) - 1</f>
        <v>6.6018622337679087</v>
      </c>
      <c r="AW15" s="7" cm="1">
        <f t="array" ref="AW15">PRODUCT(1 + 預測IC!$C15:AW15) - 1</f>
        <v>6.7209069345704062</v>
      </c>
      <c r="AX15" s="7" cm="1">
        <f t="array" ref="AX15">PRODUCT(1 + 預測IC!$C15:AX15) - 1</f>
        <v>7.6878268173826516</v>
      </c>
      <c r="AY15" s="7" cm="1">
        <f t="array" ref="AY15">PRODUCT(1 + 預測IC!$C15:AY15) - 1</f>
        <v>7.9312342183021247</v>
      </c>
      <c r="AZ15" s="7" cm="1">
        <f t="array" ref="AZ15">PRODUCT(1 + 預測IC!$C15:AZ15) - 1</f>
        <v>7.1156046144267169</v>
      </c>
      <c r="BA15" s="7" cm="1">
        <f t="array" ref="BA15">PRODUCT(1 + 預測IC!$C15:BA15) - 1</f>
        <v>8.3953376561689126</v>
      </c>
      <c r="BB15" s="7" cm="1">
        <f t="array" ref="BB15">PRODUCT(1 + 預測IC!$C15:BB15) - 1</f>
        <v>9.4174479822520496</v>
      </c>
      <c r="BC15" s="7" cm="1">
        <f t="array" ref="BC15">PRODUCT(1 + 預測IC!$C15:BC15) - 1</f>
        <v>10.064945958241074</v>
      </c>
      <c r="BD15" s="7" cm="1">
        <f t="array" ref="BD15">PRODUCT(1 + 預測IC!$C15:BD15) - 1</f>
        <v>10.651866917445822</v>
      </c>
      <c r="BE15" s="7" cm="1">
        <f t="array" ref="BE15">PRODUCT(1 + 預測IC!$C15:BE15) - 1</f>
        <v>11.216315055862591</v>
      </c>
      <c r="BF15" s="7" cm="1">
        <f t="array" ref="BF15">PRODUCT(1 + 預測IC!$C15:BF15) - 1</f>
        <v>11.798581029407382</v>
      </c>
      <c r="BG15" s="7" cm="1">
        <f t="array" ref="BG15">PRODUCT(1 + 預測IC!$C15:BG15) - 1</f>
        <v>11.830443592627562</v>
      </c>
      <c r="BH15" s="7" cm="1">
        <f t="array" ref="BH15">PRODUCT(1 + 預測IC!$C15:BH15) - 1</f>
        <v>12.272347748306373</v>
      </c>
      <c r="BI15" s="7" cm="1">
        <f t="array" ref="BI15">PRODUCT(1 + 預測IC!$C15:BI15) - 1</f>
        <v>13.182653738974796</v>
      </c>
      <c r="BJ15" s="7" cm="1">
        <f t="array" ref="BJ15">PRODUCT(1 + 預測IC!$C15:BJ15) - 1</f>
        <v>13.022885760433388</v>
      </c>
      <c r="BK15" s="7" cm="1">
        <f t="array" ref="BK15">PRODUCT(1 + 預測IC!$C15:BK15) - 1</f>
        <v>13.03443714437973</v>
      </c>
      <c r="BL15" s="7" cm="1">
        <f t="array" ref="BL15">PRODUCT(1 + 預測IC!$C15:BL15) - 1</f>
        <v>13.868137042852705</v>
      </c>
      <c r="BM15" s="7" cm="1">
        <f t="array" ref="BM15">PRODUCT(1 + 預測IC!$C15:BM15) - 1</f>
        <v>13.151210276058997</v>
      </c>
      <c r="BN15" s="7" cm="1">
        <f t="array" ref="BN15">PRODUCT(1 + 預測IC!$C15:BN15) - 1</f>
        <v>13.719276221374727</v>
      </c>
      <c r="BO15" s="7" cm="1">
        <f t="array" ref="BO15">PRODUCT(1 + 預測IC!$C15:BO15) - 1</f>
        <v>14.127507633810431</v>
      </c>
      <c r="BP15" s="7" cm="1">
        <f t="array" ref="BP15">PRODUCT(1 + 預測IC!$C15:BP15) - 1</f>
        <v>14.342079540847399</v>
      </c>
      <c r="BQ15" s="7" cm="1">
        <f t="array" ref="BQ15">PRODUCT(1 + 預測IC!$C15:BQ15) - 1</f>
        <v>14.538503131059612</v>
      </c>
      <c r="BR15" s="7" cm="1">
        <f t="array" ref="BR15">PRODUCT(1 + 預測IC!$C15:BR15) - 1</f>
        <v>13.759131761600587</v>
      </c>
      <c r="BS15" s="7" cm="1">
        <f t="array" ref="BS15">PRODUCT(1 + 預測IC!$C15:BS15) - 1</f>
        <v>13.510827413483966</v>
      </c>
      <c r="BT15" s="7" cm="1">
        <f t="array" ref="BT15">PRODUCT(1 + 預測IC!$C15:BT15) - 1</f>
        <v>14.803164688260734</v>
      </c>
      <c r="BU15" s="7" cm="1">
        <f t="array" ref="BU15">PRODUCT(1 + 預測IC!$C15:BU15) - 1</f>
        <v>15.110953757831361</v>
      </c>
      <c r="BV15" s="7" cm="1">
        <f t="array" ref="BV15">PRODUCT(1 + 預測IC!$C15:BV15) - 1</f>
        <v>16.060130078936798</v>
      </c>
      <c r="BW15" s="7" cm="1">
        <f t="array" ref="BW15">PRODUCT(1 + 預測IC!$C15:BW15) - 1</f>
        <v>15.446888517525998</v>
      </c>
      <c r="BX15" s="7" cm="1">
        <f t="array" ref="BX15">PRODUCT(1 + 預測IC!$C15:BX15) - 1</f>
        <v>15.917859891271657</v>
      </c>
      <c r="BY15" s="7" cm="1">
        <f t="array" ref="BY15">PRODUCT(1 + 預測IC!$C15:BY15) - 1</f>
        <v>14.874127895509627</v>
      </c>
      <c r="BZ15" s="7" cm="1">
        <f t="array" ref="BZ15">PRODUCT(1 + 預測IC!$C15:BZ15) - 1</f>
        <v>16.507678345331332</v>
      </c>
      <c r="CA15" s="7" cm="1">
        <f t="array" ref="CA15">PRODUCT(1 + 預測IC!$C15:CA15) - 1</f>
        <v>16.182175225437508</v>
      </c>
      <c r="CB15" s="7" cm="1">
        <f t="array" ref="CB15">PRODUCT(1 + 預測IC!$C15:CB15) - 1</f>
        <v>16.440885416699519</v>
      </c>
      <c r="CC15" s="7" cm="1">
        <f t="array" ref="CC15">PRODUCT(1 + 預測IC!$C15:CC15) - 1</f>
        <v>19.469524918613434</v>
      </c>
      <c r="CD15" s="7" cm="1">
        <f t="array" ref="CD15">PRODUCT(1 + 預測IC!$C15:CD15) - 1</f>
        <v>21.293247409229529</v>
      </c>
      <c r="CE15" s="7" cm="1">
        <f t="array" ref="CE15">PRODUCT(1 + 預測IC!$C15:CE15) - 1</f>
        <v>22.928861061419692</v>
      </c>
      <c r="CF15" s="7" cm="1">
        <f t="array" ref="CF15">PRODUCT(1 + 預測IC!$C15:CF15) - 1</f>
        <v>22.8420754629988</v>
      </c>
      <c r="CG15" s="7" cm="1">
        <f t="array" ref="CG15">PRODUCT(1 + 預測IC!$C15:CG15) - 1</f>
        <v>28.223976417809297</v>
      </c>
      <c r="CH15" s="7" cm="1">
        <f t="array" ref="CH15">PRODUCT(1 + 預測IC!$C15:CH15) - 1</f>
        <v>30.061754179703524</v>
      </c>
      <c r="CI15" s="7" cm="1">
        <f t="array" ref="CI15">PRODUCT(1 + 預測IC!$C15:CI15) - 1</f>
        <v>28.856607353673482</v>
      </c>
      <c r="CJ15" s="7" cm="1">
        <f t="array" ref="CJ15">PRODUCT(1 + 預測IC!$C15:CJ15) - 1</f>
        <v>26.257758192056993</v>
      </c>
      <c r="CK15" s="7" cm="1">
        <f t="array" ref="CK15">PRODUCT(1 + 預測IC!$C15:CK15) - 1</f>
        <v>27.802527466616979</v>
      </c>
      <c r="CL15" s="7" cm="1">
        <f t="array" ref="CL15">PRODUCT(1 + 預測IC!$C15:CL15) - 1</f>
        <v>28.707559764415365</v>
      </c>
      <c r="CM15" s="7" cm="1">
        <f t="array" ref="CM15">PRODUCT(1 + 預測IC!$C15:CM15) - 1</f>
        <v>30.924668107086433</v>
      </c>
      <c r="CN15" s="7" cm="1">
        <f t="array" ref="CN15">PRODUCT(1 + 預測IC!$C15:CN15) - 1</f>
        <v>29.563588110159149</v>
      </c>
      <c r="CO15" s="7" cm="1">
        <f t="array" ref="CO15">PRODUCT(1 + 預測IC!$C15:CO15) - 1</f>
        <v>25.607161432402691</v>
      </c>
      <c r="CP15" s="7" cm="1">
        <f t="array" ref="CP15">PRODUCT(1 + 預測IC!$C15:CP15) - 1</f>
        <v>29.000527994183525</v>
      </c>
      <c r="CQ15" s="7" cm="1">
        <f t="array" ref="CQ15">PRODUCT(1 + 預測IC!$C15:CQ15) - 1</f>
        <v>29.749441988385811</v>
      </c>
      <c r="CR15" s="7" cm="1">
        <f t="array" ref="CR15">PRODUCT(1 + 預測IC!$C15:CR15) - 1</f>
        <v>30.498938687188868</v>
      </c>
      <c r="CS15" s="7" cm="1">
        <f t="array" ref="CS15">PRODUCT(1 + 預測IC!$C15:CS15) - 1</f>
        <v>31.031616820526082</v>
      </c>
      <c r="CT15" s="7" cm="1">
        <f t="array" ref="CT15">PRODUCT(1 + 預測IC!$C15:CT15) - 1</f>
        <v>31.268477012690497</v>
      </c>
      <c r="CU15" s="7" cm="1">
        <f t="array" ref="CU15">PRODUCT(1 + 預測IC!$C15:CU15) - 1</f>
        <v>29.229797877538061</v>
      </c>
      <c r="CV15" s="7" cm="1">
        <f t="array" ref="CV15">PRODUCT(1 + 預測IC!$C15:CV15) - 1</f>
        <v>29.044131087010907</v>
      </c>
      <c r="CW15" s="7" cm="1">
        <f t="array" ref="CW15">PRODUCT(1 + 預測IC!$C15:CW15) - 1</f>
        <v>28.669040319972979</v>
      </c>
      <c r="CX15" s="7" cm="1">
        <f t="array" ref="CX15">PRODUCT(1 + 預測IC!$C15:CX15) - 1</f>
        <v>29.382272390914558</v>
      </c>
      <c r="CY15" s="7" cm="1">
        <f t="array" ref="CY15">PRODUCT(1 + 預測IC!$C15:CY15) - 1</f>
        <v>28.091916832840504</v>
      </c>
      <c r="CZ15" s="7" cm="1">
        <f t="array" ref="CZ15">PRODUCT(1 + 預測IC!$C15:CZ15) - 1</f>
        <v>30.415981278466766</v>
      </c>
      <c r="DA15" s="7" cm="1">
        <f t="array" ref="DA15">PRODUCT(1 + 預測IC!$C15:DA15) - 1</f>
        <v>29.587358526020854</v>
      </c>
      <c r="DB15" s="7" cm="1">
        <f t="array" ref="DB15">PRODUCT(1 + 預測IC!$C15:DB15) - 1</f>
        <v>32.555807883880121</v>
      </c>
      <c r="DC15" s="7" cm="1">
        <f t="array" ref="DC15">PRODUCT(1 + 預測IC!$C15:DC15) - 1</f>
        <v>35.130445171899034</v>
      </c>
      <c r="DD15" s="7" cm="1">
        <f t="array" ref="DD15">PRODUCT(1 + 預測IC!$C15:DD15) - 1</f>
        <v>32.690685951421997</v>
      </c>
      <c r="DE15" s="7" cm="1">
        <f t="array" ref="DE15">PRODUCT(1 + 預測IC!$C15:DE15) - 1</f>
        <v>33.531225264788851</v>
      </c>
      <c r="DF15" s="7" cm="1">
        <f t="array" ref="DF15">PRODUCT(1 + 預測IC!$C15:DF15) - 1</f>
        <v>32.067401514242661</v>
      </c>
      <c r="DG15" s="7" cm="1">
        <f t="array" ref="DG15">PRODUCT(1 + 預測IC!$C15:DG15) - 1</f>
        <v>32.602985341881471</v>
      </c>
      <c r="DH15" s="7" cm="1">
        <f t="array" ref="DH15">PRODUCT(1 + 預測IC!$C15:DH15) - 1</f>
        <v>31.974306718012464</v>
      </c>
      <c r="DI15" s="7" cm="1">
        <f t="array" ref="DI15">PRODUCT(1 + 預測IC!$C15:DI15) - 1</f>
        <v>31.587898986115214</v>
      </c>
      <c r="DJ15" s="7" cm="1">
        <f t="array" ref="DJ15">PRODUCT(1 + 預測IC!$C15:DJ15) - 1</f>
        <v>33.137995273335292</v>
      </c>
      <c r="DK15" s="7" cm="1">
        <f t="array" ref="DK15">PRODUCT(1 + 預測IC!$C15:DK15) - 1</f>
        <v>36.612384077128787</v>
      </c>
      <c r="DL15" s="7" cm="1">
        <f t="array" ref="DL15">PRODUCT(1 + 預測IC!$C15:DL15) - 1</f>
        <v>38.968254337643842</v>
      </c>
      <c r="DM15" s="7" cm="1">
        <f t="array" ref="DM15">PRODUCT(1 + 預測IC!$C15:DM15) - 1</f>
        <v>38.016668281027151</v>
      </c>
      <c r="DN15" s="7" cm="1">
        <f t="array" ref="DN15">PRODUCT(1 + 預測IC!$C15:DN15) - 1</f>
        <v>39.733265026531583</v>
      </c>
      <c r="DO15" s="7" cm="1">
        <f t="array" ref="DO15">PRODUCT(1 + 預測IC!$C15:DO15) - 1</f>
        <v>41.619081886807038</v>
      </c>
      <c r="DP15" s="7" cm="1">
        <f t="array" ref="DP15">PRODUCT(1 + 預測IC!$C15:DP15) - 1</f>
        <v>42.630671452371459</v>
      </c>
      <c r="DQ15" s="7" cm="1">
        <f t="array" ref="DQ15">PRODUCT(1 + 預測IC!$C15:DQ15) - 1</f>
        <v>39.448334051706986</v>
      </c>
      <c r="DR15" s="7" cm="1">
        <f t="array" ref="DR15">PRODUCT(1 + 預測IC!$C15:DR15) - 1</f>
        <v>42.280144837418646</v>
      </c>
      <c r="DS15" s="7" cm="1">
        <f t="array" ref="DS15">PRODUCT(1 + 預測IC!$C15:DS15) - 1</f>
        <v>38.98038399867486</v>
      </c>
      <c r="DT15" s="7" cm="1">
        <f t="array" ref="DT15">PRODUCT(1 + 預測IC!$C15:DT15) - 1</f>
        <v>40.351567196915063</v>
      </c>
      <c r="DU15" s="7" cm="1">
        <f t="array" ref="DU15">PRODUCT(1 + 預測IC!$C15:DU15) - 1</f>
        <v>35.508155162152519</v>
      </c>
      <c r="DV15" s="7" cm="1">
        <f t="array" ref="DV15">PRODUCT(1 + 預測IC!$C15:DV15) - 1</f>
        <v>40.610840024108967</v>
      </c>
      <c r="DW15" s="7" cm="1">
        <f t="array" ref="DW15">PRODUCT(1 + 預測IC!$C15:DW15) - 1</f>
        <v>41.67352375275118</v>
      </c>
      <c r="DX15" s="7" cm="1">
        <f t="array" ref="DX15">PRODUCT(1 + 預測IC!$C15:DX15) - 1</f>
        <v>36.611750363176697</v>
      </c>
      <c r="DY15" s="7" cm="1">
        <f t="array" ref="DY15">PRODUCT(1 + 預測IC!$C15:DY15) - 1</f>
        <v>42.013157824548749</v>
      </c>
      <c r="DZ15" s="7" cm="1">
        <f t="array" ref="DZ15">PRODUCT(1 + 預測IC!$C15:DZ15) - 1</f>
        <v>43.753283225009326</v>
      </c>
      <c r="EA15" s="7" cm="1">
        <f t="array" ref="EA15">PRODUCT(1 + 預測IC!$C15:EA15) - 1</f>
        <v>48.639309425162963</v>
      </c>
      <c r="EB15" s="7" cm="1">
        <f t="array" ref="EB15">PRODUCT(1 + 預測IC!$C15:EB15) - 1</f>
        <v>51.047737889692229</v>
      </c>
      <c r="EC15" s="7" cm="1">
        <f t="array" ref="EC15">PRODUCT(1 + 預測IC!$C15:EC15) - 1</f>
        <v>50.122041890051328</v>
      </c>
      <c r="ED15" s="7" cm="1">
        <f t="array" ref="ED15">PRODUCT(1 + 預測IC!$C15:ED15) - 1</f>
        <v>44.326997727993444</v>
      </c>
      <c r="EE15" s="7" cm="1">
        <f t="array" ref="EE15">PRODUCT(1 + 預測IC!$C15:EE15) - 1</f>
        <v>43.590641860225858</v>
      </c>
      <c r="EF15" s="7" cm="1">
        <f t="array" ref="EF15">PRODUCT(1 + 預測IC!$C15:EF15) - 1</f>
        <v>46.520291225959845</v>
      </c>
    </row>
    <row r="16" spans="1:137" x14ac:dyDescent="0.3">
      <c r="A16" s="1">
        <v>9</v>
      </c>
      <c r="B16" s="1" t="s">
        <v>161</v>
      </c>
      <c r="C16" s="7" cm="1">
        <f t="array" ref="C16">PRODUCT(1 + 預測IC!$C16:C16) - 1</f>
        <v>0.20787477708292901</v>
      </c>
      <c r="D16" s="7" cm="1">
        <f t="array" ref="D16">PRODUCT(1 + 預測IC!$C16:D16) - 1</f>
        <v>0.70092319602591591</v>
      </c>
      <c r="E16" s="7" cm="1">
        <f t="array" ref="E16">PRODUCT(1 + 預測IC!$C16:E16) - 1</f>
        <v>0.81149439092882147</v>
      </c>
      <c r="F16" s="7" cm="1">
        <f t="array" ref="F16">PRODUCT(1 + 預測IC!$C16:F16) - 1</f>
        <v>1.0365902997416234</v>
      </c>
      <c r="G16" s="7" cm="1">
        <f t="array" ref="G16">PRODUCT(1 + 預測IC!$C16:G16) - 1</f>
        <v>1.2586041256503289</v>
      </c>
      <c r="H16" s="7" cm="1">
        <f t="array" ref="H16">PRODUCT(1 + 預測IC!$C16:H16) - 1</f>
        <v>1.4231390461272166</v>
      </c>
      <c r="I16" s="7" cm="1">
        <f t="array" ref="I16">PRODUCT(1 + 預測IC!$C16:I16) - 1</f>
        <v>1.6940273381111748</v>
      </c>
      <c r="J16" s="7" cm="1">
        <f t="array" ref="J16">PRODUCT(1 + 預測IC!$C16:J16) - 1</f>
        <v>1.5089637345618612</v>
      </c>
      <c r="K16" s="7" cm="1">
        <f t="array" ref="K16">PRODUCT(1 + 預測IC!$C16:K16) - 1</f>
        <v>1.5539371717364143</v>
      </c>
      <c r="L16" s="7" cm="1">
        <f t="array" ref="L16">PRODUCT(1 + 預測IC!$C16:L16) - 1</f>
        <v>1.6331785659202134</v>
      </c>
      <c r="M16" s="7" cm="1">
        <f t="array" ref="M16">PRODUCT(1 + 預測IC!$C16:M16) - 1</f>
        <v>1.7393863875707964</v>
      </c>
      <c r="N16" s="7" cm="1">
        <f t="array" ref="N16">PRODUCT(1 + 預測IC!$C16:N16) - 1</f>
        <v>2.7447072484083614</v>
      </c>
      <c r="O16" s="7" cm="1">
        <f t="array" ref="O16">PRODUCT(1 + 預測IC!$C16:O16) - 1</f>
        <v>2.8032036656925365</v>
      </c>
      <c r="P16" s="7" cm="1">
        <f t="array" ref="P16">PRODUCT(1 + 預測IC!$C16:P16) - 1</f>
        <v>3.0389252221115388</v>
      </c>
      <c r="Q16" s="7" cm="1">
        <f t="array" ref="Q16">PRODUCT(1 + 預測IC!$C16:Q16) - 1</f>
        <v>3.4291587986620229</v>
      </c>
      <c r="R16" s="7" cm="1">
        <f t="array" ref="R16">PRODUCT(1 + 預測IC!$C16:R16) - 1</f>
        <v>3.5141222988892107</v>
      </c>
      <c r="S16" s="7" cm="1">
        <f t="array" ref="S16">PRODUCT(1 + 預測IC!$C16:S16) - 1</f>
        <v>3.3226549745451717</v>
      </c>
      <c r="T16" s="7" cm="1">
        <f t="array" ref="T16">PRODUCT(1 + 預測IC!$C16:T16) - 1</f>
        <v>3.0320901697706653</v>
      </c>
      <c r="U16" s="7" cm="1">
        <f t="array" ref="U16">PRODUCT(1 + 預測IC!$C16:U16) - 1</f>
        <v>3.2282574683432639</v>
      </c>
      <c r="V16" s="7" cm="1">
        <f t="array" ref="V16">PRODUCT(1 + 預測IC!$C16:V16) - 1</f>
        <v>2.7871818197874605</v>
      </c>
      <c r="W16" s="7" cm="1">
        <f t="array" ref="W16">PRODUCT(1 + 預測IC!$C16:W16) - 1</f>
        <v>3.1722082198121351</v>
      </c>
      <c r="X16" s="7" cm="1">
        <f t="array" ref="X16">PRODUCT(1 + 預測IC!$C16:X16) - 1</f>
        <v>3.4796093354762201</v>
      </c>
      <c r="Y16" s="7" cm="1">
        <f t="array" ref="Y16">PRODUCT(1 + 預測IC!$C16:Y16) - 1</f>
        <v>3.460403247458717</v>
      </c>
      <c r="Z16" s="7" cm="1">
        <f t="array" ref="Z16">PRODUCT(1 + 預測IC!$C16:Z16) - 1</f>
        <v>3.3708571067876756</v>
      </c>
      <c r="AA16" s="7" cm="1">
        <f t="array" ref="AA16">PRODUCT(1 + 預測IC!$C16:AA16) - 1</f>
        <v>3.5903857078317127</v>
      </c>
      <c r="AB16" s="7" cm="1">
        <f t="array" ref="AB16">PRODUCT(1 + 預測IC!$C16:AB16) - 1</f>
        <v>3.4421372989850658</v>
      </c>
      <c r="AC16" s="7" cm="1">
        <f t="array" ref="AC16">PRODUCT(1 + 預測IC!$C16:AC16) - 1</f>
        <v>3.2598296622892038</v>
      </c>
      <c r="AD16" s="7" cm="1">
        <f t="array" ref="AD16">PRODUCT(1 + 預測IC!$C16:AD16) - 1</f>
        <v>3.4861802078490109</v>
      </c>
      <c r="AE16" s="7" cm="1">
        <f t="array" ref="AE16">PRODUCT(1 + 預測IC!$C16:AE16) - 1</f>
        <v>3.7173754684412588</v>
      </c>
      <c r="AF16" s="7" cm="1">
        <f t="array" ref="AF16">PRODUCT(1 + 預測IC!$C16:AF16) - 1</f>
        <v>4.0178054999226589</v>
      </c>
      <c r="AG16" s="7" cm="1">
        <f t="array" ref="AG16">PRODUCT(1 + 預測IC!$C16:AG16) - 1</f>
        <v>3.9761481422930478</v>
      </c>
      <c r="AH16" s="7" cm="1">
        <f t="array" ref="AH16">PRODUCT(1 + 預測IC!$C16:AH16) - 1</f>
        <v>3.8180788038573699</v>
      </c>
      <c r="AI16" s="7" cm="1">
        <f t="array" ref="AI16">PRODUCT(1 + 預測IC!$C16:AI16) - 1</f>
        <v>4.0545406834211892</v>
      </c>
      <c r="AJ16" s="7" cm="1">
        <f t="array" ref="AJ16">PRODUCT(1 + 預測IC!$C16:AJ16) - 1</f>
        <v>4.0190276520705552</v>
      </c>
      <c r="AK16" s="7" cm="1">
        <f t="array" ref="AK16">PRODUCT(1 + 預測IC!$C16:AK16) - 1</f>
        <v>4.3423604442333517</v>
      </c>
      <c r="AL16" s="7" cm="1">
        <f t="array" ref="AL16">PRODUCT(1 + 預測IC!$C16:AL16) - 1</f>
        <v>4.6024742745228808</v>
      </c>
      <c r="AM16" s="7" cm="1">
        <f t="array" ref="AM16">PRODUCT(1 + 預測IC!$C16:AM16) - 1</f>
        <v>4.9726674578640324</v>
      </c>
      <c r="AN16" s="7" cm="1">
        <f t="array" ref="AN16">PRODUCT(1 + 預測IC!$C16:AN16) - 1</f>
        <v>5.6084949398274997</v>
      </c>
      <c r="AO16" s="7" cm="1">
        <f t="array" ref="AO16">PRODUCT(1 + 預測IC!$C16:AO16) - 1</f>
        <v>6.0144195727696061</v>
      </c>
      <c r="AP16" s="7" cm="1">
        <f t="array" ref="AP16">PRODUCT(1 + 預測IC!$C16:AP16) - 1</f>
        <v>5.4687091765196545</v>
      </c>
      <c r="AQ16" s="7" cm="1">
        <f t="array" ref="AQ16">PRODUCT(1 + 預測IC!$C16:AQ16) - 1</f>
        <v>5.2198825146489387</v>
      </c>
      <c r="AR16" s="7" cm="1">
        <f t="array" ref="AR16">PRODUCT(1 + 預測IC!$C16:AR16) - 1</f>
        <v>5.8623415132047683</v>
      </c>
      <c r="AS16" s="7" cm="1">
        <f t="array" ref="AS16">PRODUCT(1 + 預測IC!$C16:AS16) - 1</f>
        <v>6.3088618980653566</v>
      </c>
      <c r="AT16" s="7" cm="1">
        <f t="array" ref="AT16">PRODUCT(1 + 預測IC!$C16:AT16) - 1</f>
        <v>6.6709952137293174</v>
      </c>
      <c r="AU16" s="7" cm="1">
        <f t="array" ref="AU16">PRODUCT(1 + 預測IC!$C16:AU16) - 1</f>
        <v>6.991848689788049</v>
      </c>
      <c r="AV16" s="7" cm="1">
        <f t="array" ref="AV16">PRODUCT(1 + 預測IC!$C16:AV16) - 1</f>
        <v>6.9193425883650637</v>
      </c>
      <c r="AW16" s="7" cm="1">
        <f t="array" ref="AW16">PRODUCT(1 + 預測IC!$C16:AW16) - 1</f>
        <v>7.2301999892233599</v>
      </c>
      <c r="AX16" s="7" cm="1">
        <f t="array" ref="AX16">PRODUCT(1 + 預測IC!$C16:AX16) - 1</f>
        <v>8.0600491878892999</v>
      </c>
      <c r="AY16" s="7" cm="1">
        <f t="array" ref="AY16">PRODUCT(1 + 預測IC!$C16:AY16) - 1</f>
        <v>8.3663929150490013</v>
      </c>
      <c r="AZ16" s="7" cm="1">
        <f t="array" ref="AZ16">PRODUCT(1 + 預測IC!$C16:AZ16) - 1</f>
        <v>7.3837680513907351</v>
      </c>
      <c r="BA16" s="7" cm="1">
        <f t="array" ref="BA16">PRODUCT(1 + 預測IC!$C16:BA16) - 1</f>
        <v>8.7250929720343553</v>
      </c>
      <c r="BB16" s="7" cm="1">
        <f t="array" ref="BB16">PRODUCT(1 + 預測IC!$C16:BB16) - 1</f>
        <v>10.013422111606872</v>
      </c>
      <c r="BC16" s="7" cm="1">
        <f t="array" ref="BC16">PRODUCT(1 + 預測IC!$C16:BC16) - 1</f>
        <v>10.752659150600795</v>
      </c>
      <c r="BD16" s="7" cm="1">
        <f t="array" ref="BD16">PRODUCT(1 + 預測IC!$C16:BD16) - 1</f>
        <v>11.175011072393264</v>
      </c>
      <c r="BE16" s="7" cm="1">
        <f t="array" ref="BE16">PRODUCT(1 + 預測IC!$C16:BE16) - 1</f>
        <v>11.800940498388744</v>
      </c>
      <c r="BF16" s="7" cm="1">
        <f t="array" ref="BF16">PRODUCT(1 + 預測IC!$C16:BF16) - 1</f>
        <v>12.623632037682674</v>
      </c>
      <c r="BG16" s="7" cm="1">
        <f t="array" ref="BG16">PRODUCT(1 + 預測IC!$C16:BG16) - 1</f>
        <v>12.80718707464395</v>
      </c>
      <c r="BH16" s="7" cm="1">
        <f t="array" ref="BH16">PRODUCT(1 + 預測IC!$C16:BH16) - 1</f>
        <v>12.616984588395715</v>
      </c>
      <c r="BI16" s="7" cm="1">
        <f t="array" ref="BI16">PRODUCT(1 + 預測IC!$C16:BI16) - 1</f>
        <v>13.181324279992488</v>
      </c>
      <c r="BJ16" s="7" cm="1">
        <f t="array" ref="BJ16">PRODUCT(1 + 預測IC!$C16:BJ16) - 1</f>
        <v>12.890553012302931</v>
      </c>
      <c r="BK16" s="7" cm="1">
        <f t="array" ref="BK16">PRODUCT(1 + 預測IC!$C16:BK16) - 1</f>
        <v>12.931835601050414</v>
      </c>
      <c r="BL16" s="7" cm="1">
        <f t="array" ref="BL16">PRODUCT(1 + 預測IC!$C16:BL16) - 1</f>
        <v>13.915751508047608</v>
      </c>
      <c r="BM16" s="7" cm="1">
        <f t="array" ref="BM16">PRODUCT(1 + 預測IC!$C16:BM16) - 1</f>
        <v>13.326609371393799</v>
      </c>
      <c r="BN16" s="7" cm="1">
        <f t="array" ref="BN16">PRODUCT(1 + 預測IC!$C16:BN16) - 1</f>
        <v>14.012937521723076</v>
      </c>
      <c r="BO16" s="7" cm="1">
        <f t="array" ref="BO16">PRODUCT(1 + 預測IC!$C16:BO16) - 1</f>
        <v>14.341576128035369</v>
      </c>
      <c r="BP16" s="7" cm="1">
        <f t="array" ref="BP16">PRODUCT(1 + 預測IC!$C16:BP16) - 1</f>
        <v>14.661343415181191</v>
      </c>
      <c r="BQ16" s="7" cm="1">
        <f t="array" ref="BQ16">PRODUCT(1 + 預測IC!$C16:BQ16) - 1</f>
        <v>14.919411286550565</v>
      </c>
      <c r="BR16" s="7" cm="1">
        <f t="array" ref="BR16">PRODUCT(1 + 預測IC!$C16:BR16) - 1</f>
        <v>14.500780947357278</v>
      </c>
      <c r="BS16" s="7" cm="1">
        <f t="array" ref="BS16">PRODUCT(1 + 預測IC!$C16:BS16) - 1</f>
        <v>14.296301261647395</v>
      </c>
      <c r="BT16" s="7" cm="1">
        <f t="array" ref="BT16">PRODUCT(1 + 預測IC!$C16:BT16) - 1</f>
        <v>15.603877908086684</v>
      </c>
      <c r="BU16" s="7" cm="1">
        <f t="array" ref="BU16">PRODUCT(1 + 預測IC!$C16:BU16) - 1</f>
        <v>16.563002744942285</v>
      </c>
      <c r="BV16" s="7" cm="1">
        <f t="array" ref="BV16">PRODUCT(1 + 預測IC!$C16:BV16) - 1</f>
        <v>17.629274409995997</v>
      </c>
      <c r="BW16" s="7" cm="1">
        <f t="array" ref="BW16">PRODUCT(1 + 預測IC!$C16:BW16) - 1</f>
        <v>16.404568632999453</v>
      </c>
      <c r="BX16" s="7" cm="1">
        <f t="array" ref="BX16">PRODUCT(1 + 預測IC!$C16:BX16) - 1</f>
        <v>16.953843548441107</v>
      </c>
      <c r="BY16" s="7" cm="1">
        <f t="array" ref="BY16">PRODUCT(1 + 預測IC!$C16:BY16) - 1</f>
        <v>16.046030199676533</v>
      </c>
      <c r="BZ16" s="7" cm="1">
        <f t="array" ref="BZ16">PRODUCT(1 + 預測IC!$C16:BZ16) - 1</f>
        <v>17.947103181280195</v>
      </c>
      <c r="CA16" s="7" cm="1">
        <f t="array" ref="CA16">PRODUCT(1 + 預測IC!$C16:CA16) - 1</f>
        <v>17.384101572612764</v>
      </c>
      <c r="CB16" s="7" cm="1">
        <f t="array" ref="CB16">PRODUCT(1 + 預測IC!$C16:CB16) - 1</f>
        <v>17.357848248480732</v>
      </c>
      <c r="CC16" s="7" cm="1">
        <f t="array" ref="CC16">PRODUCT(1 + 預測IC!$C16:CC16) - 1</f>
        <v>18.172719228409687</v>
      </c>
      <c r="CD16" s="7" cm="1">
        <f t="array" ref="CD16">PRODUCT(1 + 預測IC!$C16:CD16) - 1</f>
        <v>19.855146244058751</v>
      </c>
      <c r="CE16" s="7" cm="1">
        <f t="array" ref="CE16">PRODUCT(1 + 預測IC!$C16:CE16) - 1</f>
        <v>21.807484710992153</v>
      </c>
      <c r="CF16" s="7" cm="1">
        <f t="array" ref="CF16">PRODUCT(1 + 預測IC!$C16:CF16) - 1</f>
        <v>21.472304479573534</v>
      </c>
      <c r="CG16" s="7" cm="1">
        <f t="array" ref="CG16">PRODUCT(1 + 預測IC!$C16:CG16) - 1</f>
        <v>24.75766640474891</v>
      </c>
      <c r="CH16" s="7" cm="1">
        <f t="array" ref="CH16">PRODUCT(1 + 預測IC!$C16:CH16) - 1</f>
        <v>25.831694502609956</v>
      </c>
      <c r="CI16" s="7" cm="1">
        <f t="array" ref="CI16">PRODUCT(1 + 預測IC!$C16:CI16) - 1</f>
        <v>24.793042779155041</v>
      </c>
      <c r="CJ16" s="7" cm="1">
        <f t="array" ref="CJ16">PRODUCT(1 + 預測IC!$C16:CJ16) - 1</f>
        <v>23.61885188622972</v>
      </c>
      <c r="CK16" s="7" cm="1">
        <f t="array" ref="CK16">PRODUCT(1 + 預測IC!$C16:CK16) - 1</f>
        <v>25.501528945673595</v>
      </c>
      <c r="CL16" s="7" cm="1">
        <f t="array" ref="CL16">PRODUCT(1 + 預測IC!$C16:CL16) - 1</f>
        <v>25.922338305186049</v>
      </c>
      <c r="CM16" s="7" cm="1">
        <f t="array" ref="CM16">PRODUCT(1 + 預測IC!$C16:CM16) - 1</f>
        <v>28.318120257541601</v>
      </c>
      <c r="CN16" s="7" cm="1">
        <f t="array" ref="CN16">PRODUCT(1 + 預測IC!$C16:CN16) - 1</f>
        <v>27.348936053223728</v>
      </c>
      <c r="CO16" s="7" cm="1">
        <f t="array" ref="CO16">PRODUCT(1 + 預測IC!$C16:CO16) - 1</f>
        <v>22.176617261188422</v>
      </c>
      <c r="CP16" s="7" cm="1">
        <f t="array" ref="CP16">PRODUCT(1 + 預測IC!$C16:CP16) - 1</f>
        <v>25.343277634064396</v>
      </c>
      <c r="CQ16" s="7" cm="1">
        <f t="array" ref="CQ16">PRODUCT(1 + 預測IC!$C16:CQ16) - 1</f>
        <v>25.878936041222101</v>
      </c>
      <c r="CR16" s="7" cm="1">
        <f t="array" ref="CR16">PRODUCT(1 + 預測IC!$C16:CR16) - 1</f>
        <v>26.557055486018399</v>
      </c>
      <c r="CS16" s="7" cm="1">
        <f t="array" ref="CS16">PRODUCT(1 + 預測IC!$C16:CS16) - 1</f>
        <v>27.15799244052495</v>
      </c>
      <c r="CT16" s="7" cm="1">
        <f t="array" ref="CT16">PRODUCT(1 + 預測IC!$C16:CT16) - 1</f>
        <v>27.300680434468696</v>
      </c>
      <c r="CU16" s="7" cm="1">
        <f t="array" ref="CU16">PRODUCT(1 + 預測IC!$C16:CU16) - 1</f>
        <v>25.505436552984378</v>
      </c>
      <c r="CV16" s="7" cm="1">
        <f t="array" ref="CV16">PRODUCT(1 + 預測IC!$C16:CV16) - 1</f>
        <v>25.061441756689124</v>
      </c>
      <c r="CW16" s="7" cm="1">
        <f t="array" ref="CW16">PRODUCT(1 + 預測IC!$C16:CW16) - 1</f>
        <v>24.821828703527995</v>
      </c>
      <c r="CX16" s="7" cm="1">
        <f t="array" ref="CX16">PRODUCT(1 + 預測IC!$C16:CX16) - 1</f>
        <v>25.137895239734643</v>
      </c>
      <c r="CY16" s="7" cm="1">
        <f t="array" ref="CY16">PRODUCT(1 + 預測IC!$C16:CY16) - 1</f>
        <v>23.854078955439387</v>
      </c>
      <c r="CZ16" s="7" cm="1">
        <f t="array" ref="CZ16">PRODUCT(1 + 預測IC!$C16:CZ16) - 1</f>
        <v>26.404934082506767</v>
      </c>
      <c r="DA16" s="7" cm="1">
        <f t="array" ref="DA16">PRODUCT(1 + 預測IC!$C16:DA16) - 1</f>
        <v>25.588135668491979</v>
      </c>
      <c r="DB16" s="7" cm="1">
        <f t="array" ref="DB16">PRODUCT(1 + 預測IC!$C16:DB16) - 1</f>
        <v>28.194232483716497</v>
      </c>
      <c r="DC16" s="7" cm="1">
        <f t="array" ref="DC16">PRODUCT(1 + 預測IC!$C16:DC16) - 1</f>
        <v>30.055092086865542</v>
      </c>
      <c r="DD16" s="7" cm="1">
        <f t="array" ref="DD16">PRODUCT(1 + 預測IC!$C16:DD16) - 1</f>
        <v>27.745490261857018</v>
      </c>
      <c r="DE16" s="7" cm="1">
        <f t="array" ref="DE16">PRODUCT(1 + 預測IC!$C16:DE16) - 1</f>
        <v>28.735610631567585</v>
      </c>
      <c r="DF16" s="7" cm="1">
        <f t="array" ref="DF16">PRODUCT(1 + 預測IC!$C16:DF16) - 1</f>
        <v>28.047337305662783</v>
      </c>
      <c r="DG16" s="7" cm="1">
        <f t="array" ref="DG16">PRODUCT(1 + 預測IC!$C16:DG16) - 1</f>
        <v>28.46715695057426</v>
      </c>
      <c r="DH16" s="7" cm="1">
        <f t="array" ref="DH16">PRODUCT(1 + 預測IC!$C16:DH16) - 1</f>
        <v>27.90346958571547</v>
      </c>
      <c r="DI16" s="7" cm="1">
        <f t="array" ref="DI16">PRODUCT(1 + 預測IC!$C16:DI16) - 1</f>
        <v>27.520977668118757</v>
      </c>
      <c r="DJ16" s="7" cm="1">
        <f t="array" ref="DJ16">PRODUCT(1 + 預測IC!$C16:DJ16) - 1</f>
        <v>28.997030130582313</v>
      </c>
      <c r="DK16" s="7" cm="1">
        <f t="array" ref="DK16">PRODUCT(1 + 預測IC!$C16:DK16) - 1</f>
        <v>33.004464071555617</v>
      </c>
      <c r="DL16" s="7" cm="1">
        <f t="array" ref="DL16">PRODUCT(1 + 預測IC!$C16:DL16) - 1</f>
        <v>35.218597969182028</v>
      </c>
      <c r="DM16" s="7" cm="1">
        <f t="array" ref="DM16">PRODUCT(1 + 預測IC!$C16:DM16) - 1</f>
        <v>34.120053493861221</v>
      </c>
      <c r="DN16" s="7" cm="1">
        <f t="array" ref="DN16">PRODUCT(1 + 預測IC!$C16:DN16) - 1</f>
        <v>35.610473174008241</v>
      </c>
      <c r="DO16" s="7" cm="1">
        <f t="array" ref="DO16">PRODUCT(1 + 預測IC!$C16:DO16) - 1</f>
        <v>37.55895239286199</v>
      </c>
      <c r="DP16" s="7" cm="1">
        <f t="array" ref="DP16">PRODUCT(1 + 預測IC!$C16:DP16) - 1</f>
        <v>38.324037143509983</v>
      </c>
      <c r="DQ16" s="7" cm="1">
        <f t="array" ref="DQ16">PRODUCT(1 + 預測IC!$C16:DQ16) - 1</f>
        <v>35.66728474773295</v>
      </c>
      <c r="DR16" s="7" cm="1">
        <f t="array" ref="DR16">PRODUCT(1 + 預測IC!$C16:DR16) - 1</f>
        <v>37.690998087549509</v>
      </c>
      <c r="DS16" s="7" cm="1">
        <f t="array" ref="DS16">PRODUCT(1 + 預測IC!$C16:DS16) - 1</f>
        <v>34.063637120327108</v>
      </c>
      <c r="DT16" s="7" cm="1">
        <f t="array" ref="DT16">PRODUCT(1 + 預測IC!$C16:DT16) - 1</f>
        <v>35.187759519450282</v>
      </c>
      <c r="DU16" s="7" cm="1">
        <f t="array" ref="DU16">PRODUCT(1 + 預測IC!$C16:DU16) - 1</f>
        <v>30.744914224166489</v>
      </c>
      <c r="DV16" s="7" cm="1">
        <f t="array" ref="DV16">PRODUCT(1 + 預測IC!$C16:DV16) - 1</f>
        <v>35.092498699750834</v>
      </c>
      <c r="DW16" s="7" cm="1">
        <f t="array" ref="DW16">PRODUCT(1 + 預測IC!$C16:DW16) - 1</f>
        <v>36.569321805733679</v>
      </c>
      <c r="DX16" s="7" cm="1">
        <f t="array" ref="DX16">PRODUCT(1 + 預測IC!$C16:DX16) - 1</f>
        <v>31.862460356511335</v>
      </c>
      <c r="DY16" s="7" cm="1">
        <f t="array" ref="DY16">PRODUCT(1 + 預測IC!$C16:DY16) - 1</f>
        <v>37.040668321818458</v>
      </c>
      <c r="DZ16" s="7" cm="1">
        <f t="array" ref="DZ16">PRODUCT(1 + 預測IC!$C16:DZ16) - 1</f>
        <v>39.277868487512023</v>
      </c>
      <c r="EA16" s="7" cm="1">
        <f t="array" ref="EA16">PRODUCT(1 + 預測IC!$C16:EA16) - 1</f>
        <v>44.908674979141502</v>
      </c>
      <c r="EB16" s="7" cm="1">
        <f t="array" ref="EB16">PRODUCT(1 + 預測IC!$C16:EB16) - 1</f>
        <v>48.517585243102729</v>
      </c>
      <c r="EC16" s="7" cm="1">
        <f t="array" ref="EC16">PRODUCT(1 + 預測IC!$C16:EC16) - 1</f>
        <v>47.282715873536084</v>
      </c>
      <c r="ED16" s="7" cm="1">
        <f t="array" ref="ED16">PRODUCT(1 + 預測IC!$C16:ED16) - 1</f>
        <v>41.710081846998023</v>
      </c>
      <c r="EE16" s="7" cm="1">
        <f t="array" ref="EE16">PRODUCT(1 + 預測IC!$C16:EE16) - 1</f>
        <v>40.723875667876449</v>
      </c>
      <c r="EF16" s="7" cm="1">
        <f t="array" ref="EF16">PRODUCT(1 + 預測IC!$C16:EF16) - 1</f>
        <v>42.496072314875697</v>
      </c>
    </row>
    <row r="17" spans="1:136" x14ac:dyDescent="0.3">
      <c r="A17" s="1">
        <v>8</v>
      </c>
      <c r="B17" s="1" t="s">
        <v>160</v>
      </c>
      <c r="C17" s="7" cm="1">
        <f t="array" ref="C17">PRODUCT(1 + 預測IC!$C17:C17) - 1</f>
        <v>0.20609218837920595</v>
      </c>
      <c r="D17" s="7" cm="1">
        <f t="array" ref="D17">PRODUCT(1 + 預測IC!$C17:D17) - 1</f>
        <v>0.73627643061078318</v>
      </c>
      <c r="E17" s="7" cm="1">
        <f t="array" ref="E17">PRODUCT(1 + 預測IC!$C17:E17) - 1</f>
        <v>0.87446641022380955</v>
      </c>
      <c r="F17" s="7" cm="1">
        <f t="array" ref="F17">PRODUCT(1 + 預測IC!$C17:F17) - 1</f>
        <v>1.1495852461202198</v>
      </c>
      <c r="G17" s="7" cm="1">
        <f t="array" ref="G17">PRODUCT(1 + 預測IC!$C17:G17) - 1</f>
        <v>1.4013693478039042</v>
      </c>
      <c r="H17" s="7" cm="1">
        <f t="array" ref="H17">PRODUCT(1 + 預測IC!$C17:H17) - 1</f>
        <v>1.6534988498872405</v>
      </c>
      <c r="I17" s="7" cm="1">
        <f t="array" ref="I17">PRODUCT(1 + 預測IC!$C17:I17) - 1</f>
        <v>1.8325825720381332</v>
      </c>
      <c r="J17" s="7" cm="1">
        <f t="array" ref="J17">PRODUCT(1 + 預測IC!$C17:J17) - 1</f>
        <v>1.5059884266008376</v>
      </c>
      <c r="K17" s="7" cm="1">
        <f t="array" ref="K17">PRODUCT(1 + 預測IC!$C17:K17) - 1</f>
        <v>1.6048371198340425</v>
      </c>
      <c r="L17" s="7" cm="1">
        <f t="array" ref="L17">PRODUCT(1 + 預測IC!$C17:L17) - 1</f>
        <v>1.6928179148531863</v>
      </c>
      <c r="M17" s="7" cm="1">
        <f t="array" ref="M17">PRODUCT(1 + 預測IC!$C17:M17) - 1</f>
        <v>1.8676680619045913</v>
      </c>
      <c r="N17" s="7" cm="1">
        <f t="array" ref="N17">PRODUCT(1 + 預測IC!$C17:N17) - 1</f>
        <v>3.0293833607620471</v>
      </c>
      <c r="O17" s="7" cm="1">
        <f t="array" ref="O17">PRODUCT(1 + 預測IC!$C17:O17) - 1</f>
        <v>3.1286353541744329</v>
      </c>
      <c r="P17" s="7" cm="1">
        <f t="array" ref="P17">PRODUCT(1 + 預測IC!$C17:P17) - 1</f>
        <v>3.4461918340841731</v>
      </c>
      <c r="Q17" s="7" cm="1">
        <f t="array" ref="Q17">PRODUCT(1 + 預測IC!$C17:Q17) - 1</f>
        <v>3.9194011571460159</v>
      </c>
      <c r="R17" s="7" cm="1">
        <f t="array" ref="R17">PRODUCT(1 + 預測IC!$C17:R17) - 1</f>
        <v>3.9291182105817954</v>
      </c>
      <c r="S17" s="7" cm="1">
        <f t="array" ref="S17">PRODUCT(1 + 預測IC!$C17:S17) - 1</f>
        <v>3.657365938530492</v>
      </c>
      <c r="T17" s="7" cm="1">
        <f t="array" ref="T17">PRODUCT(1 + 預測IC!$C17:T17) - 1</f>
        <v>3.325752101290643</v>
      </c>
      <c r="U17" s="7" cm="1">
        <f t="array" ref="U17">PRODUCT(1 + 預測IC!$C17:U17) - 1</f>
        <v>3.5519466906630619</v>
      </c>
      <c r="V17" s="7" cm="1">
        <f t="array" ref="V17">PRODUCT(1 + 預測IC!$C17:V17) - 1</f>
        <v>3.0222990067207496</v>
      </c>
      <c r="W17" s="7" cm="1">
        <f t="array" ref="W17">PRODUCT(1 + 預測IC!$C17:W17) - 1</f>
        <v>3.5033819928132983</v>
      </c>
      <c r="X17" s="7" cm="1">
        <f t="array" ref="X17">PRODUCT(1 + 預測IC!$C17:X17) - 1</f>
        <v>3.9545576725516458</v>
      </c>
      <c r="Y17" s="7" cm="1">
        <f t="array" ref="Y17">PRODUCT(1 + 預測IC!$C17:Y17) - 1</f>
        <v>3.9619919929117149</v>
      </c>
      <c r="Z17" s="7" cm="1">
        <f t="array" ref="Z17">PRODUCT(1 + 預測IC!$C17:Z17) - 1</f>
        <v>3.8547708395736509</v>
      </c>
      <c r="AA17" s="7" cm="1">
        <f t="array" ref="AA17">PRODUCT(1 + 預測IC!$C17:AA17) - 1</f>
        <v>4.1570007002301246</v>
      </c>
      <c r="AB17" s="7" cm="1">
        <f t="array" ref="AB17">PRODUCT(1 + 預測IC!$C17:AB17) - 1</f>
        <v>3.9273166390825631</v>
      </c>
      <c r="AC17" s="7" cm="1">
        <f t="array" ref="AC17">PRODUCT(1 + 預測IC!$C17:AC17) - 1</f>
        <v>3.7262869933848446</v>
      </c>
      <c r="AD17" s="7" cm="1">
        <f t="array" ref="AD17">PRODUCT(1 + 預測IC!$C17:AD17) - 1</f>
        <v>3.9615491555898403</v>
      </c>
      <c r="AE17" s="7" cm="1">
        <f t="array" ref="AE17">PRODUCT(1 + 預測IC!$C17:AE17) - 1</f>
        <v>4.2564810013103074</v>
      </c>
      <c r="AF17" s="7" cm="1">
        <f t="array" ref="AF17">PRODUCT(1 + 預測IC!$C17:AF17) - 1</f>
        <v>4.5793830028898848</v>
      </c>
      <c r="AG17" s="7" cm="1">
        <f t="array" ref="AG17">PRODUCT(1 + 預測IC!$C17:AG17) - 1</f>
        <v>4.571841513770436</v>
      </c>
      <c r="AH17" s="7" cm="1">
        <f t="array" ref="AH17">PRODUCT(1 + 預測IC!$C17:AH17) - 1</f>
        <v>4.3741937016607642</v>
      </c>
      <c r="AI17" s="7" cm="1">
        <f t="array" ref="AI17">PRODUCT(1 + 預測IC!$C17:AI17) - 1</f>
        <v>4.5385779727902209</v>
      </c>
      <c r="AJ17" s="7" cm="1">
        <f t="array" ref="AJ17">PRODUCT(1 + 預測IC!$C17:AJ17) - 1</f>
        <v>4.3026199818150062</v>
      </c>
      <c r="AK17" s="7" cm="1">
        <f t="array" ref="AK17">PRODUCT(1 + 預測IC!$C17:AK17) - 1</f>
        <v>4.6935093732311861</v>
      </c>
      <c r="AL17" s="7" cm="1">
        <f t="array" ref="AL17">PRODUCT(1 + 預測IC!$C17:AL17) - 1</f>
        <v>4.9823092528121746</v>
      </c>
      <c r="AM17" s="7" cm="1">
        <f t="array" ref="AM17">PRODUCT(1 + 預測IC!$C17:AM17) - 1</f>
        <v>5.4331921179104175</v>
      </c>
      <c r="AN17" s="7" cm="1">
        <f t="array" ref="AN17">PRODUCT(1 + 預測IC!$C17:AN17) - 1</f>
        <v>6.161989927580545</v>
      </c>
      <c r="AO17" s="7" cm="1">
        <f t="array" ref="AO17">PRODUCT(1 + 預測IC!$C17:AO17) - 1</f>
        <v>6.2524625807169487</v>
      </c>
      <c r="AP17" s="7" cm="1">
        <f t="array" ref="AP17">PRODUCT(1 + 預測IC!$C17:AP17) - 1</f>
        <v>5.6922619595096418</v>
      </c>
      <c r="AQ17" s="7" cm="1">
        <f t="array" ref="AQ17">PRODUCT(1 + 預測IC!$C17:AQ17) - 1</f>
        <v>5.2871985003595761</v>
      </c>
      <c r="AR17" s="7" cm="1">
        <f t="array" ref="AR17">PRODUCT(1 + 預測IC!$C17:AR17) - 1</f>
        <v>6.0035034887551726</v>
      </c>
      <c r="AS17" s="7" cm="1">
        <f t="array" ref="AS17">PRODUCT(1 + 預測IC!$C17:AS17) - 1</f>
        <v>6.397965751962742</v>
      </c>
      <c r="AT17" s="7" cm="1">
        <f t="array" ref="AT17">PRODUCT(1 + 預測IC!$C17:AT17) - 1</f>
        <v>6.784641194008004</v>
      </c>
      <c r="AU17" s="7" cm="1">
        <f t="array" ref="AU17">PRODUCT(1 + 預測IC!$C17:AU17) - 1</f>
        <v>7.2093362433919577</v>
      </c>
      <c r="AV17" s="7" cm="1">
        <f t="array" ref="AV17">PRODUCT(1 + 預測IC!$C17:AV17) - 1</f>
        <v>7.035249857107635</v>
      </c>
      <c r="AW17" s="7" cm="1">
        <f t="array" ref="AW17">PRODUCT(1 + 預測IC!$C17:AW17) - 1</f>
        <v>7.102921831792381</v>
      </c>
      <c r="AX17" s="7" cm="1">
        <f t="array" ref="AX17">PRODUCT(1 + 預測IC!$C17:AX17) - 1</f>
        <v>7.8827515544372204</v>
      </c>
      <c r="AY17" s="7" cm="1">
        <f t="array" ref="AY17">PRODUCT(1 + 預測IC!$C17:AY17) - 1</f>
        <v>8.1263494388440716</v>
      </c>
      <c r="AZ17" s="7" cm="1">
        <f t="array" ref="AZ17">PRODUCT(1 + 預測IC!$C17:AZ17) - 1</f>
        <v>6.9841174256897069</v>
      </c>
      <c r="BA17" s="7" cm="1">
        <f t="array" ref="BA17">PRODUCT(1 + 預測IC!$C17:BA17) - 1</f>
        <v>8.2839829192658136</v>
      </c>
      <c r="BB17" s="7" cm="1">
        <f t="array" ref="BB17">PRODUCT(1 + 預測IC!$C17:BB17) - 1</f>
        <v>9.7069509045202729</v>
      </c>
      <c r="BC17" s="7" cm="1">
        <f t="array" ref="BC17">PRODUCT(1 + 預測IC!$C17:BC17) - 1</f>
        <v>10.604870017985325</v>
      </c>
      <c r="BD17" s="7" cm="1">
        <f t="array" ref="BD17">PRODUCT(1 + 預測IC!$C17:BD17) - 1</f>
        <v>10.864314088511929</v>
      </c>
      <c r="BE17" s="7" cm="1">
        <f t="array" ref="BE17">PRODUCT(1 + 預測IC!$C17:BE17) - 1</f>
        <v>11.782021657246759</v>
      </c>
      <c r="BF17" s="7" cm="1">
        <f t="array" ref="BF17">PRODUCT(1 + 預測IC!$C17:BF17) - 1</f>
        <v>12.487557254328209</v>
      </c>
      <c r="BG17" s="7" cm="1">
        <f t="array" ref="BG17">PRODUCT(1 + 預測IC!$C17:BG17) - 1</f>
        <v>12.010175468617597</v>
      </c>
      <c r="BH17" s="7" cm="1">
        <f t="array" ref="BH17">PRODUCT(1 + 預測IC!$C17:BH17) - 1</f>
        <v>12.18606602654001</v>
      </c>
      <c r="BI17" s="7" cm="1">
        <f t="array" ref="BI17">PRODUCT(1 + 預測IC!$C17:BI17) - 1</f>
        <v>13.334729890811504</v>
      </c>
      <c r="BJ17" s="7" cm="1">
        <f t="array" ref="BJ17">PRODUCT(1 + 預測IC!$C17:BJ17) - 1</f>
        <v>13.193417202208401</v>
      </c>
      <c r="BK17" s="7" cm="1">
        <f t="array" ref="BK17">PRODUCT(1 + 預測IC!$C17:BK17) - 1</f>
        <v>12.997222276511263</v>
      </c>
      <c r="BL17" s="7" cm="1">
        <f t="array" ref="BL17">PRODUCT(1 + 預測IC!$C17:BL17) - 1</f>
        <v>14.081768585453652</v>
      </c>
      <c r="BM17" s="7" cm="1">
        <f t="array" ref="BM17">PRODUCT(1 + 預測IC!$C17:BM17) - 1</f>
        <v>13.643507303931729</v>
      </c>
      <c r="BN17" s="7" cm="1">
        <f t="array" ref="BN17">PRODUCT(1 + 預測IC!$C17:BN17) - 1</f>
        <v>14.330515145633479</v>
      </c>
      <c r="BO17" s="7" cm="1">
        <f t="array" ref="BO17">PRODUCT(1 + 預測IC!$C17:BO17) - 1</f>
        <v>14.869836772597122</v>
      </c>
      <c r="BP17" s="7" cm="1">
        <f t="array" ref="BP17">PRODUCT(1 + 預測IC!$C17:BP17) - 1</f>
        <v>15.441087094183459</v>
      </c>
      <c r="BQ17" s="7" cm="1">
        <f t="array" ref="BQ17">PRODUCT(1 + 預測IC!$C17:BQ17) - 1</f>
        <v>15.628129293261459</v>
      </c>
      <c r="BR17" s="7" cm="1">
        <f t="array" ref="BR17">PRODUCT(1 + 預測IC!$C17:BR17) - 1</f>
        <v>15.467728120475819</v>
      </c>
      <c r="BS17" s="7" cm="1">
        <f t="array" ref="BS17">PRODUCT(1 + 預測IC!$C17:BS17) - 1</f>
        <v>15.400153306811578</v>
      </c>
      <c r="BT17" s="7" cm="1">
        <f t="array" ref="BT17">PRODUCT(1 + 預測IC!$C17:BT17) - 1</f>
        <v>17.1945986945627</v>
      </c>
      <c r="BU17" s="7" cm="1">
        <f t="array" ref="BU17">PRODUCT(1 + 預測IC!$C17:BU17) - 1</f>
        <v>18.488740812752233</v>
      </c>
      <c r="BV17" s="7" cm="1">
        <f t="array" ref="BV17">PRODUCT(1 + 預測IC!$C17:BV17) - 1</f>
        <v>19.857051210686567</v>
      </c>
      <c r="BW17" s="7" cm="1">
        <f t="array" ref="BW17">PRODUCT(1 + 預測IC!$C17:BW17) - 1</f>
        <v>18.179482862040452</v>
      </c>
      <c r="BX17" s="7" cm="1">
        <f t="array" ref="BX17">PRODUCT(1 + 預測IC!$C17:BX17) - 1</f>
        <v>18.732292417996664</v>
      </c>
      <c r="BY17" s="7" cm="1">
        <f t="array" ref="BY17">PRODUCT(1 + 預測IC!$C17:BY17) - 1</f>
        <v>17.069936215856394</v>
      </c>
      <c r="BZ17" s="7" cm="1">
        <f t="array" ref="BZ17">PRODUCT(1 + 預測IC!$C17:BZ17) - 1</f>
        <v>19.248775801653196</v>
      </c>
      <c r="CA17" s="7" cm="1">
        <f t="array" ref="CA17">PRODUCT(1 + 預測IC!$C17:CA17) - 1</f>
        <v>18.683129644169373</v>
      </c>
      <c r="CB17" s="7" cm="1">
        <f t="array" ref="CB17">PRODUCT(1 + 預測IC!$C17:CB17) - 1</f>
        <v>18.476895569230798</v>
      </c>
      <c r="CC17" s="7" cm="1">
        <f t="array" ref="CC17">PRODUCT(1 + 預測IC!$C17:CC17) - 1</f>
        <v>19.290255645616195</v>
      </c>
      <c r="CD17" s="7" cm="1">
        <f t="array" ref="CD17">PRODUCT(1 + 預測IC!$C17:CD17) - 1</f>
        <v>20.590981663453569</v>
      </c>
      <c r="CE17" s="7" cm="1">
        <f t="array" ref="CE17">PRODUCT(1 + 預測IC!$C17:CE17) - 1</f>
        <v>22.657412926923371</v>
      </c>
      <c r="CF17" s="7" cm="1">
        <f t="array" ref="CF17">PRODUCT(1 + 預測IC!$C17:CF17) - 1</f>
        <v>20.407040582100461</v>
      </c>
      <c r="CG17" s="7" cm="1">
        <f t="array" ref="CG17">PRODUCT(1 + 預測IC!$C17:CG17) - 1</f>
        <v>24.196827605507664</v>
      </c>
      <c r="CH17" s="7" cm="1">
        <f t="array" ref="CH17">PRODUCT(1 + 預測IC!$C17:CH17) - 1</f>
        <v>25.674280042065057</v>
      </c>
      <c r="CI17" s="7" cm="1">
        <f t="array" ref="CI17">PRODUCT(1 + 預測IC!$C17:CI17) - 1</f>
        <v>25.286671144309722</v>
      </c>
      <c r="CJ17" s="7" cm="1">
        <f t="array" ref="CJ17">PRODUCT(1 + 預測IC!$C17:CJ17) - 1</f>
        <v>23.952824426349352</v>
      </c>
      <c r="CK17" s="7" cm="1">
        <f t="array" ref="CK17">PRODUCT(1 + 預測IC!$C17:CK17) - 1</f>
        <v>26.241960923006147</v>
      </c>
      <c r="CL17" s="7" cm="1">
        <f t="array" ref="CL17">PRODUCT(1 + 預測IC!$C17:CL17) - 1</f>
        <v>25.985168807161415</v>
      </c>
      <c r="CM17" s="7" cm="1">
        <f t="array" ref="CM17">PRODUCT(1 + 預測IC!$C17:CM17) - 1</f>
        <v>29.616545282916494</v>
      </c>
      <c r="CN17" s="7" cm="1">
        <f t="array" ref="CN17">PRODUCT(1 + 預測IC!$C17:CN17) - 1</f>
        <v>28.798530553815571</v>
      </c>
      <c r="CO17" s="7" cm="1">
        <f t="array" ref="CO17">PRODUCT(1 + 預測IC!$C17:CO17) - 1</f>
        <v>22.763177080991518</v>
      </c>
      <c r="CP17" s="7" cm="1">
        <f t="array" ref="CP17">PRODUCT(1 + 預測IC!$C17:CP17) - 1</f>
        <v>26.283912031118287</v>
      </c>
      <c r="CQ17" s="7" cm="1">
        <f t="array" ref="CQ17">PRODUCT(1 + 預測IC!$C17:CQ17) - 1</f>
        <v>24.867683189752455</v>
      </c>
      <c r="CR17" s="7" cm="1">
        <f t="array" ref="CR17">PRODUCT(1 + 預測IC!$C17:CR17) - 1</f>
        <v>25.462790699758841</v>
      </c>
      <c r="CS17" s="7" cm="1">
        <f t="array" ref="CS17">PRODUCT(1 + 預測IC!$C17:CS17) - 1</f>
        <v>25.768317265698727</v>
      </c>
      <c r="CT17" s="7" cm="1">
        <f t="array" ref="CT17">PRODUCT(1 + 預測IC!$C17:CT17) - 1</f>
        <v>27.086926083650859</v>
      </c>
      <c r="CU17" s="7" cm="1">
        <f t="array" ref="CU17">PRODUCT(1 + 預測IC!$C17:CU17) - 1</f>
        <v>24.997025448550449</v>
      </c>
      <c r="CV17" s="7" cm="1">
        <f t="array" ref="CV17">PRODUCT(1 + 預測IC!$C17:CV17) - 1</f>
        <v>25.097883714895143</v>
      </c>
      <c r="CW17" s="7" cm="1">
        <f t="array" ref="CW17">PRODUCT(1 + 預測IC!$C17:CW17) - 1</f>
        <v>24.582141149578106</v>
      </c>
      <c r="CX17" s="7" cm="1">
        <f t="array" ref="CX17">PRODUCT(1 + 預測IC!$C17:CX17) - 1</f>
        <v>24.85772206680868</v>
      </c>
      <c r="CY17" s="7" cm="1">
        <f t="array" ref="CY17">PRODUCT(1 + 預測IC!$C17:CY17) - 1</f>
        <v>23.580782453865833</v>
      </c>
      <c r="CZ17" s="7" cm="1">
        <f t="array" ref="CZ17">PRODUCT(1 + 預測IC!$C17:CZ17) - 1</f>
        <v>26.634916107143844</v>
      </c>
      <c r="DA17" s="7" cm="1">
        <f t="array" ref="DA17">PRODUCT(1 + 預測IC!$C17:DA17) - 1</f>
        <v>25.421857722217059</v>
      </c>
      <c r="DB17" s="7" cm="1">
        <f t="array" ref="DB17">PRODUCT(1 + 預測IC!$C17:DB17) - 1</f>
        <v>28.176907786292571</v>
      </c>
      <c r="DC17" s="7" cm="1">
        <f t="array" ref="DC17">PRODUCT(1 + 預測IC!$C17:DC17) - 1</f>
        <v>29.749202386553165</v>
      </c>
      <c r="DD17" s="7" cm="1">
        <f t="array" ref="DD17">PRODUCT(1 + 預測IC!$C17:DD17) - 1</f>
        <v>28.269225153999191</v>
      </c>
      <c r="DE17" s="7" cm="1">
        <f t="array" ref="DE17">PRODUCT(1 + 預測IC!$C17:DE17) - 1</f>
        <v>29.548975655062616</v>
      </c>
      <c r="DF17" s="7" cm="1">
        <f t="array" ref="DF17">PRODUCT(1 + 預測IC!$C17:DF17) - 1</f>
        <v>29.205868796380507</v>
      </c>
      <c r="DG17" s="7" cm="1">
        <f t="array" ref="DG17">PRODUCT(1 + 預測IC!$C17:DG17) - 1</f>
        <v>29.150311687756346</v>
      </c>
      <c r="DH17" s="7" cm="1">
        <f t="array" ref="DH17">PRODUCT(1 + 預測IC!$C17:DH17) - 1</f>
        <v>27.982691091352319</v>
      </c>
      <c r="DI17" s="7" cm="1">
        <f t="array" ref="DI17">PRODUCT(1 + 預測IC!$C17:DI17) - 1</f>
        <v>27.829278626245078</v>
      </c>
      <c r="DJ17" s="7" cm="1">
        <f t="array" ref="DJ17">PRODUCT(1 + 預測IC!$C17:DJ17) - 1</f>
        <v>29.476771006696861</v>
      </c>
      <c r="DK17" s="7" cm="1">
        <f t="array" ref="DK17">PRODUCT(1 + 預測IC!$C17:DK17) - 1</f>
        <v>34.23225749510776</v>
      </c>
      <c r="DL17" s="7" cm="1">
        <f t="array" ref="DL17">PRODUCT(1 + 預測IC!$C17:DL17) - 1</f>
        <v>36.822378077233758</v>
      </c>
      <c r="DM17" s="7" cm="1">
        <f t="array" ref="DM17">PRODUCT(1 + 預測IC!$C17:DM17) - 1</f>
        <v>34.84604873755351</v>
      </c>
      <c r="DN17" s="7" cm="1">
        <f t="array" ref="DN17">PRODUCT(1 + 預測IC!$C17:DN17) - 1</f>
        <v>36.118190333880335</v>
      </c>
      <c r="DO17" s="7" cm="1">
        <f t="array" ref="DO17">PRODUCT(1 + 預測IC!$C17:DO17) - 1</f>
        <v>38.102208471763596</v>
      </c>
      <c r="DP17" s="7" cm="1">
        <f t="array" ref="DP17">PRODUCT(1 + 預測IC!$C17:DP17) - 1</f>
        <v>37.456298318270555</v>
      </c>
      <c r="DQ17" s="7" cm="1">
        <f t="array" ref="DQ17">PRODUCT(1 + 預測IC!$C17:DQ17) - 1</f>
        <v>34.947242202857495</v>
      </c>
      <c r="DR17" s="7" cm="1">
        <f t="array" ref="DR17">PRODUCT(1 + 預測IC!$C17:DR17) - 1</f>
        <v>36.956147178678719</v>
      </c>
      <c r="DS17" s="7" cm="1">
        <f t="array" ref="DS17">PRODUCT(1 + 預測IC!$C17:DS17) - 1</f>
        <v>32.237584720439173</v>
      </c>
      <c r="DT17" s="7" cm="1">
        <f t="array" ref="DT17">PRODUCT(1 + 預測IC!$C17:DT17) - 1</f>
        <v>32.794087913868744</v>
      </c>
      <c r="DU17" s="7" cm="1">
        <f t="array" ref="DU17">PRODUCT(1 + 預測IC!$C17:DU17) - 1</f>
        <v>28.41799156376425</v>
      </c>
      <c r="DV17" s="7" cm="1">
        <f t="array" ref="DV17">PRODUCT(1 + 預測IC!$C17:DV17) - 1</f>
        <v>31.882413051895639</v>
      </c>
      <c r="DW17" s="7" cm="1">
        <f t="array" ref="DW17">PRODUCT(1 + 預測IC!$C17:DW17) - 1</f>
        <v>33.483177697498732</v>
      </c>
      <c r="DX17" s="7" cm="1">
        <f t="array" ref="DX17">PRODUCT(1 + 預測IC!$C17:DX17) - 1</f>
        <v>29.016261941871324</v>
      </c>
      <c r="DY17" s="7" cm="1">
        <f t="array" ref="DY17">PRODUCT(1 + 預測IC!$C17:DY17) - 1</f>
        <v>32.236493438138943</v>
      </c>
      <c r="DZ17" s="7" cm="1">
        <f t="array" ref="DZ17">PRODUCT(1 + 預測IC!$C17:DZ17) - 1</f>
        <v>33.872148664614841</v>
      </c>
      <c r="EA17" s="7" cm="1">
        <f t="array" ref="EA17">PRODUCT(1 + 預測IC!$C17:EA17) - 1</f>
        <v>39.611111288727265</v>
      </c>
      <c r="EB17" s="7" cm="1">
        <f t="array" ref="EB17">PRODUCT(1 + 預測IC!$C17:EB17) - 1</f>
        <v>43.14835326316183</v>
      </c>
      <c r="EC17" s="7" cm="1">
        <f t="array" ref="EC17">PRODUCT(1 + 預測IC!$C17:EC17) - 1</f>
        <v>42.249441618642997</v>
      </c>
      <c r="ED17" s="7" cm="1">
        <f t="array" ref="ED17">PRODUCT(1 + 預測IC!$C17:ED17) - 1</f>
        <v>36.69948107269466</v>
      </c>
      <c r="EE17" s="7" cm="1">
        <f t="array" ref="EE17">PRODUCT(1 + 預測IC!$C17:EE17) - 1</f>
        <v>35.741410576692971</v>
      </c>
      <c r="EF17" s="7" cm="1">
        <f t="array" ref="EF17">PRODUCT(1 + 預測IC!$C17:EF17) - 1</f>
        <v>37.494334714920299</v>
      </c>
    </row>
    <row r="18" spans="1:136" x14ac:dyDescent="0.3">
      <c r="A18" s="1">
        <v>7</v>
      </c>
      <c r="B18" s="1" t="s">
        <v>162</v>
      </c>
      <c r="C18" s="7" cm="1">
        <f t="array" ref="C18">PRODUCT(1 + 預測IC!$C18:C18) - 1</f>
        <v>0.18975112249235826</v>
      </c>
      <c r="D18" s="7" cm="1">
        <f t="array" ref="D18">PRODUCT(1 + 預測IC!$C18:D18) - 1</f>
        <v>0.66789268357562492</v>
      </c>
      <c r="E18" s="7" cm="1">
        <f t="array" ref="E18">PRODUCT(1 + 預測IC!$C18:E18) - 1</f>
        <v>0.75702378490219679</v>
      </c>
      <c r="F18" s="7" cm="1">
        <f t="array" ref="F18">PRODUCT(1 + 預測IC!$C18:F18) - 1</f>
        <v>1.1296721035422719</v>
      </c>
      <c r="G18" s="7" cm="1">
        <f t="array" ref="G18">PRODUCT(1 + 預測IC!$C18:G18) - 1</f>
        <v>1.4130421363673755</v>
      </c>
      <c r="H18" s="7" cm="1">
        <f t="array" ref="H18">PRODUCT(1 + 預測IC!$C18:H18) - 1</f>
        <v>1.7232135151196131</v>
      </c>
      <c r="I18" s="7" cm="1">
        <f t="array" ref="I18">PRODUCT(1 + 預測IC!$C18:I18) - 1</f>
        <v>1.8728613494446735</v>
      </c>
      <c r="J18" s="7" cm="1">
        <f t="array" ref="J18">PRODUCT(1 + 預測IC!$C18:J18) - 1</f>
        <v>1.5132888716534101</v>
      </c>
      <c r="K18" s="7" cm="1">
        <f t="array" ref="K18">PRODUCT(1 + 預測IC!$C18:K18) - 1</f>
        <v>1.5926747457148629</v>
      </c>
      <c r="L18" s="7" cm="1">
        <f t="array" ref="L18">PRODUCT(1 + 預測IC!$C18:L18) - 1</f>
        <v>1.7136819290559386</v>
      </c>
      <c r="M18" s="7" cm="1">
        <f t="array" ref="M18">PRODUCT(1 + 預測IC!$C18:M18) - 1</f>
        <v>1.9299693722693241</v>
      </c>
      <c r="N18" s="7" cm="1">
        <f t="array" ref="N18">PRODUCT(1 + 預測IC!$C18:N18) - 1</f>
        <v>3.283087880717086</v>
      </c>
      <c r="O18" s="7" cm="1">
        <f t="array" ref="O18">PRODUCT(1 + 預測IC!$C18:O18) - 1</f>
        <v>3.3872691742684466</v>
      </c>
      <c r="P18" s="7" cm="1">
        <f t="array" ref="P18">PRODUCT(1 + 預測IC!$C18:P18) - 1</f>
        <v>3.6266807557220222</v>
      </c>
      <c r="Q18" s="7" cm="1">
        <f t="array" ref="Q18">PRODUCT(1 + 預測IC!$C18:Q18) - 1</f>
        <v>4.1899160837742135</v>
      </c>
      <c r="R18" s="7" cm="1">
        <f t="array" ref="R18">PRODUCT(1 + 預測IC!$C18:R18) - 1</f>
        <v>4.2902174344229245</v>
      </c>
      <c r="S18" s="7" cm="1">
        <f t="array" ref="S18">PRODUCT(1 + 預測IC!$C18:S18) - 1</f>
        <v>3.9251218578643634</v>
      </c>
      <c r="T18" s="7" cm="1">
        <f t="array" ref="T18">PRODUCT(1 + 預測IC!$C18:T18) - 1</f>
        <v>3.657961380597075</v>
      </c>
      <c r="U18" s="7" cm="1">
        <f t="array" ref="U18">PRODUCT(1 + 預測IC!$C18:U18) - 1</f>
        <v>3.7890155817324045</v>
      </c>
      <c r="V18" s="7" cm="1">
        <f t="array" ref="V18">PRODUCT(1 + 預測IC!$C18:V18) - 1</f>
        <v>3.1604384804558547</v>
      </c>
      <c r="W18" s="7" cm="1">
        <f t="array" ref="W18">PRODUCT(1 + 預測IC!$C18:W18) - 1</f>
        <v>3.734234664198544</v>
      </c>
      <c r="X18" s="7" cm="1">
        <f t="array" ref="X18">PRODUCT(1 + 預測IC!$C18:X18) - 1</f>
        <v>4.3360638714036179</v>
      </c>
      <c r="Y18" s="7" cm="1">
        <f t="array" ref="Y18">PRODUCT(1 + 預測IC!$C18:Y18) - 1</f>
        <v>4.4652702959705239</v>
      </c>
      <c r="Z18" s="7" cm="1">
        <f t="array" ref="Z18">PRODUCT(1 + 預測IC!$C18:Z18) - 1</f>
        <v>4.3728759874595067</v>
      </c>
      <c r="AA18" s="7" cm="1">
        <f t="array" ref="AA18">PRODUCT(1 + 預測IC!$C18:AA18) - 1</f>
        <v>4.6673337586621777</v>
      </c>
      <c r="AB18" s="7" cm="1">
        <f t="array" ref="AB18">PRODUCT(1 + 預測IC!$C18:AB18) - 1</f>
        <v>4.3123047389922817</v>
      </c>
      <c r="AC18" s="7" cm="1">
        <f t="array" ref="AC18">PRODUCT(1 + 預測IC!$C18:AC18) - 1</f>
        <v>3.9153702671579369</v>
      </c>
      <c r="AD18" s="7" cm="1">
        <f t="array" ref="AD18">PRODUCT(1 + 預測IC!$C18:AD18) - 1</f>
        <v>4.271458314083965</v>
      </c>
      <c r="AE18" s="7" cm="1">
        <f t="array" ref="AE18">PRODUCT(1 + 預測IC!$C18:AE18) - 1</f>
        <v>4.6784232860838237</v>
      </c>
      <c r="AF18" s="7" cm="1">
        <f t="array" ref="AF18">PRODUCT(1 + 預測IC!$C18:AF18) - 1</f>
        <v>4.8594140459742068</v>
      </c>
      <c r="AG18" s="7" cm="1">
        <f t="array" ref="AG18">PRODUCT(1 + 預測IC!$C18:AG18) - 1</f>
        <v>4.8089154806718684</v>
      </c>
      <c r="AH18" s="7" cm="1">
        <f t="array" ref="AH18">PRODUCT(1 + 預測IC!$C18:AH18) - 1</f>
        <v>4.5754118273681597</v>
      </c>
      <c r="AI18" s="7" cm="1">
        <f t="array" ref="AI18">PRODUCT(1 + 預測IC!$C18:AI18) - 1</f>
        <v>4.8366507668096279</v>
      </c>
      <c r="AJ18" s="7" cm="1">
        <f t="array" ref="AJ18">PRODUCT(1 + 預測IC!$C18:AJ18) - 1</f>
        <v>4.5600299635387342</v>
      </c>
      <c r="AK18" s="7" cm="1">
        <f t="array" ref="AK18">PRODUCT(1 + 預測IC!$C18:AK18) - 1</f>
        <v>4.727678659136556</v>
      </c>
      <c r="AL18" s="7" cm="1">
        <f t="array" ref="AL18">PRODUCT(1 + 預測IC!$C18:AL18) - 1</f>
        <v>4.9999024166095252</v>
      </c>
      <c r="AM18" s="7" cm="1">
        <f t="array" ref="AM18">PRODUCT(1 + 預測IC!$C18:AM18) - 1</f>
        <v>5.3997563458686972</v>
      </c>
      <c r="AN18" s="7" cm="1">
        <f t="array" ref="AN18">PRODUCT(1 + 預測IC!$C18:AN18) - 1</f>
        <v>5.9072227211153727</v>
      </c>
      <c r="AO18" s="7" cm="1">
        <f t="array" ref="AO18">PRODUCT(1 + 預測IC!$C18:AO18) - 1</f>
        <v>5.9447119139638689</v>
      </c>
      <c r="AP18" s="7" cm="1">
        <f t="array" ref="AP18">PRODUCT(1 + 預測IC!$C18:AP18) - 1</f>
        <v>5.4010896439528437</v>
      </c>
      <c r="AQ18" s="7" cm="1">
        <f t="array" ref="AQ18">PRODUCT(1 + 預測IC!$C18:AQ18) - 1</f>
        <v>4.9131291693839341</v>
      </c>
      <c r="AR18" s="7" cm="1">
        <f t="array" ref="AR18">PRODUCT(1 + 預測IC!$C18:AR18) - 1</f>
        <v>5.6495828359743516</v>
      </c>
      <c r="AS18" s="7" cm="1">
        <f t="array" ref="AS18">PRODUCT(1 + 預測IC!$C18:AS18) - 1</f>
        <v>6.2202936000584925</v>
      </c>
      <c r="AT18" s="7" cm="1">
        <f t="array" ref="AT18">PRODUCT(1 + 預測IC!$C18:AT18) - 1</f>
        <v>6.5331175121763927</v>
      </c>
      <c r="AU18" s="7" cm="1">
        <f t="array" ref="AU18">PRODUCT(1 + 預測IC!$C18:AU18) - 1</f>
        <v>7.0195734274524337</v>
      </c>
      <c r="AV18" s="7" cm="1">
        <f t="array" ref="AV18">PRODUCT(1 + 預測IC!$C18:AV18) - 1</f>
        <v>6.7888602772425486</v>
      </c>
      <c r="AW18" s="7" cm="1">
        <f t="array" ref="AW18">PRODUCT(1 + 預測IC!$C18:AW18) - 1</f>
        <v>6.9799835974247282</v>
      </c>
      <c r="AX18" s="7" cm="1">
        <f t="array" ref="AX18">PRODUCT(1 + 預測IC!$C18:AX18) - 1</f>
        <v>7.8383175618310617</v>
      </c>
      <c r="AY18" s="7" cm="1">
        <f t="array" ref="AY18">PRODUCT(1 + 預測IC!$C18:AY18) - 1</f>
        <v>8.1457432243031853</v>
      </c>
      <c r="AZ18" s="7" cm="1">
        <f t="array" ref="AZ18">PRODUCT(1 + 預測IC!$C18:AZ18) - 1</f>
        <v>6.7884318646198585</v>
      </c>
      <c r="BA18" s="7" cm="1">
        <f t="array" ref="BA18">PRODUCT(1 + 預測IC!$C18:BA18) - 1</f>
        <v>8.1940862146912465</v>
      </c>
      <c r="BB18" s="7" cm="1">
        <f t="array" ref="BB18">PRODUCT(1 + 預測IC!$C18:BB18) - 1</f>
        <v>9.7318708567020753</v>
      </c>
      <c r="BC18" s="7" cm="1">
        <f t="array" ref="BC18">PRODUCT(1 + 預測IC!$C18:BC18) - 1</f>
        <v>10.624779388848115</v>
      </c>
      <c r="BD18" s="7" cm="1">
        <f t="array" ref="BD18">PRODUCT(1 + 預測IC!$C18:BD18) - 1</f>
        <v>10.345595528740608</v>
      </c>
      <c r="BE18" s="7" cm="1">
        <f t="array" ref="BE18">PRODUCT(1 + 預測IC!$C18:BE18) - 1</f>
        <v>11.121194203994792</v>
      </c>
      <c r="BF18" s="7" cm="1">
        <f t="array" ref="BF18">PRODUCT(1 + 預測IC!$C18:BF18) - 1</f>
        <v>11.677369579442235</v>
      </c>
      <c r="BG18" s="7" cm="1">
        <f t="array" ref="BG18">PRODUCT(1 + 預測IC!$C18:BG18) - 1</f>
        <v>11.464310648176387</v>
      </c>
      <c r="BH18" s="7" cm="1">
        <f t="array" ref="BH18">PRODUCT(1 + 預測IC!$C18:BH18) - 1</f>
        <v>11.719877042248221</v>
      </c>
      <c r="BI18" s="7" cm="1">
        <f t="array" ref="BI18">PRODUCT(1 + 預測IC!$C18:BI18) - 1</f>
        <v>13.106343727857853</v>
      </c>
      <c r="BJ18" s="7" cm="1">
        <f t="array" ref="BJ18">PRODUCT(1 + 預測IC!$C18:BJ18) - 1</f>
        <v>13.190362014618771</v>
      </c>
      <c r="BK18" s="7" cm="1">
        <f t="array" ref="BK18">PRODUCT(1 + 預測IC!$C18:BK18) - 1</f>
        <v>12.36727498182127</v>
      </c>
      <c r="BL18" s="7" cm="1">
        <f t="array" ref="BL18">PRODUCT(1 + 預測IC!$C18:BL18) - 1</f>
        <v>13.452131924660893</v>
      </c>
      <c r="BM18" s="7" cm="1">
        <f t="array" ref="BM18">PRODUCT(1 + 預測IC!$C18:BM18) - 1</f>
        <v>13.046296457733503</v>
      </c>
      <c r="BN18" s="7" cm="1">
        <f t="array" ref="BN18">PRODUCT(1 + 預測IC!$C18:BN18) - 1</f>
        <v>13.787581179765755</v>
      </c>
      <c r="BO18" s="7" cm="1">
        <f t="array" ref="BO18">PRODUCT(1 + 預測IC!$C18:BO18) - 1</f>
        <v>14.086696920502167</v>
      </c>
      <c r="BP18" s="7" cm="1">
        <f t="array" ref="BP18">PRODUCT(1 + 預測IC!$C18:BP18) - 1</f>
        <v>14.79362242997172</v>
      </c>
      <c r="BQ18" s="7" cm="1">
        <f t="array" ref="BQ18">PRODUCT(1 + 預測IC!$C18:BQ18) - 1</f>
        <v>14.823895394482445</v>
      </c>
      <c r="BR18" s="7" cm="1">
        <f t="array" ref="BR18">PRODUCT(1 + 預測IC!$C18:BR18) - 1</f>
        <v>14.732936580502711</v>
      </c>
      <c r="BS18" s="7" cm="1">
        <f t="array" ref="BS18">PRODUCT(1 + 預測IC!$C18:BS18) - 1</f>
        <v>14.670262459489235</v>
      </c>
      <c r="BT18" s="7" cm="1">
        <f t="array" ref="BT18">PRODUCT(1 + 預測IC!$C18:BT18) - 1</f>
        <v>16.47605254618961</v>
      </c>
      <c r="BU18" s="7" cm="1">
        <f t="array" ref="BU18">PRODUCT(1 + 預測IC!$C18:BU18) - 1</f>
        <v>17.885975797525635</v>
      </c>
      <c r="BV18" s="7" cm="1">
        <f t="array" ref="BV18">PRODUCT(1 + 預測IC!$C18:BV18) - 1</f>
        <v>19.414293082181455</v>
      </c>
      <c r="BW18" s="7" cm="1">
        <f t="array" ref="BW18">PRODUCT(1 + 預測IC!$C18:BW18) - 1</f>
        <v>17.672727550367743</v>
      </c>
      <c r="BX18" s="7" cm="1">
        <f t="array" ref="BX18">PRODUCT(1 + 預測IC!$C18:BX18) - 1</f>
        <v>18.027854347163832</v>
      </c>
      <c r="BY18" s="7" cm="1">
        <f t="array" ref="BY18">PRODUCT(1 + 預測IC!$C18:BY18) - 1</f>
        <v>15.686001633403578</v>
      </c>
      <c r="BZ18" s="7" cm="1">
        <f t="array" ref="BZ18">PRODUCT(1 + 預測IC!$C18:BZ18) - 1</f>
        <v>18.244299200311147</v>
      </c>
      <c r="CA18" s="7" cm="1">
        <f t="array" ref="CA18">PRODUCT(1 + 預測IC!$C18:CA18) - 1</f>
        <v>17.934917379529999</v>
      </c>
      <c r="CB18" s="7" cm="1">
        <f t="array" ref="CB18">PRODUCT(1 + 預測IC!$C18:CB18) - 1</f>
        <v>17.469547162666046</v>
      </c>
      <c r="CC18" s="7" cm="1">
        <f t="array" ref="CC18">PRODUCT(1 + 預測IC!$C18:CC18) - 1</f>
        <v>19.402581490783358</v>
      </c>
      <c r="CD18" s="7" cm="1">
        <f t="array" ref="CD18">PRODUCT(1 + 預測IC!$C18:CD18) - 1</f>
        <v>20.431805925059841</v>
      </c>
      <c r="CE18" s="7" cm="1">
        <f t="array" ref="CE18">PRODUCT(1 + 預測IC!$C18:CE18) - 1</f>
        <v>22.087635713783396</v>
      </c>
      <c r="CF18" s="7" cm="1">
        <f t="array" ref="CF18">PRODUCT(1 + 預測IC!$C18:CF18) - 1</f>
        <v>19.735961104047309</v>
      </c>
      <c r="CG18" s="7" cm="1">
        <f t="array" ref="CG18">PRODUCT(1 + 預測IC!$C18:CG18) - 1</f>
        <v>24.4355884813899</v>
      </c>
      <c r="CH18" s="7" cm="1">
        <f t="array" ref="CH18">PRODUCT(1 + 預測IC!$C18:CH18) - 1</f>
        <v>28.572866184524589</v>
      </c>
      <c r="CI18" s="7" cm="1">
        <f t="array" ref="CI18">PRODUCT(1 + 預測IC!$C18:CI18) - 1</f>
        <v>27.423394312214111</v>
      </c>
      <c r="CJ18" s="7" cm="1">
        <f t="array" ref="CJ18">PRODUCT(1 + 預測IC!$C18:CJ18) - 1</f>
        <v>25.652228076352429</v>
      </c>
      <c r="CK18" s="7" cm="1">
        <f t="array" ref="CK18">PRODUCT(1 + 預測IC!$C18:CK18) - 1</f>
        <v>28.068726542487902</v>
      </c>
      <c r="CL18" s="7" cm="1">
        <f t="array" ref="CL18">PRODUCT(1 + 預測IC!$C18:CL18) - 1</f>
        <v>27.16789993151518</v>
      </c>
      <c r="CM18" s="7" cm="1">
        <f t="array" ref="CM18">PRODUCT(1 + 預測IC!$C18:CM18) - 1</f>
        <v>31.21417772067776</v>
      </c>
      <c r="CN18" s="7" cm="1">
        <f t="array" ref="CN18">PRODUCT(1 + 預測IC!$C18:CN18) - 1</f>
        <v>30.083902899471941</v>
      </c>
      <c r="CO18" s="7" cm="1">
        <f t="array" ref="CO18">PRODUCT(1 + 預測IC!$C18:CO18) - 1</f>
        <v>22.885682944587373</v>
      </c>
      <c r="CP18" s="7" cm="1">
        <f t="array" ref="CP18">PRODUCT(1 + 預測IC!$C18:CP18) - 1</f>
        <v>26.775206271898679</v>
      </c>
      <c r="CQ18" s="7" cm="1">
        <f t="array" ref="CQ18">PRODUCT(1 + 預測IC!$C18:CQ18) - 1</f>
        <v>25.713008068859839</v>
      </c>
      <c r="CR18" s="7" cm="1">
        <f t="array" ref="CR18">PRODUCT(1 + 預測IC!$C18:CR18) - 1</f>
        <v>26.614393174700183</v>
      </c>
      <c r="CS18" s="7" cm="1">
        <f t="array" ref="CS18">PRODUCT(1 + 預測IC!$C18:CS18) - 1</f>
        <v>27.391146301413134</v>
      </c>
      <c r="CT18" s="7" cm="1">
        <f t="array" ref="CT18">PRODUCT(1 + 預測IC!$C18:CT18) - 1</f>
        <v>29.960983088751171</v>
      </c>
      <c r="CU18" s="7" cm="1">
        <f t="array" ref="CU18">PRODUCT(1 + 預測IC!$C18:CU18) - 1</f>
        <v>27.742669172018605</v>
      </c>
      <c r="CV18" s="7" cm="1">
        <f t="array" ref="CV18">PRODUCT(1 + 預測IC!$C18:CV18) - 1</f>
        <v>30.359409885490997</v>
      </c>
      <c r="CW18" s="7" cm="1">
        <f t="array" ref="CW18">PRODUCT(1 + 預測IC!$C18:CW18) - 1</f>
        <v>30.09423203224625</v>
      </c>
      <c r="CX18" s="7" cm="1">
        <f t="array" ref="CX18">PRODUCT(1 + 預測IC!$C18:CX18) - 1</f>
        <v>32.008398734509939</v>
      </c>
      <c r="CY18" s="7" cm="1">
        <f t="array" ref="CY18">PRODUCT(1 + 預測IC!$C18:CY18) - 1</f>
        <v>30.313172742658715</v>
      </c>
      <c r="CZ18" s="7" cm="1">
        <f t="array" ref="CZ18">PRODUCT(1 + 預測IC!$C18:CZ18) - 1</f>
        <v>34.472904268856475</v>
      </c>
      <c r="DA18" s="7" cm="1">
        <f t="array" ref="DA18">PRODUCT(1 + 預測IC!$C18:DA18) - 1</f>
        <v>32.792164737141377</v>
      </c>
      <c r="DB18" s="7" cm="1">
        <f t="array" ref="DB18">PRODUCT(1 + 預測IC!$C18:DB18) - 1</f>
        <v>36.783516755316292</v>
      </c>
      <c r="DC18" s="7" cm="1">
        <f t="array" ref="DC18">PRODUCT(1 + 預測IC!$C18:DC18) - 1</f>
        <v>38.642800822145382</v>
      </c>
      <c r="DD18" s="7" cm="1">
        <f t="array" ref="DD18">PRODUCT(1 + 預測IC!$C18:DD18) - 1</f>
        <v>35.825335435738893</v>
      </c>
      <c r="DE18" s="7" cm="1">
        <f t="array" ref="DE18">PRODUCT(1 + 預測IC!$C18:DE18) - 1</f>
        <v>37.636164038404395</v>
      </c>
      <c r="DF18" s="7" cm="1">
        <f t="array" ref="DF18">PRODUCT(1 + 預測IC!$C18:DF18) - 1</f>
        <v>36.282245489007224</v>
      </c>
      <c r="DG18" s="7" cm="1">
        <f t="array" ref="DG18">PRODUCT(1 + 預測IC!$C18:DG18) - 1</f>
        <v>35.998174420247651</v>
      </c>
      <c r="DH18" s="7" cm="1">
        <f t="array" ref="DH18">PRODUCT(1 + 預測IC!$C18:DH18) - 1</f>
        <v>34.960819115676919</v>
      </c>
      <c r="DI18" s="7" cm="1">
        <f t="array" ref="DI18">PRODUCT(1 + 預測IC!$C18:DI18) - 1</f>
        <v>34.381323848532041</v>
      </c>
      <c r="DJ18" s="7" cm="1">
        <f t="array" ref="DJ18">PRODUCT(1 + 預測IC!$C18:DJ18) - 1</f>
        <v>36.173547521114692</v>
      </c>
      <c r="DK18" s="7" cm="1">
        <f t="array" ref="DK18">PRODUCT(1 + 預測IC!$C18:DK18) - 1</f>
        <v>42.066061370579298</v>
      </c>
      <c r="DL18" s="7" cm="1">
        <f t="array" ref="DL18">PRODUCT(1 + 預測IC!$C18:DL18) - 1</f>
        <v>45.571541562436778</v>
      </c>
      <c r="DM18" s="7" cm="1">
        <f t="array" ref="DM18">PRODUCT(1 + 預測IC!$C18:DM18) - 1</f>
        <v>42.474154922094272</v>
      </c>
      <c r="DN18" s="7" cm="1">
        <f t="array" ref="DN18">PRODUCT(1 + 預測IC!$C18:DN18) - 1</f>
        <v>41.747177317749191</v>
      </c>
      <c r="DO18" s="7" cm="1">
        <f t="array" ref="DO18">PRODUCT(1 + 預測IC!$C18:DO18) - 1</f>
        <v>43.547043266763431</v>
      </c>
      <c r="DP18" s="7" cm="1">
        <f t="array" ref="DP18">PRODUCT(1 + 預測IC!$C18:DP18) - 1</f>
        <v>42.629165407225869</v>
      </c>
      <c r="DQ18" s="7" cm="1">
        <f t="array" ref="DQ18">PRODUCT(1 + 預測IC!$C18:DQ18) - 1</f>
        <v>39.926097386016423</v>
      </c>
      <c r="DR18" s="7" cm="1">
        <f t="array" ref="DR18">PRODUCT(1 + 預測IC!$C18:DR18) - 1</f>
        <v>43.070885506418968</v>
      </c>
      <c r="DS18" s="7" cm="1">
        <f t="array" ref="DS18">PRODUCT(1 + 預測IC!$C18:DS18) - 1</f>
        <v>36.560646225873256</v>
      </c>
      <c r="DT18" s="7" cm="1">
        <f t="array" ref="DT18">PRODUCT(1 + 預測IC!$C18:DT18) - 1</f>
        <v>36.282419872147578</v>
      </c>
      <c r="DU18" s="7" cm="1">
        <f t="array" ref="DU18">PRODUCT(1 + 預測IC!$C18:DU18) - 1</f>
        <v>30.365147211690939</v>
      </c>
      <c r="DV18" s="7" cm="1">
        <f t="array" ref="DV18">PRODUCT(1 + 預測IC!$C18:DV18) - 1</f>
        <v>33.678580458237533</v>
      </c>
      <c r="DW18" s="7" cm="1">
        <f t="array" ref="DW18">PRODUCT(1 + 預測IC!$C18:DW18) - 1</f>
        <v>36.519057633850188</v>
      </c>
      <c r="DX18" s="7" cm="1">
        <f t="array" ref="DX18">PRODUCT(1 + 預測IC!$C18:DX18) - 1</f>
        <v>30.756018669704339</v>
      </c>
      <c r="DY18" s="7" cm="1">
        <f t="array" ref="DY18">PRODUCT(1 + 預測IC!$C18:DY18) - 1</f>
        <v>35.101293622317279</v>
      </c>
      <c r="DZ18" s="7" cm="1">
        <f t="array" ref="DZ18">PRODUCT(1 + 預測IC!$C18:DZ18) - 1</f>
        <v>37.073520800441102</v>
      </c>
      <c r="EA18" s="7" cm="1">
        <f t="array" ref="EA18">PRODUCT(1 + 預測IC!$C18:EA18) - 1</f>
        <v>44.648085881335312</v>
      </c>
      <c r="EB18" s="7" cm="1">
        <f t="array" ref="EB18">PRODUCT(1 + 預測IC!$C18:EB18) - 1</f>
        <v>49.205881918229956</v>
      </c>
      <c r="EC18" s="7" cm="1">
        <f t="array" ref="EC18">PRODUCT(1 + 預測IC!$C18:EC18) - 1</f>
        <v>48.221820730566591</v>
      </c>
      <c r="ED18" s="7" cm="1">
        <f t="array" ref="ED18">PRODUCT(1 + 預測IC!$C18:ED18) - 1</f>
        <v>42.783891343622258</v>
      </c>
      <c r="EE18" s="7" cm="1">
        <f t="array" ref="EE18">PRODUCT(1 + 預測IC!$C18:EE18) - 1</f>
        <v>42.177320084901169</v>
      </c>
      <c r="EF18" s="7" cm="1">
        <f t="array" ref="EF18">PRODUCT(1 + 預測IC!$C18:EF18) - 1</f>
        <v>44.291066528439437</v>
      </c>
    </row>
    <row r="19" spans="1:136" x14ac:dyDescent="0.3">
      <c r="A19" s="1">
        <v>6</v>
      </c>
      <c r="B19" s="1" t="s">
        <v>167</v>
      </c>
      <c r="C19" s="7" cm="1">
        <f t="array" ref="C19">PRODUCT(1 + 預測IC!$C19:C19) - 1</f>
        <v>0.19660026531165431</v>
      </c>
      <c r="D19" s="7" cm="1">
        <f t="array" ref="D19">PRODUCT(1 + 預測IC!$C19:D19) - 1</f>
        <v>0.68423965512470697</v>
      </c>
      <c r="E19" s="7" cm="1">
        <f t="array" ref="E19">PRODUCT(1 + 預測IC!$C19:E19) - 1</f>
        <v>0.79508655298052222</v>
      </c>
      <c r="F19" s="7" cm="1">
        <f t="array" ref="F19">PRODUCT(1 + 預測IC!$C19:F19) - 1</f>
        <v>1.2190329795876549</v>
      </c>
      <c r="G19" s="7" cm="1">
        <f t="array" ref="G19">PRODUCT(1 + 預測IC!$C19:G19) - 1</f>
        <v>1.5582439956378096</v>
      </c>
      <c r="H19" s="7" cm="1">
        <f t="array" ref="H19">PRODUCT(1 + 預測IC!$C19:H19) - 1</f>
        <v>2.0126145273291756</v>
      </c>
      <c r="I19" s="7" cm="1">
        <f t="array" ref="I19">PRODUCT(1 + 預測IC!$C19:I19) - 1</f>
        <v>2.155603471762126</v>
      </c>
      <c r="J19" s="7" cm="1">
        <f t="array" ref="J19">PRODUCT(1 + 預測IC!$C19:J19) - 1</f>
        <v>1.6626024271686779</v>
      </c>
      <c r="K19" s="7" cm="1">
        <f t="array" ref="K19">PRODUCT(1 + 預測IC!$C19:K19) - 1</f>
        <v>1.8131485499577722</v>
      </c>
      <c r="L19" s="7" cm="1">
        <f t="array" ref="L19">PRODUCT(1 + 預測IC!$C19:L19) - 1</f>
        <v>1.8985637097419508</v>
      </c>
      <c r="M19" s="7" cm="1">
        <f t="array" ref="M19">PRODUCT(1 + 預測IC!$C19:M19) - 1</f>
        <v>2.1484498698476058</v>
      </c>
      <c r="N19" s="7" cm="1">
        <f t="array" ref="N19">PRODUCT(1 + 預測IC!$C19:N19) - 1</f>
        <v>3.8246028395173939</v>
      </c>
      <c r="O19" s="7" cm="1">
        <f t="array" ref="O19">PRODUCT(1 + 預測IC!$C19:O19) - 1</f>
        <v>3.7290880832191542</v>
      </c>
      <c r="P19" s="7" cm="1">
        <f t="array" ref="P19">PRODUCT(1 + 預測IC!$C19:P19) - 1</f>
        <v>3.836841363021164</v>
      </c>
      <c r="Q19" s="7" cm="1">
        <f t="array" ref="Q19">PRODUCT(1 + 預測IC!$C19:Q19) - 1</f>
        <v>4.6613404281891899</v>
      </c>
      <c r="R19" s="7" cm="1">
        <f t="array" ref="R19">PRODUCT(1 + 預測IC!$C19:R19) - 1</f>
        <v>4.8987919319545954</v>
      </c>
      <c r="S19" s="7" cm="1">
        <f t="array" ref="S19">PRODUCT(1 + 預測IC!$C19:S19) - 1</f>
        <v>4.4345790606455324</v>
      </c>
      <c r="T19" s="7" cm="1">
        <f t="array" ref="T19">PRODUCT(1 + 預測IC!$C19:T19) - 1</f>
        <v>4.2870069900942438</v>
      </c>
      <c r="U19" s="7" cm="1">
        <f t="array" ref="U19">PRODUCT(1 + 預測IC!$C19:U19) - 1</f>
        <v>4.5206232172016891</v>
      </c>
      <c r="V19" s="7" cm="1">
        <f t="array" ref="V19">PRODUCT(1 + 預測IC!$C19:V19) - 1</f>
        <v>3.8654110399811223</v>
      </c>
      <c r="W19" s="7" cm="1">
        <f t="array" ref="W19">PRODUCT(1 + 預測IC!$C19:W19) - 1</f>
        <v>4.578782426911066</v>
      </c>
      <c r="X19" s="7" cm="1">
        <f t="array" ref="X19">PRODUCT(1 + 預測IC!$C19:X19) - 1</f>
        <v>5.264543915047291</v>
      </c>
      <c r="Y19" s="7" cm="1">
        <f t="array" ref="Y19">PRODUCT(1 + 預測IC!$C19:Y19) - 1</f>
        <v>5.4152958126665123</v>
      </c>
      <c r="Z19" s="7" cm="1">
        <f t="array" ref="Z19">PRODUCT(1 + 預測IC!$C19:Z19) - 1</f>
        <v>5.2727271586483777</v>
      </c>
      <c r="AA19" s="7" cm="1">
        <f t="array" ref="AA19">PRODUCT(1 + 預測IC!$C19:AA19) - 1</f>
        <v>5.5694279172645578</v>
      </c>
      <c r="AB19" s="7" cm="1">
        <f t="array" ref="AB19">PRODUCT(1 + 預測IC!$C19:AB19) - 1</f>
        <v>5.2296652987034635</v>
      </c>
      <c r="AC19" s="7" cm="1">
        <f t="array" ref="AC19">PRODUCT(1 + 預測IC!$C19:AC19) - 1</f>
        <v>4.7094080898256561</v>
      </c>
      <c r="AD19" s="7" cm="1">
        <f t="array" ref="AD19">PRODUCT(1 + 預測IC!$C19:AD19) - 1</f>
        <v>4.8464193664472006</v>
      </c>
      <c r="AE19" s="7" cm="1">
        <f t="array" ref="AE19">PRODUCT(1 + 預測IC!$C19:AE19) - 1</f>
        <v>5.5201132026312001</v>
      </c>
      <c r="AF19" s="7" cm="1">
        <f t="array" ref="AF19">PRODUCT(1 + 預測IC!$C19:AF19) - 1</f>
        <v>5.7730001408647622</v>
      </c>
      <c r="AG19" s="7" cm="1">
        <f t="array" ref="AG19">PRODUCT(1 + 預測IC!$C19:AG19) - 1</f>
        <v>5.9037024173854933</v>
      </c>
      <c r="AH19" s="7" cm="1">
        <f t="array" ref="AH19">PRODUCT(1 + 預測IC!$C19:AH19) - 1</f>
        <v>5.513244782087618</v>
      </c>
      <c r="AI19" s="7" cm="1">
        <f t="array" ref="AI19">PRODUCT(1 + 預測IC!$C19:AI19) - 1</f>
        <v>6.0458336207034593</v>
      </c>
      <c r="AJ19" s="7" cm="1">
        <f t="array" ref="AJ19">PRODUCT(1 + 預測IC!$C19:AJ19) - 1</f>
        <v>5.6826540811267137</v>
      </c>
      <c r="AK19" s="7" cm="1">
        <f t="array" ref="AK19">PRODUCT(1 + 預測IC!$C19:AK19) - 1</f>
        <v>5.7331217687999612</v>
      </c>
      <c r="AL19" s="7" cm="1">
        <f t="array" ref="AL19">PRODUCT(1 + 預測IC!$C19:AL19) - 1</f>
        <v>6.2062646028102213</v>
      </c>
      <c r="AM19" s="7" cm="1">
        <f t="array" ref="AM19">PRODUCT(1 + 預測IC!$C19:AM19) - 1</f>
        <v>6.5168979298950687</v>
      </c>
      <c r="AN19" s="7" cm="1">
        <f t="array" ref="AN19">PRODUCT(1 + 預測IC!$C19:AN19) - 1</f>
        <v>7.1450722688173265</v>
      </c>
      <c r="AO19" s="7" cm="1">
        <f t="array" ref="AO19">PRODUCT(1 + 預測IC!$C19:AO19) - 1</f>
        <v>7.3559718353717081</v>
      </c>
      <c r="AP19" s="7" cm="1">
        <f t="array" ref="AP19">PRODUCT(1 + 預測IC!$C19:AP19) - 1</f>
        <v>6.6242049528643019</v>
      </c>
      <c r="AQ19" s="7" cm="1">
        <f t="array" ref="AQ19">PRODUCT(1 + 預測IC!$C19:AQ19) - 1</f>
        <v>5.9513478453785593</v>
      </c>
      <c r="AR19" s="7" cm="1">
        <f t="array" ref="AR19">PRODUCT(1 + 預測IC!$C19:AR19) - 1</f>
        <v>7.01850182138981</v>
      </c>
      <c r="AS19" s="7" cm="1">
        <f t="array" ref="AS19">PRODUCT(1 + 預測IC!$C19:AS19) - 1</f>
        <v>7.8026868853351665</v>
      </c>
      <c r="AT19" s="7" cm="1">
        <f t="array" ref="AT19">PRODUCT(1 + 預測IC!$C19:AT19) - 1</f>
        <v>8.2366151748369418</v>
      </c>
      <c r="AU19" s="7" cm="1">
        <f t="array" ref="AU19">PRODUCT(1 + 預測IC!$C19:AU19) - 1</f>
        <v>8.9425578101909782</v>
      </c>
      <c r="AV19" s="7" cm="1">
        <f t="array" ref="AV19">PRODUCT(1 + 預測IC!$C19:AV19) - 1</f>
        <v>8.4451016094927933</v>
      </c>
      <c r="AW19" s="7" cm="1">
        <f t="array" ref="AW19">PRODUCT(1 + 預測IC!$C19:AW19) - 1</f>
        <v>8.6562578893075184</v>
      </c>
      <c r="AX19" s="7" cm="1">
        <f t="array" ref="AX19">PRODUCT(1 + 預測IC!$C19:AX19) - 1</f>
        <v>9.4307517102655094</v>
      </c>
      <c r="AY19" s="7" cm="1">
        <f t="array" ref="AY19">PRODUCT(1 + 預測IC!$C19:AY19) - 1</f>
        <v>9.7387610686986363</v>
      </c>
      <c r="AZ19" s="7" cm="1">
        <f t="array" ref="AZ19">PRODUCT(1 + 預測IC!$C19:AZ19) - 1</f>
        <v>7.7319055005809787</v>
      </c>
      <c r="BA19" s="7" cm="1">
        <f t="array" ref="BA19">PRODUCT(1 + 預測IC!$C19:BA19) - 1</f>
        <v>9.3647436911024862</v>
      </c>
      <c r="BB19" s="7" cm="1">
        <f t="array" ref="BB19">PRODUCT(1 + 預測IC!$C19:BB19) - 1</f>
        <v>11.456368771501397</v>
      </c>
      <c r="BC19" s="7" cm="1">
        <f t="array" ref="BC19">PRODUCT(1 + 預測IC!$C19:BC19) - 1</f>
        <v>12.254267531267359</v>
      </c>
      <c r="BD19" s="7" cm="1">
        <f t="array" ref="BD19">PRODUCT(1 + 預測IC!$C19:BD19) - 1</f>
        <v>12.211398026047275</v>
      </c>
      <c r="BE19" s="7" cm="1">
        <f t="array" ref="BE19">PRODUCT(1 + 預測IC!$C19:BE19) - 1</f>
        <v>12.886921564798959</v>
      </c>
      <c r="BF19" s="7" cm="1">
        <f t="array" ref="BF19">PRODUCT(1 + 預測IC!$C19:BF19) - 1</f>
        <v>13.07538061836596</v>
      </c>
      <c r="BG19" s="7" cm="1">
        <f t="array" ref="BG19">PRODUCT(1 + 預測IC!$C19:BG19) - 1</f>
        <v>12.845337406634679</v>
      </c>
      <c r="BH19" s="7" cm="1">
        <f t="array" ref="BH19">PRODUCT(1 + 預測IC!$C19:BH19) - 1</f>
        <v>12.873280090145634</v>
      </c>
      <c r="BI19" s="7" cm="1">
        <f t="array" ref="BI19">PRODUCT(1 + 預測IC!$C19:BI19) - 1</f>
        <v>14.646266262891213</v>
      </c>
      <c r="BJ19" s="7" cm="1">
        <f t="array" ref="BJ19">PRODUCT(1 + 預測IC!$C19:BJ19) - 1</f>
        <v>14.985904482612691</v>
      </c>
      <c r="BK19" s="7" cm="1">
        <f t="array" ref="BK19">PRODUCT(1 + 預測IC!$C19:BK19) - 1</f>
        <v>14.158641501485628</v>
      </c>
      <c r="BL19" s="7" cm="1">
        <f t="array" ref="BL19">PRODUCT(1 + 預測IC!$C19:BL19) - 1</f>
        <v>15.370797087117317</v>
      </c>
      <c r="BM19" s="7" cm="1">
        <f t="array" ref="BM19">PRODUCT(1 + 預測IC!$C19:BM19) - 1</f>
        <v>14.850430594787175</v>
      </c>
      <c r="BN19" s="7" cm="1">
        <f t="array" ref="BN19">PRODUCT(1 + 預測IC!$C19:BN19) - 1</f>
        <v>15.916414015782856</v>
      </c>
      <c r="BO19" s="7" cm="1">
        <f t="array" ref="BO19">PRODUCT(1 + 預測IC!$C19:BO19) - 1</f>
        <v>16.351655776739591</v>
      </c>
      <c r="BP19" s="7" cm="1">
        <f t="array" ref="BP19">PRODUCT(1 + 預測IC!$C19:BP19) - 1</f>
        <v>17.441666101377105</v>
      </c>
      <c r="BQ19" s="7" cm="1">
        <f t="array" ref="BQ19">PRODUCT(1 + 預測IC!$C19:BQ19) - 1</f>
        <v>17.624866432239966</v>
      </c>
      <c r="BR19" s="7" cm="1">
        <f t="array" ref="BR19">PRODUCT(1 + 預測IC!$C19:BR19) - 1</f>
        <v>17.749191997830366</v>
      </c>
      <c r="BS19" s="7" cm="1">
        <f t="array" ref="BS19">PRODUCT(1 + 預測IC!$C19:BS19) - 1</f>
        <v>17.294405245545661</v>
      </c>
      <c r="BT19" s="7" cm="1">
        <f t="array" ref="BT19">PRODUCT(1 + 預測IC!$C19:BT19) - 1</f>
        <v>19.885490886799563</v>
      </c>
      <c r="BU19" s="7" cm="1">
        <f t="array" ref="BU19">PRODUCT(1 + 預測IC!$C19:BU19) - 1</f>
        <v>21.471456769929965</v>
      </c>
      <c r="BV19" s="7" cm="1">
        <f t="array" ref="BV19">PRODUCT(1 + 預測IC!$C19:BV19) - 1</f>
        <v>23.576026472784754</v>
      </c>
      <c r="BW19" s="7" cm="1">
        <f t="array" ref="BW19">PRODUCT(1 + 預測IC!$C19:BW19) - 1</f>
        <v>20.89805154516138</v>
      </c>
      <c r="BX19" s="7" cm="1">
        <f t="array" ref="BX19">PRODUCT(1 + 預測IC!$C19:BX19) - 1</f>
        <v>21.644507624104921</v>
      </c>
      <c r="BY19" s="7" cm="1">
        <f t="array" ref="BY19">PRODUCT(1 + 預測IC!$C19:BY19) - 1</f>
        <v>19.206832343937659</v>
      </c>
      <c r="BZ19" s="7" cm="1">
        <f t="array" ref="BZ19">PRODUCT(1 + 預測IC!$C19:BZ19) - 1</f>
        <v>20.595084661889178</v>
      </c>
      <c r="CA19" s="7" cm="1">
        <f t="array" ref="CA19">PRODUCT(1 + 預測IC!$C19:CA19) - 1</f>
        <v>19.961727709803942</v>
      </c>
      <c r="CB19" s="7" cm="1">
        <f t="array" ref="CB19">PRODUCT(1 + 預測IC!$C19:CB19) - 1</f>
        <v>18.954701816673307</v>
      </c>
      <c r="CC19" s="7" cm="1">
        <f t="array" ref="CC19">PRODUCT(1 + 預測IC!$C19:CC19) - 1</f>
        <v>19.403806983179827</v>
      </c>
      <c r="CD19" s="7" cm="1">
        <f t="array" ref="CD19">PRODUCT(1 + 預測IC!$C19:CD19) - 1</f>
        <v>21.192505668734551</v>
      </c>
      <c r="CE19" s="7" cm="1">
        <f t="array" ref="CE19">PRODUCT(1 + 預測IC!$C19:CE19) - 1</f>
        <v>23.155984477249234</v>
      </c>
      <c r="CF19" s="7" cm="1">
        <f t="array" ref="CF19">PRODUCT(1 + 預測IC!$C19:CF19) - 1</f>
        <v>20.457797547912072</v>
      </c>
      <c r="CG19" s="7" cm="1">
        <f t="array" ref="CG19">PRODUCT(1 + 預測IC!$C19:CG19) - 1</f>
        <v>26.120362982245513</v>
      </c>
      <c r="CH19" s="7" cm="1">
        <f t="array" ref="CH19">PRODUCT(1 + 預測IC!$C19:CH19) - 1</f>
        <v>30.266791672946773</v>
      </c>
      <c r="CI19" s="7" cm="1">
        <f t="array" ref="CI19">PRODUCT(1 + 預測IC!$C19:CI19) - 1</f>
        <v>29.107827189403615</v>
      </c>
      <c r="CJ19" s="7" cm="1">
        <f t="array" ref="CJ19">PRODUCT(1 + 預測IC!$C19:CJ19) - 1</f>
        <v>27.24293332040094</v>
      </c>
      <c r="CK19" s="7" cm="1">
        <f t="array" ref="CK19">PRODUCT(1 + 預測IC!$C19:CK19) - 1</f>
        <v>30.179286642183502</v>
      </c>
      <c r="CL19" s="7" cm="1">
        <f t="array" ref="CL19">PRODUCT(1 + 預測IC!$C19:CL19) - 1</f>
        <v>28.831085558361259</v>
      </c>
      <c r="CM19" s="7" cm="1">
        <f t="array" ref="CM19">PRODUCT(1 + 預測IC!$C19:CM19) - 1</f>
        <v>34.061896056842265</v>
      </c>
      <c r="CN19" s="7" cm="1">
        <f t="array" ref="CN19">PRODUCT(1 + 預測IC!$C19:CN19) - 1</f>
        <v>31.364491315520333</v>
      </c>
      <c r="CO19" s="7" cm="1">
        <f t="array" ref="CO19">PRODUCT(1 + 預測IC!$C19:CO19) - 1</f>
        <v>22.546643103045774</v>
      </c>
      <c r="CP19" s="7" cm="1">
        <f t="array" ref="CP19">PRODUCT(1 + 預測IC!$C19:CP19) - 1</f>
        <v>26.291326953032563</v>
      </c>
      <c r="CQ19" s="7" cm="1">
        <f t="array" ref="CQ19">PRODUCT(1 + 預測IC!$C19:CQ19) - 1</f>
        <v>25.407235127786816</v>
      </c>
      <c r="CR19" s="7" cm="1">
        <f t="array" ref="CR19">PRODUCT(1 + 預測IC!$C19:CR19) - 1</f>
        <v>26.048909880664144</v>
      </c>
      <c r="CS19" s="7" cm="1">
        <f t="array" ref="CS19">PRODUCT(1 + 預測IC!$C19:CS19) - 1</f>
        <v>27.23297555846754</v>
      </c>
      <c r="CT19" s="7" cm="1">
        <f t="array" ref="CT19">PRODUCT(1 + 預測IC!$C19:CT19) - 1</f>
        <v>30.694915066482064</v>
      </c>
      <c r="CU19" s="7" cm="1">
        <f t="array" ref="CU19">PRODUCT(1 + 預測IC!$C19:CU19) - 1</f>
        <v>28.050405546503956</v>
      </c>
      <c r="CV19" s="7" cm="1">
        <f t="array" ref="CV19">PRODUCT(1 + 預測IC!$C19:CV19) - 1</f>
        <v>31.012961881131794</v>
      </c>
      <c r="CW19" s="7" cm="1">
        <f t="array" ref="CW19">PRODUCT(1 + 預測IC!$C19:CW19) - 1</f>
        <v>30.311820143481999</v>
      </c>
      <c r="CX19" s="7" cm="1">
        <f t="array" ref="CX19">PRODUCT(1 + 預測IC!$C19:CX19) - 1</f>
        <v>32.116468329541405</v>
      </c>
      <c r="CY19" s="7" cm="1">
        <f t="array" ref="CY19">PRODUCT(1 + 預測IC!$C19:CY19) - 1</f>
        <v>29.767786482241096</v>
      </c>
      <c r="CZ19" s="7" cm="1">
        <f t="array" ref="CZ19">PRODUCT(1 + 預測IC!$C19:CZ19) - 1</f>
        <v>33.239987450012116</v>
      </c>
      <c r="DA19" s="7" cm="1">
        <f t="array" ref="DA19">PRODUCT(1 + 預測IC!$C19:DA19) - 1</f>
        <v>31.246402642402238</v>
      </c>
      <c r="DB19" s="7" cm="1">
        <f t="array" ref="DB19">PRODUCT(1 + 預測IC!$C19:DB19) - 1</f>
        <v>36.017639929048705</v>
      </c>
      <c r="DC19" s="7" cm="1">
        <f t="array" ref="DC19">PRODUCT(1 + 預測IC!$C19:DC19) - 1</f>
        <v>37.138402919196849</v>
      </c>
      <c r="DD19" s="7" cm="1">
        <f t="array" ref="DD19">PRODUCT(1 + 預測IC!$C19:DD19) - 1</f>
        <v>34.714804126855491</v>
      </c>
      <c r="DE19" s="7" cm="1">
        <f t="array" ref="DE19">PRODUCT(1 + 預測IC!$C19:DE19) - 1</f>
        <v>36.644294826307501</v>
      </c>
      <c r="DF19" s="7" cm="1">
        <f t="array" ref="DF19">PRODUCT(1 + 預測IC!$C19:DF19) - 1</f>
        <v>34.02074922172288</v>
      </c>
      <c r="DG19" s="7" cm="1">
        <f t="array" ref="DG19">PRODUCT(1 + 預測IC!$C19:DG19) - 1</f>
        <v>33.574358120416058</v>
      </c>
      <c r="DH19" s="7" cm="1">
        <f t="array" ref="DH19">PRODUCT(1 + 預測IC!$C19:DH19) - 1</f>
        <v>33.568930529481158</v>
      </c>
      <c r="DI19" s="7" cm="1">
        <f t="array" ref="DI19">PRODUCT(1 + 預測IC!$C19:DI19) - 1</f>
        <v>33.695674901322803</v>
      </c>
      <c r="DJ19" s="7" cm="1">
        <f t="array" ref="DJ19">PRODUCT(1 + 預測IC!$C19:DJ19) - 1</f>
        <v>36.488662936226945</v>
      </c>
      <c r="DK19" s="7" cm="1">
        <f t="array" ref="DK19">PRODUCT(1 + 預測IC!$C19:DK19) - 1</f>
        <v>41.14267754302594</v>
      </c>
      <c r="DL19" s="7" cm="1">
        <f t="array" ref="DL19">PRODUCT(1 + 預測IC!$C19:DL19) - 1</f>
        <v>44.099719983965841</v>
      </c>
      <c r="DM19" s="7" cm="1">
        <f t="array" ref="DM19">PRODUCT(1 + 預測IC!$C19:DM19) - 1</f>
        <v>40.403696229878136</v>
      </c>
      <c r="DN19" s="7" cm="1">
        <f t="array" ref="DN19">PRODUCT(1 + 預測IC!$C19:DN19) - 1</f>
        <v>40.506175474744317</v>
      </c>
      <c r="DO19" s="7" cm="1">
        <f t="array" ref="DO19">PRODUCT(1 + 預測IC!$C19:DO19) - 1</f>
        <v>42.794268288542</v>
      </c>
      <c r="DP19" s="7" cm="1">
        <f t="array" ref="DP19">PRODUCT(1 + 預測IC!$C19:DP19) - 1</f>
        <v>44.013413763430542</v>
      </c>
      <c r="DQ19" s="7" cm="1">
        <f t="array" ref="DQ19">PRODUCT(1 + 預測IC!$C19:DQ19) - 1</f>
        <v>41.734692000946637</v>
      </c>
      <c r="DR19" s="7" cm="1">
        <f t="array" ref="DR19">PRODUCT(1 + 預測IC!$C19:DR19) - 1</f>
        <v>44.980919773959656</v>
      </c>
      <c r="DS19" s="7" cm="1">
        <f t="array" ref="DS19">PRODUCT(1 + 預測IC!$C19:DS19) - 1</f>
        <v>36.796520809347079</v>
      </c>
      <c r="DT19" s="7" cm="1">
        <f t="array" ref="DT19">PRODUCT(1 + 預測IC!$C19:DT19) - 1</f>
        <v>36.680253903913801</v>
      </c>
      <c r="DU19" s="7" cm="1">
        <f t="array" ref="DU19">PRODUCT(1 + 預測IC!$C19:DU19) - 1</f>
        <v>31.006288851260614</v>
      </c>
      <c r="DV19" s="7" cm="1">
        <f t="array" ref="DV19">PRODUCT(1 + 預測IC!$C19:DV19) - 1</f>
        <v>34.575780819650646</v>
      </c>
      <c r="DW19" s="7" cm="1">
        <f t="array" ref="DW19">PRODUCT(1 + 預測IC!$C19:DW19) - 1</f>
        <v>36.731998276502495</v>
      </c>
      <c r="DX19" s="7" cm="1">
        <f t="array" ref="DX19">PRODUCT(1 + 預測IC!$C19:DX19) - 1</f>
        <v>31.511205269899534</v>
      </c>
      <c r="DY19" s="7" cm="1">
        <f t="array" ref="DY19">PRODUCT(1 + 預測IC!$C19:DY19) - 1</f>
        <v>36.03834764620931</v>
      </c>
      <c r="DZ19" s="7" cm="1">
        <f t="array" ref="DZ19">PRODUCT(1 + 預測IC!$C19:DZ19) - 1</f>
        <v>38.94726345367247</v>
      </c>
      <c r="EA19" s="7" cm="1">
        <f t="array" ref="EA19">PRODUCT(1 + 預測IC!$C19:EA19) - 1</f>
        <v>48.256806633657355</v>
      </c>
      <c r="EB19" s="7" cm="1">
        <f t="array" ref="EB19">PRODUCT(1 + 預測IC!$C19:EB19) - 1</f>
        <v>49.32926375605588</v>
      </c>
      <c r="EC19" s="7" cm="1">
        <f t="array" ref="EC19">PRODUCT(1 + 預測IC!$C19:EC19) - 1</f>
        <v>47.752694038416962</v>
      </c>
      <c r="ED19" s="7" cm="1">
        <f t="array" ref="ED19">PRODUCT(1 + 預測IC!$C19:ED19) - 1</f>
        <v>40.394190709604366</v>
      </c>
      <c r="EE19" s="7" cm="1">
        <f t="array" ref="EE19">PRODUCT(1 + 預測IC!$C19:EE19) - 1</f>
        <v>40.91716669251354</v>
      </c>
      <c r="EF19" s="7" cm="1">
        <f t="array" ref="EF19">PRODUCT(1 + 預測IC!$C19:EF19) - 1</f>
        <v>41.628834457097206</v>
      </c>
    </row>
    <row r="20" spans="1:136" x14ac:dyDescent="0.3">
      <c r="A20" s="1">
        <v>5</v>
      </c>
      <c r="B20" s="1" t="s">
        <v>166</v>
      </c>
      <c r="C20" s="7" cm="1">
        <f t="array" ref="C20">PRODUCT(1 + 預測IC!$C20:C20) - 1</f>
        <v>0.20155104786391576</v>
      </c>
      <c r="D20" s="7" cm="1">
        <f t="array" ref="D20">PRODUCT(1 + 預測IC!$C20:D20) - 1</f>
        <v>0.66057361101204237</v>
      </c>
      <c r="E20" s="7" cm="1">
        <f t="array" ref="E20">PRODUCT(1 + 預測IC!$C20:E20) - 1</f>
        <v>0.75578484131643586</v>
      </c>
      <c r="F20" s="7" cm="1">
        <f t="array" ref="F20">PRODUCT(1 + 預測IC!$C20:F20) - 1</f>
        <v>1.0760744425765774</v>
      </c>
      <c r="G20" s="7" cm="1">
        <f t="array" ref="G20">PRODUCT(1 + 預測IC!$C20:G20) - 1</f>
        <v>1.4041510133163371</v>
      </c>
      <c r="H20" s="7" cm="1">
        <f t="array" ref="H20">PRODUCT(1 + 預測IC!$C20:H20) - 1</f>
        <v>1.7501859555502524</v>
      </c>
      <c r="I20" s="7" cm="1">
        <f t="array" ref="I20">PRODUCT(1 + 預測IC!$C20:I20) - 1</f>
        <v>1.8270138898413784</v>
      </c>
      <c r="J20" s="7" cm="1">
        <f t="array" ref="J20">PRODUCT(1 + 預測IC!$C20:J20) - 1</f>
        <v>1.4504350220844513</v>
      </c>
      <c r="K20" s="7" cm="1">
        <f t="array" ref="K20">PRODUCT(1 + 預測IC!$C20:K20) - 1</f>
        <v>1.5420927718360975</v>
      </c>
      <c r="L20" s="7" cm="1">
        <f t="array" ref="L20">PRODUCT(1 + 預測IC!$C20:L20) - 1</f>
        <v>1.6201235373012</v>
      </c>
      <c r="M20" s="7" cm="1">
        <f t="array" ref="M20">PRODUCT(1 + 預測IC!$C20:M20) - 1</f>
        <v>1.8824854531468755</v>
      </c>
      <c r="N20" s="7" cm="1">
        <f t="array" ref="N20">PRODUCT(1 + 預測IC!$C20:N20) - 1</f>
        <v>3.3237612649156532</v>
      </c>
      <c r="O20" s="7" cm="1">
        <f t="array" ref="O20">PRODUCT(1 + 預測IC!$C20:O20) - 1</f>
        <v>2.847652346569391</v>
      </c>
      <c r="P20" s="7" cm="1">
        <f t="array" ref="P20">PRODUCT(1 + 預測IC!$C20:P20) - 1</f>
        <v>3.0016680783306802</v>
      </c>
      <c r="Q20" s="7" cm="1">
        <f t="array" ref="Q20">PRODUCT(1 + 預測IC!$C20:Q20) - 1</f>
        <v>3.9013423476956763</v>
      </c>
      <c r="R20" s="7" cm="1">
        <f t="array" ref="R20">PRODUCT(1 + 預測IC!$C20:R20) - 1</f>
        <v>4.2271327751898831</v>
      </c>
      <c r="S20" s="7" cm="1">
        <f t="array" ref="S20">PRODUCT(1 + 預測IC!$C20:S20) - 1</f>
        <v>3.9274033231087246</v>
      </c>
      <c r="T20" s="7" cm="1">
        <f t="array" ref="T20">PRODUCT(1 + 預測IC!$C20:T20) - 1</f>
        <v>4.0045808004508778</v>
      </c>
      <c r="U20" s="7" cm="1">
        <f t="array" ref="U20">PRODUCT(1 + 預測IC!$C20:U20) - 1</f>
        <v>4.1659167668286372</v>
      </c>
      <c r="V20" s="7" cm="1">
        <f t="array" ref="V20">PRODUCT(1 + 預測IC!$C20:V20) - 1</f>
        <v>3.4618639751594689</v>
      </c>
      <c r="W20" s="7" cm="1">
        <f t="array" ref="W20">PRODUCT(1 + 預測IC!$C20:W20) - 1</f>
        <v>4.2341473797531428</v>
      </c>
      <c r="X20" s="7" cm="1">
        <f t="array" ref="X20">PRODUCT(1 + 預測IC!$C20:X20) - 1</f>
        <v>5.0194909520105293</v>
      </c>
      <c r="Y20" s="7" cm="1">
        <f t="array" ref="Y20">PRODUCT(1 + 預測IC!$C20:Y20) - 1</f>
        <v>4.990261761505205</v>
      </c>
      <c r="Z20" s="7" cm="1">
        <f t="array" ref="Z20">PRODUCT(1 + 預測IC!$C20:Z20) - 1</f>
        <v>5.1649219206025787</v>
      </c>
      <c r="AA20" s="7" cm="1">
        <f t="array" ref="AA20">PRODUCT(1 + 預測IC!$C20:AA20) - 1</f>
        <v>5.5777372914441363</v>
      </c>
      <c r="AB20" s="7" cm="1">
        <f t="array" ref="AB20">PRODUCT(1 + 預測IC!$C20:AB20) - 1</f>
        <v>5.3613393030570196</v>
      </c>
      <c r="AC20" s="7" cm="1">
        <f t="array" ref="AC20">PRODUCT(1 + 預測IC!$C20:AC20) - 1</f>
        <v>4.7486848036926439</v>
      </c>
      <c r="AD20" s="7" cm="1">
        <f t="array" ref="AD20">PRODUCT(1 + 預測IC!$C20:AD20) - 1</f>
        <v>4.903826305622041</v>
      </c>
      <c r="AE20" s="7" cm="1">
        <f t="array" ref="AE20">PRODUCT(1 + 預測IC!$C20:AE20) - 1</f>
        <v>5.0060283261707026</v>
      </c>
      <c r="AF20" s="7" cm="1">
        <f t="array" ref="AF20">PRODUCT(1 + 預測IC!$C20:AF20) - 1</f>
        <v>5.2405317705527326</v>
      </c>
      <c r="AG20" s="7" cm="1">
        <f t="array" ref="AG20">PRODUCT(1 + 預測IC!$C20:AG20) - 1</f>
        <v>5.2015799914568017</v>
      </c>
      <c r="AH20" s="7" cm="1">
        <f t="array" ref="AH20">PRODUCT(1 + 預測IC!$C20:AH20) - 1</f>
        <v>4.6423326662384303</v>
      </c>
      <c r="AI20" s="7" cm="1">
        <f t="array" ref="AI20">PRODUCT(1 + 預測IC!$C20:AI20) - 1</f>
        <v>5.0833066080621379</v>
      </c>
      <c r="AJ20" s="7" cm="1">
        <f t="array" ref="AJ20">PRODUCT(1 + 預測IC!$C20:AJ20) - 1</f>
        <v>4.7062022212650412</v>
      </c>
      <c r="AK20" s="7" cm="1">
        <f t="array" ref="AK20">PRODUCT(1 + 預測IC!$C20:AK20) - 1</f>
        <v>4.6286257430233944</v>
      </c>
      <c r="AL20" s="7" cm="1">
        <f t="array" ref="AL20">PRODUCT(1 + 預測IC!$C20:AL20) - 1</f>
        <v>5.0389157036565635</v>
      </c>
      <c r="AM20" s="7" cm="1">
        <f t="array" ref="AM20">PRODUCT(1 + 預測IC!$C20:AM20) - 1</f>
        <v>5.2387795415284231</v>
      </c>
      <c r="AN20" s="7" cm="1">
        <f t="array" ref="AN20">PRODUCT(1 + 預測IC!$C20:AN20) - 1</f>
        <v>5.7096214408499408</v>
      </c>
      <c r="AO20" s="7" cm="1">
        <f t="array" ref="AO20">PRODUCT(1 + 預測IC!$C20:AO20) - 1</f>
        <v>6.0134671977508614</v>
      </c>
      <c r="AP20" s="7" cm="1">
        <f t="array" ref="AP20">PRODUCT(1 + 預測IC!$C20:AP20) - 1</f>
        <v>5.0895799287916086</v>
      </c>
      <c r="AQ20" s="7" cm="1">
        <f t="array" ref="AQ20">PRODUCT(1 + 預測IC!$C20:AQ20) - 1</f>
        <v>5.2567540324705933</v>
      </c>
      <c r="AR20" s="7" cm="1">
        <f t="array" ref="AR20">PRODUCT(1 + 預測IC!$C20:AR20) - 1</f>
        <v>6.3207088282130632</v>
      </c>
      <c r="AS20" s="7" cm="1">
        <f t="array" ref="AS20">PRODUCT(1 + 預測IC!$C20:AS20) - 1</f>
        <v>7.1413296117637532</v>
      </c>
      <c r="AT20" s="7" cm="1">
        <f t="array" ref="AT20">PRODUCT(1 + 預測IC!$C20:AT20) - 1</f>
        <v>7.1890278200663413</v>
      </c>
      <c r="AU20" s="7" cm="1">
        <f t="array" ref="AU20">PRODUCT(1 + 預測IC!$C20:AU20) - 1</f>
        <v>7.8088748821177507</v>
      </c>
      <c r="AV20" s="7" cm="1">
        <f t="array" ref="AV20">PRODUCT(1 + 預測IC!$C20:AV20) - 1</f>
        <v>7.3276838040615253</v>
      </c>
      <c r="AW20" s="7" cm="1">
        <f t="array" ref="AW20">PRODUCT(1 + 預測IC!$C20:AW20) - 1</f>
        <v>7.3848555866875802</v>
      </c>
      <c r="AX20" s="7" cm="1">
        <f t="array" ref="AX20">PRODUCT(1 + 預測IC!$C20:AX20) - 1</f>
        <v>8.3133320104026431</v>
      </c>
      <c r="AY20" s="7" cm="1">
        <f t="array" ref="AY20">PRODUCT(1 + 預測IC!$C20:AY20) - 1</f>
        <v>8.6735223174036609</v>
      </c>
      <c r="AZ20" s="7" cm="1">
        <f t="array" ref="AZ20">PRODUCT(1 + 預測IC!$C20:AZ20) - 1</f>
        <v>6.6052997278969325</v>
      </c>
      <c r="BA20" s="7" cm="1">
        <f t="array" ref="BA20">PRODUCT(1 + 預測IC!$C20:BA20) - 1</f>
        <v>7.7562684905075905</v>
      </c>
      <c r="BB20" s="7" cm="1">
        <f t="array" ref="BB20">PRODUCT(1 + 預測IC!$C20:BB20) - 1</f>
        <v>9.7808370800742459</v>
      </c>
      <c r="BC20" s="7" cm="1">
        <f t="array" ref="BC20">PRODUCT(1 + 預測IC!$C20:BC20) - 1</f>
        <v>10.542024202154119</v>
      </c>
      <c r="BD20" s="7" cm="1">
        <f t="array" ref="BD20">PRODUCT(1 + 預測IC!$C20:BD20) - 1</f>
        <v>9.9253360048338681</v>
      </c>
      <c r="BE20" s="7" cm="1">
        <f t="array" ref="BE20">PRODUCT(1 + 預測IC!$C20:BE20) - 1</f>
        <v>9.8603652479348636</v>
      </c>
      <c r="BF20" s="7" cm="1">
        <f t="array" ref="BF20">PRODUCT(1 + 預測IC!$C20:BF20) - 1</f>
        <v>9.9221453297960416</v>
      </c>
      <c r="BG20" s="7" cm="1">
        <f t="array" ref="BG20">PRODUCT(1 + 預測IC!$C20:BG20) - 1</f>
        <v>9.8464969925567853</v>
      </c>
      <c r="BH20" s="7" cm="1">
        <f t="array" ref="BH20">PRODUCT(1 + 預測IC!$C20:BH20) - 1</f>
        <v>9.0698178792859032</v>
      </c>
      <c r="BI20" s="7" cm="1">
        <f t="array" ref="BI20">PRODUCT(1 + 預測IC!$C20:BI20) - 1</f>
        <v>10.396468725291493</v>
      </c>
      <c r="BJ20" s="7" cm="1">
        <f t="array" ref="BJ20">PRODUCT(1 + 預測IC!$C20:BJ20) - 1</f>
        <v>10.642968780441727</v>
      </c>
      <c r="BK20" s="7" cm="1">
        <f t="array" ref="BK20">PRODUCT(1 + 預測IC!$C20:BK20) - 1</f>
        <v>9.9533188564810242</v>
      </c>
      <c r="BL20" s="7" cm="1">
        <f t="array" ref="BL20">PRODUCT(1 + 預測IC!$C20:BL20) - 1</f>
        <v>10.898505179393904</v>
      </c>
      <c r="BM20" s="7" cm="1">
        <f t="array" ref="BM20">PRODUCT(1 + 預測IC!$C20:BM20) - 1</f>
        <v>10.333700373938928</v>
      </c>
      <c r="BN20" s="7" cm="1">
        <f t="array" ref="BN20">PRODUCT(1 + 預測IC!$C20:BN20) - 1</f>
        <v>11.677392625641502</v>
      </c>
      <c r="BO20" s="7" cm="1">
        <f t="array" ref="BO20">PRODUCT(1 + 預測IC!$C20:BO20) - 1</f>
        <v>11.189798331634922</v>
      </c>
      <c r="BP20" s="7" cm="1">
        <f t="array" ref="BP20">PRODUCT(1 + 預測IC!$C20:BP20) - 1</f>
        <v>11.926153827449394</v>
      </c>
      <c r="BQ20" s="7" cm="1">
        <f t="array" ref="BQ20">PRODUCT(1 + 預測IC!$C20:BQ20) - 1</f>
        <v>12.125884968521921</v>
      </c>
      <c r="BR20" s="7" cm="1">
        <f t="array" ref="BR20">PRODUCT(1 + 預測IC!$C20:BR20) - 1</f>
        <v>12.284362069768401</v>
      </c>
      <c r="BS20" s="7" cm="1">
        <f t="array" ref="BS20">PRODUCT(1 + 預測IC!$C20:BS20) - 1</f>
        <v>12.356197339906698</v>
      </c>
      <c r="BT20" s="7" cm="1">
        <f t="array" ref="BT20">PRODUCT(1 + 預測IC!$C20:BT20) - 1</f>
        <v>14.330283818477488</v>
      </c>
      <c r="BU20" s="7" cm="1">
        <f t="array" ref="BU20">PRODUCT(1 + 預測IC!$C20:BU20) - 1</f>
        <v>15.844225220763807</v>
      </c>
      <c r="BV20" s="7" cm="1">
        <f t="array" ref="BV20">PRODUCT(1 + 預測IC!$C20:BV20) - 1</f>
        <v>17.796779704827365</v>
      </c>
      <c r="BW20" s="7" cm="1">
        <f t="array" ref="BW20">PRODUCT(1 + 預測IC!$C20:BW20) - 1</f>
        <v>15.249754931220501</v>
      </c>
      <c r="BX20" s="7" cm="1">
        <f t="array" ref="BX20">PRODUCT(1 + 預測IC!$C20:BX20) - 1</f>
        <v>15.748519005271138</v>
      </c>
      <c r="BY20" s="7" cm="1">
        <f t="array" ref="BY20">PRODUCT(1 + 預測IC!$C20:BY20) - 1</f>
        <v>13.986005919534797</v>
      </c>
      <c r="BZ20" s="7" cm="1">
        <f t="array" ref="BZ20">PRODUCT(1 + 預測IC!$C20:BZ20) - 1</f>
        <v>15.338813718144127</v>
      </c>
      <c r="CA20" s="7" cm="1">
        <f t="array" ref="CA20">PRODUCT(1 + 預測IC!$C20:CA20) - 1</f>
        <v>14.683582714917142</v>
      </c>
      <c r="CB20" s="7" cm="1">
        <f t="array" ref="CB20">PRODUCT(1 + 預測IC!$C20:CB20) - 1</f>
        <v>14.08365509291388</v>
      </c>
      <c r="CC20" s="7" cm="1">
        <f t="array" ref="CC20">PRODUCT(1 + 預測IC!$C20:CC20) - 1</f>
        <v>14.278462722947365</v>
      </c>
      <c r="CD20" s="7" cm="1">
        <f t="array" ref="CD20">PRODUCT(1 + 預測IC!$C20:CD20) - 1</f>
        <v>15.74618286094783</v>
      </c>
      <c r="CE20" s="7" cm="1">
        <f t="array" ref="CE20">PRODUCT(1 + 預測IC!$C20:CE20) - 1</f>
        <v>17.182639824826243</v>
      </c>
      <c r="CF20" s="7" cm="1">
        <f t="array" ref="CF20">PRODUCT(1 + 預測IC!$C20:CF20) - 1</f>
        <v>14.796921913418986</v>
      </c>
      <c r="CG20" s="7" cm="1">
        <f t="array" ref="CG20">PRODUCT(1 + 預測IC!$C20:CG20) - 1</f>
        <v>19.882559611103858</v>
      </c>
      <c r="CH20" s="7" cm="1">
        <f t="array" ref="CH20">PRODUCT(1 + 預測IC!$C20:CH20) - 1</f>
        <v>21.383264409529993</v>
      </c>
      <c r="CI20" s="7" cm="1">
        <f t="array" ref="CI20">PRODUCT(1 + 預測IC!$C20:CI20) - 1</f>
        <v>20.702932389915226</v>
      </c>
      <c r="CJ20" s="7" cm="1">
        <f t="array" ref="CJ20">PRODUCT(1 + 預測IC!$C20:CJ20) - 1</f>
        <v>18.02391547321054</v>
      </c>
      <c r="CK20" s="7" cm="1">
        <f t="array" ref="CK20">PRODUCT(1 + 預測IC!$C20:CK20) - 1</f>
        <v>19.75468080287278</v>
      </c>
      <c r="CL20" s="7" cm="1">
        <f t="array" ref="CL20">PRODUCT(1 + 預測IC!$C20:CL20) - 1</f>
        <v>17.841411918943574</v>
      </c>
      <c r="CM20" s="7" cm="1">
        <f t="array" ref="CM20">PRODUCT(1 + 預測IC!$C20:CM20) - 1</f>
        <v>21.403402795679479</v>
      </c>
      <c r="CN20" s="7" cm="1">
        <f t="array" ref="CN20">PRODUCT(1 + 預測IC!$C20:CN20) - 1</f>
        <v>21.899849014327607</v>
      </c>
      <c r="CO20" s="7" cm="1">
        <f t="array" ref="CO20">PRODUCT(1 + 預測IC!$C20:CO20) - 1</f>
        <v>12.37416824466896</v>
      </c>
      <c r="CP20" s="7" cm="1">
        <f t="array" ref="CP20">PRODUCT(1 + 預測IC!$C20:CP20) - 1</f>
        <v>14.942425890023625</v>
      </c>
      <c r="CQ20" s="7" cm="1">
        <f t="array" ref="CQ20">PRODUCT(1 + 預測IC!$C20:CQ20) - 1</f>
        <v>14.573868166101652</v>
      </c>
      <c r="CR20" s="7" cm="1">
        <f t="array" ref="CR20">PRODUCT(1 + 預測IC!$C20:CR20) - 1</f>
        <v>14.968861219359942</v>
      </c>
      <c r="CS20" s="7" cm="1">
        <f t="array" ref="CS20">PRODUCT(1 + 預測IC!$C20:CS20) - 1</f>
        <v>15.324855651884651</v>
      </c>
      <c r="CT20" s="7" cm="1">
        <f t="array" ref="CT20">PRODUCT(1 + 預測IC!$C20:CT20) - 1</f>
        <v>16.801831252915758</v>
      </c>
      <c r="CU20" s="7" cm="1">
        <f t="array" ref="CU20">PRODUCT(1 + 預測IC!$C20:CU20) - 1</f>
        <v>15.113013209096025</v>
      </c>
      <c r="CV20" s="7" cm="1">
        <f t="array" ref="CV20">PRODUCT(1 + 預測IC!$C20:CV20) - 1</f>
        <v>16.603645393764108</v>
      </c>
      <c r="CW20" s="7" cm="1">
        <f t="array" ref="CW20">PRODUCT(1 + 預測IC!$C20:CW20) - 1</f>
        <v>16.778855584012192</v>
      </c>
      <c r="CX20" s="7" cm="1">
        <f t="array" ref="CX20">PRODUCT(1 + 預測IC!$C20:CX20) - 1</f>
        <v>18.384260479335754</v>
      </c>
      <c r="CY20" s="7" cm="1">
        <f t="array" ref="CY20">PRODUCT(1 + 預測IC!$C20:CY20) - 1</f>
        <v>18.142350090581012</v>
      </c>
      <c r="CZ20" s="7" cm="1">
        <f t="array" ref="CZ20">PRODUCT(1 + 預測IC!$C20:CZ20) - 1</f>
        <v>21.112508622657469</v>
      </c>
      <c r="DA20" s="7" cm="1">
        <f t="array" ref="DA20">PRODUCT(1 + 預測IC!$C20:DA20) - 1</f>
        <v>20.062785975929732</v>
      </c>
      <c r="DB20" s="7" cm="1">
        <f t="array" ref="DB20">PRODUCT(1 + 預測IC!$C20:DB20) - 1</f>
        <v>21.68394795649218</v>
      </c>
      <c r="DC20" s="7" cm="1">
        <f t="array" ref="DC20">PRODUCT(1 + 預測IC!$C20:DC20) - 1</f>
        <v>22.339540381752254</v>
      </c>
      <c r="DD20" s="7" cm="1">
        <f t="array" ref="DD20">PRODUCT(1 + 預測IC!$C20:DD20) - 1</f>
        <v>20.748647003312808</v>
      </c>
      <c r="DE20" s="7" cm="1">
        <f t="array" ref="DE20">PRODUCT(1 + 預測IC!$C20:DE20) - 1</f>
        <v>20.166873655509882</v>
      </c>
      <c r="DF20" s="7" cm="1">
        <f t="array" ref="DF20">PRODUCT(1 + 預測IC!$C20:DF20) - 1</f>
        <v>20.185058572441356</v>
      </c>
      <c r="DG20" s="7" cm="1">
        <f t="array" ref="DG20">PRODUCT(1 + 預測IC!$C20:DG20) - 1</f>
        <v>20.096034494315067</v>
      </c>
      <c r="DH20" s="7" cm="1">
        <f t="array" ref="DH20">PRODUCT(1 + 預測IC!$C20:DH20) - 1</f>
        <v>19.864496829605407</v>
      </c>
      <c r="DI20" s="7" cm="1">
        <f t="array" ref="DI20">PRODUCT(1 + 預測IC!$C20:DI20) - 1</f>
        <v>19.387185331804446</v>
      </c>
      <c r="DJ20" s="7" cm="1">
        <f t="array" ref="DJ20">PRODUCT(1 + 預測IC!$C20:DJ20) - 1</f>
        <v>21.044195005019148</v>
      </c>
      <c r="DK20" s="7" cm="1">
        <f t="array" ref="DK20">PRODUCT(1 + 預測IC!$C20:DK20) - 1</f>
        <v>22.916937138468761</v>
      </c>
      <c r="DL20" s="7" cm="1">
        <f t="array" ref="DL20">PRODUCT(1 + 預測IC!$C20:DL20) - 1</f>
        <v>24.730478029372502</v>
      </c>
      <c r="DM20" s="7" cm="1">
        <f t="array" ref="DM20">PRODUCT(1 + 預測IC!$C20:DM20) - 1</f>
        <v>24.969350788919936</v>
      </c>
      <c r="DN20" s="7" cm="1">
        <f t="array" ref="DN20">PRODUCT(1 + 預測IC!$C20:DN20) - 1</f>
        <v>26.47607191901767</v>
      </c>
      <c r="DO20" s="7" cm="1">
        <f t="array" ref="DO20">PRODUCT(1 + 預測IC!$C20:DO20) - 1</f>
        <v>28.28443162372556</v>
      </c>
      <c r="DP20" s="7" cm="1">
        <f t="array" ref="DP20">PRODUCT(1 + 預測IC!$C20:DP20) - 1</f>
        <v>28.572313148066886</v>
      </c>
      <c r="DQ20" s="7" cm="1">
        <f t="array" ref="DQ20">PRODUCT(1 + 預測IC!$C20:DQ20) - 1</f>
        <v>27.432586999856028</v>
      </c>
      <c r="DR20" s="7" cm="1">
        <f t="array" ref="DR20">PRODUCT(1 + 預測IC!$C20:DR20) - 1</f>
        <v>29.664905036700521</v>
      </c>
      <c r="DS20" s="7" cm="1">
        <f t="array" ref="DS20">PRODUCT(1 + 預測IC!$C20:DS20) - 1</f>
        <v>23.345447749601259</v>
      </c>
      <c r="DT20" s="7" cm="1">
        <f t="array" ref="DT20">PRODUCT(1 + 預測IC!$C20:DT20) - 1</f>
        <v>23.463020296097245</v>
      </c>
      <c r="DU20" s="7" cm="1">
        <f t="array" ref="DU20">PRODUCT(1 + 預測IC!$C20:DU20) - 1</f>
        <v>19.148350958825375</v>
      </c>
      <c r="DV20" s="7" cm="1">
        <f t="array" ref="DV20">PRODUCT(1 + 預測IC!$C20:DV20) - 1</f>
        <v>21.754448920369565</v>
      </c>
      <c r="DW20" s="7" cm="1">
        <f t="array" ref="DW20">PRODUCT(1 + 預測IC!$C20:DW20) - 1</f>
        <v>23.325875803763083</v>
      </c>
      <c r="DX20" s="7" cm="1">
        <f t="array" ref="DX20">PRODUCT(1 + 預測IC!$C20:DX20) - 1</f>
        <v>19.582942579378997</v>
      </c>
      <c r="DY20" s="7" cm="1">
        <f t="array" ref="DY20">PRODUCT(1 + 預測IC!$C20:DY20) - 1</f>
        <v>22.085652572913073</v>
      </c>
      <c r="DZ20" s="7" cm="1">
        <f t="array" ref="DZ20">PRODUCT(1 + 預測IC!$C20:DZ20) - 1</f>
        <v>24.167970266338852</v>
      </c>
      <c r="EA20" s="7" cm="1">
        <f t="array" ref="EA20">PRODUCT(1 + 預測IC!$C20:EA20) - 1</f>
        <v>31.559551050270649</v>
      </c>
      <c r="EB20" s="7" cm="1">
        <f t="array" ref="EB20">PRODUCT(1 + 預測IC!$C20:EB20) - 1</f>
        <v>32.831575652774653</v>
      </c>
      <c r="EC20" s="7" cm="1">
        <f t="array" ref="EC20">PRODUCT(1 + 預測IC!$C20:EC20) - 1</f>
        <v>33.608903877242966</v>
      </c>
      <c r="ED20" s="7" cm="1">
        <f t="array" ref="ED20">PRODUCT(1 + 預測IC!$C20:ED20) - 1</f>
        <v>27.485936020503505</v>
      </c>
      <c r="EE20" s="7" cm="1">
        <f t="array" ref="EE20">PRODUCT(1 + 預測IC!$C20:EE20) - 1</f>
        <v>27.553368809246663</v>
      </c>
      <c r="EF20" s="7" cm="1">
        <f t="array" ref="EF20">PRODUCT(1 + 預測IC!$C20:EF20) - 1</f>
        <v>28.132471577854648</v>
      </c>
    </row>
    <row r="21" spans="1:136" x14ac:dyDescent="0.3">
      <c r="A21" s="1">
        <v>4</v>
      </c>
      <c r="B21" s="1" t="s">
        <v>165</v>
      </c>
      <c r="C21" s="7" cm="1">
        <f t="array" ref="C21">PRODUCT(1 + 預測IC!$C21:C21) - 1</f>
        <v>0.2146295798069533</v>
      </c>
      <c r="D21" s="7" cm="1">
        <f t="array" ref="D21">PRODUCT(1 + 預測IC!$C21:D21) - 1</f>
        <v>0.36814408204211646</v>
      </c>
      <c r="E21" s="7" cm="1">
        <f t="array" ref="E21">PRODUCT(1 + 預測IC!$C21:E21) - 1</f>
        <v>0.3494139565834633</v>
      </c>
      <c r="F21" s="7" cm="1">
        <f t="array" ref="F21">PRODUCT(1 + 預測IC!$C21:F21) - 1</f>
        <v>0.62390296914747578</v>
      </c>
      <c r="G21" s="7" cm="1">
        <f t="array" ref="G21">PRODUCT(1 + 預測IC!$C21:G21) - 1</f>
        <v>0.85990780617588536</v>
      </c>
      <c r="H21" s="7" cm="1">
        <f t="array" ref="H21">PRODUCT(1 + 預測IC!$C21:H21) - 1</f>
        <v>1.161518058945036</v>
      </c>
      <c r="I21" s="7" cm="1">
        <f t="array" ref="I21">PRODUCT(1 + 預測IC!$C21:I21) - 1</f>
        <v>1.1920198422164812</v>
      </c>
      <c r="J21" s="7" cm="1">
        <f t="array" ref="J21">PRODUCT(1 + 預測IC!$C21:J21) - 1</f>
        <v>0.89227665850898696</v>
      </c>
      <c r="K21" s="7" cm="1">
        <f t="array" ref="K21">PRODUCT(1 + 預測IC!$C21:K21) - 1</f>
        <v>0.89505886523545208</v>
      </c>
      <c r="L21" s="7" cm="1">
        <f t="array" ref="L21">PRODUCT(1 + 預測IC!$C21:L21) - 1</f>
        <v>0.88552832367817369</v>
      </c>
      <c r="M21" s="7" cm="1">
        <f t="array" ref="M21">PRODUCT(1 + 預測IC!$C21:M21) - 1</f>
        <v>1.0281886221029795</v>
      </c>
      <c r="N21" s="7" cm="1">
        <f t="array" ref="N21">PRODUCT(1 + 預測IC!$C21:N21) - 1</f>
        <v>2.2144584301741572</v>
      </c>
      <c r="O21" s="7" cm="1">
        <f t="array" ref="O21">PRODUCT(1 + 預測IC!$C21:O21) - 1</f>
        <v>1.7667567172299572</v>
      </c>
      <c r="P21" s="7" cm="1">
        <f t="array" ref="P21">PRODUCT(1 + 預測IC!$C21:P21) - 1</f>
        <v>1.8924427086560351</v>
      </c>
      <c r="Q21" s="7" cm="1">
        <f t="array" ref="Q21">PRODUCT(1 + 預測IC!$C21:Q21) - 1</f>
        <v>2.685213371492567</v>
      </c>
      <c r="R21" s="7" cm="1">
        <f t="array" ref="R21">PRODUCT(1 + 預測IC!$C21:R21) - 1</f>
        <v>2.9981072647959333</v>
      </c>
      <c r="S21" s="7" cm="1">
        <f t="array" ref="S21">PRODUCT(1 + 預測IC!$C21:S21) - 1</f>
        <v>2.8519233027984408</v>
      </c>
      <c r="T21" s="7" cm="1">
        <f t="array" ref="T21">PRODUCT(1 + 預測IC!$C21:T21) - 1</f>
        <v>2.7978408962166252</v>
      </c>
      <c r="U21" s="7" cm="1">
        <f t="array" ref="U21">PRODUCT(1 + 預測IC!$C21:U21) - 1</f>
        <v>2.760528473844897</v>
      </c>
      <c r="V21" s="7" cm="1">
        <f t="array" ref="V21">PRODUCT(1 + 預測IC!$C21:V21) - 1</f>
        <v>2.2650770098241826</v>
      </c>
      <c r="W21" s="7" cm="1">
        <f t="array" ref="W21">PRODUCT(1 + 預測IC!$C21:W21) - 1</f>
        <v>2.7802685470317408</v>
      </c>
      <c r="X21" s="7" cm="1">
        <f t="array" ref="X21">PRODUCT(1 + 預測IC!$C21:X21) - 1</f>
        <v>3.5658131420408976</v>
      </c>
      <c r="Y21" s="7" cm="1">
        <f t="array" ref="Y21">PRODUCT(1 + 預測IC!$C21:Y21) - 1</f>
        <v>3.5194990842005298</v>
      </c>
      <c r="Z21" s="7" cm="1">
        <f t="array" ref="Z21">PRODUCT(1 + 預測IC!$C21:Z21) - 1</f>
        <v>3.6978281940807411</v>
      </c>
      <c r="AA21" s="7" cm="1">
        <f t="array" ref="AA21">PRODUCT(1 + 預測IC!$C21:AA21) - 1</f>
        <v>3.8295245549580255</v>
      </c>
      <c r="AB21" s="7" cm="1">
        <f t="array" ref="AB21">PRODUCT(1 + 預測IC!$C21:AB21) - 1</f>
        <v>3.7234877848181718</v>
      </c>
      <c r="AC21" s="7" cm="1">
        <f t="array" ref="AC21">PRODUCT(1 + 預測IC!$C21:AC21) - 1</f>
        <v>2.9698918096713824</v>
      </c>
      <c r="AD21" s="7" cm="1">
        <f t="array" ref="AD21">PRODUCT(1 + 預測IC!$C21:AD21) - 1</f>
        <v>2.866939509691218</v>
      </c>
      <c r="AE21" s="7" cm="1">
        <f t="array" ref="AE21">PRODUCT(1 + 預測IC!$C21:AE21) - 1</f>
        <v>2.906813884492633</v>
      </c>
      <c r="AF21" s="7" cm="1">
        <f t="array" ref="AF21">PRODUCT(1 + 預測IC!$C21:AF21) - 1</f>
        <v>3.1143657548195964</v>
      </c>
      <c r="AG21" s="7" cm="1">
        <f t="array" ref="AG21">PRODUCT(1 + 預測IC!$C21:AG21) - 1</f>
        <v>3.0708738105093367</v>
      </c>
      <c r="AH21" s="7" cm="1">
        <f t="array" ref="AH21">PRODUCT(1 + 預測IC!$C21:AH21) - 1</f>
        <v>2.6329236591453897</v>
      </c>
      <c r="AI21" s="7" cm="1">
        <f t="array" ref="AI21">PRODUCT(1 + 預測IC!$C21:AI21) - 1</f>
        <v>2.9220833453632737</v>
      </c>
      <c r="AJ21" s="7" cm="1">
        <f t="array" ref="AJ21">PRODUCT(1 + 預測IC!$C21:AJ21) - 1</f>
        <v>2.6459477262904225</v>
      </c>
      <c r="AK21" s="7" cm="1">
        <f t="array" ref="AK21">PRODUCT(1 + 預測IC!$C21:AK21) - 1</f>
        <v>2.5154112487191793</v>
      </c>
      <c r="AL21" s="7" cm="1">
        <f t="array" ref="AL21">PRODUCT(1 + 預測IC!$C21:AL21) - 1</f>
        <v>2.7452482129944222</v>
      </c>
      <c r="AM21" s="7" cm="1">
        <f t="array" ref="AM21">PRODUCT(1 + 預測IC!$C21:AM21) - 1</f>
        <v>3.0019318233637904</v>
      </c>
      <c r="AN21" s="7" cm="1">
        <f t="array" ref="AN21">PRODUCT(1 + 預測IC!$C21:AN21) - 1</f>
        <v>3.4499723269409879</v>
      </c>
      <c r="AO21" s="7" cm="1">
        <f t="array" ref="AO21">PRODUCT(1 + 預測IC!$C21:AO21) - 1</f>
        <v>3.6623534668202078</v>
      </c>
      <c r="AP21" s="7" cm="1">
        <f t="array" ref="AP21">PRODUCT(1 + 預測IC!$C21:AP21) - 1</f>
        <v>3.3241689887302277</v>
      </c>
      <c r="AQ21" s="7" cm="1">
        <f t="array" ref="AQ21">PRODUCT(1 + 預測IC!$C21:AQ21) - 1</f>
        <v>3.6565484304482645</v>
      </c>
      <c r="AR21" s="7" cm="1">
        <f t="array" ref="AR21">PRODUCT(1 + 預測IC!$C21:AR21) - 1</f>
        <v>4.6119896460982117</v>
      </c>
      <c r="AS21" s="7" cm="1">
        <f t="array" ref="AS21">PRODUCT(1 + 預測IC!$C21:AS21) - 1</f>
        <v>4.9737153135733623</v>
      </c>
      <c r="AT21" s="7" cm="1">
        <f t="array" ref="AT21">PRODUCT(1 + 預測IC!$C21:AT21) - 1</f>
        <v>4.9588233713016416</v>
      </c>
      <c r="AU21" s="7" cm="1">
        <f t="array" ref="AU21">PRODUCT(1 + 預測IC!$C21:AU21) - 1</f>
        <v>5.2437125209105346</v>
      </c>
      <c r="AV21" s="7" cm="1">
        <f t="array" ref="AV21">PRODUCT(1 + 預測IC!$C21:AV21) - 1</f>
        <v>4.897056731265871</v>
      </c>
      <c r="AW21" s="7" cm="1">
        <f t="array" ref="AW21">PRODUCT(1 + 預測IC!$C21:AW21) - 1</f>
        <v>4.9547949903627062</v>
      </c>
      <c r="AX21" s="7" cm="1">
        <f t="array" ref="AX21">PRODUCT(1 + 預測IC!$C21:AX21) - 1</f>
        <v>5.8072101225896189</v>
      </c>
      <c r="AY21" s="7" cm="1">
        <f t="array" ref="AY21">PRODUCT(1 + 預測IC!$C21:AY21) - 1</f>
        <v>6.1272939305125513</v>
      </c>
      <c r="AZ21" s="7" cm="1">
        <f t="array" ref="AZ21">PRODUCT(1 + 預測IC!$C21:AZ21) - 1</f>
        <v>4.3104663837554442</v>
      </c>
      <c r="BA21" s="7" cm="1">
        <f t="array" ref="BA21">PRODUCT(1 + 預測IC!$C21:BA21) - 1</f>
        <v>5.0517686297914279</v>
      </c>
      <c r="BB21" s="7" cm="1">
        <f t="array" ref="BB21">PRODUCT(1 + 預測IC!$C21:BB21) - 1</f>
        <v>6.834090967327934</v>
      </c>
      <c r="BC21" s="7" cm="1">
        <f t="array" ref="BC21">PRODUCT(1 + 預測IC!$C21:BC21) - 1</f>
        <v>7.1343023245795152</v>
      </c>
      <c r="BD21" s="7" cm="1">
        <f t="array" ref="BD21">PRODUCT(1 + 預測IC!$C21:BD21) - 1</f>
        <v>6.9573742261022051</v>
      </c>
      <c r="BE21" s="7" cm="1">
        <f t="array" ref="BE21">PRODUCT(1 + 預測IC!$C21:BE21) - 1</f>
        <v>7.0079077968806889</v>
      </c>
      <c r="BF21" s="7" cm="1">
        <f t="array" ref="BF21">PRODUCT(1 + 預測IC!$C21:BF21) - 1</f>
        <v>7.0365528853058166</v>
      </c>
      <c r="BG21" s="7" cm="1">
        <f t="array" ref="BG21">PRODUCT(1 + 預測IC!$C21:BG21) - 1</f>
        <v>7.3309735209099163</v>
      </c>
      <c r="BH21" s="7" cm="1">
        <f t="array" ref="BH21">PRODUCT(1 + 預測IC!$C21:BH21) - 1</f>
        <v>6.6951422655211958</v>
      </c>
      <c r="BI21" s="7" cm="1">
        <f t="array" ref="BI21">PRODUCT(1 + 預測IC!$C21:BI21) - 1</f>
        <v>7.9723019198650231</v>
      </c>
      <c r="BJ21" s="7" cm="1">
        <f t="array" ref="BJ21">PRODUCT(1 + 預測IC!$C21:BJ21) - 1</f>
        <v>8.1838600617437969</v>
      </c>
      <c r="BK21" s="7" cm="1">
        <f t="array" ref="BK21">PRODUCT(1 + 預測IC!$C21:BK21) - 1</f>
        <v>7.5552259390950471</v>
      </c>
      <c r="BL21" s="7" cm="1">
        <f t="array" ref="BL21">PRODUCT(1 + 預測IC!$C21:BL21) - 1</f>
        <v>8.7762371329590856</v>
      </c>
      <c r="BM21" s="7" cm="1">
        <f t="array" ref="BM21">PRODUCT(1 + 預測IC!$C21:BM21) - 1</f>
        <v>8.3774127428354195</v>
      </c>
      <c r="BN21" s="7" cm="1">
        <f t="array" ref="BN21">PRODUCT(1 + 預測IC!$C21:BN21) - 1</f>
        <v>8.9742658213932529</v>
      </c>
      <c r="BO21" s="7" cm="1">
        <f t="array" ref="BO21">PRODUCT(1 + 預測IC!$C21:BO21) - 1</f>
        <v>8.3373367707836525</v>
      </c>
      <c r="BP21" s="7" cm="1">
        <f t="array" ref="BP21">PRODUCT(1 + 預測IC!$C21:BP21) - 1</f>
        <v>9.313173707794137</v>
      </c>
      <c r="BQ21" s="7" cm="1">
        <f t="array" ref="BQ21">PRODUCT(1 + 預測IC!$C21:BQ21) - 1</f>
        <v>9.8756772088009921</v>
      </c>
      <c r="BR21" s="7" cm="1">
        <f t="array" ref="BR21">PRODUCT(1 + 預測IC!$C21:BR21) - 1</f>
        <v>10.00970755587845</v>
      </c>
      <c r="BS21" s="7" cm="1">
        <f t="array" ref="BS21">PRODUCT(1 + 預測IC!$C21:BS21) - 1</f>
        <v>10.074226344139866</v>
      </c>
      <c r="BT21" s="7" cm="1">
        <f t="array" ref="BT21">PRODUCT(1 + 預測IC!$C21:BT21) - 1</f>
        <v>11.538734018024355</v>
      </c>
      <c r="BU21" s="7" cm="1">
        <f t="array" ref="BU21">PRODUCT(1 + 預測IC!$C21:BU21) - 1</f>
        <v>13.237688117915507</v>
      </c>
      <c r="BV21" s="7" cm="1">
        <f t="array" ref="BV21">PRODUCT(1 + 預測IC!$C21:BV21) - 1</f>
        <v>15.261475822700799</v>
      </c>
      <c r="BW21" s="7" cm="1">
        <f t="array" ref="BW21">PRODUCT(1 + 預測IC!$C21:BW21) - 1</f>
        <v>12.876255608037239</v>
      </c>
      <c r="BX21" s="7" cm="1">
        <f t="array" ref="BX21">PRODUCT(1 + 預測IC!$C21:BX21) - 1</f>
        <v>12.834754235169264</v>
      </c>
      <c r="BY21" s="7" cm="1">
        <f t="array" ref="BY21">PRODUCT(1 + 預測IC!$C21:BY21) - 1</f>
        <v>12.13776137516223</v>
      </c>
      <c r="BZ21" s="7" cm="1">
        <f t="array" ref="BZ21">PRODUCT(1 + 預測IC!$C21:BZ21) - 1</f>
        <v>12.763945559136356</v>
      </c>
      <c r="CA21" s="7" cm="1">
        <f t="array" ref="CA21">PRODUCT(1 + 預測IC!$C21:CA21) - 1</f>
        <v>11.930984561912734</v>
      </c>
      <c r="CB21" s="7" cm="1">
        <f t="array" ref="CB21">PRODUCT(1 + 預測IC!$C21:CB21) - 1</f>
        <v>11.110883531433029</v>
      </c>
      <c r="CC21" s="7" cm="1">
        <f t="array" ref="CC21">PRODUCT(1 + 預測IC!$C21:CC21) - 1</f>
        <v>11.013766910213468</v>
      </c>
      <c r="CD21" s="7" cm="1">
        <f t="array" ref="CD21">PRODUCT(1 + 預測IC!$C21:CD21) - 1</f>
        <v>12.02801177357007</v>
      </c>
      <c r="CE21" s="7" cm="1">
        <f t="array" ref="CE21">PRODUCT(1 + 預測IC!$C21:CE21) - 1</f>
        <v>12.829428385129768</v>
      </c>
      <c r="CF21" s="7" cm="1">
        <f t="array" ref="CF21">PRODUCT(1 + 預測IC!$C21:CF21) - 1</f>
        <v>11.070733393318015</v>
      </c>
      <c r="CG21" s="7" cm="1">
        <f t="array" ref="CG21">PRODUCT(1 + 預測IC!$C21:CG21) - 1</f>
        <v>14.935381276899948</v>
      </c>
      <c r="CH21" s="7" cm="1">
        <f t="array" ref="CH21">PRODUCT(1 + 預測IC!$C21:CH21) - 1</f>
        <v>16.211810433651486</v>
      </c>
      <c r="CI21" s="7" cm="1">
        <f t="array" ref="CI21">PRODUCT(1 + 預測IC!$C21:CI21) - 1</f>
        <v>14.826266296348233</v>
      </c>
      <c r="CJ21" s="7" cm="1">
        <f t="array" ref="CJ21">PRODUCT(1 + 預測IC!$C21:CJ21) - 1</f>
        <v>13.471098611446068</v>
      </c>
      <c r="CK21" s="7" cm="1">
        <f t="array" ref="CK21">PRODUCT(1 + 預測IC!$C21:CK21) - 1</f>
        <v>15.309659601815977</v>
      </c>
      <c r="CL21" s="7" cm="1">
        <f t="array" ref="CL21">PRODUCT(1 + 預測IC!$C21:CL21) - 1</f>
        <v>13.125952352272822</v>
      </c>
      <c r="CM21" s="7" cm="1">
        <f t="array" ref="CM21">PRODUCT(1 + 預測IC!$C21:CM21) - 1</f>
        <v>16.311396821753974</v>
      </c>
      <c r="CN21" s="7" cm="1">
        <f t="array" ref="CN21">PRODUCT(1 + 預測IC!$C21:CN21) - 1</f>
        <v>16.840067668567507</v>
      </c>
      <c r="CO21" s="7" cm="1">
        <f t="array" ref="CO21">PRODUCT(1 + 預測IC!$C21:CO21) - 1</f>
        <v>7.6548367933926222</v>
      </c>
      <c r="CP21" s="7" cm="1">
        <f t="array" ref="CP21">PRODUCT(1 + 預測IC!$C21:CP21) - 1</f>
        <v>9.5822694741695571</v>
      </c>
      <c r="CQ21" s="7" cm="1">
        <f t="array" ref="CQ21">PRODUCT(1 + 預測IC!$C21:CQ21) - 1</f>
        <v>9.3398064612234517</v>
      </c>
      <c r="CR21" s="7" cm="1">
        <f t="array" ref="CR21">PRODUCT(1 + 預測IC!$C21:CR21) - 1</f>
        <v>9.4599114699313525</v>
      </c>
      <c r="CS21" s="7" cm="1">
        <f t="array" ref="CS21">PRODUCT(1 + 預測IC!$C21:CS21) - 1</f>
        <v>9.7832037535054326</v>
      </c>
      <c r="CT21" s="7" cm="1">
        <f t="array" ref="CT21">PRODUCT(1 + 預測IC!$C21:CT21) - 1</f>
        <v>10.670584568955087</v>
      </c>
      <c r="CU21" s="7" cm="1">
        <f t="array" ref="CU21">PRODUCT(1 + 預測IC!$C21:CU21) - 1</f>
        <v>9.9391474847595429</v>
      </c>
      <c r="CV21" s="7" cm="1">
        <f t="array" ref="CV21">PRODUCT(1 + 預測IC!$C21:CV21) - 1</f>
        <v>11.013652160225215</v>
      </c>
      <c r="CW21" s="7" cm="1">
        <f t="array" ref="CW21">PRODUCT(1 + 預測IC!$C21:CW21) - 1</f>
        <v>11.794604631969305</v>
      </c>
      <c r="CX21" s="7" cm="1">
        <f t="array" ref="CX21">PRODUCT(1 + 預測IC!$C21:CX21) - 1</f>
        <v>13.101217493662348</v>
      </c>
      <c r="CY21" s="7" cm="1">
        <f t="array" ref="CY21">PRODUCT(1 + 預測IC!$C21:CY21) - 1</f>
        <v>12.981612145687688</v>
      </c>
      <c r="CZ21" s="7" cm="1">
        <f t="array" ref="CZ21">PRODUCT(1 + 預測IC!$C21:CZ21) - 1</f>
        <v>16.301565116036304</v>
      </c>
      <c r="DA21" s="7" cm="1">
        <f t="array" ref="DA21">PRODUCT(1 + 預測IC!$C21:DA21) - 1</f>
        <v>16.322193018757464</v>
      </c>
      <c r="DB21" s="7" cm="1">
        <f t="array" ref="DB21">PRODUCT(1 + 預測IC!$C21:DB21) - 1</f>
        <v>17.560057957105347</v>
      </c>
      <c r="DC21" s="7" cm="1">
        <f t="array" ref="DC21">PRODUCT(1 + 預測IC!$C21:DC21) - 1</f>
        <v>18.456678532067492</v>
      </c>
      <c r="DD21" s="7" cm="1">
        <f t="array" ref="DD21">PRODUCT(1 + 預測IC!$C21:DD21) - 1</f>
        <v>17.152546085680285</v>
      </c>
      <c r="DE21" s="7" cm="1">
        <f t="array" ref="DE21">PRODUCT(1 + 預測IC!$C21:DE21) - 1</f>
        <v>17.374698915831306</v>
      </c>
      <c r="DF21" s="7" cm="1">
        <f t="array" ref="DF21">PRODUCT(1 + 預測IC!$C21:DF21) - 1</f>
        <v>17.770873607014916</v>
      </c>
      <c r="DG21" s="7" cm="1">
        <f t="array" ref="DG21">PRODUCT(1 + 預測IC!$C21:DG21) - 1</f>
        <v>17.918156979138463</v>
      </c>
      <c r="DH21" s="7" cm="1">
        <f t="array" ref="DH21">PRODUCT(1 + 預測IC!$C21:DH21) - 1</f>
        <v>18.184464473684788</v>
      </c>
      <c r="DI21" s="7" cm="1">
        <f t="array" ref="DI21">PRODUCT(1 + 預測IC!$C21:DI21) - 1</f>
        <v>18.844553518379971</v>
      </c>
      <c r="DJ21" s="7" cm="1">
        <f t="array" ref="DJ21">PRODUCT(1 + 預測IC!$C21:DJ21) - 1</f>
        <v>20.299214687389554</v>
      </c>
      <c r="DK21" s="7" cm="1">
        <f t="array" ref="DK21">PRODUCT(1 + 預測IC!$C21:DK21) - 1</f>
        <v>23.270512789397365</v>
      </c>
      <c r="DL21" s="7" cm="1">
        <f t="array" ref="DL21">PRODUCT(1 + 預測IC!$C21:DL21) - 1</f>
        <v>25.657880295526745</v>
      </c>
      <c r="DM21" s="7" cm="1">
        <f t="array" ref="DM21">PRODUCT(1 + 預測IC!$C21:DM21) - 1</f>
        <v>24.86256590538148</v>
      </c>
      <c r="DN21" s="7" cm="1">
        <f t="array" ref="DN21">PRODUCT(1 + 預測IC!$C21:DN21) - 1</f>
        <v>26.703918850813185</v>
      </c>
      <c r="DO21" s="7" cm="1">
        <f t="array" ref="DO21">PRODUCT(1 + 預測IC!$C21:DO21) - 1</f>
        <v>28.987990391133334</v>
      </c>
      <c r="DP21" s="7" cm="1">
        <f t="array" ref="DP21">PRODUCT(1 + 預測IC!$C21:DP21) - 1</f>
        <v>29.715683616908944</v>
      </c>
      <c r="DQ21" s="7" cm="1">
        <f t="array" ref="DQ21">PRODUCT(1 + 預測IC!$C21:DQ21) - 1</f>
        <v>28.849008289149289</v>
      </c>
      <c r="DR21" s="7" cm="1">
        <f t="array" ref="DR21">PRODUCT(1 + 預測IC!$C21:DR21) - 1</f>
        <v>30.346558676420848</v>
      </c>
      <c r="DS21" s="7" cm="1">
        <f t="array" ref="DS21">PRODUCT(1 + 預測IC!$C21:DS21) - 1</f>
        <v>24.05093232523857</v>
      </c>
      <c r="DT21" s="7" cm="1">
        <f t="array" ref="DT21">PRODUCT(1 + 預測IC!$C21:DT21) - 1</f>
        <v>23.807721767922029</v>
      </c>
      <c r="DU21" s="7" cm="1">
        <f t="array" ref="DU21">PRODUCT(1 + 預測IC!$C21:DU21) - 1</f>
        <v>20.120929226937694</v>
      </c>
      <c r="DV21" s="7" cm="1">
        <f t="array" ref="DV21">PRODUCT(1 + 預測IC!$C21:DV21) - 1</f>
        <v>23.083688206645938</v>
      </c>
      <c r="DW21" s="7" cm="1">
        <f t="array" ref="DW21">PRODUCT(1 + 預測IC!$C21:DW21) - 1</f>
        <v>26.172369888719508</v>
      </c>
      <c r="DX21" s="7" cm="1">
        <f t="array" ref="DX21">PRODUCT(1 + 預測IC!$C21:DX21) - 1</f>
        <v>21.119227134259415</v>
      </c>
      <c r="DY21" s="7" cm="1">
        <f t="array" ref="DY21">PRODUCT(1 + 預測IC!$C21:DY21) - 1</f>
        <v>24.807187354083617</v>
      </c>
      <c r="DZ21" s="7" cm="1">
        <f t="array" ref="DZ21">PRODUCT(1 + 預測IC!$C21:DZ21) - 1</f>
        <v>27.360307203571764</v>
      </c>
      <c r="EA21" s="7" cm="1">
        <f t="array" ref="EA21">PRODUCT(1 + 預測IC!$C21:EA21) - 1</f>
        <v>34.905760700623183</v>
      </c>
      <c r="EB21" s="7" cm="1">
        <f t="array" ref="EB21">PRODUCT(1 + 預測IC!$C21:EB21) - 1</f>
        <v>35.2076615849601</v>
      </c>
      <c r="EC21" s="7" cm="1">
        <f t="array" ref="EC21">PRODUCT(1 + 預測IC!$C21:EC21) - 1</f>
        <v>36.192109219543141</v>
      </c>
      <c r="ED21" s="7" cm="1">
        <f t="array" ref="ED21">PRODUCT(1 + 預測IC!$C21:ED21) - 1</f>
        <v>34.165181801901412</v>
      </c>
      <c r="EE21" s="7" cm="1">
        <f t="array" ref="EE21">PRODUCT(1 + 預測IC!$C21:EE21) - 1</f>
        <v>34.672575009486678</v>
      </c>
      <c r="EF21" s="7" cm="1">
        <f t="array" ref="EF21">PRODUCT(1 + 預測IC!$C21:EF21) - 1</f>
        <v>34.002955684921304</v>
      </c>
    </row>
    <row r="22" spans="1:136" x14ac:dyDescent="0.3">
      <c r="A22" s="1">
        <v>3</v>
      </c>
      <c r="B22" s="1" t="s">
        <v>168</v>
      </c>
      <c r="C22" s="7" cm="1">
        <f t="array" ref="C22">PRODUCT(1 + 預測IC!$C22:C22) - 1</f>
        <v>0.20528030103697548</v>
      </c>
      <c r="D22" s="7" cm="1">
        <f t="array" ref="D22">PRODUCT(1 + 預測IC!$C22:D22) - 1</f>
        <v>0.37694578546487212</v>
      </c>
      <c r="E22" s="7" cm="1">
        <f t="array" ref="E22">PRODUCT(1 + 預測IC!$C22:E22) - 1</f>
        <v>0.35304875515552792</v>
      </c>
      <c r="F22" s="7" cm="1">
        <f t="array" ref="F22">PRODUCT(1 + 預測IC!$C22:F22) - 1</f>
        <v>0.16380127562763414</v>
      </c>
      <c r="G22" s="7" cm="1">
        <f t="array" ref="G22">PRODUCT(1 + 預測IC!$C22:G22) - 1</f>
        <v>0.43490345792329155</v>
      </c>
      <c r="H22" s="7" cm="1">
        <f t="array" ref="H22">PRODUCT(1 + 預測IC!$C22:H22) - 1</f>
        <v>0.61308698986373922</v>
      </c>
      <c r="I22" s="7" cm="1">
        <f t="array" ref="I22">PRODUCT(1 + 預測IC!$C22:I22) - 1</f>
        <v>0.64121494132759471</v>
      </c>
      <c r="J22" s="7" cm="1">
        <f t="array" ref="J22">PRODUCT(1 + 預測IC!$C22:J22) - 1</f>
        <v>0.47011253495050109</v>
      </c>
      <c r="K22" s="7" cm="1">
        <f t="array" ref="K22">PRODUCT(1 + 預測IC!$C22:K22) - 1</f>
        <v>0.51224122661093219</v>
      </c>
      <c r="L22" s="7" cm="1">
        <f t="array" ref="L22">PRODUCT(1 + 預測IC!$C22:L22) - 1</f>
        <v>0.53382576122038339</v>
      </c>
      <c r="M22" s="7" cm="1">
        <f t="array" ref="M22">PRODUCT(1 + 預測IC!$C22:M22) - 1</f>
        <v>0.18847169241341555</v>
      </c>
      <c r="N22" s="7" cm="1">
        <f t="array" ref="N22">PRODUCT(1 + 預測IC!$C22:N22) - 1</f>
        <v>1.0871267699623868</v>
      </c>
      <c r="O22" s="7" cm="1">
        <f t="array" ref="O22">PRODUCT(1 + 預測IC!$C22:O22) - 1</f>
        <v>0.94845319984217791</v>
      </c>
      <c r="P22" s="7" cm="1">
        <f t="array" ref="P22">PRODUCT(1 + 預測IC!$C22:P22) - 1</f>
        <v>1.1250432171232481</v>
      </c>
      <c r="Q22" s="7" cm="1">
        <f t="array" ref="Q22">PRODUCT(1 + 預測IC!$C22:Q22) - 1</f>
        <v>1.3954993591467013</v>
      </c>
      <c r="R22" s="7" cm="1">
        <f t="array" ref="R22">PRODUCT(1 + 預測IC!$C22:R22) - 1</f>
        <v>1.5552750763413479</v>
      </c>
      <c r="S22" s="7" cm="1">
        <f t="array" ref="S22">PRODUCT(1 + 預測IC!$C22:S22) - 1</f>
        <v>1.4550210472191951</v>
      </c>
      <c r="T22" s="7" cm="1">
        <f t="array" ref="T22">PRODUCT(1 + 預測IC!$C22:T22) - 1</f>
        <v>1.4053348276220547</v>
      </c>
      <c r="U22" s="7" cm="1">
        <f t="array" ref="U22">PRODUCT(1 + 預測IC!$C22:U22) - 1</f>
        <v>1.5315882224797712</v>
      </c>
      <c r="V22" s="7" cm="1">
        <f t="array" ref="V22">PRODUCT(1 + 預測IC!$C22:V22) - 1</f>
        <v>1.0869782878115166</v>
      </c>
      <c r="W22" s="7" cm="1">
        <f t="array" ref="W22">PRODUCT(1 + 預測IC!$C22:W22) - 1</f>
        <v>1.5199851002405613</v>
      </c>
      <c r="X22" s="7" cm="1">
        <f t="array" ref="X22">PRODUCT(1 + 預測IC!$C22:X22) - 1</f>
        <v>2.1681311930454132</v>
      </c>
      <c r="Y22" s="7" cm="1">
        <f t="array" ref="Y22">PRODUCT(1 + 預測IC!$C22:Y22) - 1</f>
        <v>1.9468266739396221</v>
      </c>
      <c r="Z22" s="7" cm="1">
        <f t="array" ref="Z22">PRODUCT(1 + 預測IC!$C22:Z22) - 1</f>
        <v>2.0171559982349359</v>
      </c>
      <c r="AA22" s="7" cm="1">
        <f t="array" ref="AA22">PRODUCT(1 + 預測IC!$C22:AA22) - 1</f>
        <v>2.3735443183962239</v>
      </c>
      <c r="AB22" s="7" cm="1">
        <f t="array" ref="AB22">PRODUCT(1 + 預測IC!$C22:AB22) - 1</f>
        <v>2.386583843524857</v>
      </c>
      <c r="AC22" s="7" cm="1">
        <f t="array" ref="AC22">PRODUCT(1 + 預測IC!$C22:AC22) - 1</f>
        <v>1.7864368962046107</v>
      </c>
      <c r="AD22" s="7" cm="1">
        <f t="array" ref="AD22">PRODUCT(1 + 預測IC!$C22:AD22) - 1</f>
        <v>1.7346265873541031</v>
      </c>
      <c r="AE22" s="7" cm="1">
        <f t="array" ref="AE22">PRODUCT(1 + 預測IC!$C22:AE22) - 1</f>
        <v>1.5017794614824793</v>
      </c>
      <c r="AF22" s="7" cm="1">
        <f t="array" ref="AF22">PRODUCT(1 + 預測IC!$C22:AF22) - 1</f>
        <v>1.6198192109917966</v>
      </c>
      <c r="AG22" s="7" cm="1">
        <f t="array" ref="AG22">PRODUCT(1 + 預測IC!$C22:AG22) - 1</f>
        <v>1.4993761324717081</v>
      </c>
      <c r="AH22" s="7" cm="1">
        <f t="array" ref="AH22">PRODUCT(1 + 預測IC!$C22:AH22) - 1</f>
        <v>1.2347772802549604</v>
      </c>
      <c r="AI22" s="7" cm="1">
        <f t="array" ref="AI22">PRODUCT(1 + 預測IC!$C22:AI22) - 1</f>
        <v>1.4451620307066464</v>
      </c>
      <c r="AJ22" s="7" cm="1">
        <f t="array" ref="AJ22">PRODUCT(1 + 預測IC!$C22:AJ22) - 1</f>
        <v>1.3676507627545913</v>
      </c>
      <c r="AK22" s="7" cm="1">
        <f t="array" ref="AK22">PRODUCT(1 + 預測IC!$C22:AK22) - 1</f>
        <v>1.607466700849904</v>
      </c>
      <c r="AL22" s="7" cm="1">
        <f t="array" ref="AL22">PRODUCT(1 + 預測IC!$C22:AL22) - 1</f>
        <v>1.712654428478988</v>
      </c>
      <c r="AM22" s="7" cm="1">
        <f t="array" ref="AM22">PRODUCT(1 + 預測IC!$C22:AM22) - 1</f>
        <v>1.9407585648565959</v>
      </c>
      <c r="AN22" s="7" cm="1">
        <f t="array" ref="AN22">PRODUCT(1 + 預測IC!$C22:AN22) - 1</f>
        <v>2.2675733267112856</v>
      </c>
      <c r="AO22" s="7" cm="1">
        <f t="array" ref="AO22">PRODUCT(1 + 預測IC!$C22:AO22) - 1</f>
        <v>2.5117178230544859</v>
      </c>
      <c r="AP22" s="7" cm="1">
        <f t="array" ref="AP22">PRODUCT(1 + 預測IC!$C22:AP22) - 1</f>
        <v>2.2921077945171793</v>
      </c>
      <c r="AQ22" s="7" cm="1">
        <f t="array" ref="AQ22">PRODUCT(1 + 預測IC!$C22:AQ22) - 1</f>
        <v>2.5535871349566928</v>
      </c>
      <c r="AR22" s="7" cm="1">
        <f t="array" ref="AR22">PRODUCT(1 + 預測IC!$C22:AR22) - 1</f>
        <v>3.4438768369465667</v>
      </c>
      <c r="AS22" s="7" cm="1">
        <f t="array" ref="AS22">PRODUCT(1 + 預測IC!$C22:AS22) - 1</f>
        <v>3.8118762282252119</v>
      </c>
      <c r="AT22" s="7" cm="1">
        <f t="array" ref="AT22">PRODUCT(1 + 預測IC!$C22:AT22) - 1</f>
        <v>3.6909231662231221</v>
      </c>
      <c r="AU22" s="7" cm="1">
        <f t="array" ref="AU22">PRODUCT(1 + 預測IC!$C22:AU22) - 1</f>
        <v>3.8480712121707654</v>
      </c>
      <c r="AV22" s="7" cm="1">
        <f t="array" ref="AV22">PRODUCT(1 + 預測IC!$C22:AV22) - 1</f>
        <v>3.5580926722199484</v>
      </c>
      <c r="AW22" s="7" cm="1">
        <f t="array" ref="AW22">PRODUCT(1 + 預測IC!$C22:AW22) - 1</f>
        <v>3.4206689622035737</v>
      </c>
      <c r="AX22" s="7" cm="1">
        <f t="array" ref="AX22">PRODUCT(1 + 預測IC!$C22:AX22) - 1</f>
        <v>4.1888194312622327</v>
      </c>
      <c r="AY22" s="7" cm="1">
        <f t="array" ref="AY22">PRODUCT(1 + 預測IC!$C22:AY22) - 1</f>
        <v>4.5610310149547093</v>
      </c>
      <c r="AZ22" s="7" cm="1">
        <f t="array" ref="AZ22">PRODUCT(1 + 預測IC!$C22:AZ22) - 1</f>
        <v>3.6996062993771135</v>
      </c>
      <c r="BA22" s="7" cm="1">
        <f t="array" ref="BA22">PRODUCT(1 + 預測IC!$C22:BA22) - 1</f>
        <v>3.9335290035909871</v>
      </c>
      <c r="BB22" s="7" cm="1">
        <f t="array" ref="BB22">PRODUCT(1 + 預測IC!$C22:BB22) - 1</f>
        <v>5.7567175245781765</v>
      </c>
      <c r="BC22" s="7" cm="1">
        <f t="array" ref="BC22">PRODUCT(1 + 預測IC!$C22:BC22) - 1</f>
        <v>4.872689291900655</v>
      </c>
      <c r="BD22" s="7" cm="1">
        <f t="array" ref="BD22">PRODUCT(1 + 預測IC!$C22:BD22) - 1</f>
        <v>4.7424672138496238</v>
      </c>
      <c r="BE22" s="7" cm="1">
        <f t="array" ref="BE22">PRODUCT(1 + 預測IC!$C22:BE22) - 1</f>
        <v>4.8700429186092986</v>
      </c>
      <c r="BF22" s="7" cm="1">
        <f t="array" ref="BF22">PRODUCT(1 + 預測IC!$C22:BF22) - 1</f>
        <v>4.9501033617443069</v>
      </c>
      <c r="BG22" s="7" cm="1">
        <f t="array" ref="BG22">PRODUCT(1 + 預測IC!$C22:BG22) - 1</f>
        <v>5.2254712426773073</v>
      </c>
      <c r="BH22" s="7" cm="1">
        <f t="array" ref="BH22">PRODUCT(1 + 預測IC!$C22:BH22) - 1</f>
        <v>4.4288565661538746</v>
      </c>
      <c r="BI22" s="7" cm="1">
        <f t="array" ref="BI22">PRODUCT(1 + 預測IC!$C22:BI22) - 1</f>
        <v>5.0319412899479738</v>
      </c>
      <c r="BJ22" s="7" cm="1">
        <f t="array" ref="BJ22">PRODUCT(1 + 預測IC!$C22:BJ22) - 1</f>
        <v>5.3636764372947283</v>
      </c>
      <c r="BK22" s="7" cm="1">
        <f t="array" ref="BK22">PRODUCT(1 + 預測IC!$C22:BK22) - 1</f>
        <v>5.0974225319586735</v>
      </c>
      <c r="BL22" s="7" cm="1">
        <f t="array" ref="BL22">PRODUCT(1 + 預測IC!$C22:BL22) - 1</f>
        <v>6.0838656166383185</v>
      </c>
      <c r="BM22" s="7" cm="1">
        <f t="array" ref="BM22">PRODUCT(1 + 預測IC!$C22:BM22) - 1</f>
        <v>6.0666483999434702</v>
      </c>
      <c r="BN22" s="7" cm="1">
        <f t="array" ref="BN22">PRODUCT(1 + 預測IC!$C22:BN22) - 1</f>
        <v>5.958333978964788</v>
      </c>
      <c r="BO22" s="7" cm="1">
        <f t="array" ref="BO22">PRODUCT(1 + 預測IC!$C22:BO22) - 1</f>
        <v>5.6070464604608974</v>
      </c>
      <c r="BP22" s="7" cm="1">
        <f t="array" ref="BP22">PRODUCT(1 + 預測IC!$C22:BP22) - 1</f>
        <v>6.1014884172298371</v>
      </c>
      <c r="BQ22" s="7" cm="1">
        <f t="array" ref="BQ22">PRODUCT(1 + 預測IC!$C22:BQ22) - 1</f>
        <v>6.2991235315543319</v>
      </c>
      <c r="BR22" s="7" cm="1">
        <f t="array" ref="BR22">PRODUCT(1 + 預測IC!$C22:BR22) - 1</f>
        <v>6.4510446381874997</v>
      </c>
      <c r="BS22" s="7" cm="1">
        <f t="array" ref="BS22">PRODUCT(1 + 預測IC!$C22:BS22) - 1</f>
        <v>6.3290503058466392</v>
      </c>
      <c r="BT22" s="7" cm="1">
        <f t="array" ref="BT22">PRODUCT(1 + 預測IC!$C22:BT22) - 1</f>
        <v>7.2857163970577297</v>
      </c>
      <c r="BU22" s="7" cm="1">
        <f t="array" ref="BU22">PRODUCT(1 + 預測IC!$C22:BU22) - 1</f>
        <v>9.0501494803806537</v>
      </c>
      <c r="BV22" s="7" cm="1">
        <f t="array" ref="BV22">PRODUCT(1 + 預測IC!$C22:BV22) - 1</f>
        <v>10.643540102189968</v>
      </c>
      <c r="BW22" s="7" cm="1">
        <f t="array" ref="BW22">PRODUCT(1 + 預測IC!$C22:BW22) - 1</f>
        <v>8.6097804419805879</v>
      </c>
      <c r="BX22" s="7" cm="1">
        <f t="array" ref="BX22">PRODUCT(1 + 預測IC!$C22:BX22) - 1</f>
        <v>8.9618582510354301</v>
      </c>
      <c r="BY22" s="7" cm="1">
        <f t="array" ref="BY22">PRODUCT(1 + 預測IC!$C22:BY22) - 1</f>
        <v>8.9145714377434455</v>
      </c>
      <c r="BZ22" s="7" cm="1">
        <f t="array" ref="BZ22">PRODUCT(1 + 預測IC!$C22:BZ22) - 1</f>
        <v>9.3831116359420985</v>
      </c>
      <c r="CA22" s="7" cm="1">
        <f t="array" ref="CA22">PRODUCT(1 + 預測IC!$C22:CA22) - 1</f>
        <v>9.0976790822000897</v>
      </c>
      <c r="CB22" s="7" cm="1">
        <f t="array" ref="CB22">PRODUCT(1 + 預測IC!$C22:CB22) - 1</f>
        <v>7.5931927730677788</v>
      </c>
      <c r="CC22" s="7" cm="1">
        <f t="array" ref="CC22">PRODUCT(1 + 預測IC!$C22:CC22) - 1</f>
        <v>6.5181500246017672</v>
      </c>
      <c r="CD22" s="7" cm="1">
        <f t="array" ref="CD22">PRODUCT(1 + 預測IC!$C22:CD22) - 1</f>
        <v>7.236272759992163</v>
      </c>
      <c r="CE22" s="7" cm="1">
        <f t="array" ref="CE22">PRODUCT(1 + 預測IC!$C22:CE22) - 1</f>
        <v>7.786786430774594</v>
      </c>
      <c r="CF22" s="7" cm="1">
        <f t="array" ref="CF22">PRODUCT(1 + 預測IC!$C22:CF22) - 1</f>
        <v>6.4198034975593092</v>
      </c>
      <c r="CG22" s="7" cm="1">
        <f t="array" ref="CG22">PRODUCT(1 + 預測IC!$C22:CG22) - 1</f>
        <v>9.7127183373196946</v>
      </c>
      <c r="CH22" s="7" cm="1">
        <f t="array" ref="CH22">PRODUCT(1 + 預測IC!$C22:CH22) - 1</f>
        <v>10.954523484044607</v>
      </c>
      <c r="CI22" s="7" cm="1">
        <f t="array" ref="CI22">PRODUCT(1 + 預測IC!$C22:CI22) - 1</f>
        <v>9.5465227412151474</v>
      </c>
      <c r="CJ22" s="7" cm="1">
        <f t="array" ref="CJ22">PRODUCT(1 + 預測IC!$C22:CJ22) - 1</f>
        <v>8.4562284398125076</v>
      </c>
      <c r="CK22" s="7" cm="1">
        <f t="array" ref="CK22">PRODUCT(1 + 預測IC!$C22:CK22) - 1</f>
        <v>8.798197268629588</v>
      </c>
      <c r="CL22" s="7" cm="1">
        <f t="array" ref="CL22">PRODUCT(1 + 預測IC!$C22:CL22) - 1</f>
        <v>6.4402434726509155</v>
      </c>
      <c r="CM22" s="7" cm="1">
        <f t="array" ref="CM22">PRODUCT(1 + 預測IC!$C22:CM22) - 1</f>
        <v>8.8243355962945049</v>
      </c>
      <c r="CN22" s="7" cm="1">
        <f t="array" ref="CN22">PRODUCT(1 + 預測IC!$C22:CN22) - 1</f>
        <v>8.7403692416609573</v>
      </c>
      <c r="CO22" s="7" cm="1">
        <f t="array" ref="CO22">PRODUCT(1 + 預測IC!$C22:CO22) - 1</f>
        <v>2.4095532499082952</v>
      </c>
      <c r="CP22" s="7" cm="1">
        <f t="array" ref="CP22">PRODUCT(1 + 預測IC!$C22:CP22) - 1</f>
        <v>3.2940205383773424</v>
      </c>
      <c r="CQ22" s="7" cm="1">
        <f t="array" ref="CQ22">PRODUCT(1 + 預測IC!$C22:CQ22) - 1</f>
        <v>3.2203367969075662</v>
      </c>
      <c r="CR22" s="7" cm="1">
        <f t="array" ref="CR22">PRODUCT(1 + 預測IC!$C22:CR22) - 1</f>
        <v>3.1003855189627307</v>
      </c>
      <c r="CS22" s="7" cm="1">
        <f t="array" ref="CS22">PRODUCT(1 + 預測IC!$C22:CS22) - 1</f>
        <v>3.2005972468982291</v>
      </c>
      <c r="CT22" s="7" cm="1">
        <f t="array" ref="CT22">PRODUCT(1 + 預測IC!$C22:CT22) - 1</f>
        <v>3.4452086157861235</v>
      </c>
      <c r="CU22" s="7" cm="1">
        <f t="array" ref="CU22">PRODUCT(1 + 預測IC!$C22:CU22) - 1</f>
        <v>2.9107535738726003</v>
      </c>
      <c r="CV22" s="7" cm="1">
        <f t="array" ref="CV22">PRODUCT(1 + 預測IC!$C22:CV22) - 1</f>
        <v>3.3496718985125158</v>
      </c>
      <c r="CW22" s="7" cm="1">
        <f t="array" ref="CW22">PRODUCT(1 + 預測IC!$C22:CW22) - 1</f>
        <v>3.508222890770897</v>
      </c>
      <c r="CX22" s="7" cm="1">
        <f t="array" ref="CX22">PRODUCT(1 + 預測IC!$C22:CX22) - 1</f>
        <v>3.5251268929720938</v>
      </c>
      <c r="CY22" s="7" cm="1">
        <f t="array" ref="CY22">PRODUCT(1 + 預測IC!$C22:CY22) - 1</f>
        <v>3.4889764426211194</v>
      </c>
      <c r="CZ22" s="7" cm="1">
        <f t="array" ref="CZ22">PRODUCT(1 + 預測IC!$C22:CZ22) - 1</f>
        <v>4.6692203042696327</v>
      </c>
      <c r="DA22" s="7" cm="1">
        <f t="array" ref="DA22">PRODUCT(1 + 預測IC!$C22:DA22) - 1</f>
        <v>4.6465901721125817</v>
      </c>
      <c r="DB22" s="7" cm="1">
        <f t="array" ref="DB22">PRODUCT(1 + 預測IC!$C22:DB22) - 1</f>
        <v>4.9517410621482414</v>
      </c>
      <c r="DC22" s="7" cm="1">
        <f t="array" ref="DC22">PRODUCT(1 + 預測IC!$C22:DC22) - 1</f>
        <v>5.3823021148359178</v>
      </c>
      <c r="DD22" s="7" cm="1">
        <f t="array" ref="DD22">PRODUCT(1 + 預測IC!$C22:DD22) - 1</f>
        <v>5.280424120685419</v>
      </c>
      <c r="DE22" s="7" cm="1">
        <f t="array" ref="DE22">PRODUCT(1 + 預測IC!$C22:DE22) - 1</f>
        <v>5.2459335513906131</v>
      </c>
      <c r="DF22" s="7" cm="1">
        <f t="array" ref="DF22">PRODUCT(1 + 預測IC!$C22:DF22) - 1</f>
        <v>5.3523128880114434</v>
      </c>
      <c r="DG22" s="7" cm="1">
        <f t="array" ref="DG22">PRODUCT(1 + 預測IC!$C22:DG22) - 1</f>
        <v>5.5554918893977678</v>
      </c>
      <c r="DH22" s="7" cm="1">
        <f t="array" ref="DH22">PRODUCT(1 + 預測IC!$C22:DH22) - 1</f>
        <v>5.6469104931985719</v>
      </c>
      <c r="DI22" s="7" cm="1">
        <f t="array" ref="DI22">PRODUCT(1 + 預測IC!$C22:DI22) - 1</f>
        <v>6.0693947661530041</v>
      </c>
      <c r="DJ22" s="7" cm="1">
        <f t="array" ref="DJ22">PRODUCT(1 + 預測IC!$C22:DJ22) - 1</f>
        <v>6.3718017155333442</v>
      </c>
      <c r="DK22" s="7" cm="1">
        <f t="array" ref="DK22">PRODUCT(1 + 預測IC!$C22:DK22) - 1</f>
        <v>7.6923473062041321</v>
      </c>
      <c r="DL22" s="7" cm="1">
        <f t="array" ref="DL22">PRODUCT(1 + 預測IC!$C22:DL22) - 1</f>
        <v>8.7783835013468785</v>
      </c>
      <c r="DM22" s="7" cm="1">
        <f t="array" ref="DM22">PRODUCT(1 + 預測IC!$C22:DM22) - 1</f>
        <v>8.1577881149809333</v>
      </c>
      <c r="DN22" s="7" cm="1">
        <f t="array" ref="DN22">PRODUCT(1 + 預測IC!$C22:DN22) - 1</f>
        <v>8.5860367662245451</v>
      </c>
      <c r="DO22" s="7" cm="1">
        <f t="array" ref="DO22">PRODUCT(1 + 預測IC!$C22:DO22) - 1</f>
        <v>9.7693131921288003</v>
      </c>
      <c r="DP22" s="7" cm="1">
        <f t="array" ref="DP22">PRODUCT(1 + 預測IC!$C22:DP22) - 1</f>
        <v>9.8794537350433806</v>
      </c>
      <c r="DQ22" s="7" cm="1">
        <f t="array" ref="DQ22">PRODUCT(1 + 預測IC!$C22:DQ22) - 1</f>
        <v>9.3153518629983179</v>
      </c>
      <c r="DR22" s="7" cm="1">
        <f t="array" ref="DR22">PRODUCT(1 + 預測IC!$C22:DR22) - 1</f>
        <v>9.252505039027481</v>
      </c>
      <c r="DS22" s="7" cm="1">
        <f t="array" ref="DS22">PRODUCT(1 + 預測IC!$C22:DS22) - 1</f>
        <v>7.2322394727643839</v>
      </c>
      <c r="DT22" s="7" cm="1">
        <f t="array" ref="DT22">PRODUCT(1 + 預測IC!$C22:DT22) - 1</f>
        <v>6.872643346107786</v>
      </c>
      <c r="DU22" s="7" cm="1">
        <f t="array" ref="DU22">PRODUCT(1 + 預測IC!$C22:DU22) - 1</f>
        <v>5.6008421330625939</v>
      </c>
      <c r="DV22" s="7" cm="1">
        <f t="array" ref="DV22">PRODUCT(1 + 預測IC!$C22:DV22) - 1</f>
        <v>6.4306017701743032</v>
      </c>
      <c r="DW22" s="7" cm="1">
        <f t="array" ref="DW22">PRODUCT(1 + 預測IC!$C22:DW22) - 1</f>
        <v>7.0130845899149907</v>
      </c>
      <c r="DX22" s="7" cm="1">
        <f t="array" ref="DX22">PRODUCT(1 + 預測IC!$C22:DX22) - 1</f>
        <v>5.2306331520174663</v>
      </c>
      <c r="DY22" s="7" cm="1">
        <f t="array" ref="DY22">PRODUCT(1 + 預測IC!$C22:DY22) - 1</f>
        <v>5.9780351364137871</v>
      </c>
      <c r="DZ22" s="7" cm="1">
        <f t="array" ref="DZ22">PRODUCT(1 + 預測IC!$C22:DZ22) - 1</f>
        <v>6.75144220514946</v>
      </c>
      <c r="EA22" s="7" cm="1">
        <f t="array" ref="EA22">PRODUCT(1 + 預測IC!$C22:EA22) - 1</f>
        <v>7.8394048830344314</v>
      </c>
      <c r="EB22" s="7" cm="1">
        <f t="array" ref="EB22">PRODUCT(1 + 預測IC!$C22:EB22) - 1</f>
        <v>7.1269777761021462</v>
      </c>
      <c r="EC22" s="7" cm="1">
        <f t="array" ref="EC22">PRODUCT(1 + 預測IC!$C22:EC22) - 1</f>
        <v>7.8428462497347127</v>
      </c>
      <c r="ED22" s="7" cm="1">
        <f t="array" ref="ED22">PRODUCT(1 + 預測IC!$C22:ED22) - 1</f>
        <v>7.1582899786007612</v>
      </c>
      <c r="EE22" s="7" cm="1">
        <f t="array" ref="EE22">PRODUCT(1 + 預測IC!$C22:EE22) - 1</f>
        <v>7.4311546238131783</v>
      </c>
      <c r="EF22" s="7" cm="1">
        <f t="array" ref="EF22">PRODUCT(1 + 預測IC!$C22:EF22) - 1</f>
        <v>7.1378326772488379</v>
      </c>
    </row>
    <row r="23" spans="1:136" x14ac:dyDescent="0.3">
      <c r="A23" s="1">
        <v>2</v>
      </c>
      <c r="B23" s="1" t="s">
        <v>164</v>
      </c>
      <c r="C23" s="7" cm="1">
        <f t="array" ref="C23">PRODUCT(1 + 預測IC!$C23:C23) - 1</f>
        <v>0.28298926569632887</v>
      </c>
      <c r="D23" s="7" cm="1">
        <f t="array" ref="D23">PRODUCT(1 + 預測IC!$C23:D23) - 1</f>
        <v>0.60898737920913004</v>
      </c>
      <c r="E23" s="7" cm="1">
        <f t="array" ref="E23">PRODUCT(1 + 預測IC!$C23:E23) - 1</f>
        <v>0.82299105781477033</v>
      </c>
      <c r="F23" s="7" cm="1">
        <f t="array" ref="F23">PRODUCT(1 + 預測IC!$C23:F23) - 1</f>
        <v>0.81617264660752276</v>
      </c>
      <c r="G23" s="7" cm="1">
        <f t="array" ref="G23">PRODUCT(1 + 預測IC!$C23:G23) - 1</f>
        <v>1.4729590124999805</v>
      </c>
      <c r="H23" s="7" cm="1">
        <f t="array" ref="H23">PRODUCT(1 + 預測IC!$C23:H23) - 1</f>
        <v>1.4279796696089377</v>
      </c>
      <c r="I23" s="7" cm="1">
        <f t="array" ref="I23">PRODUCT(1 + 預測IC!$C23:I23) - 1</f>
        <v>1.3396340143928493</v>
      </c>
      <c r="J23" s="7" cm="1">
        <f t="array" ref="J23">PRODUCT(1 + 預測IC!$C23:J23) - 1</f>
        <v>1.0708626940293637</v>
      </c>
      <c r="K23" s="7" cm="1">
        <f t="array" ref="K23">PRODUCT(1 + 預測IC!$C23:K23) - 1</f>
        <v>0.94678098229645635</v>
      </c>
      <c r="L23" s="7" cm="1">
        <f t="array" ref="L23">PRODUCT(1 + 預測IC!$C23:L23) - 1</f>
        <v>1.0456206758090425</v>
      </c>
      <c r="M23" s="7" cm="1">
        <f t="array" ref="M23">PRODUCT(1 + 預測IC!$C23:M23) - 1</f>
        <v>0.50850339065532335</v>
      </c>
      <c r="N23" s="7" cm="1">
        <f t="array" ref="N23">PRODUCT(1 + 預測IC!$C23:N23) - 1</f>
        <v>1.9806540267754729</v>
      </c>
      <c r="O23" s="7" cm="1">
        <f t="array" ref="O23">PRODUCT(1 + 預測IC!$C23:O23) - 1</f>
        <v>1.6143325193008344</v>
      </c>
      <c r="P23" s="7" cm="1">
        <f t="array" ref="P23">PRODUCT(1 + 預測IC!$C23:P23) - 1</f>
        <v>1.7572882110179484</v>
      </c>
      <c r="Q23" s="7" cm="1">
        <f t="array" ref="Q23">PRODUCT(1 + 預測IC!$C23:Q23) - 1</f>
        <v>2.5601374519146045</v>
      </c>
      <c r="R23" s="7" cm="1">
        <f t="array" ref="R23">PRODUCT(1 + 預測IC!$C23:R23) - 1</f>
        <v>2.783792328488107</v>
      </c>
      <c r="S23" s="7" cm="1">
        <f t="array" ref="S23">PRODUCT(1 + 預測IC!$C23:S23) - 1</f>
        <v>2.5091924374840198</v>
      </c>
      <c r="T23" s="7" cm="1">
        <f t="array" ref="T23">PRODUCT(1 + 預測IC!$C23:T23) - 1</f>
        <v>2.5078822130812366</v>
      </c>
      <c r="U23" s="7" cm="1">
        <f t="array" ref="U23">PRODUCT(1 + 預測IC!$C23:U23) - 1</f>
        <v>2.7156954326730958</v>
      </c>
      <c r="V23" s="7" cm="1">
        <f t="array" ref="V23">PRODUCT(1 + 預測IC!$C23:V23) - 1</f>
        <v>1.8518809499071365</v>
      </c>
      <c r="W23" s="7" cm="1">
        <f t="array" ref="W23">PRODUCT(1 + 預測IC!$C23:W23) - 1</f>
        <v>2.7976192871270644</v>
      </c>
      <c r="X23" s="7" cm="1">
        <f t="array" ref="X23">PRODUCT(1 + 預測IC!$C23:X23) - 1</f>
        <v>3.5364706575938074</v>
      </c>
      <c r="Y23" s="7" cm="1">
        <f t="array" ref="Y23">PRODUCT(1 + 預測IC!$C23:Y23) - 1</f>
        <v>3.2282178321088448</v>
      </c>
      <c r="Z23" s="7" cm="1">
        <f t="array" ref="Z23">PRODUCT(1 + 預測IC!$C23:Z23) - 1</f>
        <v>3.4017944889929073</v>
      </c>
      <c r="AA23" s="7" cm="1">
        <f t="array" ref="AA23">PRODUCT(1 + 預測IC!$C23:AA23) - 1</f>
        <v>4.06932368217229</v>
      </c>
      <c r="AB23" s="7" cm="1">
        <f t="array" ref="AB23">PRODUCT(1 + 預測IC!$C23:AB23) - 1</f>
        <v>4.2264290443799517</v>
      </c>
      <c r="AC23" s="7" cm="1">
        <f t="array" ref="AC23">PRODUCT(1 + 預測IC!$C23:AC23) - 1</f>
        <v>3.0033995912301537</v>
      </c>
      <c r="AD23" s="7" cm="1">
        <f t="array" ref="AD23">PRODUCT(1 + 預測IC!$C23:AD23) - 1</f>
        <v>2.991408242181262</v>
      </c>
      <c r="AE23" s="7" cm="1">
        <f t="array" ref="AE23">PRODUCT(1 + 預測IC!$C23:AE23) - 1</f>
        <v>2.1064602053220538</v>
      </c>
      <c r="AF23" s="7" cm="1">
        <f t="array" ref="AF23">PRODUCT(1 + 預測IC!$C23:AF23) - 1</f>
        <v>2.314301839777793</v>
      </c>
      <c r="AG23" s="7" cm="1">
        <f t="array" ref="AG23">PRODUCT(1 + 預測IC!$C23:AG23) - 1</f>
        <v>2.3074820769438928</v>
      </c>
      <c r="AH23" s="7" cm="1">
        <f t="array" ref="AH23">PRODUCT(1 + 預測IC!$C23:AH23) - 1</f>
        <v>2.0290860697454964</v>
      </c>
      <c r="AI23" s="7" cm="1">
        <f t="array" ref="AI23">PRODUCT(1 + 預測IC!$C23:AI23) - 1</f>
        <v>2.0994464885959907</v>
      </c>
      <c r="AJ23" s="7" cm="1">
        <f t="array" ref="AJ23">PRODUCT(1 + 預測IC!$C23:AJ23) - 1</f>
        <v>2.1169370923841155</v>
      </c>
      <c r="AK23" s="7" cm="1">
        <f t="array" ref="AK23">PRODUCT(1 + 預測IC!$C23:AK23) - 1</f>
        <v>2.4726142105921038</v>
      </c>
      <c r="AL23" s="7" cm="1">
        <f t="array" ref="AL23">PRODUCT(1 + 預測IC!$C23:AL23) - 1</f>
        <v>2.9290258455469687</v>
      </c>
      <c r="AM23" s="7" cm="1">
        <f t="array" ref="AM23">PRODUCT(1 + 預測IC!$C23:AM23) - 1</f>
        <v>2.9595523686537768</v>
      </c>
      <c r="AN23" s="7" cm="1">
        <f t="array" ref="AN23">PRODUCT(1 + 預測IC!$C23:AN23) - 1</f>
        <v>3.9190101104536046</v>
      </c>
      <c r="AO23" s="7" cm="1">
        <f t="array" ref="AO23">PRODUCT(1 + 預測IC!$C23:AO23) - 1</f>
        <v>3.8927575886649821</v>
      </c>
      <c r="AP23" s="7" cm="1">
        <f t="array" ref="AP23">PRODUCT(1 + 預測IC!$C23:AP23) - 1</f>
        <v>3.9080283712059529</v>
      </c>
      <c r="AQ23" s="7" cm="1">
        <f t="array" ref="AQ23">PRODUCT(1 + 預測IC!$C23:AQ23) - 1</f>
        <v>4.3469287703109947</v>
      </c>
      <c r="AR23" s="7" cm="1">
        <f t="array" ref="AR23">PRODUCT(1 + 預測IC!$C23:AR23) - 1</f>
        <v>6.1474751865770543</v>
      </c>
      <c r="AS23" s="7" cm="1">
        <f t="array" ref="AS23">PRODUCT(1 + 預測IC!$C23:AS23) - 1</f>
        <v>6.0423580695440302</v>
      </c>
      <c r="AT23" s="7" cm="1">
        <f t="array" ref="AT23">PRODUCT(1 + 預測IC!$C23:AT23) - 1</f>
        <v>5.7506092185268498</v>
      </c>
      <c r="AU23" s="7" cm="1">
        <f t="array" ref="AU23">PRODUCT(1 + 預測IC!$C23:AU23) - 1</f>
        <v>5.9743617127628532</v>
      </c>
      <c r="AV23" s="7" cm="1">
        <f t="array" ref="AV23">PRODUCT(1 + 預測IC!$C23:AV23) - 1</f>
        <v>5.7815973698534133</v>
      </c>
      <c r="AW23" s="7" cm="1">
        <f t="array" ref="AW23">PRODUCT(1 + 預測IC!$C23:AW23) - 1</f>
        <v>5.428771814931701</v>
      </c>
      <c r="AX23" s="7" cm="1">
        <f t="array" ref="AX23">PRODUCT(1 + 預測IC!$C23:AX23) - 1</f>
        <v>5.8777453698618665</v>
      </c>
      <c r="AY23" s="7" cm="1">
        <f t="array" ref="AY23">PRODUCT(1 + 預測IC!$C23:AY23) - 1</f>
        <v>7.0485713433813348</v>
      </c>
      <c r="AZ23" s="7" cm="1">
        <f t="array" ref="AZ23">PRODUCT(1 + 預測IC!$C23:AZ23) - 1</f>
        <v>6.535445805330264</v>
      </c>
      <c r="BA23" s="7" cm="1">
        <f t="array" ref="BA23">PRODUCT(1 + 預測IC!$C23:BA23) - 1</f>
        <v>6.9423473596534269</v>
      </c>
      <c r="BB23" s="7" cm="1">
        <f t="array" ref="BB23">PRODUCT(1 + 預測IC!$C23:BB23) - 1</f>
        <v>11.444280522187839</v>
      </c>
      <c r="BC23" s="7" cm="1">
        <f t="array" ref="BC23">PRODUCT(1 + 預測IC!$C23:BC23) - 1</f>
        <v>7.7006894004795861</v>
      </c>
      <c r="BD23" s="7" cm="1">
        <f t="array" ref="BD23">PRODUCT(1 + 預測IC!$C23:BD23) - 1</f>
        <v>8.5257834446487823</v>
      </c>
      <c r="BE23" s="7" cm="1">
        <f t="array" ref="BE23">PRODUCT(1 + 預測IC!$C23:BE23) - 1</f>
        <v>7.8453494707659726</v>
      </c>
      <c r="BF23" s="7" cm="1">
        <f t="array" ref="BF23">PRODUCT(1 + 預測IC!$C23:BF23) - 1</f>
        <v>7.6432598545122161</v>
      </c>
      <c r="BG23" s="7" cm="1">
        <f t="array" ref="BG23">PRODUCT(1 + 預測IC!$C23:BG23) - 1</f>
        <v>8.2894426771713796</v>
      </c>
      <c r="BH23" s="7" cm="1">
        <f t="array" ref="BH23">PRODUCT(1 + 預測IC!$C23:BH23) - 1</f>
        <v>6.3991898966488288</v>
      </c>
      <c r="BI23" s="7" cm="1">
        <f t="array" ref="BI23">PRODUCT(1 + 預測IC!$C23:BI23) - 1</f>
        <v>7.8132644631045931</v>
      </c>
      <c r="BJ23" s="7" cm="1">
        <f t="array" ref="BJ23">PRODUCT(1 + 預測IC!$C23:BJ23) - 1</f>
        <v>8.7298731856004768</v>
      </c>
      <c r="BK23" s="7" cm="1">
        <f t="array" ref="BK23">PRODUCT(1 + 預測IC!$C23:BK23) - 1</f>
        <v>8.7496648017601757</v>
      </c>
      <c r="BL23" s="7" cm="1">
        <f t="array" ref="BL23">PRODUCT(1 + 預測IC!$C23:BL23) - 1</f>
        <v>10.207574066567114</v>
      </c>
      <c r="BM23" s="7" cm="1">
        <f t="array" ref="BM23">PRODUCT(1 + 預測IC!$C23:BM23) - 1</f>
        <v>10.986449604496446</v>
      </c>
      <c r="BN23" s="7" cm="1">
        <f t="array" ref="BN23">PRODUCT(1 + 預測IC!$C23:BN23) - 1</f>
        <v>10.9031776923021</v>
      </c>
      <c r="BO23" s="7" cm="1">
        <f t="array" ref="BO23">PRODUCT(1 + 預測IC!$C23:BO23) - 1</f>
        <v>11.337940564105708</v>
      </c>
      <c r="BP23" s="7" cm="1">
        <f t="array" ref="BP23">PRODUCT(1 + 預測IC!$C23:BP23) - 1</f>
        <v>12.550345557025341</v>
      </c>
      <c r="BQ23" s="7" cm="1">
        <f t="array" ref="BQ23">PRODUCT(1 + 預測IC!$C23:BQ23) - 1</f>
        <v>13.526619518131699</v>
      </c>
      <c r="BR23" s="7" cm="1">
        <f t="array" ref="BR23">PRODUCT(1 + 預測IC!$C23:BR23) - 1</f>
        <v>13.785837186597917</v>
      </c>
      <c r="BS23" s="7" cm="1">
        <f t="array" ref="BS23">PRODUCT(1 + 預測IC!$C23:BS23) - 1</f>
        <v>12.702399220117348</v>
      </c>
      <c r="BT23" s="7" cm="1">
        <f t="array" ref="BT23">PRODUCT(1 + 預測IC!$C23:BT23) - 1</f>
        <v>14.670746210177981</v>
      </c>
      <c r="BU23" s="7" cm="1">
        <f t="array" ref="BU23">PRODUCT(1 + 預測IC!$C23:BU23) - 1</f>
        <v>17.894026517165926</v>
      </c>
      <c r="BV23" s="7" cm="1">
        <f t="array" ref="BV23">PRODUCT(1 + 預測IC!$C23:BV23) - 1</f>
        <v>20.037885762601665</v>
      </c>
      <c r="BW23" s="7" cm="1">
        <f t="array" ref="BW23">PRODUCT(1 + 預測IC!$C23:BW23) - 1</f>
        <v>15.785028068504296</v>
      </c>
      <c r="BX23" s="7" cm="1">
        <f t="array" ref="BX23">PRODUCT(1 + 預測IC!$C23:BX23) - 1</f>
        <v>15.647170623352366</v>
      </c>
      <c r="BY23" s="7" cm="1">
        <f t="array" ref="BY23">PRODUCT(1 + 預測IC!$C23:BY23) - 1</f>
        <v>15.477274715740062</v>
      </c>
      <c r="BZ23" s="7" cm="1">
        <f t="array" ref="BZ23">PRODUCT(1 + 預測IC!$C23:BZ23) - 1</f>
        <v>15.603651498334035</v>
      </c>
      <c r="CA23" s="7" cm="1">
        <f t="array" ref="CA23">PRODUCT(1 + 預測IC!$C23:CA23) - 1</f>
        <v>14.347532135007153</v>
      </c>
      <c r="CB23" s="7" cm="1">
        <f t="array" ref="CB23">PRODUCT(1 + 預測IC!$C23:CB23) - 1</f>
        <v>11.007691161546711</v>
      </c>
      <c r="CC23" s="7" cm="1">
        <f t="array" ref="CC23">PRODUCT(1 + 預測IC!$C23:CC23) - 1</f>
        <v>9.9925055386677233</v>
      </c>
      <c r="CD23" s="7" cm="1">
        <f t="array" ref="CD23">PRODUCT(1 + 預測IC!$C23:CD23) - 1</f>
        <v>11.545108392155747</v>
      </c>
      <c r="CE23" s="7" cm="1">
        <f t="array" ref="CE23">PRODUCT(1 + 預測IC!$C23:CE23) - 1</f>
        <v>12.292825729131895</v>
      </c>
      <c r="CF23" s="7" cm="1">
        <f t="array" ref="CF23">PRODUCT(1 + 預測IC!$C23:CF23) - 1</f>
        <v>9.8544796862572799</v>
      </c>
      <c r="CG23" s="7" cm="1">
        <f t="array" ref="CG23">PRODUCT(1 + 預測IC!$C23:CG23) - 1</f>
        <v>13.033799532581018</v>
      </c>
      <c r="CH23" s="7" cm="1">
        <f t="array" ref="CH23">PRODUCT(1 + 預測IC!$C23:CH23) - 1</f>
        <v>15.562640373227321</v>
      </c>
      <c r="CI23" s="7" cm="1">
        <f t="array" ref="CI23">PRODUCT(1 + 預測IC!$C23:CI23) - 1</f>
        <v>10.429887775461889</v>
      </c>
      <c r="CJ23" s="7" cm="1">
        <f t="array" ref="CJ23">PRODUCT(1 + 預測IC!$C23:CJ23) - 1</f>
        <v>10.20271455486464</v>
      </c>
      <c r="CK23" s="7" cm="1">
        <f t="array" ref="CK23">PRODUCT(1 + 預測IC!$C23:CK23) - 1</f>
        <v>11.279485810673423</v>
      </c>
      <c r="CL23" s="7" cm="1">
        <f t="array" ref="CL23">PRODUCT(1 + 預測IC!$C23:CL23) - 1</f>
        <v>6.261338704248427</v>
      </c>
      <c r="CM23" s="7" cm="1">
        <f t="array" ref="CM23">PRODUCT(1 + 預測IC!$C23:CM23) - 1</f>
        <v>9.0695376170432667</v>
      </c>
      <c r="CN23" s="7" cm="1">
        <f t="array" ref="CN23">PRODUCT(1 + 預測IC!$C23:CN23) - 1</f>
        <v>8.5357999795504451</v>
      </c>
      <c r="CO23" s="7" cm="1">
        <f t="array" ref="CO23">PRODUCT(1 + 預測IC!$C23:CO23) - 1</f>
        <v>-0.13151068552355538</v>
      </c>
      <c r="CP23" s="7" cm="1">
        <f t="array" ref="CP23">PRODUCT(1 + 預測IC!$C23:CP23) - 1</f>
        <v>0.13890279286074358</v>
      </c>
      <c r="CQ23" s="7" cm="1">
        <f t="array" ref="CQ23">PRODUCT(1 + 預測IC!$C23:CQ23) - 1</f>
        <v>0.16703627724415093</v>
      </c>
      <c r="CR23" s="7" cm="1">
        <f t="array" ref="CR23">PRODUCT(1 + 預測IC!$C23:CR23) - 1</f>
        <v>0.12241716694929616</v>
      </c>
      <c r="CS23" s="7" cm="1">
        <f t="array" ref="CS23">PRODUCT(1 + 預測IC!$C23:CS23) - 1</f>
        <v>0.19988120398245868</v>
      </c>
      <c r="CT23" s="7" cm="1">
        <f t="array" ref="CT23">PRODUCT(1 + 預測IC!$C23:CT23) - 1</f>
        <v>0.25467082950785724</v>
      </c>
      <c r="CU23" s="7" cm="1">
        <f t="array" ref="CU23">PRODUCT(1 + 預測IC!$C23:CU23) - 1</f>
        <v>0.2282517330976559</v>
      </c>
      <c r="CV23" s="7" cm="1">
        <f t="array" ref="CV23">PRODUCT(1 + 預測IC!$C23:CV23) - 1</f>
        <v>0.20092910442403467</v>
      </c>
      <c r="CW23" s="7" cm="1">
        <f t="array" ref="CW23">PRODUCT(1 + 預測IC!$C23:CW23) - 1</f>
        <v>0.32210445046070557</v>
      </c>
      <c r="CX23" s="7" cm="1">
        <f t="array" ref="CX23">PRODUCT(1 + 預測IC!$C23:CX23) - 1</f>
        <v>0.20481131773419192</v>
      </c>
      <c r="CY23" s="7" cm="1">
        <f t="array" ref="CY23">PRODUCT(1 + 預測IC!$C23:CY23) - 1</f>
        <v>0.23137322750263745</v>
      </c>
      <c r="CZ23" s="7" cm="1">
        <f t="array" ref="CZ23">PRODUCT(1 + 預測IC!$C23:CZ23) - 1</f>
        <v>0.45548166969635129</v>
      </c>
      <c r="DA23" s="7" cm="1">
        <f t="array" ref="DA23">PRODUCT(1 + 預測IC!$C23:DA23) - 1</f>
        <v>0.41038773833150333</v>
      </c>
      <c r="DB23" s="7" cm="1">
        <f t="array" ref="DB23">PRODUCT(1 + 預測IC!$C23:DB23) - 1</f>
        <v>0.43682837097270633</v>
      </c>
      <c r="DC23" s="7" cm="1">
        <f t="array" ref="DC23">PRODUCT(1 + 預測IC!$C23:DC23) - 1</f>
        <v>0.54087778264357333</v>
      </c>
      <c r="DD23" s="7" cm="1">
        <f t="array" ref="DD23">PRODUCT(1 + 預測IC!$C23:DD23) - 1</f>
        <v>0.51251357211274318</v>
      </c>
      <c r="DE23" s="7" cm="1">
        <f t="array" ref="DE23">PRODUCT(1 + 預測IC!$C23:DE23) - 1</f>
        <v>0.49830316534781449</v>
      </c>
      <c r="DF23" s="7" cm="1">
        <f t="array" ref="DF23">PRODUCT(1 + 預測IC!$C23:DF23) - 1</f>
        <v>0.59111125036757284</v>
      </c>
      <c r="DG23" s="7" cm="1">
        <f t="array" ref="DG23">PRODUCT(1 + 預測IC!$C23:DG23) - 1</f>
        <v>0.65200309681313562</v>
      </c>
      <c r="DH23" s="7" cm="1">
        <f t="array" ref="DH23">PRODUCT(1 + 預測IC!$C23:DH23) - 1</f>
        <v>0.74354628337226969</v>
      </c>
      <c r="DI23" s="7" cm="1">
        <f t="array" ref="DI23">PRODUCT(1 + 預測IC!$C23:DI23) - 1</f>
        <v>0.83679043581144508</v>
      </c>
      <c r="DJ23" s="7" cm="1">
        <f t="array" ref="DJ23">PRODUCT(1 + 預測IC!$C23:DJ23) - 1</f>
        <v>0.77466177757668686</v>
      </c>
      <c r="DK23" s="7" cm="1">
        <f t="array" ref="DK23">PRODUCT(1 + 預測IC!$C23:DK23) - 1</f>
        <v>1.267721767544852</v>
      </c>
      <c r="DL23" s="7" cm="1">
        <f t="array" ref="DL23">PRODUCT(1 + 預測IC!$C23:DL23) - 1</f>
        <v>1.7577788442538367</v>
      </c>
      <c r="DM23" s="7" cm="1">
        <f t="array" ref="DM23">PRODUCT(1 + 預測IC!$C23:DM23) - 1</f>
        <v>1.7040095892272431</v>
      </c>
      <c r="DN23" s="7" cm="1">
        <f t="array" ref="DN23">PRODUCT(1 + 預測IC!$C23:DN23) - 1</f>
        <v>1.7215780696332277</v>
      </c>
      <c r="DO23" s="7" cm="1">
        <f t="array" ref="DO23">PRODUCT(1 + 預測IC!$C23:DO23) - 1</f>
        <v>2.1681653632927556</v>
      </c>
      <c r="DP23" s="7" cm="1">
        <f t="array" ref="DP23">PRODUCT(1 + 預測IC!$C23:DP23) - 1</f>
        <v>2.3173486710112878</v>
      </c>
      <c r="DQ23" s="7" cm="1">
        <f t="array" ref="DQ23">PRODUCT(1 + 預測IC!$C23:DQ23) - 1</f>
        <v>1.9155114549289762</v>
      </c>
      <c r="DR23" s="7" cm="1">
        <f t="array" ref="DR23">PRODUCT(1 + 預測IC!$C23:DR23) - 1</f>
        <v>1.6534477843280739</v>
      </c>
      <c r="DS23" s="7" cm="1">
        <f t="array" ref="DS23">PRODUCT(1 + 預測IC!$C23:DS23) - 1</f>
        <v>0.88899856062972815</v>
      </c>
      <c r="DT23" s="7" cm="1">
        <f t="array" ref="DT23">PRODUCT(1 + 預測IC!$C23:DT23) - 1</f>
        <v>0.786519518513219</v>
      </c>
      <c r="DU23" s="7" cm="1">
        <f t="array" ref="DU23">PRODUCT(1 + 預測IC!$C23:DU23) - 1</f>
        <v>0.68711850380097195</v>
      </c>
      <c r="DV23" s="7" cm="1">
        <f t="array" ref="DV23">PRODUCT(1 + 預測IC!$C23:DV23) - 1</f>
        <v>1.1532214462884243</v>
      </c>
      <c r="DW23" s="7" cm="1">
        <f t="array" ref="DW23">PRODUCT(1 + 預測IC!$C23:DW23) - 1</f>
        <v>1.4573171055072023</v>
      </c>
      <c r="DX23" s="7" cm="1">
        <f t="array" ref="DX23">PRODUCT(1 + 預測IC!$C23:DX23) - 1</f>
        <v>0.6869648870118692</v>
      </c>
      <c r="DY23" s="7" cm="1">
        <f t="array" ref="DY23">PRODUCT(1 + 預測IC!$C23:DY23) - 1</f>
        <v>0.5959932397278358</v>
      </c>
      <c r="DZ23" s="7" cm="1">
        <f t="array" ref="DZ23">PRODUCT(1 + 預測IC!$C23:DZ23) - 1</f>
        <v>0.2493850234302033</v>
      </c>
      <c r="EA23" s="7" cm="1">
        <f t="array" ref="EA23">PRODUCT(1 + 預測IC!$C23:EA23) - 1</f>
        <v>0.21345423468543556</v>
      </c>
      <c r="EB23" s="7" cm="1">
        <f t="array" ref="EB23">PRODUCT(1 + 預測IC!$C23:EB23) - 1</f>
        <v>0.13730580752743982</v>
      </c>
      <c r="EC23" s="7" cm="1">
        <f t="array" ref="EC23">PRODUCT(1 + 預測IC!$C23:EC23) - 1</f>
        <v>0.24380827893409518</v>
      </c>
      <c r="ED23" s="7" cm="1">
        <f t="array" ref="ED23">PRODUCT(1 + 預測IC!$C23:ED23) - 1</f>
        <v>0.13009198185897253</v>
      </c>
      <c r="EE23" s="7" cm="1">
        <f t="array" ref="EE23">PRODUCT(1 + 預測IC!$C23:EE23) - 1</f>
        <v>0.19682468624436167</v>
      </c>
      <c r="EF23" s="7" cm="1">
        <f t="array" ref="EF23">PRODUCT(1 + 預測IC!$C23:EF23) - 1</f>
        <v>0.13963767566085794</v>
      </c>
    </row>
    <row r="24" spans="1:136" x14ac:dyDescent="0.3">
      <c r="A24" s="1">
        <v>1</v>
      </c>
      <c r="B24" s="1" t="s">
        <v>163</v>
      </c>
      <c r="C24" s="7" cm="1">
        <f t="array" ref="C24">PRODUCT(1 + 預測IC!$C24:C24) - 1</f>
        <v>9.9113364206882659E-2</v>
      </c>
      <c r="D24" s="7" cm="1">
        <f t="array" ref="D24">PRODUCT(1 + 預測IC!$C24:D24) - 1</f>
        <v>0.20969506404611526</v>
      </c>
      <c r="E24" s="7" cm="1">
        <f t="array" ref="E24">PRODUCT(1 + 預測IC!$C24:E24) - 1</f>
        <v>0.55386842816174742</v>
      </c>
      <c r="F24" s="7" cm="1">
        <f t="array" ref="F24">PRODUCT(1 + 預測IC!$C24:F24) - 1</f>
        <v>0.67091588873095698</v>
      </c>
      <c r="G24" s="7" cm="1">
        <f t="array" ref="G24">PRODUCT(1 + 預測IC!$C24:G24) - 1</f>
        <v>1.0545699598454359</v>
      </c>
      <c r="H24" s="7" cm="1">
        <f t="array" ref="H24">PRODUCT(1 + 預測IC!$C24:H24) - 1</f>
        <v>1.1282382025390363</v>
      </c>
      <c r="I24" s="7" cm="1">
        <f t="array" ref="I24">PRODUCT(1 + 預測IC!$C24:I24) - 1</f>
        <v>1.1642630803912803</v>
      </c>
      <c r="J24" s="7" cm="1">
        <f t="array" ref="J24">PRODUCT(1 + 預測IC!$C24:J24) - 1</f>
        <v>0.91437120905800318</v>
      </c>
      <c r="K24" s="7" cm="1">
        <f t="array" ref="K24">PRODUCT(1 + 預測IC!$C24:K24) - 1</f>
        <v>1.0172361108560799</v>
      </c>
      <c r="L24" s="7" cm="1">
        <f t="array" ref="L24">PRODUCT(1 + 預測IC!$C24:L24) - 1</f>
        <v>1.2064522392808206</v>
      </c>
      <c r="M24" s="7" cm="1">
        <f t="array" ref="M24">PRODUCT(1 + 預測IC!$C24:M24) - 1</f>
        <v>0.1848040775317259</v>
      </c>
      <c r="N24" s="7" cm="1">
        <f t="array" ref="N24">PRODUCT(1 + 預測IC!$C24:N24) - 1</f>
        <v>2.2807596569378292</v>
      </c>
      <c r="O24" s="7" cm="1">
        <f t="array" ref="O24">PRODUCT(1 + 預測IC!$C24:O24) - 1</f>
        <v>1.4793426976509063</v>
      </c>
      <c r="P24" s="7" cm="1">
        <f t="array" ref="P24">PRODUCT(1 + 預測IC!$C24:P24) - 1</f>
        <v>1.4836475527677382</v>
      </c>
      <c r="Q24" s="7" cm="1">
        <f t="array" ref="Q24">PRODUCT(1 + 預測IC!$C24:Q24) - 1</f>
        <v>1.4765762713964463</v>
      </c>
      <c r="R24" s="7" cm="1">
        <f t="array" ref="R24">PRODUCT(1 + 預測IC!$C24:R24) - 1</f>
        <v>1.4076709259593945</v>
      </c>
      <c r="S24" s="7" cm="1">
        <f t="array" ref="S24">PRODUCT(1 + 預測IC!$C24:S24) - 1</f>
        <v>1.3810554235157455</v>
      </c>
      <c r="T24" s="7" cm="1">
        <f t="array" ref="T24">PRODUCT(1 + 預測IC!$C24:T24) - 1</f>
        <v>1.6755706548908251</v>
      </c>
      <c r="U24" s="7" cm="1">
        <f t="array" ref="U24">PRODUCT(1 + 預測IC!$C24:U24) - 1</f>
        <v>2.4403993558810231</v>
      </c>
      <c r="V24" s="7" cm="1">
        <f t="array" ref="V24">PRODUCT(1 + 預測IC!$C24:V24) - 1</f>
        <v>2.1009058693051261</v>
      </c>
      <c r="W24" s="7" cm="1">
        <f t="array" ref="W24">PRODUCT(1 + 預測IC!$C24:W24) - 1</f>
        <v>3.6380620760408089</v>
      </c>
      <c r="X24" s="7" cm="1">
        <f t="array" ref="X24">PRODUCT(1 + 預測IC!$C24:X24) - 1</f>
        <v>3.633893031197367</v>
      </c>
      <c r="Y24" s="7" cm="1">
        <f t="array" ref="Y24">PRODUCT(1 + 預測IC!$C24:Y24) - 1</f>
        <v>3.0763546385545011</v>
      </c>
      <c r="Z24" s="7" cm="1">
        <f t="array" ref="Z24">PRODUCT(1 + 預測IC!$C24:Z24) - 1</f>
        <v>2.9769138066037226</v>
      </c>
      <c r="AA24" s="7" cm="1">
        <f t="array" ref="AA24">PRODUCT(1 + 預測IC!$C24:AA24) - 1</f>
        <v>3.3521737342812692</v>
      </c>
      <c r="AB24" s="7" cm="1">
        <f t="array" ref="AB24">PRODUCT(1 + 預測IC!$C24:AB24) - 1</f>
        <v>4.6595397125410782</v>
      </c>
      <c r="AC24" s="7" cm="1">
        <f t="array" ref="AC24">PRODUCT(1 + 預測IC!$C24:AC24) - 1</f>
        <v>3.2663367143041828</v>
      </c>
      <c r="AD24" s="7" cm="1">
        <f t="array" ref="AD24">PRODUCT(1 + 預測IC!$C24:AD24) - 1</f>
        <v>3.0106886593652602</v>
      </c>
      <c r="AE24" s="7" cm="1">
        <f t="array" ref="AE24">PRODUCT(1 + 預測IC!$C24:AE24) - 1</f>
        <v>2.3077400106749257</v>
      </c>
      <c r="AF24" s="7" cm="1">
        <f t="array" ref="AF24">PRODUCT(1 + 預測IC!$C24:AF24) - 1</f>
        <v>2.3822369643878245</v>
      </c>
      <c r="AG24" s="7" cm="1">
        <f t="array" ref="AG24">PRODUCT(1 + 預測IC!$C24:AG24) - 1</f>
        <v>2.7404174569368775</v>
      </c>
      <c r="AH24" s="7" cm="1">
        <f t="array" ref="AH24">PRODUCT(1 + 預測IC!$C24:AH24) - 1</f>
        <v>2.5283456615770814</v>
      </c>
      <c r="AI24" s="7" cm="1">
        <f t="array" ref="AI24">PRODUCT(1 + 預測IC!$C24:AI24) - 1</f>
        <v>2.497266824760211</v>
      </c>
      <c r="AJ24" s="7" cm="1">
        <f t="array" ref="AJ24">PRODUCT(1 + 預測IC!$C24:AJ24) - 1</f>
        <v>2.2143685607076118</v>
      </c>
      <c r="AK24" s="7" cm="1">
        <f t="array" ref="AK24">PRODUCT(1 + 預測IC!$C24:AK24) - 1</f>
        <v>2.4872168707585898</v>
      </c>
      <c r="AL24" s="7" cm="1">
        <f t="array" ref="AL24">PRODUCT(1 + 預測IC!$C24:AL24) - 1</f>
        <v>2.2965465388742672</v>
      </c>
      <c r="AM24" s="7" cm="1">
        <f t="array" ref="AM24">PRODUCT(1 + 預測IC!$C24:AM24) - 1</f>
        <v>2.2341782471894418</v>
      </c>
      <c r="AN24" s="7" cm="1">
        <f t="array" ref="AN24">PRODUCT(1 + 預測IC!$C24:AN24) - 1</f>
        <v>2.949544403870263</v>
      </c>
      <c r="AO24" s="7" cm="1">
        <f t="array" ref="AO24">PRODUCT(1 + 預測IC!$C24:AO24) - 1</f>
        <v>3.2105702351956102</v>
      </c>
      <c r="AP24" s="7" cm="1">
        <f t="array" ref="AP24">PRODUCT(1 + 預測IC!$C24:AP24) - 1</f>
        <v>3.1143514821340625</v>
      </c>
      <c r="AQ24" s="7" cm="1">
        <f t="array" ref="AQ24">PRODUCT(1 + 預測IC!$C24:AQ24) - 1</f>
        <v>3.3080426950890267</v>
      </c>
      <c r="AR24" s="7" cm="1">
        <f t="array" ref="AR24">PRODUCT(1 + 預測IC!$C24:AR24) - 1</f>
        <v>3.3495690241035163</v>
      </c>
      <c r="AS24" s="7" cm="1">
        <f t="array" ref="AS24">PRODUCT(1 + 預測IC!$C24:AS24) - 1</f>
        <v>3.2279721363893117</v>
      </c>
      <c r="AT24" s="7" cm="1">
        <f t="array" ref="AT24">PRODUCT(1 + 預測IC!$C24:AT24) - 1</f>
        <v>3.3567528169311602</v>
      </c>
      <c r="AU24" s="7" cm="1">
        <f t="array" ref="AU24">PRODUCT(1 + 預測IC!$C24:AU24) - 1</f>
        <v>3.5488652259674565</v>
      </c>
      <c r="AV24" s="7" cm="1">
        <f t="array" ref="AV24">PRODUCT(1 + 預測IC!$C24:AV24) - 1</f>
        <v>3.1524227412893078</v>
      </c>
      <c r="AW24" s="7" cm="1">
        <f t="array" ref="AW24">PRODUCT(1 + 預測IC!$C24:AW24) - 1</f>
        <v>3.1731331220828718</v>
      </c>
      <c r="AX24" s="7" cm="1">
        <f t="array" ref="AX24">PRODUCT(1 + 預測IC!$C24:AX24) - 1</f>
        <v>3.2912586068948837</v>
      </c>
      <c r="AY24" s="7" cm="1">
        <f t="array" ref="AY24">PRODUCT(1 + 預測IC!$C24:AY24) - 1</f>
        <v>4.0127363038323614</v>
      </c>
      <c r="AZ24" s="7" cm="1">
        <f t="array" ref="AZ24">PRODUCT(1 + 預測IC!$C24:AZ24) - 1</f>
        <v>4.2025539583852947</v>
      </c>
      <c r="BA24" s="7" cm="1">
        <f t="array" ref="BA24">PRODUCT(1 + 預測IC!$C24:BA24) - 1</f>
        <v>4.4652376992205998</v>
      </c>
      <c r="BB24" s="7" cm="1">
        <f t="array" ref="BB24">PRODUCT(1 + 預測IC!$C24:BB24) - 1</f>
        <v>8.2404956402590894</v>
      </c>
      <c r="BC24" s="7" cm="1">
        <f t="array" ref="BC24">PRODUCT(1 + 預測IC!$C24:BC24) - 1</f>
        <v>0.81838157353623209</v>
      </c>
      <c r="BD24" s="7" cm="1">
        <f t="array" ref="BD24">PRODUCT(1 + 預測IC!$C24:BD24) - 1</f>
        <v>1.1558645003503667</v>
      </c>
      <c r="BE24" s="7" cm="1">
        <f t="array" ref="BE24">PRODUCT(1 + 預測IC!$C24:BE24) - 1</f>
        <v>1.0565559947618817</v>
      </c>
      <c r="BF24" s="7" cm="1">
        <f t="array" ref="BF24">PRODUCT(1 + 預測IC!$C24:BF24) - 1</f>
        <v>1.2368158753728133</v>
      </c>
      <c r="BG24" s="7" cm="1">
        <f t="array" ref="BG24">PRODUCT(1 + 預測IC!$C24:BG24) - 1</f>
        <v>1.2968429898535403</v>
      </c>
      <c r="BH24" s="7" cm="1">
        <f t="array" ref="BH24">PRODUCT(1 + 預測IC!$C24:BH24) - 1</f>
        <v>0.40967512697017017</v>
      </c>
      <c r="BI24" s="7" cm="1">
        <f t="array" ref="BI24">PRODUCT(1 + 預測IC!$C24:BI24) - 1</f>
        <v>0.72491951546368938</v>
      </c>
      <c r="BJ24" s="7" cm="1">
        <f t="array" ref="BJ24">PRODUCT(1 + 預測IC!$C24:BJ24) - 1</f>
        <v>0.73069509065322436</v>
      </c>
      <c r="BK24" s="7" cm="1">
        <f t="array" ref="BK24">PRODUCT(1 + 預測IC!$C24:BK24) - 1</f>
        <v>0.73765862351017852</v>
      </c>
      <c r="BL24" s="7" cm="1">
        <f t="array" ref="BL24">PRODUCT(1 + 預測IC!$C24:BL24) - 1</f>
        <v>1.2887818939179794</v>
      </c>
      <c r="BM24" s="7" cm="1">
        <f t="array" ref="BM24">PRODUCT(1 + 預測IC!$C24:BM24) - 1</f>
        <v>1.0947322363013656</v>
      </c>
      <c r="BN24" s="7" cm="1">
        <f t="array" ref="BN24">PRODUCT(1 + 預測IC!$C24:BN24) - 1</f>
        <v>1.1090797734627391</v>
      </c>
      <c r="BO24" s="7" cm="1">
        <f t="array" ref="BO24">PRODUCT(1 + 預測IC!$C24:BO24) - 1</f>
        <v>0.76928658266409089</v>
      </c>
      <c r="BP24" s="7" cm="1">
        <f t="array" ref="BP24">PRODUCT(1 + 預測IC!$C24:BP24) - 1</f>
        <v>0.98753017239196828</v>
      </c>
      <c r="BQ24" s="7" cm="1">
        <f t="array" ref="BQ24">PRODUCT(1 + 預測IC!$C24:BQ24) - 1</f>
        <v>0.85999108999703533</v>
      </c>
      <c r="BR24" s="7" cm="1">
        <f t="array" ref="BR24">PRODUCT(1 + 預測IC!$C24:BR24) - 1</f>
        <v>0.93877328794731718</v>
      </c>
      <c r="BS24" s="7" cm="1">
        <f t="array" ref="BS24">PRODUCT(1 + 預測IC!$C24:BS24) - 1</f>
        <v>0.9362825120058933</v>
      </c>
      <c r="BT24" s="7" cm="1">
        <f t="array" ref="BT24">PRODUCT(1 + 預測IC!$C24:BT24) - 1</f>
        <v>1.1614154274343687</v>
      </c>
      <c r="BU24" s="7" cm="1">
        <f t="array" ref="BU24">PRODUCT(1 + 預測IC!$C24:BU24) - 1</f>
        <v>1.6549241313821477</v>
      </c>
      <c r="BV24" s="7" cm="1">
        <f t="array" ref="BV24">PRODUCT(1 + 預測IC!$C24:BV24) - 1</f>
        <v>1.9409350032458423</v>
      </c>
      <c r="BW24" s="7" cm="1">
        <f t="array" ref="BW24">PRODUCT(1 + 預測IC!$C24:BW24) - 1</f>
        <v>1.75907968860529</v>
      </c>
      <c r="BX24" s="7" cm="1">
        <f t="array" ref="BX24">PRODUCT(1 + 預測IC!$C24:BX24) - 1</f>
        <v>1.3922322994987382</v>
      </c>
      <c r="BY24" s="7" cm="1">
        <f t="array" ref="BY24">PRODUCT(1 + 預測IC!$C24:BY24) - 1</f>
        <v>1.6547694340111363</v>
      </c>
      <c r="BZ24" s="7" cm="1">
        <f t="array" ref="BZ24">PRODUCT(1 + 預測IC!$C24:BZ24) - 1</f>
        <v>2.3420703885606451</v>
      </c>
      <c r="CA24" s="7" cm="1">
        <f t="array" ref="CA24">PRODUCT(1 + 預測IC!$C24:CA24) - 1</f>
        <v>1.9569914211276287</v>
      </c>
      <c r="CB24" s="7" cm="1">
        <f t="array" ref="CB24">PRODUCT(1 + 預測IC!$C24:CB24) - 1</f>
        <v>2.5742987881545241</v>
      </c>
      <c r="CC24" s="7" cm="1">
        <f t="array" ref="CC24">PRODUCT(1 + 預測IC!$C24:CC24) - 1</f>
        <v>1.922096917597711</v>
      </c>
      <c r="CD24" s="7" cm="1">
        <f t="array" ref="CD24">PRODUCT(1 + 預測IC!$C24:CD24) - 1</f>
        <v>2.0096240232136688</v>
      </c>
      <c r="CE24" s="7" cm="1">
        <f t="array" ref="CE24">PRODUCT(1 + 預測IC!$C24:CE24) - 1</f>
        <v>2.5079120453776715</v>
      </c>
      <c r="CF24" s="7" cm="1">
        <f t="array" ref="CF24">PRODUCT(1 + 預測IC!$C24:CF24) - 1</f>
        <v>1.9286457830864996</v>
      </c>
      <c r="CG24" s="7" cm="1">
        <f t="array" ref="CG24">PRODUCT(1 + 預測IC!$C24:CG24) - 1</f>
        <v>2.6235485135689141</v>
      </c>
      <c r="CH24" s="7" cm="1">
        <f t="array" ref="CH24">PRODUCT(1 + 預測IC!$C24:CH24) - 1</f>
        <v>3.907289485933779</v>
      </c>
      <c r="CI24" s="7" cm="1">
        <f t="array" ref="CI24">PRODUCT(1 + 預測IC!$C24:CI24) - 1</f>
        <v>5.5190976523361597</v>
      </c>
      <c r="CJ24" s="7" cm="1">
        <f t="array" ref="CJ24">PRODUCT(1 + 預測IC!$C24:CJ24) - 1</f>
        <v>5.6045596679572327</v>
      </c>
      <c r="CK24" s="7" cm="1">
        <f t="array" ref="CK24">PRODUCT(1 + 預測IC!$C24:CK24) - 1</f>
        <v>6.2222846575465232</v>
      </c>
      <c r="CL24" s="7" cm="1">
        <f t="array" ref="CL24">PRODUCT(1 + 預測IC!$C24:CL24) - 1</f>
        <v>7.2460820268884163</v>
      </c>
      <c r="CM24" s="7" cm="1">
        <f t="array" ref="CM24">PRODUCT(1 + 預測IC!$C24:CM24) - 1</f>
        <v>11.778022416531702</v>
      </c>
      <c r="CN24" s="7" cm="1">
        <f t="array" ref="CN24">PRODUCT(1 + 預測IC!$C24:CN24) - 1</f>
        <v>10.401334043611959</v>
      </c>
      <c r="CO24" s="7" cm="1">
        <f t="array" ref="CO24">PRODUCT(1 + 預測IC!$C24:CO24) - 1</f>
        <v>1.5464512653142952</v>
      </c>
      <c r="CP24" s="7" cm="1">
        <f t="array" ref="CP24">PRODUCT(1 + 預測IC!$C24:CP24) - 1</f>
        <v>1.9547599685508641</v>
      </c>
      <c r="CQ24" s="7" cm="1">
        <f t="array" ref="CQ24">PRODUCT(1 + 預測IC!$C24:CQ24) - 1</f>
        <v>2.4280819237821119</v>
      </c>
      <c r="CR24" s="7" cm="1">
        <f t="array" ref="CR24">PRODUCT(1 + 預測IC!$C24:CR24) - 1</f>
        <v>2.0961822062410707</v>
      </c>
      <c r="CS24" s="7" cm="1">
        <f t="array" ref="CS24">PRODUCT(1 + 預測IC!$C24:CS24) - 1</f>
        <v>2.0130344729812317</v>
      </c>
      <c r="CT24" s="7" cm="1">
        <f t="array" ref="CT24">PRODUCT(1 + 預測IC!$C24:CT24) - 1</f>
        <v>2.3035482683799939</v>
      </c>
      <c r="CU24" s="7" cm="1">
        <f t="array" ref="CU24">PRODUCT(1 + 預測IC!$C24:CU24) - 1</f>
        <v>2.0632106798063585</v>
      </c>
      <c r="CV24" s="7" cm="1">
        <f t="array" ref="CV24">PRODUCT(1 + 預測IC!$C24:CV24) - 1</f>
        <v>2.1093550311100837</v>
      </c>
      <c r="CW24" s="7" cm="1">
        <f t="array" ref="CW24">PRODUCT(1 + 預測IC!$C24:CW24) - 1</f>
        <v>2.6538564724698199</v>
      </c>
      <c r="CX24" s="7" cm="1">
        <f t="array" ref="CX24">PRODUCT(1 + 預測IC!$C24:CX24) - 1</f>
        <v>2.8555756345292016</v>
      </c>
      <c r="CY24" s="7" cm="1">
        <f t="array" ref="CY24">PRODUCT(1 + 預測IC!$C24:CY24) - 1</f>
        <v>2.5468716278793093</v>
      </c>
      <c r="CZ24" s="7" cm="1">
        <f t="array" ref="CZ24">PRODUCT(1 + 預測IC!$C24:CZ24) - 1</f>
        <v>2.9448541347693404</v>
      </c>
      <c r="DA24" s="7" cm="1">
        <f t="array" ref="DA24">PRODUCT(1 + 預測IC!$C24:DA24) - 1</f>
        <v>3.0415472598589597</v>
      </c>
      <c r="DB24" s="7" cm="1">
        <f t="array" ref="DB24">PRODUCT(1 + 預測IC!$C24:DB24) - 1</f>
        <v>2.9748541891543887</v>
      </c>
      <c r="DC24" s="7" cm="1">
        <f t="array" ref="DC24">PRODUCT(1 + 預測IC!$C24:DC24) - 1</f>
        <v>3.6885516414392328</v>
      </c>
      <c r="DD24" s="7" cm="1">
        <f t="array" ref="DD24">PRODUCT(1 + 預測IC!$C24:DD24) - 1</f>
        <v>3.9196961715173764</v>
      </c>
      <c r="DE24" s="7" cm="1">
        <f t="array" ref="DE24">PRODUCT(1 + 預測IC!$C24:DE24) - 1</f>
        <v>3.0535208974509249</v>
      </c>
      <c r="DF24" s="7" cm="1">
        <f t="array" ref="DF24">PRODUCT(1 + 預測IC!$C24:DF24) - 1</f>
        <v>2.6292592299203794</v>
      </c>
      <c r="DG24" s="7" cm="1">
        <f t="array" ref="DG24">PRODUCT(1 + 預測IC!$C24:DG24) - 1</f>
        <v>2.8437696239582979</v>
      </c>
      <c r="DH24" s="7" cm="1">
        <f t="array" ref="DH24">PRODUCT(1 + 預測IC!$C24:DH24) - 1</f>
        <v>2.8470234712904716</v>
      </c>
      <c r="DI24" s="7" cm="1">
        <f t="array" ref="DI24">PRODUCT(1 + 預測IC!$C24:DI24) - 1</f>
        <v>3.3928216918261018</v>
      </c>
      <c r="DJ24" s="7" cm="1">
        <f t="array" ref="DJ24">PRODUCT(1 + 預測IC!$C24:DJ24) - 1</f>
        <v>3.4854288356239183</v>
      </c>
      <c r="DK24" s="7" cm="1">
        <f t="array" ref="DK24">PRODUCT(1 + 預測IC!$C24:DK24) - 1</f>
        <v>5.008273238945625</v>
      </c>
      <c r="DL24" s="7" cm="1">
        <f t="array" ref="DL24">PRODUCT(1 + 預測IC!$C24:DL24) - 1</f>
        <v>6.2886628604999455</v>
      </c>
      <c r="DM24" s="7" cm="1">
        <f t="array" ref="DM24">PRODUCT(1 + 預測IC!$C24:DM24) - 1</f>
        <v>5.2577578313947511</v>
      </c>
      <c r="DN24" s="7" cm="1">
        <f t="array" ref="DN24">PRODUCT(1 + 預測IC!$C24:DN24) - 1</f>
        <v>6.7179090689952385</v>
      </c>
      <c r="DO24" s="7" cm="1">
        <f t="array" ref="DO24">PRODUCT(1 + 預測IC!$C24:DO24) - 1</f>
        <v>8.1491243213958171</v>
      </c>
      <c r="DP24" s="7" cm="1">
        <f t="array" ref="DP24">PRODUCT(1 + 預測IC!$C24:DP24) - 1</f>
        <v>9.195541010231258</v>
      </c>
      <c r="DQ24" s="7" cm="1">
        <f t="array" ref="DQ24">PRODUCT(1 + 預測IC!$C24:DQ24) - 1</f>
        <v>8.6808069847530298</v>
      </c>
      <c r="DR24" s="7" cm="1">
        <f t="array" ref="DR24">PRODUCT(1 + 預測IC!$C24:DR24) - 1</f>
        <v>8.482199128499806</v>
      </c>
      <c r="DS24" s="7" cm="1">
        <f t="array" ref="DS24">PRODUCT(1 + 預測IC!$C24:DS24) - 1</f>
        <v>6.4315641325901325</v>
      </c>
      <c r="DT24" s="7" cm="1">
        <f t="array" ref="DT24">PRODUCT(1 + 預測IC!$C24:DT24) - 1</f>
        <v>5.8761784844028169</v>
      </c>
      <c r="DU24" s="7" cm="1">
        <f t="array" ref="DU24">PRODUCT(1 + 預測IC!$C24:DU24) - 1</f>
        <v>6.0259512465459784</v>
      </c>
      <c r="DV24" s="7" cm="1">
        <f t="array" ref="DV24">PRODUCT(1 + 預測IC!$C24:DV24) - 1</f>
        <v>7.1376302652168473</v>
      </c>
      <c r="DW24" s="7" cm="1">
        <f t="array" ref="DW24">PRODUCT(1 + 預測IC!$C24:DW24) - 1</f>
        <v>8.0234690144999679</v>
      </c>
      <c r="DX24" s="7" cm="1">
        <f t="array" ref="DX24">PRODUCT(1 + 預測IC!$C24:DX24) - 1</f>
        <v>5.2118180807331802</v>
      </c>
      <c r="DY24" s="7" cm="1">
        <f t="array" ref="DY24">PRODUCT(1 + 預測IC!$C24:DY24) - 1</f>
        <v>5.1916925566368883</v>
      </c>
      <c r="DZ24" s="7" cm="1">
        <f t="array" ref="DZ24">PRODUCT(1 + 預測IC!$C24:DZ24) - 1</f>
        <v>2.5075530998197917</v>
      </c>
      <c r="EA24" s="7" cm="1">
        <f t="array" ref="EA24">PRODUCT(1 + 預測IC!$C24:EA24) - 1</f>
        <v>2.3149176387438564</v>
      </c>
      <c r="EB24" s="7" cm="1">
        <f t="array" ref="EB24">PRODUCT(1 + 預測IC!$C24:EB24) - 1</f>
        <v>2.2168551605181115</v>
      </c>
      <c r="EC24" s="7" cm="1">
        <f t="array" ref="EC24">PRODUCT(1 + 預測IC!$C24:EC24) - 1</f>
        <v>2.678935409713409</v>
      </c>
      <c r="ED24" s="7" cm="1">
        <f t="array" ref="ED24">PRODUCT(1 + 預測IC!$C24:ED24) - 1</f>
        <v>2.4722791400809112</v>
      </c>
      <c r="EE24" s="7" cm="1">
        <f t="array" ref="EE24">PRODUCT(1 + 預測IC!$C24:EE24) - 1</f>
        <v>2.8661378156556561</v>
      </c>
      <c r="EF24" s="7" cm="1">
        <f t="array" ref="EF24">PRODUCT(1 + 預測IC!$C24:EF24) - 1</f>
        <v>3.1262387208869944</v>
      </c>
    </row>
    <row r="25" spans="1:136" s="13" customFormat="1" x14ac:dyDescent="0.3">
      <c r="A25" s="15" t="s">
        <v>147</v>
      </c>
      <c r="B25" s="15" t="s">
        <v>148</v>
      </c>
      <c r="C25" s="16">
        <v>-1.7446770539390338E-2</v>
      </c>
      <c r="D25" s="17">
        <f>C25+預測IC!D25</f>
        <v>3.2542899924252917E-3</v>
      </c>
      <c r="E25" s="17">
        <f>D25+預測IC!E25</f>
        <v>2.7236419247192001E-2</v>
      </c>
      <c r="F25" s="17">
        <f>E25+預測IC!F25</f>
        <v>2.0678840274368924E-2</v>
      </c>
      <c r="G25" s="17">
        <f>F25+預測IC!G25</f>
        <v>5.2523970074888612E-2</v>
      </c>
      <c r="H25" s="17">
        <f>G25+預測IC!H25</f>
        <v>8.6872502811879138E-2</v>
      </c>
      <c r="I25" s="17">
        <f>H25+預測IC!I25</f>
        <v>7.8617570030553904E-2</v>
      </c>
      <c r="J25" s="17">
        <f>I25+預測IC!J25</f>
        <v>9.1461094424606662E-2</v>
      </c>
      <c r="K25" s="17">
        <f>J25+預測IC!K25</f>
        <v>4.0442569797815839E-2</v>
      </c>
      <c r="L25" s="17">
        <f>K25+預測IC!L25</f>
        <v>4.1316512538852428E-2</v>
      </c>
      <c r="M25" s="17">
        <f>L25+預測IC!M25</f>
        <v>6.4706088044348353E-2</v>
      </c>
      <c r="N25" s="17">
        <f>M25+預測IC!N25</f>
        <v>7.7695060244681202E-2</v>
      </c>
      <c r="O25" s="17">
        <f>N25+預測IC!O25</f>
        <v>8.3549648970316082E-2</v>
      </c>
      <c r="P25" s="17">
        <f>O25+預測IC!P25</f>
        <v>0.11096285554210664</v>
      </c>
      <c r="Q25" s="17">
        <f>P25+預測IC!Q25</f>
        <v>0.10724991942441378</v>
      </c>
      <c r="R25" s="17">
        <f>Q25+預測IC!R25</f>
        <v>0.13132653347223711</v>
      </c>
      <c r="S25" s="17">
        <f>R25+預測IC!S25</f>
        <v>0.11913650817319715</v>
      </c>
      <c r="T25" s="17">
        <f>S25+預測IC!T25</f>
        <v>7.9386930013607554E-2</v>
      </c>
      <c r="U25" s="17">
        <f>T25+預測IC!U25</f>
        <v>6.2314801819580018E-3</v>
      </c>
      <c r="V25" s="17">
        <f>U25+預測IC!V25</f>
        <v>-5.2028749728156659E-2</v>
      </c>
      <c r="W25" s="17">
        <f>V25+預測IC!W25</f>
        <v>-5.1255952162648284E-2</v>
      </c>
      <c r="X25" s="17">
        <f>W25+預測IC!X25</f>
        <v>-6.6644310274293142E-3</v>
      </c>
      <c r="Y25" s="17">
        <f>X25+預測IC!Y25</f>
        <v>-3.4364111077642409E-2</v>
      </c>
      <c r="Z25" s="17">
        <f>Y25+預測IC!Z25</f>
        <v>-3.226910512789876E-2</v>
      </c>
      <c r="AA25" s="17">
        <f>Z25+預測IC!AA25</f>
        <v>-5.5669656120462874E-2</v>
      </c>
      <c r="AB25" s="17">
        <f>AA25+預測IC!AB25</f>
        <v>-2.3540285023140685E-2</v>
      </c>
      <c r="AC25" s="17">
        <f>AB25+預測IC!AC25</f>
        <v>1.5362988070925745E-2</v>
      </c>
      <c r="AD25" s="17">
        <f>AC25+預測IC!AD25</f>
        <v>-2.7502394100178525E-2</v>
      </c>
      <c r="AE25" s="17">
        <f>AD25+預測IC!AE25</f>
        <v>-8.8551995500263658E-3</v>
      </c>
      <c r="AF25" s="17">
        <f>AE25+預測IC!AF25</f>
        <v>6.3745687725025833E-3</v>
      </c>
      <c r="AG25" s="17">
        <f>AF25+預測IC!AG25</f>
        <v>4.2391172551395004E-2</v>
      </c>
      <c r="AH25" s="17">
        <f>AG25+預測IC!AH25</f>
        <v>5.174578393671117E-2</v>
      </c>
      <c r="AI25" s="17">
        <f>AH25+預測IC!AI25</f>
        <v>6.2494035273549312E-2</v>
      </c>
      <c r="AJ25" s="17">
        <f>AI25+預測IC!AJ25</f>
        <v>7.5851789326630281E-2</v>
      </c>
      <c r="AK25" s="17">
        <f>AJ25+預測IC!AK25</f>
        <v>7.0519041997534893E-2</v>
      </c>
      <c r="AL25" s="17">
        <f>AK25+預測IC!AL25</f>
        <v>7.1902177804796574E-2</v>
      </c>
      <c r="AM25" s="17">
        <f>AL25+預測IC!AM25</f>
        <v>9.2698106224871041E-2</v>
      </c>
      <c r="AN25" s="17">
        <f>AM25+預測IC!AN25</f>
        <v>0.12421580844526167</v>
      </c>
      <c r="AO25" s="17">
        <f>AN25+預測IC!AO25</f>
        <v>0.13045752497859112</v>
      </c>
      <c r="AP25" s="17">
        <f>AO25+預測IC!AP25</f>
        <v>0.13660278663216249</v>
      </c>
      <c r="AQ25" s="17">
        <f>AP25+預測IC!AQ25</f>
        <v>0.15354914430885899</v>
      </c>
      <c r="AR25" s="17">
        <f>AQ25+預測IC!AR25</f>
        <v>0.18823197476316722</v>
      </c>
      <c r="AS25" s="17">
        <f>AR25+預測IC!AS25</f>
        <v>0.19133056338036419</v>
      </c>
      <c r="AT25" s="17">
        <f>AS25+預測IC!AT25</f>
        <v>0.2064119105238503</v>
      </c>
      <c r="AU25" s="17">
        <f>AT25+預測IC!AU25</f>
        <v>0.18716070129398632</v>
      </c>
      <c r="AV25" s="17">
        <f>AU25+預測IC!AV25</f>
        <v>0.22587221468161775</v>
      </c>
      <c r="AW25" s="17">
        <f>AV25+預測IC!AW25</f>
        <v>0.20401526354588115</v>
      </c>
      <c r="AX25" s="17">
        <f>AW25+預測IC!AX25</f>
        <v>0.21178956425567083</v>
      </c>
      <c r="AY25" s="17">
        <f>AX25+預測IC!AY25</f>
        <v>0.25418681095099677</v>
      </c>
      <c r="AZ25" s="17">
        <f>AY25+預測IC!AZ25</f>
        <v>0.22787783608983703</v>
      </c>
      <c r="BA25" s="17">
        <f>AZ25+預測IC!BA25</f>
        <v>0.23744958539855326</v>
      </c>
      <c r="BB25" s="17">
        <f>BA25+預測IC!BB25</f>
        <v>0.21319984413227844</v>
      </c>
      <c r="BC25" s="17">
        <f>BB25+預測IC!BC25</f>
        <v>0.23336321827619427</v>
      </c>
      <c r="BD25" s="17">
        <f>BC25+預測IC!BD25</f>
        <v>0.22985821949407825</v>
      </c>
      <c r="BE25" s="17">
        <f>BD25+預測IC!BE25</f>
        <v>0.25001015459262055</v>
      </c>
      <c r="BF25" s="17">
        <f>BE25+預測IC!BF25</f>
        <v>0.25059149082339083</v>
      </c>
      <c r="BG25" s="17">
        <f>BF25+預測IC!BG25</f>
        <v>0.24537178987013822</v>
      </c>
      <c r="BH25" s="17">
        <f>BG25+預測IC!BH25</f>
        <v>0.12950002846800823</v>
      </c>
      <c r="BI25" s="17">
        <f>BH25+預測IC!BI25</f>
        <v>0.13822525416044559</v>
      </c>
      <c r="BJ25" s="17">
        <f>BI25+預測IC!BJ25</f>
        <v>0.12184799318262345</v>
      </c>
      <c r="BK25" s="17">
        <f>BJ25+預測IC!BK25</f>
        <v>0.14268836478288388</v>
      </c>
      <c r="BL25" s="17">
        <f>BK25+預測IC!BL25</f>
        <v>0.18766423688499859</v>
      </c>
      <c r="BM25" s="17">
        <f>BL25+預測IC!BM25</f>
        <v>0.21161854296686244</v>
      </c>
      <c r="BN25" s="17">
        <f>BM25+預測IC!BN25</f>
        <v>0.24185764435830504</v>
      </c>
      <c r="BO25" s="17">
        <f>BN25+預測IC!BO25</f>
        <v>0.19813175676721753</v>
      </c>
      <c r="BP25" s="17">
        <f>BO25+預測IC!BP25</f>
        <v>0.22002122633541615</v>
      </c>
      <c r="BQ25" s="17">
        <f>BP25+預測IC!BQ25</f>
        <v>0.22864865659892455</v>
      </c>
      <c r="BR25" s="17">
        <f>BQ25+預測IC!BR25</f>
        <v>0.20945570260426577</v>
      </c>
      <c r="BS25" s="17">
        <f>BR25+預測IC!BS25</f>
        <v>0.22919083249239883</v>
      </c>
      <c r="BT25" s="17">
        <f>BS25+預測IC!BT25</f>
        <v>0.27688516997609824</v>
      </c>
      <c r="BU25" s="17">
        <f>BT25+預測IC!BU25</f>
        <v>0.28833998678268163</v>
      </c>
      <c r="BV25" s="17">
        <f>BU25+預測IC!BV25</f>
        <v>0.33156860751789485</v>
      </c>
      <c r="BW25" s="17">
        <f>BV25+預測IC!BW25</f>
        <v>0.28882117708097205</v>
      </c>
      <c r="BX25" s="17">
        <f>BW25+預測IC!BX25</f>
        <v>0.27100988465317749</v>
      </c>
      <c r="BY25" s="17">
        <f>BX25+預測IC!BY25</f>
        <v>0.11985678778410189</v>
      </c>
      <c r="BZ25" s="17">
        <f>BY25+預測IC!BZ25</f>
        <v>0.24408079140367717</v>
      </c>
      <c r="CA25" s="17">
        <f>BZ25+預測IC!CA25</f>
        <v>0.23952353755914751</v>
      </c>
      <c r="CB25" s="17">
        <f>CA25+預測IC!CB25</f>
        <v>0.29973477776405871</v>
      </c>
      <c r="CC25" s="17">
        <f>CB25+預測IC!CC25</f>
        <v>0.385726811246561</v>
      </c>
      <c r="CD25" s="17">
        <f>CC25+預測IC!CD25</f>
        <v>0.37991833166419492</v>
      </c>
      <c r="CE25" s="17">
        <f>CD25+預測IC!CE25</f>
        <v>0.37387698467522684</v>
      </c>
      <c r="CF25" s="17">
        <f>CE25+預測IC!CF25</f>
        <v>0.37632930904747891</v>
      </c>
      <c r="CG25" s="17">
        <f>CF25+預測IC!CG25</f>
        <v>0.46596556098450181</v>
      </c>
      <c r="CH25" s="17">
        <f>CG25+預測IC!CH25</f>
        <v>0.53695829351125968</v>
      </c>
      <c r="CI25" s="17">
        <f>CH25+預測IC!CI25</f>
        <v>0.56412893641304307</v>
      </c>
      <c r="CJ25" s="17">
        <f>CI25+預測IC!CJ25</f>
        <v>0.61659736483837313</v>
      </c>
      <c r="CK25" s="17">
        <f>CJ25+預測IC!CK25</f>
        <v>0.64607802578142259</v>
      </c>
      <c r="CL25" s="17">
        <f>CK25+預測IC!CL25</f>
        <v>0.71290310684162383</v>
      </c>
      <c r="CM25" s="17">
        <f>CL25+預測IC!CM25</f>
        <v>0.68413087782180682</v>
      </c>
      <c r="CN25" s="17">
        <f>CM25+預測IC!CN25</f>
        <v>0.72359339372344467</v>
      </c>
      <c r="CO25" s="17">
        <f>CN25+預測IC!CO25</f>
        <v>0.69456230674608477</v>
      </c>
      <c r="CP25" s="17">
        <f>CO25+預測IC!CP25</f>
        <v>0.70854618926555268</v>
      </c>
      <c r="CQ25" s="17">
        <f>CP25+預測IC!CQ25</f>
        <v>0.67626922430621883</v>
      </c>
      <c r="CR25" s="17">
        <f>CQ25+預測IC!CR25</f>
        <v>0.6793728009191129</v>
      </c>
      <c r="CS25" s="17">
        <f>CR25+預測IC!CS25</f>
        <v>0.70496465668619601</v>
      </c>
      <c r="CT25" s="17">
        <f>CS25+預測IC!CT25</f>
        <v>0.74935654297338927</v>
      </c>
      <c r="CU25" s="17">
        <f>CT25+預測IC!CU25</f>
        <v>0.71901758442381181</v>
      </c>
      <c r="CV25" s="17">
        <f>CU25+預測IC!CV25</f>
        <v>0.7177596079692401</v>
      </c>
      <c r="CW25" s="17">
        <f>CV25+預測IC!CW25</f>
        <v>0.72009596442509805</v>
      </c>
      <c r="CX25" s="17">
        <f>CW25+預測IC!CX25</f>
        <v>0.655831819499192</v>
      </c>
      <c r="CY25" s="17">
        <f>CX25+預測IC!CY25</f>
        <v>0.66874159895818441</v>
      </c>
      <c r="CZ25" s="17">
        <f>CY25+預測IC!CZ25</f>
        <v>0.54326450428732564</v>
      </c>
      <c r="DA25" s="17">
        <f>CZ25+預測IC!DA25</f>
        <v>0.55495518722711823</v>
      </c>
      <c r="DB25" s="17">
        <f>DA25+預測IC!DB25</f>
        <v>0.56129303092785998</v>
      </c>
      <c r="DC25" s="17">
        <f>DB25+預測IC!DC25</f>
        <v>0.44398767445847448</v>
      </c>
      <c r="DD25" s="17">
        <f>DC25+預測IC!DD25</f>
        <v>0.40797680240902789</v>
      </c>
      <c r="DE25" s="17">
        <f>DD25+預測IC!DE25</f>
        <v>0.54688810648129582</v>
      </c>
      <c r="DF25" s="17">
        <f>DE25+預測IC!DF25</f>
        <v>0.49574460025519007</v>
      </c>
      <c r="DG25" s="17">
        <f>DF25+預測IC!DG25</f>
        <v>0.57247604743715907</v>
      </c>
      <c r="DH25" s="17">
        <f>DG25+預測IC!DH25</f>
        <v>0.58798482963416721</v>
      </c>
      <c r="DI25" s="17">
        <f>DH25+預測IC!DI25</f>
        <v>0.61120860330892302</v>
      </c>
      <c r="DJ25" s="17">
        <f>DI25+預測IC!DJ25</f>
        <v>0.59283572694769515</v>
      </c>
      <c r="DK25" s="17">
        <f>DJ25+預測IC!DK25</f>
        <v>0.65503474103279458</v>
      </c>
      <c r="DL25" s="17">
        <f>DK25+預測IC!DL25</f>
        <v>0.67513304551975173</v>
      </c>
      <c r="DM25" s="17">
        <f>DL25+預測IC!DM25</f>
        <v>0.68863198526781977</v>
      </c>
      <c r="DN25" s="17">
        <f>DM25+預測IC!DN25</f>
        <v>0.65837977253939894</v>
      </c>
      <c r="DO25" s="17">
        <f>DN25+預測IC!DO25</f>
        <v>0.64135693683134509</v>
      </c>
      <c r="DP25" s="17">
        <f>DO25+預測IC!DP25</f>
        <v>0.61956841355888315</v>
      </c>
      <c r="DQ25" s="17">
        <f>DP25+預測IC!DQ25</f>
        <v>0.70531403814402038</v>
      </c>
      <c r="DR25" s="17">
        <f>DQ25+預測IC!DR25</f>
        <v>0.73342078174899417</v>
      </c>
      <c r="DS25" s="17">
        <f>DR25+預測IC!DS25</f>
        <v>0.73111762194163477</v>
      </c>
      <c r="DT25" s="17">
        <f>DS25+預測IC!DT25</f>
        <v>0.78958882007312226</v>
      </c>
      <c r="DU25" s="17">
        <f>DT25+預測IC!DU25</f>
        <v>0.85724776912176992</v>
      </c>
      <c r="DV25" s="17">
        <f>DU25+預測IC!DV25</f>
        <v>0.86226853976220219</v>
      </c>
      <c r="DW25" s="17">
        <f>DV25+預測IC!DW25</f>
        <v>0.89968472343740924</v>
      </c>
      <c r="DX25" s="17">
        <f>DW25+預測IC!DX25</f>
        <v>0.98379572718345132</v>
      </c>
      <c r="DY25" s="17">
        <f>DX25+預測IC!DY25</f>
        <v>0.94696332863943844</v>
      </c>
      <c r="DZ25" s="17">
        <f>DY25+預測IC!DZ25</f>
        <v>0.95005503145637549</v>
      </c>
      <c r="EA25" s="17">
        <f>DZ25+預測IC!EA25</f>
        <v>0.94809740324208092</v>
      </c>
      <c r="EB25" s="17">
        <f>EA25+預測IC!EB25</f>
        <v>0.97455650684560069</v>
      </c>
      <c r="EC25" s="17">
        <f>EB25+預測IC!EC25</f>
        <v>0.94980396808491041</v>
      </c>
      <c r="ED25" s="17">
        <f>EC25+預測IC!ED25</f>
        <v>0.98391945906747036</v>
      </c>
      <c r="EE25" s="17">
        <f>ED25+預測IC!EE25</f>
        <v>1.0049814330565034</v>
      </c>
      <c r="EF25" s="17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14A6-6549-4F78-A339-0AC21AA11DB7}">
  <dimension ref="A1:EI25"/>
  <sheetViews>
    <sheetView workbookViewId="0">
      <selection activeCell="EG28" sqref="EG28"/>
    </sheetView>
  </sheetViews>
  <sheetFormatPr defaultRowHeight="15" x14ac:dyDescent="0.3"/>
  <cols>
    <col min="137" max="139" width="10" bestFit="1" customWidth="1"/>
  </cols>
  <sheetData>
    <row r="1" spans="1:139" x14ac:dyDescent="0.3">
      <c r="A1" t="s">
        <v>149</v>
      </c>
    </row>
    <row r="2" spans="1:139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9" x14ac:dyDescent="0.3">
      <c r="B3" s="1" t="s">
        <v>136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9" x14ac:dyDescent="0.3">
      <c r="B4" s="1" t="s">
        <v>137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9" x14ac:dyDescent="0.3">
      <c r="B5" s="1" t="s">
        <v>138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9" x14ac:dyDescent="0.3">
      <c r="A6" s="22" t="s">
        <v>139</v>
      </c>
      <c r="B6" s="23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9" x14ac:dyDescent="0.3">
      <c r="C7" s="7" t="str">
        <f t="shared" ref="C7:BN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si="0"/>
        <v>bm</v>
      </c>
      <c r="AJ7" s="7" t="str">
        <f t="shared" si="0"/>
        <v>bm</v>
      </c>
      <c r="AK7" s="7" t="str">
        <f t="shared" si="0"/>
        <v>bm</v>
      </c>
      <c r="AL7" s="7" t="str">
        <f t="shared" si="0"/>
        <v>bm</v>
      </c>
      <c r="AM7" s="7" t="str">
        <f t="shared" si="0"/>
        <v>bm</v>
      </c>
      <c r="AN7" s="7" t="str">
        <f t="shared" si="0"/>
        <v>bm</v>
      </c>
      <c r="AO7" s="7" t="str">
        <f t="shared" si="0"/>
        <v>bm</v>
      </c>
      <c r="AP7" s="7" t="str">
        <f t="shared" si="0"/>
        <v>bm</v>
      </c>
      <c r="AQ7" s="7" t="str">
        <f t="shared" si="0"/>
        <v>bm</v>
      </c>
      <c r="AR7" s="7" t="str">
        <f t="shared" si="0"/>
        <v>bm</v>
      </c>
      <c r="AS7" s="7" t="str">
        <f t="shared" si="0"/>
        <v>bm</v>
      </c>
      <c r="AT7" s="7" t="str">
        <f t="shared" si="0"/>
        <v>bm</v>
      </c>
      <c r="AU7" s="7" t="str">
        <f t="shared" si="0"/>
        <v>bm</v>
      </c>
      <c r="AV7" s="7" t="str">
        <f t="shared" si="0"/>
        <v>bm</v>
      </c>
      <c r="AW7" s="7" t="str">
        <f t="shared" si="0"/>
        <v>bm</v>
      </c>
      <c r="AX7" s="7" t="str">
        <f t="shared" si="0"/>
        <v>bm</v>
      </c>
      <c r="AY7" s="7" t="str">
        <f t="shared" si="0"/>
        <v>bm</v>
      </c>
      <c r="AZ7" s="7" t="str">
        <f t="shared" si="0"/>
        <v>bm</v>
      </c>
      <c r="BA7" s="7" t="str">
        <f t="shared" si="0"/>
        <v>size</v>
      </c>
      <c r="BB7" s="7" t="str">
        <f t="shared" si="0"/>
        <v>size</v>
      </c>
      <c r="BC7" s="7" t="str">
        <f t="shared" si="0"/>
        <v>bm</v>
      </c>
      <c r="BD7" s="7" t="str">
        <f t="shared" si="0"/>
        <v>bm</v>
      </c>
      <c r="BE7" s="7" t="str">
        <f t="shared" si="0"/>
        <v>bm</v>
      </c>
      <c r="BF7" s="7" t="str">
        <f t="shared" si="0"/>
        <v>bm</v>
      </c>
      <c r="BG7" s="7" t="str">
        <f t="shared" si="0"/>
        <v>bm</v>
      </c>
      <c r="BH7" s="7" t="str">
        <f t="shared" si="0"/>
        <v>bm</v>
      </c>
      <c r="BI7" s="7" t="str">
        <f t="shared" si="0"/>
        <v>bm</v>
      </c>
      <c r="BJ7" s="7" t="str">
        <f t="shared" si="0"/>
        <v>bm</v>
      </c>
      <c r="BK7" s="7" t="str">
        <f t="shared" si="0"/>
        <v>bm</v>
      </c>
      <c r="BL7" s="7" t="str">
        <f t="shared" si="0"/>
        <v>bm</v>
      </c>
      <c r="BM7" s="7" t="str">
        <f t="shared" si="0"/>
        <v>mom</v>
      </c>
      <c r="BN7" s="7" t="str">
        <f t="shared" si="0"/>
        <v>bm</v>
      </c>
      <c r="BO7" s="7" t="str">
        <f t="shared" ref="BO7:DZ7" si="1">IF(BO6=1,"bm",IF(BO6=2,"size",IF(BO6=3,"mom")))</f>
        <v>bm</v>
      </c>
      <c r="BP7" s="7" t="str">
        <f t="shared" si="1"/>
        <v>bm</v>
      </c>
      <c r="BQ7" s="7" t="str">
        <f t="shared" si="1"/>
        <v>bm</v>
      </c>
      <c r="BR7" s="7" t="str">
        <f t="shared" si="1"/>
        <v>bm</v>
      </c>
      <c r="BS7" s="7" t="str">
        <f t="shared" si="1"/>
        <v>bm</v>
      </c>
      <c r="BT7" s="7" t="str">
        <f t="shared" si="1"/>
        <v>bm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bm</v>
      </c>
      <c r="BZ7" s="7" t="str">
        <f t="shared" si="1"/>
        <v>bm</v>
      </c>
      <c r="CA7" s="7" t="str">
        <f t="shared" si="1"/>
        <v>bm</v>
      </c>
      <c r="CB7" s="7" t="str">
        <f t="shared" si="1"/>
        <v>bm</v>
      </c>
      <c r="CC7" s="7" t="str">
        <f t="shared" si="1"/>
        <v>size</v>
      </c>
      <c r="CD7" s="7" t="str">
        <f t="shared" si="1"/>
        <v>size</v>
      </c>
      <c r="CE7" s="7" t="str">
        <f t="shared" si="1"/>
        <v>size</v>
      </c>
      <c r="CF7" s="7" t="str">
        <f t="shared" si="1"/>
        <v>size</v>
      </c>
      <c r="CG7" s="7" t="str">
        <f t="shared" si="1"/>
        <v>size</v>
      </c>
      <c r="CH7" s="7" t="str">
        <f t="shared" si="1"/>
        <v>bm</v>
      </c>
      <c r="CI7" s="7" t="str">
        <f t="shared" si="1"/>
        <v>bm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bm</v>
      </c>
      <c r="CN7" s="7" t="str">
        <f t="shared" si="1"/>
        <v>bm</v>
      </c>
      <c r="CO7" s="7" t="str">
        <f t="shared" si="1"/>
        <v>bm</v>
      </c>
      <c r="CP7" s="7" t="str">
        <f t="shared" si="1"/>
        <v>bm</v>
      </c>
      <c r="CQ7" s="7" t="str">
        <f t="shared" si="1"/>
        <v>mom</v>
      </c>
      <c r="CR7" s="7" t="str">
        <f t="shared" si="1"/>
        <v>size</v>
      </c>
      <c r="CS7" s="7" t="str">
        <f t="shared" si="1"/>
        <v>size</v>
      </c>
      <c r="CT7" s="7" t="str">
        <f t="shared" si="1"/>
        <v>bm</v>
      </c>
      <c r="CU7" s="7" t="str">
        <f t="shared" si="1"/>
        <v>bm</v>
      </c>
      <c r="CV7" s="7" t="str">
        <f t="shared" si="1"/>
        <v>bm</v>
      </c>
      <c r="CW7" s="7" t="str">
        <f t="shared" si="1"/>
        <v>bm</v>
      </c>
      <c r="CX7" s="7" t="str">
        <f t="shared" si="1"/>
        <v>bm</v>
      </c>
      <c r="CY7" s="7" t="str">
        <f t="shared" si="1"/>
        <v>bm</v>
      </c>
      <c r="CZ7" s="7" t="str">
        <f t="shared" si="1"/>
        <v>bm</v>
      </c>
      <c r="DA7" s="7" t="str">
        <f t="shared" si="1"/>
        <v>bm</v>
      </c>
      <c r="DB7" s="7" t="str">
        <f t="shared" si="1"/>
        <v>size</v>
      </c>
      <c r="DC7" s="7" t="str">
        <f t="shared" si="1"/>
        <v>size</v>
      </c>
      <c r="DD7" s="7" t="str">
        <f t="shared" si="1"/>
        <v>size</v>
      </c>
      <c r="DE7" s="7" t="str">
        <f t="shared" si="1"/>
        <v>bm</v>
      </c>
      <c r="DF7" s="7" t="str">
        <f t="shared" si="1"/>
        <v>bm</v>
      </c>
      <c r="DG7" s="7" t="str">
        <f t="shared" si="1"/>
        <v>bm</v>
      </c>
      <c r="DH7" s="7" t="str">
        <f t="shared" si="1"/>
        <v>bm</v>
      </c>
      <c r="DI7" s="7" t="str">
        <f t="shared" si="1"/>
        <v>bm</v>
      </c>
      <c r="DJ7" s="7" t="str">
        <f t="shared" si="1"/>
        <v>size</v>
      </c>
      <c r="DK7" s="7" t="str">
        <f t="shared" si="1"/>
        <v>bm</v>
      </c>
      <c r="DL7" s="7" t="str">
        <f t="shared" si="1"/>
        <v>bm</v>
      </c>
      <c r="DM7" s="7" t="str">
        <f t="shared" si="1"/>
        <v>bm</v>
      </c>
      <c r="DN7" s="7" t="str">
        <f t="shared" si="1"/>
        <v>bm</v>
      </c>
      <c r="DO7" s="7" t="str">
        <f t="shared" si="1"/>
        <v>bm</v>
      </c>
      <c r="DP7" s="7" t="str">
        <f t="shared" si="1"/>
        <v>bm</v>
      </c>
      <c r="DQ7" s="7" t="str">
        <f t="shared" si="1"/>
        <v>size</v>
      </c>
      <c r="DR7" s="7" t="str">
        <f t="shared" si="1"/>
        <v>bm</v>
      </c>
      <c r="DS7" s="7" t="str">
        <f t="shared" si="1"/>
        <v>bm</v>
      </c>
      <c r="DT7" s="7" t="str">
        <f t="shared" si="1"/>
        <v>size</v>
      </c>
      <c r="DU7" s="7" t="str">
        <f t="shared" si="1"/>
        <v>size</v>
      </c>
      <c r="DV7" s="7" t="str">
        <f t="shared" si="1"/>
        <v>bm</v>
      </c>
      <c r="DW7" s="7" t="str">
        <f t="shared" si="1"/>
        <v>bm</v>
      </c>
      <c r="DX7" s="7" t="str">
        <f t="shared" si="1"/>
        <v>bm</v>
      </c>
      <c r="DY7" s="7" t="str">
        <f t="shared" si="1"/>
        <v>size</v>
      </c>
      <c r="DZ7" s="7" t="str">
        <f t="shared" si="1"/>
        <v>size</v>
      </c>
      <c r="EA7" s="7" t="str">
        <f t="shared" ref="EA7:EG7" si="2">IF(EA6=1,"bm",IF(EA6=2,"size",IF(EA6=3,"mom")))</f>
        <v>size</v>
      </c>
      <c r="EB7" s="7" t="str">
        <f t="shared" si="2"/>
        <v>bm</v>
      </c>
      <c r="EC7" s="7" t="str">
        <f t="shared" si="2"/>
        <v>size</v>
      </c>
      <c r="ED7" s="7" t="str">
        <f t="shared" si="2"/>
        <v>bm</v>
      </c>
      <c r="EE7" s="7" t="str">
        <f t="shared" si="2"/>
        <v>bm</v>
      </c>
      <c r="EF7" s="7" t="str">
        <f t="shared" si="2"/>
        <v>bm</v>
      </c>
      <c r="EG7" s="1" t="str">
        <f t="shared" si="2"/>
        <v>bm</v>
      </c>
    </row>
    <row r="8" spans="1:139" x14ac:dyDescent="0.3">
      <c r="C8" s="7">
        <f t="shared" ref="C8:BN8" si="3">IF(C6=1,C3,IF(C6=2,C4,IF(C6=3,C5)))</f>
        <v>-4.9660318332858187E-2</v>
      </c>
      <c r="D8" s="7">
        <f t="shared" si="3"/>
        <v>-6.445345992925948E-2</v>
      </c>
      <c r="E8" s="7">
        <f t="shared" si="3"/>
        <v>-9.5804928773652709E-2</v>
      </c>
      <c r="F8" s="7">
        <f t="shared" si="3"/>
        <v>-7.6694248625274991E-2</v>
      </c>
      <c r="G8" s="7">
        <f t="shared" si="3"/>
        <v>-2.651532023294172E-2</v>
      </c>
      <c r="H8" s="7">
        <f t="shared" si="3"/>
        <v>-3.4151649822825897E-2</v>
      </c>
      <c r="I8" s="7">
        <f t="shared" si="3"/>
        <v>-4.6190909592046463E-2</v>
      </c>
      <c r="J8" s="7">
        <f t="shared" si="3"/>
        <v>-4.6178362506532247E-2</v>
      </c>
      <c r="K8" s="7">
        <f t="shared" si="3"/>
        <v>-4.5931908840778947E-2</v>
      </c>
      <c r="L8" s="7">
        <f t="shared" si="3"/>
        <v>-4.0811789698647891E-2</v>
      </c>
      <c r="M8" s="7">
        <f t="shared" si="3"/>
        <v>3.2729103566482703E-2</v>
      </c>
      <c r="N8" s="7">
        <f t="shared" si="3"/>
        <v>-3.5831184190578111E-2</v>
      </c>
      <c r="O8" s="7">
        <f t="shared" si="3"/>
        <v>-5.702286088483291E-2</v>
      </c>
      <c r="P8" s="7">
        <f t="shared" si="3"/>
        <v>-4.2462624022791412E-2</v>
      </c>
      <c r="Q8" s="7">
        <f t="shared" si="3"/>
        <v>-3.7772238816422013E-2</v>
      </c>
      <c r="R8" s="7">
        <f t="shared" si="3"/>
        <v>-2.862815930799394E-2</v>
      </c>
      <c r="S8" s="7">
        <f t="shared" si="3"/>
        <v>-3.0997759055884269E-2</v>
      </c>
      <c r="T8" s="7">
        <f t="shared" si="3"/>
        <v>2.262072807092803E-2</v>
      </c>
      <c r="U8" s="7">
        <f t="shared" si="3"/>
        <v>-3.7956683729456563E-2</v>
      </c>
      <c r="V8" s="7">
        <f t="shared" si="3"/>
        <v>-2.9502006234075319E-2</v>
      </c>
      <c r="W8" s="7">
        <f t="shared" si="3"/>
        <v>4.5784045042201092E-2</v>
      </c>
      <c r="X8" s="7">
        <f t="shared" si="3"/>
        <v>-5.4483330503116392E-2</v>
      </c>
      <c r="Y8" s="7">
        <f t="shared" si="3"/>
        <v>-5.7374083583845582E-2</v>
      </c>
      <c r="Z8" s="7">
        <f t="shared" si="3"/>
        <v>-5.062832428295555E-2</v>
      </c>
      <c r="AA8" s="7">
        <f t="shared" si="3"/>
        <v>-4.2319641432599031E-2</v>
      </c>
      <c r="AB8" s="7">
        <f t="shared" si="3"/>
        <v>-4.99371392416516E-2</v>
      </c>
      <c r="AC8" s="7">
        <f t="shared" si="3"/>
        <v>-3.8455291231844213E-2</v>
      </c>
      <c r="AD8" s="7">
        <f t="shared" si="3"/>
        <v>-6.5956474854444447E-2</v>
      </c>
      <c r="AE8" s="7">
        <f t="shared" si="3"/>
        <v>-3.4794942198420678E-2</v>
      </c>
      <c r="AF8" s="7">
        <f t="shared" si="3"/>
        <v>1.3117941025955079E-2</v>
      </c>
      <c r="AG8" s="7">
        <f t="shared" si="3"/>
        <v>-3.2239149636300098E-2</v>
      </c>
      <c r="AH8" s="7">
        <f t="shared" si="3"/>
        <v>3.1884444011299258E-2</v>
      </c>
      <c r="AI8" s="7">
        <f t="shared" si="3"/>
        <v>3.6385761193522617E-2</v>
      </c>
      <c r="AJ8" s="7">
        <f t="shared" si="3"/>
        <v>3.5948919429733099E-2</v>
      </c>
      <c r="AK8" s="7">
        <f t="shared" si="3"/>
        <v>4.3482830969963061E-2</v>
      </c>
      <c r="AL8" s="7">
        <f t="shared" si="3"/>
        <v>3.8462077568039821E-2</v>
      </c>
      <c r="AM8" s="7">
        <f t="shared" si="3"/>
        <v>3.9410244165835981E-2</v>
      </c>
      <c r="AN8" s="7">
        <f t="shared" si="3"/>
        <v>5.0743620516414449E-2</v>
      </c>
      <c r="AO8" s="7">
        <f t="shared" si="3"/>
        <v>5.3684811620656157E-2</v>
      </c>
      <c r="AP8" s="7">
        <f t="shared" si="3"/>
        <v>4.9314899356547669E-2</v>
      </c>
      <c r="AQ8" s="7">
        <f t="shared" si="3"/>
        <v>3.2773687722358558E-2</v>
      </c>
      <c r="AR8" s="7">
        <f t="shared" si="3"/>
        <v>2.8295340626825871E-2</v>
      </c>
      <c r="AS8" s="7">
        <f t="shared" si="3"/>
        <v>2.8377802599917349E-2</v>
      </c>
      <c r="AT8" s="7">
        <f t="shared" si="3"/>
        <v>2.306922946025217E-2</v>
      </c>
      <c r="AU8" s="7">
        <f t="shared" si="3"/>
        <v>2.9397032882625889E-2</v>
      </c>
      <c r="AV8" s="7">
        <f t="shared" si="3"/>
        <v>3.103785222722218E-2</v>
      </c>
      <c r="AW8" s="7">
        <f t="shared" si="3"/>
        <v>2.6297924056821211E-2</v>
      </c>
      <c r="AX8" s="7">
        <f t="shared" si="3"/>
        <v>2.6164811358804361E-2</v>
      </c>
      <c r="AY8" s="7">
        <f t="shared" si="3"/>
        <v>3.2053783671709642E-2</v>
      </c>
      <c r="AZ8" s="7">
        <f t="shared" si="3"/>
        <v>3.4477530774765272E-2</v>
      </c>
      <c r="BA8" s="7">
        <f t="shared" si="3"/>
        <v>-2.96336447127158E-2</v>
      </c>
      <c r="BB8" s="7">
        <f t="shared" si="3"/>
        <v>-3.692311268093771E-2</v>
      </c>
      <c r="BC8" s="7">
        <f t="shared" si="3"/>
        <v>3.7421776938590827E-2</v>
      </c>
      <c r="BD8" s="7">
        <f t="shared" si="3"/>
        <v>3.141372245226793E-2</v>
      </c>
      <c r="BE8" s="7">
        <f t="shared" si="3"/>
        <v>3.2006411062996218E-2</v>
      </c>
      <c r="BF8" s="7">
        <f t="shared" si="3"/>
        <v>2.828182773285309E-2</v>
      </c>
      <c r="BG8" s="7">
        <f t="shared" si="3"/>
        <v>4.1103436715196499E-2</v>
      </c>
      <c r="BH8" s="7">
        <f t="shared" si="3"/>
        <v>4.5198779339126277E-2</v>
      </c>
      <c r="BI8" s="7">
        <f t="shared" si="3"/>
        <v>4.1588040384802467E-2</v>
      </c>
      <c r="BJ8" s="7">
        <f t="shared" si="3"/>
        <v>4.0723405736309587E-2</v>
      </c>
      <c r="BK8" s="7">
        <f t="shared" si="3"/>
        <v>3.6327700059770963E-2</v>
      </c>
      <c r="BL8" s="7">
        <f t="shared" si="3"/>
        <v>3.6173192149872829E-2</v>
      </c>
      <c r="BM8" s="7">
        <f t="shared" si="3"/>
        <v>-3.7766406128849933E-2</v>
      </c>
      <c r="BN8" s="7">
        <f t="shared" si="3"/>
        <v>3.0814038130409348E-2</v>
      </c>
      <c r="BO8" s="7">
        <f t="shared" ref="BO8:DZ8" si="4">IF(BO6=1,BO3,IF(BO6=2,BO4,IF(BO6=3,BO5)))</f>
        <v>3.065585577146604E-2</v>
      </c>
      <c r="BP8" s="7">
        <f t="shared" si="4"/>
        <v>3.4399631895121928E-2</v>
      </c>
      <c r="BQ8" s="7">
        <f t="shared" si="4"/>
        <v>3.4868650026028229E-2</v>
      </c>
      <c r="BR8" s="7">
        <f t="shared" si="4"/>
        <v>3.6324039848933801E-2</v>
      </c>
      <c r="BS8" s="7">
        <f t="shared" si="4"/>
        <v>3.6164468096582622E-2</v>
      </c>
      <c r="BT8" s="7">
        <f t="shared" si="4"/>
        <v>3.8668894956456937E-2</v>
      </c>
      <c r="BU8" s="7">
        <f t="shared" si="4"/>
        <v>4.1103483948852763E-2</v>
      </c>
      <c r="BV8" s="7">
        <f t="shared" si="4"/>
        <v>2.8684133448632881E-2</v>
      </c>
      <c r="BW8" s="7">
        <f t="shared" si="4"/>
        <v>3.521650986163926E-2</v>
      </c>
      <c r="BX8" s="7">
        <f t="shared" si="4"/>
        <v>4.0767200067914247E-2</v>
      </c>
      <c r="BY8" s="7">
        <f t="shared" si="4"/>
        <v>2.160353774972024E-2</v>
      </c>
      <c r="BZ8" s="7">
        <f t="shared" si="4"/>
        <v>3.0433668800390778E-2</v>
      </c>
      <c r="CA8" s="7">
        <f t="shared" si="4"/>
        <v>3.7311958080318418E-2</v>
      </c>
      <c r="CB8" s="7">
        <f t="shared" si="4"/>
        <v>2.7612053143104789E-2</v>
      </c>
      <c r="CC8" s="7">
        <f t="shared" si="4"/>
        <v>-4.1111880962519533E-2</v>
      </c>
      <c r="CD8" s="7">
        <f t="shared" si="4"/>
        <v>-3.2535264061707238E-2</v>
      </c>
      <c r="CE8" s="7">
        <f t="shared" si="4"/>
        <v>-3.032312687201056E-2</v>
      </c>
      <c r="CF8" s="7">
        <f t="shared" si="4"/>
        <v>-6.1293035460275459E-2</v>
      </c>
      <c r="CG8" s="7">
        <f t="shared" si="4"/>
        <v>-4.4169599695747568E-2</v>
      </c>
      <c r="CH8" s="7">
        <f t="shared" si="4"/>
        <v>4.0909001215823568E-2</v>
      </c>
      <c r="CI8" s="7">
        <f t="shared" si="4"/>
        <v>3.9050253240311222E-2</v>
      </c>
      <c r="CJ8" s="7">
        <f t="shared" si="4"/>
        <v>2.4561899640003909E-2</v>
      </c>
      <c r="CK8" s="7">
        <f t="shared" si="4"/>
        <v>3.413446187252573E-2</v>
      </c>
      <c r="CL8" s="7">
        <f t="shared" si="4"/>
        <v>3.5925937532879773E-2</v>
      </c>
      <c r="CM8" s="7">
        <f t="shared" si="4"/>
        <v>4.2466042159304301E-2</v>
      </c>
      <c r="CN8" s="7">
        <f t="shared" si="4"/>
        <v>3.6523906516241801E-2</v>
      </c>
      <c r="CO8" s="7">
        <f t="shared" si="4"/>
        <v>3.7659149571028283E-2</v>
      </c>
      <c r="CP8" s="7">
        <f t="shared" si="4"/>
        <v>3.9957834472595419E-2</v>
      </c>
      <c r="CQ8" s="7">
        <f t="shared" si="4"/>
        <v>9.0067640458367376E-3</v>
      </c>
      <c r="CR8" s="7">
        <f t="shared" si="4"/>
        <v>-1.9179487848293229E-2</v>
      </c>
      <c r="CS8" s="7">
        <f t="shared" si="4"/>
        <v>-2.3347225810085481E-2</v>
      </c>
      <c r="CT8" s="7">
        <f t="shared" si="4"/>
        <v>4.0972167824902372E-2</v>
      </c>
      <c r="CU8" s="7">
        <f t="shared" si="4"/>
        <v>3.8942373224816543E-2</v>
      </c>
      <c r="CV8" s="7">
        <f t="shared" si="4"/>
        <v>4.3015000500199303E-2</v>
      </c>
      <c r="CW8" s="7">
        <f t="shared" si="4"/>
        <v>3.9706600079107632E-2</v>
      </c>
      <c r="CX8" s="7">
        <f t="shared" si="4"/>
        <v>3.9171022856911548E-2</v>
      </c>
      <c r="CY8" s="7">
        <f t="shared" si="4"/>
        <v>3.4940834769569752E-2</v>
      </c>
      <c r="CZ8" s="7">
        <f t="shared" si="4"/>
        <v>3.6026834228159298E-2</v>
      </c>
      <c r="DA8" s="7">
        <f t="shared" si="4"/>
        <v>4.450954814790925E-2</v>
      </c>
      <c r="DB8" s="7">
        <f t="shared" si="4"/>
        <v>-4.4724835819105087E-2</v>
      </c>
      <c r="DC8" s="7">
        <f t="shared" si="4"/>
        <v>-7.0760187276930051E-2</v>
      </c>
      <c r="DD8" s="7">
        <f t="shared" si="4"/>
        <v>-5.7609848887751572E-2</v>
      </c>
      <c r="DE8" s="7">
        <f t="shared" si="4"/>
        <v>4.199397627237688E-2</v>
      </c>
      <c r="DF8" s="7">
        <f t="shared" si="4"/>
        <v>4.1965348731106439E-2</v>
      </c>
      <c r="DG8" s="7">
        <f t="shared" si="4"/>
        <v>4.0382244799122911E-2</v>
      </c>
      <c r="DH8" s="7">
        <f t="shared" si="4"/>
        <v>3.6787240146963857E-2</v>
      </c>
      <c r="DI8" s="7">
        <f t="shared" si="4"/>
        <v>3.6877765546082367E-2</v>
      </c>
      <c r="DJ8" s="7">
        <f t="shared" si="4"/>
        <v>-3.8760923501945078E-2</v>
      </c>
      <c r="DK8" s="7">
        <f t="shared" si="4"/>
        <v>3.6536443043095952E-2</v>
      </c>
      <c r="DL8" s="7">
        <f t="shared" si="4"/>
        <v>3.153055621902446E-2</v>
      </c>
      <c r="DM8" s="7">
        <f t="shared" si="4"/>
        <v>2.866223764473836E-2</v>
      </c>
      <c r="DN8" s="7">
        <f t="shared" si="4"/>
        <v>3.0844743252797239E-2</v>
      </c>
      <c r="DO8" s="7">
        <f t="shared" si="4"/>
        <v>3.3675363611272838E-2</v>
      </c>
      <c r="DP8" s="7">
        <f t="shared" si="4"/>
        <v>3.5102177512429639E-2</v>
      </c>
      <c r="DQ8" s="7">
        <f t="shared" si="4"/>
        <v>-3.7657447804277308E-2</v>
      </c>
      <c r="DR8" s="7">
        <f t="shared" si="4"/>
        <v>3.4114421599711522E-2</v>
      </c>
      <c r="DS8" s="7">
        <f t="shared" si="4"/>
        <v>3.6715906439180962E-2</v>
      </c>
      <c r="DT8" s="7">
        <f t="shared" si="4"/>
        <v>-4.1055975870549932E-2</v>
      </c>
      <c r="DU8" s="7">
        <f t="shared" si="4"/>
        <v>-3.7310577027678322E-2</v>
      </c>
      <c r="DV8" s="7">
        <f t="shared" si="4"/>
        <v>2.524093892652958E-2</v>
      </c>
      <c r="DW8" s="7">
        <f t="shared" si="4"/>
        <v>3.5159202684512107E-2</v>
      </c>
      <c r="DX8" s="7">
        <f t="shared" si="4"/>
        <v>3.2304964005665182E-2</v>
      </c>
      <c r="DY8" s="7">
        <f t="shared" si="4"/>
        <v>-3.3048755705593437E-2</v>
      </c>
      <c r="DZ8" s="7">
        <f t="shared" si="4"/>
        <v>-3.0982285927668149E-2</v>
      </c>
      <c r="EA8" s="7">
        <f t="shared" ref="EA8:EG8" si="5">IF(EA6=1,EA3,IF(EA6=2,EA4,IF(EA6=3,EA5)))</f>
        <v>-3.1659361830993077E-2</v>
      </c>
      <c r="EB8" s="7">
        <f t="shared" si="5"/>
        <v>3.723081253221186E-2</v>
      </c>
      <c r="EC8" s="7">
        <f t="shared" si="5"/>
        <v>-4.1069205257147343E-2</v>
      </c>
      <c r="ED8" s="7">
        <f t="shared" si="5"/>
        <v>3.4186640907954438E-2</v>
      </c>
      <c r="EE8" s="7">
        <f t="shared" si="5"/>
        <v>2.5041157579864502E-2</v>
      </c>
      <c r="EF8" s="7">
        <f t="shared" si="5"/>
        <v>3.4121434975122142E-2</v>
      </c>
      <c r="EG8" s="1">
        <f t="shared" si="5"/>
        <v>0</v>
      </c>
    </row>
    <row r="10" spans="1:139" x14ac:dyDescent="0.3">
      <c r="A10" s="22" t="s">
        <v>140</v>
      </c>
      <c r="B10" s="23"/>
      <c r="C10" s="1" t="s">
        <v>141</v>
      </c>
      <c r="D10" s="2">
        <v>964</v>
      </c>
    </row>
    <row r="11" spans="1:139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  <c r="EG11" s="20" t="s">
        <v>150</v>
      </c>
      <c r="EH11" s="20" t="s">
        <v>151</v>
      </c>
      <c r="EI11" s="20" t="s">
        <v>152</v>
      </c>
    </row>
    <row r="12" spans="1:139" x14ac:dyDescent="0.3">
      <c r="A12" s="1">
        <v>10</v>
      </c>
      <c r="B12" s="1">
        <v>96</v>
      </c>
      <c r="C12" s="7">
        <v>8.4653346747999555E-2</v>
      </c>
      <c r="D12" s="7">
        <v>0.11468862904522351</v>
      </c>
      <c r="E12" s="7">
        <v>4.802682338720253E-2</v>
      </c>
      <c r="F12" s="7">
        <v>1.342110438955847E-2</v>
      </c>
      <c r="G12" s="7">
        <v>1.172466777602472E-2</v>
      </c>
      <c r="H12" s="7">
        <v>3.8530512249887933E-2</v>
      </c>
      <c r="I12" s="7">
        <v>1.2809788693165489E-2</v>
      </c>
      <c r="J12" s="7">
        <v>-2.9408122838989852E-2</v>
      </c>
      <c r="K12" s="7">
        <v>1.8774380137331209E-2</v>
      </c>
      <c r="L12" s="7">
        <v>-4.1890941049973679E-2</v>
      </c>
      <c r="M12" s="7">
        <v>-1.555180420016113E-2</v>
      </c>
      <c r="N12" s="7">
        <v>6.9326986778352848E-2</v>
      </c>
      <c r="O12" s="7">
        <v>1.7240739055052579E-2</v>
      </c>
      <c r="P12" s="7">
        <v>2.2997128793457439E-4</v>
      </c>
      <c r="Q12" s="7">
        <v>3.5269885452478403E-2</v>
      </c>
      <c r="R12" s="7">
        <v>6.6628837952368673E-3</v>
      </c>
      <c r="S12" s="7">
        <v>-1.6472394741932041E-2</v>
      </c>
      <c r="T12" s="7">
        <v>-4.3243488819513169E-2</v>
      </c>
      <c r="U12" s="7">
        <v>-1.6178598882878859E-2</v>
      </c>
      <c r="V12" s="7">
        <v>6.2044700693444643E-3</v>
      </c>
      <c r="W12" s="7">
        <v>2.227844197331175E-2</v>
      </c>
      <c r="X12" s="7">
        <v>2.7073890424547119E-2</v>
      </c>
      <c r="Y12" s="7">
        <v>1.544036841356077E-2</v>
      </c>
      <c r="Z12" s="7">
        <v>5.1659076098035236E-3</v>
      </c>
      <c r="AA12" s="7">
        <v>-1.1512545712225739E-2</v>
      </c>
      <c r="AB12" s="7">
        <v>-1.073332960413877E-2</v>
      </c>
      <c r="AC12" s="7">
        <v>5.1673797604565516E-3</v>
      </c>
      <c r="AD12" s="7">
        <v>2.5304298312235208E-3</v>
      </c>
      <c r="AE12" s="7">
        <v>-5.8316963071098869E-2</v>
      </c>
      <c r="AF12" s="7">
        <v>2.0432151303864929E-2</v>
      </c>
      <c r="AG12" s="7">
        <v>1.207912796320139E-2</v>
      </c>
      <c r="AH12" s="7">
        <v>1.3405804649633229E-2</v>
      </c>
      <c r="AI12" s="7">
        <v>1.9506051180185949E-2</v>
      </c>
      <c r="AJ12" s="7">
        <v>1.298374754605458E-2</v>
      </c>
      <c r="AK12" s="7">
        <v>4.8123704152134412E-2</v>
      </c>
      <c r="AL12" s="7">
        <v>1.7859003021922081E-2</v>
      </c>
      <c r="AM12" s="7">
        <v>3.0086115612597931E-2</v>
      </c>
      <c r="AN12" s="7">
        <v>6.9233234313428524E-2</v>
      </c>
      <c r="AO12" s="7">
        <v>2.228793039673051E-3</v>
      </c>
      <c r="AP12" s="7">
        <v>-3.3718344781849152E-2</v>
      </c>
      <c r="AQ12" s="7">
        <v>-7.6219363885838051E-3</v>
      </c>
      <c r="AR12" s="7">
        <v>1.35262594499664E-2</v>
      </c>
      <c r="AS12" s="7">
        <v>1.9099718454700602E-2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4.3598467253422833E-2</v>
      </c>
      <c r="AY12" s="7">
        <v>2.4955293067673249E-2</v>
      </c>
      <c r="AZ12" s="7">
        <v>-2.3000260716576439E-3</v>
      </c>
      <c r="BA12" s="7">
        <v>7.1276156280934935E-2</v>
      </c>
      <c r="BB12" s="7">
        <v>5.7853949142751861E-3</v>
      </c>
      <c r="BC12" s="7">
        <v>1.227278903847649E-2</v>
      </c>
      <c r="BD12" s="7">
        <v>1.3630556941652629E-2</v>
      </c>
      <c r="BE12" s="7">
        <v>1.860880983938528E-2</v>
      </c>
      <c r="BF12" s="7">
        <v>6.7792352483200119E-2</v>
      </c>
      <c r="BG12" s="7">
        <v>3.3670862441262807E-2</v>
      </c>
      <c r="BH12" s="7">
        <v>1.422336001132196E-2</v>
      </c>
      <c r="BI12" s="7">
        <v>5.002125303099076E-2</v>
      </c>
      <c r="BJ12" s="7">
        <v>-7.9599331991781624E-4</v>
      </c>
      <c r="BK12" s="7">
        <v>-2.1284664960133971E-2</v>
      </c>
      <c r="BL12" s="7">
        <v>2.4709245830148639E-2</v>
      </c>
      <c r="BM12" s="7">
        <v>-5.030568452332447E-2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4.5356945691272972E-2</v>
      </c>
      <c r="CA12" s="7">
        <v>-3.4400287440342493E-2</v>
      </c>
      <c r="CB12" s="7">
        <v>1.943242131762835E-3</v>
      </c>
      <c r="CC12" s="7">
        <v>6.5566612627689883E-2</v>
      </c>
      <c r="CD12" s="7">
        <v>4.4258488563941309E-2</v>
      </c>
      <c r="CE12" s="7">
        <v>0.15400701288974189</v>
      </c>
      <c r="CF12" s="7">
        <v>4.0778952837748463E-3</v>
      </c>
      <c r="CG12" s="7">
        <v>3.0864849735211247E-4</v>
      </c>
      <c r="CH12" s="7">
        <v>6.3297372377959904E-2</v>
      </c>
      <c r="CI12" s="7">
        <v>-3.4655912412205718E-2</v>
      </c>
      <c r="CJ12" s="7">
        <v>1.544518047868886E-2</v>
      </c>
      <c r="CK12" s="7">
        <v>1.2803144154834811E-2</v>
      </c>
      <c r="CL12" s="7">
        <v>0.1180156076696104</v>
      </c>
      <c r="CM12" s="7">
        <v>-1.5219726167340819E-2</v>
      </c>
      <c r="CN12" s="7">
        <v>-2.7083701214559368E-2</v>
      </c>
      <c r="CO12" s="7">
        <v>-2.7266126880105788E-2</v>
      </c>
      <c r="CP12" s="7">
        <v>4.5299021467493747E-2</v>
      </c>
      <c r="CQ12" s="7">
        <v>-6.2684347003574781E-2</v>
      </c>
      <c r="CR12" s="7">
        <v>4.814662528730166E-2</v>
      </c>
      <c r="CS12" s="7">
        <v>-1.450965043846953E-2</v>
      </c>
      <c r="CT12" s="7">
        <v>-8.2403602353092742E-4</v>
      </c>
      <c r="CU12" s="7">
        <v>3.5623715662195188E-2</v>
      </c>
      <c r="CV12" s="7">
        <v>8.1126263755370142E-3</v>
      </c>
      <c r="CW12" s="7">
        <v>5.5479247445322649E-3</v>
      </c>
      <c r="CX12" s="7">
        <v>6.098988253699178E-2</v>
      </c>
      <c r="CY12" s="7">
        <v>-5.982942211490587E-3</v>
      </c>
      <c r="CZ12" s="7">
        <v>7.7792327339500603E-2</v>
      </c>
      <c r="DA12" s="7">
        <v>5.6037840703605252E-3</v>
      </c>
      <c r="DB12" s="7">
        <v>8.8981816498044985E-2</v>
      </c>
      <c r="DC12" s="7">
        <v>1.1472973291489949E-2</v>
      </c>
      <c r="DD12" s="7">
        <v>-3.9091997331507103E-2</v>
      </c>
      <c r="DE12" s="7">
        <v>1.198108381221169E-3</v>
      </c>
      <c r="DF12" s="7">
        <v>-6.834525736040385E-3</v>
      </c>
      <c r="DG12" s="7">
        <v>-9.4770893931691788E-4</v>
      </c>
      <c r="DH12" s="7">
        <v>-3.8226819714325612E-3</v>
      </c>
      <c r="DI12" s="7">
        <v>-5.4443172992132437E-2</v>
      </c>
      <c r="DJ12" s="7">
        <v>1.511820812609203E-2</v>
      </c>
      <c r="DK12" s="7">
        <v>-1.5945953127016341E-2</v>
      </c>
      <c r="DL12" s="7">
        <v>-3.5467602264376702E-4</v>
      </c>
      <c r="DM12" s="7">
        <v>-4.8403492450799163E-3</v>
      </c>
      <c r="DN12" s="7">
        <v>4.2410365386064831E-2</v>
      </c>
      <c r="DO12" s="7">
        <v>2.259973368032869E-2</v>
      </c>
      <c r="DP12" s="7">
        <v>3.2584449600297112E-2</v>
      </c>
      <c r="DQ12" s="7">
        <v>-3.3862120353048523E-2</v>
      </c>
      <c r="DR12" s="7">
        <v>1.8778943279386909E-2</v>
      </c>
      <c r="DS12" s="7">
        <v>-3.5726155451697807E-2</v>
      </c>
      <c r="DT12" s="7">
        <v>2.5117616030836221E-2</v>
      </c>
      <c r="DU12" s="7">
        <v>-5.7230283144308662E-2</v>
      </c>
      <c r="DV12" s="7">
        <v>4.8550824477530688E-2</v>
      </c>
      <c r="DW12" s="7">
        <v>4.3725564220037427E-2</v>
      </c>
      <c r="DX12" s="7">
        <v>-5.0152080542361532E-2</v>
      </c>
      <c r="DY12" s="7">
        <v>5.3145310887610077E-2</v>
      </c>
      <c r="DZ12" s="7">
        <v>6.2271493484882473E-3</v>
      </c>
      <c r="EA12" s="7">
        <v>5.1097632537531287E-2</v>
      </c>
      <c r="EB12" s="7">
        <v>2.8283267748527709E-3</v>
      </c>
      <c r="EC12" s="7">
        <v>-9.8063813353844453E-3</v>
      </c>
      <c r="ED12" s="7">
        <v>-6.050815280848415E-2</v>
      </c>
      <c r="EE12" s="7">
        <v>1.1917096272487391E-2</v>
      </c>
      <c r="EF12" s="8">
        <v>3.9233348038795662E-2</v>
      </c>
      <c r="EG12" s="21">
        <f>AVERAGE(C12:EF12)</f>
        <v>1.2224182543275309E-2</v>
      </c>
      <c r="EH12" s="21">
        <f>STDEV(C12:EF12)</f>
        <v>3.6326969517111174E-2</v>
      </c>
      <c r="EI12" s="21">
        <f>EG12/EH12</f>
        <v>0.33650433013734671</v>
      </c>
    </row>
    <row r="13" spans="1:139" x14ac:dyDescent="0.3">
      <c r="A13" s="1">
        <v>20</v>
      </c>
      <c r="B13" s="1">
        <v>48</v>
      </c>
      <c r="C13" s="7">
        <v>0.104112750252762</v>
      </c>
      <c r="D13" s="7">
        <v>0.1237450287927723</v>
      </c>
      <c r="E13" s="7">
        <v>6.9861556352806456E-2</v>
      </c>
      <c r="F13" s="7">
        <v>-1.14552398753768E-2</v>
      </c>
      <c r="G13" s="7">
        <v>1.574442605445054E-2</v>
      </c>
      <c r="H13" s="7">
        <v>2.9989631725721271E-2</v>
      </c>
      <c r="I13" s="7">
        <v>2.9130594923697638E-2</v>
      </c>
      <c r="J13" s="7">
        <v>-4.3899227077412117E-2</v>
      </c>
      <c r="K13" s="7">
        <v>-1.3673068264474649E-3</v>
      </c>
      <c r="L13" s="7">
        <v>-6.0251612936536372E-3</v>
      </c>
      <c r="M13" s="7">
        <v>7.7086562624922028E-3</v>
      </c>
      <c r="N13" s="7">
        <v>9.9806916956670585E-2</v>
      </c>
      <c r="O13" s="7">
        <v>3.9789291626632438E-2</v>
      </c>
      <c r="P13" s="7">
        <v>1.679162773809062E-2</v>
      </c>
      <c r="Q13" s="7">
        <v>7.3224368487557437E-2</v>
      </c>
      <c r="R13" s="7">
        <v>1.4159944486036529E-2</v>
      </c>
      <c r="S13" s="7">
        <v>-1.224367120891299E-2</v>
      </c>
      <c r="T13" s="7">
        <v>-5.2899802908693339E-2</v>
      </c>
      <c r="U13" s="7">
        <v>1.5970162331858111E-3</v>
      </c>
      <c r="V13" s="7">
        <v>-2.009432801387449E-2</v>
      </c>
      <c r="W13" s="7">
        <v>3.1103087884369891E-2</v>
      </c>
      <c r="X13" s="7">
        <v>5.327689472594363E-2</v>
      </c>
      <c r="Y13" s="7">
        <v>1.392099255764867E-2</v>
      </c>
      <c r="Z13" s="7">
        <v>2.0583761169128259E-2</v>
      </c>
      <c r="AA13" s="7">
        <v>-1.6440619450324361E-2</v>
      </c>
      <c r="AB13" s="7">
        <v>-1.5001573328978489E-2</v>
      </c>
      <c r="AC13" s="7">
        <v>8.0314397959504041E-3</v>
      </c>
      <c r="AD13" s="7">
        <v>2.0440228373792429E-2</v>
      </c>
      <c r="AE13" s="7">
        <v>-6.5719382027610476E-2</v>
      </c>
      <c r="AF13" s="7">
        <v>3.1940463834301228E-2</v>
      </c>
      <c r="AG13" s="7">
        <v>3.282310180952513E-3</v>
      </c>
      <c r="AH13" s="7">
        <v>9.6413392395163916E-3</v>
      </c>
      <c r="AI13" s="7">
        <v>1.20675500740728E-2</v>
      </c>
      <c r="AJ13" s="7">
        <v>-1.628046998827572E-2</v>
      </c>
      <c r="AK13" s="7">
        <v>6.5987912810655996E-2</v>
      </c>
      <c r="AL13" s="7">
        <v>2.3151428595171029E-2</v>
      </c>
      <c r="AM13" s="7">
        <v>4.6282443536828928E-2</v>
      </c>
      <c r="AN13" s="7">
        <v>0.10533023813603409</v>
      </c>
      <c r="AO13" s="7">
        <v>9.3111878994149404E-3</v>
      </c>
      <c r="AP13" s="7">
        <v>-5.9550840361997717E-2</v>
      </c>
      <c r="AQ13" s="7">
        <v>-6.0492887688996834E-3</v>
      </c>
      <c r="AR13" s="7">
        <v>1.0689185535935661E-2</v>
      </c>
      <c r="AS13" s="7">
        <v>4.1313118484234093E-2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6.7153787783110333E-2</v>
      </c>
      <c r="AY13" s="7">
        <v>1.756434634862496E-2</v>
      </c>
      <c r="AZ13" s="7">
        <v>-8.1034674694993921E-3</v>
      </c>
      <c r="BA13" s="7">
        <v>7.9829120343788335E-2</v>
      </c>
      <c r="BB13" s="7">
        <v>2.6046345532896049E-2</v>
      </c>
      <c r="BC13" s="7">
        <v>1.128376711165765E-2</v>
      </c>
      <c r="BD13" s="7">
        <v>3.344428383681335E-3</v>
      </c>
      <c r="BE13" s="7">
        <v>2.7391806305641558E-2</v>
      </c>
      <c r="BF13" s="7">
        <v>8.3929415307496771E-2</v>
      </c>
      <c r="BG13" s="7">
        <v>4.6566462338711673E-2</v>
      </c>
      <c r="BH13" s="7">
        <v>8.4757298116190372E-3</v>
      </c>
      <c r="BI13" s="7">
        <v>5.2409132456701382E-2</v>
      </c>
      <c r="BJ13" s="7">
        <v>-1.6847085990264871E-2</v>
      </c>
      <c r="BK13" s="7">
        <v>-1.8391024879749449E-2</v>
      </c>
      <c r="BL13" s="7">
        <v>3.1947860213175139E-2</v>
      </c>
      <c r="BM13" s="7">
        <v>-5.3371768695190711E-2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7.6138123059050211E-2</v>
      </c>
      <c r="CA13" s="7">
        <v>-3.3531565600396843E-2</v>
      </c>
      <c r="CB13" s="7">
        <v>-6.5958267252201053E-3</v>
      </c>
      <c r="CC13" s="7">
        <v>0.12011817373823321</v>
      </c>
      <c r="CD13" s="7">
        <v>5.52560480214307E-2</v>
      </c>
      <c r="CE13" s="7">
        <v>0.18382783645560871</v>
      </c>
      <c r="CF13" s="7">
        <v>1.8228940836627482E-2</v>
      </c>
      <c r="CG13" s="7">
        <v>7.5602686763741878E-3</v>
      </c>
      <c r="CH13" s="7">
        <v>5.8334611827207158E-2</v>
      </c>
      <c r="CI13" s="7">
        <v>-5.1853509134263308E-2</v>
      </c>
      <c r="CJ13" s="7">
        <v>-3.106087971951194E-3</v>
      </c>
      <c r="CK13" s="7">
        <v>3.2045269236463968E-2</v>
      </c>
      <c r="CL13" s="7">
        <v>8.1453366102180805E-2</v>
      </c>
      <c r="CM13" s="7">
        <v>-1.0296803756394969E-2</v>
      </c>
      <c r="CN13" s="7">
        <v>-2.688756599885234E-2</v>
      </c>
      <c r="CO13" s="7">
        <v>-1.345745856322739E-2</v>
      </c>
      <c r="CP13" s="7">
        <v>6.9726540277734339E-2</v>
      </c>
      <c r="CQ13" s="7">
        <v>-7.1178864968403879E-2</v>
      </c>
      <c r="CR13" s="7">
        <v>6.4380648737412241E-2</v>
      </c>
      <c r="CS13" s="7">
        <v>3.947650662960555E-3</v>
      </c>
      <c r="CT13" s="7">
        <v>8.0707993163786768E-3</v>
      </c>
      <c r="CU13" s="7">
        <v>3.7161402282311212E-2</v>
      </c>
      <c r="CV13" s="7">
        <v>-2.9533121732579042E-3</v>
      </c>
      <c r="CW13" s="7">
        <v>5.97703085624611E-3</v>
      </c>
      <c r="CX13" s="7">
        <v>6.0033255240053027E-2</v>
      </c>
      <c r="CY13" s="7">
        <v>-1.3118740115012659E-2</v>
      </c>
      <c r="CZ13" s="7">
        <v>5.7224220353485122E-2</v>
      </c>
      <c r="DA13" s="7">
        <v>-5.583676925821391E-3</v>
      </c>
      <c r="DB13" s="7">
        <v>0.1062353213029536</v>
      </c>
      <c r="DC13" s="7">
        <v>2.354099866843842E-2</v>
      </c>
      <c r="DD13" s="7">
        <v>-5.1406653602818438E-2</v>
      </c>
      <c r="DE13" s="7">
        <v>5.9289571260749546E-3</v>
      </c>
      <c r="DF13" s="7">
        <v>-2.8518796793634778E-2</v>
      </c>
      <c r="DG13" s="7">
        <v>-1.6306571728899009E-3</v>
      </c>
      <c r="DH13" s="7">
        <v>1.129576788191507E-2</v>
      </c>
      <c r="DI13" s="7">
        <v>-4.5977025094676827E-2</v>
      </c>
      <c r="DJ13" s="7">
        <v>5.9835846368128413E-3</v>
      </c>
      <c r="DK13" s="7">
        <v>1.240907421862765E-2</v>
      </c>
      <c r="DL13" s="7">
        <v>-1.6300246491314559E-2</v>
      </c>
      <c r="DM13" s="7">
        <v>-6.6588690484439203E-3</v>
      </c>
      <c r="DN13" s="7">
        <v>1.1499577922513139E-2</v>
      </c>
      <c r="DO13" s="7">
        <v>4.6891412388131722E-2</v>
      </c>
      <c r="DP13" s="7">
        <v>4.8786635856269467E-2</v>
      </c>
      <c r="DQ13" s="7">
        <v>-3.3966462251962683E-2</v>
      </c>
      <c r="DR13" s="7">
        <v>1.377120927231194E-2</v>
      </c>
      <c r="DS13" s="7">
        <v>-3.8887627839669842E-2</v>
      </c>
      <c r="DT13" s="7">
        <v>5.0831259890505333E-2</v>
      </c>
      <c r="DU13" s="7">
        <v>-3.3006159442618463E-2</v>
      </c>
      <c r="DV13" s="7">
        <v>7.9620144024188558E-2</v>
      </c>
      <c r="DW13" s="7">
        <v>4.4417789624350307E-2</v>
      </c>
      <c r="DX13" s="7">
        <v>-6.4523379578496173E-2</v>
      </c>
      <c r="DY13" s="7">
        <v>5.6981339047558921E-2</v>
      </c>
      <c r="DZ13" s="7">
        <v>1.8302124146301689E-2</v>
      </c>
      <c r="EA13" s="7">
        <v>6.2118677176029868E-2</v>
      </c>
      <c r="EB13" s="7">
        <v>2.1373218199386389E-2</v>
      </c>
      <c r="EC13" s="7">
        <v>-1.877600359538225E-2</v>
      </c>
      <c r="ED13" s="7">
        <v>-6.5682093659234955E-2</v>
      </c>
      <c r="EE13" s="7">
        <v>7.9525935749644935E-3</v>
      </c>
      <c r="EF13" s="8">
        <v>6.6577215363556236E-2</v>
      </c>
      <c r="EG13" s="21">
        <f t="shared" ref="EG13:EG24" si="6">AVERAGE(C13:EF13)</f>
        <v>1.7978749465763721E-2</v>
      </c>
      <c r="EH13" s="21">
        <f t="shared" ref="EH13:EH24" si="7">STDEV(C13:EF13)</f>
        <v>4.2571185334091759E-2</v>
      </c>
      <c r="EI13" s="21">
        <f t="shared" ref="EI13:EI24" si="8">EG13/EH13</f>
        <v>0.42232203131459489</v>
      </c>
    </row>
    <row r="14" spans="1:139" x14ac:dyDescent="0.3">
      <c r="A14" s="1">
        <v>50</v>
      </c>
      <c r="B14" s="1">
        <v>19</v>
      </c>
      <c r="C14" s="7">
        <v>0.1199414897527061</v>
      </c>
      <c r="D14" s="7">
        <v>0.22230844854062601</v>
      </c>
      <c r="E14" s="7">
        <v>9.8768248142222112E-2</v>
      </c>
      <c r="F14" s="7">
        <v>3.454246416569963E-2</v>
      </c>
      <c r="G14" s="7">
        <v>8.5148761783734067E-2</v>
      </c>
      <c r="H14" s="7">
        <v>5.9587806435440108E-2</v>
      </c>
      <c r="I14" s="7">
        <v>7.7114962431364939E-2</v>
      </c>
      <c r="J14" s="7">
        <v>-0.1050943867827082</v>
      </c>
      <c r="K14" s="7">
        <v>1.245116151579238E-2</v>
      </c>
      <c r="L14" s="7">
        <v>-8.4804475655485129E-3</v>
      </c>
      <c r="M14" s="7">
        <v>4.9945200667877512E-3</v>
      </c>
      <c r="N14" s="7">
        <v>0.20483257514122591</v>
      </c>
      <c r="O14" s="7">
        <v>3.9642308069534393E-2</v>
      </c>
      <c r="P14" s="7">
        <v>4.7779764282807252E-2</v>
      </c>
      <c r="Q14" s="7">
        <v>5.8237946154634852E-2</v>
      </c>
      <c r="R14" s="7">
        <v>-1.41517963055246E-2</v>
      </c>
      <c r="S14" s="7">
        <v>3.8534099526017718E-2</v>
      </c>
      <c r="T14" s="7">
        <v>-6.9841479520895866E-2</v>
      </c>
      <c r="U14" s="7">
        <v>3.6579129519701881E-2</v>
      </c>
      <c r="V14" s="7">
        <v>-3.837554626450454E-2</v>
      </c>
      <c r="W14" s="7">
        <v>7.4008159388253003E-2</v>
      </c>
      <c r="X14" s="7">
        <v>5.3581708514183243E-2</v>
      </c>
      <c r="Y14" s="7">
        <v>-1.676266335668946E-2</v>
      </c>
      <c r="Z14" s="7">
        <v>2.1252201103450909E-2</v>
      </c>
      <c r="AA14" s="7">
        <v>-2.6273997668139859E-3</v>
      </c>
      <c r="AB14" s="7">
        <v>-2.7335978605554132E-2</v>
      </c>
      <c r="AC14" s="7">
        <v>-2.929208376556364E-2</v>
      </c>
      <c r="AD14" s="7">
        <v>6.9874591735142114E-2</v>
      </c>
      <c r="AE14" s="7">
        <v>-4.0189068228804886E-3</v>
      </c>
      <c r="AF14" s="7">
        <v>4.0420702542399108E-2</v>
      </c>
      <c r="AG14" s="7">
        <v>6.3902010138930376E-3</v>
      </c>
      <c r="AH14" s="7">
        <v>5.250277930506024E-3</v>
      </c>
      <c r="AI14" s="7">
        <v>7.2072950927120863E-2</v>
      </c>
      <c r="AJ14" s="7">
        <v>1.505903608315101E-2</v>
      </c>
      <c r="AK14" s="7">
        <v>7.6911430858302002E-2</v>
      </c>
      <c r="AL14" s="7">
        <v>3.7969189722460717E-2</v>
      </c>
      <c r="AM14" s="7">
        <v>6.1242166378625243E-2</v>
      </c>
      <c r="AN14" s="7">
        <v>9.8594666769543718E-2</v>
      </c>
      <c r="AO14" s="7">
        <v>6.0905705465409951E-2</v>
      </c>
      <c r="AP14" s="7">
        <v>-6.9976525152084204E-2</v>
      </c>
      <c r="AQ14" s="7">
        <v>-3.6796773775995059E-4</v>
      </c>
      <c r="AR14" s="7">
        <v>3.764583976226292E-2</v>
      </c>
      <c r="AS14" s="7">
        <v>8.5376985953046783E-2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0.13695102829439271</v>
      </c>
      <c r="AY14" s="7">
        <v>1.5068118771761551E-2</v>
      </c>
      <c r="AZ14" s="7">
        <v>-5.3348569172156059E-2</v>
      </c>
      <c r="BA14" s="7">
        <v>9.6337325355973988E-2</v>
      </c>
      <c r="BB14" s="7">
        <v>0.101898340258458</v>
      </c>
      <c r="BC14" s="7">
        <v>-9.8209989552774171E-3</v>
      </c>
      <c r="BD14" s="7">
        <v>4.3327781667405418E-2</v>
      </c>
      <c r="BE14" s="7">
        <v>4.3787062535487017E-2</v>
      </c>
      <c r="BF14" s="7">
        <v>4.0770521545689782E-2</v>
      </c>
      <c r="BG14" s="7">
        <v>4.1374264073932777E-2</v>
      </c>
      <c r="BH14" s="7">
        <v>5.3427555686006711E-3</v>
      </c>
      <c r="BI14" s="7">
        <v>5.0185212890853773E-2</v>
      </c>
      <c r="BJ14" s="7">
        <v>-2.0017223671233209E-2</v>
      </c>
      <c r="BK14" s="7">
        <v>-5.5937516570728277E-3</v>
      </c>
      <c r="BL14" s="7">
        <v>5.9737766842370338E-2</v>
      </c>
      <c r="BM14" s="7">
        <v>-4.6278325003000387E-2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6.0034056828782267E-2</v>
      </c>
      <c r="CA14" s="7">
        <v>-2.446526611493707E-2</v>
      </c>
      <c r="CB14" s="7">
        <v>2.2127616542174811E-2</v>
      </c>
      <c r="CC14" s="7">
        <v>0.1205961585891825</v>
      </c>
      <c r="CD14" s="7">
        <v>4.7921840912584578E-2</v>
      </c>
      <c r="CE14" s="7">
        <v>0.1705553024885505</v>
      </c>
      <c r="CF14" s="7">
        <v>-2.0310216922519591E-2</v>
      </c>
      <c r="CG14" s="7">
        <v>0.13892667651794</v>
      </c>
      <c r="CH14" s="7">
        <v>6.46613922782171E-2</v>
      </c>
      <c r="CI14" s="7">
        <v>-0.1058847773633588</v>
      </c>
      <c r="CJ14" s="7">
        <v>-2.866785494417454E-2</v>
      </c>
      <c r="CK14" s="7">
        <v>1.40163643906461E-2</v>
      </c>
      <c r="CL14" s="7">
        <v>6.2269954878836478E-2</v>
      </c>
      <c r="CM14" s="7">
        <v>3.2040010368317121E-2</v>
      </c>
      <c r="CN14" s="7">
        <v>-2.3026688670926061E-2</v>
      </c>
      <c r="CO14" s="7">
        <v>-7.3587720038892968E-2</v>
      </c>
      <c r="CP14" s="7">
        <v>9.9809331481752833E-2</v>
      </c>
      <c r="CQ14" s="7">
        <v>-3.2227899887387702E-2</v>
      </c>
      <c r="CR14" s="7">
        <v>6.2640655376448015E-2</v>
      </c>
      <c r="CS14" s="7">
        <v>-3.8161133435199359E-3</v>
      </c>
      <c r="CT14" s="7">
        <v>1.910057655068487E-2</v>
      </c>
      <c r="CU14" s="7">
        <v>-4.3917102697214612E-2</v>
      </c>
      <c r="CV14" s="7">
        <v>2.274571513825533E-2</v>
      </c>
      <c r="CW14" s="7">
        <v>-3.3983824634707719E-3</v>
      </c>
      <c r="CX14" s="7">
        <v>3.6299408888239168E-2</v>
      </c>
      <c r="CY14" s="7">
        <v>-2.875912029147424E-2</v>
      </c>
      <c r="CZ14" s="7">
        <v>6.4063563350383365E-2</v>
      </c>
      <c r="DA14" s="7">
        <v>-2.4304289170584491E-2</v>
      </c>
      <c r="DB14" s="7">
        <v>0.1046074411002299</v>
      </c>
      <c r="DC14" s="7">
        <v>1.4753761497027579E-2</v>
      </c>
      <c r="DD14" s="7">
        <v>-5.389996674879375E-2</v>
      </c>
      <c r="DE14" s="7">
        <v>5.3842996077645283E-3</v>
      </c>
      <c r="DF14" s="7">
        <v>-3.5856630557062542E-2</v>
      </c>
      <c r="DG14" s="7">
        <v>1.144655639331721E-2</v>
      </c>
      <c r="DH14" s="7">
        <v>4.7748372429115976E-3</v>
      </c>
      <c r="DI14" s="7">
        <v>-5.8597819708917052E-2</v>
      </c>
      <c r="DJ14" s="7">
        <v>1.589759181276991E-2</v>
      </c>
      <c r="DK14" s="7">
        <v>1.9071063117655919E-2</v>
      </c>
      <c r="DL14" s="7">
        <v>-1.516516155488855E-2</v>
      </c>
      <c r="DM14" s="7">
        <v>5.504269093650517E-3</v>
      </c>
      <c r="DN14" s="7">
        <v>4.2662495893264311E-2</v>
      </c>
      <c r="DO14" s="7">
        <v>4.1375645162797292E-2</v>
      </c>
      <c r="DP14" s="7">
        <v>4.3539716357652018E-2</v>
      </c>
      <c r="DQ14" s="7">
        <v>-5.6019285986190409E-2</v>
      </c>
      <c r="DR14" s="7">
        <v>5.2622519458999567E-2</v>
      </c>
      <c r="DS14" s="7">
        <v>-3.5044906270916831E-2</v>
      </c>
      <c r="DT14" s="7">
        <v>0.1176725133317565</v>
      </c>
      <c r="DU14" s="7">
        <v>-6.8795273192164358E-2</v>
      </c>
      <c r="DV14" s="7">
        <v>0.1082623545301073</v>
      </c>
      <c r="DW14" s="7">
        <v>9.8344367017777726E-2</v>
      </c>
      <c r="DX14" s="7">
        <v>-0.1019315055524211</v>
      </c>
      <c r="DY14" s="7">
        <v>7.4258700078750628E-2</v>
      </c>
      <c r="DZ14" s="7">
        <v>3.5030999863780207E-2</v>
      </c>
      <c r="EA14" s="7">
        <v>0.10752548319752379</v>
      </c>
      <c r="EB14" s="7">
        <v>3.317733311259085E-2</v>
      </c>
      <c r="EC14" s="7">
        <v>-1.92914596657494E-2</v>
      </c>
      <c r="ED14" s="7">
        <v>-0.102629709186187</v>
      </c>
      <c r="EE14" s="7">
        <v>1.886715684489253E-2</v>
      </c>
      <c r="EF14" s="8">
        <v>6.9956420498558061E-2</v>
      </c>
      <c r="EG14" s="21">
        <f t="shared" si="6"/>
        <v>2.5218076261435955E-2</v>
      </c>
      <c r="EH14" s="21">
        <f t="shared" si="7"/>
        <v>5.8326888254879465E-2</v>
      </c>
      <c r="EI14" s="21">
        <f t="shared" si="8"/>
        <v>0.43235764869260418</v>
      </c>
    </row>
    <row r="15" spans="1:139" x14ac:dyDescent="0.3">
      <c r="A15" s="1">
        <v>100</v>
      </c>
      <c r="B15" s="1">
        <v>10</v>
      </c>
      <c r="C15" s="7">
        <v>0.22764465877785839</v>
      </c>
      <c r="D15" s="7">
        <v>0.37270921560992559</v>
      </c>
      <c r="E15" s="7">
        <v>6.204568011695779E-2</v>
      </c>
      <c r="F15" s="7">
        <v>9.0303713009756648E-2</v>
      </c>
      <c r="G15" s="7">
        <v>9.6605590550261633E-2</v>
      </c>
      <c r="H15" s="7">
        <v>0.1188437037073593</v>
      </c>
      <c r="I15" s="7">
        <v>0.12672874111951199</v>
      </c>
      <c r="J15" s="7">
        <v>-6.4524690109755506E-2</v>
      </c>
      <c r="K15" s="7">
        <v>-4.2103663853407802E-3</v>
      </c>
      <c r="L15" s="7">
        <v>1.296708496104035E-2</v>
      </c>
      <c r="M15" s="7">
        <v>2.5497709479487259E-2</v>
      </c>
      <c r="N15" s="7">
        <v>0.33030933686480701</v>
      </c>
      <c r="O15" s="7">
        <v>4.6103493253125377E-2</v>
      </c>
      <c r="P15" s="7">
        <v>5.298328319235554E-2</v>
      </c>
      <c r="Q15" s="7">
        <v>0.1003753495838908</v>
      </c>
      <c r="R15" s="7">
        <v>1.6755436290618191E-2</v>
      </c>
      <c r="S15" s="7">
        <v>-4.3033933773331312E-2</v>
      </c>
      <c r="T15" s="7">
        <v>-6.6800124943112091E-2</v>
      </c>
      <c r="U15" s="7">
        <v>4.6790243158631693E-2</v>
      </c>
      <c r="V15" s="7">
        <v>-8.5680881878873433E-2</v>
      </c>
      <c r="W15" s="7">
        <v>0.1025435939827431</v>
      </c>
      <c r="X15" s="7">
        <v>7.8436412445587397E-2</v>
      </c>
      <c r="Y15" s="7">
        <v>-2.41886185471549E-2</v>
      </c>
      <c r="Z15" s="7">
        <v>-2.3656418685670762E-2</v>
      </c>
      <c r="AA15" s="7">
        <v>4.6586123925793019E-2</v>
      </c>
      <c r="AB15" s="7">
        <v>-2.2166400740933071E-2</v>
      </c>
      <c r="AC15" s="7">
        <v>-4.0055129570116199E-2</v>
      </c>
      <c r="AD15" s="7">
        <v>8.171337488818238E-2</v>
      </c>
      <c r="AE15" s="7">
        <v>4.7286476245703507E-2</v>
      </c>
      <c r="AF15" s="7">
        <v>6.5819612497039853E-2</v>
      </c>
      <c r="AG15" s="7">
        <v>-9.7453106019047206E-3</v>
      </c>
      <c r="AH15" s="7">
        <v>-3.3604373357676472E-2</v>
      </c>
      <c r="AI15" s="7">
        <v>8.5430110815606947E-2</v>
      </c>
      <c r="AJ15" s="7">
        <v>9.4648599674757375E-3</v>
      </c>
      <c r="AK15" s="7">
        <v>6.1759619658444932E-2</v>
      </c>
      <c r="AL15" s="7">
        <v>4.4431662495814539E-2</v>
      </c>
      <c r="AM15" s="7">
        <v>5.5122622134627111E-2</v>
      </c>
      <c r="AN15" s="7">
        <v>0.10168870591238351</v>
      </c>
      <c r="AO15" s="7">
        <v>6.3369812463467096E-2</v>
      </c>
      <c r="AP15" s="7">
        <v>-7.8285693892754235E-2</v>
      </c>
      <c r="AQ15" s="7">
        <v>-3.7367126796121669E-2</v>
      </c>
      <c r="AR15" s="7">
        <v>9.0293855475916673E-2</v>
      </c>
      <c r="AS15" s="7">
        <v>5.3821179037114017E-2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0.12523397717473519</v>
      </c>
      <c r="AY15" s="7">
        <v>2.8017064110032911E-2</v>
      </c>
      <c r="AZ15" s="7">
        <v>-9.1323280068503487E-2</v>
      </c>
      <c r="BA15" s="7">
        <v>0.15768794840833861</v>
      </c>
      <c r="BB15" s="7">
        <v>0.1087890998161227</v>
      </c>
      <c r="BC15" s="7">
        <v>6.2155143667830287E-2</v>
      </c>
      <c r="BD15" s="7">
        <v>5.3043273904796059E-2</v>
      </c>
      <c r="BE15" s="7">
        <v>4.8442721017663122E-2</v>
      </c>
      <c r="BF15" s="7">
        <v>4.7662979456752137E-2</v>
      </c>
      <c r="BG15" s="7">
        <v>2.489538734565238E-3</v>
      </c>
      <c r="BH15" s="7">
        <v>3.4441845481689458E-2</v>
      </c>
      <c r="BI15" s="7">
        <v>6.8586659114969639E-2</v>
      </c>
      <c r="BJ15" s="7">
        <v>-1.1265027087445249E-2</v>
      </c>
      <c r="BK15" s="7">
        <v>8.2375226780603827E-4</v>
      </c>
      <c r="BL15" s="7">
        <v>5.940387134134844E-2</v>
      </c>
      <c r="BM15" s="7">
        <v>-4.8219004487744091E-2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0.1029064689773473</v>
      </c>
      <c r="CA15" s="7">
        <v>-1.859202079644226E-2</v>
      </c>
      <c r="CB15" s="7">
        <v>1.5056894011824499E-2</v>
      </c>
      <c r="CC15" s="7">
        <v>0.17365170572211991</v>
      </c>
      <c r="CD15" s="7">
        <v>8.9094519675820161E-2</v>
      </c>
      <c r="CE15" s="7">
        <v>7.3368120048450503E-2</v>
      </c>
      <c r="CF15" s="7">
        <v>-3.626816930322469E-3</v>
      </c>
      <c r="CG15" s="7">
        <v>0.2257312272651272</v>
      </c>
      <c r="CH15" s="7">
        <v>6.2885958283701332E-2</v>
      </c>
      <c r="CI15" s="7">
        <v>-3.8798414894980787E-2</v>
      </c>
      <c r="CJ15" s="7">
        <v>-8.7044356072718085E-2</v>
      </c>
      <c r="CK15" s="7">
        <v>5.667264577209942E-2</v>
      </c>
      <c r="CL15" s="7">
        <v>3.1421974993248308E-2</v>
      </c>
      <c r="CM15" s="7">
        <v>7.4631116128453773E-2</v>
      </c>
      <c r="CN15" s="7">
        <v>-4.2634115799160301E-2</v>
      </c>
      <c r="CO15" s="7">
        <v>-0.12944902488204141</v>
      </c>
      <c r="CP15" s="7">
        <v>0.12753583543294969</v>
      </c>
      <c r="CQ15" s="7">
        <v>2.49633604564388E-2</v>
      </c>
      <c r="CR15" s="7">
        <v>2.4374318697755349E-2</v>
      </c>
      <c r="CS15" s="7">
        <v>1.6910986704255612E-2</v>
      </c>
      <c r="CT15" s="7">
        <v>7.3945749754547726E-3</v>
      </c>
      <c r="CU15" s="7">
        <v>-6.3178659914772728E-2</v>
      </c>
      <c r="CV15" s="7">
        <v>-6.1418469048089008E-3</v>
      </c>
      <c r="CW15" s="7">
        <v>-1.248466018044017E-2</v>
      </c>
      <c r="CX15" s="7">
        <v>2.4039607053330959E-2</v>
      </c>
      <c r="CY15" s="7">
        <v>-4.2470673077762339E-2</v>
      </c>
      <c r="CZ15" s="7">
        <v>7.9886947944342257E-2</v>
      </c>
      <c r="DA15" s="7">
        <v>-2.6375835441876511E-2</v>
      </c>
      <c r="DB15" s="7">
        <v>9.7048241525465193E-2</v>
      </c>
      <c r="DC15" s="7">
        <v>7.6727024332969171E-2</v>
      </c>
      <c r="DD15" s="7">
        <v>-6.7526409067735202E-2</v>
      </c>
      <c r="DE15" s="7">
        <v>2.494871474504301E-2</v>
      </c>
      <c r="DF15" s="7">
        <v>-4.2391306399394757E-2</v>
      </c>
      <c r="DG15" s="7">
        <v>1.61967316182412E-2</v>
      </c>
      <c r="DH15" s="7">
        <v>-1.8709011043892099E-2</v>
      </c>
      <c r="DI15" s="7">
        <v>-1.171844900945769E-2</v>
      </c>
      <c r="DJ15" s="7">
        <v>4.7566622441064077E-2</v>
      </c>
      <c r="DK15" s="7">
        <v>0.101774834051468</v>
      </c>
      <c r="DL15" s="7">
        <v>6.2635494088437937E-2</v>
      </c>
      <c r="DM15" s="7">
        <v>-2.380854686766869E-2</v>
      </c>
      <c r="DN15" s="7">
        <v>4.3996497423619649E-2</v>
      </c>
      <c r="DO15" s="7">
        <v>4.6296727233800808E-2</v>
      </c>
      <c r="DP15" s="7">
        <v>2.3735602006892551E-2</v>
      </c>
      <c r="DQ15" s="7">
        <v>-7.2938079904142805E-2</v>
      </c>
      <c r="DR15" s="7">
        <v>7.0010566617938433E-2</v>
      </c>
      <c r="DS15" s="7">
        <v>-7.6241908411797149E-2</v>
      </c>
      <c r="DT15" s="7">
        <v>3.4296398911167342E-2</v>
      </c>
      <c r="DU15" s="7">
        <v>-0.1171276535106479</v>
      </c>
      <c r="DV15" s="7">
        <v>0.13976835694087139</v>
      </c>
      <c r="DW15" s="7">
        <v>2.5538627146832551E-2</v>
      </c>
      <c r="DX15" s="7">
        <v>-0.1186162506499864</v>
      </c>
      <c r="DY15" s="7">
        <v>0.14360957438078251</v>
      </c>
      <c r="DZ15" s="7">
        <v>4.0455653304009277E-2</v>
      </c>
      <c r="EA15" s="7">
        <v>0.10917693290987859</v>
      </c>
      <c r="EB15" s="7">
        <v>4.8518573131244913E-2</v>
      </c>
      <c r="EC15" s="7">
        <v>-1.7785518394724049E-2</v>
      </c>
      <c r="ED15" s="7">
        <v>-0.1133570559353114</v>
      </c>
      <c r="EE15" s="7">
        <v>-1.6245414536088298E-2</v>
      </c>
      <c r="EF15" s="8">
        <v>6.5700991138842244E-2</v>
      </c>
      <c r="EG15" s="21">
        <f t="shared" si="6"/>
        <v>3.2002321068482872E-2</v>
      </c>
      <c r="EH15" s="21">
        <f t="shared" si="7"/>
        <v>7.7309795961343686E-2</v>
      </c>
      <c r="EI15" s="21">
        <f t="shared" si="8"/>
        <v>0.41394910787870426</v>
      </c>
    </row>
    <row r="16" spans="1:139" x14ac:dyDescent="0.3">
      <c r="A16" s="1">
        <v>107</v>
      </c>
      <c r="B16" s="1">
        <v>9</v>
      </c>
      <c r="C16" s="7">
        <v>0.20787477708292909</v>
      </c>
      <c r="D16" s="7">
        <v>0.40819497873258059</v>
      </c>
      <c r="E16" s="7">
        <v>6.500657711132822E-2</v>
      </c>
      <c r="F16" s="7">
        <v>0.1242597879076992</v>
      </c>
      <c r="G16" s="7">
        <v>0.1090125126967716</v>
      </c>
      <c r="H16" s="7">
        <v>7.2848056287647484E-2</v>
      </c>
      <c r="I16" s="7">
        <v>0.11179230197990719</v>
      </c>
      <c r="J16" s="7">
        <v>-6.869403325322769E-2</v>
      </c>
      <c r="K16" s="7">
        <v>1.79251045182631E-2</v>
      </c>
      <c r="L16" s="7">
        <v>3.1027150965473069E-2</v>
      </c>
      <c r="M16" s="7">
        <v>4.0334454725240582E-2</v>
      </c>
      <c r="N16" s="7">
        <v>0.36698760912258638</v>
      </c>
      <c r="O16" s="7">
        <v>1.562109222531044E-2</v>
      </c>
      <c r="P16" s="7">
        <v>6.1979735280907847E-2</v>
      </c>
      <c r="Q16" s="7">
        <v>9.6618173174909727E-2</v>
      </c>
      <c r="R16" s="7">
        <v>1.9182762255635071E-2</v>
      </c>
      <c r="S16" s="7">
        <v>-4.241518321095411E-2</v>
      </c>
      <c r="T16" s="7">
        <v>-6.7219060157601318E-2</v>
      </c>
      <c r="U16" s="7">
        <v>4.8651515792801768E-2</v>
      </c>
      <c r="V16" s="7">
        <v>-0.1043161756014417</v>
      </c>
      <c r="W16" s="7">
        <v>0.10166567604781181</v>
      </c>
      <c r="X16" s="7">
        <v>7.3678277657467109E-2</v>
      </c>
      <c r="Y16" s="7">
        <v>-4.2874470917364169E-3</v>
      </c>
      <c r="Z16" s="7">
        <v>-2.0075794878424799E-2</v>
      </c>
      <c r="AA16" s="7">
        <v>5.022552686591434E-2</v>
      </c>
      <c r="AB16" s="7">
        <v>-3.2295414434067762E-2</v>
      </c>
      <c r="AC16" s="7">
        <v>-4.1040522709083073E-2</v>
      </c>
      <c r="AD16" s="7">
        <v>5.3136055547856789E-2</v>
      </c>
      <c r="AE16" s="7">
        <v>5.1534991881901908E-2</v>
      </c>
      <c r="AF16" s="7">
        <v>6.3685842581589158E-2</v>
      </c>
      <c r="AG16" s="7">
        <v>-8.3019076028860647E-3</v>
      </c>
      <c r="AH16" s="7">
        <v>-3.1765400449440553E-2</v>
      </c>
      <c r="AI16" s="7">
        <v>4.9078043176568033E-2</v>
      </c>
      <c r="AJ16" s="7">
        <v>-7.0259660718760518E-3</v>
      </c>
      <c r="AK16" s="7">
        <v>6.4421400832372078E-2</v>
      </c>
      <c r="AL16" s="7">
        <v>4.8688933104523248E-2</v>
      </c>
      <c r="AM16" s="7">
        <v>6.6076730601797973E-2</v>
      </c>
      <c r="AN16" s="7">
        <v>0.1064562000896756</v>
      </c>
      <c r="AO16" s="7">
        <v>6.1424671825912318E-2</v>
      </c>
      <c r="AP16" s="7">
        <v>-7.779836814558852E-2</v>
      </c>
      <c r="AQ16" s="7">
        <v>-3.8466200146068608E-2</v>
      </c>
      <c r="AR16" s="7">
        <v>0.1032911790604924</v>
      </c>
      <c r="AS16" s="7">
        <v>6.5068225473969343E-2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0.10082977324397289</v>
      </c>
      <c r="AY16" s="7">
        <v>3.3812589844345937E-2</v>
      </c>
      <c r="AZ16" s="7">
        <v>-0.1049096351787122</v>
      </c>
      <c r="BA16" s="7">
        <v>0.15999070017462089</v>
      </c>
      <c r="BB16" s="7">
        <v>0.1324747375965718</v>
      </c>
      <c r="BC16" s="7">
        <v>6.712146610769186E-2</v>
      </c>
      <c r="BD16" s="7">
        <v>3.5936711545904013E-2</v>
      </c>
      <c r="BE16" s="7">
        <v>5.1410994394474947E-2</v>
      </c>
      <c r="BF16" s="7">
        <v>6.4268054319718215E-2</v>
      </c>
      <c r="BG16" s="7">
        <v>1.347328204795663E-2</v>
      </c>
      <c r="BH16" s="7">
        <v>-1.377561448396186E-2</v>
      </c>
      <c r="BI16" s="7">
        <v>4.1443807763261883E-2</v>
      </c>
      <c r="BJ16" s="7">
        <v>-2.0503816283207601E-2</v>
      </c>
      <c r="BK16" s="7">
        <v>2.9719902951970238E-3</v>
      </c>
      <c r="BL16" s="7">
        <v>7.0623565707523178E-2</v>
      </c>
      <c r="BM16" s="7">
        <v>-3.9497985491106162E-2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0.11152584850164921</v>
      </c>
      <c r="CA16" s="7">
        <v>-2.971438975556321E-2</v>
      </c>
      <c r="CB16" s="7">
        <v>-1.4280449892172949E-3</v>
      </c>
      <c r="CC16" s="7">
        <v>4.4388153170205821E-2</v>
      </c>
      <c r="CD16" s="7">
        <v>8.7751090265593801E-2</v>
      </c>
      <c r="CE16" s="7">
        <v>9.3614230467915741E-2</v>
      </c>
      <c r="CF16" s="7">
        <v>-1.4696062966429431E-2</v>
      </c>
      <c r="CG16" s="7">
        <v>0.14619604002614181</v>
      </c>
      <c r="CH16" s="7">
        <v>4.1697414703027062E-2</v>
      </c>
      <c r="CI16" s="7">
        <v>-3.8709881828517527E-2</v>
      </c>
      <c r="CJ16" s="7">
        <v>-4.5523550787666608E-2</v>
      </c>
      <c r="CK16" s="7">
        <v>7.6472983717690388E-2</v>
      </c>
      <c r="CL16" s="7">
        <v>1.5878682334709331E-2</v>
      </c>
      <c r="CM16" s="7">
        <v>8.8988628149511667E-2</v>
      </c>
      <c r="CN16" s="7">
        <v>-3.3057515140949983E-2</v>
      </c>
      <c r="CO16" s="7">
        <v>-0.18245195453982929</v>
      </c>
      <c r="CP16" s="7">
        <v>0.13663168948209131</v>
      </c>
      <c r="CQ16" s="7">
        <v>2.0333779820360921E-2</v>
      </c>
      <c r="CR16" s="7">
        <v>2.5228656512159529E-2</v>
      </c>
      <c r="CS16" s="7">
        <v>2.1807008909622099E-2</v>
      </c>
      <c r="CT16" s="7">
        <v>5.0674065008409694E-3</v>
      </c>
      <c r="CU16" s="7">
        <v>-6.343465435897469E-2</v>
      </c>
      <c r="CV16" s="7">
        <v>-1.6751084080720881E-2</v>
      </c>
      <c r="CW16" s="7">
        <v>-9.1941595326216954E-3</v>
      </c>
      <c r="CX16" s="7">
        <v>1.224028475424996E-2</v>
      </c>
      <c r="CY16" s="7">
        <v>-4.9117049116625407E-2</v>
      </c>
      <c r="CZ16" s="7">
        <v>0.1026332591781325</v>
      </c>
      <c r="DA16" s="7">
        <v>-2.9804793967235531E-2</v>
      </c>
      <c r="DB16" s="7">
        <v>9.8017282885796683E-2</v>
      </c>
      <c r="DC16" s="7">
        <v>6.3740658508044973E-2</v>
      </c>
      <c r="DD16" s="7">
        <v>-7.4371115002597243E-2</v>
      </c>
      <c r="DE16" s="7">
        <v>3.4444372341228768E-2</v>
      </c>
      <c r="DF16" s="7">
        <v>-2.31464332255591E-2</v>
      </c>
      <c r="DG16" s="7">
        <v>1.445294763143863E-2</v>
      </c>
      <c r="DH16" s="7">
        <v>-1.9129343417971109E-2</v>
      </c>
      <c r="DI16" s="7">
        <v>-1.323342571252227E-2</v>
      </c>
      <c r="DJ16" s="7">
        <v>5.17532210725552E-2</v>
      </c>
      <c r="DK16" s="7">
        <v>0.1335943566255807</v>
      </c>
      <c r="DL16" s="7">
        <v>6.5113036128644886E-2</v>
      </c>
      <c r="DM16" s="7">
        <v>-3.0330949758340948E-2</v>
      </c>
      <c r="DN16" s="7">
        <v>4.2437853359407113E-2</v>
      </c>
      <c r="DO16" s="7">
        <v>5.3221907556143692E-2</v>
      </c>
      <c r="DP16" s="7">
        <v>1.9841948579226051E-2</v>
      </c>
      <c r="DQ16" s="7">
        <v>-6.7560519945635999E-2</v>
      </c>
      <c r="DR16" s="7">
        <v>5.5191251649515209E-2</v>
      </c>
      <c r="DS16" s="7">
        <v>-9.3752064989754288E-2</v>
      </c>
      <c r="DT16" s="7">
        <v>3.2059492153239763E-2</v>
      </c>
      <c r="DU16" s="7">
        <v>-0.1227720465229642</v>
      </c>
      <c r="DV16" s="7">
        <v>0.13695373201779351</v>
      </c>
      <c r="DW16" s="7">
        <v>4.0917729699690833E-2</v>
      </c>
      <c r="DX16" s="7">
        <v>-0.1252847063239774</v>
      </c>
      <c r="DY16" s="7">
        <v>0.15757213273537249</v>
      </c>
      <c r="DZ16" s="7">
        <v>5.8810748191046001E-2</v>
      </c>
      <c r="EA16" s="7">
        <v>0.13979901874338971</v>
      </c>
      <c r="EB16" s="7">
        <v>7.8610638743133537E-2</v>
      </c>
      <c r="EC16" s="7">
        <v>-2.493799654212037E-2</v>
      </c>
      <c r="ED16" s="7">
        <v>-0.1154167474989211</v>
      </c>
      <c r="EE16" s="7">
        <v>-2.3090711524611399E-2</v>
      </c>
      <c r="EF16" s="8">
        <v>4.2474401493907223E-2</v>
      </c>
      <c r="EG16" s="21">
        <f t="shared" si="6"/>
        <v>3.1482594654816468E-2</v>
      </c>
      <c r="EH16" s="21">
        <f t="shared" si="7"/>
        <v>7.9538381244062498E-2</v>
      </c>
      <c r="EI16" s="21">
        <f t="shared" si="8"/>
        <v>0.39581638653435164</v>
      </c>
    </row>
    <row r="17" spans="1:139" x14ac:dyDescent="0.3">
      <c r="A17" s="1">
        <v>120</v>
      </c>
      <c r="B17" s="1">
        <v>8</v>
      </c>
      <c r="C17" s="7">
        <v>0.2060921883792059</v>
      </c>
      <c r="D17" s="7">
        <v>0.43958848862462141</v>
      </c>
      <c r="E17" s="7">
        <v>7.9589849390753017E-2</v>
      </c>
      <c r="F17" s="7">
        <v>0.14677181431251229</v>
      </c>
      <c r="G17" s="7">
        <v>0.1171314801951346</v>
      </c>
      <c r="H17" s="7">
        <v>0.104994053627741</v>
      </c>
      <c r="I17" s="7">
        <v>6.7489655086341166E-2</v>
      </c>
      <c r="J17" s="7">
        <v>-0.11529907324194991</v>
      </c>
      <c r="K17" s="7">
        <v>3.9444991917733881E-2</v>
      </c>
      <c r="L17" s="7">
        <v>3.3775929538638137E-2</v>
      </c>
      <c r="M17" s="7">
        <v>6.4932034983486181E-2</v>
      </c>
      <c r="N17" s="7">
        <v>0.40510800893946219</v>
      </c>
      <c r="O17" s="7">
        <v>2.4632055211945642E-2</v>
      </c>
      <c r="P17" s="7">
        <v>7.6915603502900942E-2</v>
      </c>
      <c r="Q17" s="7">
        <v>0.1064302532864768</v>
      </c>
      <c r="R17" s="7">
        <v>1.9752512806694429E-3</v>
      </c>
      <c r="S17" s="7">
        <v>-5.51320257379724E-2</v>
      </c>
      <c r="T17" s="7">
        <v>-7.120201453280707E-2</v>
      </c>
      <c r="U17" s="7">
        <v>5.2290233946816159E-2</v>
      </c>
      <c r="V17" s="7">
        <v>-0.11635630202540009</v>
      </c>
      <c r="W17" s="7">
        <v>0.1196039840123075</v>
      </c>
      <c r="X17" s="7">
        <v>0.1001859670039883</v>
      </c>
      <c r="Y17" s="7">
        <v>1.500501326537191E-3</v>
      </c>
      <c r="Z17" s="7">
        <v>-2.160848979426638E-2</v>
      </c>
      <c r="AA17" s="7">
        <v>6.2254197086471723E-2</v>
      </c>
      <c r="AB17" s="7">
        <v>-4.4538303269439639E-2</v>
      </c>
      <c r="AC17" s="7">
        <v>-4.0799010987682183E-2</v>
      </c>
      <c r="AD17" s="7">
        <v>4.9777375460754107E-2</v>
      </c>
      <c r="AE17" s="7">
        <v>5.9443499695692369E-2</v>
      </c>
      <c r="AF17" s="7">
        <v>6.1429310121940139E-2</v>
      </c>
      <c r="AG17" s="7">
        <v>-1.3516708058117981E-3</v>
      </c>
      <c r="AH17" s="7">
        <v>-3.5472619172888853E-2</v>
      </c>
      <c r="AI17" s="7">
        <v>3.058770864151358E-2</v>
      </c>
      <c r="AJ17" s="7">
        <v>-4.2602630518956887E-2</v>
      </c>
      <c r="AK17" s="7">
        <v>7.3716274739036441E-2</v>
      </c>
      <c r="AL17" s="7">
        <v>5.0724405748556509E-2</v>
      </c>
      <c r="AM17" s="7">
        <v>7.5369367587656971E-2</v>
      </c>
      <c r="AN17" s="7">
        <v>0.1132871203459177</v>
      </c>
      <c r="AO17" s="7">
        <v>1.2632334595724191E-2</v>
      </c>
      <c r="AP17" s="7">
        <v>-7.7242814419585484E-2</v>
      </c>
      <c r="AQ17" s="7">
        <v>-6.052713740149903E-2</v>
      </c>
      <c r="AR17" s="7">
        <v>0.11393070989481729</v>
      </c>
      <c r="AS17" s="7">
        <v>5.6323562034475708E-2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9.6240558508798979E-2</v>
      </c>
      <c r="AY17" s="7">
        <v>2.742369669060089E-2</v>
      </c>
      <c r="AZ17" s="7">
        <v>-0.1251576022601911</v>
      </c>
      <c r="BA17" s="7">
        <v>0.1628064098097628</v>
      </c>
      <c r="BB17" s="7">
        <v>0.15327128427838471</v>
      </c>
      <c r="BC17" s="7">
        <v>8.386319517781364E-2</v>
      </c>
      <c r="BD17" s="7">
        <v>2.235648224620481E-2</v>
      </c>
      <c r="BE17" s="7">
        <v>7.7350242238060404E-2</v>
      </c>
      <c r="BF17" s="7">
        <v>5.5197496608953713E-2</v>
      </c>
      <c r="BG17" s="7">
        <v>-3.5394236088037288E-2</v>
      </c>
      <c r="BH17" s="7">
        <v>1.351946085175304E-2</v>
      </c>
      <c r="BI17" s="7">
        <v>8.7111945439947241E-2</v>
      </c>
      <c r="BJ17" s="7">
        <v>-9.8580642732364818E-3</v>
      </c>
      <c r="BK17" s="7">
        <v>-1.3822952070105509E-2</v>
      </c>
      <c r="BL17" s="7">
        <v>7.7482966799946165E-2</v>
      </c>
      <c r="BM17" s="7">
        <v>-2.905901115235426E-2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0.12057815588108529</v>
      </c>
      <c r="CA17" s="7">
        <v>-2.7934832358489561E-2</v>
      </c>
      <c r="CB17" s="7">
        <v>-1.047770749199251E-2</v>
      </c>
      <c r="CC17" s="7">
        <v>4.1760252474235628E-2</v>
      </c>
      <c r="CD17" s="7">
        <v>6.4105945265327313E-2</v>
      </c>
      <c r="CE17" s="7">
        <v>9.5708073661495086E-2</v>
      </c>
      <c r="CF17" s="7">
        <v>-9.5123348938203942E-2</v>
      </c>
      <c r="CG17" s="7">
        <v>0.17703460732335141</v>
      </c>
      <c r="CH17" s="7">
        <v>5.8636446607050002E-2</v>
      </c>
      <c r="CI17" s="7">
        <v>-1.4531184989588509E-2</v>
      </c>
      <c r="CJ17" s="7">
        <v>-5.0742321484442049E-2</v>
      </c>
      <c r="CK17" s="7">
        <v>9.1738572657912937E-2</v>
      </c>
      <c r="CL17" s="7">
        <v>-9.426344769031314E-3</v>
      </c>
      <c r="CM17" s="7">
        <v>0.13456934443157431</v>
      </c>
      <c r="CN17" s="7">
        <v>-2.6718061150986971E-2</v>
      </c>
      <c r="CO17" s="7">
        <v>-0.20253862726298949</v>
      </c>
      <c r="CP17" s="7">
        <v>0.1481592691973436</v>
      </c>
      <c r="CQ17" s="7">
        <v>-5.1907103341726511E-2</v>
      </c>
      <c r="CR17" s="7">
        <v>2.3005829537998311E-2</v>
      </c>
      <c r="CS17" s="7">
        <v>1.1545515717005199E-2</v>
      </c>
      <c r="CT17" s="7">
        <v>4.9260056389193077E-2</v>
      </c>
      <c r="CU17" s="7">
        <v>-7.440830758325391E-2</v>
      </c>
      <c r="CV17" s="7">
        <v>3.8796079399274282E-3</v>
      </c>
      <c r="CW17" s="7">
        <v>-1.976185390935294E-2</v>
      </c>
      <c r="CX17" s="7">
        <v>1.0772394523947831E-2</v>
      </c>
      <c r="CY17" s="7">
        <v>-4.9383298716090041E-2</v>
      </c>
      <c r="CZ17" s="7">
        <v>0.1242488378476205</v>
      </c>
      <c r="DA17" s="7">
        <v>-4.3895859145134192E-2</v>
      </c>
      <c r="DB17" s="7">
        <v>0.1042716259030833</v>
      </c>
      <c r="DC17" s="7">
        <v>5.3888321948882503E-2</v>
      </c>
      <c r="DD17" s="7">
        <v>-4.8130589338511678E-2</v>
      </c>
      <c r="DE17" s="7">
        <v>4.3723415783303222E-2</v>
      </c>
      <c r="DF17" s="7">
        <v>-1.123137032665928E-2</v>
      </c>
      <c r="DG17" s="7">
        <v>-1.8392819289084069E-3</v>
      </c>
      <c r="DH17" s="7">
        <v>-3.8726650938012717E-2</v>
      </c>
      <c r="DI17" s="7">
        <v>-5.2932443237824478E-3</v>
      </c>
      <c r="DJ17" s="7">
        <v>5.7146500327343322E-2</v>
      </c>
      <c r="DK17" s="7">
        <v>0.15603642811654619</v>
      </c>
      <c r="DL17" s="7">
        <v>7.3515600937171063E-2</v>
      </c>
      <c r="DM17" s="7">
        <v>-5.2252910582316028E-2</v>
      </c>
      <c r="DN17" s="7">
        <v>3.5489032714339008E-2</v>
      </c>
      <c r="DO17" s="7">
        <v>5.3451370339903423E-2</v>
      </c>
      <c r="DP17" s="7">
        <v>-1.651850825662354E-2</v>
      </c>
      <c r="DQ17" s="7">
        <v>-6.5244348133762259E-2</v>
      </c>
      <c r="DR17" s="7">
        <v>5.5884814876328279E-2</v>
      </c>
      <c r="DS17" s="7">
        <v>-0.12431615980481089</v>
      </c>
      <c r="DT17" s="7">
        <v>1.674318991919271E-2</v>
      </c>
      <c r="DU17" s="7">
        <v>-0.12949295631998961</v>
      </c>
      <c r="DV17" s="7">
        <v>0.11776539811095429</v>
      </c>
      <c r="DW17" s="7">
        <v>4.8681483414150163E-2</v>
      </c>
      <c r="DX17" s="7">
        <v>-0.12953898259647401</v>
      </c>
      <c r="DY17" s="7">
        <v>0.10728289560185179</v>
      </c>
      <c r="DZ17" s="7">
        <v>4.9212629169808252E-2</v>
      </c>
      <c r="EA17" s="7">
        <v>0.1645715232321148</v>
      </c>
      <c r="EB17" s="7">
        <v>8.7100349194739302E-2</v>
      </c>
      <c r="EC17" s="7">
        <v>-2.0361159093761828E-2</v>
      </c>
      <c r="ED17" s="7">
        <v>-0.12832444392891271</v>
      </c>
      <c r="EE17" s="7">
        <v>-2.5413360310033831E-2</v>
      </c>
      <c r="EF17" s="8">
        <v>4.7709767009851849E-2</v>
      </c>
      <c r="EG17" s="21">
        <f t="shared" si="6"/>
        <v>3.125171493547263E-2</v>
      </c>
      <c r="EH17" s="21">
        <f t="shared" si="7"/>
        <v>8.8565557383425975E-2</v>
      </c>
      <c r="EI17" s="21">
        <f t="shared" si="8"/>
        <v>0.35286533341821469</v>
      </c>
    </row>
    <row r="18" spans="1:139" x14ac:dyDescent="0.3">
      <c r="A18" s="1">
        <v>137</v>
      </c>
      <c r="B18" s="1">
        <v>7</v>
      </c>
      <c r="C18" s="7">
        <v>0.18975112249235829</v>
      </c>
      <c r="D18" s="7">
        <v>0.40188368142206798</v>
      </c>
      <c r="E18" s="7">
        <v>5.3439350267724013E-2</v>
      </c>
      <c r="F18" s="7">
        <v>0.21209065115804249</v>
      </c>
      <c r="G18" s="7">
        <v>0.13305805731961079</v>
      </c>
      <c r="H18" s="7">
        <v>0.12853956177457129</v>
      </c>
      <c r="I18" s="7">
        <v>5.4952662908801589E-2</v>
      </c>
      <c r="J18" s="7">
        <v>-0.12516179308854181</v>
      </c>
      <c r="K18" s="7">
        <v>3.1586450310913693E-2</v>
      </c>
      <c r="L18" s="7">
        <v>4.6672720340673143E-2</v>
      </c>
      <c r="M18" s="7">
        <v>7.970257711397645E-2</v>
      </c>
      <c r="N18" s="7">
        <v>0.46182001807061318</v>
      </c>
      <c r="O18" s="7">
        <v>2.432387484281975E-2</v>
      </c>
      <c r="P18" s="7">
        <v>5.4569613110984121E-2</v>
      </c>
      <c r="Q18" s="7">
        <v>0.12173637166463511</v>
      </c>
      <c r="R18" s="7">
        <v>1.9326198926856369E-2</v>
      </c>
      <c r="S18" s="7">
        <v>-6.9013340393708683E-2</v>
      </c>
      <c r="T18" s="7">
        <v>-5.4244440031608693E-2</v>
      </c>
      <c r="U18" s="7">
        <v>2.813552763259065E-2</v>
      </c>
      <c r="V18" s="7">
        <v>-0.13125392693944099</v>
      </c>
      <c r="W18" s="7">
        <v>0.1379172379157062</v>
      </c>
      <c r="X18" s="7">
        <v>0.1271228086254903</v>
      </c>
      <c r="Y18" s="7">
        <v>2.421380772058089E-2</v>
      </c>
      <c r="Z18" s="7">
        <v>-1.690571618738388E-2</v>
      </c>
      <c r="AA18" s="7">
        <v>5.4804497980215187E-2</v>
      </c>
      <c r="AB18" s="7">
        <v>-6.2644805262660919E-2</v>
      </c>
      <c r="AC18" s="7">
        <v>-7.4719823379266678E-2</v>
      </c>
      <c r="AD18" s="7">
        <v>7.2443789088531399E-2</v>
      </c>
      <c r="AE18" s="7">
        <v>7.7201591618879711E-2</v>
      </c>
      <c r="AF18" s="7">
        <v>3.187341816062559E-2</v>
      </c>
      <c r="AG18" s="7">
        <v>-8.6183643801437219E-3</v>
      </c>
      <c r="AH18" s="7">
        <v>-4.0197460968514703E-2</v>
      </c>
      <c r="AI18" s="7">
        <v>4.6855541353756011E-2</v>
      </c>
      <c r="AJ18" s="7">
        <v>-4.7393756166449127E-2</v>
      </c>
      <c r="AK18" s="7">
        <v>3.0152480597625989E-2</v>
      </c>
      <c r="AL18" s="7">
        <v>4.7527763632257733E-2</v>
      </c>
      <c r="AM18" s="7">
        <v>6.6643405424771207E-2</v>
      </c>
      <c r="AN18" s="7">
        <v>7.9294639955201793E-2</v>
      </c>
      <c r="AO18" s="7">
        <v>5.4275349676927882E-3</v>
      </c>
      <c r="AP18" s="7">
        <v>-7.8278591933806971E-2</v>
      </c>
      <c r="AQ18" s="7">
        <v>-7.6230845326449942E-2</v>
      </c>
      <c r="AR18" s="7">
        <v>0.1245455063629442</v>
      </c>
      <c r="AS18" s="7">
        <v>8.5826551553969135E-2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0.10756086825583611</v>
      </c>
      <c r="AY18" s="7">
        <v>3.4783278641148073E-2</v>
      </c>
      <c r="AZ18" s="7">
        <v>-0.14840908238889911</v>
      </c>
      <c r="BA18" s="7">
        <v>0.18047976466954649</v>
      </c>
      <c r="BB18" s="7">
        <v>0.16725801848079261</v>
      </c>
      <c r="BC18" s="7">
        <v>8.3201572593320602E-2</v>
      </c>
      <c r="BD18" s="7">
        <v>-2.4016271687300441E-2</v>
      </c>
      <c r="BE18" s="7">
        <v>6.8361213238162841E-2</v>
      </c>
      <c r="BF18" s="7">
        <v>4.5884536299578838E-2</v>
      </c>
      <c r="BG18" s="7">
        <v>-1.680624122620418E-2</v>
      </c>
      <c r="BH18" s="7">
        <v>2.0503853063805449E-2</v>
      </c>
      <c r="BI18" s="7">
        <v>0.1090000069186657</v>
      </c>
      <c r="BJ18" s="7">
        <v>5.9560640504595433E-3</v>
      </c>
      <c r="BK18" s="7">
        <v>-5.8003244170202591E-2</v>
      </c>
      <c r="BL18" s="7">
        <v>8.1157673820204085E-2</v>
      </c>
      <c r="BM18" s="7">
        <v>-2.8081356373095352E-2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0.15331998780259809</v>
      </c>
      <c r="CA18" s="7">
        <v>-1.6076543892860819E-2</v>
      </c>
      <c r="CB18" s="7">
        <v>-2.4577356612448309E-2</v>
      </c>
      <c r="CC18" s="7">
        <v>0.1046606238416451</v>
      </c>
      <c r="CD18" s="7">
        <v>5.0445794555038302E-2</v>
      </c>
      <c r="CE18" s="7">
        <v>7.7260394878222755E-2</v>
      </c>
      <c r="CF18" s="7">
        <v>-0.101858615532994</v>
      </c>
      <c r="CG18" s="7">
        <v>0.22664140590161991</v>
      </c>
      <c r="CH18" s="7">
        <v>0.16265704668723319</v>
      </c>
      <c r="CI18" s="7">
        <v>-3.8869139877689488E-2</v>
      </c>
      <c r="CJ18" s="7">
        <v>-6.2313677824909687E-2</v>
      </c>
      <c r="CK18" s="7">
        <v>9.0667784292283726E-2</v>
      </c>
      <c r="CL18" s="7">
        <v>-3.0989545058193121E-2</v>
      </c>
      <c r="CM18" s="7">
        <v>0.14364854316439371</v>
      </c>
      <c r="CN18" s="7">
        <v>-3.5086253978176607E-2</v>
      </c>
      <c r="CO18" s="7">
        <v>-0.23157387854942929</v>
      </c>
      <c r="CP18" s="7">
        <v>0.16283910894801071</v>
      </c>
      <c r="CQ18" s="7">
        <v>-3.8242675594942703E-2</v>
      </c>
      <c r="CR18" s="7">
        <v>3.3743302271192592E-2</v>
      </c>
      <c r="CS18" s="7">
        <v>2.8128560414088639E-2</v>
      </c>
      <c r="CT18" s="7">
        <v>9.0515429002249403E-2</v>
      </c>
      <c r="CU18" s="7">
        <v>-7.1648691205109999E-2</v>
      </c>
      <c r="CV18" s="7">
        <v>9.1040282230288663E-2</v>
      </c>
      <c r="CW18" s="7">
        <v>-8.4560855645258066E-3</v>
      </c>
      <c r="CX18" s="7">
        <v>6.1560185833778078E-2</v>
      </c>
      <c r="CY18" s="7">
        <v>-5.135741377478225E-2</v>
      </c>
      <c r="CZ18" s="7">
        <v>0.13284286330177139</v>
      </c>
      <c r="DA18" s="7">
        <v>-4.7380939518693557E-2</v>
      </c>
      <c r="DB18" s="7">
        <v>0.1181147182852117</v>
      </c>
      <c r="DC18" s="7">
        <v>4.9208867424112533E-2</v>
      </c>
      <c r="DD18" s="7">
        <v>-7.1071299907563223E-2</v>
      </c>
      <c r="DE18" s="7">
        <v>4.9173444891641022E-2</v>
      </c>
      <c r="DF18" s="7">
        <v>-3.5042778782370262E-2</v>
      </c>
      <c r="DG18" s="7">
        <v>-7.619473157627699E-3</v>
      </c>
      <c r="DH18" s="7">
        <v>-2.8038013248649029E-2</v>
      </c>
      <c r="DI18" s="7">
        <v>-1.6114629238026808E-2</v>
      </c>
      <c r="DJ18" s="7">
        <v>5.0654511409894881E-2</v>
      </c>
      <c r="DK18" s="7">
        <v>0.15851362709242739</v>
      </c>
      <c r="DL18" s="7">
        <v>8.1397742916241134E-2</v>
      </c>
      <c r="DM18" s="7">
        <v>-6.650814073203816E-2</v>
      </c>
      <c r="DN18" s="7">
        <v>-1.6722064078021251E-2</v>
      </c>
      <c r="DO18" s="7">
        <v>4.2104907550630517E-2</v>
      </c>
      <c r="DP18" s="7">
        <v>-2.0604686466865741E-2</v>
      </c>
      <c r="DQ18" s="7">
        <v>-6.1955528967367397E-2</v>
      </c>
      <c r="DR18" s="7">
        <v>7.6840654771961045E-2</v>
      </c>
      <c r="DS18" s="7">
        <v>-0.1477219984517327</v>
      </c>
      <c r="DT18" s="7">
        <v>-7.4073899594950176E-3</v>
      </c>
      <c r="DU18" s="7">
        <v>-0.15871482271667761</v>
      </c>
      <c r="DV18" s="7">
        <v>0.1056406088000619</v>
      </c>
      <c r="DW18" s="7">
        <v>8.1908692284373169E-2</v>
      </c>
      <c r="DX18" s="7">
        <v>-0.1536029774624818</v>
      </c>
      <c r="DY18" s="7">
        <v>0.1368331149382522</v>
      </c>
      <c r="DZ18" s="7">
        <v>5.4630374156582083E-2</v>
      </c>
      <c r="EA18" s="7">
        <v>0.19894574816433719</v>
      </c>
      <c r="EB18" s="7">
        <v>9.9846377978320619E-2</v>
      </c>
      <c r="EC18" s="7">
        <v>-1.9600515916961631E-2</v>
      </c>
      <c r="ED18" s="7">
        <v>-0.11047802186576559</v>
      </c>
      <c r="EE18" s="7">
        <v>-1.385375397450707E-2</v>
      </c>
      <c r="EF18" s="8">
        <v>4.8955017110416547E-2</v>
      </c>
      <c r="EG18" s="21">
        <f t="shared" si="6"/>
        <v>3.335854161564409E-2</v>
      </c>
      <c r="EH18" s="21">
        <f t="shared" si="7"/>
        <v>9.8073907648061218E-2</v>
      </c>
      <c r="EI18" s="21">
        <f t="shared" si="8"/>
        <v>0.34013676436092877</v>
      </c>
    </row>
    <row r="19" spans="1:139" x14ac:dyDescent="0.3">
      <c r="A19" s="1">
        <v>160</v>
      </c>
      <c r="B19" s="1">
        <v>6</v>
      </c>
      <c r="C19" s="7">
        <v>0.19660026531165431</v>
      </c>
      <c r="D19" s="7">
        <v>0.40752071008946927</v>
      </c>
      <c r="E19" s="7">
        <v>6.5814207330017804E-2</v>
      </c>
      <c r="F19" s="7">
        <v>0.2361704653757343</v>
      </c>
      <c r="G19" s="7">
        <v>0.15286434188697251</v>
      </c>
      <c r="H19" s="7">
        <v>0.17761031882265199</v>
      </c>
      <c r="I19" s="7">
        <v>4.746340533639954E-2</v>
      </c>
      <c r="J19" s="7">
        <v>-0.15623035308620389</v>
      </c>
      <c r="K19" s="7">
        <v>5.6540969561565207E-2</v>
      </c>
      <c r="L19" s="7">
        <v>3.036283305602917E-2</v>
      </c>
      <c r="M19" s="7">
        <v>8.6210339026117716E-2</v>
      </c>
      <c r="N19" s="7">
        <v>0.53237403768824121</v>
      </c>
      <c r="O19" s="7">
        <v>-1.9797434001384839E-2</v>
      </c>
      <c r="P19" s="7">
        <v>2.2785213112093351E-2</v>
      </c>
      <c r="Q19" s="7">
        <v>0.17046229208001809</v>
      </c>
      <c r="R19" s="7">
        <v>4.1942629449215993E-2</v>
      </c>
      <c r="S19" s="7">
        <v>-7.8696261313160737E-2</v>
      </c>
      <c r="T19" s="7">
        <v>-2.7154277986299109E-2</v>
      </c>
      <c r="U19" s="7">
        <v>4.4186857998324967E-2</v>
      </c>
      <c r="V19" s="7">
        <v>-0.11868445851892109</v>
      </c>
      <c r="W19" s="7">
        <v>0.14662099071751011</v>
      </c>
      <c r="X19" s="7">
        <v>0.122923146245717</v>
      </c>
      <c r="Y19" s="7">
        <v>2.406430534505774E-2</v>
      </c>
      <c r="Z19" s="7">
        <v>-2.2223239298902381E-2</v>
      </c>
      <c r="AA19" s="7">
        <v>4.7300121799034582E-2</v>
      </c>
      <c r="AB19" s="7">
        <v>-5.1718752810757287E-2</v>
      </c>
      <c r="AC19" s="7">
        <v>-8.3512866892878637E-2</v>
      </c>
      <c r="AD19" s="7">
        <v>2.399745726106059E-2</v>
      </c>
      <c r="AE19" s="7">
        <v>0.11523186996306679</v>
      </c>
      <c r="AF19" s="7">
        <v>3.8785666808899749E-2</v>
      </c>
      <c r="AG19" s="7">
        <v>1.92975452240348E-2</v>
      </c>
      <c r="AH19" s="7">
        <v>-5.6557715221703553E-2</v>
      </c>
      <c r="AI19" s="7">
        <v>8.1770124789496509E-2</v>
      </c>
      <c r="AJ19" s="7">
        <v>-5.1545290327262273E-2</v>
      </c>
      <c r="AK19" s="7">
        <v>7.5520425059527104E-3</v>
      </c>
      <c r="AL19" s="7">
        <v>7.0270945670805551E-2</v>
      </c>
      <c r="AM19" s="7">
        <v>4.3106011811404943E-2</v>
      </c>
      <c r="AN19" s="7">
        <v>8.3568294365682083E-2</v>
      </c>
      <c r="AO19" s="7">
        <v>2.589290304541441E-2</v>
      </c>
      <c r="AP19" s="7">
        <v>-8.757412027285208E-2</v>
      </c>
      <c r="AQ19" s="7">
        <v>-8.8252757060650652E-2</v>
      </c>
      <c r="AR19" s="7">
        <v>0.1535175623128574</v>
      </c>
      <c r="AS19" s="7">
        <v>9.7796955268314459E-2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8.0206414310412866E-2</v>
      </c>
      <c r="AY19" s="7">
        <v>2.9528970393379841E-2</v>
      </c>
      <c r="AZ19" s="7">
        <v>-0.18687961816817431</v>
      </c>
      <c r="BA19" s="7">
        <v>0.18699677755478061</v>
      </c>
      <c r="BB19" s="7">
        <v>0.2018019106632078</v>
      </c>
      <c r="BC19" s="7">
        <v>6.4055486346185769E-2</v>
      </c>
      <c r="BD19" s="7">
        <v>-3.2343926300681461E-3</v>
      </c>
      <c r="BE19" s="7">
        <v>5.1131873963666558E-2</v>
      </c>
      <c r="BF19" s="7">
        <v>1.3570974149138619E-2</v>
      </c>
      <c r="BG19" s="7">
        <v>-1.6343658332842171E-2</v>
      </c>
      <c r="BH19" s="7">
        <v>2.0182017014309939E-3</v>
      </c>
      <c r="BI19" s="7">
        <v>0.12779862881921869</v>
      </c>
      <c r="BJ19" s="7">
        <v>2.1707301538579211E-2</v>
      </c>
      <c r="BK19" s="7">
        <v>-5.1749526091992383E-2</v>
      </c>
      <c r="BL19" s="7">
        <v>7.9964658146503109E-2</v>
      </c>
      <c r="BM19" s="7">
        <v>-3.1786264869145278E-2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6.8702124822053873E-2</v>
      </c>
      <c r="CA19" s="7">
        <v>-2.932875522377449E-2</v>
      </c>
      <c r="CB19" s="7">
        <v>-4.804116850824483E-2</v>
      </c>
      <c r="CC19" s="7">
        <v>2.2506232898517449E-2</v>
      </c>
      <c r="CD19" s="7">
        <v>8.7664948361316358E-2</v>
      </c>
      <c r="CE19" s="7">
        <v>8.8474858937667905E-2</v>
      </c>
      <c r="CF19" s="7">
        <v>-0.1116984874650168</v>
      </c>
      <c r="CG19" s="7">
        <v>0.2638931335655384</v>
      </c>
      <c r="CH19" s="7">
        <v>0.1528898670499263</v>
      </c>
      <c r="CI19" s="7">
        <v>-3.7066946160195187E-2</v>
      </c>
      <c r="CJ19" s="7">
        <v>-6.194049996603615E-2</v>
      </c>
      <c r="CK19" s="7">
        <v>0.1039677178170982</v>
      </c>
      <c r="CL19" s="7">
        <v>-4.3240279974789908E-2</v>
      </c>
      <c r="CM19" s="7">
        <v>0.17534764158171501</v>
      </c>
      <c r="CN19" s="7">
        <v>-7.6932654667303466E-2</v>
      </c>
      <c r="CO19" s="7">
        <v>-0.27245440462850651</v>
      </c>
      <c r="CP19" s="7">
        <v>0.15903259898233271</v>
      </c>
      <c r="CQ19" s="7">
        <v>-3.2394607516418629E-2</v>
      </c>
      <c r="CR19" s="7">
        <v>2.4299202463726639E-2</v>
      </c>
      <c r="CS19" s="7">
        <v>4.3774986978304217E-2</v>
      </c>
      <c r="CT19" s="7">
        <v>0.1226204266300308</v>
      </c>
      <c r="CU19" s="7">
        <v>-8.3436397113892974E-2</v>
      </c>
      <c r="CV19" s="7">
        <v>0.10197986151640361</v>
      </c>
      <c r="CW19" s="7">
        <v>-2.190180778189859E-2</v>
      </c>
      <c r="CX19" s="7">
        <v>5.7634726368184938E-2</v>
      </c>
      <c r="CY19" s="7">
        <v>-7.092186956436955E-2</v>
      </c>
      <c r="CZ19" s="7">
        <v>0.11285182864146399</v>
      </c>
      <c r="DA19" s="7">
        <v>-5.8223876703236761E-2</v>
      </c>
      <c r="DB19" s="7">
        <v>0.14796184676961621</v>
      </c>
      <c r="DC19" s="7">
        <v>3.0276457178153349E-2</v>
      </c>
      <c r="DD19" s="7">
        <v>-6.3547464152502509E-2</v>
      </c>
      <c r="DE19" s="7">
        <v>5.4024955382609513E-2</v>
      </c>
      <c r="DF19" s="7">
        <v>-6.969304689302265E-2</v>
      </c>
      <c r="DG19" s="7">
        <v>-1.27464749106491E-2</v>
      </c>
      <c r="DH19" s="7">
        <v>-1.569831294047225E-4</v>
      </c>
      <c r="DI19" s="7">
        <v>3.666424442421171E-3</v>
      </c>
      <c r="DJ19" s="7">
        <v>8.0499602410030055E-2</v>
      </c>
      <c r="DK19" s="7">
        <v>0.1241445877842076</v>
      </c>
      <c r="DL19" s="7">
        <v>7.0167407799869491E-2</v>
      </c>
      <c r="DM19" s="7">
        <v>-8.1952255033994378E-2</v>
      </c>
      <c r="DN19" s="7">
        <v>2.4751230976385011E-3</v>
      </c>
      <c r="DO19" s="7">
        <v>5.5126563399943852E-2</v>
      </c>
      <c r="DP19" s="7">
        <v>2.783801448299373E-2</v>
      </c>
      <c r="DQ19" s="7">
        <v>-5.0623171449732877E-2</v>
      </c>
      <c r="DR19" s="7">
        <v>7.5962353325048193E-2</v>
      </c>
      <c r="DS19" s="7">
        <v>-0.1779955469539703</v>
      </c>
      <c r="DT19" s="7">
        <v>-3.0761271922289252E-3</v>
      </c>
      <c r="DU19" s="7">
        <v>-0.15058192195631251</v>
      </c>
      <c r="DV19" s="7">
        <v>0.1115247064406045</v>
      </c>
      <c r="DW19" s="7">
        <v>6.0609139340684293E-2</v>
      </c>
      <c r="DX19" s="7">
        <v>-0.1383651342381777</v>
      </c>
      <c r="DY19" s="7">
        <v>0.1392486786855984</v>
      </c>
      <c r="DZ19" s="7">
        <v>7.8537947622533175E-2</v>
      </c>
      <c r="EA19" s="7">
        <v>0.23304583030528039</v>
      </c>
      <c r="EB19" s="7">
        <v>2.1772770012778581E-2</v>
      </c>
      <c r="EC19" s="7">
        <v>-3.1325109885979932E-2</v>
      </c>
      <c r="ED19" s="7">
        <v>-0.15093531699015689</v>
      </c>
      <c r="EE19" s="7">
        <v>1.2634042940422471E-2</v>
      </c>
      <c r="EF19" s="8">
        <v>1.697795487476916E-2</v>
      </c>
      <c r="EG19" s="21">
        <f t="shared" si="6"/>
        <v>3.377533408449182E-2</v>
      </c>
      <c r="EH19" s="21">
        <f t="shared" si="7"/>
        <v>0.10744982800476002</v>
      </c>
      <c r="EI19" s="21">
        <f t="shared" si="8"/>
        <v>0.31433585992334556</v>
      </c>
    </row>
    <row r="20" spans="1:139" x14ac:dyDescent="0.3">
      <c r="A20" s="1">
        <v>192</v>
      </c>
      <c r="B20" s="1">
        <v>5</v>
      </c>
      <c r="C20" s="7">
        <v>0.2015510478639157</v>
      </c>
      <c r="D20" s="7">
        <v>0.38202502004734989</v>
      </c>
      <c r="E20" s="7">
        <v>5.7336350326780597E-2</v>
      </c>
      <c r="F20" s="7">
        <v>0.18241961869314111</v>
      </c>
      <c r="G20" s="7">
        <v>0.15802736357208361</v>
      </c>
      <c r="H20" s="7">
        <v>0.14393228225567539</v>
      </c>
      <c r="I20" s="7">
        <v>2.7935541644402932E-2</v>
      </c>
      <c r="J20" s="7">
        <v>-0.13320729307702719</v>
      </c>
      <c r="K20" s="7">
        <v>3.7404684852111583E-2</v>
      </c>
      <c r="L20" s="7">
        <v>3.069548300109538E-2</v>
      </c>
      <c r="M20" s="7">
        <v>0.100133414364086</v>
      </c>
      <c r="N20" s="7">
        <v>0.5000114780094741</v>
      </c>
      <c r="O20" s="7">
        <v>-0.1101145251033072</v>
      </c>
      <c r="P20" s="7">
        <v>4.0028494751770102E-2</v>
      </c>
      <c r="Q20" s="7">
        <v>0.2248248109923951</v>
      </c>
      <c r="R20" s="7">
        <v>6.6469633088856533E-2</v>
      </c>
      <c r="S20" s="7">
        <v>-5.7341082572801211E-2</v>
      </c>
      <c r="T20" s="7">
        <v>1.566291051925937E-2</v>
      </c>
      <c r="U20" s="7">
        <v>3.2237658419507161E-2</v>
      </c>
      <c r="V20" s="7">
        <v>-0.13628806336757671</v>
      </c>
      <c r="W20" s="7">
        <v>0.17308537617758091</v>
      </c>
      <c r="X20" s="7">
        <v>0.15004231162753859</v>
      </c>
      <c r="Y20" s="7">
        <v>-4.8557578603156213E-3</v>
      </c>
      <c r="Z20" s="7">
        <v>2.9157350054346439E-2</v>
      </c>
      <c r="AA20" s="7">
        <v>6.6961978782240111E-2</v>
      </c>
      <c r="AB20" s="7">
        <v>-3.2898545320226208E-2</v>
      </c>
      <c r="AC20" s="7">
        <v>-9.6309042825298966E-2</v>
      </c>
      <c r="AD20" s="7">
        <v>2.698730357067794E-2</v>
      </c>
      <c r="AE20" s="7">
        <v>1.7311149627037389E-2</v>
      </c>
      <c r="AF20" s="7">
        <v>3.9044678387579961E-2</v>
      </c>
      <c r="AG20" s="7">
        <v>-6.2417403721479496E-3</v>
      </c>
      <c r="AH20" s="7">
        <v>-9.0178200714782636E-2</v>
      </c>
      <c r="AI20" s="7">
        <v>7.8154544921168481E-2</v>
      </c>
      <c r="AJ20" s="7">
        <v>-6.1990034547547639E-2</v>
      </c>
      <c r="AK20" s="7">
        <v>-1.359511549600285E-2</v>
      </c>
      <c r="AL20" s="7">
        <v>7.2893452036976947E-2</v>
      </c>
      <c r="AM20" s="7">
        <v>3.3095980748802607E-2</v>
      </c>
      <c r="AN20" s="7">
        <v>7.5470193518998266E-2</v>
      </c>
      <c r="AO20" s="7">
        <v>4.528508196468839E-2</v>
      </c>
      <c r="AP20" s="7">
        <v>-0.13173046125538779</v>
      </c>
      <c r="AQ20" s="7">
        <v>2.7452485332951051E-2</v>
      </c>
      <c r="AR20" s="7">
        <v>0.1700490046789242</v>
      </c>
      <c r="AS20" s="7">
        <v>0.112095809682817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0.11073254799870159</v>
      </c>
      <c r="AY20" s="7">
        <v>3.8674698442909439E-2</v>
      </c>
      <c r="AZ20" s="7">
        <v>-0.21380243117708869</v>
      </c>
      <c r="BA20" s="7">
        <v>0.15133772550591279</v>
      </c>
      <c r="BB20" s="7">
        <v>0.2312136261880767</v>
      </c>
      <c r="BC20" s="7">
        <v>7.0605567677740205E-2</v>
      </c>
      <c r="BD20" s="7">
        <v>-5.3429813221597323E-2</v>
      </c>
      <c r="BE20" s="7">
        <v>-5.9467971392603326E-3</v>
      </c>
      <c r="BF20" s="7">
        <v>5.6885823313286886E-3</v>
      </c>
      <c r="BG20" s="7">
        <v>-6.9261427086933884E-3</v>
      </c>
      <c r="BH20" s="7">
        <v>-7.1606447114111002E-2</v>
      </c>
      <c r="BI20" s="7">
        <v>0.13174526708517489</v>
      </c>
      <c r="BJ20" s="7">
        <v>2.1629511833186621E-2</v>
      </c>
      <c r="BK20" s="7">
        <v>-5.9233167842827283E-2</v>
      </c>
      <c r="BL20" s="7">
        <v>8.6292231176454737E-2</v>
      </c>
      <c r="BM20" s="7">
        <v>-4.7468551464188873E-2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9.02714042602836E-2</v>
      </c>
      <c r="CA20" s="7">
        <v>-4.0102728051752932E-2</v>
      </c>
      <c r="CB20" s="7">
        <v>-3.8251950010927849E-2</v>
      </c>
      <c r="CC20" s="7">
        <v>1.291514747808061E-2</v>
      </c>
      <c r="CD20" s="7">
        <v>9.606464764259523E-2</v>
      </c>
      <c r="CE20" s="7">
        <v>8.5778172602440458E-2</v>
      </c>
      <c r="CF20" s="7">
        <v>-0.1312085557648148</v>
      </c>
      <c r="CG20" s="7">
        <v>0.32193852229938452</v>
      </c>
      <c r="CH20" s="7">
        <v>7.1864025597138351E-2</v>
      </c>
      <c r="CI20" s="7">
        <v>-3.0394673769081951E-2</v>
      </c>
      <c r="CJ20" s="7">
        <v>-0.123440319887351</v>
      </c>
      <c r="CK20" s="7">
        <v>9.0978396750106633E-2</v>
      </c>
      <c r="CL20" s="7">
        <v>-9.2184934189128986E-2</v>
      </c>
      <c r="CM20" s="7">
        <v>0.18905116517062071</v>
      </c>
      <c r="CN20" s="7">
        <v>2.215941137048465E-2</v>
      </c>
      <c r="CO20" s="7">
        <v>-0.41597133516901241</v>
      </c>
      <c r="CP20" s="7">
        <v>0.1920312051090273</v>
      </c>
      <c r="CQ20" s="7">
        <v>-2.3118045300283038E-2</v>
      </c>
      <c r="CR20" s="7">
        <v>2.5362552774013961E-2</v>
      </c>
      <c r="CS20" s="7">
        <v>2.2293038159359669E-2</v>
      </c>
      <c r="CT20" s="7">
        <v>9.0474037414266281E-2</v>
      </c>
      <c r="CU20" s="7">
        <v>-9.4867658266512403E-2</v>
      </c>
      <c r="CV20" s="7">
        <v>9.2511075695426118E-2</v>
      </c>
      <c r="CW20" s="7">
        <v>9.9530629212826391E-3</v>
      </c>
      <c r="CX20" s="7">
        <v>9.0298550867764463E-2</v>
      </c>
      <c r="CY20" s="7">
        <v>-1.247973266829688E-2</v>
      </c>
      <c r="CZ20" s="7">
        <v>0.15516164514919831</v>
      </c>
      <c r="DA20" s="7">
        <v>-4.7471893155177573E-2</v>
      </c>
      <c r="DB20" s="7">
        <v>7.696806977078402E-2</v>
      </c>
      <c r="DC20" s="7">
        <v>2.890116070260346E-2</v>
      </c>
      <c r="DD20" s="7">
        <v>-6.8163012313784327E-2</v>
      </c>
      <c r="DE20" s="7">
        <v>-2.674986392092854E-2</v>
      </c>
      <c r="DF20" s="7">
        <v>8.591215324206241E-4</v>
      </c>
      <c r="DG20" s="7">
        <v>-4.2022106203706937E-3</v>
      </c>
      <c r="DH20" s="7">
        <v>-1.097541174252706E-2</v>
      </c>
      <c r="DI20" s="7">
        <v>-2.2876731785052461E-2</v>
      </c>
      <c r="DJ20" s="7">
        <v>8.1277020159802621E-2</v>
      </c>
      <c r="DK20" s="7">
        <v>8.4953981446054899E-2</v>
      </c>
      <c r="DL20" s="7">
        <v>7.5826636178542531E-2</v>
      </c>
      <c r="DM20" s="7">
        <v>9.2836502794370751E-3</v>
      </c>
      <c r="DN20" s="7">
        <v>5.8019206654199171E-2</v>
      </c>
      <c r="DO20" s="7">
        <v>6.5815801837970381E-2</v>
      </c>
      <c r="DP20" s="7">
        <v>9.8305313908873052E-3</v>
      </c>
      <c r="DQ20" s="7">
        <v>-3.8540311084368499E-2</v>
      </c>
      <c r="DR20" s="7">
        <v>7.8512660028290493E-2</v>
      </c>
      <c r="DS20" s="7">
        <v>-0.20608109757835469</v>
      </c>
      <c r="DT20" s="7">
        <v>4.8293441839824189E-3</v>
      </c>
      <c r="DU20" s="7">
        <v>-0.17637516893039651</v>
      </c>
      <c r="DV20" s="7">
        <v>0.12934547183885869</v>
      </c>
      <c r="DW20" s="7">
        <v>6.9060203958039607E-2</v>
      </c>
      <c r="DX20" s="7">
        <v>-0.15386632960631469</v>
      </c>
      <c r="DY20" s="7">
        <v>0.1215914577754016</v>
      </c>
      <c r="DZ20" s="7">
        <v>9.0199646158974578E-2</v>
      </c>
      <c r="EA20" s="7">
        <v>0.29368998396417129</v>
      </c>
      <c r="EB20" s="7">
        <v>3.9067633350965261E-2</v>
      </c>
      <c r="EC20" s="7">
        <v>2.2976412108212281E-2</v>
      </c>
      <c r="ED20" s="7">
        <v>-0.17691886106701021</v>
      </c>
      <c r="EE20" s="7">
        <v>2.3672309273819309E-3</v>
      </c>
      <c r="EF20" s="8">
        <v>2.0281416615907238E-2</v>
      </c>
      <c r="EG20" s="21">
        <f t="shared" si="6"/>
        <v>3.1945673530255167E-2</v>
      </c>
      <c r="EH20" s="21">
        <f t="shared" si="7"/>
        <v>0.11491063164707004</v>
      </c>
      <c r="EI20" s="21">
        <f t="shared" si="8"/>
        <v>0.27800450726240272</v>
      </c>
    </row>
    <row r="21" spans="1:139" x14ac:dyDescent="0.3">
      <c r="A21" s="1">
        <v>241</v>
      </c>
      <c r="B21" s="1">
        <v>4</v>
      </c>
      <c r="C21" s="7">
        <v>0.21462957980695321</v>
      </c>
      <c r="D21" s="7">
        <v>0.12638791676682359</v>
      </c>
      <c r="E21" s="7">
        <v>-1.3690170285790599E-2</v>
      </c>
      <c r="F21" s="7">
        <v>0.20341349755932739</v>
      </c>
      <c r="G21" s="7">
        <v>0.14533185880700039</v>
      </c>
      <c r="H21" s="7">
        <v>0.1621640877938379</v>
      </c>
      <c r="I21" s="7">
        <v>1.4111278480981961E-2</v>
      </c>
      <c r="J21" s="7">
        <v>-0.13674291533985661</v>
      </c>
      <c r="K21" s="7">
        <v>1.4702959601359119E-3</v>
      </c>
      <c r="L21" s="7">
        <v>-5.0291533060606367E-3</v>
      </c>
      <c r="M21" s="7">
        <v>7.5660649926760526E-2</v>
      </c>
      <c r="N21" s="7">
        <v>0.58489126462072527</v>
      </c>
      <c r="O21" s="7">
        <v>-0.1392774934469892</v>
      </c>
      <c r="P21" s="7">
        <v>4.5427193017503087E-2</v>
      </c>
      <c r="Q21" s="7">
        <v>0.27408344527068967</v>
      </c>
      <c r="R21" s="7">
        <v>8.4905231193340591E-2</v>
      </c>
      <c r="S21" s="7">
        <v>-3.656329165669691E-2</v>
      </c>
      <c r="T21" s="7">
        <v>-1.4040364340204919E-2</v>
      </c>
      <c r="U21" s="7">
        <v>-9.8246407343969278E-3</v>
      </c>
      <c r="V21" s="7">
        <v>-0.13175048865250241</v>
      </c>
      <c r="W21" s="7">
        <v>0.15778847961546261</v>
      </c>
      <c r="X21" s="7">
        <v>0.20780126735333779</v>
      </c>
      <c r="Y21" s="7">
        <v>-1.014366037320256E-2</v>
      </c>
      <c r="Z21" s="7">
        <v>3.9457715679957053E-2</v>
      </c>
      <c r="AA21" s="7">
        <v>2.8033456192208511E-2</v>
      </c>
      <c r="AB21" s="7">
        <v>-2.1955943889134161E-2</v>
      </c>
      <c r="AC21" s="7">
        <v>-0.15954227246420169</v>
      </c>
      <c r="AD21" s="7">
        <v>-2.593327599743489E-2</v>
      </c>
      <c r="AE21" s="7">
        <v>1.031161069406002E-2</v>
      </c>
      <c r="AF21" s="7">
        <v>5.3125609886562987E-2</v>
      </c>
      <c r="AG21" s="7">
        <v>-1.057075303995837E-2</v>
      </c>
      <c r="AH21" s="7">
        <v>-0.10758136256479831</v>
      </c>
      <c r="AI21" s="7">
        <v>7.9594209333291061E-2</v>
      </c>
      <c r="AJ21" s="7">
        <v>-7.0405341946468691E-2</v>
      </c>
      <c r="AK21" s="7">
        <v>-3.5803167618110053E-2</v>
      </c>
      <c r="AL21" s="7">
        <v>6.5379822733110632E-2</v>
      </c>
      <c r="AM21" s="7">
        <v>6.8535807447630548E-2</v>
      </c>
      <c r="AN21" s="7">
        <v>0.11195605606309431</v>
      </c>
      <c r="AO21" s="7">
        <v>4.7726395643726653E-2</v>
      </c>
      <c r="AP21" s="7">
        <v>-7.2535143570019153E-2</v>
      </c>
      <c r="AQ21" s="7">
        <v>7.6865507010547632E-2</v>
      </c>
      <c r="AR21" s="7">
        <v>0.20518227823048121</v>
      </c>
      <c r="AS21" s="7">
        <v>6.4455868646629361E-2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0.1431476874697567</v>
      </c>
      <c r="AY21" s="7">
        <v>4.7021290978038012E-2</v>
      </c>
      <c r="AZ21" s="7">
        <v>-0.25491126989713642</v>
      </c>
      <c r="BA21" s="7">
        <v>0.1395926821613267</v>
      </c>
      <c r="BB21" s="7">
        <v>0.29451263697732177</v>
      </c>
      <c r="BC21" s="7">
        <v>3.8321147725193863E-2</v>
      </c>
      <c r="BD21" s="7">
        <v>-2.1750863370627919E-2</v>
      </c>
      <c r="BE21" s="7">
        <v>6.3505333974014731E-3</v>
      </c>
      <c r="BF21" s="7">
        <v>3.5771001804346838E-3</v>
      </c>
      <c r="BG21" s="7">
        <v>3.6635189216812601E-2</v>
      </c>
      <c r="BH21" s="7">
        <v>-7.6321363138755302E-2</v>
      </c>
      <c r="BI21" s="7">
        <v>0.1659695961783918</v>
      </c>
      <c r="BJ21" s="7">
        <v>2.3579026181717661E-2</v>
      </c>
      <c r="BK21" s="7">
        <v>-6.8449880379534783E-2</v>
      </c>
      <c r="BL21" s="7">
        <v>0.1427210926463498</v>
      </c>
      <c r="BM21" s="7">
        <v>-4.0795286028720637E-2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4.7662928720715619E-2</v>
      </c>
      <c r="CA21" s="7">
        <v>-6.0517603302398457E-2</v>
      </c>
      <c r="CB21" s="7">
        <v>-6.3421391198258154E-2</v>
      </c>
      <c r="CC21" s="7">
        <v>-8.0189542709663136E-3</v>
      </c>
      <c r="CD21" s="7">
        <v>8.4423550992515431E-2</v>
      </c>
      <c r="CE21" s="7">
        <v>6.1514882354154247E-2</v>
      </c>
      <c r="CF21" s="7">
        <v>-0.1271704760916082</v>
      </c>
      <c r="CG21" s="7">
        <v>0.32016678338047649</v>
      </c>
      <c r="CH21" s="7">
        <v>8.0100321076211733E-2</v>
      </c>
      <c r="CI21" s="7">
        <v>-8.0499616390982326E-2</v>
      </c>
      <c r="CJ21" s="7">
        <v>-8.5627757016502298E-2</v>
      </c>
      <c r="CK21" s="7">
        <v>0.12705054673013411</v>
      </c>
      <c r="CL21" s="7">
        <v>-0.13389042462296469</v>
      </c>
      <c r="CM21" s="7">
        <v>0.2255029884033713</v>
      </c>
      <c r="CN21" s="7">
        <v>3.05388902037756E-2</v>
      </c>
      <c r="CO21" s="7">
        <v>-0.51486524859759264</v>
      </c>
      <c r="CP21" s="7">
        <v>0.22270006087791269</v>
      </c>
      <c r="CQ21" s="7">
        <v>-2.2912194169496192E-2</v>
      </c>
      <c r="CR21" s="7">
        <v>1.161578886010306E-2</v>
      </c>
      <c r="CS21" s="7">
        <v>3.0907745682497659E-2</v>
      </c>
      <c r="CT21" s="7">
        <v>8.2292872854338978E-2</v>
      </c>
      <c r="CU21" s="7">
        <v>-6.2673560169491313E-2</v>
      </c>
      <c r="CV21" s="7">
        <v>9.8225632021386913E-2</v>
      </c>
      <c r="CW21" s="7">
        <v>6.5005417280988659E-2</v>
      </c>
      <c r="CX21" s="7">
        <v>0.1021221756574071</v>
      </c>
      <c r="CY21" s="7">
        <v>-8.4819164039144704E-3</v>
      </c>
      <c r="CZ21" s="7">
        <v>0.2374513708258302</v>
      </c>
      <c r="DA21" s="7">
        <v>1.192256456731756E-3</v>
      </c>
      <c r="DB21" s="7">
        <v>7.1461213773998111E-2</v>
      </c>
      <c r="DC21" s="7">
        <v>4.8309147365506719E-2</v>
      </c>
      <c r="DD21" s="7">
        <v>-6.7027496200741665E-2</v>
      </c>
      <c r="DE21" s="7">
        <v>1.2238108588318921E-2</v>
      </c>
      <c r="DF21" s="7">
        <v>2.156088069787479E-2</v>
      </c>
      <c r="DG21" s="7">
        <v>7.8463781285332893E-3</v>
      </c>
      <c r="DH21" s="7">
        <v>1.407682021245452E-2</v>
      </c>
      <c r="DI21" s="7">
        <v>3.4407478280179482E-2</v>
      </c>
      <c r="DJ21" s="7">
        <v>7.330279150207536E-2</v>
      </c>
      <c r="DK21" s="7">
        <v>0.13950270681890459</v>
      </c>
      <c r="DL21" s="7">
        <v>9.8364938839376553E-2</v>
      </c>
      <c r="DM21" s="7">
        <v>-2.9834119642240212E-2</v>
      </c>
      <c r="DN21" s="7">
        <v>7.1197612493993062E-2</v>
      </c>
      <c r="DO21" s="7">
        <v>8.2445792330679737E-2</v>
      </c>
      <c r="DP21" s="7">
        <v>2.426615509356601E-2</v>
      </c>
      <c r="DQ21" s="7">
        <v>-2.821605205239688E-2</v>
      </c>
      <c r="DR21" s="7">
        <v>5.0170859037080733E-2</v>
      </c>
      <c r="DS21" s="7">
        <v>-0.20083947383729561</v>
      </c>
      <c r="DT21" s="7">
        <v>-9.7086429422632292E-3</v>
      </c>
      <c r="DU21" s="7">
        <v>-0.1486147166384135</v>
      </c>
      <c r="DV21" s="7">
        <v>0.140275976869878</v>
      </c>
      <c r="DW21" s="7">
        <v>0.12824786866412111</v>
      </c>
      <c r="DX21" s="7">
        <v>-0.18596621403118341</v>
      </c>
      <c r="DY21" s="7">
        <v>0.16673097108859181</v>
      </c>
      <c r="DZ21" s="7">
        <v>9.893057365990536E-2</v>
      </c>
      <c r="EA21" s="7">
        <v>0.26605683227934601</v>
      </c>
      <c r="EB21" s="7">
        <v>8.4081461705858979E-3</v>
      </c>
      <c r="EC21" s="7">
        <v>2.7188931609766109E-2</v>
      </c>
      <c r="ED21" s="7">
        <v>-5.4498856348180663E-2</v>
      </c>
      <c r="EE21" s="7">
        <v>1.4428852108417999E-2</v>
      </c>
      <c r="EF21" s="8">
        <v>-1.8771264042119089E-2</v>
      </c>
      <c r="EG21" s="21">
        <f t="shared" si="6"/>
        <v>3.4546902243615785E-2</v>
      </c>
      <c r="EH21" s="21">
        <f t="shared" si="7"/>
        <v>0.1231291582704544</v>
      </c>
      <c r="EI21" s="21">
        <f t="shared" si="8"/>
        <v>0.28057450183922461</v>
      </c>
    </row>
    <row r="22" spans="1:139" x14ac:dyDescent="0.3">
      <c r="A22" s="1">
        <v>321</v>
      </c>
      <c r="B22" s="1">
        <v>3</v>
      </c>
      <c r="C22" s="7">
        <v>0.20528030103697539</v>
      </c>
      <c r="D22" s="7">
        <v>0.1424278520773985</v>
      </c>
      <c r="E22" s="7">
        <v>-1.7355098916458981E-2</v>
      </c>
      <c r="F22" s="7">
        <v>-0.13986745030938699</v>
      </c>
      <c r="G22" s="7">
        <v>0.23294542459532269</v>
      </c>
      <c r="H22" s="7">
        <v>0.1241780629606463</v>
      </c>
      <c r="I22" s="7">
        <v>1.743734320629017E-2</v>
      </c>
      <c r="J22" s="7">
        <v>-0.10425350273662951</v>
      </c>
      <c r="K22" s="7">
        <v>2.8656780116393998E-2</v>
      </c>
      <c r="L22" s="7">
        <v>1.427320868498227E-2</v>
      </c>
      <c r="M22" s="7">
        <v>-0.22515860506358171</v>
      </c>
      <c r="N22" s="7">
        <v>0.75614344311733894</v>
      </c>
      <c r="O22" s="7">
        <v>-6.6442332164954182E-2</v>
      </c>
      <c r="P22" s="7">
        <v>9.0630874426634297E-2</v>
      </c>
      <c r="Q22" s="7">
        <v>0.12727089023139021</v>
      </c>
      <c r="R22" s="7">
        <v>6.6698292606331602E-2</v>
      </c>
      <c r="S22" s="7">
        <v>-3.9234143537179147E-2</v>
      </c>
      <c r="T22" s="7">
        <v>-2.023861247683403E-2</v>
      </c>
      <c r="U22" s="7">
        <v>5.2488906495621809E-2</v>
      </c>
      <c r="V22" s="7">
        <v>-0.1756249024704124</v>
      </c>
      <c r="W22" s="7">
        <v>0.20748026702429739</v>
      </c>
      <c r="X22" s="7">
        <v>0.25720235121349699</v>
      </c>
      <c r="Y22" s="7">
        <v>-6.9853331702800808E-2</v>
      </c>
      <c r="Z22" s="7">
        <v>2.386612179035642E-2</v>
      </c>
      <c r="AA22" s="7">
        <v>0.1181206143698829</v>
      </c>
      <c r="AB22" s="7">
        <v>3.8652301253394171E-3</v>
      </c>
      <c r="AC22" s="7">
        <v>-0.1772130781488627</v>
      </c>
      <c r="AD22" s="7">
        <v>-1.859374921466125E-2</v>
      </c>
      <c r="AE22" s="7">
        <v>-8.514768595770715E-2</v>
      </c>
      <c r="AF22" s="7">
        <v>4.718231615802413E-2</v>
      </c>
      <c r="AG22" s="7">
        <v>-4.5973813007689088E-2</v>
      </c>
      <c r="AH22" s="7">
        <v>-0.10586595942047269</v>
      </c>
      <c r="AI22" s="7">
        <v>9.4141260657386039E-2</v>
      </c>
      <c r="AJ22" s="7">
        <v>-3.1699849326408271E-2</v>
      </c>
      <c r="AK22" s="7">
        <v>0.1012885607403957</v>
      </c>
      <c r="AL22" s="7">
        <v>4.0340966806900407E-2</v>
      </c>
      <c r="AM22" s="7">
        <v>8.4088903467703563E-2</v>
      </c>
      <c r="AN22" s="7">
        <v>0.1111328096635593</v>
      </c>
      <c r="AO22" s="7">
        <v>7.4717373393705613E-2</v>
      </c>
      <c r="AP22" s="7">
        <v>-6.2536353887992696E-2</v>
      </c>
      <c r="AQ22" s="7">
        <v>7.9426117478593142E-2</v>
      </c>
      <c r="AR22" s="7">
        <v>0.25053267815838243</v>
      </c>
      <c r="AS22" s="7">
        <v>8.2810438898549957E-2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0.17376339998002421</v>
      </c>
      <c r="AY22" s="7">
        <v>7.1733385334230598E-2</v>
      </c>
      <c r="AZ22" s="7">
        <v>-0.1549037783211521</v>
      </c>
      <c r="BA22" s="7">
        <v>4.9774957584186978E-2</v>
      </c>
      <c r="BB22" s="7">
        <v>0.36955058329648782</v>
      </c>
      <c r="BC22" s="7">
        <v>-0.13083693812295519</v>
      </c>
      <c r="BD22" s="7">
        <v>-2.2174181465828179E-2</v>
      </c>
      <c r="BE22" s="7">
        <v>2.221618339448047E-2</v>
      </c>
      <c r="BF22" s="7">
        <v>1.363881733831962E-2</v>
      </c>
      <c r="BG22" s="7">
        <v>4.6279512168386029E-2</v>
      </c>
      <c r="BH22" s="7">
        <v>-0.12796054233813189</v>
      </c>
      <c r="BI22" s="7">
        <v>0.111088719409907</v>
      </c>
      <c r="BJ22" s="7">
        <v>5.4996415150720922E-2</v>
      </c>
      <c r="BK22" s="7">
        <v>-4.1839635933665138E-2</v>
      </c>
      <c r="BL22" s="7">
        <v>0.16178033907103531</v>
      </c>
      <c r="BM22" s="7">
        <v>-2.4304832455331882E-3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4.725773586289217E-2</v>
      </c>
      <c r="CA22" s="7">
        <v>-2.749007848032349E-2</v>
      </c>
      <c r="CB22" s="7">
        <v>-0.14899327824592659</v>
      </c>
      <c r="CC22" s="7">
        <v>-0.12510399532003291</v>
      </c>
      <c r="CD22" s="7">
        <v>9.5518542864996087E-2</v>
      </c>
      <c r="CE22" s="7">
        <v>6.6840145636817616E-2</v>
      </c>
      <c r="CF22" s="7">
        <v>-0.15557256842246689</v>
      </c>
      <c r="CG22" s="7">
        <v>0.4438008150544101</v>
      </c>
      <c r="CH22" s="7">
        <v>0.1159187712794482</v>
      </c>
      <c r="CI22" s="7">
        <v>-0.1177797462783592</v>
      </c>
      <c r="CJ22" s="7">
        <v>-0.1033795050895627</v>
      </c>
      <c r="CK22" s="7">
        <v>3.6163342604682402E-2</v>
      </c>
      <c r="CL22" s="7">
        <v>-0.2406517986250408</v>
      </c>
      <c r="CM22" s="7">
        <v>0.32043200365782532</v>
      </c>
      <c r="CN22" s="7">
        <v>-8.5467718209073992E-3</v>
      </c>
      <c r="CO22" s="7">
        <v>-0.64995646824915565</v>
      </c>
      <c r="CP22" s="7">
        <v>0.25940855696940252</v>
      </c>
      <c r="CQ22" s="7">
        <v>-1.7159615519123799E-2</v>
      </c>
      <c r="CR22" s="7">
        <v>-2.8422205079160712E-2</v>
      </c>
      <c r="CS22" s="7">
        <v>2.4439586832032689E-2</v>
      </c>
      <c r="CT22" s="7">
        <v>5.8232521355985362E-2</v>
      </c>
      <c r="CU22" s="7">
        <v>-0.1202317119640979</v>
      </c>
      <c r="CV22" s="7">
        <v>0.1122336952070542</v>
      </c>
      <c r="CW22" s="7">
        <v>3.6451253326165209E-2</v>
      </c>
      <c r="CX22" s="7">
        <v>3.749593267848913E-3</v>
      </c>
      <c r="CY22" s="7">
        <v>-7.9888257735091419E-3</v>
      </c>
      <c r="CZ22" s="7">
        <v>0.26292048459923911</v>
      </c>
      <c r="DA22" s="7">
        <v>-3.9917538819241108E-3</v>
      </c>
      <c r="DB22" s="7">
        <v>5.4041621710522049E-2</v>
      </c>
      <c r="DC22" s="7">
        <v>7.2342033732944094E-2</v>
      </c>
      <c r="DD22" s="7">
        <v>-1.596257781556271E-2</v>
      </c>
      <c r="DE22" s="7">
        <v>-5.4917579819501461E-3</v>
      </c>
      <c r="DF22" s="7">
        <v>1.7031775273553061E-2</v>
      </c>
      <c r="DG22" s="7">
        <v>3.1985043080887662E-2</v>
      </c>
      <c r="DH22" s="7">
        <v>1.3945346183503959E-2</v>
      </c>
      <c r="DI22" s="7">
        <v>6.356099926224941E-2</v>
      </c>
      <c r="DJ22" s="7">
        <v>4.277692212467888E-2</v>
      </c>
      <c r="DK22" s="7">
        <v>0.1791347138228401</v>
      </c>
      <c r="DL22" s="7">
        <v>0.1249416477373831</v>
      </c>
      <c r="DM22" s="7">
        <v>-6.3466051038033502E-2</v>
      </c>
      <c r="DN22" s="7">
        <v>4.6763328204007498E-2</v>
      </c>
      <c r="DO22" s="7">
        <v>0.12343750131163821</v>
      </c>
      <c r="DP22" s="7">
        <v>1.022725785290381E-2</v>
      </c>
      <c r="DQ22" s="7">
        <v>-5.1850201837621311E-2</v>
      </c>
      <c r="DR22" s="7">
        <v>-6.0925526153180337E-3</v>
      </c>
      <c r="DS22" s="7">
        <v>-0.19705092156235929</v>
      </c>
      <c r="DT22" s="7">
        <v>-4.3681446324088213E-2</v>
      </c>
      <c r="DU22" s="7">
        <v>-0.16154691088272999</v>
      </c>
      <c r="DV22" s="7">
        <v>0.12570511767817799</v>
      </c>
      <c r="DW22" s="7">
        <v>7.838972370699715E-2</v>
      </c>
      <c r="DX22" s="7">
        <v>-0.22244260844829469</v>
      </c>
      <c r="DY22" s="7">
        <v>0.11995602471866181</v>
      </c>
      <c r="DZ22" s="7">
        <v>0.11083450478771149</v>
      </c>
      <c r="EA22" s="7">
        <v>0.14035616200069359</v>
      </c>
      <c r="EB22" s="7">
        <v>-8.0596727535317977E-2</v>
      </c>
      <c r="EC22" s="7">
        <v>8.808544742642449E-2</v>
      </c>
      <c r="ED22" s="7">
        <v>-7.7413567057607463E-2</v>
      </c>
      <c r="EE22" s="7">
        <v>3.344630381221339E-2</v>
      </c>
      <c r="EF22" s="8">
        <v>-3.4790246372172352E-2</v>
      </c>
      <c r="EG22" s="21">
        <f t="shared" si="6"/>
        <v>2.6924342732205633E-2</v>
      </c>
      <c r="EH22" s="21">
        <f t="shared" si="7"/>
        <v>0.14625772106250842</v>
      </c>
      <c r="EI22" s="21">
        <f t="shared" si="8"/>
        <v>0.18408835127889461</v>
      </c>
    </row>
    <row r="23" spans="1:139" x14ac:dyDescent="0.3">
      <c r="A23" s="1">
        <v>482</v>
      </c>
      <c r="B23" s="1">
        <v>2</v>
      </c>
      <c r="C23" s="7">
        <v>0.28298926569632887</v>
      </c>
      <c r="D23" s="7">
        <v>0.25409262745146127</v>
      </c>
      <c r="E23" s="7">
        <v>0.13300519405617101</v>
      </c>
      <c r="F23" s="7">
        <v>-3.740232941910691E-3</v>
      </c>
      <c r="G23" s="7">
        <v>0.36163212077843282</v>
      </c>
      <c r="H23" s="7">
        <v>-1.8188470841484668E-2</v>
      </c>
      <c r="I23" s="7">
        <v>-3.6386488866407093E-2</v>
      </c>
      <c r="J23" s="7">
        <v>-0.1148775059304451</v>
      </c>
      <c r="K23" s="7">
        <v>-5.9917884508062888E-2</v>
      </c>
      <c r="L23" s="7">
        <v>5.0770833705182927E-2</v>
      </c>
      <c r="M23" s="7">
        <v>-0.26256934704734031</v>
      </c>
      <c r="N23" s="7">
        <v>0.97590144327128003</v>
      </c>
      <c r="O23" s="7">
        <v>-0.1228997073071684</v>
      </c>
      <c r="P23" s="7">
        <v>5.46815260345479E-2</v>
      </c>
      <c r="Q23" s="7">
        <v>0.29117349346670462</v>
      </c>
      <c r="R23" s="7">
        <v>6.2821977969761703E-2</v>
      </c>
      <c r="S23" s="7">
        <v>-7.2572664450062274E-2</v>
      </c>
      <c r="T23" s="7">
        <v>-3.733692084787466E-4</v>
      </c>
      <c r="U23" s="7">
        <v>5.924178948110146E-2</v>
      </c>
      <c r="V23" s="7">
        <v>-0.2324772033709247</v>
      </c>
      <c r="W23" s="7">
        <v>0.33161915024914451</v>
      </c>
      <c r="X23" s="7">
        <v>0.1945564614576443</v>
      </c>
      <c r="Y23" s="7">
        <v>-6.7949921591350784E-2</v>
      </c>
      <c r="Z23" s="7">
        <v>4.1051966520251372E-2</v>
      </c>
      <c r="AA23" s="7">
        <v>0.15164933184604609</v>
      </c>
      <c r="AB23" s="7">
        <v>3.09913850559921E-2</v>
      </c>
      <c r="AC23" s="7">
        <v>-0.23400862094644481</v>
      </c>
      <c r="AD23" s="7">
        <v>-2.9952915704841848E-3</v>
      </c>
      <c r="AE23" s="7">
        <v>-0.22171323582164909</v>
      </c>
      <c r="AF23" s="7">
        <v>6.6906260089751285E-2</v>
      </c>
      <c r="AG23" s="7">
        <v>-2.0576770504273641E-3</v>
      </c>
      <c r="AH23" s="7">
        <v>-8.417158452318324E-2</v>
      </c>
      <c r="AI23" s="7">
        <v>2.3228266622481949E-2</v>
      </c>
      <c r="AJ23" s="7">
        <v>5.6431378481542303E-3</v>
      </c>
      <c r="AK23" s="7">
        <v>0.11411109934719101</v>
      </c>
      <c r="AL23" s="7">
        <v>0.1314317131925356</v>
      </c>
      <c r="AM23" s="7">
        <v>7.769489004865255E-3</v>
      </c>
      <c r="AN23" s="7">
        <v>0.24231469935730071</v>
      </c>
      <c r="AO23" s="7">
        <v>-5.3369521914240978E-3</v>
      </c>
      <c r="AP23" s="7">
        <v>3.1210993523056942E-3</v>
      </c>
      <c r="AQ23" s="7">
        <v>8.9424992259610633E-2</v>
      </c>
      <c r="AR23" s="7">
        <v>0.33674404384506768</v>
      </c>
      <c r="AS23" s="7">
        <v>-1.470688799737762E-2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6.9838153827044058E-2</v>
      </c>
      <c r="AY23" s="7">
        <v>0.17023398084058211</v>
      </c>
      <c r="AZ23" s="7">
        <v>-6.3753617401060211E-2</v>
      </c>
      <c r="BA23" s="7">
        <v>5.3998338629857423E-2</v>
      </c>
      <c r="BB23" s="7">
        <v>0.56682652604744033</v>
      </c>
      <c r="BC23" s="7">
        <v>-0.30082824917306578</v>
      </c>
      <c r="BD23" s="7">
        <v>9.4830881346450333E-2</v>
      </c>
      <c r="BE23" s="7">
        <v>-7.1430762397296579E-2</v>
      </c>
      <c r="BF23" s="7">
        <v>-2.284699060468626E-2</v>
      </c>
      <c r="BG23" s="7">
        <v>7.4761471196752541E-2</v>
      </c>
      <c r="BH23" s="7">
        <v>-0.2034839813552872</v>
      </c>
      <c r="BI23" s="7">
        <v>0.1911120793231991</v>
      </c>
      <c r="BJ23" s="7">
        <v>0.1040033152679269</v>
      </c>
      <c r="BK23" s="7">
        <v>2.0341083364774871E-3</v>
      </c>
      <c r="BL23" s="7">
        <v>0.14953429625023959</v>
      </c>
      <c r="BM23" s="7">
        <v>6.9495462024450616E-2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7.6697624318448621E-3</v>
      </c>
      <c r="CA23" s="7">
        <v>-7.5653199746629096E-2</v>
      </c>
      <c r="CB23" s="7">
        <v>-0.21761420299243989</v>
      </c>
      <c r="CC23" s="7">
        <v>-8.4544614715775346E-2</v>
      </c>
      <c r="CD23" s="7">
        <v>0.141241944161549</v>
      </c>
      <c r="CE23" s="7">
        <v>5.9602301837717461E-2</v>
      </c>
      <c r="CF23" s="7">
        <v>-0.18343323628555941</v>
      </c>
      <c r="CG23" s="7">
        <v>0.29290393811773718</v>
      </c>
      <c r="CH23" s="7">
        <v>0.18019644892142839</v>
      </c>
      <c r="CI23" s="7">
        <v>-0.30989941712809688</v>
      </c>
      <c r="CJ23" s="7">
        <v>-1.9875367550410569E-2</v>
      </c>
      <c r="CK23" s="7">
        <v>9.6116994727961536E-2</v>
      </c>
      <c r="CL23" s="7">
        <v>-0.40866101266741839</v>
      </c>
      <c r="CM23" s="7">
        <v>0.3867329465229094</v>
      </c>
      <c r="CN23" s="7">
        <v>-5.3005178369803271E-2</v>
      </c>
      <c r="CO23" s="7">
        <v>-0.90892328736561978</v>
      </c>
      <c r="CP23" s="7">
        <v>0.31136074316275669</v>
      </c>
      <c r="CQ23" s="7">
        <v>2.4702270079380868E-2</v>
      </c>
      <c r="CR23" s="7">
        <v>-3.8232839171219918E-2</v>
      </c>
      <c r="CS23" s="7">
        <v>6.901537085690515E-2</v>
      </c>
      <c r="CT23" s="7">
        <v>4.5662541711253862E-2</v>
      </c>
      <c r="CU23" s="7">
        <v>-2.1056595713287041E-2</v>
      </c>
      <c r="CV23" s="7">
        <v>-2.2245137488805671E-2</v>
      </c>
      <c r="CW23" s="7">
        <v>0.1009013318024186</v>
      </c>
      <c r="CX23" s="7">
        <v>-8.8716994096526336E-2</v>
      </c>
      <c r="CY23" s="7">
        <v>2.20465307533785E-2</v>
      </c>
      <c r="CZ23" s="7">
        <v>0.18199879385735121</v>
      </c>
      <c r="DA23" s="7">
        <v>-3.0982136225910391E-2</v>
      </c>
      <c r="DB23" s="7">
        <v>1.8747066443219641E-2</v>
      </c>
      <c r="DC23" s="7">
        <v>7.2416033656425932E-2</v>
      </c>
      <c r="DD23" s="7">
        <v>-1.8407826273001211E-2</v>
      </c>
      <c r="DE23" s="7">
        <v>-9.3952259516448811E-3</v>
      </c>
      <c r="DF23" s="7">
        <v>6.194212704490535E-2</v>
      </c>
      <c r="DG23" s="7">
        <v>3.8270011874717E-2</v>
      </c>
      <c r="DH23" s="7">
        <v>5.5413447308742453E-2</v>
      </c>
      <c r="DI23" s="7">
        <v>5.3479596916020812E-2</v>
      </c>
      <c r="DJ23" s="7">
        <v>-3.3824576295396119E-2</v>
      </c>
      <c r="DK23" s="7">
        <v>0.27783321655884308</v>
      </c>
      <c r="DL23" s="7">
        <v>0.21610105954027359</v>
      </c>
      <c r="DM23" s="7">
        <v>-1.949730491936592E-2</v>
      </c>
      <c r="DN23" s="7">
        <v>6.4971960439702253E-3</v>
      </c>
      <c r="DO23" s="7">
        <v>0.16409130373383399</v>
      </c>
      <c r="DP23" s="7">
        <v>4.7088232655722921E-2</v>
      </c>
      <c r="DQ23" s="7">
        <v>-0.12113204125745761</v>
      </c>
      <c r="DR23" s="7">
        <v>-8.9886002731306744E-2</v>
      </c>
      <c r="DS23" s="7">
        <v>-0.28809657691904628</v>
      </c>
      <c r="DT23" s="7">
        <v>-5.4250460668612679E-2</v>
      </c>
      <c r="DU23" s="7">
        <v>-5.5639478708282321E-2</v>
      </c>
      <c r="DV23" s="7">
        <v>0.27627160832943959</v>
      </c>
      <c r="DW23" s="7">
        <v>0.14122823258283859</v>
      </c>
      <c r="DX23" s="7">
        <v>-0.31349320637896622</v>
      </c>
      <c r="DY23" s="7">
        <v>-5.3926224537590731E-2</v>
      </c>
      <c r="DZ23" s="7">
        <v>-0.21717398775244159</v>
      </c>
      <c r="EA23" s="7">
        <v>-2.875877977640498E-2</v>
      </c>
      <c r="EB23" s="7">
        <v>-6.2753439710675096E-2</v>
      </c>
      <c r="EC23" s="7">
        <v>9.3644533160520085E-2</v>
      </c>
      <c r="ED23" s="7">
        <v>-9.1425904619781034E-2</v>
      </c>
      <c r="EE23" s="7">
        <v>5.9050683888240307E-2</v>
      </c>
      <c r="EF23" s="8">
        <v>-4.7782278591659677E-2</v>
      </c>
      <c r="EG23" s="21">
        <f t="shared" si="6"/>
        <v>2.5798074158811645E-2</v>
      </c>
      <c r="EH23" s="21">
        <f t="shared" si="7"/>
        <v>0.19109655074705001</v>
      </c>
      <c r="EI23" s="21">
        <f t="shared" si="8"/>
        <v>0.13500020831333553</v>
      </c>
    </row>
    <row r="24" spans="1:139" x14ac:dyDescent="0.3">
      <c r="A24" s="1">
        <v>964</v>
      </c>
      <c r="B24" s="1">
        <v>1</v>
      </c>
      <c r="C24" s="7">
        <v>9.9113364206882743E-2</v>
      </c>
      <c r="D24" s="7">
        <v>0.1006099128992286</v>
      </c>
      <c r="E24" s="7">
        <v>0.28451249769050191</v>
      </c>
      <c r="F24" s="7">
        <v>7.5326493831706698E-2</v>
      </c>
      <c r="G24" s="7">
        <v>0.2296070518581638</v>
      </c>
      <c r="H24" s="7">
        <v>3.5855796654956661E-2</v>
      </c>
      <c r="I24" s="7">
        <v>1.692708918074378E-2</v>
      </c>
      <c r="J24" s="7">
        <v>-0.1154627982140225</v>
      </c>
      <c r="K24" s="7">
        <v>5.3732996668234008E-2</v>
      </c>
      <c r="L24" s="7">
        <v>9.3799693256750388E-2</v>
      </c>
      <c r="M24" s="7">
        <v>-0.46302754420013847</v>
      </c>
      <c r="N24" s="7">
        <v>1.769031369112569</v>
      </c>
      <c r="O24" s="7">
        <v>-0.24427786338818341</v>
      </c>
      <c r="P24" s="7">
        <v>1.736288864347235E-3</v>
      </c>
      <c r="Q24" s="7">
        <v>-2.847135602397292E-3</v>
      </c>
      <c r="R24" s="7">
        <v>-2.7822823885088121E-2</v>
      </c>
      <c r="S24" s="7">
        <v>-1.1054460207448651E-2</v>
      </c>
      <c r="T24" s="7">
        <v>0.1236910440917892</v>
      </c>
      <c r="U24" s="7">
        <v>0.28585628998140078</v>
      </c>
      <c r="V24" s="7">
        <v>-9.8678511259329957E-2</v>
      </c>
      <c r="W24" s="7">
        <v>0.49571198595594262</v>
      </c>
      <c r="X24" s="7">
        <v>-8.988764650171982E-4</v>
      </c>
      <c r="Y24" s="7">
        <v>-0.1203174930645305</v>
      </c>
      <c r="Z24" s="7">
        <v>-2.439454874957615E-2</v>
      </c>
      <c r="AA24" s="7">
        <v>9.4359582813794432E-2</v>
      </c>
      <c r="AB24" s="7">
        <v>0.30039379355698248</v>
      </c>
      <c r="AC24" s="7">
        <v>-0.24616895878469969</v>
      </c>
      <c r="AD24" s="7">
        <v>-5.9922146810819088E-2</v>
      </c>
      <c r="AE24" s="7">
        <v>-0.17526881500734201</v>
      </c>
      <c r="AF24" s="7">
        <v>2.2522010034790499E-2</v>
      </c>
      <c r="AG24" s="7">
        <v>0.10590047247440069</v>
      </c>
      <c r="AH24" s="7">
        <v>-5.6697360067789589E-2</v>
      </c>
      <c r="AI24" s="7">
        <v>-8.8083310984272967E-3</v>
      </c>
      <c r="AJ24" s="7">
        <v>-8.089124399937539E-2</v>
      </c>
      <c r="AK24" s="7">
        <v>8.4883953068192297E-2</v>
      </c>
      <c r="AL24" s="7">
        <v>-5.4676935490635382E-2</v>
      </c>
      <c r="AM24" s="7">
        <v>-1.89192814205267E-2</v>
      </c>
      <c r="AN24" s="7">
        <v>0.22118946514543131</v>
      </c>
      <c r="AO24" s="7">
        <v>6.6090111828990022E-2</v>
      </c>
      <c r="AP24" s="7">
        <v>-2.28517154890964E-2</v>
      </c>
      <c r="AQ24" s="7">
        <v>4.7076972834245667E-2</v>
      </c>
      <c r="AR24" s="7">
        <v>9.6392566076069844E-3</v>
      </c>
      <c r="AS24" s="7">
        <v>-2.7956077266590069E-2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2.8306186588424521E-2</v>
      </c>
      <c r="AY24" s="7">
        <v>0.16812729388488939</v>
      </c>
      <c r="AZ24" s="7">
        <v>3.7867073599665187E-2</v>
      </c>
      <c r="BA24" s="7">
        <v>5.0491305412012258E-2</v>
      </c>
      <c r="BB24" s="7">
        <v>0.69077653138067185</v>
      </c>
      <c r="BC24" s="7">
        <v>-0.8032160130443774</v>
      </c>
      <c r="BD24" s="7">
        <v>0.18559521924643521</v>
      </c>
      <c r="BE24" s="7">
        <v>-4.606435403168687E-2</v>
      </c>
      <c r="BF24" s="7">
        <v>8.765133605409231E-2</v>
      </c>
      <c r="BG24" s="7">
        <v>2.6835965866310919E-2</v>
      </c>
      <c r="BH24" s="7">
        <v>-0.38625533691353497</v>
      </c>
      <c r="BI24" s="7">
        <v>0.2236291060700471</v>
      </c>
      <c r="BJ24" s="7">
        <v>3.3483157548845829E-3</v>
      </c>
      <c r="BK24" s="7">
        <v>4.0235468942862278E-3</v>
      </c>
      <c r="BL24" s="7">
        <v>0.31716429392471662</v>
      </c>
      <c r="BM24" s="7">
        <v>-8.4782939838988242E-2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0.25889289884999689</v>
      </c>
      <c r="CA24" s="7">
        <v>-0.1152216807734147</v>
      </c>
      <c r="CB24" s="7">
        <v>0.20876197428786911</v>
      </c>
      <c r="CC24" s="7">
        <v>-0.18246987988756161</v>
      </c>
      <c r="CD24" s="7">
        <v>2.9953525870016359E-2</v>
      </c>
      <c r="CE24" s="7">
        <v>0.16556487399111461</v>
      </c>
      <c r="CF24" s="7">
        <v>-0.16513135300939591</v>
      </c>
      <c r="CG24" s="7">
        <v>0.23727783485992521</v>
      </c>
      <c r="CH24" s="7">
        <v>0.35427729684250298</v>
      </c>
      <c r="CI24" s="7">
        <v>0.3284518207092646</v>
      </c>
      <c r="CJ24" s="7">
        <v>1.310948541941956E-2</v>
      </c>
      <c r="CK24" s="7">
        <v>9.3530079315696568E-2</v>
      </c>
      <c r="CL24" s="7">
        <v>0.1417553333725407</v>
      </c>
      <c r="CM24" s="7">
        <v>0.54958710995910021</v>
      </c>
      <c r="CN24" s="7">
        <v>-0.1077387664572132</v>
      </c>
      <c r="CO24" s="7">
        <v>-0.77665321833623113</v>
      </c>
      <c r="CP24" s="7">
        <v>0.1603442048148421</v>
      </c>
      <c r="CQ24" s="7">
        <v>0.1601896466275006</v>
      </c>
      <c r="CR24" s="7">
        <v>-9.681790719133844E-2</v>
      </c>
      <c r="CS24" s="7">
        <v>-2.6854922521108548E-2</v>
      </c>
      <c r="CT24" s="7">
        <v>9.6419008147395818E-2</v>
      </c>
      <c r="CU24" s="7">
        <v>-7.2751347656710041E-2</v>
      </c>
      <c r="CV24" s="7">
        <v>1.5064047539375311E-2</v>
      </c>
      <c r="CW24" s="7">
        <v>0.17511716607200739</v>
      </c>
      <c r="CX24" s="7">
        <v>5.5207193708687041E-2</v>
      </c>
      <c r="CY24" s="7">
        <v>-8.0066904636818925E-2</v>
      </c>
      <c r="CZ24" s="7">
        <v>0.11220662844456721</v>
      </c>
      <c r="DA24" s="7">
        <v>2.451120416275485E-2</v>
      </c>
      <c r="DB24" s="7">
        <v>-1.6501865848996312E-2</v>
      </c>
      <c r="DC24" s="7">
        <v>0.17955311523934811</v>
      </c>
      <c r="DD24" s="7">
        <v>4.9299772670775198E-2</v>
      </c>
      <c r="DE24" s="7">
        <v>-0.17606275750953501</v>
      </c>
      <c r="DF24" s="7">
        <v>-0.1046649760205613</v>
      </c>
      <c r="DG24" s="7">
        <v>5.9105834124344087E-2</v>
      </c>
      <c r="DH24" s="7">
        <v>8.4652506536621926E-4</v>
      </c>
      <c r="DI24" s="7">
        <v>0.1418754589382695</v>
      </c>
      <c r="DJ24" s="7">
        <v>2.108147115785142E-2</v>
      </c>
      <c r="DK24" s="7">
        <v>0.33950921063044381</v>
      </c>
      <c r="DL24" s="7">
        <v>0.21310442628588119</v>
      </c>
      <c r="DM24" s="7">
        <v>-0.14143952722687489</v>
      </c>
      <c r="DN24" s="7">
        <v>0.23333457077469619</v>
      </c>
      <c r="DO24" s="7">
        <v>0.18544080263268789</v>
      </c>
      <c r="DP24" s="7">
        <v>0.1143734254860139</v>
      </c>
      <c r="DQ24" s="7">
        <v>-5.0486190478925157E-2</v>
      </c>
      <c r="DR24" s="7">
        <v>-2.0515630212029241E-2</v>
      </c>
      <c r="DS24" s="7">
        <v>-0.21626154103284559</v>
      </c>
      <c r="DT24" s="7">
        <v>-7.4733345266004753E-2</v>
      </c>
      <c r="DU24" s="7">
        <v>2.1781395361230051E-2</v>
      </c>
      <c r="DV24" s="7">
        <v>0.1582246986438143</v>
      </c>
      <c r="DW24" s="7">
        <v>0.10885708989133031</v>
      </c>
      <c r="DX24" s="7">
        <v>-0.31159312779250392</v>
      </c>
      <c r="DY24" s="7">
        <v>-3.239876608542996E-3</v>
      </c>
      <c r="DZ24" s="7">
        <v>-0.43350657873669168</v>
      </c>
      <c r="EA24" s="7">
        <v>-5.4920183841502608E-2</v>
      </c>
      <c r="EB24" s="7">
        <v>-2.9582176365294029E-2</v>
      </c>
      <c r="EC24" s="7">
        <v>0.14364347355970919</v>
      </c>
      <c r="ED24" s="7">
        <v>-5.6172845298362112E-2</v>
      </c>
      <c r="EE24" s="7">
        <v>0.1134294391912188</v>
      </c>
      <c r="EF24" s="8">
        <v>6.7276677043968364E-2</v>
      </c>
      <c r="EG24" s="21">
        <f t="shared" si="6"/>
        <v>4.1666810092113302E-2</v>
      </c>
      <c r="EH24" s="21">
        <f t="shared" si="7"/>
        <v>0.24630108397727934</v>
      </c>
      <c r="EI24" s="21">
        <f t="shared" si="8"/>
        <v>0.16917022620962952</v>
      </c>
    </row>
    <row r="25" spans="1:139" s="5" customFormat="1" x14ac:dyDescent="0.3">
      <c r="A25" s="6" t="s">
        <v>147</v>
      </c>
      <c r="B25" s="6" t="s">
        <v>148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  <c r="EG25" s="21">
        <f t="shared" ref="EG25" si="9">AVERAGE(C25:EF25)</f>
        <v>7.3485376145559517E-3</v>
      </c>
      <c r="EH25" s="21">
        <f t="shared" ref="EH25" si="10">STDEV(C25:EF25)</f>
        <v>4.2276369775976368E-2</v>
      </c>
      <c r="EI25" s="21">
        <f t="shared" ref="EI25" si="11">EG25/EH25</f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51F7-376B-4B79-B88E-17E4D0B24069}">
  <dimension ref="A1:EG21"/>
  <sheetViews>
    <sheetView workbookViewId="0">
      <selection activeCell="B21" sqref="B21"/>
    </sheetView>
  </sheetViews>
  <sheetFormatPr defaultRowHeight="15" x14ac:dyDescent="0.3"/>
  <cols>
    <col min="1" max="1" width="16.375" bestFit="1" customWidth="1"/>
  </cols>
  <sheetData>
    <row r="1" spans="1:137" x14ac:dyDescent="0.3">
      <c r="A1" t="s">
        <v>149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7" x14ac:dyDescent="0.3">
      <c r="B3" s="1" t="s">
        <v>136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137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138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7" spans="1:137" x14ac:dyDescent="0.3">
      <c r="A7" t="s">
        <v>0</v>
      </c>
    </row>
    <row r="8" spans="1:137" x14ac:dyDescent="0.3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42</v>
      </c>
      <c r="AR8" s="1" t="s">
        <v>43</v>
      </c>
      <c r="AS8" s="1" t="s">
        <v>44</v>
      </c>
      <c r="AT8" s="1" t="s">
        <v>45</v>
      </c>
      <c r="AU8" s="1" t="s">
        <v>46</v>
      </c>
      <c r="AV8" s="1" t="s">
        <v>47</v>
      </c>
      <c r="AW8" s="1" t="s">
        <v>48</v>
      </c>
      <c r="AX8" s="1" t="s">
        <v>49</v>
      </c>
      <c r="AY8" s="1" t="s">
        <v>50</v>
      </c>
      <c r="AZ8" s="1" t="s">
        <v>51</v>
      </c>
      <c r="BA8" s="1" t="s">
        <v>52</v>
      </c>
      <c r="BB8" s="1" t="s">
        <v>53</v>
      </c>
      <c r="BC8" s="1" t="s">
        <v>54</v>
      </c>
      <c r="BD8" s="1" t="s">
        <v>55</v>
      </c>
      <c r="BE8" s="1" t="s">
        <v>56</v>
      </c>
      <c r="BF8" s="1" t="s">
        <v>57</v>
      </c>
      <c r="BG8" s="1" t="s">
        <v>58</v>
      </c>
      <c r="BH8" s="1" t="s">
        <v>59</v>
      </c>
      <c r="BI8" s="1" t="s">
        <v>60</v>
      </c>
      <c r="BJ8" s="1" t="s">
        <v>61</v>
      </c>
      <c r="BK8" s="1" t="s">
        <v>62</v>
      </c>
      <c r="BL8" s="1" t="s">
        <v>63</v>
      </c>
      <c r="BM8" s="1" t="s">
        <v>64</v>
      </c>
      <c r="BN8" s="1" t="s">
        <v>65</v>
      </c>
      <c r="BO8" s="1" t="s">
        <v>66</v>
      </c>
      <c r="BP8" s="1" t="s">
        <v>67</v>
      </c>
      <c r="BQ8" s="1" t="s">
        <v>68</v>
      </c>
      <c r="BR8" s="1" t="s">
        <v>69</v>
      </c>
      <c r="BS8" s="1" t="s">
        <v>70</v>
      </c>
      <c r="BT8" s="1" t="s">
        <v>71</v>
      </c>
      <c r="BU8" s="1" t="s">
        <v>72</v>
      </c>
      <c r="BV8" s="1" t="s">
        <v>73</v>
      </c>
      <c r="BW8" s="1" t="s">
        <v>74</v>
      </c>
      <c r="BX8" s="1" t="s">
        <v>75</v>
      </c>
      <c r="BY8" s="1" t="s">
        <v>76</v>
      </c>
      <c r="BZ8" s="1" t="s">
        <v>77</v>
      </c>
      <c r="CA8" s="1" t="s">
        <v>78</v>
      </c>
      <c r="CB8" s="1" t="s">
        <v>79</v>
      </c>
      <c r="CC8" s="1" t="s">
        <v>80</v>
      </c>
      <c r="CD8" s="1" t="s">
        <v>81</v>
      </c>
      <c r="CE8" s="1" t="s">
        <v>82</v>
      </c>
      <c r="CF8" s="1" t="s">
        <v>83</v>
      </c>
      <c r="CG8" s="1" t="s">
        <v>84</v>
      </c>
      <c r="CH8" s="1" t="s">
        <v>85</v>
      </c>
      <c r="CI8" s="1" t="s">
        <v>86</v>
      </c>
      <c r="CJ8" s="1" t="s">
        <v>87</v>
      </c>
      <c r="CK8" s="1" t="s">
        <v>88</v>
      </c>
      <c r="CL8" s="1" t="s">
        <v>89</v>
      </c>
      <c r="CM8" s="1" t="s">
        <v>90</v>
      </c>
      <c r="CN8" s="1" t="s">
        <v>91</v>
      </c>
      <c r="CO8" s="1" t="s">
        <v>92</v>
      </c>
      <c r="CP8" s="1" t="s">
        <v>93</v>
      </c>
      <c r="CQ8" s="1" t="s">
        <v>94</v>
      </c>
      <c r="CR8" s="1" t="s">
        <v>95</v>
      </c>
      <c r="CS8" s="1" t="s">
        <v>96</v>
      </c>
      <c r="CT8" s="1" t="s">
        <v>97</v>
      </c>
      <c r="CU8" s="1" t="s">
        <v>98</v>
      </c>
      <c r="CV8" s="1" t="s">
        <v>99</v>
      </c>
      <c r="CW8" s="1" t="s">
        <v>100</v>
      </c>
      <c r="CX8" s="1" t="s">
        <v>101</v>
      </c>
      <c r="CY8" s="1" t="s">
        <v>102</v>
      </c>
      <c r="CZ8" s="1" t="s">
        <v>103</v>
      </c>
      <c r="DA8" s="1" t="s">
        <v>104</v>
      </c>
      <c r="DB8" s="1" t="s">
        <v>105</v>
      </c>
      <c r="DC8" s="1" t="s">
        <v>106</v>
      </c>
      <c r="DD8" s="1" t="s">
        <v>107</v>
      </c>
      <c r="DE8" s="1" t="s">
        <v>108</v>
      </c>
      <c r="DF8" s="1" t="s">
        <v>109</v>
      </c>
      <c r="DG8" s="1" t="s">
        <v>110</v>
      </c>
      <c r="DH8" s="1" t="s">
        <v>111</v>
      </c>
      <c r="DI8" s="1" t="s">
        <v>112</v>
      </c>
      <c r="DJ8" s="1" t="s">
        <v>113</v>
      </c>
      <c r="DK8" s="1" t="s">
        <v>114</v>
      </c>
      <c r="DL8" s="1" t="s">
        <v>115</v>
      </c>
      <c r="DM8" s="1" t="s">
        <v>116</v>
      </c>
      <c r="DN8" s="1" t="s">
        <v>117</v>
      </c>
      <c r="DO8" s="1" t="s">
        <v>118</v>
      </c>
      <c r="DP8" s="1" t="s">
        <v>119</v>
      </c>
      <c r="DQ8" s="1" t="s">
        <v>120</v>
      </c>
      <c r="DR8" s="1" t="s">
        <v>121</v>
      </c>
      <c r="DS8" s="1" t="s">
        <v>122</v>
      </c>
      <c r="DT8" s="1" t="s">
        <v>123</v>
      </c>
      <c r="DU8" s="1" t="s">
        <v>124</v>
      </c>
      <c r="DV8" s="1" t="s">
        <v>125</v>
      </c>
      <c r="DW8" s="1" t="s">
        <v>126</v>
      </c>
      <c r="DX8" s="1" t="s">
        <v>127</v>
      </c>
      <c r="DY8" s="1" t="s">
        <v>128</v>
      </c>
      <c r="DZ8" s="1" t="s">
        <v>129</v>
      </c>
      <c r="EA8" s="1" t="s">
        <v>130</v>
      </c>
      <c r="EB8" s="1" t="s">
        <v>131</v>
      </c>
      <c r="EC8" s="1" t="s">
        <v>132</v>
      </c>
      <c r="ED8" s="1" t="s">
        <v>133</v>
      </c>
      <c r="EE8" s="1" t="s">
        <v>134</v>
      </c>
      <c r="EF8" s="1" t="s">
        <v>135</v>
      </c>
    </row>
    <row r="9" spans="1:137" x14ac:dyDescent="0.3">
      <c r="B9" s="1" t="s">
        <v>136</v>
      </c>
      <c r="C9" s="9">
        <v>0.10910583</v>
      </c>
      <c r="D9" s="9">
        <v>1.457658E-2</v>
      </c>
      <c r="E9" s="9">
        <v>-3.6154400000000003E-2</v>
      </c>
      <c r="F9" s="9">
        <v>-4.7425999999999996E-3</v>
      </c>
      <c r="G9" s="9">
        <v>-5.7478E-3</v>
      </c>
      <c r="H9" s="9">
        <v>4.9378020000000002E-2</v>
      </c>
      <c r="I9" s="9">
        <v>0.18325177000000001</v>
      </c>
      <c r="J9" s="9">
        <v>0.11648631</v>
      </c>
      <c r="K9" s="9">
        <v>-3.0594900000000001E-2</v>
      </c>
      <c r="L9" s="9">
        <v>1.982805E-2</v>
      </c>
      <c r="M9" s="9">
        <v>-2.0999E-2</v>
      </c>
      <c r="N9" s="9">
        <v>0.14977942</v>
      </c>
      <c r="O9" s="9">
        <v>1.546341E-2</v>
      </c>
      <c r="P9" s="9">
        <v>-9.1792299999999993E-2</v>
      </c>
      <c r="Q9" s="9">
        <v>-7.7409000000000006E-2</v>
      </c>
      <c r="R9" s="9">
        <v>5.4776600000000002E-2</v>
      </c>
      <c r="S9" s="9">
        <v>-0.12533440000000001</v>
      </c>
      <c r="T9" s="9">
        <v>-0.1190534</v>
      </c>
      <c r="U9" s="9">
        <v>-3.7770100000000001E-2</v>
      </c>
      <c r="V9" s="9">
        <v>8.1183820000000004E-2</v>
      </c>
      <c r="W9" s="9">
        <v>8.4008970000000002E-2</v>
      </c>
      <c r="X9" s="9">
        <v>0.14701136000000001</v>
      </c>
      <c r="Y9" s="9">
        <v>-0.12536050000000001</v>
      </c>
      <c r="Z9" s="9">
        <v>0.19195355</v>
      </c>
      <c r="AA9" s="9">
        <v>-8.4370799999999996E-2</v>
      </c>
      <c r="AB9" s="9">
        <v>7.2897610000000002E-2</v>
      </c>
      <c r="AC9" s="9">
        <v>0.10260456</v>
      </c>
      <c r="AD9" s="9">
        <v>1.577017E-2</v>
      </c>
      <c r="AE9" s="9">
        <v>-0.15200720000000001</v>
      </c>
      <c r="AF9" s="9">
        <v>5.9250249999999997E-2</v>
      </c>
      <c r="AG9" s="9">
        <v>0.13005884000000001</v>
      </c>
      <c r="AH9" s="9">
        <v>0.11525639999999999</v>
      </c>
      <c r="AI9" s="9">
        <v>3.2606620000000003E-2</v>
      </c>
      <c r="AJ9" s="9">
        <v>2.7999110000000001E-2</v>
      </c>
      <c r="AK9" s="9">
        <v>0.14657042000000001</v>
      </c>
      <c r="AL9" s="9">
        <v>4.0841919999999997E-2</v>
      </c>
      <c r="AM9" s="9">
        <v>0.13137636999999999</v>
      </c>
      <c r="AN9" s="9">
        <v>0.22143296000000001</v>
      </c>
      <c r="AO9" s="9">
        <v>-2.0941000000000001E-2</v>
      </c>
      <c r="AP9" s="9">
        <v>-0.13716</v>
      </c>
      <c r="AQ9" s="9">
        <v>-2.4882899999999999E-2</v>
      </c>
      <c r="AR9" s="9">
        <v>1.551397E-2</v>
      </c>
      <c r="AS9" s="9">
        <v>3.4373040000000001E-2</v>
      </c>
      <c r="AT9" s="9">
        <v>6.3095689999999996E-2</v>
      </c>
      <c r="AU9" s="9">
        <v>4.3237699999999997E-2</v>
      </c>
      <c r="AV9" s="9">
        <v>-7.4230400000000002E-2</v>
      </c>
      <c r="AW9" s="9">
        <v>2.7994829999999998E-2</v>
      </c>
      <c r="AX9" s="9">
        <v>0.11986442</v>
      </c>
      <c r="AY9" s="9">
        <v>7.6559569999999993E-2</v>
      </c>
      <c r="AZ9" s="9">
        <v>-2.17304E-2</v>
      </c>
      <c r="BA9" s="9">
        <v>-1.2465E-3</v>
      </c>
      <c r="BB9" s="9">
        <v>0.10099582</v>
      </c>
      <c r="BC9" s="9">
        <v>2.9826930000000001E-2</v>
      </c>
      <c r="BD9" s="9">
        <v>8.6757699999999993E-3</v>
      </c>
      <c r="BE9" s="9">
        <v>6.8557209999999993E-2</v>
      </c>
      <c r="BF9" s="9">
        <v>0.15691260000000001</v>
      </c>
      <c r="BG9" s="9">
        <v>0.15920372999999999</v>
      </c>
      <c r="BH9" s="9">
        <v>6.1121670000000003E-2</v>
      </c>
      <c r="BI9" s="9">
        <v>9.6912849999999995E-2</v>
      </c>
      <c r="BJ9" s="9">
        <v>-5.4746200000000002E-2</v>
      </c>
      <c r="BK9" s="9">
        <v>-8.7493000000000001E-2</v>
      </c>
      <c r="BL9" s="9">
        <v>9.4426750000000004E-2</v>
      </c>
      <c r="BM9" s="9">
        <v>-2.2191099999999998E-2</v>
      </c>
      <c r="BN9" s="9">
        <v>1.5628610000000001E-2</v>
      </c>
      <c r="BO9" s="9">
        <v>8.1418240000000003E-2</v>
      </c>
      <c r="BP9" s="9">
        <v>-1.8508899999999998E-2</v>
      </c>
      <c r="BQ9" s="9">
        <v>6.8729570000000004E-2</v>
      </c>
      <c r="BR9" s="9">
        <v>3.1023600000000002E-3</v>
      </c>
      <c r="BS9" s="9">
        <v>7.4964420000000004E-2</v>
      </c>
      <c r="BT9" s="9">
        <v>4.520159E-2</v>
      </c>
      <c r="BU9" s="9">
        <v>2.5677330000000002E-2</v>
      </c>
      <c r="BV9" s="9">
        <v>9.1804029999999995E-2</v>
      </c>
      <c r="BW9" s="9">
        <v>-2.6353999999999999E-2</v>
      </c>
      <c r="BX9" s="9">
        <v>1.9394829999999998E-2</v>
      </c>
      <c r="BY9" s="9">
        <v>-7.6838900000000002E-2</v>
      </c>
      <c r="BZ9" s="9">
        <v>0.11330931</v>
      </c>
      <c r="CA9" s="9">
        <v>-0.1073549</v>
      </c>
      <c r="CB9" s="9">
        <v>4.0844789999999999E-2</v>
      </c>
      <c r="CC9" s="9">
        <v>-1.9801699999999998E-2</v>
      </c>
      <c r="CD9" s="9">
        <v>0.18837709</v>
      </c>
      <c r="CE9" s="9">
        <v>5.5574909999999998E-2</v>
      </c>
      <c r="CF9" s="9">
        <v>7.4872069999999999E-2</v>
      </c>
      <c r="CG9" s="9">
        <v>0.10000019</v>
      </c>
      <c r="CH9" s="9">
        <v>0.13602172000000001</v>
      </c>
      <c r="CI9" s="9">
        <v>-9.3741000000000005E-2</v>
      </c>
      <c r="CJ9" s="9">
        <v>3.9306000000000002E-3</v>
      </c>
      <c r="CK9" s="9">
        <v>5.6507780000000001E-2</v>
      </c>
      <c r="CL9" s="9">
        <v>0.26354578000000001</v>
      </c>
      <c r="CM9" s="9">
        <v>-9.5554000000000004E-3</v>
      </c>
      <c r="CN9" s="9">
        <v>-3.1511900000000002E-2</v>
      </c>
      <c r="CO9" s="9">
        <v>-2.2619E-2</v>
      </c>
      <c r="CP9" s="9">
        <v>0.13265561000000001</v>
      </c>
      <c r="CQ9" s="9">
        <v>0.13307278</v>
      </c>
      <c r="CR9" s="9">
        <v>-1.49564E-2</v>
      </c>
      <c r="CS9" s="9">
        <v>-3.3419900000000002E-2</v>
      </c>
      <c r="CT9" s="9">
        <v>1.2281210000000001E-2</v>
      </c>
      <c r="CU9" s="9">
        <v>0.11681498</v>
      </c>
      <c r="CV9" s="9">
        <v>-3.1589000000000001E-3</v>
      </c>
      <c r="CW9" s="9">
        <v>3.8217760000000003E-2</v>
      </c>
      <c r="CX9" s="9">
        <v>0.13917409</v>
      </c>
      <c r="CY9" s="9">
        <v>-2.3712299999999999E-2</v>
      </c>
      <c r="CZ9" s="9">
        <v>0.21835291000000001</v>
      </c>
      <c r="DA9" s="9">
        <v>-5.7967400000000002E-2</v>
      </c>
      <c r="DB9" s="9">
        <v>-1.4104200000000001E-2</v>
      </c>
      <c r="DC9" s="9">
        <v>0.11395608</v>
      </c>
      <c r="DD9" s="9">
        <v>7.4472259999999998E-2</v>
      </c>
      <c r="DE9" s="9">
        <v>-8.9970000000000002E-4</v>
      </c>
      <c r="DF9" s="9">
        <v>9.7707000000000002E-4</v>
      </c>
      <c r="DG9" s="9">
        <v>-7.2980100000000006E-2</v>
      </c>
      <c r="DH9" s="9">
        <v>-2.38453E-2</v>
      </c>
      <c r="DI9" s="9">
        <v>-0.1015307</v>
      </c>
      <c r="DJ9" s="9">
        <v>2.7692540000000002E-2</v>
      </c>
      <c r="DK9" s="9">
        <v>-4.9335200000000003E-2</v>
      </c>
      <c r="DL9" s="9">
        <v>-5.6994000000000003E-3</v>
      </c>
      <c r="DM9" s="9">
        <v>-3.6981800000000002E-2</v>
      </c>
      <c r="DN9" s="9">
        <v>0.10981299</v>
      </c>
      <c r="DO9" s="9">
        <v>4.2036829999999997E-2</v>
      </c>
      <c r="DP9" s="9">
        <v>8.4566669999999997E-2</v>
      </c>
      <c r="DQ9" s="9">
        <v>-0.1102798</v>
      </c>
      <c r="DR9" s="9">
        <v>9.4328709999999996E-2</v>
      </c>
      <c r="DS9" s="9">
        <v>-7.1906899999999996E-2</v>
      </c>
      <c r="DT9" s="9">
        <v>-9.62364E-2</v>
      </c>
      <c r="DU9" s="9">
        <v>2.3455500000000001E-3</v>
      </c>
      <c r="DV9" s="9">
        <v>0.13401742</v>
      </c>
      <c r="DW9" s="9">
        <v>9.4732520000000001E-2</v>
      </c>
      <c r="DX9" s="9">
        <v>-0.1037732</v>
      </c>
      <c r="DY9" s="9">
        <v>7.576215E-2</v>
      </c>
      <c r="DZ9" s="9">
        <v>-3.1829700000000002E-2</v>
      </c>
      <c r="EA9" s="9">
        <v>0.16130802</v>
      </c>
      <c r="EB9" s="9">
        <v>1.0203530000000001E-2</v>
      </c>
      <c r="EC9" s="9">
        <v>7.3988429999999994E-2</v>
      </c>
      <c r="ED9" s="9">
        <v>-0.15737689999999999</v>
      </c>
      <c r="EE9" s="9">
        <v>7.9137550000000001E-2</v>
      </c>
      <c r="EF9" s="9">
        <v>7.2528549999999997E-2</v>
      </c>
      <c r="EG9" s="10">
        <f>CORREL([1]bm補值!EG$2:EG$972,[1]下個月月報酬補值!EG$2:EG$972)</f>
        <v>0.14231065676311483</v>
      </c>
    </row>
    <row r="10" spans="1:137" x14ac:dyDescent="0.3">
      <c r="B10" s="1" t="s">
        <v>137</v>
      </c>
      <c r="C10" s="9">
        <v>-0.24758869999999999</v>
      </c>
      <c r="D10" s="9">
        <v>-0.27469329999999997</v>
      </c>
      <c r="E10" s="9">
        <v>-8.4648399999999999E-2</v>
      </c>
      <c r="F10" s="9">
        <v>2.2644629999999999E-2</v>
      </c>
      <c r="G10" s="9">
        <v>-4.9680000000000002E-2</v>
      </c>
      <c r="H10" s="9">
        <v>-0.1007596</v>
      </c>
      <c r="I10" s="9">
        <v>-1.2522699999999999E-2</v>
      </c>
      <c r="J10" s="9">
        <v>7.8736539999999994E-2</v>
      </c>
      <c r="K10" s="9">
        <v>-3.4185100000000003E-2</v>
      </c>
      <c r="L10" s="9">
        <v>8.8406789999999999E-2</v>
      </c>
      <c r="M10" s="9">
        <v>-3.0634999999999998E-3</v>
      </c>
      <c r="N10" s="9">
        <v>-0.21221799999999999</v>
      </c>
      <c r="O10" s="9">
        <v>-3.6805400000000002E-2</v>
      </c>
      <c r="P10" s="9">
        <v>7.1033120000000005E-2</v>
      </c>
      <c r="Q10" s="9">
        <v>-7.1261099999999994E-2</v>
      </c>
      <c r="R10" s="9">
        <v>2.1560449999999998E-2</v>
      </c>
      <c r="S10" s="9">
        <v>0.10111125999999999</v>
      </c>
      <c r="T10" s="9">
        <v>4.3224730000000003E-2</v>
      </c>
      <c r="U10" s="9">
        <v>1.488195E-2</v>
      </c>
      <c r="V10" s="9">
        <v>6.3260199999999999E-3</v>
      </c>
      <c r="W10" s="9">
        <v>-0.14355299999999999</v>
      </c>
      <c r="X10" s="9">
        <v>-6.4282199999999998E-2</v>
      </c>
      <c r="Y10" s="9">
        <v>-1.9034200000000001E-2</v>
      </c>
      <c r="Z10" s="9">
        <v>-2.0644599999999999E-2</v>
      </c>
      <c r="AA10" s="9">
        <v>3.3059529999999997E-2</v>
      </c>
      <c r="AB10" s="9">
        <v>-1.94182E-2</v>
      </c>
      <c r="AC10" s="9">
        <v>-6.3126799999999997E-2</v>
      </c>
      <c r="AD10" s="9">
        <v>-6.5629699999999999E-2</v>
      </c>
      <c r="AE10" s="9">
        <v>0.13799568000000001</v>
      </c>
      <c r="AF10" s="9">
        <v>-0.1005679</v>
      </c>
      <c r="AG10" s="9">
        <v>-3.7969099999999999E-2</v>
      </c>
      <c r="AH10" s="9">
        <v>-4.5839499999999998E-2</v>
      </c>
      <c r="AI10" s="9">
        <v>-5.1034099999999999E-2</v>
      </c>
      <c r="AJ10" s="9">
        <v>-3.2204E-3</v>
      </c>
      <c r="AK10" s="9">
        <v>4.8952000000000002E-4</v>
      </c>
      <c r="AL10" s="9">
        <v>-0.10644670000000001</v>
      </c>
      <c r="AM10" s="9">
        <v>-1.3724E-2</v>
      </c>
      <c r="AN10" s="9">
        <v>-0.1219647</v>
      </c>
      <c r="AO10" s="9">
        <v>-4.85897E-2</v>
      </c>
      <c r="AP10" s="9">
        <v>-1.9032000000000001E-3</v>
      </c>
      <c r="AQ10" s="9">
        <v>2.9067490000000001E-2</v>
      </c>
      <c r="AR10" s="9">
        <v>5.2635769999999998E-2</v>
      </c>
      <c r="AS10" s="9">
        <v>-1.28933E-2</v>
      </c>
      <c r="AT10" s="9">
        <v>-2.1310999999999999E-3</v>
      </c>
      <c r="AU10" s="9">
        <v>-0.15538440000000001</v>
      </c>
      <c r="AV10" s="9">
        <v>1.268178E-2</v>
      </c>
      <c r="AW10" s="9">
        <v>-1.1942299999999999E-2</v>
      </c>
      <c r="AX10" s="9">
        <v>-4.2538000000000003E-3</v>
      </c>
      <c r="AY10" s="9">
        <v>2.930087E-2</v>
      </c>
      <c r="AZ10" s="9">
        <v>-0.13412750000000001</v>
      </c>
      <c r="BA10" s="9">
        <v>-0.1371115</v>
      </c>
      <c r="BB10" s="9">
        <v>1.7546599999999999E-3</v>
      </c>
      <c r="BC10" s="9">
        <v>2.511712E-2</v>
      </c>
      <c r="BD10" s="9">
        <v>-0.1196019</v>
      </c>
      <c r="BE10" s="9">
        <v>0.13576165000000001</v>
      </c>
      <c r="BF10" s="9">
        <v>4.7091170000000002E-2</v>
      </c>
      <c r="BG10" s="9">
        <v>-2.60501E-2</v>
      </c>
      <c r="BH10" s="9">
        <v>4.3752760000000002E-2</v>
      </c>
      <c r="BI10" s="9">
        <v>-8.13918E-2</v>
      </c>
      <c r="BJ10" s="9">
        <v>-0.1006008</v>
      </c>
      <c r="BK10" s="9">
        <v>9.0490070000000006E-2</v>
      </c>
      <c r="BL10" s="9">
        <v>-3.0898499999999999E-2</v>
      </c>
      <c r="BM10" s="9">
        <v>5.8814169999999999E-2</v>
      </c>
      <c r="BN10" s="9">
        <v>8.1345630000000002E-2</v>
      </c>
      <c r="BO10" s="9">
        <v>-7.7164E-3</v>
      </c>
      <c r="BP10" s="9">
        <v>0.10673487</v>
      </c>
      <c r="BQ10" s="9">
        <v>-2.7156300000000001E-2</v>
      </c>
      <c r="BR10" s="9">
        <v>-5.4431E-2</v>
      </c>
      <c r="BS10" s="9">
        <v>-6.8229300000000007E-2</v>
      </c>
      <c r="BT10" s="9">
        <v>9.861222E-2</v>
      </c>
      <c r="BU10" s="9">
        <v>0.12839854000000001</v>
      </c>
      <c r="BV10" s="9">
        <v>-7.84025E-2</v>
      </c>
      <c r="BW10" s="9">
        <v>-0.1191337</v>
      </c>
      <c r="BX10" s="9">
        <v>-4.6890099999999997E-2</v>
      </c>
      <c r="BY10" s="9">
        <v>0.10169835000000001</v>
      </c>
      <c r="BZ10" s="9">
        <v>-2.5680100000000001E-2</v>
      </c>
      <c r="CA10" s="9">
        <v>-8.3301799999999995E-2</v>
      </c>
      <c r="CB10" s="9">
        <v>-0.15782760000000001</v>
      </c>
      <c r="CC10" s="9">
        <v>-7.1052599999999994E-2</v>
      </c>
      <c r="CD10" s="9">
        <v>-7.3875499999999997E-2</v>
      </c>
      <c r="CE10" s="9">
        <v>-0.23678650000000001</v>
      </c>
      <c r="CF10" s="9">
        <v>3.2627709999999997E-2</v>
      </c>
      <c r="CG10" s="9">
        <v>1.342309E-2</v>
      </c>
      <c r="CH10" s="9">
        <v>-2.7967000000000001E-3</v>
      </c>
      <c r="CI10" s="9">
        <v>4.7925700000000002E-2</v>
      </c>
      <c r="CJ10" s="9">
        <v>-3.2520000000000001E-3</v>
      </c>
      <c r="CK10" s="9">
        <v>-7.5708200000000003E-2</v>
      </c>
      <c r="CL10" s="9">
        <v>-4.4397300000000001E-2</v>
      </c>
      <c r="CM10" s="9">
        <v>0.17898859</v>
      </c>
      <c r="CN10" s="9">
        <v>5.7994270000000001E-2</v>
      </c>
      <c r="CO10" s="9">
        <v>-0.13939019999999999</v>
      </c>
      <c r="CP10" s="9">
        <v>6.4714670000000002E-2</v>
      </c>
      <c r="CQ10" s="9">
        <v>-0.18118790000000001</v>
      </c>
      <c r="CR10" s="9">
        <v>-8.8633500000000004E-2</v>
      </c>
      <c r="CS10" s="9">
        <v>-2.5321799999999998E-2</v>
      </c>
      <c r="CT10" s="9">
        <v>-0.1130791</v>
      </c>
      <c r="CU10" s="9">
        <v>8.0959599999999993E-3</v>
      </c>
      <c r="CV10" s="9">
        <v>-4.5200200000000003E-2</v>
      </c>
      <c r="CW10" s="9">
        <v>-5.8941199999999999E-2</v>
      </c>
      <c r="CX10" s="9">
        <v>-0.1077283</v>
      </c>
      <c r="CY10" s="9">
        <v>-9.6503500000000006E-2</v>
      </c>
      <c r="CZ10" s="9">
        <v>-0.21035429999999999</v>
      </c>
      <c r="DA10" s="9">
        <v>-0.10996110000000001</v>
      </c>
      <c r="DB10" s="9">
        <v>-0.1908205</v>
      </c>
      <c r="DC10" s="9">
        <v>-2.0727300000000001E-2</v>
      </c>
      <c r="DD10" s="9">
        <v>8.7029090000000003E-2</v>
      </c>
      <c r="DE10" s="9">
        <v>8.2024589999999994E-2</v>
      </c>
      <c r="DF10" s="9">
        <v>-0.16687669999999999</v>
      </c>
      <c r="DG10" s="9">
        <v>0.22243809</v>
      </c>
      <c r="DH10" s="9">
        <v>-0.1442978</v>
      </c>
      <c r="DI10" s="9">
        <v>-0.1196199</v>
      </c>
      <c r="DJ10" s="9">
        <v>-0.1015928</v>
      </c>
      <c r="DK10" s="9">
        <v>9.2855060000000003E-2</v>
      </c>
      <c r="DL10" s="9">
        <v>-4.2630500000000002E-2</v>
      </c>
      <c r="DM10" s="9">
        <v>8.2732070000000005E-2</v>
      </c>
      <c r="DN10" s="9">
        <v>-3.1049500000000001E-2</v>
      </c>
      <c r="DO10" s="9">
        <v>-9.8141999999999993E-2</v>
      </c>
      <c r="DP10" s="9">
        <v>-0.13058890000000001</v>
      </c>
      <c r="DQ10" s="9">
        <v>4.865572E-2</v>
      </c>
      <c r="DR10" s="9">
        <v>-3.9251899999999999E-2</v>
      </c>
      <c r="DS10" s="9">
        <v>-0.16103020000000001</v>
      </c>
      <c r="DT10" s="9">
        <v>-7.8883999999999996E-2</v>
      </c>
      <c r="DU10" s="9">
        <v>0.16407715</v>
      </c>
      <c r="DV10" s="9">
        <v>7.5052599999999997E-3</v>
      </c>
      <c r="DW10" s="9">
        <v>-0.1016452</v>
      </c>
      <c r="DX10" s="9">
        <v>-5.6040300000000001E-2</v>
      </c>
      <c r="DY10" s="9">
        <v>-0.10665669999999999</v>
      </c>
      <c r="DZ10" s="9">
        <v>-6.9186600000000001E-2</v>
      </c>
      <c r="EA10" s="9">
        <v>-0.12618869999999999</v>
      </c>
      <c r="EB10" s="9">
        <v>-6.4737100000000006E-2</v>
      </c>
      <c r="EC10" s="9">
        <v>5.1426090000000001E-2</v>
      </c>
      <c r="ED10" s="9">
        <v>3.4496730000000003E-2</v>
      </c>
      <c r="EE10" s="9">
        <v>0.1576776</v>
      </c>
      <c r="EF10" s="9">
        <v>-0.12717999999999999</v>
      </c>
      <c r="EG10" s="10">
        <f>CORREL([2]size補值!EG$2:EG$965,[2]下個月月報酬補值!EG$2:EG$965)</f>
        <v>-0.15895948868776608</v>
      </c>
    </row>
    <row r="11" spans="1:137" x14ac:dyDescent="0.3">
      <c r="B11" s="1" t="s">
        <v>138</v>
      </c>
      <c r="C11" s="9">
        <v>-5.4239999999999997E-2</v>
      </c>
      <c r="D11" s="9">
        <v>4.5377000000000001E-2</v>
      </c>
      <c r="E11" s="9">
        <v>-1.7749999999999998E-2</v>
      </c>
      <c r="F11" s="9">
        <v>-8.7690000000000004E-2</v>
      </c>
      <c r="G11" s="9">
        <v>0.102759</v>
      </c>
      <c r="H11" s="9">
        <v>2.5110000000000002E-3</v>
      </c>
      <c r="I11" s="9">
        <v>-1.83E-2</v>
      </c>
      <c r="J11" s="9">
        <v>2.2110999999999999E-2</v>
      </c>
      <c r="K11" s="9">
        <v>7.7257999999999993E-2</v>
      </c>
      <c r="L11" s="9">
        <v>9.3439999999999999E-3</v>
      </c>
      <c r="M11" s="9">
        <v>5.3601999999999997E-2</v>
      </c>
      <c r="N11" s="9">
        <v>-6.7879999999999996E-2</v>
      </c>
      <c r="O11" s="9">
        <v>6.4930000000000002E-2</v>
      </c>
      <c r="P11" s="9">
        <v>4.8809999999999999E-3</v>
      </c>
      <c r="Q11" s="9">
        <v>1.9198E-2</v>
      </c>
      <c r="R11" s="9">
        <v>-5.47E-3</v>
      </c>
      <c r="S11" s="9">
        <v>3.6551E-2</v>
      </c>
      <c r="T11" s="9">
        <v>0.12918499999999999</v>
      </c>
      <c r="U11" s="9">
        <v>1.3691999999999999E-2</v>
      </c>
      <c r="V11" s="9">
        <v>1.5295E-2</v>
      </c>
      <c r="W11" s="9">
        <v>-0.10469000000000001</v>
      </c>
      <c r="X11" s="9">
        <v>-0.29385</v>
      </c>
      <c r="Y11" s="9">
        <v>5.9212000000000001E-2</v>
      </c>
      <c r="Z11" s="9">
        <v>-0.18495</v>
      </c>
      <c r="AA11" s="9">
        <v>9.8247000000000001E-2</v>
      </c>
      <c r="AB11" s="9">
        <v>-6.6E-4</v>
      </c>
      <c r="AC11" s="9">
        <v>-0.10369</v>
      </c>
      <c r="AD11" s="9">
        <v>3.545E-3</v>
      </c>
      <c r="AE11" s="9">
        <v>0.17560100000000001</v>
      </c>
      <c r="AF11" s="9">
        <v>-0.15503</v>
      </c>
      <c r="AG11" s="9">
        <v>-2.6329999999999999E-2</v>
      </c>
      <c r="AH11" s="9">
        <v>-5.0000000000000001E-3</v>
      </c>
      <c r="AI11" s="9">
        <v>2.8067999999999999E-2</v>
      </c>
      <c r="AJ11" s="9">
        <v>-2.2380000000000001E-2</v>
      </c>
      <c r="AK11" s="9">
        <v>-4.7019999999999999E-2</v>
      </c>
      <c r="AL11" s="9">
        <v>-0.10156</v>
      </c>
      <c r="AM11" s="9">
        <v>2.3525000000000001E-2</v>
      </c>
      <c r="AN11" s="9">
        <v>5.2525000000000002E-2</v>
      </c>
      <c r="AO11" s="9">
        <v>5.8502999999999999E-2</v>
      </c>
      <c r="AP11" s="9">
        <v>3.3446999999999998E-2</v>
      </c>
      <c r="AQ11" s="9">
        <v>1.43E-2</v>
      </c>
      <c r="AR11" s="9">
        <v>3.5903999999999998E-2</v>
      </c>
      <c r="AS11" s="9">
        <v>3.9781999999999998E-2</v>
      </c>
      <c r="AT11" s="9">
        <v>0.148456</v>
      </c>
      <c r="AU11" s="9">
        <v>-4.079E-2</v>
      </c>
      <c r="AV11" s="9">
        <v>0.138959</v>
      </c>
      <c r="AW11" s="9">
        <v>5.9863E-2</v>
      </c>
      <c r="AX11" s="9">
        <v>-0.14979000000000001</v>
      </c>
      <c r="AY11" s="9">
        <v>6.1595999999999998E-2</v>
      </c>
      <c r="AZ11" s="9">
        <v>-6.1949999999999998E-2</v>
      </c>
      <c r="BA11" s="9">
        <v>-2.3900000000000002E-3</v>
      </c>
      <c r="BB11" s="9">
        <v>-0.14887</v>
      </c>
      <c r="BC11" s="9">
        <v>6.0351000000000002E-2</v>
      </c>
      <c r="BD11" s="9">
        <v>-1.469E-2</v>
      </c>
      <c r="BE11" s="9">
        <v>-0.14652000000000001</v>
      </c>
      <c r="BF11" s="9">
        <v>-0.20876</v>
      </c>
      <c r="BG11" s="9">
        <v>-0.20144000000000001</v>
      </c>
      <c r="BH11" s="9">
        <v>-0.11805</v>
      </c>
      <c r="BI11" s="9">
        <v>-7.7030000000000001E-2</v>
      </c>
      <c r="BJ11" s="9">
        <v>-3.6220000000000002E-2</v>
      </c>
      <c r="BK11" s="9">
        <v>-1.891E-2</v>
      </c>
      <c r="BL11" s="9">
        <v>-0.17126</v>
      </c>
      <c r="BM11" s="9">
        <v>0.13291700000000001</v>
      </c>
      <c r="BN11" s="9">
        <v>-3.5909999999999997E-2</v>
      </c>
      <c r="BO11" s="9">
        <v>2.1344999999999999E-2</v>
      </c>
      <c r="BP11" s="9">
        <v>4.9634999999999999E-2</v>
      </c>
      <c r="BQ11" s="9">
        <v>-1.721E-2</v>
      </c>
      <c r="BR11" s="9">
        <v>0.189827</v>
      </c>
      <c r="BS11" s="9">
        <v>-9.7610000000000002E-2</v>
      </c>
      <c r="BT11" s="9">
        <v>3.7830999999999997E-2</v>
      </c>
      <c r="BU11" s="9">
        <v>5.6008000000000002E-2</v>
      </c>
      <c r="BV11" s="9">
        <v>-0.11674</v>
      </c>
      <c r="BW11" s="9">
        <v>-0.14132</v>
      </c>
      <c r="BX11" s="9">
        <v>-3.3800000000000002E-3</v>
      </c>
      <c r="BY11" s="9">
        <v>0.13033600000000001</v>
      </c>
      <c r="BZ11" s="9">
        <v>3.1697999999999997E-2</v>
      </c>
      <c r="CA11" s="9">
        <v>4.0555000000000001E-2</v>
      </c>
      <c r="CB11" s="9">
        <v>-4.2040000000000001E-2</v>
      </c>
      <c r="CC11" s="9">
        <v>5.0014000000000003E-2</v>
      </c>
      <c r="CD11" s="9">
        <v>-6.8459999999999993E-2</v>
      </c>
      <c r="CE11" s="9">
        <v>-8.0829999999999999E-2</v>
      </c>
      <c r="CF11" s="9">
        <v>-1.9499999999999999E-3</v>
      </c>
      <c r="CG11" s="9">
        <v>-0.11821</v>
      </c>
      <c r="CH11" s="9">
        <v>-3.6720000000000003E-2</v>
      </c>
      <c r="CI11" s="9">
        <v>-8.3330000000000001E-2</v>
      </c>
      <c r="CJ11" s="9">
        <v>0.23067299999999999</v>
      </c>
      <c r="CK11" s="9">
        <v>0.13277900000000001</v>
      </c>
      <c r="CL11" s="9">
        <v>0.141287</v>
      </c>
      <c r="CM11" s="9">
        <v>-0.11269</v>
      </c>
      <c r="CN11" s="9">
        <v>0.22348899999999999</v>
      </c>
      <c r="CO11" s="9">
        <v>-0.10442</v>
      </c>
      <c r="CP11" s="9">
        <v>-1.443E-2</v>
      </c>
      <c r="CQ11" s="9">
        <v>-0.20723</v>
      </c>
      <c r="CR11" s="9">
        <v>-0.13486000000000001</v>
      </c>
      <c r="CS11" s="9">
        <v>7.3008000000000003E-2</v>
      </c>
      <c r="CT11" s="9">
        <v>-3.022E-2</v>
      </c>
      <c r="CU11" s="9">
        <v>-0.28688999999999998</v>
      </c>
      <c r="CV11" s="9">
        <v>0.23073099999999999</v>
      </c>
      <c r="CW11" s="9">
        <v>9.1076000000000004E-2</v>
      </c>
      <c r="CX11" s="9">
        <v>-0.12249</v>
      </c>
      <c r="CY11" s="9">
        <v>7.8381999999999993E-2</v>
      </c>
      <c r="CZ11" s="9">
        <v>-4.5949999999999998E-2</v>
      </c>
      <c r="DA11" s="9">
        <v>8.2669999999999993E-2</v>
      </c>
      <c r="DB11" s="9">
        <v>0.14934900000000001</v>
      </c>
      <c r="DC11" s="9">
        <v>-4.7800000000000002E-2</v>
      </c>
      <c r="DD11" s="9">
        <v>-0.16450999999999999</v>
      </c>
      <c r="DE11" s="9">
        <v>-0.11057</v>
      </c>
      <c r="DF11" s="9">
        <v>5.7417000000000003E-2</v>
      </c>
      <c r="DG11" s="9">
        <v>-0.21489</v>
      </c>
      <c r="DH11" s="9">
        <v>6.2996999999999997E-2</v>
      </c>
      <c r="DI11" s="9">
        <v>6.7721000000000003E-2</v>
      </c>
      <c r="DJ11" s="9">
        <v>0.118802</v>
      </c>
      <c r="DK11" s="9">
        <v>7.2830000000000004E-3</v>
      </c>
      <c r="DL11" s="9">
        <v>7.1320999999999996E-2</v>
      </c>
      <c r="DM11" s="9">
        <v>2.1021999999999999E-2</v>
      </c>
      <c r="DN11" s="9">
        <v>-3.04E-2</v>
      </c>
      <c r="DO11" s="9">
        <v>-9.6949999999999995E-2</v>
      </c>
      <c r="DP11" s="9">
        <v>-0.23068</v>
      </c>
      <c r="DQ11" s="9">
        <v>0.23818400000000001</v>
      </c>
      <c r="DR11" s="9">
        <v>3.5750000000000001E-3</v>
      </c>
      <c r="DS11" s="9">
        <v>0.13395599999999999</v>
      </c>
      <c r="DT11" s="9">
        <v>0.115106</v>
      </c>
      <c r="DU11" s="9">
        <v>0.10408000000000001</v>
      </c>
      <c r="DV11" s="9">
        <v>-5.4609999999999999E-2</v>
      </c>
      <c r="DW11" s="9">
        <v>-3.329E-2</v>
      </c>
      <c r="DX11" s="9">
        <v>5.5094999999999998E-2</v>
      </c>
      <c r="DY11" s="9">
        <v>6.8793999999999994E-2</v>
      </c>
      <c r="DZ11" s="9">
        <v>1.4481000000000001E-2</v>
      </c>
      <c r="EA11" s="9">
        <v>-0.29314000000000001</v>
      </c>
      <c r="EB11" s="9">
        <v>-0.14097999999999999</v>
      </c>
      <c r="EC11" s="9">
        <v>-1.221E-2</v>
      </c>
      <c r="ED11" s="9">
        <v>5.8167999999999997E-2</v>
      </c>
      <c r="EE11" s="9">
        <v>-0.1444</v>
      </c>
      <c r="EF11" s="9">
        <v>-9.7009999999999999E-2</v>
      </c>
      <c r="EG11" s="10"/>
    </row>
    <row r="13" spans="1:137" x14ac:dyDescent="0.3">
      <c r="A13" t="s">
        <v>153</v>
      </c>
      <c r="B13" s="1" t="s">
        <v>136</v>
      </c>
      <c r="C13" s="7">
        <f>(C3-C9)^2</f>
        <v>5.1996813799186142E-3</v>
      </c>
      <c r="D13" s="7">
        <f t="shared" ref="D13:BO13" si="0">(D3-D9)^2</f>
        <v>3.5048473353152922E-4</v>
      </c>
      <c r="E13" s="7">
        <f t="shared" si="0"/>
        <v>2.6600877303294369E-3</v>
      </c>
      <c r="F13" s="7">
        <f t="shared" si="0"/>
        <v>4.4942230431208193E-4</v>
      </c>
      <c r="G13" s="7">
        <f t="shared" si="0"/>
        <v>5.2780517845682137E-4</v>
      </c>
      <c r="H13" s="7">
        <f t="shared" si="0"/>
        <v>4.249333666010586E-4</v>
      </c>
      <c r="I13" s="7">
        <f t="shared" si="0"/>
        <v>2.5272237243023361E-2</v>
      </c>
      <c r="J13" s="7">
        <f t="shared" si="0"/>
        <v>7.9512695322386199E-3</v>
      </c>
      <c r="K13" s="7">
        <f t="shared" si="0"/>
        <v>3.6928597738125064E-3</v>
      </c>
      <c r="L13" s="7">
        <f t="shared" si="0"/>
        <v>2.9249135631848184E-5</v>
      </c>
      <c r="M13" s="7">
        <f t="shared" si="0"/>
        <v>2.8867091128506918E-3</v>
      </c>
      <c r="N13" s="7">
        <f t="shared" si="0"/>
        <v>1.3977069901561058E-2</v>
      </c>
      <c r="O13" s="7">
        <f t="shared" si="0"/>
        <v>3.448408774114424E-4</v>
      </c>
      <c r="P13" s="7">
        <f t="shared" si="0"/>
        <v>1.562630280277811E-2</v>
      </c>
      <c r="Q13" s="7">
        <f t="shared" si="0"/>
        <v>1.1344877534616517E-2</v>
      </c>
      <c r="R13" s="7">
        <f t="shared" si="0"/>
        <v>8.0105680235926418E-4</v>
      </c>
      <c r="S13" s="7">
        <f t="shared" si="0"/>
        <v>2.3602098852003491E-2</v>
      </c>
      <c r="T13" s="7">
        <f t="shared" si="0"/>
        <v>2.0071558564657716E-2</v>
      </c>
      <c r="U13" s="7">
        <f t="shared" si="0"/>
        <v>2.9067309283588561E-3</v>
      </c>
      <c r="V13" s="7">
        <f t="shared" si="0"/>
        <v>3.1528946158744038E-3</v>
      </c>
      <c r="W13" s="7">
        <f t="shared" si="0"/>
        <v>1.4611448880293581E-3</v>
      </c>
      <c r="X13" s="7">
        <f t="shared" si="0"/>
        <v>1.0806339754763725E-2</v>
      </c>
      <c r="Y13" s="7">
        <f t="shared" si="0"/>
        <v>2.6616697436949232E-2</v>
      </c>
      <c r="Z13" s="7">
        <f t="shared" si="0"/>
        <v>2.8175668770913827E-2</v>
      </c>
      <c r="AA13" s="7">
        <f t="shared" si="0"/>
        <v>1.3102288161996168E-2</v>
      </c>
      <c r="AB13" s="7">
        <f t="shared" si="0"/>
        <v>2.0079851069904871E-3</v>
      </c>
      <c r="AC13" s="7">
        <f t="shared" si="0"/>
        <v>4.738049785213477E-3</v>
      </c>
      <c r="AD13" s="7">
        <f t="shared" si="0"/>
        <v>3.3714592500825533E-4</v>
      </c>
      <c r="AE13" s="7">
        <f t="shared" si="0"/>
        <v>3.4651304458888248E-2</v>
      </c>
      <c r="AF13" s="7">
        <f t="shared" si="0"/>
        <v>2.1281899312767453E-3</v>
      </c>
      <c r="AG13" s="7">
        <f t="shared" si="0"/>
        <v>1.106735265388672E-2</v>
      </c>
      <c r="AH13" s="7">
        <f t="shared" si="0"/>
        <v>6.9508830453818516E-3</v>
      </c>
      <c r="AI13" s="7">
        <f t="shared" si="0"/>
        <v>1.428190816057953E-5</v>
      </c>
      <c r="AJ13" s="7">
        <f t="shared" si="0"/>
        <v>6.319946996907329E-5</v>
      </c>
      <c r="AK13" s="7">
        <f t="shared" si="0"/>
        <v>1.0627051012025795E-2</v>
      </c>
      <c r="AL13" s="7">
        <f t="shared" si="0"/>
        <v>5.6636500009581251E-6</v>
      </c>
      <c r="AM13" s="7">
        <f t="shared" si="0"/>
        <v>8.4577683009452887E-3</v>
      </c>
      <c r="AN13" s="7">
        <f t="shared" si="0"/>
        <v>2.9134850613342721E-2</v>
      </c>
      <c r="AO13" s="7">
        <f t="shared" si="0"/>
        <v>5.5690117600416585E-3</v>
      </c>
      <c r="AP13" s="7">
        <f t="shared" si="0"/>
        <v>3.4772888090034586E-2</v>
      </c>
      <c r="AQ13" s="7">
        <f t="shared" si="0"/>
        <v>3.3242821077860275E-3</v>
      </c>
      <c r="AR13" s="7">
        <f t="shared" si="0"/>
        <v>1.6336343510028715E-4</v>
      </c>
      <c r="AS13" s="7">
        <f t="shared" si="0"/>
        <v>3.5942871483349788E-5</v>
      </c>
      <c r="AT13" s="7">
        <f t="shared" si="0"/>
        <v>1.6021175433399901E-3</v>
      </c>
      <c r="AU13" s="7">
        <f t="shared" si="0"/>
        <v>1.9156406625396089E-4</v>
      </c>
      <c r="AV13" s="7">
        <f t="shared" si="0"/>
        <v>1.1081404926974067E-2</v>
      </c>
      <c r="AW13" s="7">
        <f t="shared" si="0"/>
        <v>2.879489779995489E-6</v>
      </c>
      <c r="AX13" s="7">
        <f t="shared" si="0"/>
        <v>8.7796166595132258E-3</v>
      </c>
      <c r="AY13" s="7">
        <f t="shared" si="0"/>
        <v>1.9807650166994363E-3</v>
      </c>
      <c r="AZ13" s="7">
        <f t="shared" si="0"/>
        <v>3.1593314819808047E-3</v>
      </c>
      <c r="BA13" s="7">
        <f t="shared" si="0"/>
        <v>9.3503798071668137E-4</v>
      </c>
      <c r="BB13" s="7">
        <f t="shared" si="0"/>
        <v>4.4450052281279333E-3</v>
      </c>
      <c r="BC13" s="7">
        <f t="shared" si="0"/>
        <v>5.7681700020622434E-5</v>
      </c>
      <c r="BD13" s="7">
        <f t="shared" si="0"/>
        <v>5.1701448172159718E-4</v>
      </c>
      <c r="BE13" s="7">
        <f t="shared" si="0"/>
        <v>1.3359609029332763E-3</v>
      </c>
      <c r="BF13" s="7">
        <f t="shared" si="0"/>
        <v>1.6545875574042614E-2</v>
      </c>
      <c r="BG13" s="7">
        <f t="shared" si="0"/>
        <v>1.3947679273956598E-2</v>
      </c>
      <c r="BH13" s="7">
        <f t="shared" si="0"/>
        <v>2.5353844699813971E-4</v>
      </c>
      <c r="BI13" s="7">
        <f t="shared" si="0"/>
        <v>3.0608345589578528E-3</v>
      </c>
      <c r="BJ13" s="7">
        <f t="shared" si="0"/>
        <v>9.1144456194463958E-3</v>
      </c>
      <c r="BK13" s="7">
        <f t="shared" si="0"/>
        <v>1.5331565763291767E-2</v>
      </c>
      <c r="BL13" s="7">
        <f t="shared" si="0"/>
        <v>3.3934770021981134E-3</v>
      </c>
      <c r="BM13" s="7">
        <f t="shared" si="0"/>
        <v>3.5879726004166956E-3</v>
      </c>
      <c r="BN13" s="7">
        <f t="shared" si="0"/>
        <v>2.3059722750382752E-4</v>
      </c>
      <c r="BO13" s="7">
        <f t="shared" si="0"/>
        <v>2.5768196525653136E-3</v>
      </c>
      <c r="BP13" s="7">
        <f t="shared" ref="BP13:EA13" si="1">(BP3-BP9)^2</f>
        <v>2.7993127472971347E-3</v>
      </c>
      <c r="BQ13" s="7">
        <f t="shared" si="1"/>
        <v>1.1465619014837207E-3</v>
      </c>
      <c r="BR13" s="7">
        <f t="shared" si="1"/>
        <v>1.1036800119850543E-3</v>
      </c>
      <c r="BS13" s="7">
        <f t="shared" si="1"/>
        <v>1.5054362677075022E-3</v>
      </c>
      <c r="BT13" s="7">
        <f t="shared" si="1"/>
        <v>4.2676104531932104E-5</v>
      </c>
      <c r="BU13" s="7">
        <f t="shared" si="1"/>
        <v>2.3796622565370565E-4</v>
      </c>
      <c r="BV13" s="7">
        <f t="shared" si="1"/>
        <v>3.9841213406552863E-3</v>
      </c>
      <c r="BW13" s="7">
        <f t="shared" si="1"/>
        <v>3.7909276846222169E-3</v>
      </c>
      <c r="BX13" s="7">
        <f t="shared" si="1"/>
        <v>4.5677820231987691E-4</v>
      </c>
      <c r="BY13" s="7">
        <f t="shared" si="1"/>
        <v>9.6909135501075435E-3</v>
      </c>
      <c r="BZ13" s="7">
        <f t="shared" si="1"/>
        <v>6.8683719042463651E-3</v>
      </c>
      <c r="CA13" s="7">
        <f t="shared" si="1"/>
        <v>2.0928499826830992E-2</v>
      </c>
      <c r="CB13" s="7">
        <f t="shared" si="1"/>
        <v>1.7510532472383292E-4</v>
      </c>
      <c r="CC13" s="7">
        <f t="shared" si="1"/>
        <v>1.5637797193320884E-3</v>
      </c>
      <c r="CD13" s="7">
        <f t="shared" si="1"/>
        <v>3.2611169702490374E-2</v>
      </c>
      <c r="CE13" s="7">
        <f t="shared" si="1"/>
        <v>1.0921771147353616E-3</v>
      </c>
      <c r="CF13" s="7">
        <f t="shared" si="1"/>
        <v>1.607519380586402E-3</v>
      </c>
      <c r="CG13" s="7">
        <f t="shared" si="1"/>
        <v>4.5452983652325089E-3</v>
      </c>
      <c r="CH13" s="7">
        <f t="shared" si="1"/>
        <v>9.0464292745178303E-3</v>
      </c>
      <c r="CI13" s="7">
        <f t="shared" si="1"/>
        <v>1.7633516937132464E-2</v>
      </c>
      <c r="CJ13" s="7">
        <f t="shared" si="1"/>
        <v>4.2565052483562545E-4</v>
      </c>
      <c r="CK13" s="7">
        <f t="shared" si="1"/>
        <v>5.0056536403316875E-4</v>
      </c>
      <c r="CL13" s="7">
        <f t="shared" si="1"/>
        <v>5.1810792684756642E-2</v>
      </c>
      <c r="CM13" s="7">
        <f t="shared" si="1"/>
        <v>2.7062304443338427E-3</v>
      </c>
      <c r="CN13" s="7">
        <f t="shared" si="1"/>
        <v>4.6288709683154905E-3</v>
      </c>
      <c r="CO13" s="7">
        <f t="shared" si="1"/>
        <v>3.6334553157072571E-3</v>
      </c>
      <c r="CP13" s="7">
        <f t="shared" si="1"/>
        <v>8.5928775877290899E-3</v>
      </c>
      <c r="CQ13" s="7">
        <f t="shared" si="1"/>
        <v>1.8951644038637271E-2</v>
      </c>
      <c r="CR13" s="7">
        <f t="shared" si="1"/>
        <v>8.9759144062833047E-4</v>
      </c>
      <c r="CS13" s="7">
        <f t="shared" si="1"/>
        <v>3.1224240084575558E-3</v>
      </c>
      <c r="CT13" s="7">
        <f t="shared" si="1"/>
        <v>8.2317106091032662E-4</v>
      </c>
      <c r="CU13" s="7">
        <f t="shared" si="1"/>
        <v>6.0641428859623484E-3</v>
      </c>
      <c r="CV13" s="7">
        <f t="shared" si="1"/>
        <v>2.1320290874023056E-3</v>
      </c>
      <c r="CW13" s="7">
        <f t="shared" si="1"/>
        <v>2.2166447811572091E-6</v>
      </c>
      <c r="CX13" s="7">
        <f t="shared" si="1"/>
        <v>1.0000613438025059E-2</v>
      </c>
      <c r="CY13" s="7">
        <f t="shared" si="1"/>
        <v>3.4401902182973122E-3</v>
      </c>
      <c r="CZ13" s="7">
        <f t="shared" si="1"/>
        <v>3.3242797906358999E-2</v>
      </c>
      <c r="DA13" s="7">
        <f t="shared" si="1"/>
        <v>1.0501524901709282E-2</v>
      </c>
      <c r="DB13" s="7">
        <f t="shared" si="1"/>
        <v>2.8544547184288158E-3</v>
      </c>
      <c r="DC13" s="7">
        <f t="shared" si="1"/>
        <v>5.7794473643209806E-3</v>
      </c>
      <c r="DD13" s="7">
        <f t="shared" si="1"/>
        <v>1.2529659470906641E-3</v>
      </c>
      <c r="DE13" s="7">
        <f t="shared" si="1"/>
        <v>1.8398674641594676E-3</v>
      </c>
      <c r="DF13" s="7">
        <f t="shared" si="1"/>
        <v>1.6800389933388728E-3</v>
      </c>
      <c r="DG13" s="7">
        <f t="shared" si="1"/>
        <v>1.2851021218355229E-2</v>
      </c>
      <c r="DH13" s="7">
        <f t="shared" si="1"/>
        <v>3.676304924673184E-3</v>
      </c>
      <c r="DI13" s="7">
        <f t="shared" si="1"/>
        <v>1.9156903334821073E-2</v>
      </c>
      <c r="DJ13" s="7">
        <f t="shared" si="1"/>
        <v>3.5874753230731818E-5</v>
      </c>
      <c r="DK13" s="7">
        <f t="shared" si="1"/>
        <v>7.3739390789208901E-3</v>
      </c>
      <c r="DL13" s="7">
        <f t="shared" si="1"/>
        <v>1.3860696400704781E-3</v>
      </c>
      <c r="DM13" s="7">
        <f t="shared" si="1"/>
        <v>4.3091396783038272E-3</v>
      </c>
      <c r="DN13" s="7">
        <f t="shared" si="1"/>
        <v>6.2359839943271003E-3</v>
      </c>
      <c r="DO13" s="7">
        <f t="shared" si="1"/>
        <v>6.9914120169814009E-5</v>
      </c>
      <c r="DP13" s="7">
        <f t="shared" si="1"/>
        <v>2.4467360170529044E-3</v>
      </c>
      <c r="DQ13" s="7">
        <f t="shared" si="1"/>
        <v>2.1605474223694927E-2</v>
      </c>
      <c r="DR13" s="7">
        <f t="shared" si="1"/>
        <v>3.6257605275531149E-3</v>
      </c>
      <c r="DS13" s="7">
        <f t="shared" si="1"/>
        <v>1.1798914078723773E-2</v>
      </c>
      <c r="DT13" s="7">
        <f t="shared" si="1"/>
        <v>1.7177890780536317E-2</v>
      </c>
      <c r="DU13" s="7">
        <f t="shared" si="1"/>
        <v>4.4184154618383183E-4</v>
      </c>
      <c r="DV13" s="7">
        <f t="shared" si="1"/>
        <v>1.1832322834727068E-2</v>
      </c>
      <c r="DW13" s="7">
        <f t="shared" si="1"/>
        <v>3.5489801359718095E-3</v>
      </c>
      <c r="DX13" s="7">
        <f t="shared" si="1"/>
        <v>1.8517266719152714E-2</v>
      </c>
      <c r="DY13" s="7">
        <f t="shared" si="1"/>
        <v>2.7566629698304542E-3</v>
      </c>
      <c r="DZ13" s="7">
        <f t="shared" si="1"/>
        <v>3.616633400846986E-3</v>
      </c>
      <c r="EA13" s="7">
        <f t="shared" si="1"/>
        <v>1.6876789500486301E-2</v>
      </c>
      <c r="EB13" s="7">
        <f t="shared" ref="EB13:EG13" si="2">(EB3-EB9)^2</f>
        <v>7.3047400107600425E-4</v>
      </c>
      <c r="EC13" s="7">
        <f t="shared" si="2"/>
        <v>1.6517997946211668E-3</v>
      </c>
      <c r="ED13" s="7">
        <f t="shared" si="2"/>
        <v>3.6696590205193523E-2</v>
      </c>
      <c r="EE13" s="7">
        <f t="shared" si="2"/>
        <v>2.926419672873294E-3</v>
      </c>
      <c r="EF13" s="7">
        <f t="shared" si="2"/>
        <v>1.4751064845341983E-3</v>
      </c>
      <c r="EG13" s="7">
        <f t="shared" si="2"/>
        <v>2.0252323028349079E-2</v>
      </c>
    </row>
    <row r="14" spans="1:137" x14ac:dyDescent="0.3">
      <c r="B14" s="1" t="s">
        <v>137</v>
      </c>
      <c r="C14" s="7">
        <f t="shared" ref="C14:BN14" si="3">(C4-C10)^2</f>
        <v>3.9175644269373755E-2</v>
      </c>
      <c r="D14" s="7">
        <f t="shared" si="3"/>
        <v>4.4200790352970531E-2</v>
      </c>
      <c r="E14" s="7">
        <f t="shared" si="3"/>
        <v>1.2446813427734085E-4</v>
      </c>
      <c r="F14" s="7">
        <f t="shared" si="3"/>
        <v>9.8682128065271171E-3</v>
      </c>
      <c r="G14" s="7">
        <f t="shared" si="3"/>
        <v>5.3660238871035932E-4</v>
      </c>
      <c r="H14" s="7">
        <f t="shared" si="3"/>
        <v>4.4366190268049083E-3</v>
      </c>
      <c r="I14" s="7">
        <f t="shared" si="3"/>
        <v>1.1335483371339697E-3</v>
      </c>
      <c r="J14" s="7">
        <f t="shared" si="3"/>
        <v>1.5603732868216454E-2</v>
      </c>
      <c r="K14" s="7">
        <f t="shared" si="3"/>
        <v>1.3798751794180235E-4</v>
      </c>
      <c r="L14" s="7">
        <f t="shared" si="3"/>
        <v>1.6697441339335817E-2</v>
      </c>
      <c r="M14" s="7">
        <f t="shared" si="3"/>
        <v>2.4556899043494618E-4</v>
      </c>
      <c r="N14" s="7">
        <f t="shared" si="3"/>
        <v>3.1112308791386926E-2</v>
      </c>
      <c r="O14" s="7">
        <f t="shared" si="3"/>
        <v>4.0874572462974864E-4</v>
      </c>
      <c r="P14" s="7">
        <f t="shared" si="3"/>
        <v>1.2881283911286994E-2</v>
      </c>
      <c r="Q14" s="7">
        <f t="shared" si="3"/>
        <v>1.121503823372956E-3</v>
      </c>
      <c r="R14" s="7">
        <f t="shared" si="3"/>
        <v>2.5188965042704558E-3</v>
      </c>
      <c r="S14" s="7">
        <f t="shared" si="3"/>
        <v>1.745279291590799E-2</v>
      </c>
      <c r="T14" s="7">
        <f t="shared" si="3"/>
        <v>2.4928798988249315E-3</v>
      </c>
      <c r="U14" s="7">
        <f t="shared" si="3"/>
        <v>2.7919212143956646E-3</v>
      </c>
      <c r="V14" s="7">
        <f t="shared" si="3"/>
        <v>1.2836474638295895E-3</v>
      </c>
      <c r="W14" s="7">
        <f t="shared" si="3"/>
        <v>1.0467287615892816E-2</v>
      </c>
      <c r="X14" s="7">
        <f t="shared" si="3"/>
        <v>9.6017843416955958E-5</v>
      </c>
      <c r="Y14" s="7">
        <f t="shared" si="3"/>
        <v>1.4699466732228318E-3</v>
      </c>
      <c r="Z14" s="7">
        <f t="shared" si="3"/>
        <v>8.9902372187629842E-4</v>
      </c>
      <c r="AA14" s="7">
        <f t="shared" si="3"/>
        <v>5.6820194858651545E-3</v>
      </c>
      <c r="AB14" s="7">
        <f t="shared" si="3"/>
        <v>2.2068825013907807E-4</v>
      </c>
      <c r="AC14" s="7">
        <f t="shared" si="3"/>
        <v>6.0868334489718769E-4</v>
      </c>
      <c r="AD14" s="7">
        <f t="shared" si="3"/>
        <v>1.0907460839452304E-3</v>
      </c>
      <c r="AE14" s="7">
        <f t="shared" si="3"/>
        <v>2.9856599119717348E-2</v>
      </c>
      <c r="AF14" s="7">
        <f t="shared" si="3"/>
        <v>9.7868536792326041E-3</v>
      </c>
      <c r="AG14" s="7">
        <f t="shared" si="3"/>
        <v>3.2832331170464627E-5</v>
      </c>
      <c r="AH14" s="7">
        <f t="shared" si="3"/>
        <v>4.0588321407821138E-4</v>
      </c>
      <c r="AI14" s="7">
        <f t="shared" si="3"/>
        <v>4.3870203277319476E-4</v>
      </c>
      <c r="AJ14" s="7">
        <f t="shared" si="3"/>
        <v>7.0220362588522135E-4</v>
      </c>
      <c r="AK14" s="7">
        <f t="shared" si="3"/>
        <v>5.3974909681424636E-4</v>
      </c>
      <c r="AL14" s="7">
        <f t="shared" si="3"/>
        <v>6.5811935076129126E-3</v>
      </c>
      <c r="AM14" s="7">
        <f t="shared" si="3"/>
        <v>1.0802205745972615E-4</v>
      </c>
      <c r="AN14" s="7">
        <f t="shared" si="3"/>
        <v>8.9666685151176869E-3</v>
      </c>
      <c r="AO14" s="7">
        <f t="shared" si="3"/>
        <v>4.0830587645303951E-4</v>
      </c>
      <c r="AP14" s="7">
        <f t="shared" si="3"/>
        <v>4.8674703019560767E-4</v>
      </c>
      <c r="AQ14" s="7">
        <f t="shared" si="3"/>
        <v>3.5250293848851527E-3</v>
      </c>
      <c r="AR14" s="7">
        <f t="shared" si="3"/>
        <v>4.9521885777286685E-3</v>
      </c>
      <c r="AS14" s="7">
        <f t="shared" si="3"/>
        <v>4.1856946508117374E-6</v>
      </c>
      <c r="AT14" s="7">
        <f t="shared" si="3"/>
        <v>1.3173546496325774E-4</v>
      </c>
      <c r="AU14" s="7">
        <f t="shared" si="3"/>
        <v>1.9310016760507465E-2</v>
      </c>
      <c r="AV14" s="7">
        <f t="shared" si="3"/>
        <v>1.3484600303550057E-3</v>
      </c>
      <c r="AW14" s="7">
        <f t="shared" si="3"/>
        <v>8.9045707702789815E-5</v>
      </c>
      <c r="AX14" s="7">
        <f t="shared" si="3"/>
        <v>3.53346262780251E-4</v>
      </c>
      <c r="AY14" s="7">
        <f t="shared" si="3"/>
        <v>2.8348395005948711E-3</v>
      </c>
      <c r="AZ14" s="7">
        <f t="shared" si="3"/>
        <v>1.3959226678496167E-2</v>
      </c>
      <c r="BA14" s="7">
        <f t="shared" si="3"/>
        <v>1.1551489377154403E-2</v>
      </c>
      <c r="BB14" s="7">
        <f t="shared" si="3"/>
        <v>1.4959700995582914E-3</v>
      </c>
      <c r="BC14" s="7">
        <f t="shared" si="3"/>
        <v>2.2780406351339513E-3</v>
      </c>
      <c r="BD14" s="7">
        <f t="shared" si="3"/>
        <v>8.5814766124508515E-3</v>
      </c>
      <c r="BE14" s="7">
        <f t="shared" si="3"/>
        <v>2.7795296139707899E-2</v>
      </c>
      <c r="BF14" s="7">
        <f t="shared" si="3"/>
        <v>4.2605715815932409E-3</v>
      </c>
      <c r="BG14" s="7">
        <f t="shared" si="3"/>
        <v>1.0178929410137656E-4</v>
      </c>
      <c r="BH14" s="7">
        <f t="shared" si="3"/>
        <v>4.2394967172838345E-3</v>
      </c>
      <c r="BI14" s="7">
        <f t="shared" si="3"/>
        <v>3.9057563922559801E-3</v>
      </c>
      <c r="BJ14" s="7">
        <f t="shared" si="3"/>
        <v>6.3278817754078252E-3</v>
      </c>
      <c r="BK14" s="7">
        <f t="shared" si="3"/>
        <v>1.3712854958125978E-2</v>
      </c>
      <c r="BL14" s="7">
        <f t="shared" si="3"/>
        <v>1.7746900743427152E-4</v>
      </c>
      <c r="BM14" s="7">
        <f t="shared" si="3"/>
        <v>6.5060688733550491E-3</v>
      </c>
      <c r="BN14" s="7">
        <f t="shared" si="3"/>
        <v>9.0433539745741719E-3</v>
      </c>
      <c r="BO14" s="7">
        <f t="shared" ref="BO14:DZ14" si="4">(BO4-BO10)^2</f>
        <v>1.4728522402663308E-6</v>
      </c>
      <c r="BP14" s="7">
        <f t="shared" si="4"/>
        <v>1.4138774864529349E-2</v>
      </c>
      <c r="BQ14" s="7">
        <f t="shared" si="4"/>
        <v>7.4961362961495977E-4</v>
      </c>
      <c r="BR14" s="7">
        <f t="shared" si="4"/>
        <v>2.4192562968297993E-3</v>
      </c>
      <c r="BS14" s="7">
        <f t="shared" si="4"/>
        <v>3.0570806927332135E-3</v>
      </c>
      <c r="BT14" s="7">
        <f t="shared" si="4"/>
        <v>1.3216390094427793E-2</v>
      </c>
      <c r="BU14" s="7">
        <f t="shared" si="4"/>
        <v>1.6933073797895184E-2</v>
      </c>
      <c r="BV14" s="7">
        <f t="shared" si="4"/>
        <v>8.7584359810285988E-3</v>
      </c>
      <c r="BW14" s="7">
        <f t="shared" si="4"/>
        <v>1.3308948800734874E-2</v>
      </c>
      <c r="BX14" s="7">
        <f t="shared" si="4"/>
        <v>9.5140679189656418E-4</v>
      </c>
      <c r="BY14" s="7">
        <f t="shared" si="4"/>
        <v>1.4542656412368878E-2</v>
      </c>
      <c r="BZ14" s="7">
        <f t="shared" si="4"/>
        <v>4.6326044742821823E-4</v>
      </c>
      <c r="CA14" s="7">
        <f t="shared" si="4"/>
        <v>4.2351850997595902E-3</v>
      </c>
      <c r="CB14" s="7">
        <f t="shared" si="4"/>
        <v>1.8366649364414154E-2</v>
      </c>
      <c r="CC14" s="7">
        <f t="shared" si="4"/>
        <v>8.9644665648134494E-4</v>
      </c>
      <c r="CD14" s="7">
        <f t="shared" si="4"/>
        <v>1.7090151074337122E-3</v>
      </c>
      <c r="CE14" s="7">
        <f t="shared" si="4"/>
        <v>4.2627124443387399E-2</v>
      </c>
      <c r="CF14" s="7">
        <f t="shared" si="4"/>
        <v>8.8211064278138525E-3</v>
      </c>
      <c r="CG14" s="7">
        <f t="shared" si="4"/>
        <v>3.3169179063906678E-3</v>
      </c>
      <c r="CH14" s="7">
        <f t="shared" si="4"/>
        <v>5.7954533822292937E-4</v>
      </c>
      <c r="CI14" s="7">
        <f t="shared" si="4"/>
        <v>4.3112919574686617E-3</v>
      </c>
      <c r="CJ14" s="7">
        <f t="shared" si="4"/>
        <v>6.7930092833262665E-5</v>
      </c>
      <c r="CK14" s="7">
        <f t="shared" si="4"/>
        <v>3.5757565783185578E-3</v>
      </c>
      <c r="CL14" s="7">
        <f t="shared" si="4"/>
        <v>8.3294905785859903E-4</v>
      </c>
      <c r="CM14" s="7">
        <f t="shared" si="4"/>
        <v>3.9255579935579994E-2</v>
      </c>
      <c r="CN14" s="7">
        <f t="shared" si="4"/>
        <v>2.4963678379687658E-3</v>
      </c>
      <c r="CO14" s="7">
        <f t="shared" si="4"/>
        <v>2.0613731338723906E-2</v>
      </c>
      <c r="CP14" s="7">
        <f t="shared" si="4"/>
        <v>5.2125630545471592E-3</v>
      </c>
      <c r="CQ14" s="7">
        <f t="shared" si="4"/>
        <v>3.2586458133545347E-2</v>
      </c>
      <c r="CR14" s="7">
        <f t="shared" si="4"/>
        <v>4.8238598039694316E-3</v>
      </c>
      <c r="CS14" s="7">
        <f t="shared" si="4"/>
        <v>3.8989432314765745E-6</v>
      </c>
      <c r="CT14" s="7">
        <f t="shared" si="4"/>
        <v>8.3338596720373571E-3</v>
      </c>
      <c r="CU14" s="7">
        <f t="shared" si="4"/>
        <v>1.4140106131453811E-3</v>
      </c>
      <c r="CV14" s="7">
        <f t="shared" si="4"/>
        <v>4.1360419784279979E-4</v>
      </c>
      <c r="CW14" s="7">
        <f t="shared" si="4"/>
        <v>1.3035996631558103E-3</v>
      </c>
      <c r="CX14" s="7">
        <f t="shared" si="4"/>
        <v>7.3090094521827209E-3</v>
      </c>
      <c r="CY14" s="7">
        <f t="shared" si="4"/>
        <v>5.0291966692893103E-3</v>
      </c>
      <c r="CZ14" s="7">
        <f t="shared" si="4"/>
        <v>3.2444440397064019E-2</v>
      </c>
      <c r="DA14" s="7">
        <f t="shared" si="4"/>
        <v>4.4538504075452212E-3</v>
      </c>
      <c r="DB14" s="7">
        <f t="shared" si="4"/>
        <v>2.1343943092456824E-2</v>
      </c>
      <c r="DC14" s="7">
        <f t="shared" si="4"/>
        <v>2.5032898092659885E-3</v>
      </c>
      <c r="DD14" s="7">
        <f t="shared" si="4"/>
        <v>2.0920422642574737E-2</v>
      </c>
      <c r="DE14" s="7">
        <f t="shared" si="4"/>
        <v>1.3471457365169208E-2</v>
      </c>
      <c r="DF14" s="7">
        <f t="shared" si="4"/>
        <v>1.9514158896816413E-2</v>
      </c>
      <c r="DG14" s="7">
        <f t="shared" si="4"/>
        <v>6.63013835490949E-2</v>
      </c>
      <c r="DH14" s="7">
        <f t="shared" si="4"/>
        <v>1.8460535749105222E-2</v>
      </c>
      <c r="DI14" s="7">
        <f t="shared" si="4"/>
        <v>6.9304296293935608E-3</v>
      </c>
      <c r="DJ14" s="7">
        <f t="shared" si="4"/>
        <v>3.9478447042668252E-3</v>
      </c>
      <c r="DK14" s="7">
        <f t="shared" si="4"/>
        <v>1.4599075620800293E-2</v>
      </c>
      <c r="DL14" s="7">
        <f t="shared" si="4"/>
        <v>6.9484280904047067E-4</v>
      </c>
      <c r="DM14" s="7">
        <f t="shared" si="4"/>
        <v>1.0109860400483563E-2</v>
      </c>
      <c r="DN14" s="7">
        <f t="shared" si="4"/>
        <v>5.2885363016682077E-4</v>
      </c>
      <c r="DO14" s="7">
        <f t="shared" si="4"/>
        <v>5.5659979183301442E-3</v>
      </c>
      <c r="DP14" s="7">
        <f t="shared" si="4"/>
        <v>1.0221529562949253E-2</v>
      </c>
      <c r="DQ14" s="7">
        <f t="shared" si="4"/>
        <v>7.449962936409333E-3</v>
      </c>
      <c r="DR14" s="7">
        <f t="shared" si="4"/>
        <v>9.2233763004232017E-5</v>
      </c>
      <c r="DS14" s="7">
        <f t="shared" si="4"/>
        <v>1.7119260981561159E-2</v>
      </c>
      <c r="DT14" s="7">
        <f t="shared" si="4"/>
        <v>1.4309594095382563E-3</v>
      </c>
      <c r="DU14" s="7">
        <f t="shared" si="4"/>
        <v>4.0557016597374679E-2</v>
      </c>
      <c r="DV14" s="7">
        <f t="shared" si="4"/>
        <v>2.7040590626861564E-4</v>
      </c>
      <c r="DW14" s="7">
        <f t="shared" si="4"/>
        <v>6.9335189314339825E-3</v>
      </c>
      <c r="DX14" s="7">
        <f t="shared" si="4"/>
        <v>6.5815346207697301E-4</v>
      </c>
      <c r="DY14" s="7">
        <f t="shared" si="4"/>
        <v>5.4181294632484594E-3</v>
      </c>
      <c r="DZ14" s="7">
        <f t="shared" si="4"/>
        <v>1.4595696137373736E-3</v>
      </c>
      <c r="EA14" s="7">
        <f t="shared" ref="EA14:EG14" si="5">(EA4-EA10)^2</f>
        <v>8.9357957746704665E-3</v>
      </c>
      <c r="EB14" s="7">
        <f t="shared" si="5"/>
        <v>7.9786177940049886E-4</v>
      </c>
      <c r="EC14" s="7">
        <f t="shared" si="5"/>
        <v>8.5553796447068627E-3</v>
      </c>
      <c r="ED14" s="7">
        <f t="shared" si="5"/>
        <v>4.2904602823733489E-3</v>
      </c>
      <c r="EE14" s="7">
        <f t="shared" si="5"/>
        <v>3.2671846836402833E-2</v>
      </c>
      <c r="EF14" s="7">
        <f t="shared" si="5"/>
        <v>1.3400178420845659E-2</v>
      </c>
      <c r="EG14" s="7">
        <f t="shared" si="5"/>
        <v>2.526811904387603E-2</v>
      </c>
    </row>
    <row r="15" spans="1:137" x14ac:dyDescent="0.3">
      <c r="B15" s="1" t="s">
        <v>138</v>
      </c>
      <c r="C15" s="7">
        <f t="shared" ref="C15:BN15" si="6">(C5-C11)^2</f>
        <v>3.3445774266807797E-3</v>
      </c>
      <c r="D15" s="7">
        <f t="shared" si="6"/>
        <v>1.8054664086030437E-3</v>
      </c>
      <c r="E15" s="7">
        <f t="shared" si="6"/>
        <v>6.6375830113139746E-4</v>
      </c>
      <c r="F15" s="7">
        <f t="shared" si="6"/>
        <v>9.0494721488881286E-3</v>
      </c>
      <c r="G15" s="7">
        <f t="shared" si="6"/>
        <v>1.0594347934893892E-2</v>
      </c>
      <c r="H15" s="7">
        <f t="shared" si="6"/>
        <v>4.3889857583746603E-5</v>
      </c>
      <c r="I15" s="7">
        <f t="shared" si="6"/>
        <v>9.1852463310217376E-4</v>
      </c>
      <c r="J15" s="7">
        <f t="shared" si="6"/>
        <v>2.6129282932566526E-4</v>
      </c>
      <c r="K15" s="7">
        <f t="shared" si="6"/>
        <v>3.6804070853811116E-3</v>
      </c>
      <c r="L15" s="7">
        <f t="shared" si="6"/>
        <v>9.7172651042362474E-5</v>
      </c>
      <c r="M15" s="7">
        <f t="shared" si="6"/>
        <v>1.1492225233322643E-3</v>
      </c>
      <c r="N15" s="7">
        <f t="shared" si="6"/>
        <v>7.7513430173740162E-3</v>
      </c>
      <c r="O15" s="7">
        <f t="shared" si="6"/>
        <v>2.6515058242642512E-3</v>
      </c>
      <c r="P15" s="7">
        <f t="shared" si="6"/>
        <v>1.6274225659941441E-4</v>
      </c>
      <c r="Q15" s="7">
        <f t="shared" si="6"/>
        <v>3.6973425509449717E-5</v>
      </c>
      <c r="R15" s="7">
        <f t="shared" si="6"/>
        <v>3.5822169819186639E-4</v>
      </c>
      <c r="S15" s="7">
        <f t="shared" si="6"/>
        <v>4.0027821594814934E-4</v>
      </c>
      <c r="T15" s="7">
        <f t="shared" si="6"/>
        <v>1.2837734447198887E-2</v>
      </c>
      <c r="U15" s="7">
        <f t="shared" si="6"/>
        <v>1.500202959968062E-4</v>
      </c>
      <c r="V15" s="7">
        <f t="shared" si="6"/>
        <v>1.9233855709457144E-5</v>
      </c>
      <c r="W15" s="7">
        <f t="shared" si="6"/>
        <v>1.8870996976421663E-2</v>
      </c>
      <c r="X15" s="7">
        <f t="shared" si="6"/>
        <v>0.10411550050746329</v>
      </c>
      <c r="Y15" s="7">
        <f t="shared" si="6"/>
        <v>9.083713280516971E-3</v>
      </c>
      <c r="Z15" s="7">
        <f t="shared" si="6"/>
        <v>3.2087745428731392E-2</v>
      </c>
      <c r="AA15" s="7">
        <f t="shared" si="6"/>
        <v>1.2564306816642543E-2</v>
      </c>
      <c r="AB15" s="7">
        <f t="shared" si="6"/>
        <v>2.4282364518411199E-3</v>
      </c>
      <c r="AC15" s="7">
        <f t="shared" si="6"/>
        <v>8.926817581861755E-3</v>
      </c>
      <c r="AD15" s="7">
        <f t="shared" si="6"/>
        <v>4.8304550069429748E-3</v>
      </c>
      <c r="AE15" s="7">
        <f t="shared" si="6"/>
        <v>3.8941554416002042E-2</v>
      </c>
      <c r="AF15" s="7">
        <f t="shared" si="6"/>
        <v>2.6896794555651769E-2</v>
      </c>
      <c r="AG15" s="7">
        <f t="shared" si="6"/>
        <v>2.101634157510987E-4</v>
      </c>
      <c r="AH15" s="7">
        <f t="shared" si="6"/>
        <v>4.1404488440995593E-6</v>
      </c>
      <c r="AI15" s="7">
        <f t="shared" si="6"/>
        <v>5.4206397290241495E-4</v>
      </c>
      <c r="AJ15" s="7">
        <f t="shared" si="6"/>
        <v>7.9054923488952036E-4</v>
      </c>
      <c r="AK15" s="7">
        <f t="shared" si="6"/>
        <v>2.9607405422707876E-3</v>
      </c>
      <c r="AL15" s="7">
        <f t="shared" si="6"/>
        <v>9.9372479680188038E-3</v>
      </c>
      <c r="AM15" s="7">
        <f t="shared" si="6"/>
        <v>6.4910418381203142E-4</v>
      </c>
      <c r="AN15" s="7">
        <f t="shared" si="6"/>
        <v>3.1526896347508428E-3</v>
      </c>
      <c r="AO15" s="7">
        <f t="shared" si="6"/>
        <v>4.5783229756529318E-3</v>
      </c>
      <c r="AP15" s="7">
        <f t="shared" si="6"/>
        <v>9.5514986292402257E-4</v>
      </c>
      <c r="AQ15" s="7">
        <f t="shared" si="6"/>
        <v>1.0923650811337983E-4</v>
      </c>
      <c r="AR15" s="7">
        <f t="shared" si="6"/>
        <v>1.0563164667923733E-3</v>
      </c>
      <c r="AS15" s="7">
        <f t="shared" si="6"/>
        <v>1.5151188576839408E-3</v>
      </c>
      <c r="AT15" s="7">
        <f t="shared" si="6"/>
        <v>1.9677657021547636E-2</v>
      </c>
      <c r="AU15" s="7">
        <f t="shared" si="6"/>
        <v>2.5855158135816288E-3</v>
      </c>
      <c r="AV15" s="7">
        <f t="shared" si="6"/>
        <v>1.6338245348061154E-2</v>
      </c>
      <c r="AW15" s="7">
        <f t="shared" si="6"/>
        <v>2.1608302637360914E-3</v>
      </c>
      <c r="AX15" s="7">
        <f t="shared" si="6"/>
        <v>2.6138748985644712E-2</v>
      </c>
      <c r="AY15" s="7">
        <f t="shared" si="6"/>
        <v>3.7948809946807063E-3</v>
      </c>
      <c r="AZ15" s="7">
        <f t="shared" si="6"/>
        <v>4.8683940311457586E-3</v>
      </c>
      <c r="BA15" s="7">
        <f t="shared" si="6"/>
        <v>8.7970058863424144E-5</v>
      </c>
      <c r="BB15" s="7">
        <f t="shared" si="6"/>
        <v>2.435384022378765E-2</v>
      </c>
      <c r="BC15" s="7">
        <f t="shared" si="6"/>
        <v>3.936736049193112E-3</v>
      </c>
      <c r="BD15" s="7">
        <f t="shared" si="6"/>
        <v>2.376649395190964E-4</v>
      </c>
      <c r="BE15" s="7">
        <f t="shared" si="6"/>
        <v>2.0820604248184982E-2</v>
      </c>
      <c r="BF15" s="7">
        <f t="shared" si="6"/>
        <v>4.3145661869509189E-2</v>
      </c>
      <c r="BG15" s="7">
        <f t="shared" si="6"/>
        <v>3.2663034532763847E-2</v>
      </c>
      <c r="BH15" s="7">
        <f t="shared" si="6"/>
        <v>5.4353464337775492E-3</v>
      </c>
      <c r="BI15" s="7">
        <f t="shared" si="6"/>
        <v>3.8768124844020596E-3</v>
      </c>
      <c r="BJ15" s="7">
        <f t="shared" si="6"/>
        <v>1.9438610178895154E-4</v>
      </c>
      <c r="BK15" s="7">
        <f t="shared" si="6"/>
        <v>2.1129429583325377E-5</v>
      </c>
      <c r="BL15" s="7">
        <f t="shared" si="6"/>
        <v>2.3920910173574735E-2</v>
      </c>
      <c r="BM15" s="7">
        <f t="shared" si="6"/>
        <v>2.9132825127745929E-2</v>
      </c>
      <c r="BN15" s="7">
        <f t="shared" si="6"/>
        <v>6.6922890830006234E-4</v>
      </c>
      <c r="BO15" s="7">
        <f t="shared" ref="BO15:DZ15" si="7">(BO5-BO11)^2</f>
        <v>8.3168599013039746E-4</v>
      </c>
      <c r="BP15" s="7">
        <f t="shared" si="7"/>
        <v>2.1403162596611543E-3</v>
      </c>
      <c r="BQ15" s="7">
        <f t="shared" si="7"/>
        <v>5.774657014534474E-4</v>
      </c>
      <c r="BR15" s="7">
        <f t="shared" si="7"/>
        <v>3.3939687301992531E-2</v>
      </c>
      <c r="BS15" s="7">
        <f t="shared" si="7"/>
        <v>1.2788384898096637E-2</v>
      </c>
      <c r="BT15" s="7">
        <f t="shared" si="7"/>
        <v>1.2479164126446875E-3</v>
      </c>
      <c r="BU15" s="7">
        <f t="shared" si="7"/>
        <v>2.4110648486338859E-3</v>
      </c>
      <c r="BV15" s="7">
        <f t="shared" si="7"/>
        <v>1.5252129602537818E-2</v>
      </c>
      <c r="BW15" s="7">
        <f t="shared" si="7"/>
        <v>2.152248840096144E-2</v>
      </c>
      <c r="BX15" s="7">
        <f t="shared" si="7"/>
        <v>8.2130938930655052E-6</v>
      </c>
      <c r="BY15" s="7">
        <f t="shared" si="7"/>
        <v>1.8105795794529107E-2</v>
      </c>
      <c r="BZ15" s="7">
        <f t="shared" si="7"/>
        <v>9.2018028752670865E-4</v>
      </c>
      <c r="CA15" s="7">
        <f t="shared" si="7"/>
        <v>7.9607957630029003E-4</v>
      </c>
      <c r="CB15" s="7">
        <f t="shared" si="7"/>
        <v>3.3874008345532937E-3</v>
      </c>
      <c r="CC15" s="7">
        <f t="shared" si="7"/>
        <v>2.2890411845555001E-3</v>
      </c>
      <c r="CD15" s="7">
        <f t="shared" si="7"/>
        <v>5.9071885840278459E-3</v>
      </c>
      <c r="CE15" s="7">
        <f t="shared" si="7"/>
        <v>7.0262074370944947E-3</v>
      </c>
      <c r="CF15" s="7">
        <f t="shared" si="7"/>
        <v>1.2464239991566077E-6</v>
      </c>
      <c r="CG15" s="7">
        <f t="shared" si="7"/>
        <v>1.3799186375289062E-2</v>
      </c>
      <c r="CH15" s="7">
        <f t="shared" si="7"/>
        <v>6.1526903071588534E-4</v>
      </c>
      <c r="CI15" s="7">
        <f t="shared" si="7"/>
        <v>4.7438113673342807E-3</v>
      </c>
      <c r="CJ15" s="7">
        <f t="shared" si="7"/>
        <v>5.6612035000661698E-2</v>
      </c>
      <c r="CK15" s="7">
        <f t="shared" si="7"/>
        <v>1.7975617261428788E-2</v>
      </c>
      <c r="CL15" s="7">
        <f t="shared" si="7"/>
        <v>1.7382733940297865E-2</v>
      </c>
      <c r="CM15" s="7">
        <f t="shared" si="7"/>
        <v>1.3877790570487415E-2</v>
      </c>
      <c r="CN15" s="7">
        <f t="shared" si="7"/>
        <v>4.8671296218745615E-2</v>
      </c>
      <c r="CO15" s="7">
        <f t="shared" si="7"/>
        <v>1.4801271417349085E-2</v>
      </c>
      <c r="CP15" s="7">
        <f t="shared" si="7"/>
        <v>6.6792360757934757E-4</v>
      </c>
      <c r="CQ15" s="7">
        <f t="shared" si="7"/>
        <v>4.6758338125014877E-2</v>
      </c>
      <c r="CR15" s="7">
        <f t="shared" si="7"/>
        <v>1.7629611659978825E-2</v>
      </c>
      <c r="CS15" s="7">
        <f t="shared" si="7"/>
        <v>8.9706984047041964E-3</v>
      </c>
      <c r="CT15" s="7">
        <f t="shared" si="7"/>
        <v>6.1942351292729625E-4</v>
      </c>
      <c r="CU15" s="7">
        <f t="shared" si="7"/>
        <v>8.0203931133498579E-2</v>
      </c>
      <c r="CV15" s="7">
        <f t="shared" si="7"/>
        <v>7.2106562465344665E-2</v>
      </c>
      <c r="CW15" s="7">
        <f t="shared" si="7"/>
        <v>1.1018731683034945E-2</v>
      </c>
      <c r="CX15" s="7">
        <f t="shared" si="7"/>
        <v>1.6671842624490969E-2</v>
      </c>
      <c r="CY15" s="7">
        <f t="shared" si="7"/>
        <v>7.5080455872947507E-3</v>
      </c>
      <c r="CZ15" s="7">
        <f t="shared" si="7"/>
        <v>2.2642905508848885E-3</v>
      </c>
      <c r="DA15" s="7">
        <f t="shared" si="7"/>
        <v>6.7667244806491958E-3</v>
      </c>
      <c r="DB15" s="7">
        <f t="shared" si="7"/>
        <v>2.1005570866122359E-2</v>
      </c>
      <c r="DC15" s="7">
        <f t="shared" si="7"/>
        <v>5.5949916095976481E-3</v>
      </c>
      <c r="DD15" s="7">
        <f t="shared" si="7"/>
        <v>3.0216446848658068E-2</v>
      </c>
      <c r="DE15" s="7">
        <f t="shared" si="7"/>
        <v>1.0562274257460825E-2</v>
      </c>
      <c r="DF15" s="7">
        <f t="shared" si="7"/>
        <v>4.3039402690599905E-3</v>
      </c>
      <c r="DG15" s="7">
        <f t="shared" si="7"/>
        <v>4.8223378571655512E-2</v>
      </c>
      <c r="DH15" s="7">
        <f t="shared" si="7"/>
        <v>5.8773693966677077E-3</v>
      </c>
      <c r="DI15" s="7">
        <f t="shared" si="7"/>
        <v>5.5908054671486469E-3</v>
      </c>
      <c r="DJ15" s="7">
        <f t="shared" si="7"/>
        <v>1.4534920469182819E-2</v>
      </c>
      <c r="DK15" s="7">
        <f t="shared" si="7"/>
        <v>1.5792128908244004E-5</v>
      </c>
      <c r="DL15" s="7">
        <f t="shared" si="7"/>
        <v>4.4166833407060201E-3</v>
      </c>
      <c r="DM15" s="7">
        <f t="shared" si="7"/>
        <v>3.0300033946846971E-4</v>
      </c>
      <c r="DN15" s="7">
        <f t="shared" si="7"/>
        <v>1.3460242828675223E-3</v>
      </c>
      <c r="DO15" s="7">
        <f t="shared" si="7"/>
        <v>1.0100799449732563E-2</v>
      </c>
      <c r="DP15" s="7">
        <f t="shared" si="7"/>
        <v>5.4383301566762111E-2</v>
      </c>
      <c r="DQ15" s="7">
        <f t="shared" si="7"/>
        <v>6.192573299961119E-2</v>
      </c>
      <c r="DR15" s="7">
        <f t="shared" si="7"/>
        <v>5.5051415422837567E-5</v>
      </c>
      <c r="DS15" s="7">
        <f t="shared" si="7"/>
        <v>1.8117402846172841E-2</v>
      </c>
      <c r="DT15" s="7">
        <f t="shared" si="7"/>
        <v>1.3195317902847772E-2</v>
      </c>
      <c r="DU15" s="7">
        <f t="shared" si="7"/>
        <v>9.3530108341017843E-3</v>
      </c>
      <c r="DV15" s="7">
        <f t="shared" si="7"/>
        <v>3.768525240520397E-3</v>
      </c>
      <c r="DW15" s="7">
        <f t="shared" si="7"/>
        <v>8.7135751244992257E-4</v>
      </c>
      <c r="DX15" s="7">
        <f t="shared" si="7"/>
        <v>2.9148659335190416E-3</v>
      </c>
      <c r="DY15" s="7">
        <f t="shared" si="7"/>
        <v>4.2781032468901482E-3</v>
      </c>
      <c r="DZ15" s="7">
        <f t="shared" si="7"/>
        <v>1.2602203824954987E-4</v>
      </c>
      <c r="EA15" s="7">
        <f t="shared" ref="EA15:EG15" si="8">(EA5-EA11)^2</f>
        <v>8.9644207206630799E-2</v>
      </c>
      <c r="EB15" s="7">
        <f t="shared" si="8"/>
        <v>1.5343091243110136E-2</v>
      </c>
      <c r="EC15" s="7">
        <f t="shared" si="8"/>
        <v>7.5284157412192242E-5</v>
      </c>
      <c r="ED15" s="7">
        <f t="shared" si="8"/>
        <v>4.5498816419546955E-3</v>
      </c>
      <c r="EE15" s="7">
        <f t="shared" si="8"/>
        <v>1.7540690875588103E-2</v>
      </c>
      <c r="EF15" s="7">
        <f t="shared" si="8"/>
        <v>6.8703278408362564E-3</v>
      </c>
      <c r="EG15" s="7">
        <f t="shared" si="8"/>
        <v>0</v>
      </c>
    </row>
    <row r="17" spans="1:137" x14ac:dyDescent="0.3">
      <c r="A17" t="s">
        <v>154</v>
      </c>
      <c r="B17" s="1" t="s">
        <v>136</v>
      </c>
      <c r="C17" s="7">
        <f>C9^2</f>
        <v>1.1904082139988901E-2</v>
      </c>
      <c r="D17" s="7">
        <f t="shared" ref="D17:BO17" si="9">D9^2</f>
        <v>2.1247668449640001E-4</v>
      </c>
      <c r="E17" s="7">
        <f t="shared" si="9"/>
        <v>1.3071406393600003E-3</v>
      </c>
      <c r="F17" s="7">
        <f t="shared" si="9"/>
        <v>2.2492254759999996E-5</v>
      </c>
      <c r="G17" s="7">
        <f>G9^2</f>
        <v>3.3037204839999999E-5</v>
      </c>
      <c r="H17" s="7">
        <f t="shared" si="9"/>
        <v>2.4381888591204002E-3</v>
      </c>
      <c r="I17" s="7">
        <f t="shared" si="9"/>
        <v>3.3581211208132906E-2</v>
      </c>
      <c r="J17" s="7">
        <f t="shared" si="9"/>
        <v>1.3569060417416099E-2</v>
      </c>
      <c r="K17" s="7">
        <f t="shared" si="9"/>
        <v>9.3604790601000006E-4</v>
      </c>
      <c r="L17" s="7">
        <f t="shared" si="9"/>
        <v>3.9315156680250001E-4</v>
      </c>
      <c r="M17" s="7">
        <f t="shared" si="9"/>
        <v>4.4095800100000003E-4</v>
      </c>
      <c r="N17" s="7">
        <f t="shared" si="9"/>
        <v>2.2433874655536399E-2</v>
      </c>
      <c r="O17" s="7">
        <f t="shared" si="9"/>
        <v>2.3911704882810002E-4</v>
      </c>
      <c r="P17" s="7">
        <f t="shared" si="9"/>
        <v>8.425826339289998E-3</v>
      </c>
      <c r="Q17" s="7">
        <f t="shared" si="9"/>
        <v>5.9921532810000011E-3</v>
      </c>
      <c r="R17" s="7">
        <f t="shared" si="9"/>
        <v>3.0004759075600001E-3</v>
      </c>
      <c r="S17" s="7">
        <f t="shared" si="9"/>
        <v>1.5708711823360002E-2</v>
      </c>
      <c r="T17" s="7">
        <f t="shared" si="9"/>
        <v>1.4173712051560001E-2</v>
      </c>
      <c r="U17" s="7">
        <f t="shared" si="9"/>
        <v>1.4265804540100002E-3</v>
      </c>
      <c r="V17" s="7">
        <f t="shared" si="9"/>
        <v>6.5908126297924002E-3</v>
      </c>
      <c r="W17" s="7">
        <f t="shared" si="9"/>
        <v>7.0575070404609004E-3</v>
      </c>
      <c r="X17" s="7">
        <f t="shared" si="9"/>
        <v>2.1612339969049602E-2</v>
      </c>
      <c r="Y17" s="7">
        <f t="shared" si="9"/>
        <v>1.5715254960250002E-2</v>
      </c>
      <c r="Z17" s="7">
        <f t="shared" si="9"/>
        <v>3.6846165357602503E-2</v>
      </c>
      <c r="AA17" s="7">
        <f t="shared" si="9"/>
        <v>7.118431892639999E-3</v>
      </c>
      <c r="AB17" s="7">
        <f t="shared" si="9"/>
        <v>5.3140615437121006E-3</v>
      </c>
      <c r="AC17" s="7">
        <f t="shared" si="9"/>
        <v>1.05276957327936E-2</v>
      </c>
      <c r="AD17" s="7">
        <f t="shared" si="9"/>
        <v>2.4869826182889997E-4</v>
      </c>
      <c r="AE17" s="7">
        <f t="shared" si="9"/>
        <v>2.3106188851840001E-2</v>
      </c>
      <c r="AF17" s="7">
        <f t="shared" si="9"/>
        <v>3.5105921250624997E-3</v>
      </c>
      <c r="AG17" s="7">
        <f t="shared" si="9"/>
        <v>1.6915301862145602E-2</v>
      </c>
      <c r="AH17" s="7">
        <f t="shared" si="9"/>
        <v>1.3284037740959998E-2</v>
      </c>
      <c r="AI17" s="7">
        <f t="shared" si="9"/>
        <v>1.0631916678244002E-3</v>
      </c>
      <c r="AJ17" s="7">
        <f t="shared" si="9"/>
        <v>7.8395016079210007E-4</v>
      </c>
      <c r="AK17" s="7">
        <f t="shared" si="9"/>
        <v>2.1482888018976402E-2</v>
      </c>
      <c r="AL17" s="7">
        <f t="shared" si="9"/>
        <v>1.6680624292863997E-3</v>
      </c>
      <c r="AM17" s="7">
        <f t="shared" si="9"/>
        <v>1.7259750594376899E-2</v>
      </c>
      <c r="AN17" s="7">
        <f t="shared" si="9"/>
        <v>4.9032555774361608E-2</v>
      </c>
      <c r="AO17" s="7">
        <f t="shared" si="9"/>
        <v>4.3852548100000008E-4</v>
      </c>
      <c r="AP17" s="7">
        <f t="shared" si="9"/>
        <v>1.8812865600000003E-2</v>
      </c>
      <c r="AQ17" s="7">
        <f t="shared" si="9"/>
        <v>6.1915871240999999E-4</v>
      </c>
      <c r="AR17" s="7">
        <f t="shared" si="9"/>
        <v>2.4068326516090002E-4</v>
      </c>
      <c r="AS17" s="7">
        <f t="shared" si="9"/>
        <v>1.1815058788416E-3</v>
      </c>
      <c r="AT17" s="7">
        <f t="shared" si="9"/>
        <v>3.9810660965760997E-3</v>
      </c>
      <c r="AU17" s="7">
        <f t="shared" si="9"/>
        <v>1.8694987012899996E-3</v>
      </c>
      <c r="AV17" s="7">
        <f t="shared" si="9"/>
        <v>5.5101522841600001E-3</v>
      </c>
      <c r="AW17" s="7">
        <f t="shared" si="9"/>
        <v>7.8371050672889991E-4</v>
      </c>
      <c r="AX17" s="7">
        <f t="shared" si="9"/>
        <v>1.4367479181936401E-2</v>
      </c>
      <c r="AY17" s="7">
        <f t="shared" si="9"/>
        <v>5.861367758584899E-3</v>
      </c>
      <c r="AZ17" s="7">
        <f t="shared" si="9"/>
        <v>4.7221028416000004E-4</v>
      </c>
      <c r="BA17" s="7">
        <f t="shared" si="9"/>
        <v>1.5537622499999999E-6</v>
      </c>
      <c r="BB17" s="7">
        <f t="shared" si="9"/>
        <v>1.02001556574724E-2</v>
      </c>
      <c r="BC17" s="7">
        <f t="shared" si="9"/>
        <v>8.8964575322490009E-4</v>
      </c>
      <c r="BD17" s="7">
        <f t="shared" si="9"/>
        <v>7.5268985092899991E-5</v>
      </c>
      <c r="BE17" s="7">
        <f t="shared" si="9"/>
        <v>4.7000910429840989E-3</v>
      </c>
      <c r="BF17" s="7">
        <f t="shared" si="9"/>
        <v>2.4621564038760004E-2</v>
      </c>
      <c r="BG17" s="7">
        <f t="shared" si="9"/>
        <v>2.5345827645912897E-2</v>
      </c>
      <c r="BH17" s="7">
        <f t="shared" si="9"/>
        <v>3.7358585435889003E-3</v>
      </c>
      <c r="BI17" s="7">
        <f t="shared" si="9"/>
        <v>9.392100495122499E-3</v>
      </c>
      <c r="BJ17" s="7">
        <f t="shared" si="9"/>
        <v>2.9971464144400001E-3</v>
      </c>
      <c r="BK17" s="7">
        <f t="shared" si="9"/>
        <v>7.6550250490000004E-3</v>
      </c>
      <c r="BL17" s="7">
        <f t="shared" si="9"/>
        <v>8.9164111155625014E-3</v>
      </c>
      <c r="BM17" s="7">
        <f t="shared" si="9"/>
        <v>4.9244491920999998E-4</v>
      </c>
      <c r="BN17" s="7">
        <f t="shared" si="9"/>
        <v>2.4425345053210001E-4</v>
      </c>
      <c r="BO17" s="7">
        <f t="shared" si="9"/>
        <v>6.6289298046976006E-3</v>
      </c>
      <c r="BP17" s="7">
        <f t="shared" ref="BP17:EA17" si="10">BP9^2</f>
        <v>3.4257937920999991E-4</v>
      </c>
      <c r="BQ17" s="7">
        <f t="shared" si="10"/>
        <v>4.7237537923849006E-3</v>
      </c>
      <c r="BR17" s="7">
        <f t="shared" si="10"/>
        <v>9.6246375696000012E-6</v>
      </c>
      <c r="BS17" s="7">
        <f t="shared" si="10"/>
        <v>5.6196642659364004E-3</v>
      </c>
      <c r="BT17" s="7">
        <f t="shared" si="10"/>
        <v>2.0431837385280999E-3</v>
      </c>
      <c r="BU17" s="7">
        <f t="shared" si="10"/>
        <v>6.5932527592890006E-4</v>
      </c>
      <c r="BV17" s="7">
        <f t="shared" si="10"/>
        <v>8.4279799242408995E-3</v>
      </c>
      <c r="BW17" s="7">
        <f t="shared" si="10"/>
        <v>6.9453331599999993E-4</v>
      </c>
      <c r="BX17" s="7">
        <f t="shared" si="10"/>
        <v>3.7615943072889991E-4</v>
      </c>
      <c r="BY17" s="7">
        <f t="shared" si="10"/>
        <v>5.9042165532099998E-3</v>
      </c>
      <c r="BZ17" s="7">
        <f t="shared" si="10"/>
        <v>1.2838999732676099E-2</v>
      </c>
      <c r="CA17" s="7">
        <f t="shared" si="10"/>
        <v>1.1525074554010001E-2</v>
      </c>
      <c r="CB17" s="7">
        <f t="shared" si="10"/>
        <v>1.6682968701440999E-3</v>
      </c>
      <c r="CC17" s="7">
        <f t="shared" si="10"/>
        <v>3.9210732288999994E-4</v>
      </c>
      <c r="CD17" s="7">
        <f t="shared" si="10"/>
        <v>3.5485928036868099E-2</v>
      </c>
      <c r="CE17" s="7">
        <f t="shared" si="10"/>
        <v>3.0885706215080999E-3</v>
      </c>
      <c r="CF17" s="7">
        <f t="shared" si="10"/>
        <v>5.6058268660848995E-3</v>
      </c>
      <c r="CG17" s="7">
        <f t="shared" si="10"/>
        <v>1.0000038000036101E-2</v>
      </c>
      <c r="CH17" s="7">
        <f t="shared" si="10"/>
        <v>1.8501908311758405E-2</v>
      </c>
      <c r="CI17" s="7">
        <f t="shared" si="10"/>
        <v>8.7873750810000002E-3</v>
      </c>
      <c r="CJ17" s="7">
        <f t="shared" si="10"/>
        <v>1.5449616360000003E-5</v>
      </c>
      <c r="CK17" s="7">
        <f t="shared" si="10"/>
        <v>3.1931292005284002E-3</v>
      </c>
      <c r="CL17" s="7">
        <f t="shared" si="10"/>
        <v>6.9456378155808407E-2</v>
      </c>
      <c r="CM17" s="7">
        <f t="shared" si="10"/>
        <v>9.1305669160000001E-5</v>
      </c>
      <c r="CN17" s="7">
        <f t="shared" si="10"/>
        <v>9.9299984161000006E-4</v>
      </c>
      <c r="CO17" s="7">
        <f t="shared" si="10"/>
        <v>5.1161916100000006E-4</v>
      </c>
      <c r="CP17" s="7">
        <f t="shared" si="10"/>
        <v>1.7597510864472102E-2</v>
      </c>
      <c r="CQ17" s="7">
        <f t="shared" si="10"/>
        <v>1.7708364776928401E-2</v>
      </c>
      <c r="CR17" s="7">
        <f t="shared" si="10"/>
        <v>2.2369390096000001E-4</v>
      </c>
      <c r="CS17" s="7">
        <f t="shared" si="10"/>
        <v>1.1168897160100002E-3</v>
      </c>
      <c r="CT17" s="7">
        <f t="shared" si="10"/>
        <v>1.5082811906410001E-4</v>
      </c>
      <c r="CU17" s="7">
        <f t="shared" si="10"/>
        <v>1.36457395524004E-2</v>
      </c>
      <c r="CV17" s="7">
        <f t="shared" si="10"/>
        <v>9.9786492100000001E-6</v>
      </c>
      <c r="CW17" s="7">
        <f t="shared" si="10"/>
        <v>1.4605971794176002E-3</v>
      </c>
      <c r="CX17" s="7">
        <f t="shared" si="10"/>
        <v>1.93694273273281E-2</v>
      </c>
      <c r="CY17" s="7">
        <f t="shared" si="10"/>
        <v>5.6227317128999994E-4</v>
      </c>
      <c r="CZ17" s="7">
        <f t="shared" si="10"/>
        <v>4.7677993305468104E-2</v>
      </c>
      <c r="DA17" s="7">
        <f t="shared" si="10"/>
        <v>3.3602194627600003E-3</v>
      </c>
      <c r="DB17" s="7">
        <f t="shared" si="10"/>
        <v>1.9892845764000002E-4</v>
      </c>
      <c r="DC17" s="7">
        <f t="shared" si="10"/>
        <v>1.29859881689664E-2</v>
      </c>
      <c r="DD17" s="7">
        <f t="shared" si="10"/>
        <v>5.5461175095075999E-3</v>
      </c>
      <c r="DE17" s="7">
        <f t="shared" si="10"/>
        <v>8.0946009000000001E-7</v>
      </c>
      <c r="DF17" s="7">
        <f t="shared" si="10"/>
        <v>9.5466578489999995E-7</v>
      </c>
      <c r="DG17" s="7">
        <f t="shared" si="10"/>
        <v>5.326094996010001E-3</v>
      </c>
      <c r="DH17" s="7">
        <f t="shared" si="10"/>
        <v>5.6859833208999994E-4</v>
      </c>
      <c r="DI17" s="7">
        <f t="shared" si="10"/>
        <v>1.030848304249E-2</v>
      </c>
      <c r="DJ17" s="7">
        <f t="shared" si="10"/>
        <v>7.6687677165160014E-4</v>
      </c>
      <c r="DK17" s="7">
        <f t="shared" si="10"/>
        <v>2.4339619590400003E-3</v>
      </c>
      <c r="DL17" s="7">
        <f t="shared" si="10"/>
        <v>3.2483160360000005E-5</v>
      </c>
      <c r="DM17" s="7">
        <f t="shared" si="10"/>
        <v>1.3676535312400003E-3</v>
      </c>
      <c r="DN17" s="7">
        <f t="shared" si="10"/>
        <v>1.2058892772740099E-2</v>
      </c>
      <c r="DO17" s="7">
        <f t="shared" si="10"/>
        <v>1.7670950764488997E-3</v>
      </c>
      <c r="DP17" s="7">
        <f t="shared" si="10"/>
        <v>7.1515216748888992E-3</v>
      </c>
      <c r="DQ17" s="7">
        <f t="shared" si="10"/>
        <v>1.2161634288039999E-2</v>
      </c>
      <c r="DR17" s="7">
        <f t="shared" si="10"/>
        <v>8.8979055302640993E-3</v>
      </c>
      <c r="DS17" s="7">
        <f t="shared" si="10"/>
        <v>5.1706022676099991E-3</v>
      </c>
      <c r="DT17" s="7">
        <f t="shared" si="10"/>
        <v>9.2614446849600008E-3</v>
      </c>
      <c r="DU17" s="7">
        <f t="shared" si="10"/>
        <v>5.5016048025000004E-6</v>
      </c>
      <c r="DV17" s="7">
        <f t="shared" si="10"/>
        <v>1.7960668863456399E-2</v>
      </c>
      <c r="DW17" s="7">
        <f t="shared" si="10"/>
        <v>8.9742503455504004E-3</v>
      </c>
      <c r="DX17" s="7">
        <f t="shared" si="10"/>
        <v>1.0768877038239999E-2</v>
      </c>
      <c r="DY17" s="7">
        <f t="shared" si="10"/>
        <v>5.7399033726224999E-3</v>
      </c>
      <c r="DZ17" s="7">
        <f t="shared" si="10"/>
        <v>1.0131298020900001E-3</v>
      </c>
      <c r="EA17" s="7">
        <f t="shared" si="10"/>
        <v>2.6020277316320398E-2</v>
      </c>
      <c r="EB17" s="7">
        <f t="shared" ref="EB17:EG17" si="11">EB9^2</f>
        <v>1.0411202446090002E-4</v>
      </c>
      <c r="EC17" s="7">
        <f t="shared" si="11"/>
        <v>5.4742877738648988E-3</v>
      </c>
      <c r="ED17" s="7">
        <f t="shared" si="11"/>
        <v>2.4767488653609997E-2</v>
      </c>
      <c r="EE17" s="7">
        <f t="shared" si="11"/>
        <v>6.2627518200025004E-3</v>
      </c>
      <c r="EF17" s="7">
        <f t="shared" si="11"/>
        <v>5.2603905651024997E-3</v>
      </c>
      <c r="EG17" s="7">
        <f t="shared" si="11"/>
        <v>2.0252323028349079E-2</v>
      </c>
    </row>
    <row r="18" spans="1:137" x14ac:dyDescent="0.3">
      <c r="B18" s="1" t="s">
        <v>137</v>
      </c>
      <c r="C18" s="7">
        <f t="shared" ref="C18:BN18" si="12">C10^2</f>
        <v>6.1300164367690001E-2</v>
      </c>
      <c r="D18" s="7">
        <f t="shared" si="12"/>
        <v>7.5456409064889984E-2</v>
      </c>
      <c r="E18" s="7">
        <f t="shared" si="12"/>
        <v>7.1653516225599996E-3</v>
      </c>
      <c r="F18" s="7">
        <f t="shared" si="12"/>
        <v>5.127792678369E-4</v>
      </c>
      <c r="G18" s="7">
        <f t="shared" si="12"/>
        <v>2.4681024000000004E-3</v>
      </c>
      <c r="H18" s="7">
        <f t="shared" si="12"/>
        <v>1.015249699216E-2</v>
      </c>
      <c r="I18" s="7">
        <f t="shared" si="12"/>
        <v>1.5681801528999998E-4</v>
      </c>
      <c r="J18" s="7">
        <f t="shared" si="12"/>
        <v>6.1994427311715993E-3</v>
      </c>
      <c r="K18" s="7">
        <f t="shared" si="12"/>
        <v>1.1686210620100001E-3</v>
      </c>
      <c r="L18" s="7">
        <f t="shared" si="12"/>
        <v>7.8157605181040993E-3</v>
      </c>
      <c r="M18" s="7">
        <f t="shared" si="12"/>
        <v>9.385032249999999E-6</v>
      </c>
      <c r="N18" s="7">
        <f t="shared" si="12"/>
        <v>4.5036479523999993E-2</v>
      </c>
      <c r="O18" s="7">
        <f t="shared" si="12"/>
        <v>1.3546374691600002E-3</v>
      </c>
      <c r="P18" s="7">
        <f t="shared" si="12"/>
        <v>5.0457041369344011E-3</v>
      </c>
      <c r="Q18" s="7">
        <f t="shared" si="12"/>
        <v>5.0781443732099991E-3</v>
      </c>
      <c r="R18" s="7">
        <f t="shared" si="12"/>
        <v>4.6485300420249994E-4</v>
      </c>
      <c r="S18" s="7">
        <f t="shared" si="12"/>
        <v>1.0223486898787599E-2</v>
      </c>
      <c r="T18" s="7">
        <f t="shared" si="12"/>
        <v>1.8683772835729002E-3</v>
      </c>
      <c r="U18" s="7">
        <f t="shared" si="12"/>
        <v>2.214724358025E-4</v>
      </c>
      <c r="V18" s="7">
        <f t="shared" si="12"/>
        <v>4.0018529040399998E-5</v>
      </c>
      <c r="W18" s="7">
        <f t="shared" si="12"/>
        <v>2.0607463808999995E-2</v>
      </c>
      <c r="X18" s="7">
        <f t="shared" si="12"/>
        <v>4.1322012368399993E-3</v>
      </c>
      <c r="Y18" s="7">
        <f t="shared" si="12"/>
        <v>3.6230076964000003E-4</v>
      </c>
      <c r="Z18" s="7">
        <f t="shared" si="12"/>
        <v>4.2619950915999996E-4</v>
      </c>
      <c r="AA18" s="7">
        <f t="shared" si="12"/>
        <v>1.0929325238208999E-3</v>
      </c>
      <c r="AB18" s="7">
        <f t="shared" si="12"/>
        <v>3.7706649124000002E-4</v>
      </c>
      <c r="AC18" s="7">
        <f t="shared" si="12"/>
        <v>3.9849928782399995E-3</v>
      </c>
      <c r="AD18" s="7">
        <f t="shared" si="12"/>
        <v>4.3072575220899998E-3</v>
      </c>
      <c r="AE18" s="7">
        <f t="shared" si="12"/>
        <v>1.9042807698662404E-2</v>
      </c>
      <c r="AF18" s="7">
        <f t="shared" si="12"/>
        <v>1.011390251041E-2</v>
      </c>
      <c r="AG18" s="7">
        <f t="shared" si="12"/>
        <v>1.4416525548099999E-3</v>
      </c>
      <c r="AH18" s="7">
        <f t="shared" si="12"/>
        <v>2.10125976025E-3</v>
      </c>
      <c r="AI18" s="7">
        <f t="shared" si="12"/>
        <v>2.6044793628099997E-3</v>
      </c>
      <c r="AJ18" s="7">
        <f t="shared" si="12"/>
        <v>1.0370976159999999E-5</v>
      </c>
      <c r="AK18" s="7">
        <f t="shared" si="12"/>
        <v>2.3962983040000003E-7</v>
      </c>
      <c r="AL18" s="7">
        <f t="shared" si="12"/>
        <v>1.1330899940890002E-2</v>
      </c>
      <c r="AM18" s="7">
        <f t="shared" si="12"/>
        <v>1.8834817599999999E-4</v>
      </c>
      <c r="AN18" s="7">
        <f t="shared" si="12"/>
        <v>1.487538804609E-2</v>
      </c>
      <c r="AO18" s="7">
        <f t="shared" si="12"/>
        <v>2.36095894609E-3</v>
      </c>
      <c r="AP18" s="7">
        <f t="shared" si="12"/>
        <v>3.6221702400000003E-6</v>
      </c>
      <c r="AQ18" s="7">
        <f t="shared" si="12"/>
        <v>8.4491897490010005E-4</v>
      </c>
      <c r="AR18" s="7">
        <f t="shared" si="12"/>
        <v>2.7705242834928996E-3</v>
      </c>
      <c r="AS18" s="7">
        <f t="shared" si="12"/>
        <v>1.6623718489E-4</v>
      </c>
      <c r="AT18" s="7">
        <f t="shared" si="12"/>
        <v>4.5415872099999998E-6</v>
      </c>
      <c r="AU18" s="7">
        <f t="shared" si="12"/>
        <v>2.4144311763360002E-2</v>
      </c>
      <c r="AV18" s="7">
        <f t="shared" si="12"/>
        <v>1.608275439684E-4</v>
      </c>
      <c r="AW18" s="7">
        <f t="shared" si="12"/>
        <v>1.4261852928999999E-4</v>
      </c>
      <c r="AX18" s="7">
        <f t="shared" si="12"/>
        <v>1.8094814440000002E-5</v>
      </c>
      <c r="AY18" s="7">
        <f t="shared" si="12"/>
        <v>8.5854098275690003E-4</v>
      </c>
      <c r="AZ18" s="7">
        <f t="shared" si="12"/>
        <v>1.7990186256250002E-2</v>
      </c>
      <c r="BA18" s="7">
        <f t="shared" si="12"/>
        <v>1.8799563432249998E-2</v>
      </c>
      <c r="BB18" s="7">
        <f t="shared" si="12"/>
        <v>3.0788317155999996E-6</v>
      </c>
      <c r="BC18" s="7">
        <f t="shared" si="12"/>
        <v>6.3086971709439997E-4</v>
      </c>
      <c r="BD18" s="7">
        <f t="shared" si="12"/>
        <v>1.4304614483609999E-2</v>
      </c>
      <c r="BE18" s="7">
        <f t="shared" si="12"/>
        <v>1.8431225610722503E-2</v>
      </c>
      <c r="BF18" s="7">
        <f t="shared" si="12"/>
        <v>2.2175782919689E-3</v>
      </c>
      <c r="BG18" s="7">
        <f t="shared" si="12"/>
        <v>6.7860771001000003E-4</v>
      </c>
      <c r="BH18" s="7">
        <f t="shared" si="12"/>
        <v>1.9143040076176E-3</v>
      </c>
      <c r="BI18" s="7">
        <f t="shared" si="12"/>
        <v>6.6246251072400002E-3</v>
      </c>
      <c r="BJ18" s="7">
        <f t="shared" si="12"/>
        <v>1.0120520960640001E-2</v>
      </c>
      <c r="BK18" s="7">
        <f t="shared" si="12"/>
        <v>8.1884527686049008E-3</v>
      </c>
      <c r="BL18" s="7">
        <f t="shared" si="12"/>
        <v>9.5471730224999988E-4</v>
      </c>
      <c r="BM18" s="7">
        <f t="shared" si="12"/>
        <v>3.4591065927889E-3</v>
      </c>
      <c r="BN18" s="7">
        <f t="shared" si="12"/>
        <v>6.6171115200969006E-3</v>
      </c>
      <c r="BO18" s="7">
        <f t="shared" ref="BO18:DZ18" si="13">BO10^2</f>
        <v>5.9542828960000002E-5</v>
      </c>
      <c r="BP18" s="7">
        <f t="shared" si="13"/>
        <v>1.1392332473916899E-2</v>
      </c>
      <c r="BQ18" s="7">
        <f t="shared" si="13"/>
        <v>7.3746462969000008E-4</v>
      </c>
      <c r="BR18" s="7">
        <f t="shared" si="13"/>
        <v>2.9627337609999999E-3</v>
      </c>
      <c r="BS18" s="7">
        <f t="shared" si="13"/>
        <v>4.6552373784900011E-3</v>
      </c>
      <c r="BT18" s="7">
        <f t="shared" si="13"/>
        <v>9.7243699333284007E-3</v>
      </c>
      <c r="BU18" s="7">
        <f t="shared" si="13"/>
        <v>1.6486185074131601E-2</v>
      </c>
      <c r="BV18" s="7">
        <f t="shared" si="13"/>
        <v>6.1469520062500003E-3</v>
      </c>
      <c r="BW18" s="7">
        <f t="shared" si="13"/>
        <v>1.4192838475689999E-2</v>
      </c>
      <c r="BX18" s="7">
        <f t="shared" si="13"/>
        <v>2.1986814780099997E-3</v>
      </c>
      <c r="BY18" s="7">
        <f t="shared" si="13"/>
        <v>1.0342554392722501E-2</v>
      </c>
      <c r="BZ18" s="7">
        <f t="shared" si="13"/>
        <v>6.5946753601000001E-4</v>
      </c>
      <c r="CA18" s="7">
        <f t="shared" si="13"/>
        <v>6.9391898832399995E-3</v>
      </c>
      <c r="CB18" s="7">
        <f t="shared" si="13"/>
        <v>2.4909551321760003E-2</v>
      </c>
      <c r="CC18" s="7">
        <f t="shared" si="13"/>
        <v>5.048471966759999E-3</v>
      </c>
      <c r="CD18" s="7">
        <f t="shared" si="13"/>
        <v>5.4575895002499999E-3</v>
      </c>
      <c r="CE18" s="7">
        <f t="shared" si="13"/>
        <v>5.6067846582250003E-2</v>
      </c>
      <c r="CF18" s="7">
        <f t="shared" si="13"/>
        <v>1.0645674598440999E-3</v>
      </c>
      <c r="CG18" s="7">
        <f t="shared" si="13"/>
        <v>1.801793451481E-4</v>
      </c>
      <c r="CH18" s="7">
        <f t="shared" si="13"/>
        <v>7.8215308899999996E-6</v>
      </c>
      <c r="CI18" s="7">
        <f t="shared" si="13"/>
        <v>2.2968727204900003E-3</v>
      </c>
      <c r="CJ18" s="7">
        <f t="shared" si="13"/>
        <v>1.0575504000000002E-5</v>
      </c>
      <c r="CK18" s="7">
        <f t="shared" si="13"/>
        <v>5.7317315472400002E-3</v>
      </c>
      <c r="CL18" s="7">
        <f t="shared" si="13"/>
        <v>1.9711202472899999E-3</v>
      </c>
      <c r="CM18" s="7">
        <f t="shared" si="13"/>
        <v>3.20369153501881E-2</v>
      </c>
      <c r="CN18" s="7">
        <f t="shared" si="13"/>
        <v>3.3633353528328999E-3</v>
      </c>
      <c r="CO18" s="7">
        <f t="shared" si="13"/>
        <v>1.9429627856039997E-2</v>
      </c>
      <c r="CP18" s="7">
        <f t="shared" si="13"/>
        <v>4.1879885132089E-3</v>
      </c>
      <c r="CQ18" s="7">
        <f t="shared" si="13"/>
        <v>3.2829055106410002E-2</v>
      </c>
      <c r="CR18" s="7">
        <f t="shared" si="13"/>
        <v>7.8558973222500016E-3</v>
      </c>
      <c r="CS18" s="7">
        <f t="shared" si="13"/>
        <v>6.4119355523999989E-4</v>
      </c>
      <c r="CT18" s="7">
        <f t="shared" si="13"/>
        <v>1.2786882856810001E-2</v>
      </c>
      <c r="CU18" s="7">
        <f t="shared" si="13"/>
        <v>6.5544568321599994E-5</v>
      </c>
      <c r="CV18" s="7">
        <f t="shared" si="13"/>
        <v>2.0430580800400002E-3</v>
      </c>
      <c r="CW18" s="7">
        <f t="shared" si="13"/>
        <v>3.4740650574399999E-3</v>
      </c>
      <c r="CX18" s="7">
        <f t="shared" si="13"/>
        <v>1.160538662089E-2</v>
      </c>
      <c r="CY18" s="7">
        <f t="shared" si="13"/>
        <v>9.3129255122500008E-3</v>
      </c>
      <c r="CZ18" s="7">
        <f t="shared" si="13"/>
        <v>4.424893152849E-2</v>
      </c>
      <c r="DA18" s="7">
        <f t="shared" si="13"/>
        <v>1.2091443513210001E-2</v>
      </c>
      <c r="DB18" s="7">
        <f t="shared" si="13"/>
        <v>3.6412463220250005E-2</v>
      </c>
      <c r="DC18" s="7">
        <f t="shared" si="13"/>
        <v>4.2962096529000003E-4</v>
      </c>
      <c r="DD18" s="7">
        <f t="shared" si="13"/>
        <v>7.5740625062281006E-3</v>
      </c>
      <c r="DE18" s="7">
        <f t="shared" si="13"/>
        <v>6.7280333646680991E-3</v>
      </c>
      <c r="DF18" s="7">
        <f t="shared" si="13"/>
        <v>2.7847833002889996E-2</v>
      </c>
      <c r="DG18" s="7">
        <f t="shared" si="13"/>
        <v>4.9478703882848099E-2</v>
      </c>
      <c r="DH18" s="7">
        <f t="shared" si="13"/>
        <v>2.082185508484E-2</v>
      </c>
      <c r="DI18" s="7">
        <f t="shared" si="13"/>
        <v>1.430892047601E-2</v>
      </c>
      <c r="DJ18" s="7">
        <f t="shared" si="13"/>
        <v>1.0321097011839999E-2</v>
      </c>
      <c r="DK18" s="7">
        <f t="shared" si="13"/>
        <v>8.6220621676036009E-3</v>
      </c>
      <c r="DL18" s="7">
        <f t="shared" si="13"/>
        <v>1.8173595302500001E-3</v>
      </c>
      <c r="DM18" s="7">
        <f t="shared" si="13"/>
        <v>6.8445954064849006E-3</v>
      </c>
      <c r="DN18" s="7">
        <f t="shared" si="13"/>
        <v>9.6407145025000009E-4</v>
      </c>
      <c r="DO18" s="7">
        <f t="shared" si="13"/>
        <v>9.6318521639999991E-3</v>
      </c>
      <c r="DP18" s="7">
        <f t="shared" si="13"/>
        <v>1.7053460803210001E-2</v>
      </c>
      <c r="DQ18" s="7">
        <f t="shared" si="13"/>
        <v>2.3673790887184E-3</v>
      </c>
      <c r="DR18" s="7">
        <f t="shared" si="13"/>
        <v>1.5407116536099998E-3</v>
      </c>
      <c r="DS18" s="7">
        <f t="shared" si="13"/>
        <v>2.5930725312040003E-2</v>
      </c>
      <c r="DT18" s="7">
        <f t="shared" si="13"/>
        <v>6.2226854559999994E-3</v>
      </c>
      <c r="DU18" s="7">
        <f t="shared" si="13"/>
        <v>2.6921311152122502E-2</v>
      </c>
      <c r="DV18" s="7">
        <f t="shared" si="13"/>
        <v>5.6328927667599998E-5</v>
      </c>
      <c r="DW18" s="7">
        <f t="shared" si="13"/>
        <v>1.0331746683040001E-2</v>
      </c>
      <c r="DX18" s="7">
        <f t="shared" si="13"/>
        <v>3.14051522409E-3</v>
      </c>
      <c r="DY18" s="7">
        <f t="shared" si="13"/>
        <v>1.1375651654889999E-2</v>
      </c>
      <c r="DZ18" s="7">
        <f t="shared" si="13"/>
        <v>4.7867856195600005E-3</v>
      </c>
      <c r="EA18" s="7">
        <f t="shared" ref="EA18:EG18" si="14">EA10^2</f>
        <v>1.5923588007689997E-2</v>
      </c>
      <c r="EB18" s="7">
        <f t="shared" si="14"/>
        <v>4.1908921164100004E-3</v>
      </c>
      <c r="EC18" s="7">
        <f t="shared" si="14"/>
        <v>2.6446427326880999E-3</v>
      </c>
      <c r="ED18" s="7">
        <f t="shared" si="14"/>
        <v>1.1900243806929002E-3</v>
      </c>
      <c r="EE18" s="7">
        <f t="shared" si="14"/>
        <v>2.486222554176E-2</v>
      </c>
      <c r="EF18" s="7">
        <f t="shared" si="14"/>
        <v>1.6174752399999996E-2</v>
      </c>
      <c r="EG18" s="7">
        <f t="shared" si="14"/>
        <v>2.526811904387603E-2</v>
      </c>
    </row>
    <row r="19" spans="1:137" x14ac:dyDescent="0.3">
      <c r="B19" s="1" t="s">
        <v>138</v>
      </c>
      <c r="C19" s="7">
        <f t="shared" ref="C19:BN19" si="15">C11^2</f>
        <v>2.9419775999999995E-3</v>
      </c>
      <c r="D19" s="7">
        <f t="shared" si="15"/>
        <v>2.0590721290000003E-3</v>
      </c>
      <c r="E19" s="7">
        <f t="shared" si="15"/>
        <v>3.1506249999999997E-4</v>
      </c>
      <c r="F19" s="7">
        <f t="shared" si="15"/>
        <v>7.6895361000000008E-3</v>
      </c>
      <c r="G19" s="7">
        <f t="shared" si="15"/>
        <v>1.0559412081000001E-2</v>
      </c>
      <c r="H19" s="7">
        <f t="shared" si="15"/>
        <v>6.3051210000000008E-6</v>
      </c>
      <c r="I19" s="7">
        <f t="shared" si="15"/>
        <v>3.3489000000000001E-4</v>
      </c>
      <c r="J19" s="7">
        <f t="shared" si="15"/>
        <v>4.8889632099999997E-4</v>
      </c>
      <c r="K19" s="7">
        <f t="shared" si="15"/>
        <v>5.9687985639999986E-3</v>
      </c>
      <c r="L19" s="7">
        <f t="shared" si="15"/>
        <v>8.7310336000000002E-5</v>
      </c>
      <c r="M19" s="7">
        <f t="shared" si="15"/>
        <v>2.8731744039999997E-3</v>
      </c>
      <c r="N19" s="7">
        <f t="shared" si="15"/>
        <v>4.6076943999999991E-3</v>
      </c>
      <c r="O19" s="7">
        <f t="shared" si="15"/>
        <v>4.2159049000000002E-3</v>
      </c>
      <c r="P19" s="7">
        <f t="shared" si="15"/>
        <v>2.3824160999999998E-5</v>
      </c>
      <c r="Q19" s="7">
        <f t="shared" si="15"/>
        <v>3.6856320399999997E-4</v>
      </c>
      <c r="R19" s="7">
        <f t="shared" si="15"/>
        <v>2.99209E-5</v>
      </c>
      <c r="S19" s="7">
        <f t="shared" si="15"/>
        <v>1.3359756010000001E-3</v>
      </c>
      <c r="T19" s="7">
        <f t="shared" si="15"/>
        <v>1.6688764225E-2</v>
      </c>
      <c r="U19" s="7">
        <f t="shared" si="15"/>
        <v>1.8747086399999998E-4</v>
      </c>
      <c r="V19" s="7">
        <f t="shared" si="15"/>
        <v>2.3393702499999999E-4</v>
      </c>
      <c r="W19" s="7">
        <f t="shared" si="15"/>
        <v>1.0959996100000001E-2</v>
      </c>
      <c r="X19" s="7">
        <f t="shared" si="15"/>
        <v>8.6347822500000004E-2</v>
      </c>
      <c r="Y19" s="7">
        <f t="shared" si="15"/>
        <v>3.5060609440000002E-3</v>
      </c>
      <c r="Z19" s="7">
        <f t="shared" si="15"/>
        <v>3.4206502499999999E-2</v>
      </c>
      <c r="AA19" s="7">
        <f t="shared" si="15"/>
        <v>9.6524730090000004E-3</v>
      </c>
      <c r="AB19" s="7">
        <f t="shared" si="15"/>
        <v>4.3560000000000001E-7</v>
      </c>
      <c r="AC19" s="7">
        <f t="shared" si="15"/>
        <v>1.0751616100000002E-2</v>
      </c>
      <c r="AD19" s="7">
        <f t="shared" si="15"/>
        <v>1.2567025E-5</v>
      </c>
      <c r="AE19" s="7">
        <f t="shared" si="15"/>
        <v>3.0835711201000003E-2</v>
      </c>
      <c r="AF19" s="7">
        <f t="shared" si="15"/>
        <v>2.40343009E-2</v>
      </c>
      <c r="AG19" s="7">
        <f t="shared" si="15"/>
        <v>6.9326890000000001E-4</v>
      </c>
      <c r="AH19" s="7">
        <f t="shared" si="15"/>
        <v>2.5000000000000001E-5</v>
      </c>
      <c r="AI19" s="7">
        <f t="shared" si="15"/>
        <v>7.8781262399999993E-4</v>
      </c>
      <c r="AJ19" s="7">
        <f t="shared" si="15"/>
        <v>5.0086439999999998E-4</v>
      </c>
      <c r="AK19" s="7">
        <f t="shared" si="15"/>
        <v>2.2108803999999998E-3</v>
      </c>
      <c r="AL19" s="7">
        <f t="shared" si="15"/>
        <v>1.0314433599999999E-2</v>
      </c>
      <c r="AM19" s="7">
        <f t="shared" si="15"/>
        <v>5.5342562500000007E-4</v>
      </c>
      <c r="AN19" s="7">
        <f t="shared" si="15"/>
        <v>2.7588756250000001E-3</v>
      </c>
      <c r="AO19" s="7">
        <f t="shared" si="15"/>
        <v>3.4226010089999999E-3</v>
      </c>
      <c r="AP19" s="7">
        <f t="shared" si="15"/>
        <v>1.1187018089999997E-3</v>
      </c>
      <c r="AQ19" s="7">
        <f t="shared" si="15"/>
        <v>2.0449000000000002E-4</v>
      </c>
      <c r="AR19" s="7">
        <f t="shared" si="15"/>
        <v>1.2890972159999999E-3</v>
      </c>
      <c r="AS19" s="7">
        <f t="shared" si="15"/>
        <v>1.5826075239999998E-3</v>
      </c>
      <c r="AT19" s="7">
        <f t="shared" si="15"/>
        <v>2.2039183936E-2</v>
      </c>
      <c r="AU19" s="7">
        <f t="shared" si="15"/>
        <v>1.6638241E-3</v>
      </c>
      <c r="AV19" s="7">
        <f t="shared" si="15"/>
        <v>1.9309603681000001E-2</v>
      </c>
      <c r="AW19" s="7">
        <f t="shared" si="15"/>
        <v>3.583578769E-3</v>
      </c>
      <c r="AX19" s="7">
        <f t="shared" si="15"/>
        <v>2.2437044100000001E-2</v>
      </c>
      <c r="AY19" s="7">
        <f t="shared" si="15"/>
        <v>3.7940672159999999E-3</v>
      </c>
      <c r="AZ19" s="7">
        <f t="shared" si="15"/>
        <v>3.8378024999999997E-3</v>
      </c>
      <c r="BA19" s="7">
        <f t="shared" si="15"/>
        <v>5.7121000000000008E-6</v>
      </c>
      <c r="BB19" s="7">
        <f t="shared" si="15"/>
        <v>2.21622769E-2</v>
      </c>
      <c r="BC19" s="7">
        <f t="shared" si="15"/>
        <v>3.6422432010000004E-3</v>
      </c>
      <c r="BD19" s="7">
        <f t="shared" si="15"/>
        <v>2.1579609999999999E-4</v>
      </c>
      <c r="BE19" s="7">
        <f t="shared" si="15"/>
        <v>2.1468110400000004E-2</v>
      </c>
      <c r="BF19" s="7">
        <f t="shared" si="15"/>
        <v>4.3580737600000002E-2</v>
      </c>
      <c r="BG19" s="7">
        <f t="shared" si="15"/>
        <v>4.05780736E-2</v>
      </c>
      <c r="BH19" s="7">
        <f t="shared" si="15"/>
        <v>1.39358025E-2</v>
      </c>
      <c r="BI19" s="7">
        <f t="shared" si="15"/>
        <v>5.9336209000000004E-3</v>
      </c>
      <c r="BJ19" s="7">
        <f t="shared" si="15"/>
        <v>1.3118884000000001E-3</v>
      </c>
      <c r="BK19" s="7">
        <f t="shared" si="15"/>
        <v>3.5758809999999997E-4</v>
      </c>
      <c r="BL19" s="7">
        <f t="shared" si="15"/>
        <v>2.9329987599999999E-2</v>
      </c>
      <c r="BM19" s="7">
        <f t="shared" si="15"/>
        <v>1.7666928889E-2</v>
      </c>
      <c r="BN19" s="7">
        <f t="shared" si="15"/>
        <v>1.2895280999999999E-3</v>
      </c>
      <c r="BO19" s="7">
        <f t="shared" ref="BO19:DZ19" si="16">BO11^2</f>
        <v>4.5560902499999995E-4</v>
      </c>
      <c r="BP19" s="7">
        <f t="shared" si="16"/>
        <v>2.4636332249999998E-3</v>
      </c>
      <c r="BQ19" s="7">
        <f t="shared" si="16"/>
        <v>2.9618409999999999E-4</v>
      </c>
      <c r="BR19" s="7">
        <f t="shared" si="16"/>
        <v>3.6034289928999999E-2</v>
      </c>
      <c r="BS19" s="7">
        <f t="shared" si="16"/>
        <v>9.5277121000000003E-3</v>
      </c>
      <c r="BT19" s="7">
        <f t="shared" si="16"/>
        <v>1.4311845609999998E-3</v>
      </c>
      <c r="BU19" s="7">
        <f t="shared" si="16"/>
        <v>3.1368960640000003E-3</v>
      </c>
      <c r="BV19" s="7">
        <f t="shared" si="16"/>
        <v>1.3628227599999999E-2</v>
      </c>
      <c r="BW19" s="7">
        <f t="shared" si="16"/>
        <v>1.9971342400000001E-2</v>
      </c>
      <c r="BX19" s="7">
        <f t="shared" si="16"/>
        <v>1.1424400000000002E-5</v>
      </c>
      <c r="BY19" s="7">
        <f t="shared" si="16"/>
        <v>1.6987472896000003E-2</v>
      </c>
      <c r="BZ19" s="7">
        <f t="shared" si="16"/>
        <v>1.0047632039999997E-3</v>
      </c>
      <c r="CA19" s="7">
        <f t="shared" si="16"/>
        <v>1.6447080250000001E-3</v>
      </c>
      <c r="CB19" s="7">
        <f t="shared" si="16"/>
        <v>1.7673616E-3</v>
      </c>
      <c r="CC19" s="7">
        <f t="shared" si="16"/>
        <v>2.5014001960000005E-3</v>
      </c>
      <c r="CD19" s="7">
        <f t="shared" si="16"/>
        <v>4.6867715999999986E-3</v>
      </c>
      <c r="CE19" s="7">
        <f t="shared" si="16"/>
        <v>6.5334888999999995E-3</v>
      </c>
      <c r="CF19" s="7">
        <f t="shared" si="16"/>
        <v>3.8024999999999996E-6</v>
      </c>
      <c r="CG19" s="7">
        <f t="shared" si="16"/>
        <v>1.3973604099999998E-2</v>
      </c>
      <c r="CH19" s="7">
        <f t="shared" si="16"/>
        <v>1.3483584000000002E-3</v>
      </c>
      <c r="CI19" s="7">
        <f t="shared" si="16"/>
        <v>6.9438889000000004E-3</v>
      </c>
      <c r="CJ19" s="7">
        <f t="shared" si="16"/>
        <v>5.3210032928999992E-2</v>
      </c>
      <c r="CK19" s="7">
        <f t="shared" si="16"/>
        <v>1.7630262841000003E-2</v>
      </c>
      <c r="CL19" s="7">
        <f t="shared" si="16"/>
        <v>1.9962016369E-2</v>
      </c>
      <c r="CM19" s="7">
        <f t="shared" si="16"/>
        <v>1.26990361E-2</v>
      </c>
      <c r="CN19" s="7">
        <f t="shared" si="16"/>
        <v>4.9947333120999998E-2</v>
      </c>
      <c r="CO19" s="7">
        <f t="shared" si="16"/>
        <v>1.09035364E-2</v>
      </c>
      <c r="CP19" s="7">
        <f t="shared" si="16"/>
        <v>2.082249E-4</v>
      </c>
      <c r="CQ19" s="7">
        <f t="shared" si="16"/>
        <v>4.2944272899999997E-2</v>
      </c>
      <c r="CR19" s="7">
        <f t="shared" si="16"/>
        <v>1.8187219600000002E-2</v>
      </c>
      <c r="CS19" s="7">
        <f t="shared" si="16"/>
        <v>5.3301680640000003E-3</v>
      </c>
      <c r="CT19" s="7">
        <f t="shared" si="16"/>
        <v>9.132484E-4</v>
      </c>
      <c r="CU19" s="7">
        <f t="shared" si="16"/>
        <v>8.2305872099999983E-2</v>
      </c>
      <c r="CV19" s="7">
        <f t="shared" si="16"/>
        <v>5.3236794360999998E-2</v>
      </c>
      <c r="CW19" s="7">
        <f t="shared" si="16"/>
        <v>8.2948377760000015E-3</v>
      </c>
      <c r="CX19" s="7">
        <f t="shared" si="16"/>
        <v>1.5003800100000001E-2</v>
      </c>
      <c r="CY19" s="7">
        <f t="shared" si="16"/>
        <v>6.1437379239999987E-3</v>
      </c>
      <c r="CZ19" s="7">
        <f t="shared" si="16"/>
        <v>2.1114024999999998E-3</v>
      </c>
      <c r="DA19" s="7">
        <f t="shared" si="16"/>
        <v>6.8343288999999988E-3</v>
      </c>
      <c r="DB19" s="7">
        <f t="shared" si="16"/>
        <v>2.2305123801000002E-2</v>
      </c>
      <c r="DC19" s="7">
        <f t="shared" si="16"/>
        <v>2.2848400000000002E-3</v>
      </c>
      <c r="DD19" s="7">
        <f t="shared" si="16"/>
        <v>2.7063540099999995E-2</v>
      </c>
      <c r="DE19" s="7">
        <f t="shared" si="16"/>
        <v>1.22257249E-2</v>
      </c>
      <c r="DF19" s="7">
        <f t="shared" si="16"/>
        <v>3.2967118890000003E-3</v>
      </c>
      <c r="DG19" s="7">
        <f t="shared" si="16"/>
        <v>4.6177712099999997E-2</v>
      </c>
      <c r="DH19" s="7">
        <f t="shared" si="16"/>
        <v>3.9686220089999993E-3</v>
      </c>
      <c r="DI19" s="7">
        <f t="shared" si="16"/>
        <v>4.5861338410000006E-3</v>
      </c>
      <c r="DJ19" s="7">
        <f t="shared" si="16"/>
        <v>1.4113915204E-2</v>
      </c>
      <c r="DK19" s="7">
        <f t="shared" si="16"/>
        <v>5.3042089000000008E-5</v>
      </c>
      <c r="DL19" s="7">
        <f t="shared" si="16"/>
        <v>5.086685040999999E-3</v>
      </c>
      <c r="DM19" s="7">
        <f t="shared" si="16"/>
        <v>4.4192448399999997E-4</v>
      </c>
      <c r="DN19" s="7">
        <f t="shared" si="16"/>
        <v>9.2416000000000004E-4</v>
      </c>
      <c r="DO19" s="7">
        <f t="shared" si="16"/>
        <v>9.3993024999999997E-3</v>
      </c>
      <c r="DP19" s="7">
        <f t="shared" si="16"/>
        <v>5.3213262399999996E-2</v>
      </c>
      <c r="DQ19" s="7">
        <f t="shared" si="16"/>
        <v>5.6731617856000005E-2</v>
      </c>
      <c r="DR19" s="7">
        <f t="shared" si="16"/>
        <v>1.2780625000000001E-5</v>
      </c>
      <c r="DS19" s="7">
        <f t="shared" si="16"/>
        <v>1.7944209935999999E-2</v>
      </c>
      <c r="DT19" s="7">
        <f t="shared" si="16"/>
        <v>1.3249391236E-2</v>
      </c>
      <c r="DU19" s="7">
        <f t="shared" si="16"/>
        <v>1.0832646400000001E-2</v>
      </c>
      <c r="DV19" s="7">
        <f t="shared" si="16"/>
        <v>2.9822520999999999E-3</v>
      </c>
      <c r="DW19" s="7">
        <f t="shared" si="16"/>
        <v>1.1082240999999999E-3</v>
      </c>
      <c r="DX19" s="7">
        <f t="shared" si="16"/>
        <v>3.0354590249999998E-3</v>
      </c>
      <c r="DY19" s="7">
        <f t="shared" si="16"/>
        <v>4.7326144359999996E-3</v>
      </c>
      <c r="DZ19" s="7">
        <f t="shared" si="16"/>
        <v>2.0969936100000003E-4</v>
      </c>
      <c r="EA19" s="7">
        <f t="shared" ref="EA19:EG19" si="17">EA11^2</f>
        <v>8.5931059600000012E-2</v>
      </c>
      <c r="EB19" s="7">
        <f t="shared" si="17"/>
        <v>1.98753604E-2</v>
      </c>
      <c r="EC19" s="7">
        <f t="shared" si="17"/>
        <v>1.4908410000000002E-4</v>
      </c>
      <c r="ED19" s="7">
        <f t="shared" si="17"/>
        <v>3.3835162239999996E-3</v>
      </c>
      <c r="EE19" s="7">
        <f t="shared" si="17"/>
        <v>2.0851359999999999E-2</v>
      </c>
      <c r="EF19" s="7">
        <f t="shared" si="17"/>
        <v>9.4109400999999992E-3</v>
      </c>
      <c r="EG19" s="7">
        <f t="shared" si="17"/>
        <v>0</v>
      </c>
    </row>
    <row r="21" spans="1:137" x14ac:dyDescent="0.3">
      <c r="A21" t="s">
        <v>155</v>
      </c>
      <c r="B21">
        <f>1-SUM(C13:EF15)/SUM(C17:EF19)</f>
        <v>3.509484856089895E-2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workbookViewId="0">
      <selection activeCell="EA19" sqref="EA19"/>
    </sheetView>
  </sheetViews>
  <sheetFormatPr defaultRowHeight="15" x14ac:dyDescent="0.3"/>
  <sheetData>
    <row r="1" spans="1:138" x14ac:dyDescent="0.3">
      <c r="A1" t="s">
        <v>0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8" x14ac:dyDescent="0.3">
      <c r="B3" s="1" t="s">
        <v>136</v>
      </c>
      <c r="C3" s="9">
        <v>0.10910583</v>
      </c>
      <c r="D3" s="9">
        <v>1.457658E-2</v>
      </c>
      <c r="E3" s="9">
        <v>-3.6154400000000003E-2</v>
      </c>
      <c r="F3" s="9">
        <v>-4.7425999999999996E-3</v>
      </c>
      <c r="G3" s="9">
        <v>-5.7478E-3</v>
      </c>
      <c r="H3" s="9">
        <v>4.9378020000000002E-2</v>
      </c>
      <c r="I3" s="9">
        <v>0.18325177000000001</v>
      </c>
      <c r="J3" s="9">
        <v>0.11648631</v>
      </c>
      <c r="K3" s="9">
        <v>-3.0594900000000001E-2</v>
      </c>
      <c r="L3" s="9">
        <v>1.982805E-2</v>
      </c>
      <c r="M3" s="9">
        <v>-2.0999E-2</v>
      </c>
      <c r="N3" s="9">
        <v>0.14977942</v>
      </c>
      <c r="O3" s="9">
        <v>1.546341E-2</v>
      </c>
      <c r="P3" s="9">
        <v>-9.1792299999999993E-2</v>
      </c>
      <c r="Q3" s="9">
        <v>-7.7409000000000006E-2</v>
      </c>
      <c r="R3" s="9">
        <v>5.4776600000000002E-2</v>
      </c>
      <c r="S3" s="9">
        <v>-0.12533440000000001</v>
      </c>
      <c r="T3" s="9">
        <v>-0.1190534</v>
      </c>
      <c r="U3" s="9">
        <v>-3.7770100000000001E-2</v>
      </c>
      <c r="V3" s="9">
        <v>8.1183820000000004E-2</v>
      </c>
      <c r="W3" s="9">
        <v>8.4008970000000002E-2</v>
      </c>
      <c r="X3" s="9">
        <v>0.14701136000000001</v>
      </c>
      <c r="Y3" s="9">
        <v>-0.12536050000000001</v>
      </c>
      <c r="Z3" s="9">
        <v>0.19195355</v>
      </c>
      <c r="AA3" s="9">
        <v>-8.4370799999999996E-2</v>
      </c>
      <c r="AB3" s="9">
        <v>7.2897610000000002E-2</v>
      </c>
      <c r="AC3" s="9">
        <v>0.10260456</v>
      </c>
      <c r="AD3" s="9">
        <v>1.577017E-2</v>
      </c>
      <c r="AE3" s="9">
        <v>-0.15200720000000001</v>
      </c>
      <c r="AF3" s="9">
        <v>5.9250249999999997E-2</v>
      </c>
      <c r="AG3" s="9">
        <v>0.13005884000000001</v>
      </c>
      <c r="AH3" s="9">
        <v>0.11525639999999999</v>
      </c>
      <c r="AI3" s="9">
        <v>3.2606620000000003E-2</v>
      </c>
      <c r="AJ3" s="9">
        <v>2.7999110000000001E-2</v>
      </c>
      <c r="AK3" s="9">
        <v>0.14657042000000001</v>
      </c>
      <c r="AL3" s="9">
        <v>4.0841919999999997E-2</v>
      </c>
      <c r="AM3" s="9">
        <v>0.13137636999999999</v>
      </c>
      <c r="AN3" s="9">
        <v>0.22143296000000001</v>
      </c>
      <c r="AO3" s="9">
        <v>-2.0941000000000001E-2</v>
      </c>
      <c r="AP3" s="9">
        <v>-0.13716</v>
      </c>
      <c r="AQ3" s="9">
        <v>-2.4882899999999999E-2</v>
      </c>
      <c r="AR3" s="9">
        <v>1.551397E-2</v>
      </c>
      <c r="AS3" s="9">
        <v>3.4373040000000001E-2</v>
      </c>
      <c r="AT3" s="9">
        <v>6.3095689999999996E-2</v>
      </c>
      <c r="AU3" s="9">
        <v>4.3237699999999997E-2</v>
      </c>
      <c r="AV3" s="9">
        <v>-7.4230400000000002E-2</v>
      </c>
      <c r="AW3" s="9">
        <v>2.7994829999999998E-2</v>
      </c>
      <c r="AX3" s="9">
        <v>0.11986442</v>
      </c>
      <c r="AY3" s="9">
        <v>7.6559569999999993E-2</v>
      </c>
      <c r="AZ3" s="9">
        <v>-2.17304E-2</v>
      </c>
      <c r="BA3" s="9">
        <v>-1.2465E-3</v>
      </c>
      <c r="BB3" s="9">
        <v>0.10099582</v>
      </c>
      <c r="BC3" s="9">
        <v>2.9826930000000001E-2</v>
      </c>
      <c r="BD3" s="9">
        <v>8.6757699999999993E-3</v>
      </c>
      <c r="BE3" s="9">
        <v>6.8557209999999993E-2</v>
      </c>
      <c r="BF3" s="9">
        <v>0.15691260000000001</v>
      </c>
      <c r="BG3" s="9">
        <v>0.15920372999999999</v>
      </c>
      <c r="BH3" s="9">
        <v>6.1121670000000003E-2</v>
      </c>
      <c r="BI3" s="9">
        <v>9.6912849999999995E-2</v>
      </c>
      <c r="BJ3" s="9">
        <v>-5.4746200000000002E-2</v>
      </c>
      <c r="BK3" s="9">
        <v>-8.7493000000000001E-2</v>
      </c>
      <c r="BL3" s="9">
        <v>9.4426750000000004E-2</v>
      </c>
      <c r="BM3" s="9">
        <v>-2.2191099999999998E-2</v>
      </c>
      <c r="BN3" s="9">
        <v>1.5628610000000001E-2</v>
      </c>
      <c r="BO3" s="9">
        <v>8.1418240000000003E-2</v>
      </c>
      <c r="BP3" s="9">
        <v>-1.8508899999999998E-2</v>
      </c>
      <c r="BQ3" s="9">
        <v>6.8729570000000004E-2</v>
      </c>
      <c r="BR3" s="9">
        <v>3.1023600000000002E-3</v>
      </c>
      <c r="BS3" s="9">
        <v>7.4964420000000004E-2</v>
      </c>
      <c r="BT3" s="9">
        <v>4.520159E-2</v>
      </c>
      <c r="BU3" s="9">
        <v>2.5677330000000002E-2</v>
      </c>
      <c r="BV3" s="9">
        <v>9.1804029999999995E-2</v>
      </c>
      <c r="BW3" s="9">
        <v>-2.6353999999999999E-2</v>
      </c>
      <c r="BX3" s="9">
        <v>1.9394829999999998E-2</v>
      </c>
      <c r="BY3" s="9">
        <v>-7.6838900000000002E-2</v>
      </c>
      <c r="BZ3" s="9">
        <v>0.11330931</v>
      </c>
      <c r="CA3" s="9">
        <v>-0.1073549</v>
      </c>
      <c r="CB3" s="9">
        <v>4.0844789999999999E-2</v>
      </c>
      <c r="CC3" s="9">
        <v>-1.9801699999999998E-2</v>
      </c>
      <c r="CD3" s="9">
        <v>0.18837709</v>
      </c>
      <c r="CE3" s="9">
        <v>5.5574909999999998E-2</v>
      </c>
      <c r="CF3" s="9">
        <v>7.4872069999999999E-2</v>
      </c>
      <c r="CG3" s="9">
        <v>0.10000019</v>
      </c>
      <c r="CH3" s="9">
        <v>0.13602172000000001</v>
      </c>
      <c r="CI3" s="9">
        <v>-9.3741000000000005E-2</v>
      </c>
      <c r="CJ3" s="9">
        <v>3.9306000000000002E-3</v>
      </c>
      <c r="CK3" s="9">
        <v>5.6507780000000001E-2</v>
      </c>
      <c r="CL3" s="9">
        <v>0.26354578000000001</v>
      </c>
      <c r="CM3" s="9">
        <v>-9.5554000000000004E-3</v>
      </c>
      <c r="CN3" s="9">
        <v>-3.1511900000000002E-2</v>
      </c>
      <c r="CO3" s="9">
        <v>-2.2619E-2</v>
      </c>
      <c r="CP3" s="9">
        <v>0.13265561000000001</v>
      </c>
      <c r="CQ3" s="9">
        <v>0.13307278</v>
      </c>
      <c r="CR3" s="9">
        <v>-1.49564E-2</v>
      </c>
      <c r="CS3" s="9">
        <v>-3.3419900000000002E-2</v>
      </c>
      <c r="CT3" s="9">
        <v>1.2281210000000001E-2</v>
      </c>
      <c r="CU3" s="9">
        <v>0.11681498</v>
      </c>
      <c r="CV3" s="9">
        <v>-3.1589000000000001E-3</v>
      </c>
      <c r="CW3" s="9">
        <v>3.8217760000000003E-2</v>
      </c>
      <c r="CX3" s="9">
        <v>0.13917409</v>
      </c>
      <c r="CY3" s="9">
        <v>-2.3712299999999999E-2</v>
      </c>
      <c r="CZ3" s="9">
        <v>0.21835291000000001</v>
      </c>
      <c r="DA3" s="9">
        <v>-5.7967400000000002E-2</v>
      </c>
      <c r="DB3" s="9">
        <v>-1.4104200000000001E-2</v>
      </c>
      <c r="DC3" s="9">
        <v>0.11395608</v>
      </c>
      <c r="DD3" s="9">
        <v>7.4472259999999998E-2</v>
      </c>
      <c r="DE3" s="9">
        <v>-8.9970000000000002E-4</v>
      </c>
      <c r="DF3" s="9">
        <v>9.7707000000000002E-4</v>
      </c>
      <c r="DG3" s="9">
        <v>-7.2980100000000006E-2</v>
      </c>
      <c r="DH3" s="9">
        <v>-2.38453E-2</v>
      </c>
      <c r="DI3" s="9">
        <v>-0.1015307</v>
      </c>
      <c r="DJ3" s="9">
        <v>2.7692540000000002E-2</v>
      </c>
      <c r="DK3" s="9">
        <v>-4.9335200000000003E-2</v>
      </c>
      <c r="DL3" s="9">
        <v>-5.6994000000000003E-3</v>
      </c>
      <c r="DM3" s="9">
        <v>-3.6981800000000002E-2</v>
      </c>
      <c r="DN3" s="9">
        <v>0.10981299</v>
      </c>
      <c r="DO3" s="9">
        <v>4.2036829999999997E-2</v>
      </c>
      <c r="DP3" s="9">
        <v>8.4566669999999997E-2</v>
      </c>
      <c r="DQ3" s="9">
        <v>-0.1102798</v>
      </c>
      <c r="DR3" s="9">
        <v>9.4328709999999996E-2</v>
      </c>
      <c r="DS3" s="9">
        <v>-7.1906899999999996E-2</v>
      </c>
      <c r="DT3" s="9">
        <v>-9.62364E-2</v>
      </c>
      <c r="DU3" s="9">
        <v>2.3455500000000001E-3</v>
      </c>
      <c r="DV3" s="9">
        <v>0.13401742</v>
      </c>
      <c r="DW3" s="9">
        <v>9.4732520000000001E-2</v>
      </c>
      <c r="DX3" s="9">
        <v>-0.1037732</v>
      </c>
      <c r="DY3" s="9">
        <v>7.576215E-2</v>
      </c>
      <c r="DZ3" s="9">
        <v>-3.1829700000000002E-2</v>
      </c>
      <c r="EA3" s="9">
        <v>0.16130802</v>
      </c>
      <c r="EB3" s="9">
        <v>1.0203530000000001E-2</v>
      </c>
      <c r="EC3" s="9">
        <v>7.3988429999999994E-2</v>
      </c>
      <c r="ED3" s="9">
        <v>-0.15737689999999999</v>
      </c>
      <c r="EE3" s="9">
        <v>7.9137550000000001E-2</v>
      </c>
      <c r="EF3" s="9">
        <v>7.2528549999999997E-2</v>
      </c>
      <c r="EG3" s="10">
        <f>CORREL([1]bm補值!EG$2:EG$972,[1]下個月月報酬補值!EG$2:EG$972)</f>
        <v>0.14231065676311483</v>
      </c>
    </row>
    <row r="4" spans="1:138" x14ac:dyDescent="0.3">
      <c r="B4" s="1" t="s">
        <v>137</v>
      </c>
      <c r="C4" s="9">
        <v>-0.24758869999999999</v>
      </c>
      <c r="D4" s="9">
        <v>-0.27469329999999997</v>
      </c>
      <c r="E4" s="9">
        <v>-8.4648399999999999E-2</v>
      </c>
      <c r="F4" s="9">
        <v>2.2644629999999999E-2</v>
      </c>
      <c r="G4" s="9">
        <v>-4.9680000000000002E-2</v>
      </c>
      <c r="H4" s="9">
        <v>-0.1007596</v>
      </c>
      <c r="I4" s="9">
        <v>-1.2522699999999999E-2</v>
      </c>
      <c r="J4" s="9">
        <v>7.8736539999999994E-2</v>
      </c>
      <c r="K4" s="9">
        <v>-3.4185100000000003E-2</v>
      </c>
      <c r="L4" s="9">
        <v>8.8406789999999999E-2</v>
      </c>
      <c r="M4" s="9">
        <v>-3.0634999999999998E-3</v>
      </c>
      <c r="N4" s="9">
        <v>-0.21221799999999999</v>
      </c>
      <c r="O4" s="9">
        <v>-3.6805400000000002E-2</v>
      </c>
      <c r="P4" s="9">
        <v>7.1033120000000005E-2</v>
      </c>
      <c r="Q4" s="9">
        <v>-7.1261099999999994E-2</v>
      </c>
      <c r="R4" s="9">
        <v>2.1560449999999998E-2</v>
      </c>
      <c r="S4" s="9">
        <v>0.10111125999999999</v>
      </c>
      <c r="T4" s="9">
        <v>4.3224730000000003E-2</v>
      </c>
      <c r="U4" s="9">
        <v>1.488195E-2</v>
      </c>
      <c r="V4" s="9">
        <v>6.3260199999999999E-3</v>
      </c>
      <c r="W4" s="9">
        <v>-0.14355299999999999</v>
      </c>
      <c r="X4" s="9">
        <v>-6.4282199999999998E-2</v>
      </c>
      <c r="Y4" s="9">
        <v>-1.9034200000000001E-2</v>
      </c>
      <c r="Z4" s="9">
        <v>-2.0644599999999999E-2</v>
      </c>
      <c r="AA4" s="9">
        <v>3.3059529999999997E-2</v>
      </c>
      <c r="AB4" s="9">
        <v>-1.94182E-2</v>
      </c>
      <c r="AC4" s="9">
        <v>-6.3126799999999997E-2</v>
      </c>
      <c r="AD4" s="9">
        <v>-6.5629699999999999E-2</v>
      </c>
      <c r="AE4" s="9">
        <v>0.13799568000000001</v>
      </c>
      <c r="AF4" s="9">
        <v>-0.1005679</v>
      </c>
      <c r="AG4" s="9">
        <v>-3.7969099999999999E-2</v>
      </c>
      <c r="AH4" s="9">
        <v>-4.5839499999999998E-2</v>
      </c>
      <c r="AI4" s="9">
        <v>-5.1034099999999999E-2</v>
      </c>
      <c r="AJ4" s="9">
        <v>-3.2204E-3</v>
      </c>
      <c r="AK4" s="9">
        <v>4.8952000000000002E-4</v>
      </c>
      <c r="AL4" s="9">
        <v>-0.10644670000000001</v>
      </c>
      <c r="AM4" s="9">
        <v>-1.3724E-2</v>
      </c>
      <c r="AN4" s="9">
        <v>-0.1219647</v>
      </c>
      <c r="AO4" s="9">
        <v>-4.85897E-2</v>
      </c>
      <c r="AP4" s="9">
        <v>-1.9032000000000001E-3</v>
      </c>
      <c r="AQ4" s="9">
        <v>2.9067490000000001E-2</v>
      </c>
      <c r="AR4" s="9">
        <v>5.2635769999999998E-2</v>
      </c>
      <c r="AS4" s="9">
        <v>-1.28933E-2</v>
      </c>
      <c r="AT4" s="9">
        <v>-2.1310999999999999E-3</v>
      </c>
      <c r="AU4" s="9">
        <v>-0.15538440000000001</v>
      </c>
      <c r="AV4" s="9">
        <v>1.268178E-2</v>
      </c>
      <c r="AW4" s="9">
        <v>-1.1942299999999999E-2</v>
      </c>
      <c r="AX4" s="9">
        <v>-4.2538000000000003E-3</v>
      </c>
      <c r="AY4" s="9">
        <v>2.930087E-2</v>
      </c>
      <c r="AZ4" s="9">
        <v>-0.13412750000000001</v>
      </c>
      <c r="BA4" s="9">
        <v>-0.1371115</v>
      </c>
      <c r="BB4" s="9">
        <v>1.7546599999999999E-3</v>
      </c>
      <c r="BC4" s="9">
        <v>2.511712E-2</v>
      </c>
      <c r="BD4" s="9">
        <v>-0.1196019</v>
      </c>
      <c r="BE4" s="9">
        <v>0.13576165000000001</v>
      </c>
      <c r="BF4" s="9">
        <v>4.7091170000000002E-2</v>
      </c>
      <c r="BG4" s="9">
        <v>-2.60501E-2</v>
      </c>
      <c r="BH4" s="9">
        <v>4.3752760000000002E-2</v>
      </c>
      <c r="BI4" s="9">
        <v>-8.13918E-2</v>
      </c>
      <c r="BJ4" s="9">
        <v>-0.1006008</v>
      </c>
      <c r="BK4" s="9">
        <v>9.0490070000000006E-2</v>
      </c>
      <c r="BL4" s="9">
        <v>-3.0898499999999999E-2</v>
      </c>
      <c r="BM4" s="9">
        <v>5.8814169999999999E-2</v>
      </c>
      <c r="BN4" s="9">
        <v>8.1345630000000002E-2</v>
      </c>
      <c r="BO4" s="9">
        <v>-7.7164E-3</v>
      </c>
      <c r="BP4" s="9">
        <v>0.10673487</v>
      </c>
      <c r="BQ4" s="9">
        <v>-2.7156300000000001E-2</v>
      </c>
      <c r="BR4" s="9">
        <v>-5.4431E-2</v>
      </c>
      <c r="BS4" s="9">
        <v>-6.8229300000000007E-2</v>
      </c>
      <c r="BT4" s="9">
        <v>9.861222E-2</v>
      </c>
      <c r="BU4" s="9">
        <v>0.12839854000000001</v>
      </c>
      <c r="BV4" s="9">
        <v>-7.84025E-2</v>
      </c>
      <c r="BW4" s="9">
        <v>-0.1191337</v>
      </c>
      <c r="BX4" s="9">
        <v>-4.6890099999999997E-2</v>
      </c>
      <c r="BY4" s="9">
        <v>0.10169835000000001</v>
      </c>
      <c r="BZ4" s="9">
        <v>-2.5680100000000001E-2</v>
      </c>
      <c r="CA4" s="9">
        <v>-8.3301799999999995E-2</v>
      </c>
      <c r="CB4" s="9">
        <v>-0.15782760000000001</v>
      </c>
      <c r="CC4" s="9">
        <v>-7.1052599999999994E-2</v>
      </c>
      <c r="CD4" s="9">
        <v>-7.3875499999999997E-2</v>
      </c>
      <c r="CE4" s="9">
        <v>-0.23678650000000001</v>
      </c>
      <c r="CF4" s="9">
        <v>3.2627709999999997E-2</v>
      </c>
      <c r="CG4" s="9">
        <v>1.342309E-2</v>
      </c>
      <c r="CH4" s="9">
        <v>-2.7967000000000001E-3</v>
      </c>
      <c r="CI4" s="9">
        <v>4.7925700000000002E-2</v>
      </c>
      <c r="CJ4" s="9">
        <v>-3.2520000000000001E-3</v>
      </c>
      <c r="CK4" s="9">
        <v>-7.5708200000000003E-2</v>
      </c>
      <c r="CL4" s="9">
        <v>-4.4397300000000001E-2</v>
      </c>
      <c r="CM4" s="9">
        <v>0.17898859</v>
      </c>
      <c r="CN4" s="9">
        <v>5.7994270000000001E-2</v>
      </c>
      <c r="CO4" s="9">
        <v>-0.13939019999999999</v>
      </c>
      <c r="CP4" s="9">
        <v>6.4714670000000002E-2</v>
      </c>
      <c r="CQ4" s="9">
        <v>-0.18118790000000001</v>
      </c>
      <c r="CR4" s="9">
        <v>-8.8633500000000004E-2</v>
      </c>
      <c r="CS4" s="9">
        <v>-2.5321799999999998E-2</v>
      </c>
      <c r="CT4" s="9">
        <v>-0.1130791</v>
      </c>
      <c r="CU4" s="9">
        <v>8.0959599999999993E-3</v>
      </c>
      <c r="CV4" s="9">
        <v>-4.5200200000000003E-2</v>
      </c>
      <c r="CW4" s="9">
        <v>-5.8941199999999999E-2</v>
      </c>
      <c r="CX4" s="9">
        <v>-0.1077283</v>
      </c>
      <c r="CY4" s="9">
        <v>-9.6503500000000006E-2</v>
      </c>
      <c r="CZ4" s="9">
        <v>-0.21035429999999999</v>
      </c>
      <c r="DA4" s="9">
        <v>-0.10996110000000001</v>
      </c>
      <c r="DB4" s="9">
        <v>-0.1908205</v>
      </c>
      <c r="DC4" s="9">
        <v>-2.0727300000000001E-2</v>
      </c>
      <c r="DD4" s="9">
        <v>8.7029090000000003E-2</v>
      </c>
      <c r="DE4" s="9">
        <v>8.2024589999999994E-2</v>
      </c>
      <c r="DF4" s="9">
        <v>-0.16687669999999999</v>
      </c>
      <c r="DG4" s="9">
        <v>0.22243809</v>
      </c>
      <c r="DH4" s="9">
        <v>-0.1442978</v>
      </c>
      <c r="DI4" s="9">
        <v>-0.1196199</v>
      </c>
      <c r="DJ4" s="9">
        <v>-0.1015928</v>
      </c>
      <c r="DK4" s="9">
        <v>9.2855060000000003E-2</v>
      </c>
      <c r="DL4" s="9">
        <v>-4.2630500000000002E-2</v>
      </c>
      <c r="DM4" s="9">
        <v>8.2732070000000005E-2</v>
      </c>
      <c r="DN4" s="9">
        <v>-3.1049500000000001E-2</v>
      </c>
      <c r="DO4" s="9">
        <v>-9.8141999999999993E-2</v>
      </c>
      <c r="DP4" s="9">
        <v>-0.13058890000000001</v>
      </c>
      <c r="DQ4" s="9">
        <v>4.865572E-2</v>
      </c>
      <c r="DR4" s="9">
        <v>-3.9251899999999999E-2</v>
      </c>
      <c r="DS4" s="9">
        <v>-0.16103020000000001</v>
      </c>
      <c r="DT4" s="9">
        <v>-7.8883999999999996E-2</v>
      </c>
      <c r="DU4" s="9">
        <v>0.16407715</v>
      </c>
      <c r="DV4" s="9">
        <v>7.5052599999999997E-3</v>
      </c>
      <c r="DW4" s="9">
        <v>-0.1016452</v>
      </c>
      <c r="DX4" s="9">
        <v>-5.6040300000000001E-2</v>
      </c>
      <c r="DY4" s="9">
        <v>-0.10665669999999999</v>
      </c>
      <c r="DZ4" s="9">
        <v>-6.9186600000000001E-2</v>
      </c>
      <c r="EA4" s="9">
        <v>-0.12618869999999999</v>
      </c>
      <c r="EB4" s="9">
        <v>-6.4737100000000006E-2</v>
      </c>
      <c r="EC4" s="9">
        <v>5.1426090000000001E-2</v>
      </c>
      <c r="ED4" s="9">
        <v>3.4496730000000003E-2</v>
      </c>
      <c r="EE4" s="9">
        <v>0.1576776</v>
      </c>
      <c r="EF4" s="9">
        <v>-0.12717999999999999</v>
      </c>
      <c r="EG4" s="10">
        <f>CORREL([2]size補值!EG$2:EG$965,[2]下個月月報酬補值!EG$2:EG$965)</f>
        <v>-0.15895948868776608</v>
      </c>
    </row>
    <row r="5" spans="1:138" x14ac:dyDescent="0.3">
      <c r="B5" s="1" t="s">
        <v>138</v>
      </c>
      <c r="C5" s="9">
        <v>-5.4239999999999997E-2</v>
      </c>
      <c r="D5" s="9">
        <v>4.5377000000000001E-2</v>
      </c>
      <c r="E5" s="9">
        <v>-1.7749999999999998E-2</v>
      </c>
      <c r="F5" s="9">
        <v>-8.7690000000000004E-2</v>
      </c>
      <c r="G5" s="9">
        <v>0.102759</v>
      </c>
      <c r="H5" s="9">
        <v>2.5110000000000002E-3</v>
      </c>
      <c r="I5" s="9">
        <v>-1.83E-2</v>
      </c>
      <c r="J5" s="9">
        <v>2.2110999999999999E-2</v>
      </c>
      <c r="K5" s="9">
        <v>7.7257999999999993E-2</v>
      </c>
      <c r="L5" s="9">
        <v>9.3439999999999999E-3</v>
      </c>
      <c r="M5" s="9">
        <v>5.3601999999999997E-2</v>
      </c>
      <c r="N5" s="9">
        <v>-6.7879999999999996E-2</v>
      </c>
      <c r="O5" s="9">
        <v>6.4930000000000002E-2</v>
      </c>
      <c r="P5" s="9">
        <v>4.8809999999999999E-3</v>
      </c>
      <c r="Q5" s="9">
        <v>1.9198E-2</v>
      </c>
      <c r="R5" s="9">
        <v>-5.47E-3</v>
      </c>
      <c r="S5" s="9">
        <v>3.6551E-2</v>
      </c>
      <c r="T5" s="9">
        <v>0.12918499999999999</v>
      </c>
      <c r="U5" s="9">
        <v>1.3691999999999999E-2</v>
      </c>
      <c r="V5" s="9">
        <v>1.5295E-2</v>
      </c>
      <c r="W5" s="9">
        <v>-0.10469000000000001</v>
      </c>
      <c r="X5" s="9">
        <v>-0.29385</v>
      </c>
      <c r="Y5" s="9">
        <v>5.9212000000000001E-2</v>
      </c>
      <c r="Z5" s="9">
        <v>-0.18495</v>
      </c>
      <c r="AA5" s="9">
        <v>9.8247000000000001E-2</v>
      </c>
      <c r="AB5" s="9">
        <v>-6.6E-4</v>
      </c>
      <c r="AC5" s="9">
        <v>-0.10369</v>
      </c>
      <c r="AD5" s="9">
        <v>3.545E-3</v>
      </c>
      <c r="AE5" s="9">
        <v>0.17560100000000001</v>
      </c>
      <c r="AF5" s="9">
        <v>-0.15503</v>
      </c>
      <c r="AG5" s="9">
        <v>-2.6329999999999999E-2</v>
      </c>
      <c r="AH5" s="9">
        <v>-5.0000000000000001E-3</v>
      </c>
      <c r="AI5" s="9">
        <v>2.8067999999999999E-2</v>
      </c>
      <c r="AJ5" s="9">
        <v>-2.2380000000000001E-2</v>
      </c>
      <c r="AK5" s="9">
        <v>-4.7019999999999999E-2</v>
      </c>
      <c r="AL5" s="9">
        <v>-0.10156</v>
      </c>
      <c r="AM5" s="9">
        <v>2.3525000000000001E-2</v>
      </c>
      <c r="AN5" s="9">
        <v>5.2525000000000002E-2</v>
      </c>
      <c r="AO5" s="9">
        <v>5.8502999999999999E-2</v>
      </c>
      <c r="AP5" s="9">
        <v>3.3446999999999998E-2</v>
      </c>
      <c r="AQ5" s="9">
        <v>1.43E-2</v>
      </c>
      <c r="AR5" s="9">
        <v>3.5903999999999998E-2</v>
      </c>
      <c r="AS5" s="9">
        <v>3.9781999999999998E-2</v>
      </c>
      <c r="AT5" s="9">
        <v>0.148456</v>
      </c>
      <c r="AU5" s="9">
        <v>-4.079E-2</v>
      </c>
      <c r="AV5" s="9">
        <v>0.138959</v>
      </c>
      <c r="AW5" s="9">
        <v>5.9863E-2</v>
      </c>
      <c r="AX5" s="9">
        <v>-0.14979000000000001</v>
      </c>
      <c r="AY5" s="9">
        <v>6.1595999999999998E-2</v>
      </c>
      <c r="AZ5" s="9">
        <v>-6.1949999999999998E-2</v>
      </c>
      <c r="BA5" s="9">
        <v>-2.3900000000000002E-3</v>
      </c>
      <c r="BB5" s="9">
        <v>-0.14887</v>
      </c>
      <c r="BC5" s="9">
        <v>6.0351000000000002E-2</v>
      </c>
      <c r="BD5" s="9">
        <v>-1.469E-2</v>
      </c>
      <c r="BE5" s="9">
        <v>-0.14652000000000001</v>
      </c>
      <c r="BF5" s="9">
        <v>-0.20876</v>
      </c>
      <c r="BG5" s="9">
        <v>-0.20144000000000001</v>
      </c>
      <c r="BH5" s="9">
        <v>-0.11805</v>
      </c>
      <c r="BI5" s="9">
        <v>-7.7030000000000001E-2</v>
      </c>
      <c r="BJ5" s="9">
        <v>-3.6220000000000002E-2</v>
      </c>
      <c r="BK5" s="9">
        <v>-1.891E-2</v>
      </c>
      <c r="BL5" s="9">
        <v>-0.17126</v>
      </c>
      <c r="BM5" s="9">
        <v>0.13291700000000001</v>
      </c>
      <c r="BN5" s="9">
        <v>-3.5909999999999997E-2</v>
      </c>
      <c r="BO5" s="9">
        <v>2.1344999999999999E-2</v>
      </c>
      <c r="BP5" s="9">
        <v>4.9634999999999999E-2</v>
      </c>
      <c r="BQ5" s="9">
        <v>-1.721E-2</v>
      </c>
      <c r="BR5" s="9">
        <v>0.189827</v>
      </c>
      <c r="BS5" s="9">
        <v>-9.7610000000000002E-2</v>
      </c>
      <c r="BT5" s="9">
        <v>3.7830999999999997E-2</v>
      </c>
      <c r="BU5" s="9">
        <v>5.6008000000000002E-2</v>
      </c>
      <c r="BV5" s="9">
        <v>-0.11674</v>
      </c>
      <c r="BW5" s="9">
        <v>-0.14132</v>
      </c>
      <c r="BX5" s="9">
        <v>-3.3800000000000002E-3</v>
      </c>
      <c r="BY5" s="9">
        <v>0.13033600000000001</v>
      </c>
      <c r="BZ5" s="9">
        <v>3.1697999999999997E-2</v>
      </c>
      <c r="CA5" s="9">
        <v>4.0555000000000001E-2</v>
      </c>
      <c r="CB5" s="9">
        <v>-4.2040000000000001E-2</v>
      </c>
      <c r="CC5" s="9">
        <v>5.0014000000000003E-2</v>
      </c>
      <c r="CD5" s="9">
        <v>-6.8459999999999993E-2</v>
      </c>
      <c r="CE5" s="9">
        <v>-8.0829999999999999E-2</v>
      </c>
      <c r="CF5" s="9">
        <v>-1.9499999999999999E-3</v>
      </c>
      <c r="CG5" s="9">
        <v>-0.11821</v>
      </c>
      <c r="CH5" s="9">
        <v>-3.6720000000000003E-2</v>
      </c>
      <c r="CI5" s="9">
        <v>-8.3330000000000001E-2</v>
      </c>
      <c r="CJ5" s="9">
        <v>0.23067299999999999</v>
      </c>
      <c r="CK5" s="9">
        <v>0.13277900000000001</v>
      </c>
      <c r="CL5" s="9">
        <v>0.141287</v>
      </c>
      <c r="CM5" s="9">
        <v>-0.11269</v>
      </c>
      <c r="CN5" s="9">
        <v>0.22348899999999999</v>
      </c>
      <c r="CO5" s="9">
        <v>-0.10442</v>
      </c>
      <c r="CP5" s="9">
        <v>-1.443E-2</v>
      </c>
      <c r="CQ5" s="9">
        <v>-0.20723</v>
      </c>
      <c r="CR5" s="9">
        <v>-0.13486000000000001</v>
      </c>
      <c r="CS5" s="9">
        <v>7.3008000000000003E-2</v>
      </c>
      <c r="CT5" s="9">
        <v>-3.022E-2</v>
      </c>
      <c r="CU5" s="9">
        <v>-0.28688999999999998</v>
      </c>
      <c r="CV5" s="9">
        <v>0.23073099999999999</v>
      </c>
      <c r="CW5" s="9">
        <v>9.1076000000000004E-2</v>
      </c>
      <c r="CX5" s="9">
        <v>-0.12249</v>
      </c>
      <c r="CY5" s="9">
        <v>7.8381999999999993E-2</v>
      </c>
      <c r="CZ5" s="9">
        <v>-4.5949999999999998E-2</v>
      </c>
      <c r="DA5" s="9">
        <v>8.2669999999999993E-2</v>
      </c>
      <c r="DB5" s="9">
        <v>0.14934900000000001</v>
      </c>
      <c r="DC5" s="9">
        <v>-4.7800000000000002E-2</v>
      </c>
      <c r="DD5" s="9">
        <v>-0.16450999999999999</v>
      </c>
      <c r="DE5" s="9">
        <v>-0.11057</v>
      </c>
      <c r="DF5" s="9">
        <v>5.7417000000000003E-2</v>
      </c>
      <c r="DG5" s="9">
        <v>-0.21489</v>
      </c>
      <c r="DH5" s="9">
        <v>6.2996999999999997E-2</v>
      </c>
      <c r="DI5" s="9">
        <v>6.7721000000000003E-2</v>
      </c>
      <c r="DJ5" s="9">
        <v>0.118802</v>
      </c>
      <c r="DK5" s="9">
        <v>7.2830000000000004E-3</v>
      </c>
      <c r="DL5" s="9">
        <v>7.1320999999999996E-2</v>
      </c>
      <c r="DM5" s="9">
        <v>2.1021999999999999E-2</v>
      </c>
      <c r="DN5" s="9">
        <v>-3.04E-2</v>
      </c>
      <c r="DO5" s="9">
        <v>-9.6949999999999995E-2</v>
      </c>
      <c r="DP5" s="9">
        <v>-0.23068</v>
      </c>
      <c r="DQ5" s="9">
        <v>0.23818400000000001</v>
      </c>
      <c r="DR5" s="9">
        <v>3.5750000000000001E-3</v>
      </c>
      <c r="DS5" s="9">
        <v>0.13395599999999999</v>
      </c>
      <c r="DT5" s="9">
        <v>0.115106</v>
      </c>
      <c r="DU5" s="9">
        <v>0.10408000000000001</v>
      </c>
      <c r="DV5" s="9">
        <v>-5.4609999999999999E-2</v>
      </c>
      <c r="DW5" s="9">
        <v>-3.329E-2</v>
      </c>
      <c r="DX5" s="9">
        <v>5.5094999999999998E-2</v>
      </c>
      <c r="DY5" s="9">
        <v>6.8793999999999994E-2</v>
      </c>
      <c r="DZ5" s="9">
        <v>1.4481000000000001E-2</v>
      </c>
      <c r="EA5" s="9">
        <v>-0.29314000000000001</v>
      </c>
      <c r="EB5" s="9">
        <v>-0.14097999999999999</v>
      </c>
      <c r="EC5" s="9">
        <v>-1.221E-2</v>
      </c>
      <c r="ED5" s="9">
        <v>5.8167999999999997E-2</v>
      </c>
      <c r="EE5" s="9">
        <v>-0.1444</v>
      </c>
      <c r="EF5" s="9">
        <v>-9.7009999999999999E-2</v>
      </c>
      <c r="EG5" s="10"/>
    </row>
    <row r="6" spans="1:138" x14ac:dyDescent="0.3">
      <c r="A6" s="22" t="s">
        <v>139</v>
      </c>
      <c r="B6" s="23"/>
      <c r="C6" s="11">
        <f t="array" ref="C6">MATCH(MAX(ABS(C3:C5)), ABS(C3:C5), 0)</f>
        <v>2</v>
      </c>
      <c r="D6" s="11">
        <f t="array" ref="D6">MATCH(MAX(ABS(D3:D5)), ABS(D3:D5), 0)</f>
        <v>2</v>
      </c>
      <c r="E6" s="11">
        <f t="array" ref="E6">MATCH(MAX(ABS(E3:E5)), ABS(E3:E5), 0)</f>
        <v>2</v>
      </c>
      <c r="F6" s="11">
        <f t="array" ref="F6">MATCH(MAX(ABS(F3:F5)), ABS(F3:F5), 0)</f>
        <v>3</v>
      </c>
      <c r="G6" s="11">
        <f t="array" ref="G6">MATCH(MAX(ABS(G3:G5)), ABS(G3:G5), 0)</f>
        <v>3</v>
      </c>
      <c r="H6" s="11">
        <f t="array" ref="H6">MATCH(MAX(ABS(H3:H5)), ABS(H3:H5), 0)</f>
        <v>2</v>
      </c>
      <c r="I6" s="11">
        <f t="array" ref="I6">MATCH(MAX(ABS(I3:I5)), ABS(I3:I5), 0)</f>
        <v>1</v>
      </c>
      <c r="J6" s="11">
        <f t="array" ref="J6">MATCH(MAX(ABS(J3:J5)), ABS(J3:J5), 0)</f>
        <v>1</v>
      </c>
      <c r="K6" s="11">
        <f t="array" ref="K6">MATCH(MAX(ABS(K3:K5)), ABS(K3:K5), 0)</f>
        <v>3</v>
      </c>
      <c r="L6" s="11">
        <f t="array" ref="L6">MATCH(MAX(ABS(L3:L5)), ABS(L3:L5), 0)</f>
        <v>2</v>
      </c>
      <c r="M6" s="11">
        <f t="array" ref="M6">MATCH(MAX(ABS(M3:M5)), ABS(M3:M5), 0)</f>
        <v>3</v>
      </c>
      <c r="N6" s="11">
        <f t="array" ref="N6">MATCH(MAX(ABS(N3:N5)), ABS(N3:N5), 0)</f>
        <v>2</v>
      </c>
      <c r="O6" s="11">
        <f t="array" ref="O6">MATCH(MAX(ABS(O3:O5)), ABS(O3:O5), 0)</f>
        <v>3</v>
      </c>
      <c r="P6" s="11">
        <f t="array" ref="P6">MATCH(MAX(ABS(P3:P5)), ABS(P3:P5), 0)</f>
        <v>1</v>
      </c>
      <c r="Q6" s="11">
        <f t="array" ref="Q6">MATCH(MAX(ABS(Q3:Q5)), ABS(Q3:Q5), 0)</f>
        <v>1</v>
      </c>
      <c r="R6" s="11">
        <f t="array" ref="R6">MATCH(MAX(ABS(R3:R5)), ABS(R3:R5), 0)</f>
        <v>1</v>
      </c>
      <c r="S6" s="11">
        <f t="array" ref="S6">MATCH(MAX(ABS(S3:S5)), ABS(S3:S5), 0)</f>
        <v>1</v>
      </c>
      <c r="T6" s="11">
        <f t="array" ref="T6">MATCH(MAX(ABS(T3:T5)), ABS(T3:T5), 0)</f>
        <v>3</v>
      </c>
      <c r="U6" s="11">
        <f t="array" ref="U6">MATCH(MAX(ABS(U3:U5)), ABS(U3:U5), 0)</f>
        <v>1</v>
      </c>
      <c r="V6" s="11">
        <f t="array" ref="V6">MATCH(MAX(ABS(V3:V5)), ABS(V3:V5), 0)</f>
        <v>1</v>
      </c>
      <c r="W6" s="11">
        <f t="array" ref="W6">MATCH(MAX(ABS(W3:W5)), ABS(W3:W5), 0)</f>
        <v>2</v>
      </c>
      <c r="X6" s="11">
        <f t="array" ref="X6">MATCH(MAX(ABS(X3:X5)), ABS(X3:X5), 0)</f>
        <v>3</v>
      </c>
      <c r="Y6" s="11">
        <f t="array" ref="Y6">MATCH(MAX(ABS(Y3:Y5)), ABS(Y3:Y5), 0)</f>
        <v>1</v>
      </c>
      <c r="Z6" s="11">
        <f t="array" ref="Z6">MATCH(MAX(ABS(Z3:Z5)), ABS(Z3:Z5), 0)</f>
        <v>1</v>
      </c>
      <c r="AA6" s="11">
        <f t="array" ref="AA6">MATCH(MAX(ABS(AA3:AA5)), ABS(AA3:AA5), 0)</f>
        <v>3</v>
      </c>
      <c r="AB6" s="11">
        <f t="array" ref="AB6">MATCH(MAX(ABS(AB3:AB5)), ABS(AB3:AB5), 0)</f>
        <v>1</v>
      </c>
      <c r="AC6" s="11">
        <f t="array" ref="AC6">MATCH(MAX(ABS(AC3:AC5)), ABS(AC3:AC5), 0)</f>
        <v>3</v>
      </c>
      <c r="AD6" s="11">
        <f t="array" ref="AD6">MATCH(MAX(ABS(AD3:AD5)), ABS(AD3:AD5), 0)</f>
        <v>2</v>
      </c>
      <c r="AE6" s="11">
        <f t="array" ref="AE6">MATCH(MAX(ABS(AE3:AE5)), ABS(AE3:AE5), 0)</f>
        <v>3</v>
      </c>
      <c r="AF6" s="11">
        <f t="array" ref="AF6">MATCH(MAX(ABS(AF3:AF5)), ABS(AF3:AF5), 0)</f>
        <v>3</v>
      </c>
      <c r="AG6" s="11">
        <f t="array" ref="AG6">MATCH(MAX(ABS(AG3:AG5)), ABS(AG3:AG5), 0)</f>
        <v>1</v>
      </c>
      <c r="AH6" s="11">
        <f t="array" ref="AH6">MATCH(MAX(ABS(AH3:AH5)), ABS(AH3:AH5), 0)</f>
        <v>1</v>
      </c>
      <c r="AI6" s="11">
        <f t="array" ref="AI6">MATCH(MAX(ABS(AI3:AI5)), ABS(AI3:AI5), 0)</f>
        <v>2</v>
      </c>
      <c r="AJ6" s="11">
        <f t="array" ref="AJ6">MATCH(MAX(ABS(AJ3:AJ5)), ABS(AJ3:AJ5), 0)</f>
        <v>1</v>
      </c>
      <c r="AK6" s="11">
        <f t="array" ref="AK6">MATCH(MAX(ABS(AK3:AK5)), ABS(AK3:AK5), 0)</f>
        <v>1</v>
      </c>
      <c r="AL6" s="11">
        <f t="array" ref="AL6">MATCH(MAX(ABS(AL3:AL5)), ABS(AL3:AL5), 0)</f>
        <v>2</v>
      </c>
      <c r="AM6" s="11">
        <f t="array" ref="AM6">MATCH(MAX(ABS(AM3:AM5)), ABS(AM3:AM5), 0)</f>
        <v>1</v>
      </c>
      <c r="AN6" s="11">
        <f t="array" ref="AN6">MATCH(MAX(ABS(AN3:AN5)), ABS(AN3:AN5), 0)</f>
        <v>1</v>
      </c>
      <c r="AO6" s="11">
        <f t="array" ref="AO6">MATCH(MAX(ABS(AO3:AO5)), ABS(AO3:AO5), 0)</f>
        <v>3</v>
      </c>
      <c r="AP6" s="11">
        <f t="array" ref="AP6">MATCH(MAX(ABS(AP3:AP5)), ABS(AP3:AP5), 0)</f>
        <v>1</v>
      </c>
      <c r="AQ6" s="11">
        <f t="array" ref="AQ6">MATCH(MAX(ABS(AQ3:AQ5)), ABS(AQ3:AQ5), 0)</f>
        <v>2</v>
      </c>
      <c r="AR6" s="11">
        <f t="array" ref="AR6">MATCH(MAX(ABS(AR3:AR5)), ABS(AR3:AR5), 0)</f>
        <v>2</v>
      </c>
      <c r="AS6" s="11">
        <f t="array" ref="AS6">MATCH(MAX(ABS(AS3:AS5)), ABS(AS3:AS5), 0)</f>
        <v>3</v>
      </c>
      <c r="AT6" s="11">
        <f t="array" ref="AT6">MATCH(MAX(ABS(AT3:AT5)), ABS(AT3:AT5), 0)</f>
        <v>3</v>
      </c>
      <c r="AU6" s="11">
        <f t="array" ref="AU6">MATCH(MAX(ABS(AU3:AU5)), ABS(AU3:AU5), 0)</f>
        <v>2</v>
      </c>
      <c r="AV6" s="11">
        <f t="array" ref="AV6">MATCH(MAX(ABS(AV3:AV5)), ABS(AV3:AV5), 0)</f>
        <v>3</v>
      </c>
      <c r="AW6" s="11">
        <f t="array" ref="AW6">MATCH(MAX(ABS(AW3:AW5)), ABS(AW3:AW5), 0)</f>
        <v>3</v>
      </c>
      <c r="AX6" s="11">
        <f t="array" ref="AX6">MATCH(MAX(ABS(AX3:AX5)), ABS(AX3:AX5), 0)</f>
        <v>3</v>
      </c>
      <c r="AY6" s="11">
        <f t="array" ref="AY6">MATCH(MAX(ABS(AY3:AY5)), ABS(AY3:AY5), 0)</f>
        <v>1</v>
      </c>
      <c r="AZ6" s="11">
        <f t="array" ref="AZ6">MATCH(MAX(ABS(AZ3:AZ5)), ABS(AZ3:AZ5), 0)</f>
        <v>2</v>
      </c>
      <c r="BA6" s="11">
        <f t="array" ref="BA6">MATCH(MAX(ABS(BA3:BA5)), ABS(BA3:BA5), 0)</f>
        <v>2</v>
      </c>
      <c r="BB6" s="11">
        <f t="array" ref="BB6">MATCH(MAX(ABS(BB3:BB5)), ABS(BB3:BB5), 0)</f>
        <v>3</v>
      </c>
      <c r="BC6" s="11">
        <f t="array" ref="BC6">MATCH(MAX(ABS(BC3:BC5)), ABS(BC3:BC5), 0)</f>
        <v>3</v>
      </c>
      <c r="BD6" s="11">
        <f t="array" ref="BD6">MATCH(MAX(ABS(BD3:BD5)), ABS(BD3:BD5), 0)</f>
        <v>2</v>
      </c>
      <c r="BE6" s="11">
        <f t="array" ref="BE6">MATCH(MAX(ABS(BE3:BE5)), ABS(BE3:BE5), 0)</f>
        <v>3</v>
      </c>
      <c r="BF6" s="11">
        <f t="array" ref="BF6">MATCH(MAX(ABS(BF3:BF5)), ABS(BF3:BF5), 0)</f>
        <v>3</v>
      </c>
      <c r="BG6" s="11">
        <f t="array" ref="BG6">MATCH(MAX(ABS(BG3:BG5)), ABS(BG3:BG5), 0)</f>
        <v>3</v>
      </c>
      <c r="BH6" s="11">
        <f t="array" ref="BH6">MATCH(MAX(ABS(BH3:BH5)), ABS(BH3:BH5), 0)</f>
        <v>3</v>
      </c>
      <c r="BI6" s="11">
        <f t="array" ref="BI6">MATCH(MAX(ABS(BI3:BI5)), ABS(BI3:BI5), 0)</f>
        <v>1</v>
      </c>
      <c r="BJ6" s="11">
        <f t="array" ref="BJ6">MATCH(MAX(ABS(BJ3:BJ5)), ABS(BJ3:BJ5), 0)</f>
        <v>2</v>
      </c>
      <c r="BK6" s="11">
        <f t="array" ref="BK6">MATCH(MAX(ABS(BK3:BK5)), ABS(BK3:BK5), 0)</f>
        <v>2</v>
      </c>
      <c r="BL6" s="11">
        <f t="array" ref="BL6">MATCH(MAX(ABS(BL3:BL5)), ABS(BL3:BL5), 0)</f>
        <v>3</v>
      </c>
      <c r="BM6" s="11">
        <f t="array" ref="BM6">MATCH(MAX(ABS(BM3:BM5)), ABS(BM3:BM5), 0)</f>
        <v>3</v>
      </c>
      <c r="BN6" s="11">
        <f t="array" ref="BN6">MATCH(MAX(ABS(BN3:BN5)), ABS(BN3:BN5), 0)</f>
        <v>2</v>
      </c>
      <c r="BO6" s="11">
        <f t="array" ref="BO6">MATCH(MAX(ABS(BO3:BO5)), ABS(BO3:BO5), 0)</f>
        <v>1</v>
      </c>
      <c r="BP6" s="11">
        <f t="array" ref="BP6">MATCH(MAX(ABS(BP3:BP5)), ABS(BP3:BP5), 0)</f>
        <v>2</v>
      </c>
      <c r="BQ6" s="11">
        <f t="array" ref="BQ6">MATCH(MAX(ABS(BQ3:BQ5)), ABS(BQ3:BQ5), 0)</f>
        <v>1</v>
      </c>
      <c r="BR6" s="11">
        <f t="array" ref="BR6">MATCH(MAX(ABS(BR3:BR5)), ABS(BR3:BR5), 0)</f>
        <v>3</v>
      </c>
      <c r="BS6" s="11">
        <f t="array" ref="BS6">MATCH(MAX(ABS(BS3:BS5)), ABS(BS3:BS5), 0)</f>
        <v>3</v>
      </c>
      <c r="BT6" s="11">
        <f t="array" ref="BT6">MATCH(MAX(ABS(BT3:BT5)), ABS(BT3:BT5), 0)</f>
        <v>2</v>
      </c>
      <c r="BU6" s="11">
        <f t="array" ref="BU6">MATCH(MAX(ABS(BU3:BU5)), ABS(BU3:BU5), 0)</f>
        <v>2</v>
      </c>
      <c r="BV6" s="11">
        <f t="array" ref="BV6">MATCH(MAX(ABS(BV3:BV5)), ABS(BV3:BV5), 0)</f>
        <v>3</v>
      </c>
      <c r="BW6" s="11">
        <f t="array" ref="BW6">MATCH(MAX(ABS(BW3:BW5)), ABS(BW3:BW5), 0)</f>
        <v>3</v>
      </c>
      <c r="BX6" s="11">
        <f t="array" ref="BX6">MATCH(MAX(ABS(BX3:BX5)), ABS(BX3:BX5), 0)</f>
        <v>2</v>
      </c>
      <c r="BY6" s="11">
        <f t="array" ref="BY6">MATCH(MAX(ABS(BY3:BY5)), ABS(BY3:BY5), 0)</f>
        <v>3</v>
      </c>
      <c r="BZ6" s="11">
        <f t="array" ref="BZ6">MATCH(MAX(ABS(BZ3:BZ5)), ABS(BZ3:BZ5), 0)</f>
        <v>1</v>
      </c>
      <c r="CA6" s="11">
        <f t="array" ref="CA6">MATCH(MAX(ABS(CA3:CA5)), ABS(CA3:CA5), 0)</f>
        <v>1</v>
      </c>
      <c r="CB6" s="11">
        <f t="array" ref="CB6">MATCH(MAX(ABS(CB3:CB5)), ABS(CB3:CB5), 0)</f>
        <v>2</v>
      </c>
      <c r="CC6" s="11">
        <f t="array" ref="CC6">MATCH(MAX(ABS(CC3:CC5)), ABS(CC3:CC5), 0)</f>
        <v>2</v>
      </c>
      <c r="CD6" s="11">
        <f t="array" ref="CD6">MATCH(MAX(ABS(CD3:CD5)), ABS(CD3:CD5), 0)</f>
        <v>1</v>
      </c>
      <c r="CE6" s="11">
        <f t="array" ref="CE6">MATCH(MAX(ABS(CE3:CE5)), ABS(CE3:CE5), 0)</f>
        <v>2</v>
      </c>
      <c r="CF6" s="11">
        <f t="array" ref="CF6">MATCH(MAX(ABS(CF3:CF5)), ABS(CF3:CF5), 0)</f>
        <v>1</v>
      </c>
      <c r="CG6" s="11">
        <f t="array" ref="CG6">MATCH(MAX(ABS(CG3:CG5)), ABS(CG3:CG5), 0)</f>
        <v>3</v>
      </c>
      <c r="CH6" s="11">
        <f t="array" ref="CH6">MATCH(MAX(ABS(CH3:CH5)), ABS(CH3:CH5), 0)</f>
        <v>1</v>
      </c>
      <c r="CI6" s="11">
        <f t="array" ref="CI6">MATCH(MAX(ABS(CI3:CI5)), ABS(CI3:CI5), 0)</f>
        <v>1</v>
      </c>
      <c r="CJ6" s="11">
        <f t="array" ref="CJ6">MATCH(MAX(ABS(CJ3:CJ5)), ABS(CJ3:CJ5), 0)</f>
        <v>3</v>
      </c>
      <c r="CK6" s="11">
        <f t="array" ref="CK6">MATCH(MAX(ABS(CK3:CK5)), ABS(CK3:CK5), 0)</f>
        <v>3</v>
      </c>
      <c r="CL6" s="11">
        <f t="array" ref="CL6">MATCH(MAX(ABS(CL3:CL5)), ABS(CL3:CL5), 0)</f>
        <v>1</v>
      </c>
      <c r="CM6" s="11">
        <f t="array" ref="CM6">MATCH(MAX(ABS(CM3:CM5)), ABS(CM3:CM5), 0)</f>
        <v>2</v>
      </c>
      <c r="CN6" s="11">
        <f t="array" ref="CN6">MATCH(MAX(ABS(CN3:CN5)), ABS(CN3:CN5), 0)</f>
        <v>3</v>
      </c>
      <c r="CO6" s="11">
        <f t="array" ref="CO6">MATCH(MAX(ABS(CO3:CO5)), ABS(CO3:CO5), 0)</f>
        <v>2</v>
      </c>
      <c r="CP6" s="11">
        <f t="array" ref="CP6">MATCH(MAX(ABS(CP3:CP5)), ABS(CP3:CP5), 0)</f>
        <v>1</v>
      </c>
      <c r="CQ6" s="11">
        <f t="array" ref="CQ6">MATCH(MAX(ABS(CQ3:CQ5)), ABS(CQ3:CQ5), 0)</f>
        <v>3</v>
      </c>
      <c r="CR6" s="11">
        <f t="array" ref="CR6">MATCH(MAX(ABS(CR3:CR5)), ABS(CR3:CR5), 0)</f>
        <v>3</v>
      </c>
      <c r="CS6" s="11">
        <f t="array" ref="CS6">MATCH(MAX(ABS(CS3:CS5)), ABS(CS3:CS5), 0)</f>
        <v>3</v>
      </c>
      <c r="CT6" s="11">
        <f t="array" ref="CT6">MATCH(MAX(ABS(CT3:CT5)), ABS(CT3:CT5), 0)</f>
        <v>2</v>
      </c>
      <c r="CU6" s="11">
        <f t="array" ref="CU6">MATCH(MAX(ABS(CU3:CU5)), ABS(CU3:CU5), 0)</f>
        <v>3</v>
      </c>
      <c r="CV6" s="11">
        <f t="array" ref="CV6">MATCH(MAX(ABS(CV3:CV5)), ABS(CV3:CV5), 0)</f>
        <v>3</v>
      </c>
      <c r="CW6" s="11">
        <f t="array" ref="CW6">MATCH(MAX(ABS(CW3:CW5)), ABS(CW3:CW5), 0)</f>
        <v>3</v>
      </c>
      <c r="CX6" s="11">
        <f t="array" ref="CX6">MATCH(MAX(ABS(CX3:CX5)), ABS(CX3:CX5), 0)</f>
        <v>1</v>
      </c>
      <c r="CY6" s="11">
        <f t="array" ref="CY6">MATCH(MAX(ABS(CY3:CY5)), ABS(CY3:CY5), 0)</f>
        <v>2</v>
      </c>
      <c r="CZ6" s="11">
        <f t="array" ref="CZ6">MATCH(MAX(ABS(CZ3:CZ5)), ABS(CZ3:CZ5), 0)</f>
        <v>1</v>
      </c>
      <c r="DA6" s="11">
        <f t="array" ref="DA6">MATCH(MAX(ABS(DA3:DA5)), ABS(DA3:DA5), 0)</f>
        <v>2</v>
      </c>
      <c r="DB6" s="11">
        <f t="array" ref="DB6">MATCH(MAX(ABS(DB3:DB5)), ABS(DB3:DB5), 0)</f>
        <v>2</v>
      </c>
      <c r="DC6" s="11">
        <f t="array" ref="DC6">MATCH(MAX(ABS(DC3:DC5)), ABS(DC3:DC5), 0)</f>
        <v>1</v>
      </c>
      <c r="DD6" s="11">
        <f t="array" ref="DD6">MATCH(MAX(ABS(DD3:DD5)), ABS(DD3:DD5), 0)</f>
        <v>3</v>
      </c>
      <c r="DE6" s="11">
        <f t="array" ref="DE6">MATCH(MAX(ABS(DE3:DE5)), ABS(DE3:DE5), 0)</f>
        <v>3</v>
      </c>
      <c r="DF6" s="11">
        <f t="array" ref="DF6">MATCH(MAX(ABS(DF3:DF5)), ABS(DF3:DF5), 0)</f>
        <v>2</v>
      </c>
      <c r="DG6" s="11">
        <f t="array" ref="DG6">MATCH(MAX(ABS(DG3:DG5)), ABS(DG3:DG5), 0)</f>
        <v>2</v>
      </c>
      <c r="DH6" s="11">
        <f t="array" ref="DH6">MATCH(MAX(ABS(DH3:DH5)), ABS(DH3:DH5), 0)</f>
        <v>2</v>
      </c>
      <c r="DI6" s="11">
        <f t="array" ref="DI6">MATCH(MAX(ABS(DI3:DI5)), ABS(DI3:DI5), 0)</f>
        <v>2</v>
      </c>
      <c r="DJ6" s="11">
        <f t="array" ref="DJ6">MATCH(MAX(ABS(DJ3:DJ5)), ABS(DJ3:DJ5), 0)</f>
        <v>3</v>
      </c>
      <c r="DK6" s="11">
        <f t="array" ref="DK6">MATCH(MAX(ABS(DK3:DK5)), ABS(DK3:DK5), 0)</f>
        <v>2</v>
      </c>
      <c r="DL6" s="11">
        <f t="array" ref="DL6">MATCH(MAX(ABS(DL3:DL5)), ABS(DL3:DL5), 0)</f>
        <v>3</v>
      </c>
      <c r="DM6" s="11">
        <f t="array" ref="DM6">MATCH(MAX(ABS(DM3:DM5)), ABS(DM3:DM5), 0)</f>
        <v>2</v>
      </c>
      <c r="DN6" s="11">
        <f t="array" ref="DN6">MATCH(MAX(ABS(DN3:DN5)), ABS(DN3:DN5), 0)</f>
        <v>1</v>
      </c>
      <c r="DO6" s="11">
        <f t="array" ref="DO6">MATCH(MAX(ABS(DO3:DO5)), ABS(DO3:DO5), 0)</f>
        <v>2</v>
      </c>
      <c r="DP6" s="11">
        <f t="array" ref="DP6">MATCH(MAX(ABS(DP3:DP5)), ABS(DP3:DP5), 0)</f>
        <v>3</v>
      </c>
      <c r="DQ6" s="11">
        <f t="array" ref="DQ6">MATCH(MAX(ABS(DQ3:DQ5)), ABS(DQ3:DQ5), 0)</f>
        <v>3</v>
      </c>
      <c r="DR6" s="11">
        <f t="array" ref="DR6">MATCH(MAX(ABS(DR3:DR5)), ABS(DR3:DR5), 0)</f>
        <v>1</v>
      </c>
      <c r="DS6" s="11">
        <f t="array" ref="DS6">MATCH(MAX(ABS(DS3:DS5)), ABS(DS3:DS5), 0)</f>
        <v>2</v>
      </c>
      <c r="DT6" s="11">
        <f t="array" ref="DT6">MATCH(MAX(ABS(DT3:DT5)), ABS(DT3:DT5), 0)</f>
        <v>3</v>
      </c>
      <c r="DU6" s="11">
        <f t="array" ref="DU6">MATCH(MAX(ABS(DU3:DU5)), ABS(DU3:DU5), 0)</f>
        <v>2</v>
      </c>
      <c r="DV6" s="11">
        <f t="array" ref="DV6">MATCH(MAX(ABS(DV3:DV5)), ABS(DV3:DV5), 0)</f>
        <v>1</v>
      </c>
      <c r="DW6" s="11">
        <f t="array" ref="DW6">MATCH(MAX(ABS(DW3:DW5)), ABS(DW3:DW5), 0)</f>
        <v>2</v>
      </c>
      <c r="DX6" s="11">
        <f t="array" ref="DX6">MATCH(MAX(ABS(DX3:DX5)), ABS(DX3:DX5), 0)</f>
        <v>1</v>
      </c>
      <c r="DY6" s="11">
        <f t="array" ref="DY6">MATCH(MAX(ABS(DY3:DY5)), ABS(DY3:DY5), 0)</f>
        <v>2</v>
      </c>
      <c r="DZ6" s="11">
        <f t="array" ref="DZ6">MATCH(MAX(ABS(DZ3:DZ5)), ABS(DZ3:DZ5), 0)</f>
        <v>2</v>
      </c>
      <c r="EA6" s="11">
        <f t="array" ref="EA6">MATCH(MAX(ABS(EA3:EA5)), ABS(EA3:EA5), 0)</f>
        <v>3</v>
      </c>
      <c r="EB6" s="11">
        <f t="array" ref="EB6">MATCH(MAX(ABS(EB3:EB5)), ABS(EB3:EB5), 0)</f>
        <v>3</v>
      </c>
      <c r="EC6" s="11">
        <f t="array" ref="EC6">MATCH(MAX(ABS(EC3:EC5)), ABS(EC3:EC5), 0)</f>
        <v>1</v>
      </c>
      <c r="ED6" s="11">
        <f t="array" ref="ED6">MATCH(MAX(ABS(ED3:ED5)), ABS(ED3:ED5), 0)</f>
        <v>1</v>
      </c>
      <c r="EE6" s="11">
        <f t="array" ref="EE6">MATCH(MAX(ABS(EE3:EE5)), ABS(EE3:EE5), 0)</f>
        <v>2</v>
      </c>
      <c r="EF6" s="11">
        <f t="array" ref="EF6">MATCH(MAX(ABS(EF3:EF5)), ABS(EF3:EF5), 0)</f>
        <v>2</v>
      </c>
      <c r="EG6" s="11">
        <f t="array" ref="EG6">MATCH(MAX(ABS(EG3:EG5)), ABS(EG3:EG5), 0)</f>
        <v>2</v>
      </c>
    </row>
    <row r="7" spans="1:138" x14ac:dyDescent="0.3"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G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  <c r="EG7" s="11" t="str">
        <f t="shared" si="4"/>
        <v>size</v>
      </c>
    </row>
    <row r="8" spans="1:138" x14ac:dyDescent="0.3"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G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  <c r="EG8" s="11">
        <f t="shared" si="9"/>
        <v>-0.15895948868776608</v>
      </c>
    </row>
    <row r="10" spans="1:138" x14ac:dyDescent="0.3">
      <c r="A10" s="22" t="s">
        <v>140</v>
      </c>
      <c r="B10" s="23"/>
      <c r="C10" s="1" t="s">
        <v>141</v>
      </c>
      <c r="D10" s="2">
        <v>964</v>
      </c>
    </row>
    <row r="11" spans="1:138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  <c r="EG11" t="s">
        <v>145</v>
      </c>
      <c r="EH11" t="s">
        <v>146</v>
      </c>
    </row>
    <row r="12" spans="1:138" x14ac:dyDescent="0.3">
      <c r="A12" s="1">
        <v>10</v>
      </c>
      <c r="B12" s="1">
        <v>96</v>
      </c>
      <c r="C12" s="11">
        <f>IF(真實IC!C12&gt;真實IC!C$26,1,0)</f>
        <v>1</v>
      </c>
      <c r="D12" s="11">
        <f>IF(真實IC!D12&gt;真實IC!D$26,1,0)</f>
        <v>1</v>
      </c>
      <c r="E12" s="11">
        <f>IF(真實IC!E12&gt;真實IC!E$26,1,0)</f>
        <v>1</v>
      </c>
      <c r="F12" s="11">
        <f>IF(真實IC!F12&gt;真實IC!F$26,1,0)</f>
        <v>1</v>
      </c>
      <c r="G12" s="11">
        <f>IF(真實IC!G12&gt;真實IC!G$26,1,0)</f>
        <v>1</v>
      </c>
      <c r="H12" s="11">
        <f>IF(真實IC!H12&gt;真實IC!H$26,1,0)</f>
        <v>1</v>
      </c>
      <c r="I12" s="11">
        <f>IF(真實IC!I12&gt;真實IC!I$26,1,0)</f>
        <v>1</v>
      </c>
      <c r="J12" s="11">
        <f>IF(真實IC!J12&gt;真實IC!J$26,1,0)</f>
        <v>1</v>
      </c>
      <c r="K12" s="11">
        <f>IF(真實IC!K12&gt;真實IC!K$26,1,0)</f>
        <v>1</v>
      </c>
      <c r="L12" s="11">
        <f>IF(真實IC!L12&gt;真實IC!L$26,1,0)</f>
        <v>1</v>
      </c>
      <c r="M12" s="11">
        <f>IF(真實IC!M12&gt;真實IC!M$26,1,0)</f>
        <v>1</v>
      </c>
      <c r="N12" s="11">
        <f>IF(真實IC!N12&gt;真實IC!N$26,1,0)</f>
        <v>1</v>
      </c>
      <c r="O12" s="11">
        <f>IF(真實IC!O12&gt;真實IC!O$26,1,0)</f>
        <v>1</v>
      </c>
      <c r="P12" s="11">
        <f>IF(真實IC!P12&gt;真實IC!P$26,1,0)</f>
        <v>0</v>
      </c>
      <c r="Q12" s="11">
        <f>IF(真實IC!Q12&gt;真實IC!Q$26,1,0)</f>
        <v>1</v>
      </c>
      <c r="R12" s="11">
        <f>IF(真實IC!R12&gt;真實IC!R$26,1,0)</f>
        <v>0</v>
      </c>
      <c r="S12" s="11">
        <f>IF(真實IC!S12&gt;真實IC!S$26,1,0)</f>
        <v>1</v>
      </c>
      <c r="T12" s="11">
        <f>IF(真實IC!T12&gt;真實IC!T$26,1,0)</f>
        <v>1</v>
      </c>
      <c r="U12" s="11">
        <f>IF(真實IC!U12&gt;真實IC!U$26,1,0)</f>
        <v>1</v>
      </c>
      <c r="V12" s="11">
        <f>IF(真實IC!V12&gt;真實IC!V$26,1,0)</f>
        <v>1</v>
      </c>
      <c r="W12" s="11">
        <f>IF(真實IC!W12&gt;真實IC!W$26,1,0)</f>
        <v>1</v>
      </c>
      <c r="X12" s="11">
        <f>IF(真實IC!X12&gt;真實IC!X$26,1,0)</f>
        <v>1</v>
      </c>
      <c r="Y12" s="11">
        <f>IF(真實IC!Y12&gt;真實IC!Y$26,1,0)</f>
        <v>1</v>
      </c>
      <c r="Z12" s="11">
        <f>IF(真實IC!Z12&gt;真實IC!Z$26,1,0)</f>
        <v>1</v>
      </c>
      <c r="AA12" s="11">
        <f>IF(真實IC!AA12&gt;真實IC!AA$26,1,0)</f>
        <v>1</v>
      </c>
      <c r="AB12" s="11">
        <f>IF(真實IC!AB12&gt;真實IC!AB$26,1,0)</f>
        <v>1</v>
      </c>
      <c r="AC12" s="11">
        <f>IF(真實IC!AC12&gt;真實IC!AC$26,1,0)</f>
        <v>1</v>
      </c>
      <c r="AD12" s="11">
        <f>IF(真實IC!AD12&gt;真實IC!AD$26,1,0)</f>
        <v>1</v>
      </c>
      <c r="AE12" s="11">
        <f>IF(真實IC!AE12&gt;真實IC!AE$26,1,0)</f>
        <v>1</v>
      </c>
      <c r="AF12" s="11">
        <f>IF(真實IC!AF12&gt;真實IC!AF$26,1,0)</f>
        <v>1</v>
      </c>
      <c r="AG12" s="11">
        <f>IF(真實IC!AG12&gt;真實IC!AG$26,1,0)</f>
        <v>0</v>
      </c>
      <c r="AH12" s="11">
        <f>IF(真實IC!AH12&gt;真實IC!AH$26,1,0)</f>
        <v>1</v>
      </c>
      <c r="AI12" s="11">
        <f>IF(真實IC!AI12&gt;真實IC!AI$26,1,0)</f>
        <v>1</v>
      </c>
      <c r="AJ12" s="11">
        <f>IF(真實IC!AJ12&gt;真實IC!AJ$26,1,0)</f>
        <v>0</v>
      </c>
      <c r="AK12" s="11">
        <f>IF(真實IC!AK12&gt;真實IC!AK$26,1,0)</f>
        <v>1</v>
      </c>
      <c r="AL12" s="11">
        <f>IF(真實IC!AL12&gt;真實IC!AL$26,1,0)</f>
        <v>1</v>
      </c>
      <c r="AM12" s="11">
        <f>IF(真實IC!AM12&gt;真實IC!AM$26,1,0)</f>
        <v>1</v>
      </c>
      <c r="AN12" s="11">
        <f>IF(真實IC!AN12&gt;真實IC!AN$26,1,0)</f>
        <v>1</v>
      </c>
      <c r="AO12" s="11">
        <f>IF(真實IC!AO12&gt;真實IC!AO$26,1,0)</f>
        <v>1</v>
      </c>
      <c r="AP12" s="11">
        <f>IF(真實IC!AP12&gt;真實IC!AP$26,1,0)</f>
        <v>1</v>
      </c>
      <c r="AQ12" s="11">
        <f>IF(真實IC!AQ12&gt;真實IC!AQ$26,1,0)</f>
        <v>0</v>
      </c>
      <c r="AR12" s="11">
        <f>IF(真實IC!AR12&gt;真實IC!AR$26,1,0)</f>
        <v>0</v>
      </c>
      <c r="AS12" s="11">
        <f>IF(真實IC!AS12&gt;真實IC!AS$26,1,0)</f>
        <v>1</v>
      </c>
      <c r="AT12" s="11">
        <f>IF(真實IC!AT12&gt;真實IC!AT$26,1,0)</f>
        <v>1</v>
      </c>
      <c r="AU12" s="11">
        <f>IF(真實IC!AU12&gt;真實IC!AU$26,1,0)</f>
        <v>1</v>
      </c>
      <c r="AV12" s="11">
        <f>IF(真實IC!AV12&gt;真實IC!AV$26,1,0)</f>
        <v>1</v>
      </c>
      <c r="AW12" s="11">
        <f>IF(真實IC!AW12&gt;真實IC!AW$26,1,0)</f>
        <v>1</v>
      </c>
      <c r="AX12" s="11">
        <f>IF(真實IC!AX12&gt;真實IC!AX$26,1,0)</f>
        <v>1</v>
      </c>
      <c r="AY12" s="11">
        <f>IF(真實IC!AY12&gt;真實IC!AY$26,1,0)</f>
        <v>0</v>
      </c>
      <c r="AZ12" s="11">
        <f>IF(真實IC!AZ12&gt;真實IC!AZ$26,1,0)</f>
        <v>1</v>
      </c>
      <c r="BA12" s="11">
        <f>IF(真實IC!BA12&gt;真實IC!BA$26,1,0)</f>
        <v>1</v>
      </c>
      <c r="BB12" s="11">
        <f>IF(真實IC!BB12&gt;真實IC!BB$26,1,0)</f>
        <v>1</v>
      </c>
      <c r="BC12" s="11">
        <f>IF(真實IC!BC12&gt;真實IC!BC$26,1,0)</f>
        <v>1</v>
      </c>
      <c r="BD12" s="11">
        <f>IF(真實IC!BD12&gt;真實IC!BD$26,1,0)</f>
        <v>1</v>
      </c>
      <c r="BE12" s="11">
        <f>IF(真實IC!BE12&gt;真實IC!BE$26,1,0)</f>
        <v>1</v>
      </c>
      <c r="BF12" s="11">
        <f>IF(真實IC!BF12&gt;真實IC!BF$26,1,0)</f>
        <v>1</v>
      </c>
      <c r="BG12" s="11">
        <f>IF(真實IC!BG12&gt;真實IC!BG$26,1,0)</f>
        <v>1</v>
      </c>
      <c r="BH12" s="11">
        <f>IF(真實IC!BH12&gt;真實IC!BH$26,1,0)</f>
        <v>1</v>
      </c>
      <c r="BI12" s="11">
        <f>IF(真實IC!BI12&gt;真實IC!BI$26,1,0)</f>
        <v>1</v>
      </c>
      <c r="BJ12" s="11">
        <f>IF(真實IC!BJ12&gt;真實IC!BJ$26,1,0)</f>
        <v>1</v>
      </c>
      <c r="BK12" s="11">
        <f>IF(真實IC!BK12&gt;真實IC!BK$26,1,0)</f>
        <v>0</v>
      </c>
      <c r="BL12" s="11">
        <f>IF(真實IC!BL12&gt;真實IC!BL$26,1,0)</f>
        <v>0</v>
      </c>
      <c r="BM12" s="11">
        <f>IF(真實IC!BM12&gt;真實IC!BM$26,1,0)</f>
        <v>1</v>
      </c>
      <c r="BN12" s="11">
        <f>IF(真實IC!BN12&gt;真實IC!BN$26,1,0)</f>
        <v>0</v>
      </c>
      <c r="BO12" s="11">
        <f>IF(真實IC!BO12&gt;真實IC!BO$26,1,0)</f>
        <v>1</v>
      </c>
      <c r="BP12" s="11">
        <f>IF(真實IC!BP12&gt;真實IC!BP$26,1,0)</f>
        <v>1</v>
      </c>
      <c r="BQ12" s="11">
        <f>IF(真實IC!BQ12&gt;真實IC!BQ$26,1,0)</f>
        <v>1</v>
      </c>
      <c r="BR12" s="11">
        <f>IF(真實IC!BR12&gt;真實IC!BR$26,1,0)</f>
        <v>1</v>
      </c>
      <c r="BS12" s="11">
        <f>IF(真實IC!BS12&gt;真實IC!BS$26,1,0)</f>
        <v>1</v>
      </c>
      <c r="BT12" s="11">
        <f>IF(真實IC!BT12&gt;真實IC!BT$26,1,0)</f>
        <v>0</v>
      </c>
      <c r="BU12" s="11">
        <f>IF(真實IC!BU12&gt;真實IC!BU$26,1,0)</f>
        <v>1</v>
      </c>
      <c r="BV12" s="11">
        <f>IF(真實IC!BV12&gt;真實IC!BV$26,1,0)</f>
        <v>0</v>
      </c>
      <c r="BW12" s="11">
        <f>IF(真實IC!BW12&gt;真實IC!BW$26,1,0)</f>
        <v>1</v>
      </c>
      <c r="BX12" s="11">
        <f>IF(真實IC!BX12&gt;真實IC!BX$26,1,0)</f>
        <v>1</v>
      </c>
      <c r="BY12" s="11">
        <f>IF(真實IC!BY12&gt;真實IC!BY$26,1,0)</f>
        <v>1</v>
      </c>
      <c r="BZ12" s="11">
        <f>IF(真實IC!BZ12&gt;真實IC!BZ$26,1,0)</f>
        <v>0</v>
      </c>
      <c r="CA12" s="11">
        <f>IF(真實IC!CA12&gt;真實IC!CA$26,1,0)</f>
        <v>1</v>
      </c>
      <c r="CB12" s="11">
        <f>IF(真實IC!CB12&gt;真實IC!CB$26,1,0)</f>
        <v>1</v>
      </c>
      <c r="CC12" s="11">
        <f>IF(真實IC!CC12&gt;真實IC!CC$26,1,0)</f>
        <v>0</v>
      </c>
      <c r="CD12" s="11">
        <f>IF(真實IC!CD12&gt;真實IC!CD$26,1,0)</f>
        <v>1</v>
      </c>
      <c r="CE12" s="11">
        <f>IF(真實IC!CE12&gt;真實IC!CE$26,1,0)</f>
        <v>1</v>
      </c>
      <c r="CF12" s="11">
        <f>IF(真實IC!CF12&gt;真實IC!CF$26,1,0)</f>
        <v>1</v>
      </c>
      <c r="CG12" s="11">
        <f>IF(真實IC!CG12&gt;真實IC!CG$26,1,0)</f>
        <v>0</v>
      </c>
      <c r="CH12" s="11">
        <f>IF(真實IC!CH12&gt;真實IC!CH$26,1,0)</f>
        <v>0</v>
      </c>
      <c r="CI12" s="11">
        <f>IF(真實IC!CI12&gt;真實IC!CI$26,1,0)</f>
        <v>1</v>
      </c>
      <c r="CJ12" s="11">
        <f>IF(真實IC!CJ12&gt;真實IC!CJ$26,1,0)</f>
        <v>1</v>
      </c>
      <c r="CK12" s="11">
        <f>IF(真實IC!CK12&gt;真實IC!CK$26,1,0)</f>
        <v>1</v>
      </c>
      <c r="CL12" s="11">
        <f>IF(真實IC!CL12&gt;真實IC!CL$26,1,0)</f>
        <v>1</v>
      </c>
      <c r="CM12" s="11">
        <f>IF(真實IC!CM12&gt;真實IC!CM$26,1,0)</f>
        <v>1</v>
      </c>
      <c r="CN12" s="11">
        <f>IF(真實IC!CN12&gt;真實IC!CN$26,1,0)</f>
        <v>1</v>
      </c>
      <c r="CO12" s="11">
        <f>IF(真實IC!CO12&gt;真實IC!CO$26,1,0)</f>
        <v>1</v>
      </c>
      <c r="CP12" s="11">
        <f>IF(真實IC!CP12&gt;真實IC!CP$26,1,0)</f>
        <v>1</v>
      </c>
      <c r="CQ12" s="11">
        <f>IF(真實IC!CQ12&gt;真實IC!CQ$26,1,0)</f>
        <v>1</v>
      </c>
      <c r="CR12" s="11">
        <f>IF(真實IC!CR12&gt;真實IC!CR$26,1,0)</f>
        <v>1</v>
      </c>
      <c r="CS12" s="11">
        <f>IF(真實IC!CS12&gt;真實IC!CS$26,1,0)</f>
        <v>0</v>
      </c>
      <c r="CT12" s="11">
        <f>IF(真實IC!CT12&gt;真實IC!CT$26,1,0)</f>
        <v>0</v>
      </c>
      <c r="CU12" s="11">
        <f>IF(真實IC!CU12&gt;真實IC!CU$26,1,0)</f>
        <v>1</v>
      </c>
      <c r="CV12" s="11">
        <f>IF(真實IC!CV12&gt;真實IC!CV$26,1,0)</f>
        <v>1</v>
      </c>
      <c r="CW12" s="11">
        <f>IF(真實IC!CW12&gt;真實IC!CW$26,1,0)</f>
        <v>1</v>
      </c>
      <c r="CX12" s="11">
        <f>IF(真實IC!CX12&gt;真實IC!CX$26,1,0)</f>
        <v>1</v>
      </c>
      <c r="CY12" s="11">
        <f>IF(真實IC!CY12&gt;真實IC!CY$26,1,0)</f>
        <v>1</v>
      </c>
      <c r="CZ12" s="11">
        <f>IF(真實IC!CZ12&gt;真實IC!CZ$26,1,0)</f>
        <v>1</v>
      </c>
      <c r="DA12" s="11">
        <f>IF(真實IC!DA12&gt;真實IC!DA$26,1,0)</f>
        <v>1</v>
      </c>
      <c r="DB12" s="11">
        <f>IF(真實IC!DB12&gt;真實IC!DB$26,1,0)</f>
        <v>1</v>
      </c>
      <c r="DC12" s="11">
        <f>IF(真實IC!DC12&gt;真實IC!DC$26,1,0)</f>
        <v>1</v>
      </c>
      <c r="DD12" s="11">
        <f>IF(真實IC!DD12&gt;真實IC!DD$26,1,0)</f>
        <v>1</v>
      </c>
      <c r="DE12" s="11">
        <f>IF(真實IC!DE12&gt;真實IC!DE$26,1,0)</f>
        <v>0</v>
      </c>
      <c r="DF12" s="11">
        <f>IF(真實IC!DF12&gt;真實IC!DF$26,1,0)</f>
        <v>1</v>
      </c>
      <c r="DG12" s="11">
        <f>IF(真實IC!DG12&gt;真實IC!DG$26,1,0)</f>
        <v>0</v>
      </c>
      <c r="DH12" s="11">
        <f>IF(真實IC!DH12&gt;真實IC!DH$26,1,0)</f>
        <v>1</v>
      </c>
      <c r="DI12" s="11">
        <f>IF(真實IC!DI12&gt;真實IC!DI$26,1,0)</f>
        <v>1</v>
      </c>
      <c r="DJ12" s="11">
        <f>IF(真實IC!DJ12&gt;真實IC!DJ$26,1,0)</f>
        <v>1</v>
      </c>
      <c r="DK12" s="11">
        <f>IF(真實IC!DK12&gt;真實IC!DK$26,1,0)</f>
        <v>0</v>
      </c>
      <c r="DL12" s="11">
        <f>IF(真實IC!DL12&gt;真實IC!DL$26,1,0)</f>
        <v>0</v>
      </c>
      <c r="DM12" s="11">
        <f>IF(真實IC!DM12&gt;真實IC!DM$26,1,0)</f>
        <v>1</v>
      </c>
      <c r="DN12" s="11">
        <f>IF(真實IC!DN12&gt;真實IC!DN$26,1,0)</f>
        <v>1</v>
      </c>
      <c r="DO12" s="11">
        <f>IF(真實IC!DO12&gt;真實IC!DO$26,1,0)</f>
        <v>1</v>
      </c>
      <c r="DP12" s="11">
        <f>IF(真實IC!DP12&gt;真實IC!DP$26,1,0)</f>
        <v>1</v>
      </c>
      <c r="DQ12" s="11">
        <f>IF(真實IC!DQ12&gt;真實IC!DQ$26,1,0)</f>
        <v>0</v>
      </c>
      <c r="DR12" s="11">
        <f>IF(真實IC!DR12&gt;真實IC!DR$26,1,0)</f>
        <v>0</v>
      </c>
      <c r="DS12" s="11">
        <f>IF(真實IC!DS12&gt;真實IC!DS$26,1,0)</f>
        <v>1</v>
      </c>
      <c r="DT12" s="11">
        <f>IF(真實IC!DT12&gt;真實IC!DT$26,1,0)</f>
        <v>0</v>
      </c>
      <c r="DU12" s="11">
        <f>IF(真實IC!DU12&gt;真實IC!DU$26,1,0)</f>
        <v>0</v>
      </c>
      <c r="DV12" s="11">
        <f>IF(真實IC!DV12&gt;真實IC!DV$26,1,0)</f>
        <v>1</v>
      </c>
      <c r="DW12" s="11">
        <f>IF(真實IC!DW12&gt;真實IC!DW$26,1,0)</f>
        <v>1</v>
      </c>
      <c r="DX12" s="11">
        <f>IF(真實IC!DX12&gt;真實IC!DX$26,1,0)</f>
        <v>0</v>
      </c>
      <c r="DY12" s="11">
        <f>IF(真實IC!DY12&gt;真實IC!DY$26,1,0)</f>
        <v>1</v>
      </c>
      <c r="DZ12" s="11">
        <f>IF(真實IC!DZ12&gt;真實IC!DZ$26,1,0)</f>
        <v>1</v>
      </c>
      <c r="EA12" s="11">
        <f>IF(真實IC!EA12&gt;真實IC!EA$26,1,0)</f>
        <v>1</v>
      </c>
      <c r="EB12" s="11">
        <f>IF(真實IC!EB12&gt;真實IC!EB$26,1,0)</f>
        <v>1</v>
      </c>
      <c r="EC12" s="11">
        <f>IF(真實IC!EC12&gt;真實IC!EC$26,1,0)</f>
        <v>1</v>
      </c>
      <c r="ED12" s="11">
        <f>IF(真實IC!ED12&gt;真實IC!ED$26,1,0)</f>
        <v>1</v>
      </c>
      <c r="EE12" s="11">
        <f>IF(真實IC!EE12&gt;真實IC!EE$26,1,0)</f>
        <v>1</v>
      </c>
      <c r="EF12" s="11">
        <f>IF(真實IC!EF12&gt;真實IC!EF$26,1,0)</f>
        <v>1</v>
      </c>
      <c r="EG12">
        <f>SUM(C12:EF12)</f>
        <v>107</v>
      </c>
      <c r="EH12" s="19">
        <f t="shared" ref="EH12:EH24" si="10">SUM(C12:EE12)/134</f>
        <v>0.79104477611940294</v>
      </c>
    </row>
    <row r="13" spans="1:138" x14ac:dyDescent="0.3">
      <c r="A13" s="1">
        <v>20</v>
      </c>
      <c r="B13" s="1">
        <v>48</v>
      </c>
      <c r="C13" s="11">
        <f>IF(真實IC!C13&gt;真實IC!C$26,1,0)</f>
        <v>1</v>
      </c>
      <c r="D13" s="11">
        <f>IF(真實IC!D13&gt;真實IC!D$26,1,0)</f>
        <v>1</v>
      </c>
      <c r="E13" s="11">
        <f>IF(真實IC!E13&gt;真實IC!E$26,1,0)</f>
        <v>1</v>
      </c>
      <c r="F13" s="11">
        <f>IF(真實IC!F13&gt;真實IC!F$26,1,0)</f>
        <v>1</v>
      </c>
      <c r="G13" s="11">
        <f>IF(真實IC!G13&gt;真實IC!G$26,1,0)</f>
        <v>0</v>
      </c>
      <c r="H13" s="11">
        <f>IF(真實IC!H13&gt;真實IC!H$26,1,0)</f>
        <v>0</v>
      </c>
      <c r="I13" s="11">
        <f>IF(真實IC!I13&gt;真實IC!I$26,1,0)</f>
        <v>1</v>
      </c>
      <c r="J13" s="11">
        <f>IF(真實IC!J13&gt;真實IC!J$26,1,0)</f>
        <v>1</v>
      </c>
      <c r="K13" s="11">
        <f>IF(真實IC!K13&gt;真實IC!K$26,1,0)</f>
        <v>1</v>
      </c>
      <c r="L13" s="11">
        <f>IF(真實IC!L13&gt;真實IC!L$26,1,0)</f>
        <v>1</v>
      </c>
      <c r="M13" s="11">
        <f>IF(真實IC!M13&gt;真實IC!M$26,1,0)</f>
        <v>0</v>
      </c>
      <c r="N13" s="11">
        <f>IF(真實IC!N13&gt;真實IC!N$26,1,0)</f>
        <v>1</v>
      </c>
      <c r="O13" s="11">
        <f>IF(真實IC!O13&gt;真實IC!O$26,1,0)</f>
        <v>1</v>
      </c>
      <c r="P13" s="11">
        <f>IF(真實IC!P13&gt;真實IC!P$26,1,0)</f>
        <v>0</v>
      </c>
      <c r="Q13" s="11">
        <f>IF(真實IC!Q13&gt;真實IC!Q$26,1,0)</f>
        <v>1</v>
      </c>
      <c r="R13" s="11">
        <f>IF(真實IC!R13&gt;真實IC!R$26,1,0)</f>
        <v>0</v>
      </c>
      <c r="S13" s="11">
        <f>IF(真實IC!S13&gt;真實IC!S$26,1,0)</f>
        <v>1</v>
      </c>
      <c r="T13" s="11">
        <f>IF(真實IC!T13&gt;真實IC!T$26,1,0)</f>
        <v>1</v>
      </c>
      <c r="U13" s="11">
        <f>IF(真實IC!U13&gt;真實IC!U$26,1,0)</f>
        <v>1</v>
      </c>
      <c r="V13" s="11">
        <f>IF(真實IC!V13&gt;真實IC!V$26,1,0)</f>
        <v>1</v>
      </c>
      <c r="W13" s="11">
        <f>IF(真實IC!W13&gt;真實IC!W$26,1,0)</f>
        <v>1</v>
      </c>
      <c r="X13" s="11">
        <f>IF(真實IC!X13&gt;真實IC!X$26,1,0)</f>
        <v>1</v>
      </c>
      <c r="Y13" s="11">
        <f>IF(真實IC!Y13&gt;真實IC!Y$26,1,0)</f>
        <v>1</v>
      </c>
      <c r="Z13" s="11">
        <f>IF(真實IC!Z13&gt;真實IC!Z$26,1,0)</f>
        <v>1</v>
      </c>
      <c r="AA13" s="11">
        <f>IF(真實IC!AA13&gt;真實IC!AA$26,1,0)</f>
        <v>1</v>
      </c>
      <c r="AB13" s="11">
        <f>IF(真實IC!AB13&gt;真實IC!AB$26,1,0)</f>
        <v>1</v>
      </c>
      <c r="AC13" s="11">
        <f>IF(真實IC!AC13&gt;真實IC!AC$26,1,0)</f>
        <v>1</v>
      </c>
      <c r="AD13" s="11">
        <f>IF(真實IC!AD13&gt;真實IC!AD$26,1,0)</f>
        <v>1</v>
      </c>
      <c r="AE13" s="11">
        <f>IF(真實IC!AE13&gt;真實IC!AE$26,1,0)</f>
        <v>1</v>
      </c>
      <c r="AF13" s="11">
        <f>IF(真實IC!AF13&gt;真實IC!AF$26,1,0)</f>
        <v>1</v>
      </c>
      <c r="AG13" s="11">
        <f>IF(真實IC!AG13&gt;真實IC!AG$26,1,0)</f>
        <v>0</v>
      </c>
      <c r="AH13" s="11">
        <f>IF(真實IC!AH13&gt;真實IC!AH$26,1,0)</f>
        <v>1</v>
      </c>
      <c r="AI13" s="11">
        <f>IF(真實IC!AI13&gt;真實IC!AI$26,1,0)</f>
        <v>1</v>
      </c>
      <c r="AJ13" s="11">
        <f>IF(真實IC!AJ13&gt;真實IC!AJ$26,1,0)</f>
        <v>0</v>
      </c>
      <c r="AK13" s="11">
        <f>IF(真實IC!AK13&gt;真實IC!AK$26,1,0)</f>
        <v>1</v>
      </c>
      <c r="AL13" s="11">
        <f>IF(真實IC!AL13&gt;真實IC!AL$26,1,0)</f>
        <v>1</v>
      </c>
      <c r="AM13" s="11">
        <f>IF(真實IC!AM13&gt;真實IC!AM$26,1,0)</f>
        <v>1</v>
      </c>
      <c r="AN13" s="11">
        <f>IF(真實IC!AN13&gt;真實IC!AN$26,1,0)</f>
        <v>1</v>
      </c>
      <c r="AO13" s="11">
        <f>IF(真實IC!AO13&gt;真實IC!AO$26,1,0)</f>
        <v>0</v>
      </c>
      <c r="AP13" s="11">
        <f>IF(真實IC!AP13&gt;真實IC!AP$26,1,0)</f>
        <v>1</v>
      </c>
      <c r="AQ13" s="11">
        <f>IF(真實IC!AQ13&gt;真實IC!AQ$26,1,0)</f>
        <v>0</v>
      </c>
      <c r="AR13" s="11">
        <f>IF(真實IC!AR13&gt;真實IC!AR$26,1,0)</f>
        <v>0</v>
      </c>
      <c r="AS13" s="11">
        <f>IF(真實IC!AS13&gt;真實IC!AS$26,1,0)</f>
        <v>1</v>
      </c>
      <c r="AT13" s="11">
        <f>IF(真實IC!AT13&gt;真實IC!AT$26,1,0)</f>
        <v>1</v>
      </c>
      <c r="AU13" s="11">
        <f>IF(真實IC!AU13&gt;真實IC!AU$26,1,0)</f>
        <v>1</v>
      </c>
      <c r="AV13" s="11">
        <f>IF(真實IC!AV13&gt;真實IC!AV$26,1,0)</f>
        <v>1</v>
      </c>
      <c r="AW13" s="11">
        <f>IF(真實IC!AW13&gt;真實IC!AW$26,1,0)</f>
        <v>1</v>
      </c>
      <c r="AX13" s="11">
        <f>IF(真實IC!AX13&gt;真實IC!AX$26,1,0)</f>
        <v>1</v>
      </c>
      <c r="AY13" s="11">
        <f>IF(真實IC!AY13&gt;真實IC!AY$26,1,0)</f>
        <v>0</v>
      </c>
      <c r="AZ13" s="11">
        <f>IF(真實IC!AZ13&gt;真實IC!AZ$26,1,0)</f>
        <v>1</v>
      </c>
      <c r="BA13" s="11">
        <f>IF(真實IC!BA13&gt;真實IC!BA$26,1,0)</f>
        <v>1</v>
      </c>
      <c r="BB13" s="11">
        <f>IF(真實IC!BB13&gt;真實IC!BB$26,1,0)</f>
        <v>1</v>
      </c>
      <c r="BC13" s="11">
        <f>IF(真實IC!BC13&gt;真實IC!BC$26,1,0)</f>
        <v>0</v>
      </c>
      <c r="BD13" s="11">
        <f>IF(真實IC!BD13&gt;真實IC!BD$26,1,0)</f>
        <v>1</v>
      </c>
      <c r="BE13" s="11">
        <f>IF(真實IC!BE13&gt;真實IC!BE$26,1,0)</f>
        <v>1</v>
      </c>
      <c r="BF13" s="11">
        <f>IF(真實IC!BF13&gt;真實IC!BF$26,1,0)</f>
        <v>1</v>
      </c>
      <c r="BG13" s="11">
        <f>IF(真實IC!BG13&gt;真實IC!BG$26,1,0)</f>
        <v>1</v>
      </c>
      <c r="BH13" s="11">
        <f>IF(真實IC!BH13&gt;真實IC!BH$26,1,0)</f>
        <v>1</v>
      </c>
      <c r="BI13" s="11">
        <f>IF(真實IC!BI13&gt;真實IC!BI$26,1,0)</f>
        <v>1</v>
      </c>
      <c r="BJ13" s="11">
        <f>IF(真實IC!BJ13&gt;真實IC!BJ$26,1,0)</f>
        <v>1</v>
      </c>
      <c r="BK13" s="11">
        <f>IF(真實IC!BK13&gt;真實IC!BK$26,1,0)</f>
        <v>1</v>
      </c>
      <c r="BL13" s="11">
        <f>IF(真實IC!BL13&gt;真實IC!BL$26,1,0)</f>
        <v>0</v>
      </c>
      <c r="BM13" s="11">
        <f>IF(真實IC!BM13&gt;真實IC!BM$26,1,0)</f>
        <v>1</v>
      </c>
      <c r="BN13" s="11">
        <f>IF(真實IC!BN13&gt;真實IC!BN$26,1,0)</f>
        <v>0</v>
      </c>
      <c r="BO13" s="11">
        <f>IF(真實IC!BO13&gt;真實IC!BO$26,1,0)</f>
        <v>1</v>
      </c>
      <c r="BP13" s="11">
        <f>IF(真實IC!BP13&gt;真實IC!BP$26,1,0)</f>
        <v>0</v>
      </c>
      <c r="BQ13" s="11">
        <f>IF(真實IC!BQ13&gt;真實IC!BQ$26,1,0)</f>
        <v>1</v>
      </c>
      <c r="BR13" s="11">
        <f>IF(真實IC!BR13&gt;真實IC!BR$26,1,0)</f>
        <v>1</v>
      </c>
      <c r="BS13" s="11">
        <f>IF(真實IC!BS13&gt;真實IC!BS$26,1,0)</f>
        <v>1</v>
      </c>
      <c r="BT13" s="11">
        <f>IF(真實IC!BT13&gt;真實IC!BT$26,1,0)</f>
        <v>0</v>
      </c>
      <c r="BU13" s="11">
        <f>IF(真實IC!BU13&gt;真實IC!BU$26,1,0)</f>
        <v>1</v>
      </c>
      <c r="BV13" s="11">
        <f>IF(真實IC!BV13&gt;真實IC!BV$26,1,0)</f>
        <v>1</v>
      </c>
      <c r="BW13" s="11">
        <f>IF(真實IC!BW13&gt;真實IC!BW$26,1,0)</f>
        <v>1</v>
      </c>
      <c r="BX13" s="11">
        <f>IF(真實IC!BX13&gt;真實IC!BX$26,1,0)</f>
        <v>1</v>
      </c>
      <c r="BY13" s="11">
        <f>IF(真實IC!BY13&gt;真實IC!BY$26,1,0)</f>
        <v>1</v>
      </c>
      <c r="BZ13" s="11">
        <f>IF(真實IC!BZ13&gt;真實IC!BZ$26,1,0)</f>
        <v>0</v>
      </c>
      <c r="CA13" s="11">
        <f>IF(真實IC!CA13&gt;真實IC!CA$26,1,0)</f>
        <v>1</v>
      </c>
      <c r="CB13" s="11">
        <f>IF(真實IC!CB13&gt;真實IC!CB$26,1,0)</f>
        <v>1</v>
      </c>
      <c r="CC13" s="11">
        <f>IF(真實IC!CC13&gt;真實IC!CC$26,1,0)</f>
        <v>1</v>
      </c>
      <c r="CD13" s="11">
        <f>IF(真實IC!CD13&gt;真實IC!CD$26,1,0)</f>
        <v>1</v>
      </c>
      <c r="CE13" s="11">
        <f>IF(真實IC!CE13&gt;真實IC!CE$26,1,0)</f>
        <v>1</v>
      </c>
      <c r="CF13" s="11">
        <f>IF(真實IC!CF13&gt;真實IC!CF$26,1,0)</f>
        <v>1</v>
      </c>
      <c r="CG13" s="11">
        <f>IF(真實IC!CG13&gt;真實IC!CG$26,1,0)</f>
        <v>0</v>
      </c>
      <c r="CH13" s="11">
        <f>IF(真實IC!CH13&gt;真實IC!CH$26,1,0)</f>
        <v>0</v>
      </c>
      <c r="CI13" s="11">
        <f>IF(真實IC!CI13&gt;真實IC!CI$26,1,0)</f>
        <v>1</v>
      </c>
      <c r="CJ13" s="11">
        <f>IF(真實IC!CJ13&gt;真實IC!CJ$26,1,0)</f>
        <v>1</v>
      </c>
      <c r="CK13" s="11">
        <f>IF(真實IC!CK13&gt;真實IC!CK$26,1,0)</f>
        <v>1</v>
      </c>
      <c r="CL13" s="11">
        <f>IF(真實IC!CL13&gt;真實IC!CL$26,1,0)</f>
        <v>1</v>
      </c>
      <c r="CM13" s="11">
        <f>IF(真實IC!CM13&gt;真實IC!CM$26,1,0)</f>
        <v>1</v>
      </c>
      <c r="CN13" s="11">
        <f>IF(真實IC!CN13&gt;真實IC!CN$26,1,0)</f>
        <v>1</v>
      </c>
      <c r="CO13" s="11">
        <f>IF(真實IC!CO13&gt;真實IC!CO$26,1,0)</f>
        <v>1</v>
      </c>
      <c r="CP13" s="11">
        <f>IF(真實IC!CP13&gt;真實IC!CP$26,1,0)</f>
        <v>1</v>
      </c>
      <c r="CQ13" s="11">
        <f>IF(真實IC!CQ13&gt;真實IC!CQ$26,1,0)</f>
        <v>1</v>
      </c>
      <c r="CR13" s="11">
        <f>IF(真實IC!CR13&gt;真實IC!CR$26,1,0)</f>
        <v>1</v>
      </c>
      <c r="CS13" s="11">
        <f>IF(真實IC!CS13&gt;真實IC!CS$26,1,0)</f>
        <v>0</v>
      </c>
      <c r="CT13" s="11">
        <f>IF(真實IC!CT13&gt;真實IC!CT$26,1,0)</f>
        <v>0</v>
      </c>
      <c r="CU13" s="11">
        <f>IF(真實IC!CU13&gt;真實IC!CU$26,1,0)</f>
        <v>1</v>
      </c>
      <c r="CV13" s="11">
        <f>IF(真實IC!CV13&gt;真實IC!CV$26,1,0)</f>
        <v>1</v>
      </c>
      <c r="CW13" s="11">
        <f>IF(真實IC!CW13&gt;真實IC!CW$26,1,0)</f>
        <v>1</v>
      </c>
      <c r="CX13" s="11">
        <f>IF(真實IC!CX13&gt;真實IC!CX$26,1,0)</f>
        <v>1</v>
      </c>
      <c r="CY13" s="11">
        <f>IF(真實IC!CY13&gt;真實IC!CY$26,1,0)</f>
        <v>1</v>
      </c>
      <c r="CZ13" s="11">
        <f>IF(真實IC!CZ13&gt;真實IC!CZ$26,1,0)</f>
        <v>1</v>
      </c>
      <c r="DA13" s="11">
        <f>IF(真實IC!DA13&gt;真實IC!DA$26,1,0)</f>
        <v>1</v>
      </c>
      <c r="DB13" s="11">
        <f>IF(真實IC!DB13&gt;真實IC!DB$26,1,0)</f>
        <v>1</v>
      </c>
      <c r="DC13" s="11">
        <f>IF(真實IC!DC13&gt;真實IC!DC$26,1,0)</f>
        <v>1</v>
      </c>
      <c r="DD13" s="11">
        <f>IF(真實IC!DD13&gt;真實IC!DD$26,1,0)</f>
        <v>1</v>
      </c>
      <c r="DE13" s="11">
        <f>IF(真實IC!DE13&gt;真實IC!DE$26,1,0)</f>
        <v>0</v>
      </c>
      <c r="DF13" s="11">
        <f>IF(真實IC!DF13&gt;真實IC!DF$26,1,0)</f>
        <v>1</v>
      </c>
      <c r="DG13" s="11">
        <f>IF(真實IC!DG13&gt;真實IC!DG$26,1,0)</f>
        <v>0</v>
      </c>
      <c r="DH13" s="11">
        <f>IF(真實IC!DH13&gt;真實IC!DH$26,1,0)</f>
        <v>1</v>
      </c>
      <c r="DI13" s="11">
        <f>IF(真實IC!DI13&gt;真實IC!DI$26,1,0)</f>
        <v>1</v>
      </c>
      <c r="DJ13" s="11">
        <f>IF(真實IC!DJ13&gt;真實IC!DJ$26,1,0)</f>
        <v>1</v>
      </c>
      <c r="DK13" s="11">
        <f>IF(真實IC!DK13&gt;真實IC!DK$26,1,0)</f>
        <v>0</v>
      </c>
      <c r="DL13" s="11">
        <f>IF(真實IC!DL13&gt;真實IC!DL$26,1,0)</f>
        <v>1</v>
      </c>
      <c r="DM13" s="11">
        <f>IF(真實IC!DM13&gt;真實IC!DM$26,1,0)</f>
        <v>0</v>
      </c>
      <c r="DN13" s="11">
        <f>IF(真實IC!DN13&gt;真實IC!DN$26,1,0)</f>
        <v>1</v>
      </c>
      <c r="DO13" s="11">
        <f>IF(真實IC!DO13&gt;真實IC!DO$26,1,0)</f>
        <v>1</v>
      </c>
      <c r="DP13" s="11">
        <f>IF(真實IC!DP13&gt;真實IC!DP$26,1,0)</f>
        <v>1</v>
      </c>
      <c r="DQ13" s="11">
        <f>IF(真實IC!DQ13&gt;真實IC!DQ$26,1,0)</f>
        <v>1</v>
      </c>
      <c r="DR13" s="11">
        <f>IF(真實IC!DR13&gt;真實IC!DR$26,1,0)</f>
        <v>0</v>
      </c>
      <c r="DS13" s="11">
        <f>IF(真實IC!DS13&gt;真實IC!DS$26,1,0)</f>
        <v>1</v>
      </c>
      <c r="DT13" s="11">
        <f>IF(真實IC!DT13&gt;真實IC!DT$26,1,0)</f>
        <v>0</v>
      </c>
      <c r="DU13" s="11">
        <f>IF(真實IC!DU13&gt;真實IC!DU$26,1,0)</f>
        <v>0</v>
      </c>
      <c r="DV13" s="11">
        <f>IF(真實IC!DV13&gt;真實IC!DV$26,1,0)</f>
        <v>1</v>
      </c>
      <c r="DW13" s="11">
        <f>IF(真實IC!DW13&gt;真實IC!DW$26,1,0)</f>
        <v>1</v>
      </c>
      <c r="DX13" s="11">
        <f>IF(真實IC!DX13&gt;真實IC!DX$26,1,0)</f>
        <v>0</v>
      </c>
      <c r="DY13" s="11">
        <f>IF(真實IC!DY13&gt;真實IC!DY$26,1,0)</f>
        <v>1</v>
      </c>
      <c r="DZ13" s="11">
        <f>IF(真實IC!DZ13&gt;真實IC!DZ$26,1,0)</f>
        <v>1</v>
      </c>
      <c r="EA13" s="11">
        <f>IF(真實IC!EA13&gt;真實IC!EA$26,1,0)</f>
        <v>1</v>
      </c>
      <c r="EB13" s="11">
        <f>IF(真實IC!EB13&gt;真實IC!EB$26,1,0)</f>
        <v>1</v>
      </c>
      <c r="EC13" s="11">
        <f>IF(真實IC!EC13&gt;真實IC!EC$26,1,0)</f>
        <v>1</v>
      </c>
      <c r="ED13" s="11">
        <f>IF(真實IC!ED13&gt;真實IC!ED$26,1,0)</f>
        <v>1</v>
      </c>
      <c r="EE13" s="11">
        <f>IF(真實IC!EE13&gt;真實IC!EE$26,1,0)</f>
        <v>1</v>
      </c>
      <c r="EF13" s="11">
        <f>IF(真實IC!EF13&gt;真實IC!EF$26,1,0)</f>
        <v>1</v>
      </c>
      <c r="EG13">
        <f t="shared" ref="EG13:EG24" si="11">SUM(C13:EF13)</f>
        <v>105</v>
      </c>
      <c r="EH13" s="19">
        <f t="shared" si="10"/>
        <v>0.77611940298507465</v>
      </c>
    </row>
    <row r="14" spans="1:138" x14ac:dyDescent="0.3">
      <c r="A14" s="1">
        <v>50</v>
      </c>
      <c r="B14" s="1">
        <v>19</v>
      </c>
      <c r="C14" s="11">
        <f>IF(真實IC!C14&gt;真實IC!C$26,1,0)</f>
        <v>1</v>
      </c>
      <c r="D14" s="11">
        <f>IF(真實IC!D14&gt;真實IC!D$26,1,0)</f>
        <v>1</v>
      </c>
      <c r="E14" s="11">
        <f>IF(真實IC!E14&gt;真實IC!E$26,1,0)</f>
        <v>1</v>
      </c>
      <c r="F14" s="11">
        <f>IF(真實IC!F14&gt;真實IC!F$26,1,0)</f>
        <v>1</v>
      </c>
      <c r="G14" s="11">
        <f>IF(真實IC!G14&gt;真實IC!G$26,1,0)</f>
        <v>1</v>
      </c>
      <c r="H14" s="11">
        <f>IF(真實IC!H14&gt;真實IC!H$26,1,0)</f>
        <v>1</v>
      </c>
      <c r="I14" s="11">
        <f>IF(真實IC!I14&gt;真實IC!I$26,1,0)</f>
        <v>1</v>
      </c>
      <c r="J14" s="11">
        <f>IF(真實IC!J14&gt;真實IC!J$26,1,0)</f>
        <v>1</v>
      </c>
      <c r="K14" s="11">
        <f>IF(真實IC!K14&gt;真實IC!K$26,1,0)</f>
        <v>1</v>
      </c>
      <c r="L14" s="11">
        <f>IF(真實IC!L14&gt;真實IC!L$26,1,0)</f>
        <v>1</v>
      </c>
      <c r="M14" s="11">
        <f>IF(真實IC!M14&gt;真實IC!M$26,1,0)</f>
        <v>0</v>
      </c>
      <c r="N14" s="11">
        <f>IF(真實IC!N14&gt;真實IC!N$26,1,0)</f>
        <v>1</v>
      </c>
      <c r="O14" s="11">
        <f>IF(真實IC!O14&gt;真實IC!O$26,1,0)</f>
        <v>0</v>
      </c>
      <c r="P14" s="11">
        <f>IF(真實IC!P14&gt;真實IC!P$26,1,0)</f>
        <v>1</v>
      </c>
      <c r="Q14" s="11">
        <f>IF(真實IC!Q14&gt;真實IC!Q$26,1,0)</f>
        <v>1</v>
      </c>
      <c r="R14" s="11">
        <f>IF(真實IC!R14&gt;真實IC!R$26,1,0)</f>
        <v>0</v>
      </c>
      <c r="S14" s="11">
        <f>IF(真實IC!S14&gt;真實IC!S$26,1,0)</f>
        <v>1</v>
      </c>
      <c r="T14" s="11">
        <f>IF(真實IC!T14&gt;真實IC!T$26,1,0)</f>
        <v>1</v>
      </c>
      <c r="U14" s="11">
        <f>IF(真實IC!U14&gt;真實IC!U$26,1,0)</f>
        <v>1</v>
      </c>
      <c r="V14" s="11">
        <f>IF(真實IC!V14&gt;真實IC!V$26,1,0)</f>
        <v>1</v>
      </c>
      <c r="W14" s="11">
        <f>IF(真實IC!W14&gt;真實IC!W$26,1,0)</f>
        <v>1</v>
      </c>
      <c r="X14" s="11">
        <f>IF(真實IC!X14&gt;真實IC!X$26,1,0)</f>
        <v>1</v>
      </c>
      <c r="Y14" s="11">
        <f>IF(真實IC!Y14&gt;真實IC!Y$26,1,0)</f>
        <v>1</v>
      </c>
      <c r="Z14" s="11">
        <f>IF(真實IC!Z14&gt;真實IC!Z$26,1,0)</f>
        <v>1</v>
      </c>
      <c r="AA14" s="11">
        <f>IF(真實IC!AA14&gt;真實IC!AA$26,1,0)</f>
        <v>1</v>
      </c>
      <c r="AB14" s="11">
        <f>IF(真實IC!AB14&gt;真實IC!AB$26,1,0)</f>
        <v>1</v>
      </c>
      <c r="AC14" s="11">
        <f>IF(真實IC!AC14&gt;真實IC!AC$26,1,0)</f>
        <v>0</v>
      </c>
      <c r="AD14" s="11">
        <f>IF(真實IC!AD14&gt;真實IC!AD$26,1,0)</f>
        <v>1</v>
      </c>
      <c r="AE14" s="11">
        <f>IF(真實IC!AE14&gt;真實IC!AE$26,1,0)</f>
        <v>1</v>
      </c>
      <c r="AF14" s="11">
        <f>IF(真實IC!AF14&gt;真實IC!AF$26,1,0)</f>
        <v>1</v>
      </c>
      <c r="AG14" s="11">
        <f>IF(真實IC!AG14&gt;真實IC!AG$26,1,0)</f>
        <v>0</v>
      </c>
      <c r="AH14" s="11">
        <f>IF(真實IC!AH14&gt;真實IC!AH$26,1,0)</f>
        <v>0</v>
      </c>
      <c r="AI14" s="11">
        <f>IF(真實IC!AI14&gt;真實IC!AI$26,1,0)</f>
        <v>1</v>
      </c>
      <c r="AJ14" s="11">
        <f>IF(真實IC!AJ14&gt;真實IC!AJ$26,1,0)</f>
        <v>1</v>
      </c>
      <c r="AK14" s="11">
        <f>IF(真實IC!AK14&gt;真實IC!AK$26,1,0)</f>
        <v>1</v>
      </c>
      <c r="AL14" s="11">
        <f>IF(真實IC!AL14&gt;真實IC!AL$26,1,0)</f>
        <v>1</v>
      </c>
      <c r="AM14" s="11">
        <f>IF(真實IC!AM14&gt;真實IC!AM$26,1,0)</f>
        <v>1</v>
      </c>
      <c r="AN14" s="11">
        <f>IF(真實IC!AN14&gt;真實IC!AN$26,1,0)</f>
        <v>1</v>
      </c>
      <c r="AO14" s="11">
        <f>IF(真實IC!AO14&gt;真實IC!AO$26,1,0)</f>
        <v>0</v>
      </c>
      <c r="AP14" s="11">
        <f>IF(真實IC!AP14&gt;真實IC!AP$26,1,0)</f>
        <v>1</v>
      </c>
      <c r="AQ14" s="11">
        <f>IF(真實IC!AQ14&gt;真實IC!AQ$26,1,0)</f>
        <v>0</v>
      </c>
      <c r="AR14" s="11">
        <f>IF(真實IC!AR14&gt;真實IC!AR$26,1,0)</f>
        <v>0</v>
      </c>
      <c r="AS14" s="11">
        <f>IF(真實IC!AS14&gt;真實IC!AS$26,1,0)</f>
        <v>0</v>
      </c>
      <c r="AT14" s="11">
        <f>IF(真實IC!AT14&gt;真實IC!AT$26,1,0)</f>
        <v>1</v>
      </c>
      <c r="AU14" s="11">
        <f>IF(真實IC!AU14&gt;真實IC!AU$26,1,0)</f>
        <v>1</v>
      </c>
      <c r="AV14" s="11">
        <f>IF(真實IC!AV14&gt;真實IC!AV$26,1,0)</f>
        <v>1</v>
      </c>
      <c r="AW14" s="11">
        <f>IF(真實IC!AW14&gt;真實IC!AW$26,1,0)</f>
        <v>1</v>
      </c>
      <c r="AX14" s="11">
        <f>IF(真實IC!AX14&gt;真實IC!AX$26,1,0)</f>
        <v>1</v>
      </c>
      <c r="AY14" s="11">
        <f>IF(真實IC!AY14&gt;真實IC!AY$26,1,0)</f>
        <v>0</v>
      </c>
      <c r="AZ14" s="11">
        <f>IF(真實IC!AZ14&gt;真實IC!AZ$26,1,0)</f>
        <v>1</v>
      </c>
      <c r="BA14" s="11">
        <f>IF(真實IC!BA14&gt;真實IC!BA$26,1,0)</f>
        <v>1</v>
      </c>
      <c r="BB14" s="11">
        <f>IF(真實IC!BB14&gt;真實IC!BB$26,1,0)</f>
        <v>1</v>
      </c>
      <c r="BC14" s="11">
        <f>IF(真實IC!BC14&gt;真實IC!BC$26,1,0)</f>
        <v>0</v>
      </c>
      <c r="BD14" s="11">
        <f>IF(真實IC!BD14&gt;真實IC!BD$26,1,0)</f>
        <v>1</v>
      </c>
      <c r="BE14" s="11">
        <f>IF(真實IC!BE14&gt;真實IC!BE$26,1,0)</f>
        <v>1</v>
      </c>
      <c r="BF14" s="11">
        <f>IF(真實IC!BF14&gt;真實IC!BF$26,1,0)</f>
        <v>1</v>
      </c>
      <c r="BG14" s="11">
        <f>IF(真實IC!BG14&gt;真實IC!BG$26,1,0)</f>
        <v>1</v>
      </c>
      <c r="BH14" s="11">
        <f>IF(真實IC!BH14&gt;真實IC!BH$26,1,0)</f>
        <v>1</v>
      </c>
      <c r="BI14" s="11">
        <f>IF(真實IC!BI14&gt;真實IC!BI$26,1,0)</f>
        <v>1</v>
      </c>
      <c r="BJ14" s="11">
        <f>IF(真實IC!BJ14&gt;真實IC!BJ$26,1,0)</f>
        <v>1</v>
      </c>
      <c r="BK14" s="11">
        <f>IF(真實IC!BK14&gt;真實IC!BK$26,1,0)</f>
        <v>0</v>
      </c>
      <c r="BL14" s="11">
        <f>IF(真實IC!BL14&gt;真實IC!BL$26,1,0)</f>
        <v>1</v>
      </c>
      <c r="BM14" s="11">
        <f>IF(真實IC!BM14&gt;真實IC!BM$26,1,0)</f>
        <v>1</v>
      </c>
      <c r="BN14" s="11">
        <f>IF(真實IC!BN14&gt;真實IC!BN$26,1,0)</f>
        <v>0</v>
      </c>
      <c r="BO14" s="11">
        <f>IF(真實IC!BO14&gt;真實IC!BO$26,1,0)</f>
        <v>1</v>
      </c>
      <c r="BP14" s="11">
        <f>IF(真實IC!BP14&gt;真實IC!BP$26,1,0)</f>
        <v>0</v>
      </c>
      <c r="BQ14" s="11">
        <f>IF(真實IC!BQ14&gt;真實IC!BQ$26,1,0)</f>
        <v>1</v>
      </c>
      <c r="BR14" s="11">
        <f>IF(真實IC!BR14&gt;真實IC!BR$26,1,0)</f>
        <v>1</v>
      </c>
      <c r="BS14" s="11">
        <f>IF(真實IC!BS14&gt;真實IC!BS$26,1,0)</f>
        <v>1</v>
      </c>
      <c r="BT14" s="11">
        <f>IF(真實IC!BT14&gt;真實IC!BT$26,1,0)</f>
        <v>0</v>
      </c>
      <c r="BU14" s="11">
        <f>IF(真實IC!BU14&gt;真實IC!BU$26,1,0)</f>
        <v>1</v>
      </c>
      <c r="BV14" s="11">
        <f>IF(真實IC!BV14&gt;真實IC!BV$26,1,0)</f>
        <v>1</v>
      </c>
      <c r="BW14" s="11">
        <f>IF(真實IC!BW14&gt;真實IC!BW$26,1,0)</f>
        <v>1</v>
      </c>
      <c r="BX14" s="11">
        <f>IF(真實IC!BX14&gt;真實IC!BX$26,1,0)</f>
        <v>1</v>
      </c>
      <c r="BY14" s="11">
        <f>IF(真實IC!BY14&gt;真實IC!BY$26,1,0)</f>
        <v>1</v>
      </c>
      <c r="BZ14" s="11">
        <f>IF(真實IC!BZ14&gt;真實IC!BZ$26,1,0)</f>
        <v>0</v>
      </c>
      <c r="CA14" s="11">
        <f>IF(真實IC!CA14&gt;真實IC!CA$26,1,0)</f>
        <v>1</v>
      </c>
      <c r="CB14" s="11">
        <f>IF(真實IC!CB14&gt;真實IC!CB$26,1,0)</f>
        <v>1</v>
      </c>
      <c r="CC14" s="11">
        <f>IF(真實IC!CC14&gt;真實IC!CC$26,1,0)</f>
        <v>1</v>
      </c>
      <c r="CD14" s="11">
        <f>IF(真實IC!CD14&gt;真實IC!CD$26,1,0)</f>
        <v>1</v>
      </c>
      <c r="CE14" s="11">
        <f>IF(真實IC!CE14&gt;真實IC!CE$26,1,0)</f>
        <v>1</v>
      </c>
      <c r="CF14" s="11">
        <f>IF(真實IC!CF14&gt;真實IC!CF$26,1,0)</f>
        <v>1</v>
      </c>
      <c r="CG14" s="11">
        <f>IF(真實IC!CG14&gt;真實IC!CG$26,1,0)</f>
        <v>0</v>
      </c>
      <c r="CH14" s="11">
        <f>IF(真實IC!CH14&gt;真實IC!CH$26,1,0)</f>
        <v>0</v>
      </c>
      <c r="CI14" s="11">
        <f>IF(真實IC!CI14&gt;真實IC!CI$26,1,0)</f>
        <v>1</v>
      </c>
      <c r="CJ14" s="11">
        <f>IF(真實IC!CJ14&gt;真實IC!CJ$26,1,0)</f>
        <v>0</v>
      </c>
      <c r="CK14" s="11">
        <f>IF(真實IC!CK14&gt;真實IC!CK$26,1,0)</f>
        <v>1</v>
      </c>
      <c r="CL14" s="11">
        <f>IF(真實IC!CL14&gt;真實IC!CL$26,1,0)</f>
        <v>0</v>
      </c>
      <c r="CM14" s="11">
        <f>IF(真實IC!CM14&gt;真實IC!CM$26,1,0)</f>
        <v>1</v>
      </c>
      <c r="CN14" s="11">
        <f>IF(真實IC!CN14&gt;真實IC!CN$26,1,0)</f>
        <v>1</v>
      </c>
      <c r="CO14" s="11">
        <f>IF(真實IC!CO14&gt;真實IC!CO$26,1,0)</f>
        <v>1</v>
      </c>
      <c r="CP14" s="11">
        <f>IF(真實IC!CP14&gt;真實IC!CP$26,1,0)</f>
        <v>1</v>
      </c>
      <c r="CQ14" s="11">
        <f>IF(真實IC!CQ14&gt;真實IC!CQ$26,1,0)</f>
        <v>1</v>
      </c>
      <c r="CR14" s="11">
        <f>IF(真實IC!CR14&gt;真實IC!CR$26,1,0)</f>
        <v>1</v>
      </c>
      <c r="CS14" s="11">
        <f>IF(真實IC!CS14&gt;真實IC!CS$26,1,0)</f>
        <v>0</v>
      </c>
      <c r="CT14" s="11">
        <f>IF(真實IC!CT14&gt;真實IC!CT$26,1,0)</f>
        <v>1</v>
      </c>
      <c r="CU14" s="11">
        <f>IF(真實IC!CU14&gt;真實IC!CU$26,1,0)</f>
        <v>1</v>
      </c>
      <c r="CV14" s="11">
        <f>IF(真實IC!CV14&gt;真實IC!CV$26,1,0)</f>
        <v>1</v>
      </c>
      <c r="CW14" s="11">
        <f>IF(真實IC!CW14&gt;真實IC!CW$26,1,0)</f>
        <v>1</v>
      </c>
      <c r="CX14" s="11">
        <f>IF(真實IC!CX14&gt;真實IC!CX$26,1,0)</f>
        <v>1</v>
      </c>
      <c r="CY14" s="11">
        <f>IF(真實IC!CY14&gt;真實IC!CY$26,1,0)</f>
        <v>1</v>
      </c>
      <c r="CZ14" s="11">
        <f>IF(真實IC!CZ14&gt;真實IC!CZ$26,1,0)</f>
        <v>1</v>
      </c>
      <c r="DA14" s="11">
        <f>IF(真實IC!DA14&gt;真實IC!DA$26,1,0)</f>
        <v>1</v>
      </c>
      <c r="DB14" s="11">
        <f>IF(真實IC!DB14&gt;真實IC!DB$26,1,0)</f>
        <v>1</v>
      </c>
      <c r="DC14" s="11">
        <f>IF(真實IC!DC14&gt;真實IC!DC$26,1,0)</f>
        <v>1</v>
      </c>
      <c r="DD14" s="11">
        <f>IF(真實IC!DD14&gt;真實IC!DD$26,1,0)</f>
        <v>1</v>
      </c>
      <c r="DE14" s="11">
        <f>IF(真實IC!DE14&gt;真實IC!DE$26,1,0)</f>
        <v>0</v>
      </c>
      <c r="DF14" s="11">
        <f>IF(真實IC!DF14&gt;真實IC!DF$26,1,0)</f>
        <v>1</v>
      </c>
      <c r="DG14" s="11">
        <f>IF(真實IC!DG14&gt;真實IC!DG$26,1,0)</f>
        <v>0</v>
      </c>
      <c r="DH14" s="11">
        <f>IF(真實IC!DH14&gt;真實IC!DH$26,1,0)</f>
        <v>1</v>
      </c>
      <c r="DI14" s="11">
        <f>IF(真實IC!DI14&gt;真實IC!DI$26,1,0)</f>
        <v>1</v>
      </c>
      <c r="DJ14" s="11">
        <f>IF(真實IC!DJ14&gt;真實IC!DJ$26,1,0)</f>
        <v>1</v>
      </c>
      <c r="DK14" s="11">
        <f>IF(真實IC!DK14&gt;真實IC!DK$26,1,0)</f>
        <v>1</v>
      </c>
      <c r="DL14" s="11">
        <f>IF(真實IC!DL14&gt;真實IC!DL$26,1,0)</f>
        <v>1</v>
      </c>
      <c r="DM14" s="11">
        <f>IF(真實IC!DM14&gt;真實IC!DM$26,1,0)</f>
        <v>0</v>
      </c>
      <c r="DN14" s="11">
        <f>IF(真實IC!DN14&gt;真實IC!DN$26,1,0)</f>
        <v>1</v>
      </c>
      <c r="DO14" s="11">
        <f>IF(真實IC!DO14&gt;真實IC!DO$26,1,0)</f>
        <v>1</v>
      </c>
      <c r="DP14" s="11">
        <f>IF(真實IC!DP14&gt;真實IC!DP$26,1,0)</f>
        <v>1</v>
      </c>
      <c r="DQ14" s="11">
        <f>IF(真實IC!DQ14&gt;真實IC!DQ$26,1,0)</f>
        <v>0</v>
      </c>
      <c r="DR14" s="11">
        <f>IF(真實IC!DR14&gt;真實IC!DR$26,1,0)</f>
        <v>1</v>
      </c>
      <c r="DS14" s="11">
        <f>IF(真實IC!DS14&gt;真實IC!DS$26,1,0)</f>
        <v>1</v>
      </c>
      <c r="DT14" s="11">
        <f>IF(真實IC!DT14&gt;真實IC!DT$26,1,0)</f>
        <v>0</v>
      </c>
      <c r="DU14" s="11">
        <f>IF(真實IC!DU14&gt;真實IC!DU$26,1,0)</f>
        <v>1</v>
      </c>
      <c r="DV14" s="11">
        <f>IF(真實IC!DV14&gt;真實IC!DV$26,1,0)</f>
        <v>1</v>
      </c>
      <c r="DW14" s="11">
        <f>IF(真實IC!DW14&gt;真實IC!DW$26,1,0)</f>
        <v>0</v>
      </c>
      <c r="DX14" s="11">
        <f>IF(真實IC!DX14&gt;真實IC!DX$26,1,0)</f>
        <v>1</v>
      </c>
      <c r="DY14" s="11">
        <f>IF(真實IC!DY14&gt;真實IC!DY$26,1,0)</f>
        <v>1</v>
      </c>
      <c r="DZ14" s="11">
        <f>IF(真實IC!DZ14&gt;真實IC!DZ$26,1,0)</f>
        <v>1</v>
      </c>
      <c r="EA14" s="11">
        <f>IF(真實IC!EA14&gt;真實IC!EA$26,1,0)</f>
        <v>1</v>
      </c>
      <c r="EB14" s="11">
        <f>IF(真實IC!EB14&gt;真實IC!EB$26,1,0)</f>
        <v>1</v>
      </c>
      <c r="EC14" s="11">
        <f>IF(真實IC!EC14&gt;真實IC!EC$26,1,0)</f>
        <v>1</v>
      </c>
      <c r="ED14" s="11">
        <f>IF(真實IC!ED14&gt;真實IC!ED$26,1,0)</f>
        <v>1</v>
      </c>
      <c r="EE14" s="11">
        <f>IF(真實IC!EE14&gt;真實IC!EE$26,1,0)</f>
        <v>0</v>
      </c>
      <c r="EF14" s="11">
        <f>IF(真實IC!EF14&gt;真實IC!EF$26,1,0)</f>
        <v>1</v>
      </c>
      <c r="EG14">
        <f t="shared" si="11"/>
        <v>105</v>
      </c>
      <c r="EH14" s="19">
        <f t="shared" si="10"/>
        <v>0.77611940298507465</v>
      </c>
    </row>
    <row r="15" spans="1:138" x14ac:dyDescent="0.3">
      <c r="A15" s="1">
        <v>100</v>
      </c>
      <c r="B15" s="1">
        <v>10</v>
      </c>
      <c r="C15" s="11">
        <f>IF(真實IC!C15&gt;真實IC!C$26,1,0)</f>
        <v>1</v>
      </c>
      <c r="D15" s="11">
        <f>IF(真實IC!D15&gt;真實IC!D$26,1,0)</f>
        <v>1</v>
      </c>
      <c r="E15" s="11">
        <f>IF(真實IC!E15&gt;真實IC!E$26,1,0)</f>
        <v>1</v>
      </c>
      <c r="F15" s="11">
        <f>IF(真實IC!F15&gt;真實IC!F$26,1,0)</f>
        <v>0</v>
      </c>
      <c r="G15" s="11">
        <f>IF(真實IC!G15&gt;真實IC!G$26,1,0)</f>
        <v>1</v>
      </c>
      <c r="H15" s="11">
        <f>IF(真實IC!H15&gt;真實IC!H$26,1,0)</f>
        <v>1</v>
      </c>
      <c r="I15" s="11">
        <f>IF(真實IC!I15&gt;真實IC!I$26,1,0)</f>
        <v>1</v>
      </c>
      <c r="J15" s="11">
        <f>IF(真實IC!J15&gt;真實IC!J$26,1,0)</f>
        <v>1</v>
      </c>
      <c r="K15" s="11">
        <f>IF(真實IC!K15&gt;真實IC!K$26,1,0)</f>
        <v>1</v>
      </c>
      <c r="L15" s="11">
        <f>IF(真實IC!L15&gt;真實IC!L$26,1,0)</f>
        <v>0</v>
      </c>
      <c r="M15" s="11">
        <f>IF(真實IC!M15&gt;真實IC!M$26,1,0)</f>
        <v>0</v>
      </c>
      <c r="N15" s="11">
        <f>IF(真實IC!N15&gt;真實IC!N$26,1,0)</f>
        <v>1</v>
      </c>
      <c r="O15" s="11">
        <f>IF(真實IC!O15&gt;真實IC!O$26,1,0)</f>
        <v>0</v>
      </c>
      <c r="P15" s="11">
        <f>IF(真實IC!P15&gt;真實IC!P$26,1,0)</f>
        <v>1</v>
      </c>
      <c r="Q15" s="11">
        <f>IF(真實IC!Q15&gt;真實IC!Q$26,1,0)</f>
        <v>1</v>
      </c>
      <c r="R15" s="11">
        <f>IF(真實IC!R15&gt;真實IC!R$26,1,0)</f>
        <v>0</v>
      </c>
      <c r="S15" s="11">
        <f>IF(真實IC!S15&gt;真實IC!S$26,1,0)</f>
        <v>1</v>
      </c>
      <c r="T15" s="11">
        <f>IF(真實IC!T15&gt;真實IC!T$26,1,0)</f>
        <v>1</v>
      </c>
      <c r="U15" s="11">
        <f>IF(真實IC!U15&gt;真實IC!U$26,1,0)</f>
        <v>1</v>
      </c>
      <c r="V15" s="11">
        <f>IF(真實IC!V15&gt;真實IC!V$26,1,0)</f>
        <v>1</v>
      </c>
      <c r="W15" s="11">
        <f>IF(真實IC!W15&gt;真實IC!W$26,1,0)</f>
        <v>1</v>
      </c>
      <c r="X15" s="11">
        <f>IF(真實IC!X15&gt;真實IC!X$26,1,0)</f>
        <v>1</v>
      </c>
      <c r="Y15" s="11">
        <f>IF(真實IC!Y15&gt;真實IC!Y$26,1,0)</f>
        <v>1</v>
      </c>
      <c r="Z15" s="11">
        <f>IF(真實IC!Z15&gt;真實IC!Z$26,1,0)</f>
        <v>1</v>
      </c>
      <c r="AA15" s="11">
        <f>IF(真實IC!AA15&gt;真實IC!AA$26,1,0)</f>
        <v>1</v>
      </c>
      <c r="AB15" s="11">
        <f>IF(真實IC!AB15&gt;真實IC!AB$26,1,0)</f>
        <v>1</v>
      </c>
      <c r="AC15" s="11">
        <f>IF(真實IC!AC15&gt;真實IC!AC$26,1,0)</f>
        <v>0</v>
      </c>
      <c r="AD15" s="11">
        <f>IF(真實IC!AD15&gt;真實IC!AD$26,1,0)</f>
        <v>1</v>
      </c>
      <c r="AE15" s="11">
        <f>IF(真實IC!AE15&gt;真實IC!AE$26,1,0)</f>
        <v>1</v>
      </c>
      <c r="AF15" s="11">
        <f>IF(真實IC!AF15&gt;真實IC!AF$26,1,0)</f>
        <v>1</v>
      </c>
      <c r="AG15" s="11">
        <f>IF(真實IC!AG15&gt;真實IC!AG$26,1,0)</f>
        <v>0</v>
      </c>
      <c r="AH15" s="11">
        <f>IF(真實IC!AH15&gt;真實IC!AH$26,1,0)</f>
        <v>0</v>
      </c>
      <c r="AI15" s="11">
        <f>IF(真實IC!AI15&gt;真實IC!AI$26,1,0)</f>
        <v>1</v>
      </c>
      <c r="AJ15" s="11">
        <f>IF(真實IC!AJ15&gt;真實IC!AJ$26,1,0)</f>
        <v>0</v>
      </c>
      <c r="AK15" s="11">
        <f>IF(真實IC!AK15&gt;真實IC!AK$26,1,0)</f>
        <v>1</v>
      </c>
      <c r="AL15" s="11">
        <f>IF(真實IC!AL15&gt;真實IC!AL$26,1,0)</f>
        <v>0</v>
      </c>
      <c r="AM15" s="11">
        <f>IF(真實IC!AM15&gt;真實IC!AM$26,1,0)</f>
        <v>1</v>
      </c>
      <c r="AN15" s="11">
        <f>IF(真實IC!AN15&gt;真實IC!AN$26,1,0)</f>
        <v>1</v>
      </c>
      <c r="AO15" s="11">
        <f>IF(真實IC!AO15&gt;真實IC!AO$26,1,0)</f>
        <v>0</v>
      </c>
      <c r="AP15" s="11">
        <f>IF(真實IC!AP15&gt;真實IC!AP$26,1,0)</f>
        <v>1</v>
      </c>
      <c r="AQ15" s="11">
        <f>IF(真實IC!AQ15&gt;真實IC!AQ$26,1,0)</f>
        <v>1</v>
      </c>
      <c r="AR15" s="11">
        <f>IF(真實IC!AR15&gt;真實IC!AR$26,1,0)</f>
        <v>0</v>
      </c>
      <c r="AS15" s="11">
        <f>IF(真實IC!AS15&gt;真實IC!AS$26,1,0)</f>
        <v>0</v>
      </c>
      <c r="AT15" s="11">
        <f>IF(真實IC!AT15&gt;真實IC!AT$26,1,0)</f>
        <v>1</v>
      </c>
      <c r="AU15" s="11">
        <f>IF(真實IC!AU15&gt;真實IC!AU$26,1,0)</f>
        <v>1</v>
      </c>
      <c r="AV15" s="11">
        <f>IF(真實IC!AV15&gt;真實IC!AV$26,1,0)</f>
        <v>0</v>
      </c>
      <c r="AW15" s="11">
        <f>IF(真實IC!AW15&gt;真實IC!AW$26,1,0)</f>
        <v>1</v>
      </c>
      <c r="AX15" s="11">
        <f>IF(真實IC!AX15&gt;真實IC!AX$26,1,0)</f>
        <v>1</v>
      </c>
      <c r="AY15" s="11">
        <f>IF(真實IC!AY15&gt;真實IC!AY$26,1,0)</f>
        <v>0</v>
      </c>
      <c r="AZ15" s="11">
        <f>IF(真實IC!AZ15&gt;真實IC!AZ$26,1,0)</f>
        <v>1</v>
      </c>
      <c r="BA15" s="11">
        <f>IF(真實IC!BA15&gt;真實IC!BA$26,1,0)</f>
        <v>1</v>
      </c>
      <c r="BB15" s="11">
        <f>IF(真實IC!BB15&gt;真實IC!BB$26,1,0)</f>
        <v>1</v>
      </c>
      <c r="BC15" s="11">
        <f>IF(真實IC!BC15&gt;真實IC!BC$26,1,0)</f>
        <v>0</v>
      </c>
      <c r="BD15" s="11">
        <f>IF(真實IC!BD15&gt;真實IC!BD$26,1,0)</f>
        <v>1</v>
      </c>
      <c r="BE15" s="11">
        <f>IF(真實IC!BE15&gt;真實IC!BE$26,1,0)</f>
        <v>1</v>
      </c>
      <c r="BF15" s="11">
        <f>IF(真實IC!BF15&gt;真實IC!BF$26,1,0)</f>
        <v>1</v>
      </c>
      <c r="BG15" s="11">
        <f>IF(真實IC!BG15&gt;真實IC!BG$26,1,0)</f>
        <v>1</v>
      </c>
      <c r="BH15" s="11">
        <f>IF(真實IC!BH15&gt;真實IC!BH$26,1,0)</f>
        <v>1</v>
      </c>
      <c r="BI15" s="11">
        <f>IF(真實IC!BI15&gt;真實IC!BI$26,1,0)</f>
        <v>1</v>
      </c>
      <c r="BJ15" s="11">
        <f>IF(真實IC!BJ15&gt;真實IC!BJ$26,1,0)</f>
        <v>1</v>
      </c>
      <c r="BK15" s="11">
        <f>IF(真實IC!BK15&gt;真實IC!BK$26,1,0)</f>
        <v>0</v>
      </c>
      <c r="BL15" s="11">
        <f>IF(真實IC!BL15&gt;真實IC!BL$26,1,0)</f>
        <v>1</v>
      </c>
      <c r="BM15" s="11">
        <f>IF(真實IC!BM15&gt;真實IC!BM$26,1,0)</f>
        <v>1</v>
      </c>
      <c r="BN15" s="11">
        <f>IF(真實IC!BN15&gt;真實IC!BN$26,1,0)</f>
        <v>0</v>
      </c>
      <c r="BO15" s="11">
        <f>IF(真實IC!BO15&gt;真實IC!BO$26,1,0)</f>
        <v>1</v>
      </c>
      <c r="BP15" s="11">
        <f>IF(真實IC!BP15&gt;真實IC!BP$26,1,0)</f>
        <v>0</v>
      </c>
      <c r="BQ15" s="11">
        <f>IF(真實IC!BQ15&gt;真實IC!BQ$26,1,0)</f>
        <v>1</v>
      </c>
      <c r="BR15" s="11">
        <f>IF(真實IC!BR15&gt;真實IC!BR$26,1,0)</f>
        <v>1</v>
      </c>
      <c r="BS15" s="11">
        <f>IF(真實IC!BS15&gt;真實IC!BS$26,1,0)</f>
        <v>0</v>
      </c>
      <c r="BT15" s="11">
        <f>IF(真實IC!BT15&gt;真實IC!BT$26,1,0)</f>
        <v>0</v>
      </c>
      <c r="BU15" s="11">
        <f>IF(真實IC!BU15&gt;真實IC!BU$26,1,0)</f>
        <v>1</v>
      </c>
      <c r="BV15" s="11">
        <f>IF(真實IC!BV15&gt;真實IC!BV$26,1,0)</f>
        <v>1</v>
      </c>
      <c r="BW15" s="11">
        <f>IF(真實IC!BW15&gt;真實IC!BW$26,1,0)</f>
        <v>1</v>
      </c>
      <c r="BX15" s="11">
        <f>IF(真實IC!BX15&gt;真實IC!BX$26,1,0)</f>
        <v>1</v>
      </c>
      <c r="BY15" s="11">
        <f>IF(真實IC!BY15&gt;真實IC!BY$26,1,0)</f>
        <v>1</v>
      </c>
      <c r="BZ15" s="11">
        <f>IF(真實IC!BZ15&gt;真實IC!BZ$26,1,0)</f>
        <v>0</v>
      </c>
      <c r="CA15" s="11">
        <f>IF(真實IC!CA15&gt;真實IC!CA$26,1,0)</f>
        <v>1</v>
      </c>
      <c r="CB15" s="11">
        <f>IF(真實IC!CB15&gt;真實IC!CB$26,1,0)</f>
        <v>1</v>
      </c>
      <c r="CC15" s="11">
        <f>IF(真實IC!CC15&gt;真實IC!CC$26,1,0)</f>
        <v>1</v>
      </c>
      <c r="CD15" s="11">
        <f>IF(真實IC!CD15&gt;真實IC!CD$26,1,0)</f>
        <v>1</v>
      </c>
      <c r="CE15" s="11">
        <f>IF(真實IC!CE15&gt;真實IC!CE$26,1,0)</f>
        <v>1</v>
      </c>
      <c r="CF15" s="11">
        <f>IF(真實IC!CF15&gt;真實IC!CF$26,1,0)</f>
        <v>1</v>
      </c>
      <c r="CG15" s="11">
        <f>IF(真實IC!CG15&gt;真實IC!CG$26,1,0)</f>
        <v>0</v>
      </c>
      <c r="CH15" s="11">
        <f>IF(真實IC!CH15&gt;真實IC!CH$26,1,0)</f>
        <v>0</v>
      </c>
      <c r="CI15" s="11">
        <f>IF(真實IC!CI15&gt;真實IC!CI$26,1,0)</f>
        <v>1</v>
      </c>
      <c r="CJ15" s="11">
        <f>IF(真實IC!CJ15&gt;真實IC!CJ$26,1,0)</f>
        <v>0</v>
      </c>
      <c r="CK15" s="11">
        <f>IF(真實IC!CK15&gt;真實IC!CK$26,1,0)</f>
        <v>1</v>
      </c>
      <c r="CL15" s="11">
        <f>IF(真實IC!CL15&gt;真實IC!CL$26,1,0)</f>
        <v>0</v>
      </c>
      <c r="CM15" s="11">
        <f>IF(真實IC!CM15&gt;真實IC!CM$26,1,0)</f>
        <v>1</v>
      </c>
      <c r="CN15" s="11">
        <f>IF(真實IC!CN15&gt;真實IC!CN$26,1,0)</f>
        <v>1</v>
      </c>
      <c r="CO15" s="11">
        <f>IF(真實IC!CO15&gt;真實IC!CO$26,1,0)</f>
        <v>1</v>
      </c>
      <c r="CP15" s="11">
        <f>IF(真實IC!CP15&gt;真實IC!CP$26,1,0)</f>
        <v>1</v>
      </c>
      <c r="CQ15" s="11">
        <f>IF(真實IC!CQ15&gt;真實IC!CQ$26,1,0)</f>
        <v>1</v>
      </c>
      <c r="CR15" s="11">
        <f>IF(真實IC!CR15&gt;真實IC!CR$26,1,0)</f>
        <v>1</v>
      </c>
      <c r="CS15" s="11">
        <f>IF(真實IC!CS15&gt;真實IC!CS$26,1,0)</f>
        <v>0</v>
      </c>
      <c r="CT15" s="11">
        <f>IF(真實IC!CT15&gt;真實IC!CT$26,1,0)</f>
        <v>0</v>
      </c>
      <c r="CU15" s="11">
        <f>IF(真實IC!CU15&gt;真實IC!CU$26,1,0)</f>
        <v>1</v>
      </c>
      <c r="CV15" s="11">
        <f>IF(真實IC!CV15&gt;真實IC!CV$26,1,0)</f>
        <v>1</v>
      </c>
      <c r="CW15" s="11">
        <f>IF(真實IC!CW15&gt;真實IC!CW$26,1,0)</f>
        <v>1</v>
      </c>
      <c r="CX15" s="11">
        <f>IF(真實IC!CX15&gt;真實IC!CX$26,1,0)</f>
        <v>1</v>
      </c>
      <c r="CY15" s="11">
        <f>IF(真實IC!CY15&gt;真實IC!CY$26,1,0)</f>
        <v>1</v>
      </c>
      <c r="CZ15" s="11">
        <f>IF(真實IC!CZ15&gt;真實IC!CZ$26,1,0)</f>
        <v>1</v>
      </c>
      <c r="DA15" s="11">
        <f>IF(真實IC!DA15&gt;真實IC!DA$26,1,0)</f>
        <v>1</v>
      </c>
      <c r="DB15" s="11">
        <f>IF(真實IC!DB15&gt;真實IC!DB$26,1,0)</f>
        <v>1</v>
      </c>
      <c r="DC15" s="11">
        <f>IF(真實IC!DC15&gt;真實IC!DC$26,1,0)</f>
        <v>1</v>
      </c>
      <c r="DD15" s="11">
        <f>IF(真實IC!DD15&gt;真實IC!DD$26,1,0)</f>
        <v>1</v>
      </c>
      <c r="DE15" s="11">
        <f>IF(真實IC!DE15&gt;真實IC!DE$26,1,0)</f>
        <v>0</v>
      </c>
      <c r="DF15" s="11">
        <f>IF(真實IC!DF15&gt;真實IC!DF$26,1,0)</f>
        <v>1</v>
      </c>
      <c r="DG15" s="11">
        <f>IF(真實IC!DG15&gt;真實IC!DG$26,1,0)</f>
        <v>0</v>
      </c>
      <c r="DH15" s="11">
        <f>IF(真實IC!DH15&gt;真實IC!DH$26,1,0)</f>
        <v>1</v>
      </c>
      <c r="DI15" s="11">
        <f>IF(真實IC!DI15&gt;真實IC!DI$26,1,0)</f>
        <v>1</v>
      </c>
      <c r="DJ15" s="11">
        <f>IF(真實IC!DJ15&gt;真實IC!DJ$26,1,0)</f>
        <v>1</v>
      </c>
      <c r="DK15" s="11">
        <f>IF(真實IC!DK15&gt;真實IC!DK$26,1,0)</f>
        <v>1</v>
      </c>
      <c r="DL15" s="11">
        <f>IF(真實IC!DL15&gt;真實IC!DL$26,1,0)</f>
        <v>0</v>
      </c>
      <c r="DM15" s="11">
        <f>IF(真實IC!DM15&gt;真實IC!DM$26,1,0)</f>
        <v>0</v>
      </c>
      <c r="DN15" s="11">
        <f>IF(真實IC!DN15&gt;真實IC!DN$26,1,0)</f>
        <v>1</v>
      </c>
      <c r="DO15" s="11">
        <f>IF(真實IC!DO15&gt;真實IC!DO$26,1,0)</f>
        <v>1</v>
      </c>
      <c r="DP15" s="11">
        <f>IF(真實IC!DP15&gt;真實IC!DP$26,1,0)</f>
        <v>1</v>
      </c>
      <c r="DQ15" s="11">
        <f>IF(真實IC!DQ15&gt;真實IC!DQ$26,1,0)</f>
        <v>0</v>
      </c>
      <c r="DR15" s="11">
        <f>IF(真實IC!DR15&gt;真實IC!DR$26,1,0)</f>
        <v>1</v>
      </c>
      <c r="DS15" s="11">
        <f>IF(真實IC!DS15&gt;真實IC!DS$26,1,0)</f>
        <v>1</v>
      </c>
      <c r="DT15" s="11">
        <f>IF(真實IC!DT15&gt;真實IC!DT$26,1,0)</f>
        <v>0</v>
      </c>
      <c r="DU15" s="11">
        <f>IF(真實IC!DU15&gt;真實IC!DU$26,1,0)</f>
        <v>1</v>
      </c>
      <c r="DV15" s="11">
        <f>IF(真實IC!DV15&gt;真實IC!DV$26,1,0)</f>
        <v>1</v>
      </c>
      <c r="DW15" s="11">
        <f>IF(真實IC!DW15&gt;真實IC!DW$26,1,0)</f>
        <v>0</v>
      </c>
      <c r="DX15" s="11">
        <f>IF(真實IC!DX15&gt;真實IC!DX$26,1,0)</f>
        <v>1</v>
      </c>
      <c r="DY15" s="11">
        <f>IF(真實IC!DY15&gt;真實IC!DY$26,1,0)</f>
        <v>1</v>
      </c>
      <c r="DZ15" s="11">
        <f>IF(真實IC!DZ15&gt;真實IC!DZ$26,1,0)</f>
        <v>1</v>
      </c>
      <c r="EA15" s="11">
        <f>IF(真實IC!EA15&gt;真實IC!EA$26,1,0)</f>
        <v>1</v>
      </c>
      <c r="EB15" s="11">
        <f>IF(真實IC!EB15&gt;真實IC!EB$26,1,0)</f>
        <v>1</v>
      </c>
      <c r="EC15" s="11">
        <f>IF(真實IC!EC15&gt;真實IC!EC$26,1,0)</f>
        <v>1</v>
      </c>
      <c r="ED15" s="11">
        <f>IF(真實IC!ED15&gt;真實IC!ED$26,1,0)</f>
        <v>1</v>
      </c>
      <c r="EE15" s="11">
        <f>IF(真實IC!EE15&gt;真實IC!EE$26,1,0)</f>
        <v>0</v>
      </c>
      <c r="EF15" s="11">
        <f>IF(真實IC!EF15&gt;真實IC!EF$26,1,0)</f>
        <v>1</v>
      </c>
      <c r="EG15">
        <f t="shared" si="11"/>
        <v>98</v>
      </c>
      <c r="EH15" s="19">
        <f t="shared" si="10"/>
        <v>0.72388059701492535</v>
      </c>
    </row>
    <row r="16" spans="1:138" x14ac:dyDescent="0.3">
      <c r="A16" s="1">
        <v>107</v>
      </c>
      <c r="B16" s="1">
        <v>9</v>
      </c>
      <c r="C16" s="11">
        <f>IF(真實IC!C16&gt;真實IC!C$26,1,0)</f>
        <v>1</v>
      </c>
      <c r="D16" s="11">
        <f>IF(真實IC!D16&gt;真實IC!D$26,1,0)</f>
        <v>1</v>
      </c>
      <c r="E16" s="11">
        <f>IF(真實IC!E16&gt;真實IC!E$26,1,0)</f>
        <v>1</v>
      </c>
      <c r="F16" s="11">
        <f>IF(真實IC!F16&gt;真實IC!F$26,1,0)</f>
        <v>0</v>
      </c>
      <c r="G16" s="11">
        <f>IF(真實IC!G16&gt;真實IC!G$26,1,0)</f>
        <v>0</v>
      </c>
      <c r="H16" s="11">
        <f>IF(真實IC!H16&gt;真實IC!H$26,1,0)</f>
        <v>1</v>
      </c>
      <c r="I16" s="11">
        <f>IF(真實IC!I16&gt;真實IC!I$26,1,0)</f>
        <v>1</v>
      </c>
      <c r="J16" s="11">
        <f>IF(真實IC!J16&gt;真實IC!J$26,1,0)</f>
        <v>1</v>
      </c>
      <c r="K16" s="11">
        <f>IF(真實IC!K16&gt;真實IC!K$26,1,0)</f>
        <v>1</v>
      </c>
      <c r="L16" s="11">
        <f>IF(真實IC!L16&gt;真實IC!L$26,1,0)</f>
        <v>0</v>
      </c>
      <c r="M16" s="11">
        <f>IF(真實IC!M16&gt;真實IC!M$26,1,0)</f>
        <v>0</v>
      </c>
      <c r="N16" s="11">
        <f>IF(真實IC!N16&gt;真實IC!N$26,1,0)</f>
        <v>1</v>
      </c>
      <c r="O16" s="11">
        <f>IF(真實IC!O16&gt;真實IC!O$26,1,0)</f>
        <v>0</v>
      </c>
      <c r="P16" s="11">
        <f>IF(真實IC!P16&gt;真實IC!P$26,1,0)</f>
        <v>1</v>
      </c>
      <c r="Q16" s="11">
        <f>IF(真實IC!Q16&gt;真實IC!Q$26,1,0)</f>
        <v>1</v>
      </c>
      <c r="R16" s="11">
        <f>IF(真實IC!R16&gt;真實IC!R$26,1,0)</f>
        <v>0</v>
      </c>
      <c r="S16" s="11">
        <f>IF(真實IC!S16&gt;真實IC!S$26,1,0)</f>
        <v>1</v>
      </c>
      <c r="T16" s="11">
        <f>IF(真實IC!T16&gt;真實IC!T$26,1,0)</f>
        <v>1</v>
      </c>
      <c r="U16" s="11">
        <f>IF(真實IC!U16&gt;真實IC!U$26,1,0)</f>
        <v>1</v>
      </c>
      <c r="V16" s="11">
        <f>IF(真實IC!V16&gt;真實IC!V$26,1,0)</f>
        <v>1</v>
      </c>
      <c r="W16" s="11">
        <f>IF(真實IC!W16&gt;真實IC!W$26,1,0)</f>
        <v>1</v>
      </c>
      <c r="X16" s="11">
        <f>IF(真實IC!X16&gt;真實IC!X$26,1,0)</f>
        <v>1</v>
      </c>
      <c r="Y16" s="11">
        <f>IF(真實IC!Y16&gt;真實IC!Y$26,1,0)</f>
        <v>1</v>
      </c>
      <c r="Z16" s="11">
        <f>IF(真實IC!Z16&gt;真實IC!Z$26,1,0)</f>
        <v>1</v>
      </c>
      <c r="AA16" s="11">
        <f>IF(真實IC!AA16&gt;真實IC!AA$26,1,0)</f>
        <v>1</v>
      </c>
      <c r="AB16" s="11">
        <f>IF(真實IC!AB16&gt;真實IC!AB$26,1,0)</f>
        <v>1</v>
      </c>
      <c r="AC16" s="11">
        <f>IF(真實IC!AC16&gt;真實IC!AC$26,1,0)</f>
        <v>0</v>
      </c>
      <c r="AD16" s="11">
        <f>IF(真實IC!AD16&gt;真實IC!AD$26,1,0)</f>
        <v>1</v>
      </c>
      <c r="AE16" s="11">
        <f>IF(真實IC!AE16&gt;真實IC!AE$26,1,0)</f>
        <v>1</v>
      </c>
      <c r="AF16" s="11">
        <f>IF(真實IC!AF16&gt;真實IC!AF$26,1,0)</f>
        <v>1</v>
      </c>
      <c r="AG16" s="11">
        <f>IF(真實IC!AG16&gt;真實IC!AG$26,1,0)</f>
        <v>0</v>
      </c>
      <c r="AH16" s="11">
        <f>IF(真實IC!AH16&gt;真實IC!AH$26,1,0)</f>
        <v>0</v>
      </c>
      <c r="AI16" s="11">
        <f>IF(真實IC!AI16&gt;真實IC!AI$26,1,0)</f>
        <v>1</v>
      </c>
      <c r="AJ16" s="11">
        <f>IF(真實IC!AJ16&gt;真實IC!AJ$26,1,0)</f>
        <v>0</v>
      </c>
      <c r="AK16" s="11">
        <f>IF(真實IC!AK16&gt;真實IC!AK$26,1,0)</f>
        <v>1</v>
      </c>
      <c r="AL16" s="11">
        <f>IF(真實IC!AL16&gt;真實IC!AL$26,1,0)</f>
        <v>0</v>
      </c>
      <c r="AM16" s="11">
        <f>IF(真實IC!AM16&gt;真實IC!AM$26,1,0)</f>
        <v>1</v>
      </c>
      <c r="AN16" s="11">
        <f>IF(真實IC!AN16&gt;真實IC!AN$26,1,0)</f>
        <v>1</v>
      </c>
      <c r="AO16" s="11">
        <f>IF(真實IC!AO16&gt;真實IC!AO$26,1,0)</f>
        <v>0</v>
      </c>
      <c r="AP16" s="11">
        <f>IF(真實IC!AP16&gt;真實IC!AP$26,1,0)</f>
        <v>1</v>
      </c>
      <c r="AQ16" s="11">
        <f>IF(真實IC!AQ16&gt;真實IC!AQ$26,1,0)</f>
        <v>1</v>
      </c>
      <c r="AR16" s="11">
        <f>IF(真實IC!AR16&gt;真實IC!AR$26,1,0)</f>
        <v>0</v>
      </c>
      <c r="AS16" s="11">
        <f>IF(真實IC!AS16&gt;真實IC!AS$26,1,0)</f>
        <v>0</v>
      </c>
      <c r="AT16" s="11">
        <f>IF(真實IC!AT16&gt;真實IC!AT$26,1,0)</f>
        <v>1</v>
      </c>
      <c r="AU16" s="11">
        <f>IF(真實IC!AU16&gt;真實IC!AU$26,1,0)</f>
        <v>1</v>
      </c>
      <c r="AV16" s="11">
        <f>IF(真實IC!AV16&gt;真實IC!AV$26,1,0)</f>
        <v>1</v>
      </c>
      <c r="AW16" s="11">
        <f>IF(真實IC!AW16&gt;真實IC!AW$26,1,0)</f>
        <v>1</v>
      </c>
      <c r="AX16" s="11">
        <f>IF(真實IC!AX16&gt;真實IC!AX$26,1,0)</f>
        <v>1</v>
      </c>
      <c r="AY16" s="11">
        <f>IF(真實IC!AY16&gt;真實IC!AY$26,1,0)</f>
        <v>0</v>
      </c>
      <c r="AZ16" s="11">
        <f>IF(真實IC!AZ16&gt;真實IC!AZ$26,1,0)</f>
        <v>1</v>
      </c>
      <c r="BA16" s="11">
        <f>IF(真實IC!BA16&gt;真實IC!BA$26,1,0)</f>
        <v>1</v>
      </c>
      <c r="BB16" s="11">
        <f>IF(真實IC!BB16&gt;真實IC!BB$26,1,0)</f>
        <v>1</v>
      </c>
      <c r="BC16" s="11">
        <f>IF(真實IC!BC16&gt;真實IC!BC$26,1,0)</f>
        <v>0</v>
      </c>
      <c r="BD16" s="11">
        <f>IF(真實IC!BD16&gt;真實IC!BD$26,1,0)</f>
        <v>1</v>
      </c>
      <c r="BE16" s="11">
        <f>IF(真實IC!BE16&gt;真實IC!BE$26,1,0)</f>
        <v>1</v>
      </c>
      <c r="BF16" s="11">
        <f>IF(真實IC!BF16&gt;真實IC!BF$26,1,0)</f>
        <v>1</v>
      </c>
      <c r="BG16" s="11">
        <f>IF(真實IC!BG16&gt;真實IC!BG$26,1,0)</f>
        <v>1</v>
      </c>
      <c r="BH16" s="11">
        <f>IF(真實IC!BH16&gt;真實IC!BH$26,1,0)</f>
        <v>1</v>
      </c>
      <c r="BI16" s="11">
        <f>IF(真實IC!BI16&gt;真實IC!BI$26,1,0)</f>
        <v>1</v>
      </c>
      <c r="BJ16" s="11">
        <f>IF(真實IC!BJ16&gt;真實IC!BJ$26,1,0)</f>
        <v>1</v>
      </c>
      <c r="BK16" s="11">
        <f>IF(真實IC!BK16&gt;真實IC!BK$26,1,0)</f>
        <v>0</v>
      </c>
      <c r="BL16" s="11">
        <f>IF(真實IC!BL16&gt;真實IC!BL$26,1,0)</f>
        <v>1</v>
      </c>
      <c r="BM16" s="11">
        <f>IF(真實IC!BM16&gt;真實IC!BM$26,1,0)</f>
        <v>1</v>
      </c>
      <c r="BN16" s="11">
        <f>IF(真實IC!BN16&gt;真實IC!BN$26,1,0)</f>
        <v>0</v>
      </c>
      <c r="BO16" s="11">
        <f>IF(真實IC!BO16&gt;真實IC!BO$26,1,0)</f>
        <v>1</v>
      </c>
      <c r="BP16" s="11">
        <f>IF(真實IC!BP16&gt;真實IC!BP$26,1,0)</f>
        <v>0</v>
      </c>
      <c r="BQ16" s="11">
        <f>IF(真實IC!BQ16&gt;真實IC!BQ$26,1,0)</f>
        <v>1</v>
      </c>
      <c r="BR16" s="11">
        <f>IF(真實IC!BR16&gt;真實IC!BR$26,1,0)</f>
        <v>1</v>
      </c>
      <c r="BS16" s="11">
        <f>IF(真實IC!BS16&gt;真實IC!BS$26,1,0)</f>
        <v>1</v>
      </c>
      <c r="BT16" s="11">
        <f>IF(真實IC!BT16&gt;真實IC!BT$26,1,0)</f>
        <v>0</v>
      </c>
      <c r="BU16" s="11">
        <f>IF(真實IC!BU16&gt;真實IC!BU$26,1,0)</f>
        <v>1</v>
      </c>
      <c r="BV16" s="11">
        <f>IF(真實IC!BV16&gt;真實IC!BV$26,1,0)</f>
        <v>0</v>
      </c>
      <c r="BW16" s="11">
        <f>IF(真實IC!BW16&gt;真實IC!BW$26,1,0)</f>
        <v>1</v>
      </c>
      <c r="BX16" s="11">
        <f>IF(真實IC!BX16&gt;真實IC!BX$26,1,0)</f>
        <v>1</v>
      </c>
      <c r="BY16" s="11">
        <f>IF(真實IC!BY16&gt;真實IC!BY$26,1,0)</f>
        <v>1</v>
      </c>
      <c r="BZ16" s="11">
        <f>IF(真實IC!BZ16&gt;真實IC!BZ$26,1,0)</f>
        <v>0</v>
      </c>
      <c r="CA16" s="11">
        <f>IF(真實IC!CA16&gt;真實IC!CA$26,1,0)</f>
        <v>1</v>
      </c>
      <c r="CB16" s="11">
        <f>IF(真實IC!CB16&gt;真實IC!CB$26,1,0)</f>
        <v>1</v>
      </c>
      <c r="CC16" s="11">
        <f>IF(真實IC!CC16&gt;真實IC!CC$26,1,0)</f>
        <v>0</v>
      </c>
      <c r="CD16" s="11">
        <f>IF(真實IC!CD16&gt;真實IC!CD$26,1,0)</f>
        <v>1</v>
      </c>
      <c r="CE16" s="11">
        <f>IF(真實IC!CE16&gt;真實IC!CE$26,1,0)</f>
        <v>1</v>
      </c>
      <c r="CF16" s="11">
        <f>IF(真實IC!CF16&gt;真實IC!CF$26,1,0)</f>
        <v>1</v>
      </c>
      <c r="CG16" s="11">
        <f>IF(真實IC!CG16&gt;真實IC!CG$26,1,0)</f>
        <v>0</v>
      </c>
      <c r="CH16" s="11">
        <f>IF(真實IC!CH16&gt;真實IC!CH$26,1,0)</f>
        <v>0</v>
      </c>
      <c r="CI16" s="11">
        <f>IF(真實IC!CI16&gt;真實IC!CI$26,1,0)</f>
        <v>1</v>
      </c>
      <c r="CJ16" s="11">
        <f>IF(真實IC!CJ16&gt;真實IC!CJ$26,1,0)</f>
        <v>0</v>
      </c>
      <c r="CK16" s="11">
        <f>IF(真實IC!CK16&gt;真實IC!CK$26,1,0)</f>
        <v>1</v>
      </c>
      <c r="CL16" s="11">
        <f>IF(真實IC!CL16&gt;真實IC!CL$26,1,0)</f>
        <v>0</v>
      </c>
      <c r="CM16" s="11">
        <f>IF(真實IC!CM16&gt;真實IC!CM$26,1,0)</f>
        <v>1</v>
      </c>
      <c r="CN16" s="11">
        <f>IF(真實IC!CN16&gt;真實IC!CN$26,1,0)</f>
        <v>1</v>
      </c>
      <c r="CO16" s="11">
        <f>IF(真實IC!CO16&gt;真實IC!CO$26,1,0)</f>
        <v>1</v>
      </c>
      <c r="CP16" s="11">
        <f>IF(真實IC!CP16&gt;真實IC!CP$26,1,0)</f>
        <v>1</v>
      </c>
      <c r="CQ16" s="11">
        <f>IF(真實IC!CQ16&gt;真實IC!CQ$26,1,0)</f>
        <v>1</v>
      </c>
      <c r="CR16" s="11">
        <f>IF(真實IC!CR16&gt;真實IC!CR$26,1,0)</f>
        <v>1</v>
      </c>
      <c r="CS16" s="11">
        <f>IF(真實IC!CS16&gt;真實IC!CS$26,1,0)</f>
        <v>1</v>
      </c>
      <c r="CT16" s="11">
        <f>IF(真實IC!CT16&gt;真實IC!CT$26,1,0)</f>
        <v>1</v>
      </c>
      <c r="CU16" s="11">
        <f>IF(真實IC!CU16&gt;真實IC!CU$26,1,0)</f>
        <v>1</v>
      </c>
      <c r="CV16" s="11">
        <f>IF(真實IC!CV16&gt;真實IC!CV$26,1,0)</f>
        <v>1</v>
      </c>
      <c r="CW16" s="11">
        <f>IF(真實IC!CW16&gt;真實IC!CW$26,1,0)</f>
        <v>1</v>
      </c>
      <c r="CX16" s="11">
        <f>IF(真實IC!CX16&gt;真實IC!CX$26,1,0)</f>
        <v>1</v>
      </c>
      <c r="CY16" s="11">
        <f>IF(真實IC!CY16&gt;真實IC!CY$26,1,0)</f>
        <v>1</v>
      </c>
      <c r="CZ16" s="11">
        <f>IF(真實IC!CZ16&gt;真實IC!CZ$26,1,0)</f>
        <v>1</v>
      </c>
      <c r="DA16" s="11">
        <f>IF(真實IC!DA16&gt;真實IC!DA$26,1,0)</f>
        <v>1</v>
      </c>
      <c r="DB16" s="11">
        <f>IF(真實IC!DB16&gt;真實IC!DB$26,1,0)</f>
        <v>1</v>
      </c>
      <c r="DC16" s="11">
        <f>IF(真實IC!DC16&gt;真實IC!DC$26,1,0)</f>
        <v>1</v>
      </c>
      <c r="DD16" s="11">
        <f>IF(真實IC!DD16&gt;真實IC!DD$26,1,0)</f>
        <v>1</v>
      </c>
      <c r="DE16" s="11">
        <f>IF(真實IC!DE16&gt;真實IC!DE$26,1,0)</f>
        <v>0</v>
      </c>
      <c r="DF16" s="11">
        <f>IF(真實IC!DF16&gt;真實IC!DF$26,1,0)</f>
        <v>1</v>
      </c>
      <c r="DG16" s="11">
        <f>IF(真實IC!DG16&gt;真實IC!DG$26,1,0)</f>
        <v>0</v>
      </c>
      <c r="DH16" s="11">
        <f>IF(真實IC!DH16&gt;真實IC!DH$26,1,0)</f>
        <v>1</v>
      </c>
      <c r="DI16" s="11">
        <f>IF(真實IC!DI16&gt;真實IC!DI$26,1,0)</f>
        <v>1</v>
      </c>
      <c r="DJ16" s="11">
        <f>IF(真實IC!DJ16&gt;真實IC!DJ$26,1,0)</f>
        <v>1</v>
      </c>
      <c r="DK16" s="11">
        <f>IF(真實IC!DK16&gt;真實IC!DK$26,1,0)</f>
        <v>1</v>
      </c>
      <c r="DL16" s="11">
        <f>IF(真實IC!DL16&gt;真實IC!DL$26,1,0)</f>
        <v>0</v>
      </c>
      <c r="DM16" s="11">
        <f>IF(真實IC!DM16&gt;真實IC!DM$26,1,0)</f>
        <v>0</v>
      </c>
      <c r="DN16" s="11">
        <f>IF(真實IC!DN16&gt;真實IC!DN$26,1,0)</f>
        <v>1</v>
      </c>
      <c r="DO16" s="11">
        <f>IF(真實IC!DO16&gt;真實IC!DO$26,1,0)</f>
        <v>1</v>
      </c>
      <c r="DP16" s="11">
        <f>IF(真實IC!DP16&gt;真實IC!DP$26,1,0)</f>
        <v>1</v>
      </c>
      <c r="DQ16" s="11">
        <f>IF(真實IC!DQ16&gt;真實IC!DQ$26,1,0)</f>
        <v>0</v>
      </c>
      <c r="DR16" s="11">
        <f>IF(真實IC!DR16&gt;真實IC!DR$26,1,0)</f>
        <v>1</v>
      </c>
      <c r="DS16" s="11">
        <f>IF(真實IC!DS16&gt;真實IC!DS$26,1,0)</f>
        <v>1</v>
      </c>
      <c r="DT16" s="11">
        <f>IF(真實IC!DT16&gt;真實IC!DT$26,1,0)</f>
        <v>1</v>
      </c>
      <c r="DU16" s="11">
        <f>IF(真實IC!DU16&gt;真實IC!DU$26,1,0)</f>
        <v>1</v>
      </c>
      <c r="DV16" s="11">
        <f>IF(真實IC!DV16&gt;真實IC!DV$26,1,0)</f>
        <v>1</v>
      </c>
      <c r="DW16" s="11">
        <f>IF(真實IC!DW16&gt;真實IC!DW$26,1,0)</f>
        <v>0</v>
      </c>
      <c r="DX16" s="11">
        <f>IF(真實IC!DX16&gt;真實IC!DX$26,1,0)</f>
        <v>1</v>
      </c>
      <c r="DY16" s="11">
        <f>IF(真實IC!DY16&gt;真實IC!DY$26,1,0)</f>
        <v>1</v>
      </c>
      <c r="DZ16" s="11">
        <f>IF(真實IC!DZ16&gt;真實IC!DZ$26,1,0)</f>
        <v>1</v>
      </c>
      <c r="EA16" s="11">
        <f>IF(真實IC!EA16&gt;真實IC!EA$26,1,0)</f>
        <v>1</v>
      </c>
      <c r="EB16" s="11">
        <f>IF(真實IC!EB16&gt;真實IC!EB$26,1,0)</f>
        <v>1</v>
      </c>
      <c r="EC16" s="11">
        <f>IF(真實IC!EC16&gt;真實IC!EC$26,1,0)</f>
        <v>1</v>
      </c>
      <c r="ED16" s="11">
        <f>IF(真實IC!ED16&gt;真實IC!ED$26,1,0)</f>
        <v>1</v>
      </c>
      <c r="EE16" s="11">
        <f>IF(真實IC!EE16&gt;真實IC!EE$26,1,0)</f>
        <v>0</v>
      </c>
      <c r="EF16" s="11">
        <f>IF(真實IC!EF16&gt;真實IC!EF$26,1,0)</f>
        <v>1</v>
      </c>
      <c r="EG16">
        <f t="shared" si="11"/>
        <v>100</v>
      </c>
      <c r="EH16" s="19">
        <f t="shared" si="10"/>
        <v>0.73880597014925375</v>
      </c>
    </row>
    <row r="17" spans="1:138" x14ac:dyDescent="0.3">
      <c r="A17" s="1">
        <v>120</v>
      </c>
      <c r="B17" s="1">
        <v>8</v>
      </c>
      <c r="C17" s="11">
        <f>IF(真實IC!C17&gt;真實IC!C$26,1,0)</f>
        <v>1</v>
      </c>
      <c r="D17" s="11">
        <f>IF(真實IC!D17&gt;真實IC!D$26,1,0)</f>
        <v>1</v>
      </c>
      <c r="E17" s="11">
        <f>IF(真實IC!E17&gt;真實IC!E$26,1,0)</f>
        <v>1</v>
      </c>
      <c r="F17" s="11">
        <f>IF(真實IC!F17&gt;真實IC!F$26,1,0)</f>
        <v>0</v>
      </c>
      <c r="G17" s="11">
        <f>IF(真實IC!G17&gt;真實IC!G$26,1,0)</f>
        <v>1</v>
      </c>
      <c r="H17" s="11">
        <f>IF(真實IC!H17&gt;真實IC!H$26,1,0)</f>
        <v>1</v>
      </c>
      <c r="I17" s="11">
        <f>IF(真實IC!I17&gt;真實IC!I$26,1,0)</f>
        <v>1</v>
      </c>
      <c r="J17" s="11">
        <f>IF(真實IC!J17&gt;真實IC!J$26,1,0)</f>
        <v>1</v>
      </c>
      <c r="K17" s="11">
        <f>IF(真實IC!K17&gt;真實IC!K$26,1,0)</f>
        <v>1</v>
      </c>
      <c r="L17" s="11">
        <f>IF(真實IC!L17&gt;真實IC!L$26,1,0)</f>
        <v>0</v>
      </c>
      <c r="M17" s="11">
        <f>IF(真實IC!M17&gt;真實IC!M$26,1,0)</f>
        <v>0</v>
      </c>
      <c r="N17" s="11">
        <f>IF(真實IC!N17&gt;真實IC!N$26,1,0)</f>
        <v>1</v>
      </c>
      <c r="O17" s="11">
        <f>IF(真實IC!O17&gt;真實IC!O$26,1,0)</f>
        <v>0</v>
      </c>
      <c r="P17" s="11">
        <f>IF(真實IC!P17&gt;真實IC!P$26,1,0)</f>
        <v>1</v>
      </c>
      <c r="Q17" s="11">
        <f>IF(真實IC!Q17&gt;真實IC!Q$26,1,0)</f>
        <v>1</v>
      </c>
      <c r="R17" s="11">
        <f>IF(真實IC!R17&gt;真實IC!R$26,1,0)</f>
        <v>0</v>
      </c>
      <c r="S17" s="11">
        <f>IF(真實IC!S17&gt;真實IC!S$26,1,0)</f>
        <v>1</v>
      </c>
      <c r="T17" s="11">
        <f>IF(真實IC!T17&gt;真實IC!T$26,1,0)</f>
        <v>1</v>
      </c>
      <c r="U17" s="11">
        <f>IF(真實IC!U17&gt;真實IC!U$26,1,0)</f>
        <v>1</v>
      </c>
      <c r="V17" s="11">
        <f>IF(真實IC!V17&gt;真實IC!V$26,1,0)</f>
        <v>1</v>
      </c>
      <c r="W17" s="11">
        <f>IF(真實IC!W17&gt;真實IC!W$26,1,0)</f>
        <v>1</v>
      </c>
      <c r="X17" s="11">
        <f>IF(真實IC!X17&gt;真實IC!X$26,1,0)</f>
        <v>1</v>
      </c>
      <c r="Y17" s="11">
        <f>IF(真實IC!Y17&gt;真實IC!Y$26,1,0)</f>
        <v>1</v>
      </c>
      <c r="Z17" s="11">
        <f>IF(真實IC!Z17&gt;真實IC!Z$26,1,0)</f>
        <v>1</v>
      </c>
      <c r="AA17" s="11">
        <f>IF(真實IC!AA17&gt;真實IC!AA$26,1,0)</f>
        <v>1</v>
      </c>
      <c r="AB17" s="11">
        <f>IF(真實IC!AB17&gt;真實IC!AB$26,1,0)</f>
        <v>1</v>
      </c>
      <c r="AC17" s="11">
        <f>IF(真實IC!AC17&gt;真實IC!AC$26,1,0)</f>
        <v>0</v>
      </c>
      <c r="AD17" s="11">
        <f>IF(真實IC!AD17&gt;真實IC!AD$26,1,0)</f>
        <v>1</v>
      </c>
      <c r="AE17" s="11">
        <f>IF(真實IC!AE17&gt;真實IC!AE$26,1,0)</f>
        <v>1</v>
      </c>
      <c r="AF17" s="11">
        <f>IF(真實IC!AF17&gt;真實IC!AF$26,1,0)</f>
        <v>1</v>
      </c>
      <c r="AG17" s="11">
        <f>IF(真實IC!AG17&gt;真實IC!AG$26,1,0)</f>
        <v>0</v>
      </c>
      <c r="AH17" s="11">
        <f>IF(真實IC!AH17&gt;真實IC!AH$26,1,0)</f>
        <v>0</v>
      </c>
      <c r="AI17" s="11">
        <f>IF(真實IC!AI17&gt;真實IC!AI$26,1,0)</f>
        <v>1</v>
      </c>
      <c r="AJ17" s="11">
        <f>IF(真實IC!AJ17&gt;真實IC!AJ$26,1,0)</f>
        <v>0</v>
      </c>
      <c r="AK17" s="11">
        <f>IF(真實IC!AK17&gt;真實IC!AK$26,1,0)</f>
        <v>1</v>
      </c>
      <c r="AL17" s="11">
        <f>IF(真實IC!AL17&gt;真實IC!AL$26,1,0)</f>
        <v>0</v>
      </c>
      <c r="AM17" s="11">
        <f>IF(真實IC!AM17&gt;真實IC!AM$26,1,0)</f>
        <v>1</v>
      </c>
      <c r="AN17" s="11">
        <f>IF(真實IC!AN17&gt;真實IC!AN$26,1,0)</f>
        <v>1</v>
      </c>
      <c r="AO17" s="11">
        <f>IF(真實IC!AO17&gt;真實IC!AO$26,1,0)</f>
        <v>0</v>
      </c>
      <c r="AP17" s="11">
        <f>IF(真實IC!AP17&gt;真實IC!AP$26,1,0)</f>
        <v>1</v>
      </c>
      <c r="AQ17" s="11">
        <f>IF(真實IC!AQ17&gt;真實IC!AQ$26,1,0)</f>
        <v>0</v>
      </c>
      <c r="AR17" s="11">
        <f>IF(真實IC!AR17&gt;真實IC!AR$26,1,0)</f>
        <v>0</v>
      </c>
      <c r="AS17" s="11">
        <f>IF(真實IC!AS17&gt;真實IC!AS$26,1,0)</f>
        <v>0</v>
      </c>
      <c r="AT17" s="11">
        <f>IF(真實IC!AT17&gt;真實IC!AT$26,1,0)</f>
        <v>1</v>
      </c>
      <c r="AU17" s="11">
        <f>IF(真實IC!AU17&gt;真實IC!AU$26,1,0)</f>
        <v>1</v>
      </c>
      <c r="AV17" s="11">
        <f>IF(真實IC!AV17&gt;真實IC!AV$26,1,0)</f>
        <v>1</v>
      </c>
      <c r="AW17" s="11">
        <f>IF(真實IC!AW17&gt;真實IC!AW$26,1,0)</f>
        <v>1</v>
      </c>
      <c r="AX17" s="11">
        <f>IF(真實IC!AX17&gt;真實IC!AX$26,1,0)</f>
        <v>1</v>
      </c>
      <c r="AY17" s="11">
        <f>IF(真實IC!AY17&gt;真實IC!AY$26,1,0)</f>
        <v>0</v>
      </c>
      <c r="AZ17" s="11">
        <f>IF(真實IC!AZ17&gt;真實IC!AZ$26,1,0)</f>
        <v>1</v>
      </c>
      <c r="BA17" s="11">
        <f>IF(真實IC!BA17&gt;真實IC!BA$26,1,0)</f>
        <v>1</v>
      </c>
      <c r="BB17" s="11">
        <f>IF(真實IC!BB17&gt;真實IC!BB$26,1,0)</f>
        <v>1</v>
      </c>
      <c r="BC17" s="11">
        <f>IF(真實IC!BC17&gt;真實IC!BC$26,1,0)</f>
        <v>0</v>
      </c>
      <c r="BD17" s="11">
        <f>IF(真實IC!BD17&gt;真實IC!BD$26,1,0)</f>
        <v>1</v>
      </c>
      <c r="BE17" s="11">
        <f>IF(真實IC!BE17&gt;真實IC!BE$26,1,0)</f>
        <v>1</v>
      </c>
      <c r="BF17" s="11">
        <f>IF(真實IC!BF17&gt;真實IC!BF$26,1,0)</f>
        <v>1</v>
      </c>
      <c r="BG17" s="11">
        <f>IF(真實IC!BG17&gt;真實IC!BG$26,1,0)</f>
        <v>1</v>
      </c>
      <c r="BH17" s="11">
        <f>IF(真實IC!BH17&gt;真實IC!BH$26,1,0)</f>
        <v>1</v>
      </c>
      <c r="BI17" s="11">
        <f>IF(真實IC!BI17&gt;真實IC!BI$26,1,0)</f>
        <v>1</v>
      </c>
      <c r="BJ17" s="11">
        <f>IF(真實IC!BJ17&gt;真實IC!BJ$26,1,0)</f>
        <v>1</v>
      </c>
      <c r="BK17" s="11">
        <f>IF(真實IC!BK17&gt;真實IC!BK$26,1,0)</f>
        <v>0</v>
      </c>
      <c r="BL17" s="11">
        <f>IF(真實IC!BL17&gt;真實IC!BL$26,1,0)</f>
        <v>0</v>
      </c>
      <c r="BM17" s="11">
        <f>IF(真實IC!BM17&gt;真實IC!BM$26,1,0)</f>
        <v>1</v>
      </c>
      <c r="BN17" s="11">
        <f>IF(真實IC!BN17&gt;真實IC!BN$26,1,0)</f>
        <v>0</v>
      </c>
      <c r="BO17" s="11">
        <f>IF(真實IC!BO17&gt;真實IC!BO$26,1,0)</f>
        <v>1</v>
      </c>
      <c r="BP17" s="11">
        <f>IF(真實IC!BP17&gt;真實IC!BP$26,1,0)</f>
        <v>0</v>
      </c>
      <c r="BQ17" s="11">
        <f>IF(真實IC!BQ17&gt;真實IC!BQ$26,1,0)</f>
        <v>1</v>
      </c>
      <c r="BR17" s="11">
        <f>IF(真實IC!BR17&gt;真實IC!BR$26,1,0)</f>
        <v>1</v>
      </c>
      <c r="BS17" s="11">
        <f>IF(真實IC!BS17&gt;真實IC!BS$26,1,0)</f>
        <v>1</v>
      </c>
      <c r="BT17" s="11">
        <f>IF(真實IC!BT17&gt;真實IC!BT$26,1,0)</f>
        <v>0</v>
      </c>
      <c r="BU17" s="11">
        <f>IF(真實IC!BU17&gt;真實IC!BU$26,1,0)</f>
        <v>1</v>
      </c>
      <c r="BV17" s="11">
        <f>IF(真實IC!BV17&gt;真實IC!BV$26,1,0)</f>
        <v>0</v>
      </c>
      <c r="BW17" s="11">
        <f>IF(真實IC!BW17&gt;真實IC!BW$26,1,0)</f>
        <v>1</v>
      </c>
      <c r="BX17" s="11">
        <f>IF(真實IC!BX17&gt;真實IC!BX$26,1,0)</f>
        <v>1</v>
      </c>
      <c r="BY17" s="11">
        <f>IF(真實IC!BY17&gt;真實IC!BY$26,1,0)</f>
        <v>1</v>
      </c>
      <c r="BZ17" s="11">
        <f>IF(真實IC!BZ17&gt;真實IC!BZ$26,1,0)</f>
        <v>0</v>
      </c>
      <c r="CA17" s="11">
        <f>IF(真實IC!CA17&gt;真實IC!CA$26,1,0)</f>
        <v>1</v>
      </c>
      <c r="CB17" s="11">
        <f>IF(真實IC!CB17&gt;真實IC!CB$26,1,0)</f>
        <v>1</v>
      </c>
      <c r="CC17" s="11">
        <f>IF(真實IC!CC17&gt;真實IC!CC$26,1,0)</f>
        <v>0</v>
      </c>
      <c r="CD17" s="11">
        <f>IF(真實IC!CD17&gt;真實IC!CD$26,1,0)</f>
        <v>1</v>
      </c>
      <c r="CE17" s="11">
        <f>IF(真實IC!CE17&gt;真實IC!CE$26,1,0)</f>
        <v>1</v>
      </c>
      <c r="CF17" s="11">
        <f>IF(真實IC!CF17&gt;真實IC!CF$26,1,0)</f>
        <v>1</v>
      </c>
      <c r="CG17" s="11">
        <f>IF(真實IC!CG17&gt;真實IC!CG$26,1,0)</f>
        <v>0</v>
      </c>
      <c r="CH17" s="11">
        <f>IF(真實IC!CH17&gt;真實IC!CH$26,1,0)</f>
        <v>0</v>
      </c>
      <c r="CI17" s="11">
        <f>IF(真實IC!CI17&gt;真實IC!CI$26,1,0)</f>
        <v>0</v>
      </c>
      <c r="CJ17" s="11">
        <f>IF(真實IC!CJ17&gt;真實IC!CJ$26,1,0)</f>
        <v>0</v>
      </c>
      <c r="CK17" s="11">
        <f>IF(真實IC!CK17&gt;真實IC!CK$26,1,0)</f>
        <v>1</v>
      </c>
      <c r="CL17" s="11">
        <f>IF(真實IC!CL17&gt;真實IC!CL$26,1,0)</f>
        <v>0</v>
      </c>
      <c r="CM17" s="11">
        <f>IF(真實IC!CM17&gt;真實IC!CM$26,1,0)</f>
        <v>1</v>
      </c>
      <c r="CN17" s="11">
        <f>IF(真實IC!CN17&gt;真實IC!CN$26,1,0)</f>
        <v>1</v>
      </c>
      <c r="CO17" s="11">
        <f>IF(真實IC!CO17&gt;真實IC!CO$26,1,0)</f>
        <v>1</v>
      </c>
      <c r="CP17" s="11">
        <f>IF(真實IC!CP17&gt;真實IC!CP$26,1,0)</f>
        <v>1</v>
      </c>
      <c r="CQ17" s="11">
        <f>IF(真實IC!CQ17&gt;真實IC!CQ$26,1,0)</f>
        <v>1</v>
      </c>
      <c r="CR17" s="11">
        <f>IF(真實IC!CR17&gt;真實IC!CR$26,1,0)</f>
        <v>1</v>
      </c>
      <c r="CS17" s="11">
        <f>IF(真實IC!CS17&gt;真實IC!CS$26,1,0)</f>
        <v>1</v>
      </c>
      <c r="CT17" s="11">
        <f>IF(真實IC!CT17&gt;真實IC!CT$26,1,0)</f>
        <v>1</v>
      </c>
      <c r="CU17" s="11">
        <f>IF(真實IC!CU17&gt;真實IC!CU$26,1,0)</f>
        <v>1</v>
      </c>
      <c r="CV17" s="11">
        <f>IF(真實IC!CV17&gt;真實IC!CV$26,1,0)</f>
        <v>1</v>
      </c>
      <c r="CW17" s="11">
        <f>IF(真實IC!CW17&gt;真實IC!CW$26,1,0)</f>
        <v>1</v>
      </c>
      <c r="CX17" s="11">
        <f>IF(真實IC!CX17&gt;真實IC!CX$26,1,0)</f>
        <v>1</v>
      </c>
      <c r="CY17" s="11">
        <f>IF(真實IC!CY17&gt;真實IC!CY$26,1,0)</f>
        <v>1</v>
      </c>
      <c r="CZ17" s="11">
        <f>IF(真實IC!CZ17&gt;真實IC!CZ$26,1,0)</f>
        <v>1</v>
      </c>
      <c r="DA17" s="11">
        <f>IF(真實IC!DA17&gt;真實IC!DA$26,1,0)</f>
        <v>1</v>
      </c>
      <c r="DB17" s="11">
        <f>IF(真實IC!DB17&gt;真實IC!DB$26,1,0)</f>
        <v>1</v>
      </c>
      <c r="DC17" s="11">
        <f>IF(真實IC!DC17&gt;真實IC!DC$26,1,0)</f>
        <v>1</v>
      </c>
      <c r="DD17" s="11">
        <f>IF(真實IC!DD17&gt;真實IC!DD$26,1,0)</f>
        <v>1</v>
      </c>
      <c r="DE17" s="11">
        <f>IF(真實IC!DE17&gt;真實IC!DE$26,1,0)</f>
        <v>0</v>
      </c>
      <c r="DF17" s="11">
        <f>IF(真實IC!DF17&gt;真實IC!DF$26,1,0)</f>
        <v>1</v>
      </c>
      <c r="DG17" s="11">
        <f>IF(真實IC!DG17&gt;真實IC!DG$26,1,0)</f>
        <v>0</v>
      </c>
      <c r="DH17" s="11">
        <f>IF(真實IC!DH17&gt;真實IC!DH$26,1,0)</f>
        <v>1</v>
      </c>
      <c r="DI17" s="11">
        <f>IF(真實IC!DI17&gt;真實IC!DI$26,1,0)</f>
        <v>1</v>
      </c>
      <c r="DJ17" s="11">
        <f>IF(真實IC!DJ17&gt;真實IC!DJ$26,1,0)</f>
        <v>1</v>
      </c>
      <c r="DK17" s="11">
        <f>IF(真實IC!DK17&gt;真實IC!DK$26,1,0)</f>
        <v>1</v>
      </c>
      <c r="DL17" s="11">
        <f>IF(真實IC!DL17&gt;真實IC!DL$26,1,0)</f>
        <v>0</v>
      </c>
      <c r="DM17" s="11">
        <f>IF(真實IC!DM17&gt;真實IC!DM$26,1,0)</f>
        <v>0</v>
      </c>
      <c r="DN17" s="11">
        <f>IF(真實IC!DN17&gt;真實IC!DN$26,1,0)</f>
        <v>1</v>
      </c>
      <c r="DO17" s="11">
        <f>IF(真實IC!DO17&gt;真實IC!DO$26,1,0)</f>
        <v>1</v>
      </c>
      <c r="DP17" s="11">
        <f>IF(真實IC!DP17&gt;真實IC!DP$26,1,0)</f>
        <v>1</v>
      </c>
      <c r="DQ17" s="11">
        <f>IF(真實IC!DQ17&gt;真實IC!DQ$26,1,0)</f>
        <v>0</v>
      </c>
      <c r="DR17" s="11">
        <f>IF(真實IC!DR17&gt;真實IC!DR$26,1,0)</f>
        <v>1</v>
      </c>
      <c r="DS17" s="11">
        <f>IF(真實IC!DS17&gt;真實IC!DS$26,1,0)</f>
        <v>1</v>
      </c>
      <c r="DT17" s="11">
        <f>IF(真實IC!DT17&gt;真實IC!DT$26,1,0)</f>
        <v>1</v>
      </c>
      <c r="DU17" s="11">
        <f>IF(真實IC!DU17&gt;真實IC!DU$26,1,0)</f>
        <v>1</v>
      </c>
      <c r="DV17" s="11">
        <f>IF(真實IC!DV17&gt;真實IC!DV$26,1,0)</f>
        <v>1</v>
      </c>
      <c r="DW17" s="11">
        <f>IF(真實IC!DW17&gt;真實IC!DW$26,1,0)</f>
        <v>0</v>
      </c>
      <c r="DX17" s="11">
        <f>IF(真實IC!DX17&gt;真實IC!DX$26,1,0)</f>
        <v>1</v>
      </c>
      <c r="DY17" s="11">
        <f>IF(真實IC!DY17&gt;真實IC!DY$26,1,0)</f>
        <v>1</v>
      </c>
      <c r="DZ17" s="11">
        <f>IF(真實IC!DZ17&gt;真實IC!DZ$26,1,0)</f>
        <v>1</v>
      </c>
      <c r="EA17" s="11">
        <f>IF(真實IC!EA17&gt;真實IC!EA$26,1,0)</f>
        <v>0</v>
      </c>
      <c r="EB17" s="11">
        <f>IF(真實IC!EB17&gt;真實IC!EB$26,1,0)</f>
        <v>1</v>
      </c>
      <c r="EC17" s="11">
        <f>IF(真實IC!EC17&gt;真實IC!EC$26,1,0)</f>
        <v>1</v>
      </c>
      <c r="ED17" s="11">
        <f>IF(真實IC!ED17&gt;真實IC!ED$26,1,0)</f>
        <v>1</v>
      </c>
      <c r="EE17" s="11">
        <f>IF(真實IC!EE17&gt;真實IC!EE$26,1,0)</f>
        <v>0</v>
      </c>
      <c r="EF17" s="11">
        <f>IF(真實IC!EF17&gt;真實IC!EF$26,1,0)</f>
        <v>1</v>
      </c>
      <c r="EG17">
        <f t="shared" si="11"/>
        <v>97</v>
      </c>
      <c r="EH17" s="19">
        <f t="shared" si="10"/>
        <v>0.71641791044776115</v>
      </c>
    </row>
    <row r="18" spans="1:138" x14ac:dyDescent="0.3">
      <c r="A18" s="1">
        <v>137</v>
      </c>
      <c r="B18" s="1">
        <v>7</v>
      </c>
      <c r="C18" s="11">
        <f>IF(真實IC!C18&gt;真實IC!C$26,1,0)</f>
        <v>1</v>
      </c>
      <c r="D18" s="11">
        <f>IF(真實IC!D18&gt;真實IC!D$26,1,0)</f>
        <v>1</v>
      </c>
      <c r="E18" s="11">
        <f>IF(真實IC!E18&gt;真實IC!E$26,1,0)</f>
        <v>1</v>
      </c>
      <c r="F18" s="11">
        <f>IF(真實IC!F18&gt;真實IC!F$26,1,0)</f>
        <v>0</v>
      </c>
      <c r="G18" s="11">
        <f>IF(真實IC!G18&gt;真實IC!G$26,1,0)</f>
        <v>1</v>
      </c>
      <c r="H18" s="11">
        <f>IF(真實IC!H18&gt;真實IC!H$26,1,0)</f>
        <v>1</v>
      </c>
      <c r="I18" s="11">
        <f>IF(真實IC!I18&gt;真實IC!I$26,1,0)</f>
        <v>1</v>
      </c>
      <c r="J18" s="11">
        <f>IF(真實IC!J18&gt;真實IC!J$26,1,0)</f>
        <v>1</v>
      </c>
      <c r="K18" s="11">
        <f>IF(真實IC!K18&gt;真實IC!K$26,1,0)</f>
        <v>1</v>
      </c>
      <c r="L18" s="11">
        <f>IF(真實IC!L18&gt;真實IC!L$26,1,0)</f>
        <v>0</v>
      </c>
      <c r="M18" s="11">
        <f>IF(真實IC!M18&gt;真實IC!M$26,1,0)</f>
        <v>1</v>
      </c>
      <c r="N18" s="11">
        <f>IF(真實IC!N18&gt;真實IC!N$26,1,0)</f>
        <v>1</v>
      </c>
      <c r="O18" s="11">
        <f>IF(真實IC!O18&gt;真實IC!O$26,1,0)</f>
        <v>1</v>
      </c>
      <c r="P18" s="11">
        <f>IF(真實IC!P18&gt;真實IC!P$26,1,0)</f>
        <v>1</v>
      </c>
      <c r="Q18" s="11">
        <f>IF(真實IC!Q18&gt;真實IC!Q$26,1,0)</f>
        <v>1</v>
      </c>
      <c r="R18" s="11">
        <f>IF(真實IC!R18&gt;真實IC!R$26,1,0)</f>
        <v>0</v>
      </c>
      <c r="S18" s="11">
        <f>IF(真實IC!S18&gt;真實IC!S$26,1,0)</f>
        <v>1</v>
      </c>
      <c r="T18" s="11">
        <f>IF(真實IC!T18&gt;真實IC!T$26,1,0)</f>
        <v>1</v>
      </c>
      <c r="U18" s="11">
        <f>IF(真實IC!U18&gt;真實IC!U$26,1,0)</f>
        <v>1</v>
      </c>
      <c r="V18" s="11">
        <f>IF(真實IC!V18&gt;真實IC!V$26,1,0)</f>
        <v>1</v>
      </c>
      <c r="W18" s="11">
        <f>IF(真實IC!W18&gt;真實IC!W$26,1,0)</f>
        <v>1</v>
      </c>
      <c r="X18" s="11">
        <f>IF(真實IC!X18&gt;真實IC!X$26,1,0)</f>
        <v>1</v>
      </c>
      <c r="Y18" s="11">
        <f>IF(真實IC!Y18&gt;真實IC!Y$26,1,0)</f>
        <v>1</v>
      </c>
      <c r="Z18" s="11">
        <f>IF(真實IC!Z18&gt;真實IC!Z$26,1,0)</f>
        <v>1</v>
      </c>
      <c r="AA18" s="11">
        <f>IF(真實IC!AA18&gt;真實IC!AA$26,1,0)</f>
        <v>1</v>
      </c>
      <c r="AB18" s="11">
        <f>IF(真實IC!AB18&gt;真實IC!AB$26,1,0)</f>
        <v>1</v>
      </c>
      <c r="AC18" s="11">
        <f>IF(真實IC!AC18&gt;真實IC!AC$26,1,0)</f>
        <v>0</v>
      </c>
      <c r="AD18" s="11">
        <f>IF(真實IC!AD18&gt;真實IC!AD$26,1,0)</f>
        <v>1</v>
      </c>
      <c r="AE18" s="11">
        <f>IF(真實IC!AE18&gt;真實IC!AE$26,1,0)</f>
        <v>1</v>
      </c>
      <c r="AF18" s="11">
        <f>IF(真實IC!AF18&gt;真實IC!AF$26,1,0)</f>
        <v>1</v>
      </c>
      <c r="AG18" s="11">
        <f>IF(真實IC!AG18&gt;真實IC!AG$26,1,0)</f>
        <v>0</v>
      </c>
      <c r="AH18" s="11">
        <f>IF(真實IC!AH18&gt;真實IC!AH$26,1,0)</f>
        <v>0</v>
      </c>
      <c r="AI18" s="11">
        <f>IF(真實IC!AI18&gt;真實IC!AI$26,1,0)</f>
        <v>1</v>
      </c>
      <c r="AJ18" s="11">
        <f>IF(真實IC!AJ18&gt;真實IC!AJ$26,1,0)</f>
        <v>0</v>
      </c>
      <c r="AK18" s="11">
        <f>IF(真實IC!AK18&gt;真實IC!AK$26,1,0)</f>
        <v>1</v>
      </c>
      <c r="AL18" s="11">
        <f>IF(真實IC!AL18&gt;真實IC!AL$26,1,0)</f>
        <v>0</v>
      </c>
      <c r="AM18" s="11">
        <f>IF(真實IC!AM18&gt;真實IC!AM$26,1,0)</f>
        <v>1</v>
      </c>
      <c r="AN18" s="11">
        <f>IF(真實IC!AN18&gt;真實IC!AN$26,1,0)</f>
        <v>1</v>
      </c>
      <c r="AO18" s="11">
        <f>IF(真實IC!AO18&gt;真實IC!AO$26,1,0)</f>
        <v>1</v>
      </c>
      <c r="AP18" s="11">
        <f>IF(真實IC!AP18&gt;真實IC!AP$26,1,0)</f>
        <v>1</v>
      </c>
      <c r="AQ18" s="11">
        <f>IF(真實IC!AQ18&gt;真實IC!AQ$26,1,0)</f>
        <v>0</v>
      </c>
      <c r="AR18" s="11">
        <f>IF(真實IC!AR18&gt;真實IC!AR$26,1,0)</f>
        <v>0</v>
      </c>
      <c r="AS18" s="11">
        <f>IF(真實IC!AS18&gt;真實IC!AS$26,1,0)</f>
        <v>0</v>
      </c>
      <c r="AT18" s="11">
        <f>IF(真實IC!AT18&gt;真實IC!AT$26,1,0)</f>
        <v>1</v>
      </c>
      <c r="AU18" s="11">
        <f>IF(真實IC!AU18&gt;真實IC!AU$26,1,0)</f>
        <v>1</v>
      </c>
      <c r="AV18" s="11">
        <f>IF(真實IC!AV18&gt;真實IC!AV$26,1,0)</f>
        <v>1</v>
      </c>
      <c r="AW18" s="11">
        <f>IF(真實IC!AW18&gt;真實IC!AW$26,1,0)</f>
        <v>1</v>
      </c>
      <c r="AX18" s="11">
        <f>IF(真實IC!AX18&gt;真實IC!AX$26,1,0)</f>
        <v>1</v>
      </c>
      <c r="AY18" s="11">
        <f>IF(真實IC!AY18&gt;真實IC!AY$26,1,0)</f>
        <v>0</v>
      </c>
      <c r="AZ18" s="11">
        <f>IF(真實IC!AZ18&gt;真實IC!AZ$26,1,0)</f>
        <v>1</v>
      </c>
      <c r="BA18" s="11">
        <f>IF(真實IC!BA18&gt;真實IC!BA$26,1,0)</f>
        <v>1</v>
      </c>
      <c r="BB18" s="11">
        <f>IF(真實IC!BB18&gt;真實IC!BB$26,1,0)</f>
        <v>1</v>
      </c>
      <c r="BC18" s="11">
        <f>IF(真實IC!BC18&gt;真實IC!BC$26,1,0)</f>
        <v>1</v>
      </c>
      <c r="BD18" s="11">
        <f>IF(真實IC!BD18&gt;真實IC!BD$26,1,0)</f>
        <v>1</v>
      </c>
      <c r="BE18" s="11">
        <f>IF(真實IC!BE18&gt;真實IC!BE$26,1,0)</f>
        <v>1</v>
      </c>
      <c r="BF18" s="11">
        <f>IF(真實IC!BF18&gt;真實IC!BF$26,1,0)</f>
        <v>1</v>
      </c>
      <c r="BG18" s="11">
        <f>IF(真實IC!BG18&gt;真實IC!BG$26,1,0)</f>
        <v>1</v>
      </c>
      <c r="BH18" s="11">
        <f>IF(真實IC!BH18&gt;真實IC!BH$26,1,0)</f>
        <v>1</v>
      </c>
      <c r="BI18" s="11">
        <f>IF(真實IC!BI18&gt;真實IC!BI$26,1,0)</f>
        <v>1</v>
      </c>
      <c r="BJ18" s="11">
        <f>IF(真實IC!BJ18&gt;真實IC!BJ$26,1,0)</f>
        <v>1</v>
      </c>
      <c r="BK18" s="11">
        <f>IF(真實IC!BK18&gt;真實IC!BK$26,1,0)</f>
        <v>0</v>
      </c>
      <c r="BL18" s="11">
        <f>IF(真實IC!BL18&gt;真實IC!BL$26,1,0)</f>
        <v>1</v>
      </c>
      <c r="BM18" s="11">
        <f>IF(真實IC!BM18&gt;真實IC!BM$26,1,0)</f>
        <v>1</v>
      </c>
      <c r="BN18" s="11">
        <f>IF(真實IC!BN18&gt;真實IC!BN$26,1,0)</f>
        <v>0</v>
      </c>
      <c r="BO18" s="11">
        <f>IF(真實IC!BO18&gt;真實IC!BO$26,1,0)</f>
        <v>1</v>
      </c>
      <c r="BP18" s="11">
        <f>IF(真實IC!BP18&gt;真實IC!BP$26,1,0)</f>
        <v>0</v>
      </c>
      <c r="BQ18" s="11">
        <f>IF(真實IC!BQ18&gt;真實IC!BQ$26,1,0)</f>
        <v>0</v>
      </c>
      <c r="BR18" s="11">
        <f>IF(真實IC!BR18&gt;真實IC!BR$26,1,0)</f>
        <v>1</v>
      </c>
      <c r="BS18" s="11">
        <f>IF(真實IC!BS18&gt;真實IC!BS$26,1,0)</f>
        <v>1</v>
      </c>
      <c r="BT18" s="11">
        <f>IF(真實IC!BT18&gt;真實IC!BT$26,1,0)</f>
        <v>0</v>
      </c>
      <c r="BU18" s="11">
        <f>IF(真實IC!BU18&gt;真實IC!BU$26,1,0)</f>
        <v>1</v>
      </c>
      <c r="BV18" s="11">
        <f>IF(真實IC!BV18&gt;真實IC!BV$26,1,0)</f>
        <v>0</v>
      </c>
      <c r="BW18" s="11">
        <f>IF(真實IC!BW18&gt;真實IC!BW$26,1,0)</f>
        <v>1</v>
      </c>
      <c r="BX18" s="11">
        <f>IF(真實IC!BX18&gt;真實IC!BX$26,1,0)</f>
        <v>1</v>
      </c>
      <c r="BY18" s="11">
        <f>IF(真實IC!BY18&gt;真實IC!BY$26,1,0)</f>
        <v>1</v>
      </c>
      <c r="BZ18" s="11">
        <f>IF(真實IC!BZ18&gt;真實IC!BZ$26,1,0)</f>
        <v>1</v>
      </c>
      <c r="CA18" s="11">
        <f>IF(真實IC!CA18&gt;真實IC!CA$26,1,0)</f>
        <v>1</v>
      </c>
      <c r="CB18" s="11">
        <f>IF(真實IC!CB18&gt;真實IC!CB$26,1,0)</f>
        <v>1</v>
      </c>
      <c r="CC18" s="11">
        <f>IF(真實IC!CC18&gt;真實IC!CC$26,1,0)</f>
        <v>1</v>
      </c>
      <c r="CD18" s="11">
        <f>IF(真實IC!CD18&gt;真實IC!CD$26,1,0)</f>
        <v>1</v>
      </c>
      <c r="CE18" s="11">
        <f>IF(真實IC!CE18&gt;真實IC!CE$26,1,0)</f>
        <v>1</v>
      </c>
      <c r="CF18" s="11">
        <f>IF(真實IC!CF18&gt;真實IC!CF$26,1,0)</f>
        <v>1</v>
      </c>
      <c r="CG18" s="11">
        <f>IF(真實IC!CG18&gt;真實IC!CG$26,1,0)</f>
        <v>1</v>
      </c>
      <c r="CH18" s="11">
        <f>IF(真實IC!CH18&gt;真實IC!CH$26,1,0)</f>
        <v>1</v>
      </c>
      <c r="CI18" s="11">
        <f>IF(真實IC!CI18&gt;真實IC!CI$26,1,0)</f>
        <v>1</v>
      </c>
      <c r="CJ18" s="11">
        <f>IF(真實IC!CJ18&gt;真實IC!CJ$26,1,0)</f>
        <v>0</v>
      </c>
      <c r="CK18" s="11">
        <f>IF(真實IC!CK18&gt;真實IC!CK$26,1,0)</f>
        <v>1</v>
      </c>
      <c r="CL18" s="11">
        <f>IF(真實IC!CL18&gt;真實IC!CL$26,1,0)</f>
        <v>0</v>
      </c>
      <c r="CM18" s="11">
        <f>IF(真實IC!CM18&gt;真實IC!CM$26,1,0)</f>
        <v>1</v>
      </c>
      <c r="CN18" s="11">
        <f>IF(真實IC!CN18&gt;真實IC!CN$26,1,0)</f>
        <v>1</v>
      </c>
      <c r="CO18" s="11">
        <f>IF(真實IC!CO18&gt;真實IC!CO$26,1,0)</f>
        <v>1</v>
      </c>
      <c r="CP18" s="11">
        <f>IF(真實IC!CP18&gt;真實IC!CP$26,1,0)</f>
        <v>1</v>
      </c>
      <c r="CQ18" s="11">
        <f>IF(真實IC!CQ18&gt;真實IC!CQ$26,1,0)</f>
        <v>1</v>
      </c>
      <c r="CR18" s="11">
        <f>IF(真實IC!CR18&gt;真實IC!CR$26,1,0)</f>
        <v>1</v>
      </c>
      <c r="CS18" s="11">
        <f>IF(真實IC!CS18&gt;真實IC!CS$26,1,0)</f>
        <v>1</v>
      </c>
      <c r="CT18" s="11">
        <f>IF(真實IC!CT18&gt;真實IC!CT$26,1,0)</f>
        <v>1</v>
      </c>
      <c r="CU18" s="11">
        <f>IF(真實IC!CU18&gt;真實IC!CU$26,1,0)</f>
        <v>1</v>
      </c>
      <c r="CV18" s="11">
        <f>IF(真實IC!CV18&gt;真實IC!CV$26,1,0)</f>
        <v>1</v>
      </c>
      <c r="CW18" s="11">
        <f>IF(真實IC!CW18&gt;真實IC!CW$26,1,0)</f>
        <v>1</v>
      </c>
      <c r="CX18" s="11">
        <f>IF(真實IC!CX18&gt;真實IC!CX$26,1,0)</f>
        <v>1</v>
      </c>
      <c r="CY18" s="11">
        <f>IF(真實IC!CY18&gt;真實IC!CY$26,1,0)</f>
        <v>1</v>
      </c>
      <c r="CZ18" s="11">
        <f>IF(真實IC!CZ18&gt;真實IC!CZ$26,1,0)</f>
        <v>1</v>
      </c>
      <c r="DA18" s="11">
        <f>IF(真實IC!DA18&gt;真實IC!DA$26,1,0)</f>
        <v>1</v>
      </c>
      <c r="DB18" s="11">
        <f>IF(真實IC!DB18&gt;真實IC!DB$26,1,0)</f>
        <v>1</v>
      </c>
      <c r="DC18" s="11">
        <f>IF(真實IC!DC18&gt;真實IC!DC$26,1,0)</f>
        <v>1</v>
      </c>
      <c r="DD18" s="11">
        <f>IF(真實IC!DD18&gt;真實IC!DD$26,1,0)</f>
        <v>1</v>
      </c>
      <c r="DE18" s="11">
        <f>IF(真實IC!DE18&gt;真實IC!DE$26,1,0)</f>
        <v>0</v>
      </c>
      <c r="DF18" s="11">
        <f>IF(真實IC!DF18&gt;真實IC!DF$26,1,0)</f>
        <v>1</v>
      </c>
      <c r="DG18" s="11">
        <f>IF(真實IC!DG18&gt;真實IC!DG$26,1,0)</f>
        <v>0</v>
      </c>
      <c r="DH18" s="11">
        <f>IF(真實IC!DH18&gt;真實IC!DH$26,1,0)</f>
        <v>1</v>
      </c>
      <c r="DI18" s="11">
        <f>IF(真實IC!DI18&gt;真實IC!DI$26,1,0)</f>
        <v>1</v>
      </c>
      <c r="DJ18" s="11">
        <f>IF(真實IC!DJ18&gt;真實IC!DJ$26,1,0)</f>
        <v>1</v>
      </c>
      <c r="DK18" s="11">
        <f>IF(真實IC!DK18&gt;真實IC!DK$26,1,0)</f>
        <v>1</v>
      </c>
      <c r="DL18" s="11">
        <f>IF(真實IC!DL18&gt;真實IC!DL$26,1,0)</f>
        <v>0</v>
      </c>
      <c r="DM18" s="11">
        <f>IF(真實IC!DM18&gt;真實IC!DM$26,1,0)</f>
        <v>0</v>
      </c>
      <c r="DN18" s="11">
        <f>IF(真實IC!DN18&gt;真實IC!DN$26,1,0)</f>
        <v>1</v>
      </c>
      <c r="DO18" s="11">
        <f>IF(真實IC!DO18&gt;真實IC!DO$26,1,0)</f>
        <v>1</v>
      </c>
      <c r="DP18" s="11">
        <f>IF(真實IC!DP18&gt;真實IC!DP$26,1,0)</f>
        <v>1</v>
      </c>
      <c r="DQ18" s="11">
        <f>IF(真實IC!DQ18&gt;真實IC!DQ$26,1,0)</f>
        <v>0</v>
      </c>
      <c r="DR18" s="11">
        <f>IF(真實IC!DR18&gt;真實IC!DR$26,1,0)</f>
        <v>1</v>
      </c>
      <c r="DS18" s="11">
        <f>IF(真實IC!DS18&gt;真實IC!DS$26,1,0)</f>
        <v>1</v>
      </c>
      <c r="DT18" s="11">
        <f>IF(真實IC!DT18&gt;真實IC!DT$26,1,0)</f>
        <v>0</v>
      </c>
      <c r="DU18" s="11">
        <f>IF(真實IC!DU18&gt;真實IC!DU$26,1,0)</f>
        <v>1</v>
      </c>
      <c r="DV18" s="11">
        <f>IF(真實IC!DV18&gt;真實IC!DV$26,1,0)</f>
        <v>1</v>
      </c>
      <c r="DW18" s="11">
        <f>IF(真實IC!DW18&gt;真實IC!DW$26,1,0)</f>
        <v>0</v>
      </c>
      <c r="DX18" s="11">
        <f>IF(真實IC!DX18&gt;真實IC!DX$26,1,0)</f>
        <v>1</v>
      </c>
      <c r="DY18" s="11">
        <f>IF(真實IC!DY18&gt;真實IC!DY$26,1,0)</f>
        <v>1</v>
      </c>
      <c r="DZ18" s="11">
        <f>IF(真實IC!DZ18&gt;真實IC!DZ$26,1,0)</f>
        <v>1</v>
      </c>
      <c r="EA18" s="11">
        <f>IF(真實IC!EA18&gt;真實IC!EA$26,1,0)</f>
        <v>0</v>
      </c>
      <c r="EB18" s="11">
        <f>IF(真實IC!EB18&gt;真實IC!EB$26,1,0)</f>
        <v>1</v>
      </c>
      <c r="EC18" s="11">
        <f>IF(真實IC!EC18&gt;真實IC!EC$26,1,0)</f>
        <v>1</v>
      </c>
      <c r="ED18" s="11">
        <f>IF(真實IC!ED18&gt;真實IC!ED$26,1,0)</f>
        <v>1</v>
      </c>
      <c r="EE18" s="11">
        <f>IF(真實IC!EE18&gt;真實IC!EE$26,1,0)</f>
        <v>0</v>
      </c>
      <c r="EF18" s="11">
        <f>IF(真實IC!EF18&gt;真實IC!EF$26,1,0)</f>
        <v>1</v>
      </c>
      <c r="EG18">
        <f t="shared" si="11"/>
        <v>105</v>
      </c>
      <c r="EH18" s="19">
        <f t="shared" si="10"/>
        <v>0.77611940298507465</v>
      </c>
    </row>
    <row r="19" spans="1:138" x14ac:dyDescent="0.3">
      <c r="A19" s="1">
        <v>160</v>
      </c>
      <c r="B19" s="1">
        <v>6</v>
      </c>
      <c r="C19" s="11">
        <f>IF(真實IC!C19&gt;真實IC!C$26,1,0)</f>
        <v>1</v>
      </c>
      <c r="D19" s="11">
        <f>IF(真實IC!D19&gt;真實IC!D$26,1,0)</f>
        <v>1</v>
      </c>
      <c r="E19" s="11">
        <f>IF(真實IC!E19&gt;真實IC!E$26,1,0)</f>
        <v>1</v>
      </c>
      <c r="F19" s="11">
        <f>IF(真實IC!F19&gt;真實IC!F$26,1,0)</f>
        <v>0</v>
      </c>
      <c r="G19" s="11">
        <f>IF(真實IC!G19&gt;真實IC!G$26,1,0)</f>
        <v>1</v>
      </c>
      <c r="H19" s="11">
        <f>IF(真實IC!H19&gt;真實IC!H$26,1,0)</f>
        <v>1</v>
      </c>
      <c r="I19" s="11">
        <f>IF(真實IC!I19&gt;真實IC!I$26,1,0)</f>
        <v>1</v>
      </c>
      <c r="J19" s="11">
        <f>IF(真實IC!J19&gt;真實IC!J$26,1,0)</f>
        <v>1</v>
      </c>
      <c r="K19" s="11">
        <f>IF(真實IC!K19&gt;真實IC!K$26,1,0)</f>
        <v>1</v>
      </c>
      <c r="L19" s="11">
        <f>IF(真實IC!L19&gt;真實IC!L$26,1,0)</f>
        <v>0</v>
      </c>
      <c r="M19" s="11">
        <f>IF(真實IC!M19&gt;真實IC!M$26,1,0)</f>
        <v>0</v>
      </c>
      <c r="N19" s="11">
        <f>IF(真實IC!N19&gt;真實IC!N$26,1,0)</f>
        <v>1</v>
      </c>
      <c r="O19" s="11">
        <f>IF(真實IC!O19&gt;真實IC!O$26,1,0)</f>
        <v>1</v>
      </c>
      <c r="P19" s="11">
        <f>IF(真實IC!P19&gt;真實IC!P$26,1,0)</f>
        <v>1</v>
      </c>
      <c r="Q19" s="11">
        <f>IF(真實IC!Q19&gt;真實IC!Q$26,1,0)</f>
        <v>1</v>
      </c>
      <c r="R19" s="11">
        <f>IF(真實IC!R19&gt;真實IC!R$26,1,0)</f>
        <v>0</v>
      </c>
      <c r="S19" s="11">
        <f>IF(真實IC!S19&gt;真實IC!S$26,1,0)</f>
        <v>1</v>
      </c>
      <c r="T19" s="11">
        <f>IF(真實IC!T19&gt;真實IC!T$26,1,0)</f>
        <v>1</v>
      </c>
      <c r="U19" s="11">
        <f>IF(真實IC!U19&gt;真實IC!U$26,1,0)</f>
        <v>1</v>
      </c>
      <c r="V19" s="11">
        <f>IF(真實IC!V19&gt;真實IC!V$26,1,0)</f>
        <v>1</v>
      </c>
      <c r="W19" s="11">
        <f>IF(真實IC!W19&gt;真實IC!W$26,1,0)</f>
        <v>1</v>
      </c>
      <c r="X19" s="11">
        <f>IF(真實IC!X19&gt;真實IC!X$26,1,0)</f>
        <v>1</v>
      </c>
      <c r="Y19" s="11">
        <f>IF(真實IC!Y19&gt;真實IC!Y$26,1,0)</f>
        <v>1</v>
      </c>
      <c r="Z19" s="11">
        <f>IF(真實IC!Z19&gt;真實IC!Z$26,1,0)</f>
        <v>1</v>
      </c>
      <c r="AA19" s="11">
        <f>IF(真實IC!AA19&gt;真實IC!AA$26,1,0)</f>
        <v>1</v>
      </c>
      <c r="AB19" s="11">
        <f>IF(真實IC!AB19&gt;真實IC!AB$26,1,0)</f>
        <v>1</v>
      </c>
      <c r="AC19" s="11">
        <f>IF(真實IC!AC19&gt;真實IC!AC$26,1,0)</f>
        <v>0</v>
      </c>
      <c r="AD19" s="11">
        <f>IF(真實IC!AD19&gt;真實IC!AD$26,1,0)</f>
        <v>1</v>
      </c>
      <c r="AE19" s="11">
        <f>IF(真實IC!AE19&gt;真實IC!AE$26,1,0)</f>
        <v>1</v>
      </c>
      <c r="AF19" s="11">
        <f>IF(真實IC!AF19&gt;真實IC!AF$26,1,0)</f>
        <v>1</v>
      </c>
      <c r="AG19" s="11">
        <f>IF(真實IC!AG19&gt;真實IC!AG$26,1,0)</f>
        <v>0</v>
      </c>
      <c r="AH19" s="11">
        <f>IF(真實IC!AH19&gt;真實IC!AH$26,1,0)</f>
        <v>0</v>
      </c>
      <c r="AI19" s="11">
        <f>IF(真實IC!AI19&gt;真實IC!AI$26,1,0)</f>
        <v>1</v>
      </c>
      <c r="AJ19" s="11">
        <f>IF(真實IC!AJ19&gt;真實IC!AJ$26,1,0)</f>
        <v>0</v>
      </c>
      <c r="AK19" s="11">
        <f>IF(真實IC!AK19&gt;真實IC!AK$26,1,0)</f>
        <v>1</v>
      </c>
      <c r="AL19" s="11">
        <f>IF(真實IC!AL19&gt;真實IC!AL$26,1,0)</f>
        <v>0</v>
      </c>
      <c r="AM19" s="11">
        <f>IF(真實IC!AM19&gt;真實IC!AM$26,1,0)</f>
        <v>1</v>
      </c>
      <c r="AN19" s="11">
        <f>IF(真實IC!AN19&gt;真實IC!AN$26,1,0)</f>
        <v>1</v>
      </c>
      <c r="AO19" s="11">
        <f>IF(真實IC!AO19&gt;真實IC!AO$26,1,0)</f>
        <v>1</v>
      </c>
      <c r="AP19" s="11">
        <f>IF(真實IC!AP19&gt;真實IC!AP$26,1,0)</f>
        <v>1</v>
      </c>
      <c r="AQ19" s="11">
        <f>IF(真實IC!AQ19&gt;真實IC!AQ$26,1,0)</f>
        <v>0</v>
      </c>
      <c r="AR19" s="11">
        <f>IF(真實IC!AR19&gt;真實IC!AR$26,1,0)</f>
        <v>0</v>
      </c>
      <c r="AS19" s="11">
        <f>IF(真實IC!AS19&gt;真實IC!AS$26,1,0)</f>
        <v>0</v>
      </c>
      <c r="AT19" s="11">
        <f>IF(真實IC!AT19&gt;真實IC!AT$26,1,0)</f>
        <v>1</v>
      </c>
      <c r="AU19" s="11">
        <f>IF(真實IC!AU19&gt;真實IC!AU$26,1,0)</f>
        <v>1</v>
      </c>
      <c r="AV19" s="11">
        <f>IF(真實IC!AV19&gt;真實IC!AV$26,1,0)</f>
        <v>0</v>
      </c>
      <c r="AW19" s="11">
        <f>IF(真實IC!AW19&gt;真實IC!AW$26,1,0)</f>
        <v>1</v>
      </c>
      <c r="AX19" s="11">
        <f>IF(真實IC!AX19&gt;真實IC!AX$26,1,0)</f>
        <v>1</v>
      </c>
      <c r="AY19" s="11">
        <f>IF(真實IC!AY19&gt;真實IC!AY$26,1,0)</f>
        <v>0</v>
      </c>
      <c r="AZ19" s="11">
        <f>IF(真實IC!AZ19&gt;真實IC!AZ$26,1,0)</f>
        <v>1</v>
      </c>
      <c r="BA19" s="11">
        <f>IF(真實IC!BA19&gt;真實IC!BA$26,1,0)</f>
        <v>1</v>
      </c>
      <c r="BB19" s="11">
        <f>IF(真實IC!BB19&gt;真實IC!BB$26,1,0)</f>
        <v>1</v>
      </c>
      <c r="BC19" s="11">
        <f>IF(真實IC!BC19&gt;真實IC!BC$26,1,0)</f>
        <v>1</v>
      </c>
      <c r="BD19" s="11">
        <f>IF(真實IC!BD19&gt;真實IC!BD$26,1,0)</f>
        <v>1</v>
      </c>
      <c r="BE19" s="11">
        <f>IF(真實IC!BE19&gt;真實IC!BE$26,1,0)</f>
        <v>1</v>
      </c>
      <c r="BF19" s="11">
        <f>IF(真實IC!BF19&gt;真實IC!BF$26,1,0)</f>
        <v>1</v>
      </c>
      <c r="BG19" s="11">
        <f>IF(真實IC!BG19&gt;真實IC!BG$26,1,0)</f>
        <v>1</v>
      </c>
      <c r="BH19" s="11">
        <f>IF(真實IC!BH19&gt;真實IC!BH$26,1,0)</f>
        <v>1</v>
      </c>
      <c r="BI19" s="11">
        <f>IF(真實IC!BI19&gt;真實IC!BI$26,1,0)</f>
        <v>1</v>
      </c>
      <c r="BJ19" s="11">
        <f>IF(真實IC!BJ19&gt;真實IC!BJ$26,1,0)</f>
        <v>1</v>
      </c>
      <c r="BK19" s="11">
        <f>IF(真實IC!BK19&gt;真實IC!BK$26,1,0)</f>
        <v>0</v>
      </c>
      <c r="BL19" s="11">
        <f>IF(真實IC!BL19&gt;真實IC!BL$26,1,0)</f>
        <v>1</v>
      </c>
      <c r="BM19" s="11">
        <f>IF(真實IC!BM19&gt;真實IC!BM$26,1,0)</f>
        <v>1</v>
      </c>
      <c r="BN19" s="11">
        <f>IF(真實IC!BN19&gt;真實IC!BN$26,1,0)</f>
        <v>0</v>
      </c>
      <c r="BO19" s="11">
        <f>IF(真實IC!BO19&gt;真實IC!BO$26,1,0)</f>
        <v>1</v>
      </c>
      <c r="BP19" s="11">
        <f>IF(真實IC!BP19&gt;真實IC!BP$26,1,0)</f>
        <v>0</v>
      </c>
      <c r="BQ19" s="11">
        <f>IF(真實IC!BQ19&gt;真實IC!BQ$26,1,0)</f>
        <v>1</v>
      </c>
      <c r="BR19" s="11">
        <f>IF(真實IC!BR19&gt;真實IC!BR$26,1,0)</f>
        <v>1</v>
      </c>
      <c r="BS19" s="11">
        <f>IF(真實IC!BS19&gt;真實IC!BS$26,1,0)</f>
        <v>0</v>
      </c>
      <c r="BT19" s="11">
        <f>IF(真實IC!BT19&gt;真實IC!BT$26,1,0)</f>
        <v>0</v>
      </c>
      <c r="BU19" s="11">
        <f>IF(真實IC!BU19&gt;真實IC!BU$26,1,0)</f>
        <v>1</v>
      </c>
      <c r="BV19" s="11">
        <f>IF(真實IC!BV19&gt;真實IC!BV$26,1,0)</f>
        <v>0</v>
      </c>
      <c r="BW19" s="11">
        <f>IF(真實IC!BW19&gt;真實IC!BW$26,1,0)</f>
        <v>1</v>
      </c>
      <c r="BX19" s="11">
        <f>IF(真實IC!BX19&gt;真實IC!BX$26,1,0)</f>
        <v>0</v>
      </c>
      <c r="BY19" s="11">
        <f>IF(真實IC!BY19&gt;真實IC!BY$26,1,0)</f>
        <v>1</v>
      </c>
      <c r="BZ19" s="11">
        <f>IF(真實IC!BZ19&gt;真實IC!BZ$26,1,0)</f>
        <v>0</v>
      </c>
      <c r="CA19" s="11">
        <f>IF(真實IC!CA19&gt;真實IC!CA$26,1,0)</f>
        <v>1</v>
      </c>
      <c r="CB19" s="11">
        <f>IF(真實IC!CB19&gt;真實IC!CB$26,1,0)</f>
        <v>1</v>
      </c>
      <c r="CC19" s="11">
        <f>IF(真實IC!CC19&gt;真實IC!CC$26,1,0)</f>
        <v>0</v>
      </c>
      <c r="CD19" s="11">
        <f>IF(真實IC!CD19&gt;真實IC!CD$26,1,0)</f>
        <v>1</v>
      </c>
      <c r="CE19" s="11">
        <f>IF(真實IC!CE19&gt;真實IC!CE$26,1,0)</f>
        <v>1</v>
      </c>
      <c r="CF19" s="11">
        <f>IF(真實IC!CF19&gt;真實IC!CF$26,1,0)</f>
        <v>1</v>
      </c>
      <c r="CG19" s="11">
        <f>IF(真實IC!CG19&gt;真實IC!CG$26,1,0)</f>
        <v>0</v>
      </c>
      <c r="CH19" s="11">
        <f>IF(真實IC!CH19&gt;真實IC!CH$26,1,0)</f>
        <v>1</v>
      </c>
      <c r="CI19" s="11">
        <f>IF(真實IC!CI19&gt;真實IC!CI$26,1,0)</f>
        <v>1</v>
      </c>
      <c r="CJ19" s="11">
        <f>IF(真實IC!CJ19&gt;真實IC!CJ$26,1,0)</f>
        <v>0</v>
      </c>
      <c r="CK19" s="11">
        <f>IF(真實IC!CK19&gt;真實IC!CK$26,1,0)</f>
        <v>1</v>
      </c>
      <c r="CL19" s="11">
        <f>IF(真實IC!CL19&gt;真實IC!CL$26,1,0)</f>
        <v>0</v>
      </c>
      <c r="CM19" s="11">
        <f>IF(真實IC!CM19&gt;真實IC!CM$26,1,0)</f>
        <v>1</v>
      </c>
      <c r="CN19" s="11">
        <f>IF(真實IC!CN19&gt;真實IC!CN$26,1,0)</f>
        <v>1</v>
      </c>
      <c r="CO19" s="11">
        <f>IF(真實IC!CO19&gt;真實IC!CO$26,1,0)</f>
        <v>1</v>
      </c>
      <c r="CP19" s="11">
        <f>IF(真實IC!CP19&gt;真實IC!CP$26,1,0)</f>
        <v>1</v>
      </c>
      <c r="CQ19" s="11">
        <f>IF(真實IC!CQ19&gt;真實IC!CQ$26,1,0)</f>
        <v>1</v>
      </c>
      <c r="CR19" s="11">
        <f>IF(真實IC!CR19&gt;真實IC!CR$26,1,0)</f>
        <v>1</v>
      </c>
      <c r="CS19" s="11">
        <f>IF(真實IC!CS19&gt;真實IC!CS$26,1,0)</f>
        <v>1</v>
      </c>
      <c r="CT19" s="11">
        <f>IF(真實IC!CT19&gt;真實IC!CT$26,1,0)</f>
        <v>0</v>
      </c>
      <c r="CU19" s="11">
        <f>IF(真實IC!CU19&gt;真實IC!CU$26,1,0)</f>
        <v>1</v>
      </c>
      <c r="CV19" s="11">
        <f>IF(真實IC!CV19&gt;真實IC!CV$26,1,0)</f>
        <v>1</v>
      </c>
      <c r="CW19" s="11">
        <f>IF(真實IC!CW19&gt;真實IC!CW$26,1,0)</f>
        <v>1</v>
      </c>
      <c r="CX19" s="11">
        <f>IF(真實IC!CX19&gt;真實IC!CX$26,1,0)</f>
        <v>1</v>
      </c>
      <c r="CY19" s="11">
        <f>IF(真實IC!CY19&gt;真實IC!CY$26,1,0)</f>
        <v>1</v>
      </c>
      <c r="CZ19" s="11">
        <f>IF(真實IC!CZ19&gt;真實IC!CZ$26,1,0)</f>
        <v>1</v>
      </c>
      <c r="DA19" s="11">
        <f>IF(真實IC!DA19&gt;真實IC!DA$26,1,0)</f>
        <v>1</v>
      </c>
      <c r="DB19" s="11">
        <f>IF(真實IC!DB19&gt;真實IC!DB$26,1,0)</f>
        <v>1</v>
      </c>
      <c r="DC19" s="11">
        <f>IF(真實IC!DC19&gt;真實IC!DC$26,1,0)</f>
        <v>1</v>
      </c>
      <c r="DD19" s="11">
        <f>IF(真實IC!DD19&gt;真實IC!DD$26,1,0)</f>
        <v>1</v>
      </c>
      <c r="DE19" s="11">
        <f>IF(真實IC!DE19&gt;真實IC!DE$26,1,0)</f>
        <v>0</v>
      </c>
      <c r="DF19" s="11">
        <f>IF(真實IC!DF19&gt;真實IC!DF$26,1,0)</f>
        <v>1</v>
      </c>
      <c r="DG19" s="11">
        <f>IF(真實IC!DG19&gt;真實IC!DG$26,1,0)</f>
        <v>0</v>
      </c>
      <c r="DH19" s="11">
        <f>IF(真實IC!DH19&gt;真實IC!DH$26,1,0)</f>
        <v>1</v>
      </c>
      <c r="DI19" s="11">
        <f>IF(真實IC!DI19&gt;真實IC!DI$26,1,0)</f>
        <v>1</v>
      </c>
      <c r="DJ19" s="11">
        <f>IF(真實IC!DJ19&gt;真實IC!DJ$26,1,0)</f>
        <v>1</v>
      </c>
      <c r="DK19" s="11">
        <f>IF(真實IC!DK19&gt;真實IC!DK$26,1,0)</f>
        <v>1</v>
      </c>
      <c r="DL19" s="11">
        <f>IF(真實IC!DL19&gt;真實IC!DL$26,1,0)</f>
        <v>0</v>
      </c>
      <c r="DM19" s="11">
        <f>IF(真實IC!DM19&gt;真實IC!DM$26,1,0)</f>
        <v>0</v>
      </c>
      <c r="DN19" s="11">
        <f>IF(真實IC!DN19&gt;真實IC!DN$26,1,0)</f>
        <v>1</v>
      </c>
      <c r="DO19" s="11">
        <f>IF(真實IC!DO19&gt;真實IC!DO$26,1,0)</f>
        <v>1</v>
      </c>
      <c r="DP19" s="11">
        <f>IF(真實IC!DP19&gt;真實IC!DP$26,1,0)</f>
        <v>1</v>
      </c>
      <c r="DQ19" s="11">
        <f>IF(真實IC!DQ19&gt;真實IC!DQ$26,1,0)</f>
        <v>0</v>
      </c>
      <c r="DR19" s="11">
        <f>IF(真實IC!DR19&gt;真實IC!DR$26,1,0)</f>
        <v>1</v>
      </c>
      <c r="DS19" s="11">
        <f>IF(真實IC!DS19&gt;真實IC!DS$26,1,0)</f>
        <v>0</v>
      </c>
      <c r="DT19" s="11">
        <f>IF(真實IC!DT19&gt;真實IC!DT$26,1,0)</f>
        <v>0</v>
      </c>
      <c r="DU19" s="11">
        <f>IF(真實IC!DU19&gt;真實IC!DU$26,1,0)</f>
        <v>1</v>
      </c>
      <c r="DV19" s="11">
        <f>IF(真實IC!DV19&gt;真實IC!DV$26,1,0)</f>
        <v>1</v>
      </c>
      <c r="DW19" s="11">
        <f>IF(真實IC!DW19&gt;真實IC!DW$26,1,0)</f>
        <v>0</v>
      </c>
      <c r="DX19" s="11">
        <f>IF(真實IC!DX19&gt;真實IC!DX$26,1,0)</f>
        <v>1</v>
      </c>
      <c r="DY19" s="11">
        <f>IF(真實IC!DY19&gt;真實IC!DY$26,1,0)</f>
        <v>1</v>
      </c>
      <c r="DZ19" s="11">
        <f>IF(真實IC!DZ19&gt;真實IC!DZ$26,1,0)</f>
        <v>1</v>
      </c>
      <c r="EA19" s="11">
        <f>IF(真實IC!EA19&gt;真實IC!EA$26,1,0)</f>
        <v>1</v>
      </c>
      <c r="EB19" s="11">
        <f>IF(真實IC!EB19&gt;真實IC!EB$26,1,0)</f>
        <v>1</v>
      </c>
      <c r="EC19" s="11">
        <f>IF(真實IC!EC19&gt;真實IC!EC$26,1,0)</f>
        <v>1</v>
      </c>
      <c r="ED19" s="11">
        <f>IF(真實IC!ED19&gt;真實IC!ED$26,1,0)</f>
        <v>1</v>
      </c>
      <c r="EE19" s="11">
        <f>IF(真實IC!EE19&gt;真實IC!EE$26,1,0)</f>
        <v>0</v>
      </c>
      <c r="EF19" s="11">
        <f>IF(真實IC!EF19&gt;真實IC!EF$26,1,0)</f>
        <v>1</v>
      </c>
      <c r="EG19">
        <f t="shared" si="11"/>
        <v>98</v>
      </c>
      <c r="EH19" s="19">
        <f t="shared" si="10"/>
        <v>0.72388059701492535</v>
      </c>
    </row>
    <row r="20" spans="1:138" x14ac:dyDescent="0.3">
      <c r="A20" s="1">
        <v>192</v>
      </c>
      <c r="B20" s="1">
        <v>5</v>
      </c>
      <c r="C20" s="11">
        <f>IF(真實IC!C20&gt;真實IC!C$26,1,0)</f>
        <v>1</v>
      </c>
      <c r="D20" s="11">
        <f>IF(真實IC!D20&gt;真實IC!D$26,1,0)</f>
        <v>1</v>
      </c>
      <c r="E20" s="11">
        <f>IF(真實IC!E20&gt;真實IC!E$26,1,0)</f>
        <v>1</v>
      </c>
      <c r="F20" s="11">
        <f>IF(真實IC!F20&gt;真實IC!F$26,1,0)</f>
        <v>0</v>
      </c>
      <c r="G20" s="11">
        <f>IF(真實IC!G20&gt;真實IC!G$26,1,0)</f>
        <v>1</v>
      </c>
      <c r="H20" s="11">
        <f>IF(真實IC!H20&gt;真實IC!H$26,1,0)</f>
        <v>1</v>
      </c>
      <c r="I20" s="11">
        <f>IF(真實IC!I20&gt;真實IC!I$26,1,0)</f>
        <v>1</v>
      </c>
      <c r="J20" s="11">
        <f>IF(真實IC!J20&gt;真實IC!J$26,1,0)</f>
        <v>1</v>
      </c>
      <c r="K20" s="11">
        <f>IF(真實IC!K20&gt;真實IC!K$26,1,0)</f>
        <v>1</v>
      </c>
      <c r="L20" s="11">
        <f>IF(真實IC!L20&gt;真實IC!L$26,1,0)</f>
        <v>0</v>
      </c>
      <c r="M20" s="11">
        <f>IF(真實IC!M20&gt;真實IC!M$26,1,0)</f>
        <v>0</v>
      </c>
      <c r="N20" s="11">
        <f>IF(真實IC!N20&gt;真實IC!N$26,1,0)</f>
        <v>1</v>
      </c>
      <c r="O20" s="11">
        <f>IF(真實IC!O20&gt;真實IC!O$26,1,0)</f>
        <v>1</v>
      </c>
      <c r="P20" s="11">
        <f>IF(真實IC!P20&gt;真實IC!P$26,1,0)</f>
        <v>1</v>
      </c>
      <c r="Q20" s="11">
        <f>IF(真實IC!Q20&gt;真實IC!Q$26,1,0)</f>
        <v>1</v>
      </c>
      <c r="R20" s="11">
        <f>IF(真實IC!R20&gt;真實IC!R$26,1,0)</f>
        <v>0</v>
      </c>
      <c r="S20" s="11">
        <f>IF(真實IC!S20&gt;真實IC!S$26,1,0)</f>
        <v>1</v>
      </c>
      <c r="T20" s="11">
        <f>IF(真實IC!T20&gt;真實IC!T$26,1,0)</f>
        <v>1</v>
      </c>
      <c r="U20" s="11">
        <f>IF(真實IC!U20&gt;真實IC!U$26,1,0)</f>
        <v>1</v>
      </c>
      <c r="V20" s="11">
        <f>IF(真實IC!V20&gt;真實IC!V$26,1,0)</f>
        <v>1</v>
      </c>
      <c r="W20" s="11">
        <f>IF(真實IC!W20&gt;真實IC!W$26,1,0)</f>
        <v>1</v>
      </c>
      <c r="X20" s="11">
        <f>IF(真實IC!X20&gt;真實IC!X$26,1,0)</f>
        <v>1</v>
      </c>
      <c r="Y20" s="11">
        <f>IF(真實IC!Y20&gt;真實IC!Y$26,1,0)</f>
        <v>0</v>
      </c>
      <c r="Z20" s="11">
        <f>IF(真實IC!Z20&gt;真實IC!Z$26,1,0)</f>
        <v>1</v>
      </c>
      <c r="AA20" s="11">
        <f>IF(真實IC!AA20&gt;真實IC!AA$26,1,0)</f>
        <v>1</v>
      </c>
      <c r="AB20" s="11">
        <f>IF(真實IC!AB20&gt;真實IC!AB$26,1,0)</f>
        <v>1</v>
      </c>
      <c r="AC20" s="11">
        <f>IF(真實IC!AC20&gt;真實IC!AC$26,1,0)</f>
        <v>1</v>
      </c>
      <c r="AD20" s="11">
        <f>IF(真實IC!AD20&gt;真實IC!AD$26,1,0)</f>
        <v>1</v>
      </c>
      <c r="AE20" s="11">
        <f>IF(真實IC!AE20&gt;真實IC!AE$26,1,0)</f>
        <v>1</v>
      </c>
      <c r="AF20" s="11">
        <f>IF(真實IC!AF20&gt;真實IC!AF$26,1,0)</f>
        <v>1</v>
      </c>
      <c r="AG20" s="11">
        <f>IF(真實IC!AG20&gt;真實IC!AG$26,1,0)</f>
        <v>0</v>
      </c>
      <c r="AH20" s="11">
        <f>IF(真實IC!AH20&gt;真實IC!AH$26,1,0)</f>
        <v>0</v>
      </c>
      <c r="AI20" s="11">
        <f>IF(真實IC!AI20&gt;真實IC!AI$26,1,0)</f>
        <v>1</v>
      </c>
      <c r="AJ20" s="11">
        <f>IF(真實IC!AJ20&gt;真實IC!AJ$26,1,0)</f>
        <v>0</v>
      </c>
      <c r="AK20" s="11">
        <f>IF(真實IC!AK20&gt;真實IC!AK$26,1,0)</f>
        <v>0</v>
      </c>
      <c r="AL20" s="11">
        <f>IF(真實IC!AL20&gt;真實IC!AL$26,1,0)</f>
        <v>0</v>
      </c>
      <c r="AM20" s="11">
        <f>IF(真實IC!AM20&gt;真實IC!AM$26,1,0)</f>
        <v>1</v>
      </c>
      <c r="AN20" s="11">
        <f>IF(真實IC!AN20&gt;真實IC!AN$26,1,0)</f>
        <v>1</v>
      </c>
      <c r="AO20" s="11">
        <f>IF(真實IC!AO20&gt;真實IC!AO$26,1,0)</f>
        <v>1</v>
      </c>
      <c r="AP20" s="11">
        <f>IF(真實IC!AP20&gt;真實IC!AP$26,1,0)</f>
        <v>1</v>
      </c>
      <c r="AQ20" s="11">
        <f>IF(真實IC!AQ20&gt;真實IC!AQ$26,1,0)</f>
        <v>1</v>
      </c>
      <c r="AR20" s="11">
        <f>IF(真實IC!AR20&gt;真實IC!AR$26,1,0)</f>
        <v>0</v>
      </c>
      <c r="AS20" s="11">
        <f>IF(真實IC!AS20&gt;真實IC!AS$26,1,0)</f>
        <v>0</v>
      </c>
      <c r="AT20" s="11">
        <f>IF(真實IC!AT20&gt;真實IC!AT$26,1,0)</f>
        <v>1</v>
      </c>
      <c r="AU20" s="11">
        <f>IF(真實IC!AU20&gt;真實IC!AU$26,1,0)</f>
        <v>1</v>
      </c>
      <c r="AV20" s="11">
        <f>IF(真實IC!AV20&gt;真實IC!AV$26,1,0)</f>
        <v>0</v>
      </c>
      <c r="AW20" s="11">
        <f>IF(真實IC!AW20&gt;真實IC!AW$26,1,0)</f>
        <v>1</v>
      </c>
      <c r="AX20" s="11">
        <f>IF(真實IC!AX20&gt;真實IC!AX$26,1,0)</f>
        <v>1</v>
      </c>
      <c r="AY20" s="11">
        <f>IF(真實IC!AY20&gt;真實IC!AY$26,1,0)</f>
        <v>0</v>
      </c>
      <c r="AZ20" s="11">
        <f>IF(真實IC!AZ20&gt;真實IC!AZ$26,1,0)</f>
        <v>1</v>
      </c>
      <c r="BA20" s="11">
        <f>IF(真實IC!BA20&gt;真實IC!BA$26,1,0)</f>
        <v>1</v>
      </c>
      <c r="BB20" s="11">
        <f>IF(真實IC!BB20&gt;真實IC!BB$26,1,0)</f>
        <v>1</v>
      </c>
      <c r="BC20" s="11">
        <f>IF(真實IC!BC20&gt;真實IC!BC$26,1,0)</f>
        <v>1</v>
      </c>
      <c r="BD20" s="11">
        <f>IF(真實IC!BD20&gt;真實IC!BD$26,1,0)</f>
        <v>1</v>
      </c>
      <c r="BE20" s="11">
        <f>IF(真實IC!BE20&gt;真實IC!BE$26,1,0)</f>
        <v>1</v>
      </c>
      <c r="BF20" s="11">
        <f>IF(真實IC!BF20&gt;真實IC!BF$26,1,0)</f>
        <v>1</v>
      </c>
      <c r="BG20" s="11">
        <f>IF(真實IC!BG20&gt;真實IC!BG$26,1,0)</f>
        <v>1</v>
      </c>
      <c r="BH20" s="11">
        <f>IF(真實IC!BH20&gt;真實IC!BH$26,1,0)</f>
        <v>1</v>
      </c>
      <c r="BI20" s="11">
        <f>IF(真實IC!BI20&gt;真實IC!BI$26,1,0)</f>
        <v>1</v>
      </c>
      <c r="BJ20" s="11">
        <f>IF(真實IC!BJ20&gt;真實IC!BJ$26,1,0)</f>
        <v>1</v>
      </c>
      <c r="BK20" s="11">
        <f>IF(真實IC!BK20&gt;真實IC!BK$26,1,0)</f>
        <v>0</v>
      </c>
      <c r="BL20" s="11">
        <f>IF(真實IC!BL20&gt;真實IC!BL$26,1,0)</f>
        <v>1</v>
      </c>
      <c r="BM20" s="11">
        <f>IF(真實IC!BM20&gt;真實IC!BM$26,1,0)</f>
        <v>1</v>
      </c>
      <c r="BN20" s="11">
        <f>IF(真實IC!BN20&gt;真實IC!BN$26,1,0)</f>
        <v>0</v>
      </c>
      <c r="BO20" s="11">
        <f>IF(真實IC!BO20&gt;真實IC!BO$26,1,0)</f>
        <v>1</v>
      </c>
      <c r="BP20" s="11">
        <f>IF(真實IC!BP20&gt;真實IC!BP$26,1,0)</f>
        <v>0</v>
      </c>
      <c r="BQ20" s="11">
        <f>IF(真實IC!BQ20&gt;真實IC!BQ$26,1,0)</f>
        <v>1</v>
      </c>
      <c r="BR20" s="11">
        <f>IF(真實IC!BR20&gt;真實IC!BR$26,1,0)</f>
        <v>1</v>
      </c>
      <c r="BS20" s="11">
        <f>IF(真實IC!BS20&gt;真實IC!BS$26,1,0)</f>
        <v>0</v>
      </c>
      <c r="BT20" s="11">
        <f>IF(真實IC!BT20&gt;真實IC!BT$26,1,0)</f>
        <v>0</v>
      </c>
      <c r="BU20" s="11">
        <f>IF(真實IC!BU20&gt;真實IC!BU$26,1,0)</f>
        <v>1</v>
      </c>
      <c r="BV20" s="11">
        <f>IF(真實IC!BV20&gt;真實IC!BV$26,1,0)</f>
        <v>0</v>
      </c>
      <c r="BW20" s="11">
        <f>IF(真實IC!BW20&gt;真實IC!BW$26,1,0)</f>
        <v>1</v>
      </c>
      <c r="BX20" s="11">
        <f>IF(真實IC!BX20&gt;真實IC!BX$26,1,0)</f>
        <v>0</v>
      </c>
      <c r="BY20" s="11">
        <f>IF(真實IC!BY20&gt;真實IC!BY$26,1,0)</f>
        <v>1</v>
      </c>
      <c r="BZ20" s="11">
        <f>IF(真實IC!BZ20&gt;真實IC!BZ$26,1,0)</f>
        <v>0</v>
      </c>
      <c r="CA20" s="11">
        <f>IF(真實IC!CA20&gt;真實IC!CA$26,1,0)</f>
        <v>1</v>
      </c>
      <c r="CB20" s="11">
        <f>IF(真實IC!CB20&gt;真實IC!CB$26,1,0)</f>
        <v>1</v>
      </c>
      <c r="CC20" s="11">
        <f>IF(真實IC!CC20&gt;真實IC!CC$26,1,0)</f>
        <v>0</v>
      </c>
      <c r="CD20" s="11">
        <f>IF(真實IC!CD20&gt;真實IC!CD$26,1,0)</f>
        <v>1</v>
      </c>
      <c r="CE20" s="11">
        <f>IF(真實IC!CE20&gt;真實IC!CE$26,1,0)</f>
        <v>1</v>
      </c>
      <c r="CF20" s="11">
        <f>IF(真實IC!CF20&gt;真實IC!CF$26,1,0)</f>
        <v>1</v>
      </c>
      <c r="CG20" s="11">
        <f>IF(真實IC!CG20&gt;真實IC!CG$26,1,0)</f>
        <v>0</v>
      </c>
      <c r="CH20" s="11">
        <f>IF(真實IC!CH20&gt;真實IC!CH$26,1,0)</f>
        <v>1</v>
      </c>
      <c r="CI20" s="11">
        <f>IF(真實IC!CI20&gt;真實IC!CI$26,1,0)</f>
        <v>1</v>
      </c>
      <c r="CJ20" s="11">
        <f>IF(真實IC!CJ20&gt;真實IC!CJ$26,1,0)</f>
        <v>0</v>
      </c>
      <c r="CK20" s="11">
        <f>IF(真實IC!CK20&gt;真實IC!CK$26,1,0)</f>
        <v>1</v>
      </c>
      <c r="CL20" s="11">
        <f>IF(真實IC!CL20&gt;真實IC!CL$26,1,0)</f>
        <v>0</v>
      </c>
      <c r="CM20" s="11">
        <f>IF(真實IC!CM20&gt;真實IC!CM$26,1,0)</f>
        <v>1</v>
      </c>
      <c r="CN20" s="11">
        <f>IF(真實IC!CN20&gt;真實IC!CN$26,1,0)</f>
        <v>1</v>
      </c>
      <c r="CO20" s="11">
        <f>IF(真實IC!CO20&gt;真實IC!CO$26,1,0)</f>
        <v>1</v>
      </c>
      <c r="CP20" s="11">
        <f>IF(真實IC!CP20&gt;真實IC!CP$26,1,0)</f>
        <v>1</v>
      </c>
      <c r="CQ20" s="11">
        <f>IF(真實IC!CQ20&gt;真實IC!CQ$26,1,0)</f>
        <v>1</v>
      </c>
      <c r="CR20" s="11">
        <f>IF(真實IC!CR20&gt;真實IC!CR$26,1,0)</f>
        <v>1</v>
      </c>
      <c r="CS20" s="11">
        <f>IF(真實IC!CS20&gt;真實IC!CS$26,1,0)</f>
        <v>1</v>
      </c>
      <c r="CT20" s="11">
        <f>IF(真實IC!CT20&gt;真實IC!CT$26,1,0)</f>
        <v>0</v>
      </c>
      <c r="CU20" s="11">
        <f>IF(真實IC!CU20&gt;真實IC!CU$26,1,0)</f>
        <v>1</v>
      </c>
      <c r="CV20" s="11">
        <f>IF(真實IC!CV20&gt;真實IC!CV$26,1,0)</f>
        <v>1</v>
      </c>
      <c r="CW20" s="11">
        <f>IF(真實IC!CW20&gt;真實IC!CW$26,1,0)</f>
        <v>1</v>
      </c>
      <c r="CX20" s="11">
        <f>IF(真實IC!CX20&gt;真實IC!CX$26,1,0)</f>
        <v>1</v>
      </c>
      <c r="CY20" s="11">
        <f>IF(真實IC!CY20&gt;真實IC!CY$26,1,0)</f>
        <v>1</v>
      </c>
      <c r="CZ20" s="11">
        <f>IF(真實IC!CZ20&gt;真實IC!CZ$26,1,0)</f>
        <v>1</v>
      </c>
      <c r="DA20" s="11">
        <f>IF(真實IC!DA20&gt;真實IC!DA$26,1,0)</f>
        <v>1</v>
      </c>
      <c r="DB20" s="11">
        <f>IF(真實IC!DB20&gt;真實IC!DB$26,1,0)</f>
        <v>1</v>
      </c>
      <c r="DC20" s="11">
        <f>IF(真實IC!DC20&gt;真實IC!DC$26,1,0)</f>
        <v>1</v>
      </c>
      <c r="DD20" s="11">
        <f>IF(真實IC!DD20&gt;真實IC!DD$26,1,0)</f>
        <v>1</v>
      </c>
      <c r="DE20" s="11">
        <f>IF(真實IC!DE20&gt;真實IC!DE$26,1,0)</f>
        <v>0</v>
      </c>
      <c r="DF20" s="11">
        <f>IF(真實IC!DF20&gt;真實IC!DF$26,1,0)</f>
        <v>1</v>
      </c>
      <c r="DG20" s="11">
        <f>IF(真實IC!DG20&gt;真實IC!DG$26,1,0)</f>
        <v>0</v>
      </c>
      <c r="DH20" s="11">
        <f>IF(真實IC!DH20&gt;真實IC!DH$26,1,0)</f>
        <v>1</v>
      </c>
      <c r="DI20" s="11">
        <f>IF(真實IC!DI20&gt;真實IC!DI$26,1,0)</f>
        <v>1</v>
      </c>
      <c r="DJ20" s="11">
        <f>IF(真實IC!DJ20&gt;真實IC!DJ$26,1,0)</f>
        <v>1</v>
      </c>
      <c r="DK20" s="11">
        <f>IF(真實IC!DK20&gt;真實IC!DK$26,1,0)</f>
        <v>1</v>
      </c>
      <c r="DL20" s="11">
        <f>IF(真實IC!DL20&gt;真實IC!DL$26,1,0)</f>
        <v>0</v>
      </c>
      <c r="DM20" s="11">
        <f>IF(真實IC!DM20&gt;真實IC!DM$26,1,0)</f>
        <v>0</v>
      </c>
      <c r="DN20" s="11">
        <f>IF(真實IC!DN20&gt;真實IC!DN$26,1,0)</f>
        <v>1</v>
      </c>
      <c r="DO20" s="11">
        <f>IF(真實IC!DO20&gt;真實IC!DO$26,1,0)</f>
        <v>1</v>
      </c>
      <c r="DP20" s="11">
        <f>IF(真實IC!DP20&gt;真實IC!DP$26,1,0)</f>
        <v>1</v>
      </c>
      <c r="DQ20" s="11">
        <f>IF(真實IC!DQ20&gt;真實IC!DQ$26,1,0)</f>
        <v>0</v>
      </c>
      <c r="DR20" s="11">
        <f>IF(真實IC!DR20&gt;真實IC!DR$26,1,0)</f>
        <v>1</v>
      </c>
      <c r="DS20" s="11">
        <f>IF(真實IC!DS20&gt;真實IC!DS$26,1,0)</f>
        <v>0</v>
      </c>
      <c r="DT20" s="11">
        <f>IF(真實IC!DT20&gt;真實IC!DT$26,1,0)</f>
        <v>0</v>
      </c>
      <c r="DU20" s="11">
        <f>IF(真實IC!DU20&gt;真實IC!DU$26,1,0)</f>
        <v>1</v>
      </c>
      <c r="DV20" s="11">
        <f>IF(真實IC!DV20&gt;真實IC!DV$26,1,0)</f>
        <v>1</v>
      </c>
      <c r="DW20" s="11">
        <f>IF(真實IC!DW20&gt;真實IC!DW$26,1,0)</f>
        <v>0</v>
      </c>
      <c r="DX20" s="11">
        <f>IF(真實IC!DX20&gt;真實IC!DX$26,1,0)</f>
        <v>1</v>
      </c>
      <c r="DY20" s="11">
        <f>IF(真實IC!DY20&gt;真實IC!DY$26,1,0)</f>
        <v>1</v>
      </c>
      <c r="DZ20" s="11">
        <f>IF(真實IC!DZ20&gt;真實IC!DZ$26,1,0)</f>
        <v>1</v>
      </c>
      <c r="EA20" s="11">
        <f>IF(真實IC!EA20&gt;真實IC!EA$26,1,0)</f>
        <v>0</v>
      </c>
      <c r="EB20" s="11">
        <f>IF(真實IC!EB20&gt;真實IC!EB$26,1,0)</f>
        <v>1</v>
      </c>
      <c r="EC20" s="11">
        <f>IF(真實IC!EC20&gt;真實IC!EC$26,1,0)</f>
        <v>1</v>
      </c>
      <c r="ED20" s="11">
        <f>IF(真實IC!ED20&gt;真實IC!ED$26,1,0)</f>
        <v>1</v>
      </c>
      <c r="EE20" s="11">
        <f>IF(真實IC!EE20&gt;真實IC!EE$26,1,0)</f>
        <v>0</v>
      </c>
      <c r="EF20" s="11">
        <f>IF(真實IC!EF20&gt;真實IC!EF$26,1,0)</f>
        <v>1</v>
      </c>
      <c r="EG20">
        <f t="shared" si="11"/>
        <v>97</v>
      </c>
      <c r="EH20" s="19">
        <f t="shared" si="10"/>
        <v>0.71641791044776115</v>
      </c>
    </row>
    <row r="21" spans="1:138" x14ac:dyDescent="0.3">
      <c r="A21" s="1">
        <v>241</v>
      </c>
      <c r="B21" s="1">
        <v>4</v>
      </c>
      <c r="C21" s="11">
        <f>IF(真實IC!C21&gt;真實IC!C$26,1,0)</f>
        <v>1</v>
      </c>
      <c r="D21" s="11">
        <f>IF(真實IC!D21&gt;真實IC!D$26,1,0)</f>
        <v>1</v>
      </c>
      <c r="E21" s="11">
        <f>IF(真實IC!E21&gt;真實IC!E$26,1,0)</f>
        <v>0</v>
      </c>
      <c r="F21" s="11">
        <f>IF(真實IC!F21&gt;真實IC!F$26,1,0)</f>
        <v>0</v>
      </c>
      <c r="G21" s="11">
        <f>IF(真實IC!G21&gt;真實IC!G$26,1,0)</f>
        <v>1</v>
      </c>
      <c r="H21" s="11">
        <f>IF(真實IC!H21&gt;真實IC!H$26,1,0)</f>
        <v>1</v>
      </c>
      <c r="I21" s="11">
        <f>IF(真實IC!I21&gt;真實IC!I$26,1,0)</f>
        <v>1</v>
      </c>
      <c r="J21" s="11">
        <f>IF(真實IC!J21&gt;真實IC!J$26,1,0)</f>
        <v>1</v>
      </c>
      <c r="K21" s="11">
        <f>IF(真實IC!K21&gt;真實IC!K$26,1,0)</f>
        <v>1</v>
      </c>
      <c r="L21" s="11">
        <f>IF(真實IC!L21&gt;真實IC!L$26,1,0)</f>
        <v>1</v>
      </c>
      <c r="M21" s="11">
        <f>IF(真實IC!M21&gt;真實IC!M$26,1,0)</f>
        <v>0</v>
      </c>
      <c r="N21" s="11">
        <f>IF(真實IC!N21&gt;真實IC!N$26,1,0)</f>
        <v>1</v>
      </c>
      <c r="O21" s="11">
        <f>IF(真實IC!O21&gt;真實IC!O$26,1,0)</f>
        <v>1</v>
      </c>
      <c r="P21" s="11">
        <f>IF(真實IC!P21&gt;真實IC!P$26,1,0)</f>
        <v>1</v>
      </c>
      <c r="Q21" s="11">
        <f>IF(真實IC!Q21&gt;真實IC!Q$26,1,0)</f>
        <v>1</v>
      </c>
      <c r="R21" s="11">
        <f>IF(真實IC!R21&gt;真實IC!R$26,1,0)</f>
        <v>0</v>
      </c>
      <c r="S21" s="11">
        <f>IF(真實IC!S21&gt;真實IC!S$26,1,0)</f>
        <v>1</v>
      </c>
      <c r="T21" s="11">
        <f>IF(真實IC!T21&gt;真實IC!T$26,1,0)</f>
        <v>1</v>
      </c>
      <c r="U21" s="11">
        <f>IF(真實IC!U21&gt;真實IC!U$26,1,0)</f>
        <v>1</v>
      </c>
      <c r="V21" s="11">
        <f>IF(真實IC!V21&gt;真實IC!V$26,1,0)</f>
        <v>1</v>
      </c>
      <c r="W21" s="11">
        <f>IF(真實IC!W21&gt;真實IC!W$26,1,0)</f>
        <v>1</v>
      </c>
      <c r="X21" s="11">
        <f>IF(真實IC!X21&gt;真實IC!X$26,1,0)</f>
        <v>1</v>
      </c>
      <c r="Y21" s="11">
        <f>IF(真實IC!Y21&gt;真實IC!Y$26,1,0)</f>
        <v>1</v>
      </c>
      <c r="Z21" s="11">
        <f>IF(真實IC!Z21&gt;真實IC!Z$26,1,0)</f>
        <v>1</v>
      </c>
      <c r="AA21" s="11">
        <f>IF(真實IC!AA21&gt;真實IC!AA$26,1,0)</f>
        <v>1</v>
      </c>
      <c r="AB21" s="11">
        <f>IF(真實IC!AB21&gt;真實IC!AB$26,1,0)</f>
        <v>1</v>
      </c>
      <c r="AC21" s="11">
        <f>IF(真實IC!AC21&gt;真實IC!AC$26,1,0)</f>
        <v>0</v>
      </c>
      <c r="AD21" s="11">
        <f>IF(真實IC!AD21&gt;真實IC!AD$26,1,0)</f>
        <v>1</v>
      </c>
      <c r="AE21" s="11">
        <f>IF(真實IC!AE21&gt;真實IC!AE$26,1,0)</f>
        <v>1</v>
      </c>
      <c r="AF21" s="11">
        <f>IF(真實IC!AF21&gt;真實IC!AF$26,1,0)</f>
        <v>1</v>
      </c>
      <c r="AG21" s="11">
        <f>IF(真實IC!AG21&gt;真實IC!AG$26,1,0)</f>
        <v>1</v>
      </c>
      <c r="AH21" s="11">
        <f>IF(真實IC!AH21&gt;真實IC!AH$26,1,0)</f>
        <v>0</v>
      </c>
      <c r="AI21" s="11">
        <f>IF(真實IC!AI21&gt;真實IC!AI$26,1,0)</f>
        <v>1</v>
      </c>
      <c r="AJ21" s="11">
        <f>IF(真實IC!AJ21&gt;真實IC!AJ$26,1,0)</f>
        <v>0</v>
      </c>
      <c r="AK21" s="11">
        <f>IF(真實IC!AK21&gt;真實IC!AK$26,1,0)</f>
        <v>0</v>
      </c>
      <c r="AL21" s="11">
        <f>IF(真實IC!AL21&gt;真實IC!AL$26,1,0)</f>
        <v>1</v>
      </c>
      <c r="AM21" s="11">
        <f>IF(真實IC!AM21&gt;真實IC!AM$26,1,0)</f>
        <v>1</v>
      </c>
      <c r="AN21" s="11">
        <f>IF(真實IC!AN21&gt;真實IC!AN$26,1,0)</f>
        <v>1</v>
      </c>
      <c r="AO21" s="11">
        <f>IF(真實IC!AO21&gt;真實IC!AO$26,1,0)</f>
        <v>1</v>
      </c>
      <c r="AP21" s="11">
        <f>IF(真實IC!AP21&gt;真實IC!AP$26,1,0)</f>
        <v>1</v>
      </c>
      <c r="AQ21" s="11">
        <f>IF(真實IC!AQ21&gt;真實IC!AQ$26,1,0)</f>
        <v>1</v>
      </c>
      <c r="AR21" s="11">
        <f>IF(真實IC!AR21&gt;真實IC!AR$26,1,0)</f>
        <v>1</v>
      </c>
      <c r="AS21" s="11">
        <f>IF(真實IC!AS21&gt;真實IC!AS$26,1,0)</f>
        <v>0</v>
      </c>
      <c r="AT21" s="11">
        <f>IF(真實IC!AT21&gt;真實IC!AT$26,1,0)</f>
        <v>1</v>
      </c>
      <c r="AU21" s="11">
        <f>IF(真實IC!AU21&gt;真實IC!AU$26,1,0)</f>
        <v>1</v>
      </c>
      <c r="AV21" s="11">
        <f>IF(真實IC!AV21&gt;真實IC!AV$26,1,0)</f>
        <v>0</v>
      </c>
      <c r="AW21" s="11">
        <f>IF(真實IC!AW21&gt;真實IC!AW$26,1,0)</f>
        <v>1</v>
      </c>
      <c r="AX21" s="11">
        <f>IF(真實IC!AX21&gt;真實IC!AX$26,1,0)</f>
        <v>1</v>
      </c>
      <c r="AY21" s="11">
        <f>IF(真實IC!AY21&gt;真實IC!AY$26,1,0)</f>
        <v>1</v>
      </c>
      <c r="AZ21" s="11">
        <f>IF(真實IC!AZ21&gt;真實IC!AZ$26,1,0)</f>
        <v>1</v>
      </c>
      <c r="BA21" s="11">
        <f>IF(真實IC!BA21&gt;真實IC!BA$26,1,0)</f>
        <v>1</v>
      </c>
      <c r="BB21" s="11">
        <f>IF(真實IC!BB21&gt;真實IC!BB$26,1,0)</f>
        <v>1</v>
      </c>
      <c r="BC21" s="11">
        <f>IF(真實IC!BC21&gt;真實IC!BC$26,1,0)</f>
        <v>1</v>
      </c>
      <c r="BD21" s="11">
        <f>IF(真實IC!BD21&gt;真實IC!BD$26,1,0)</f>
        <v>1</v>
      </c>
      <c r="BE21" s="11">
        <f>IF(真實IC!BE21&gt;真實IC!BE$26,1,0)</f>
        <v>1</v>
      </c>
      <c r="BF21" s="11">
        <f>IF(真實IC!BF21&gt;真實IC!BF$26,1,0)</f>
        <v>1</v>
      </c>
      <c r="BG21" s="11">
        <f>IF(真實IC!BG21&gt;真實IC!BG$26,1,0)</f>
        <v>1</v>
      </c>
      <c r="BH21" s="11">
        <f>IF(真實IC!BH21&gt;真實IC!BH$26,1,0)</f>
        <v>1</v>
      </c>
      <c r="BI21" s="11">
        <f>IF(真實IC!BI21&gt;真實IC!BI$26,1,0)</f>
        <v>1</v>
      </c>
      <c r="BJ21" s="11">
        <f>IF(真實IC!BJ21&gt;真實IC!BJ$26,1,0)</f>
        <v>1</v>
      </c>
      <c r="BK21" s="11">
        <f>IF(真實IC!BK21&gt;真實IC!BK$26,1,0)</f>
        <v>0</v>
      </c>
      <c r="BL21" s="11">
        <f>IF(真實IC!BL21&gt;真實IC!BL$26,1,0)</f>
        <v>1</v>
      </c>
      <c r="BM21" s="11">
        <f>IF(真實IC!BM21&gt;真實IC!BM$26,1,0)</f>
        <v>1</v>
      </c>
      <c r="BN21" s="11">
        <f>IF(真實IC!BN21&gt;真實IC!BN$26,1,0)</f>
        <v>0</v>
      </c>
      <c r="BO21" s="11">
        <f>IF(真實IC!BO21&gt;真實IC!BO$26,1,0)</f>
        <v>0</v>
      </c>
      <c r="BP21" s="11">
        <f>IF(真實IC!BP21&gt;真實IC!BP$26,1,0)</f>
        <v>0</v>
      </c>
      <c r="BQ21" s="11">
        <f>IF(真實IC!BQ21&gt;真實IC!BQ$26,1,0)</f>
        <v>1</v>
      </c>
      <c r="BR21" s="11">
        <f>IF(真實IC!BR21&gt;真實IC!BR$26,1,0)</f>
        <v>1</v>
      </c>
      <c r="BS21" s="11">
        <f>IF(真實IC!BS21&gt;真實IC!BS$26,1,0)</f>
        <v>0</v>
      </c>
      <c r="BT21" s="11">
        <f>IF(真實IC!BT21&gt;真實IC!BT$26,1,0)</f>
        <v>0</v>
      </c>
      <c r="BU21" s="11">
        <f>IF(真實IC!BU21&gt;真實IC!BU$26,1,0)</f>
        <v>1</v>
      </c>
      <c r="BV21" s="11">
        <f>IF(真實IC!BV21&gt;真實IC!BV$26,1,0)</f>
        <v>0</v>
      </c>
      <c r="BW21" s="11">
        <f>IF(真實IC!BW21&gt;真實IC!BW$26,1,0)</f>
        <v>1</v>
      </c>
      <c r="BX21" s="11">
        <f>IF(真實IC!BX21&gt;真實IC!BX$26,1,0)</f>
        <v>0</v>
      </c>
      <c r="BY21" s="11">
        <f>IF(真實IC!BY21&gt;真實IC!BY$26,1,0)</f>
        <v>1</v>
      </c>
      <c r="BZ21" s="11">
        <f>IF(真實IC!BZ21&gt;真實IC!BZ$26,1,0)</f>
        <v>0</v>
      </c>
      <c r="CA21" s="11">
        <f>IF(真實IC!CA21&gt;真實IC!CA$26,1,0)</f>
        <v>1</v>
      </c>
      <c r="CB21" s="11">
        <f>IF(真實IC!CB21&gt;真實IC!CB$26,1,0)</f>
        <v>1</v>
      </c>
      <c r="CC21" s="11">
        <f>IF(真實IC!CC21&gt;真實IC!CC$26,1,0)</f>
        <v>0</v>
      </c>
      <c r="CD21" s="11">
        <f>IF(真實IC!CD21&gt;真實IC!CD$26,1,0)</f>
        <v>1</v>
      </c>
      <c r="CE21" s="11">
        <f>IF(真實IC!CE21&gt;真實IC!CE$26,1,0)</f>
        <v>1</v>
      </c>
      <c r="CF21" s="11">
        <f>IF(真實IC!CF21&gt;真實IC!CF$26,1,0)</f>
        <v>1</v>
      </c>
      <c r="CG21" s="11">
        <f>IF(真實IC!CG21&gt;真實IC!CG$26,1,0)</f>
        <v>0</v>
      </c>
      <c r="CH21" s="11">
        <f>IF(真實IC!CH21&gt;真實IC!CH$26,1,0)</f>
        <v>1</v>
      </c>
      <c r="CI21" s="11">
        <f>IF(真實IC!CI21&gt;真實IC!CI$26,1,0)</f>
        <v>1</v>
      </c>
      <c r="CJ21" s="11">
        <f>IF(真實IC!CJ21&gt;真實IC!CJ$26,1,0)</f>
        <v>0</v>
      </c>
      <c r="CK21" s="11">
        <f>IF(真實IC!CK21&gt;真實IC!CK$26,1,0)</f>
        <v>1</v>
      </c>
      <c r="CL21" s="11">
        <f>IF(真實IC!CL21&gt;真實IC!CL$26,1,0)</f>
        <v>0</v>
      </c>
      <c r="CM21" s="11">
        <f>IF(真實IC!CM21&gt;真實IC!CM$26,1,0)</f>
        <v>1</v>
      </c>
      <c r="CN21" s="11">
        <f>IF(真實IC!CN21&gt;真實IC!CN$26,1,0)</f>
        <v>1</v>
      </c>
      <c r="CO21" s="11">
        <f>IF(真實IC!CO21&gt;真實IC!CO$26,1,0)</f>
        <v>1</v>
      </c>
      <c r="CP21" s="11">
        <f>IF(真實IC!CP21&gt;真實IC!CP$26,1,0)</f>
        <v>1</v>
      </c>
      <c r="CQ21" s="11">
        <f>IF(真實IC!CQ21&gt;真實IC!CQ$26,1,0)</f>
        <v>1</v>
      </c>
      <c r="CR21" s="11">
        <f>IF(真實IC!CR21&gt;真實IC!CR$26,1,0)</f>
        <v>1</v>
      </c>
      <c r="CS21" s="11">
        <f>IF(真實IC!CS21&gt;真實IC!CS$26,1,0)</f>
        <v>1</v>
      </c>
      <c r="CT21" s="11">
        <f>IF(真實IC!CT21&gt;真實IC!CT$26,1,0)</f>
        <v>1</v>
      </c>
      <c r="CU21" s="11">
        <f>IF(真實IC!CU21&gt;真實IC!CU$26,1,0)</f>
        <v>1</v>
      </c>
      <c r="CV21" s="11">
        <f>IF(真實IC!CV21&gt;真實IC!CV$26,1,0)</f>
        <v>1</v>
      </c>
      <c r="CW21" s="11">
        <f>IF(真實IC!CW21&gt;真實IC!CW$26,1,0)</f>
        <v>1</v>
      </c>
      <c r="CX21" s="11">
        <f>IF(真實IC!CX21&gt;真實IC!CX$26,1,0)</f>
        <v>1</v>
      </c>
      <c r="CY21" s="11">
        <f>IF(真實IC!CY21&gt;真實IC!CY$26,1,0)</f>
        <v>1</v>
      </c>
      <c r="CZ21" s="11">
        <f>IF(真實IC!CZ21&gt;真實IC!CZ$26,1,0)</f>
        <v>1</v>
      </c>
      <c r="DA21" s="11">
        <f>IF(真實IC!DA21&gt;真實IC!DA$26,1,0)</f>
        <v>1</v>
      </c>
      <c r="DB21" s="11">
        <f>IF(真實IC!DB21&gt;真實IC!DB$26,1,0)</f>
        <v>1</v>
      </c>
      <c r="DC21" s="11">
        <f>IF(真實IC!DC21&gt;真實IC!DC$26,1,0)</f>
        <v>1</v>
      </c>
      <c r="DD21" s="11">
        <f>IF(真實IC!DD21&gt;真實IC!DD$26,1,0)</f>
        <v>1</v>
      </c>
      <c r="DE21" s="11">
        <f>IF(真實IC!DE21&gt;真實IC!DE$26,1,0)</f>
        <v>0</v>
      </c>
      <c r="DF21" s="11">
        <f>IF(真實IC!DF21&gt;真實IC!DF$26,1,0)</f>
        <v>1</v>
      </c>
      <c r="DG21" s="11">
        <f>IF(真實IC!DG21&gt;真實IC!DG$26,1,0)</f>
        <v>0</v>
      </c>
      <c r="DH21" s="11">
        <f>IF(真實IC!DH21&gt;真實IC!DH$26,1,0)</f>
        <v>1</v>
      </c>
      <c r="DI21" s="11">
        <f>IF(真實IC!DI21&gt;真實IC!DI$26,1,0)</f>
        <v>1</v>
      </c>
      <c r="DJ21" s="11">
        <f>IF(真實IC!DJ21&gt;真實IC!DJ$26,1,0)</f>
        <v>1</v>
      </c>
      <c r="DK21" s="11">
        <f>IF(真實IC!DK21&gt;真實IC!DK$26,1,0)</f>
        <v>1</v>
      </c>
      <c r="DL21" s="11">
        <f>IF(真實IC!DL21&gt;真實IC!DL$26,1,0)</f>
        <v>0</v>
      </c>
      <c r="DM21" s="11">
        <f>IF(真實IC!DM21&gt;真實IC!DM$26,1,0)</f>
        <v>0</v>
      </c>
      <c r="DN21" s="11">
        <f>IF(真實IC!DN21&gt;真實IC!DN$26,1,0)</f>
        <v>1</v>
      </c>
      <c r="DO21" s="11">
        <f>IF(真實IC!DO21&gt;真實IC!DO$26,1,0)</f>
        <v>1</v>
      </c>
      <c r="DP21" s="11">
        <f>IF(真實IC!DP21&gt;真實IC!DP$26,1,0)</f>
        <v>1</v>
      </c>
      <c r="DQ21" s="11">
        <f>IF(真實IC!DQ21&gt;真實IC!DQ$26,1,0)</f>
        <v>0</v>
      </c>
      <c r="DR21" s="11">
        <f>IF(真實IC!DR21&gt;真實IC!DR$26,1,0)</f>
        <v>1</v>
      </c>
      <c r="DS21" s="11">
        <f>IF(真實IC!DS21&gt;真實IC!DS$26,1,0)</f>
        <v>1</v>
      </c>
      <c r="DT21" s="11">
        <f>IF(真實IC!DT21&gt;真實IC!DT$26,1,0)</f>
        <v>0</v>
      </c>
      <c r="DU21" s="11">
        <f>IF(真實IC!DU21&gt;真實IC!DU$26,1,0)</f>
        <v>1</v>
      </c>
      <c r="DV21" s="11">
        <f>IF(真實IC!DV21&gt;真實IC!DV$26,1,0)</f>
        <v>1</v>
      </c>
      <c r="DW21" s="11">
        <f>IF(真實IC!DW21&gt;真實IC!DW$26,1,0)</f>
        <v>0</v>
      </c>
      <c r="DX21" s="11">
        <f>IF(真實IC!DX21&gt;真實IC!DX$26,1,0)</f>
        <v>1</v>
      </c>
      <c r="DY21" s="11">
        <f>IF(真實IC!DY21&gt;真實IC!DY$26,1,0)</f>
        <v>1</v>
      </c>
      <c r="DZ21" s="11">
        <f>IF(真實IC!DZ21&gt;真實IC!DZ$26,1,0)</f>
        <v>1</v>
      </c>
      <c r="EA21" s="11">
        <f>IF(真實IC!EA21&gt;真實IC!EA$26,1,0)</f>
        <v>0</v>
      </c>
      <c r="EB21" s="11">
        <f>IF(真實IC!EB21&gt;真實IC!EB$26,1,0)</f>
        <v>0</v>
      </c>
      <c r="EC21" s="11">
        <f>IF(真實IC!EC21&gt;真實IC!EC$26,1,0)</f>
        <v>1</v>
      </c>
      <c r="ED21" s="11">
        <f>IF(真實IC!ED21&gt;真實IC!ED$26,1,0)</f>
        <v>1</v>
      </c>
      <c r="EE21" s="11">
        <f>IF(真實IC!EE21&gt;真實IC!EE$26,1,0)</f>
        <v>1</v>
      </c>
      <c r="EF21" s="11">
        <f>IF(真實IC!EF21&gt;真實IC!EF$26,1,0)</f>
        <v>1</v>
      </c>
      <c r="EG21">
        <f t="shared" si="11"/>
        <v>102</v>
      </c>
      <c r="EH21" s="19">
        <f t="shared" si="10"/>
        <v>0.75373134328358204</v>
      </c>
    </row>
    <row r="22" spans="1:138" x14ac:dyDescent="0.3">
      <c r="A22" s="1">
        <v>321</v>
      </c>
      <c r="B22" s="1">
        <v>3</v>
      </c>
      <c r="C22" s="11">
        <f>IF(真實IC!C22&gt;真實IC!C$26,1,0)</f>
        <v>1</v>
      </c>
      <c r="D22" s="11">
        <f>IF(真實IC!D22&gt;真實IC!D$26,1,0)</f>
        <v>1</v>
      </c>
      <c r="E22" s="11">
        <f>IF(真實IC!E22&gt;真實IC!E$26,1,0)</f>
        <v>0</v>
      </c>
      <c r="F22" s="11">
        <f>IF(真實IC!F22&gt;真實IC!F$26,1,0)</f>
        <v>0</v>
      </c>
      <c r="G22" s="11">
        <f>IF(真實IC!G22&gt;真實IC!G$26,1,0)</f>
        <v>1</v>
      </c>
      <c r="H22" s="11">
        <f>IF(真實IC!H22&gt;真實IC!H$26,1,0)</f>
        <v>1</v>
      </c>
      <c r="I22" s="11">
        <f>IF(真實IC!I22&gt;真實IC!I$26,1,0)</f>
        <v>1</v>
      </c>
      <c r="J22" s="11">
        <f>IF(真實IC!J22&gt;真實IC!J$26,1,0)</f>
        <v>1</v>
      </c>
      <c r="K22" s="11">
        <f>IF(真實IC!K22&gt;真實IC!K$26,1,0)</f>
        <v>1</v>
      </c>
      <c r="L22" s="11">
        <f>IF(真實IC!L22&gt;真實IC!L$26,1,0)</f>
        <v>0</v>
      </c>
      <c r="M22" s="11">
        <f>IF(真實IC!M22&gt;真實IC!M$26,1,0)</f>
        <v>0</v>
      </c>
      <c r="N22" s="11">
        <f>IF(真實IC!N22&gt;真實IC!N$26,1,0)</f>
        <v>1</v>
      </c>
      <c r="O22" s="11">
        <f>IF(真實IC!O22&gt;真實IC!O$26,1,0)</f>
        <v>0</v>
      </c>
      <c r="P22" s="11">
        <f>IF(真實IC!P22&gt;真實IC!P$26,1,0)</f>
        <v>1</v>
      </c>
      <c r="Q22" s="11">
        <f>IF(真實IC!Q22&gt;真實IC!Q$26,1,0)</f>
        <v>1</v>
      </c>
      <c r="R22" s="11">
        <f>IF(真實IC!R22&gt;真實IC!R$26,1,0)</f>
        <v>0</v>
      </c>
      <c r="S22" s="11">
        <f>IF(真實IC!S22&gt;真實IC!S$26,1,0)</f>
        <v>1</v>
      </c>
      <c r="T22" s="11">
        <f>IF(真實IC!T22&gt;真實IC!T$26,1,0)</f>
        <v>1</v>
      </c>
      <c r="U22" s="11">
        <f>IF(真實IC!U22&gt;真實IC!U$26,1,0)</f>
        <v>1</v>
      </c>
      <c r="V22" s="11">
        <f>IF(真實IC!V22&gt;真實IC!V$26,1,0)</f>
        <v>1</v>
      </c>
      <c r="W22" s="11">
        <f>IF(真實IC!W22&gt;真實IC!W$26,1,0)</f>
        <v>1</v>
      </c>
      <c r="X22" s="11">
        <f>IF(真實IC!X22&gt;真實IC!X$26,1,0)</f>
        <v>1</v>
      </c>
      <c r="Y22" s="11">
        <f>IF(真實IC!Y22&gt;真實IC!Y$26,1,0)</f>
        <v>1</v>
      </c>
      <c r="Z22" s="11">
        <f>IF(真實IC!Z22&gt;真實IC!Z$26,1,0)</f>
        <v>1</v>
      </c>
      <c r="AA22" s="11">
        <f>IF(真實IC!AA22&gt;真實IC!AA$26,1,0)</f>
        <v>1</v>
      </c>
      <c r="AB22" s="11">
        <f>IF(真實IC!AB22&gt;真實IC!AB$26,1,0)</f>
        <v>1</v>
      </c>
      <c r="AC22" s="11">
        <f>IF(真實IC!AC22&gt;真實IC!AC$26,1,0)</f>
        <v>1</v>
      </c>
      <c r="AD22" s="11">
        <f>IF(真實IC!AD22&gt;真實IC!AD$26,1,0)</f>
        <v>1</v>
      </c>
      <c r="AE22" s="11">
        <f>IF(真實IC!AE22&gt;真實IC!AE$26,1,0)</f>
        <v>1</v>
      </c>
      <c r="AF22" s="11">
        <f>IF(真實IC!AF22&gt;真實IC!AF$26,1,0)</f>
        <v>1</v>
      </c>
      <c r="AG22" s="11">
        <f>IF(真實IC!AG22&gt;真實IC!AG$26,1,0)</f>
        <v>1</v>
      </c>
      <c r="AH22" s="11">
        <f>IF(真實IC!AH22&gt;真實IC!AH$26,1,0)</f>
        <v>0</v>
      </c>
      <c r="AI22" s="11">
        <f>IF(真實IC!AI22&gt;真實IC!AI$26,1,0)</f>
        <v>1</v>
      </c>
      <c r="AJ22" s="11">
        <f>IF(真實IC!AJ22&gt;真實IC!AJ$26,1,0)</f>
        <v>0</v>
      </c>
      <c r="AK22" s="11">
        <f>IF(真實IC!AK22&gt;真實IC!AK$26,1,0)</f>
        <v>1</v>
      </c>
      <c r="AL22" s="11">
        <f>IF(真實IC!AL22&gt;真實IC!AL$26,1,0)</f>
        <v>0</v>
      </c>
      <c r="AM22" s="11">
        <f>IF(真實IC!AM22&gt;真實IC!AM$26,1,0)</f>
        <v>1</v>
      </c>
      <c r="AN22" s="11">
        <f>IF(真實IC!AN22&gt;真實IC!AN$26,1,0)</f>
        <v>1</v>
      </c>
      <c r="AO22" s="11">
        <f>IF(真實IC!AO22&gt;真實IC!AO$26,1,0)</f>
        <v>1</v>
      </c>
      <c r="AP22" s="11">
        <f>IF(真實IC!AP22&gt;真實IC!AP$26,1,0)</f>
        <v>1</v>
      </c>
      <c r="AQ22" s="11">
        <f>IF(真實IC!AQ22&gt;真實IC!AQ$26,1,0)</f>
        <v>1</v>
      </c>
      <c r="AR22" s="11">
        <f>IF(真實IC!AR22&gt;真實IC!AR$26,1,0)</f>
        <v>1</v>
      </c>
      <c r="AS22" s="11">
        <f>IF(真實IC!AS22&gt;真實IC!AS$26,1,0)</f>
        <v>1</v>
      </c>
      <c r="AT22" s="11">
        <f>IF(真實IC!AT22&gt;真實IC!AT$26,1,0)</f>
        <v>1</v>
      </c>
      <c r="AU22" s="11">
        <f>IF(真實IC!AU22&gt;真實IC!AU$26,1,0)</f>
        <v>1</v>
      </c>
      <c r="AV22" s="11">
        <f>IF(真實IC!AV22&gt;真實IC!AV$26,1,0)</f>
        <v>0</v>
      </c>
      <c r="AW22" s="11">
        <f>IF(真實IC!AW22&gt;真實IC!AW$26,1,0)</f>
        <v>1</v>
      </c>
      <c r="AX22" s="11">
        <f>IF(真實IC!AX22&gt;真實IC!AX$26,1,0)</f>
        <v>0</v>
      </c>
      <c r="AY22" s="11">
        <f>IF(真實IC!AY22&gt;真實IC!AY$26,1,0)</f>
        <v>1</v>
      </c>
      <c r="AZ22" s="11">
        <f>IF(真實IC!AZ22&gt;真實IC!AZ$26,1,0)</f>
        <v>1</v>
      </c>
      <c r="BA22" s="11">
        <f>IF(真實IC!BA22&gt;真實IC!BA$26,1,0)</f>
        <v>1</v>
      </c>
      <c r="BB22" s="11">
        <f>IF(真實IC!BB22&gt;真實IC!BB$26,1,0)</f>
        <v>1</v>
      </c>
      <c r="BC22" s="11">
        <f>IF(真實IC!BC22&gt;真實IC!BC$26,1,0)</f>
        <v>1</v>
      </c>
      <c r="BD22" s="11">
        <f>IF(真實IC!BD22&gt;真實IC!BD$26,1,0)</f>
        <v>1</v>
      </c>
      <c r="BE22" s="11">
        <f>IF(真實IC!BE22&gt;真實IC!BE$26,1,0)</f>
        <v>1</v>
      </c>
      <c r="BF22" s="11">
        <f>IF(真實IC!BF22&gt;真實IC!BF$26,1,0)</f>
        <v>1</v>
      </c>
      <c r="BG22" s="11">
        <f>IF(真實IC!BG22&gt;真實IC!BG$26,1,0)</f>
        <v>0</v>
      </c>
      <c r="BH22" s="11">
        <f>IF(真實IC!BH22&gt;真實IC!BH$26,1,0)</f>
        <v>1</v>
      </c>
      <c r="BI22" s="11">
        <f>IF(真實IC!BI22&gt;真實IC!BI$26,1,0)</f>
        <v>1</v>
      </c>
      <c r="BJ22" s="11">
        <f>IF(真實IC!BJ22&gt;真實IC!BJ$26,1,0)</f>
        <v>1</v>
      </c>
      <c r="BK22" s="11">
        <f>IF(真實IC!BK22&gt;真實IC!BK$26,1,0)</f>
        <v>0</v>
      </c>
      <c r="BL22" s="11">
        <f>IF(真實IC!BL22&gt;真實IC!BL$26,1,0)</f>
        <v>1</v>
      </c>
      <c r="BM22" s="11">
        <f>IF(真實IC!BM22&gt;真實IC!BM$26,1,0)</f>
        <v>0</v>
      </c>
      <c r="BN22" s="11">
        <f>IF(真實IC!BN22&gt;真實IC!BN$26,1,0)</f>
        <v>1</v>
      </c>
      <c r="BO22" s="11">
        <f>IF(真實IC!BO22&gt;真實IC!BO$26,1,0)</f>
        <v>0</v>
      </c>
      <c r="BP22" s="11">
        <f>IF(真實IC!BP22&gt;真實IC!BP$26,1,0)</f>
        <v>0</v>
      </c>
      <c r="BQ22" s="11">
        <f>IF(真實IC!BQ22&gt;真實IC!BQ$26,1,0)</f>
        <v>1</v>
      </c>
      <c r="BR22" s="11">
        <f>IF(真實IC!BR22&gt;真實IC!BR$26,1,0)</f>
        <v>1</v>
      </c>
      <c r="BS22" s="11">
        <f>IF(真實IC!BS22&gt;真實IC!BS$26,1,0)</f>
        <v>0</v>
      </c>
      <c r="BT22" s="11">
        <f>IF(真實IC!BT22&gt;真實IC!BT$26,1,0)</f>
        <v>1</v>
      </c>
      <c r="BU22" s="11">
        <f>IF(真實IC!BU22&gt;真實IC!BU$26,1,0)</f>
        <v>1</v>
      </c>
      <c r="BV22" s="11">
        <f>IF(真實IC!BV22&gt;真實IC!BV$26,1,0)</f>
        <v>0</v>
      </c>
      <c r="BW22" s="11">
        <f>IF(真實IC!BW22&gt;真實IC!BW$26,1,0)</f>
        <v>1</v>
      </c>
      <c r="BX22" s="11">
        <f>IF(真實IC!BX22&gt;真實IC!BX$26,1,0)</f>
        <v>0</v>
      </c>
      <c r="BY22" s="11">
        <f>IF(真實IC!BY22&gt;真實IC!BY$26,1,0)</f>
        <v>1</v>
      </c>
      <c r="BZ22" s="11">
        <f>IF(真實IC!BZ22&gt;真實IC!BZ$26,1,0)</f>
        <v>0</v>
      </c>
      <c r="CA22" s="11">
        <f>IF(真實IC!CA22&gt;真實IC!CA$26,1,0)</f>
        <v>1</v>
      </c>
      <c r="CB22" s="11">
        <f>IF(真實IC!CB22&gt;真實IC!CB$26,1,0)</f>
        <v>1</v>
      </c>
      <c r="CC22" s="11">
        <f>IF(真實IC!CC22&gt;真實IC!CC$26,1,0)</f>
        <v>0</v>
      </c>
      <c r="CD22" s="11">
        <f>IF(真實IC!CD22&gt;真實IC!CD$26,1,0)</f>
        <v>1</v>
      </c>
      <c r="CE22" s="11">
        <f>IF(真實IC!CE22&gt;真實IC!CE$26,1,0)</f>
        <v>1</v>
      </c>
      <c r="CF22" s="11">
        <f>IF(真實IC!CF22&gt;真實IC!CF$26,1,0)</f>
        <v>1</v>
      </c>
      <c r="CG22" s="11">
        <f>IF(真實IC!CG22&gt;真實IC!CG$26,1,0)</f>
        <v>1</v>
      </c>
      <c r="CH22" s="11">
        <f>IF(真實IC!CH22&gt;真實IC!CH$26,1,0)</f>
        <v>1</v>
      </c>
      <c r="CI22" s="11">
        <f>IF(真實IC!CI22&gt;真實IC!CI$26,1,0)</f>
        <v>1</v>
      </c>
      <c r="CJ22" s="11">
        <f>IF(真實IC!CJ22&gt;真實IC!CJ$26,1,0)</f>
        <v>0</v>
      </c>
      <c r="CK22" s="11">
        <f>IF(真實IC!CK22&gt;真實IC!CK$26,1,0)</f>
        <v>1</v>
      </c>
      <c r="CL22" s="11">
        <f>IF(真實IC!CL22&gt;真實IC!CL$26,1,0)</f>
        <v>0</v>
      </c>
      <c r="CM22" s="11">
        <f>IF(真實IC!CM22&gt;真實IC!CM$26,1,0)</f>
        <v>1</v>
      </c>
      <c r="CN22" s="11">
        <f>IF(真實IC!CN22&gt;真實IC!CN$26,1,0)</f>
        <v>1</v>
      </c>
      <c r="CO22" s="11">
        <f>IF(真實IC!CO22&gt;真實IC!CO$26,1,0)</f>
        <v>1</v>
      </c>
      <c r="CP22" s="11">
        <f>IF(真實IC!CP22&gt;真實IC!CP$26,1,0)</f>
        <v>1</v>
      </c>
      <c r="CQ22" s="11">
        <f>IF(真實IC!CQ22&gt;真實IC!CQ$26,1,0)</f>
        <v>1</v>
      </c>
      <c r="CR22" s="11">
        <f>IF(真實IC!CR22&gt;真實IC!CR$26,1,0)</f>
        <v>1</v>
      </c>
      <c r="CS22" s="11">
        <f>IF(真實IC!CS22&gt;真實IC!CS$26,1,0)</f>
        <v>1</v>
      </c>
      <c r="CT22" s="11">
        <f>IF(真實IC!CT22&gt;真實IC!CT$26,1,0)</f>
        <v>0</v>
      </c>
      <c r="CU22" s="11">
        <f>IF(真實IC!CU22&gt;真實IC!CU$26,1,0)</f>
        <v>1</v>
      </c>
      <c r="CV22" s="11">
        <f>IF(真實IC!CV22&gt;真實IC!CV$26,1,0)</f>
        <v>1</v>
      </c>
      <c r="CW22" s="11">
        <f>IF(真實IC!CW22&gt;真實IC!CW$26,1,0)</f>
        <v>1</v>
      </c>
      <c r="CX22" s="11">
        <f>IF(真實IC!CX22&gt;真實IC!CX$26,1,0)</f>
        <v>1</v>
      </c>
      <c r="CY22" s="11">
        <f>IF(真實IC!CY22&gt;真實IC!CY$26,1,0)</f>
        <v>1</v>
      </c>
      <c r="CZ22" s="11">
        <f>IF(真實IC!CZ22&gt;真實IC!CZ$26,1,0)</f>
        <v>1</v>
      </c>
      <c r="DA22" s="11">
        <f>IF(真實IC!DA22&gt;真實IC!DA$26,1,0)</f>
        <v>1</v>
      </c>
      <c r="DB22" s="11">
        <f>IF(真實IC!DB22&gt;真實IC!DB$26,1,0)</f>
        <v>1</v>
      </c>
      <c r="DC22" s="11">
        <f>IF(真實IC!DC22&gt;真實IC!DC$26,1,0)</f>
        <v>1</v>
      </c>
      <c r="DD22" s="11">
        <f>IF(真實IC!DD22&gt;真實IC!DD$26,1,0)</f>
        <v>1</v>
      </c>
      <c r="DE22" s="11">
        <f>IF(真實IC!DE22&gt;真實IC!DE$26,1,0)</f>
        <v>0</v>
      </c>
      <c r="DF22" s="11">
        <f>IF(真實IC!DF22&gt;真實IC!DF$26,1,0)</f>
        <v>1</v>
      </c>
      <c r="DG22" s="11">
        <f>IF(真實IC!DG22&gt;真實IC!DG$26,1,0)</f>
        <v>0</v>
      </c>
      <c r="DH22" s="11">
        <f>IF(真實IC!DH22&gt;真實IC!DH$26,1,0)</f>
        <v>1</v>
      </c>
      <c r="DI22" s="11">
        <f>IF(真實IC!DI22&gt;真實IC!DI$26,1,0)</f>
        <v>1</v>
      </c>
      <c r="DJ22" s="11">
        <f>IF(真實IC!DJ22&gt;真實IC!DJ$26,1,0)</f>
        <v>1</v>
      </c>
      <c r="DK22" s="11">
        <f>IF(真實IC!DK22&gt;真實IC!DK$26,1,0)</f>
        <v>1</v>
      </c>
      <c r="DL22" s="11">
        <f>IF(真實IC!DL22&gt;真實IC!DL$26,1,0)</f>
        <v>0</v>
      </c>
      <c r="DM22" s="11">
        <f>IF(真實IC!DM22&gt;真實IC!DM$26,1,0)</f>
        <v>0</v>
      </c>
      <c r="DN22" s="11">
        <f>IF(真實IC!DN22&gt;真實IC!DN$26,1,0)</f>
        <v>1</v>
      </c>
      <c r="DO22" s="11">
        <f>IF(真實IC!DO22&gt;真實IC!DO$26,1,0)</f>
        <v>1</v>
      </c>
      <c r="DP22" s="11">
        <f>IF(真實IC!DP22&gt;真實IC!DP$26,1,0)</f>
        <v>1</v>
      </c>
      <c r="DQ22" s="11">
        <f>IF(真實IC!DQ22&gt;真實IC!DQ$26,1,0)</f>
        <v>1</v>
      </c>
      <c r="DR22" s="11">
        <f>IF(真實IC!DR22&gt;真實IC!DR$26,1,0)</f>
        <v>0</v>
      </c>
      <c r="DS22" s="11">
        <f>IF(真實IC!DS22&gt;真實IC!DS$26,1,0)</f>
        <v>0</v>
      </c>
      <c r="DT22" s="11">
        <f>IF(真實IC!DT22&gt;真實IC!DT$26,1,0)</f>
        <v>0</v>
      </c>
      <c r="DU22" s="11">
        <f>IF(真實IC!DU22&gt;真實IC!DU$26,1,0)</f>
        <v>1</v>
      </c>
      <c r="DV22" s="11">
        <f>IF(真實IC!DV22&gt;真實IC!DV$26,1,0)</f>
        <v>1</v>
      </c>
      <c r="DW22" s="11">
        <f>IF(真實IC!DW22&gt;真實IC!DW$26,1,0)</f>
        <v>0</v>
      </c>
      <c r="DX22" s="11">
        <f>IF(真實IC!DX22&gt;真實IC!DX$26,1,0)</f>
        <v>1</v>
      </c>
      <c r="DY22" s="11">
        <f>IF(真實IC!DY22&gt;真實IC!DY$26,1,0)</f>
        <v>1</v>
      </c>
      <c r="DZ22" s="11">
        <f>IF(真實IC!DZ22&gt;真實IC!DZ$26,1,0)</f>
        <v>1</v>
      </c>
      <c r="EA22" s="11">
        <f>IF(真實IC!EA22&gt;真實IC!EA$26,1,0)</f>
        <v>0</v>
      </c>
      <c r="EB22" s="11">
        <f>IF(真實IC!EB22&gt;真實IC!EB$26,1,0)</f>
        <v>1</v>
      </c>
      <c r="EC22" s="11">
        <f>IF(真實IC!EC22&gt;真實IC!EC$26,1,0)</f>
        <v>1</v>
      </c>
      <c r="ED22" s="11">
        <f>IF(真實IC!ED22&gt;真實IC!ED$26,1,0)</f>
        <v>1</v>
      </c>
      <c r="EE22" s="11">
        <f>IF(真實IC!EE22&gt;真實IC!EE$26,1,0)</f>
        <v>1</v>
      </c>
      <c r="EF22" s="11">
        <f>IF(真實IC!EF22&gt;真實IC!EF$26,1,0)</f>
        <v>1</v>
      </c>
      <c r="EG22">
        <f t="shared" si="11"/>
        <v>101</v>
      </c>
      <c r="EH22" s="19">
        <f t="shared" si="10"/>
        <v>0.74626865671641796</v>
      </c>
    </row>
    <row r="23" spans="1:138" x14ac:dyDescent="0.3">
      <c r="A23" s="1">
        <v>482</v>
      </c>
      <c r="B23" s="1">
        <v>2</v>
      </c>
      <c r="C23" s="11">
        <f>IF(真實IC!C23&gt;真實IC!C$26,1,0)</f>
        <v>1</v>
      </c>
      <c r="D23" s="11">
        <f>IF(真實IC!D23&gt;真實IC!D$26,1,0)</f>
        <v>1</v>
      </c>
      <c r="E23" s="11">
        <f>IF(真實IC!E23&gt;真實IC!E$26,1,0)</f>
        <v>1</v>
      </c>
      <c r="F23" s="11">
        <f>IF(真實IC!F23&gt;真實IC!F$26,1,0)</f>
        <v>0</v>
      </c>
      <c r="G23" s="11">
        <f>IF(真實IC!G23&gt;真實IC!G$26,1,0)</f>
        <v>0</v>
      </c>
      <c r="H23" s="11">
        <f>IF(真實IC!H23&gt;真實IC!H$26,1,0)</f>
        <v>0</v>
      </c>
      <c r="I23" s="11">
        <f>IF(真實IC!I23&gt;真實IC!I$26,1,0)</f>
        <v>1</v>
      </c>
      <c r="J23" s="11">
        <f>IF(真實IC!J23&gt;真實IC!J$26,1,0)</f>
        <v>0</v>
      </c>
      <c r="K23" s="11">
        <f>IF(真實IC!K23&gt;真實IC!K$26,1,0)</f>
        <v>1</v>
      </c>
      <c r="L23" s="11">
        <f>IF(真實IC!L23&gt;真實IC!L$26,1,0)</f>
        <v>0</v>
      </c>
      <c r="M23" s="11">
        <f>IF(真實IC!M23&gt;真實IC!M$26,1,0)</f>
        <v>0</v>
      </c>
      <c r="N23" s="11">
        <f>IF(真實IC!N23&gt;真實IC!N$26,1,0)</f>
        <v>1</v>
      </c>
      <c r="O23" s="11">
        <f>IF(真實IC!O23&gt;真實IC!O$26,1,0)</f>
        <v>0</v>
      </c>
      <c r="P23" s="11">
        <f>IF(真實IC!P23&gt;真實IC!P$26,1,0)</f>
        <v>1</v>
      </c>
      <c r="Q23" s="11">
        <f>IF(真實IC!Q23&gt;真實IC!Q$26,1,0)</f>
        <v>0</v>
      </c>
      <c r="R23" s="11">
        <f>IF(真實IC!R23&gt;真實IC!R$26,1,0)</f>
        <v>0</v>
      </c>
      <c r="S23" s="11">
        <f>IF(真實IC!S23&gt;真實IC!S$26,1,0)</f>
        <v>1</v>
      </c>
      <c r="T23" s="11">
        <f>IF(真實IC!T23&gt;真實IC!T$26,1,0)</f>
        <v>1</v>
      </c>
      <c r="U23" s="11">
        <f>IF(真實IC!U23&gt;真實IC!U$26,1,0)</f>
        <v>1</v>
      </c>
      <c r="V23" s="11">
        <f>IF(真實IC!V23&gt;真實IC!V$26,1,0)</f>
        <v>1</v>
      </c>
      <c r="W23" s="11">
        <f>IF(真實IC!W23&gt;真實IC!W$26,1,0)</f>
        <v>1</v>
      </c>
      <c r="X23" s="11">
        <f>IF(真實IC!X23&gt;真實IC!X$26,1,0)</f>
        <v>1</v>
      </c>
      <c r="Y23" s="11">
        <f>IF(真實IC!Y23&gt;真實IC!Y$26,1,0)</f>
        <v>1</v>
      </c>
      <c r="Z23" s="11">
        <f>IF(真實IC!Z23&gt;真實IC!Z$26,1,0)</f>
        <v>1</v>
      </c>
      <c r="AA23" s="11">
        <f>IF(真實IC!AA23&gt;真實IC!AA$26,1,0)</f>
        <v>0</v>
      </c>
      <c r="AB23" s="11">
        <f>IF(真實IC!AB23&gt;真實IC!AB$26,1,0)</f>
        <v>1</v>
      </c>
      <c r="AC23" s="11">
        <f>IF(真實IC!AC23&gt;真實IC!AC$26,1,0)</f>
        <v>1</v>
      </c>
      <c r="AD23" s="11">
        <f>IF(真實IC!AD23&gt;真實IC!AD$26,1,0)</f>
        <v>1</v>
      </c>
      <c r="AE23" s="11">
        <f>IF(真實IC!AE23&gt;真實IC!AE$26,1,0)</f>
        <v>1</v>
      </c>
      <c r="AF23" s="11">
        <f>IF(真實IC!AF23&gt;真實IC!AF$26,1,0)</f>
        <v>1</v>
      </c>
      <c r="AG23" s="11">
        <f>IF(真實IC!AG23&gt;真實IC!AG$26,1,0)</f>
        <v>1</v>
      </c>
      <c r="AH23" s="11">
        <f>IF(真實IC!AH23&gt;真實IC!AH$26,1,0)</f>
        <v>0</v>
      </c>
      <c r="AI23" s="11">
        <f>IF(真實IC!AI23&gt;真實IC!AI$26,1,0)</f>
        <v>1</v>
      </c>
      <c r="AJ23" s="11">
        <f>IF(真實IC!AJ23&gt;真實IC!AJ$26,1,0)</f>
        <v>0</v>
      </c>
      <c r="AK23" s="11">
        <f>IF(真實IC!AK23&gt;真實IC!AK$26,1,0)</f>
        <v>1</v>
      </c>
      <c r="AL23" s="11">
        <f>IF(真實IC!AL23&gt;真實IC!AL$26,1,0)</f>
        <v>0</v>
      </c>
      <c r="AM23" s="11">
        <f>IF(真實IC!AM23&gt;真實IC!AM$26,1,0)</f>
        <v>0</v>
      </c>
      <c r="AN23" s="11">
        <f>IF(真實IC!AN23&gt;真實IC!AN$26,1,0)</f>
        <v>1</v>
      </c>
      <c r="AO23" s="11">
        <f>IF(真實IC!AO23&gt;真實IC!AO$26,1,0)</f>
        <v>1</v>
      </c>
      <c r="AP23" s="11">
        <f>IF(真實IC!AP23&gt;真實IC!AP$26,1,0)</f>
        <v>0</v>
      </c>
      <c r="AQ23" s="11">
        <f>IF(真實IC!AQ23&gt;真實IC!AQ$26,1,0)</f>
        <v>1</v>
      </c>
      <c r="AR23" s="11">
        <f>IF(真實IC!AR23&gt;真實IC!AR$26,1,0)</f>
        <v>1</v>
      </c>
      <c r="AS23" s="11">
        <f>IF(真實IC!AS23&gt;真實IC!AS$26,1,0)</f>
        <v>1</v>
      </c>
      <c r="AT23" s="11">
        <f>IF(真實IC!AT23&gt;真實IC!AT$26,1,0)</f>
        <v>1</v>
      </c>
      <c r="AU23" s="11">
        <f>IF(真實IC!AU23&gt;真實IC!AU$26,1,0)</f>
        <v>1</v>
      </c>
      <c r="AV23" s="11">
        <f>IF(真實IC!AV23&gt;真實IC!AV$26,1,0)</f>
        <v>0</v>
      </c>
      <c r="AW23" s="11">
        <f>IF(真實IC!AW23&gt;真實IC!AW$26,1,0)</f>
        <v>1</v>
      </c>
      <c r="AX23" s="11">
        <f>IF(真實IC!AX23&gt;真實IC!AX$26,1,0)</f>
        <v>0</v>
      </c>
      <c r="AY23" s="11">
        <f>IF(真實IC!AY23&gt;真實IC!AY$26,1,0)</f>
        <v>1</v>
      </c>
      <c r="AZ23" s="11">
        <f>IF(真實IC!AZ23&gt;真實IC!AZ$26,1,0)</f>
        <v>1</v>
      </c>
      <c r="BA23" s="11">
        <f>IF(真實IC!BA23&gt;真實IC!BA$26,1,0)</f>
        <v>1</v>
      </c>
      <c r="BB23" s="11">
        <f>IF(真實IC!BB23&gt;真實IC!BB$26,1,0)</f>
        <v>1</v>
      </c>
      <c r="BC23" s="11">
        <f>IF(真實IC!BC23&gt;真實IC!BC$26,1,0)</f>
        <v>1</v>
      </c>
      <c r="BD23" s="11">
        <f>IF(真實IC!BD23&gt;真實IC!BD$26,1,0)</f>
        <v>1</v>
      </c>
      <c r="BE23" s="11">
        <f>IF(真實IC!BE23&gt;真實IC!BE$26,1,0)</f>
        <v>1</v>
      </c>
      <c r="BF23" s="11">
        <f>IF(真實IC!BF23&gt;真實IC!BF$26,1,0)</f>
        <v>1</v>
      </c>
      <c r="BG23" s="11">
        <f>IF(真實IC!BG23&gt;真實IC!BG$26,1,0)</f>
        <v>1</v>
      </c>
      <c r="BH23" s="11">
        <f>IF(真實IC!BH23&gt;真實IC!BH$26,1,0)</f>
        <v>1</v>
      </c>
      <c r="BI23" s="11">
        <f>IF(真實IC!BI23&gt;真實IC!BI$26,1,0)</f>
        <v>1</v>
      </c>
      <c r="BJ23" s="11">
        <f>IF(真實IC!BJ23&gt;真實IC!BJ$26,1,0)</f>
        <v>1</v>
      </c>
      <c r="BK23" s="11">
        <f>IF(真實IC!BK23&gt;真實IC!BK$26,1,0)</f>
        <v>0</v>
      </c>
      <c r="BL23" s="11">
        <f>IF(真實IC!BL23&gt;真實IC!BL$26,1,0)</f>
        <v>1</v>
      </c>
      <c r="BM23" s="11">
        <f>IF(真實IC!BM23&gt;真實IC!BM$26,1,0)</f>
        <v>0</v>
      </c>
      <c r="BN23" s="11">
        <f>IF(真實IC!BN23&gt;真實IC!BN$26,1,0)</f>
        <v>1</v>
      </c>
      <c r="BO23" s="11">
        <f>IF(真實IC!BO23&gt;真實IC!BO$26,1,0)</f>
        <v>1</v>
      </c>
      <c r="BP23" s="11">
        <f>IF(真實IC!BP23&gt;真實IC!BP$26,1,0)</f>
        <v>0</v>
      </c>
      <c r="BQ23" s="11">
        <f>IF(真實IC!BQ23&gt;真實IC!BQ$26,1,0)</f>
        <v>1</v>
      </c>
      <c r="BR23" s="11">
        <f>IF(真實IC!BR23&gt;真實IC!BR$26,1,0)</f>
        <v>1</v>
      </c>
      <c r="BS23" s="11">
        <f>IF(真實IC!BS23&gt;真實IC!BS$26,1,0)</f>
        <v>0</v>
      </c>
      <c r="BT23" s="11">
        <f>IF(真實IC!BT23&gt;真實IC!BT$26,1,0)</f>
        <v>1</v>
      </c>
      <c r="BU23" s="11">
        <f>IF(真實IC!BU23&gt;真實IC!BU$26,1,0)</f>
        <v>1</v>
      </c>
      <c r="BV23" s="11">
        <f>IF(真實IC!BV23&gt;真實IC!BV$26,1,0)</f>
        <v>0</v>
      </c>
      <c r="BW23" s="11">
        <f>IF(真實IC!BW23&gt;真實IC!BW$26,1,0)</f>
        <v>1</v>
      </c>
      <c r="BX23" s="11">
        <f>IF(真實IC!BX23&gt;真實IC!BX$26,1,0)</f>
        <v>0</v>
      </c>
      <c r="BY23" s="11">
        <f>IF(真實IC!BY23&gt;真實IC!BY$26,1,0)</f>
        <v>1</v>
      </c>
      <c r="BZ23" s="11">
        <f>IF(真實IC!BZ23&gt;真實IC!BZ$26,1,0)</f>
        <v>0</v>
      </c>
      <c r="CA23" s="11">
        <f>IF(真實IC!CA23&gt;真實IC!CA$26,1,0)</f>
        <v>1</v>
      </c>
      <c r="CB23" s="11">
        <f>IF(真實IC!CB23&gt;真實IC!CB$26,1,0)</f>
        <v>1</v>
      </c>
      <c r="CC23" s="11">
        <f>IF(真實IC!CC23&gt;真實IC!CC$26,1,0)</f>
        <v>0</v>
      </c>
      <c r="CD23" s="11">
        <f>IF(真實IC!CD23&gt;真實IC!CD$26,1,0)</f>
        <v>1</v>
      </c>
      <c r="CE23" s="11">
        <f>IF(真實IC!CE23&gt;真實IC!CE$26,1,0)</f>
        <v>1</v>
      </c>
      <c r="CF23" s="11">
        <f>IF(真實IC!CF23&gt;真實IC!CF$26,1,0)</f>
        <v>1</v>
      </c>
      <c r="CG23" s="11">
        <f>IF(真實IC!CG23&gt;真實IC!CG$26,1,0)</f>
        <v>1</v>
      </c>
      <c r="CH23" s="11">
        <f>IF(真實IC!CH23&gt;真實IC!CH$26,1,0)</f>
        <v>1</v>
      </c>
      <c r="CI23" s="11">
        <f>IF(真實IC!CI23&gt;真實IC!CI$26,1,0)</f>
        <v>1</v>
      </c>
      <c r="CJ23" s="11">
        <f>IF(真實IC!CJ23&gt;真實IC!CJ$26,1,0)</f>
        <v>0</v>
      </c>
      <c r="CK23" s="11">
        <f>IF(真實IC!CK23&gt;真實IC!CK$26,1,0)</f>
        <v>1</v>
      </c>
      <c r="CL23" s="11">
        <f>IF(真實IC!CL23&gt;真實IC!CL$26,1,0)</f>
        <v>0</v>
      </c>
      <c r="CM23" s="11">
        <f>IF(真實IC!CM23&gt;真實IC!CM$26,1,0)</f>
        <v>1</v>
      </c>
      <c r="CN23" s="11">
        <f>IF(真實IC!CN23&gt;真實IC!CN$26,1,0)</f>
        <v>1</v>
      </c>
      <c r="CO23" s="11">
        <f>IF(真實IC!CO23&gt;真實IC!CO$26,1,0)</f>
        <v>1</v>
      </c>
      <c r="CP23" s="11">
        <f>IF(真實IC!CP23&gt;真實IC!CP$26,1,0)</f>
        <v>1</v>
      </c>
      <c r="CQ23" s="11">
        <f>IF(真實IC!CQ23&gt;真實IC!CQ$26,1,0)</f>
        <v>1</v>
      </c>
      <c r="CR23" s="11">
        <f>IF(真實IC!CR23&gt;真實IC!CR$26,1,0)</f>
        <v>1</v>
      </c>
      <c r="CS23" s="11">
        <f>IF(真實IC!CS23&gt;真實IC!CS$26,1,0)</f>
        <v>1</v>
      </c>
      <c r="CT23" s="11">
        <f>IF(真實IC!CT23&gt;真實IC!CT$26,1,0)</f>
        <v>1</v>
      </c>
      <c r="CU23" s="11">
        <f>IF(真實IC!CU23&gt;真實IC!CU$26,1,0)</f>
        <v>1</v>
      </c>
      <c r="CV23" s="11">
        <f>IF(真實IC!CV23&gt;真實IC!CV$26,1,0)</f>
        <v>1</v>
      </c>
      <c r="CW23" s="11">
        <f>IF(真實IC!CW23&gt;真實IC!CW$26,1,0)</f>
        <v>0</v>
      </c>
      <c r="CX23" s="11">
        <f>IF(真實IC!CX23&gt;真實IC!CX$26,1,0)</f>
        <v>0</v>
      </c>
      <c r="CY23" s="11">
        <f>IF(真實IC!CY23&gt;真實IC!CY$26,1,0)</f>
        <v>1</v>
      </c>
      <c r="CZ23" s="11">
        <f>IF(真實IC!CZ23&gt;真實IC!CZ$26,1,0)</f>
        <v>1</v>
      </c>
      <c r="DA23" s="11">
        <f>IF(真實IC!DA23&gt;真實IC!DA$26,1,0)</f>
        <v>1</v>
      </c>
      <c r="DB23" s="11">
        <f>IF(真實IC!DB23&gt;真實IC!DB$26,1,0)</f>
        <v>1</v>
      </c>
      <c r="DC23" s="11">
        <f>IF(真實IC!DC23&gt;真實IC!DC$26,1,0)</f>
        <v>1</v>
      </c>
      <c r="DD23" s="11">
        <f>IF(真實IC!DD23&gt;真實IC!DD$26,1,0)</f>
        <v>1</v>
      </c>
      <c r="DE23" s="11">
        <f>IF(真實IC!DE23&gt;真實IC!DE$26,1,0)</f>
        <v>0</v>
      </c>
      <c r="DF23" s="11">
        <f>IF(真實IC!DF23&gt;真實IC!DF$26,1,0)</f>
        <v>1</v>
      </c>
      <c r="DG23" s="11">
        <f>IF(真實IC!DG23&gt;真實IC!DG$26,1,0)</f>
        <v>0</v>
      </c>
      <c r="DH23" s="11">
        <f>IF(真實IC!DH23&gt;真實IC!DH$26,1,0)</f>
        <v>1</v>
      </c>
      <c r="DI23" s="11">
        <f>IF(真實IC!DI23&gt;真實IC!DI$26,1,0)</f>
        <v>1</v>
      </c>
      <c r="DJ23" s="11">
        <f>IF(真實IC!DJ23&gt;真實IC!DJ$26,1,0)</f>
        <v>1</v>
      </c>
      <c r="DK23" s="11">
        <f>IF(真實IC!DK23&gt;真實IC!DK$26,1,0)</f>
        <v>1</v>
      </c>
      <c r="DL23" s="11">
        <f>IF(真實IC!DL23&gt;真實IC!DL$26,1,0)</f>
        <v>1</v>
      </c>
      <c r="DM23" s="11">
        <f>IF(真實IC!DM23&gt;真實IC!DM$26,1,0)</f>
        <v>0</v>
      </c>
      <c r="DN23" s="11">
        <f>IF(真實IC!DN23&gt;真實IC!DN$26,1,0)</f>
        <v>1</v>
      </c>
      <c r="DO23" s="11">
        <f>IF(真實IC!DO23&gt;真實IC!DO$26,1,0)</f>
        <v>1</v>
      </c>
      <c r="DP23" s="11">
        <f>IF(真實IC!DP23&gt;真實IC!DP$26,1,0)</f>
        <v>1</v>
      </c>
      <c r="DQ23" s="11">
        <f>IF(真實IC!DQ23&gt;真實IC!DQ$26,1,0)</f>
        <v>1</v>
      </c>
      <c r="DR23" s="11">
        <f>IF(真實IC!DR23&gt;真實IC!DR$26,1,0)</f>
        <v>0</v>
      </c>
      <c r="DS23" s="11">
        <f>IF(真實IC!DS23&gt;真實IC!DS$26,1,0)</f>
        <v>0</v>
      </c>
      <c r="DT23" s="11">
        <f>IF(真實IC!DT23&gt;真實IC!DT$26,1,0)</f>
        <v>0</v>
      </c>
      <c r="DU23" s="11">
        <f>IF(真實IC!DU23&gt;真實IC!DU$26,1,0)</f>
        <v>0</v>
      </c>
      <c r="DV23" s="11">
        <f>IF(真實IC!DV23&gt;真實IC!DV$26,1,0)</f>
        <v>1</v>
      </c>
      <c r="DW23" s="11">
        <f>IF(真實IC!DW23&gt;真實IC!DW$26,1,0)</f>
        <v>0</v>
      </c>
      <c r="DX23" s="11">
        <f>IF(真實IC!DX23&gt;真實IC!DX$26,1,0)</f>
        <v>1</v>
      </c>
      <c r="DY23" s="11">
        <f>IF(真實IC!DY23&gt;真實IC!DY$26,1,0)</f>
        <v>0</v>
      </c>
      <c r="DZ23" s="11">
        <f>IF(真實IC!DZ23&gt;真實IC!DZ$26,1,0)</f>
        <v>0</v>
      </c>
      <c r="EA23" s="11">
        <f>IF(真實IC!EA23&gt;真實IC!EA$26,1,0)</f>
        <v>0</v>
      </c>
      <c r="EB23" s="11">
        <f>IF(真實IC!EB23&gt;真實IC!EB$26,1,0)</f>
        <v>1</v>
      </c>
      <c r="EC23" s="11">
        <f>IF(真實IC!EC23&gt;真實IC!EC$26,1,0)</f>
        <v>0</v>
      </c>
      <c r="ED23" s="11">
        <f>IF(真實IC!ED23&gt;真實IC!ED$26,1,0)</f>
        <v>1</v>
      </c>
      <c r="EE23" s="11">
        <f>IF(真實IC!EE23&gt;真實IC!EE$26,1,0)</f>
        <v>1</v>
      </c>
      <c r="EF23" s="11">
        <f>IF(真實IC!EF23&gt;真實IC!EF$26,1,0)</f>
        <v>1</v>
      </c>
      <c r="EG23">
        <f t="shared" si="11"/>
        <v>93</v>
      </c>
      <c r="EH23" s="19">
        <f t="shared" si="10"/>
        <v>0.68656716417910446</v>
      </c>
    </row>
    <row r="24" spans="1:138" x14ac:dyDescent="0.3">
      <c r="A24" s="1">
        <v>964</v>
      </c>
      <c r="B24" s="1">
        <v>1</v>
      </c>
      <c r="C24" s="11">
        <f>IF(真實IC!C24&gt;真實IC!C$26,1,0)</f>
        <v>1</v>
      </c>
      <c r="D24" s="11">
        <f>IF(真實IC!D24&gt;真實IC!D$26,1,0)</f>
        <v>1</v>
      </c>
      <c r="E24" s="11">
        <f>IF(真實IC!E24&gt;真實IC!E$26,1,0)</f>
        <v>1</v>
      </c>
      <c r="F24" s="11">
        <f>IF(真實IC!F24&gt;真實IC!F$26,1,0)</f>
        <v>0</v>
      </c>
      <c r="G24" s="11">
        <f>IF(真實IC!G24&gt;真實IC!G$26,1,0)</f>
        <v>0</v>
      </c>
      <c r="H24" s="11">
        <f>IF(真實IC!H24&gt;真實IC!H$26,1,0)</f>
        <v>1</v>
      </c>
      <c r="I24" s="11">
        <f>IF(真實IC!I24&gt;真實IC!I$26,1,0)</f>
        <v>1</v>
      </c>
      <c r="J24" s="11">
        <f>IF(真實IC!J24&gt;真實IC!J$26,1,0)</f>
        <v>0</v>
      </c>
      <c r="K24" s="11">
        <f>IF(真實IC!K24&gt;真實IC!K$26,1,0)</f>
        <v>1</v>
      </c>
      <c r="L24" s="11">
        <f>IF(真實IC!L24&gt;真實IC!L$26,1,0)</f>
        <v>0</v>
      </c>
      <c r="M24" s="11">
        <f>IF(真實IC!M24&gt;真實IC!M$26,1,0)</f>
        <v>0</v>
      </c>
      <c r="N24" s="11">
        <f>IF(真實IC!N24&gt;真實IC!N$26,1,0)</f>
        <v>1</v>
      </c>
      <c r="O24" s="11">
        <f>IF(真實IC!O24&gt;真實IC!O$26,1,0)</f>
        <v>1</v>
      </c>
      <c r="P24" s="11">
        <f>IF(真實IC!P24&gt;真實IC!P$26,1,0)</f>
        <v>1</v>
      </c>
      <c r="Q24" s="11">
        <f>IF(真實IC!Q24&gt;真實IC!Q$26,1,0)</f>
        <v>0</v>
      </c>
      <c r="R24" s="11">
        <f>IF(真實IC!R24&gt;真實IC!R$26,1,0)</f>
        <v>0</v>
      </c>
      <c r="S24" s="11">
        <f>IF(真實IC!S24&gt;真實IC!S$26,1,0)</f>
        <v>1</v>
      </c>
      <c r="T24" s="11">
        <f>IF(真實IC!T24&gt;真實IC!T$26,1,0)</f>
        <v>0</v>
      </c>
      <c r="U24" s="11">
        <f>IF(真實IC!U24&gt;真實IC!U$26,1,0)</f>
        <v>1</v>
      </c>
      <c r="V24" s="11">
        <f>IF(真實IC!V24&gt;真實IC!V$26,1,0)</f>
        <v>0</v>
      </c>
      <c r="W24" s="11">
        <f>IF(真實IC!W24&gt;真實IC!W$26,1,0)</f>
        <v>0</v>
      </c>
      <c r="X24" s="11">
        <f>IF(真實IC!X24&gt;真實IC!X$26,1,0)</f>
        <v>0</v>
      </c>
      <c r="Y24" s="11">
        <f>IF(真實IC!Y24&gt;真實IC!Y$26,1,0)</f>
        <v>1</v>
      </c>
      <c r="Z24" s="11">
        <f>IF(真實IC!Z24&gt;真實IC!Z$26,1,0)</f>
        <v>1</v>
      </c>
      <c r="AA24" s="11">
        <f>IF(真實IC!AA24&gt;真實IC!AA$26,1,0)</f>
        <v>1</v>
      </c>
      <c r="AB24" s="11">
        <f>IF(真實IC!AB24&gt;真實IC!AB$26,1,0)</f>
        <v>1</v>
      </c>
      <c r="AC24" s="11">
        <f>IF(真實IC!AC24&gt;真實IC!AC$26,1,0)</f>
        <v>1</v>
      </c>
      <c r="AD24" s="11">
        <f>IF(真實IC!AD24&gt;真實IC!AD$26,1,0)</f>
        <v>1</v>
      </c>
      <c r="AE24" s="11">
        <f>IF(真實IC!AE24&gt;真實IC!AE$26,1,0)</f>
        <v>1</v>
      </c>
      <c r="AF24" s="11">
        <f>IF(真實IC!AF24&gt;真實IC!AF$26,1,0)</f>
        <v>1</v>
      </c>
      <c r="AG24" s="11">
        <f>IF(真實IC!AG24&gt;真實IC!AG$26,1,0)</f>
        <v>1</v>
      </c>
      <c r="AH24" s="11">
        <f>IF(真實IC!AH24&gt;真實IC!AH$26,1,0)</f>
        <v>0</v>
      </c>
      <c r="AI24" s="11">
        <f>IF(真實IC!AI24&gt;真實IC!AI$26,1,0)</f>
        <v>1</v>
      </c>
      <c r="AJ24" s="11">
        <f>IF(真實IC!AJ24&gt;真實IC!AJ$26,1,0)</f>
        <v>0</v>
      </c>
      <c r="AK24" s="11">
        <f>IF(真實IC!AK24&gt;真實IC!AK$26,1,0)</f>
        <v>1</v>
      </c>
      <c r="AL24" s="11">
        <f>IF(真實IC!AL24&gt;真實IC!AL$26,1,0)</f>
        <v>1</v>
      </c>
      <c r="AM24" s="11">
        <f>IF(真實IC!AM24&gt;真實IC!AM$26,1,0)</f>
        <v>0</v>
      </c>
      <c r="AN24" s="11">
        <f>IF(真實IC!AN24&gt;真實IC!AN$26,1,0)</f>
        <v>1</v>
      </c>
      <c r="AO24" s="11">
        <f>IF(真實IC!AO24&gt;真實IC!AO$26,1,0)</f>
        <v>1</v>
      </c>
      <c r="AP24" s="11">
        <f>IF(真實IC!AP24&gt;真實IC!AP$26,1,0)</f>
        <v>1</v>
      </c>
      <c r="AQ24" s="11">
        <f>IF(真實IC!AQ24&gt;真實IC!AQ$26,1,0)</f>
        <v>1</v>
      </c>
      <c r="AR24" s="11">
        <f>IF(真實IC!AR24&gt;真實IC!AR$26,1,0)</f>
        <v>1</v>
      </c>
      <c r="AS24" s="11">
        <f>IF(真實IC!AS24&gt;真實IC!AS$26,1,0)</f>
        <v>1</v>
      </c>
      <c r="AT24" s="11">
        <f>IF(真實IC!AT24&gt;真實IC!AT$26,1,0)</f>
        <v>1</v>
      </c>
      <c r="AU24" s="11">
        <f>IF(真實IC!AU24&gt;真實IC!AU$26,1,0)</f>
        <v>1</v>
      </c>
      <c r="AV24" s="11">
        <f>IF(真實IC!AV24&gt;真實IC!AV$26,1,0)</f>
        <v>1</v>
      </c>
      <c r="AW24" s="11">
        <f>IF(真實IC!AW24&gt;真實IC!AW$26,1,0)</f>
        <v>0</v>
      </c>
      <c r="AX24" s="11">
        <f>IF(真實IC!AX24&gt;真實IC!AX$26,1,0)</f>
        <v>1</v>
      </c>
      <c r="AY24" s="11">
        <f>IF(真實IC!AY24&gt;真實IC!AY$26,1,0)</f>
        <v>1</v>
      </c>
      <c r="AZ24" s="11">
        <f>IF(真實IC!AZ24&gt;真實IC!AZ$26,1,0)</f>
        <v>1</v>
      </c>
      <c r="BA24" s="11">
        <f>IF(真實IC!BA24&gt;真實IC!BA$26,1,0)</f>
        <v>1</v>
      </c>
      <c r="BB24" s="11">
        <f>IF(真實IC!BB24&gt;真實IC!BB$26,1,0)</f>
        <v>1</v>
      </c>
      <c r="BC24" s="11">
        <f>IF(真實IC!BC24&gt;真實IC!BC$26,1,0)</f>
        <v>0</v>
      </c>
      <c r="BD24" s="11">
        <f>IF(真實IC!BD24&gt;真實IC!BD$26,1,0)</f>
        <v>1</v>
      </c>
      <c r="BE24" s="11">
        <f>IF(真實IC!BE24&gt;真實IC!BE$26,1,0)</f>
        <v>0</v>
      </c>
      <c r="BF24" s="11">
        <f>IF(真實IC!BF24&gt;真實IC!BF$26,1,0)</f>
        <v>0</v>
      </c>
      <c r="BG24" s="11">
        <f>IF(真實IC!BG24&gt;真實IC!BG$26,1,0)</f>
        <v>0</v>
      </c>
      <c r="BH24" s="11">
        <f>IF(真實IC!BH24&gt;真實IC!BH$26,1,0)</f>
        <v>1</v>
      </c>
      <c r="BI24" s="11">
        <f>IF(真實IC!BI24&gt;真實IC!BI$26,1,0)</f>
        <v>1</v>
      </c>
      <c r="BJ24" s="11">
        <f>IF(真實IC!BJ24&gt;真實IC!BJ$26,1,0)</f>
        <v>1</v>
      </c>
      <c r="BK24" s="11">
        <f>IF(真實IC!BK24&gt;真實IC!BK$26,1,0)</f>
        <v>0</v>
      </c>
      <c r="BL24" s="11">
        <f>IF(真實IC!BL24&gt;真實IC!BL$26,1,0)</f>
        <v>1</v>
      </c>
      <c r="BM24" s="11">
        <f>IF(真實IC!BM24&gt;真實IC!BM$26,1,0)</f>
        <v>1</v>
      </c>
      <c r="BN24" s="11">
        <f>IF(真實IC!BN24&gt;真實IC!BN$26,1,0)</f>
        <v>1</v>
      </c>
      <c r="BO24" s="11">
        <f>IF(真實IC!BO24&gt;真實IC!BO$26,1,0)</f>
        <v>0</v>
      </c>
      <c r="BP24" s="11">
        <f>IF(真實IC!BP24&gt;真實IC!BP$26,1,0)</f>
        <v>1</v>
      </c>
      <c r="BQ24" s="11">
        <f>IF(真實IC!BQ24&gt;真實IC!BQ$26,1,0)</f>
        <v>0</v>
      </c>
      <c r="BR24" s="11">
        <f>IF(真實IC!BR24&gt;真實IC!BR$26,1,0)</f>
        <v>1</v>
      </c>
      <c r="BS24" s="11">
        <f>IF(真實IC!BS24&gt;真實IC!BS$26,1,0)</f>
        <v>0</v>
      </c>
      <c r="BT24" s="11">
        <f>IF(真實IC!BT24&gt;真實IC!BT$26,1,0)</f>
        <v>1</v>
      </c>
      <c r="BU24" s="11">
        <f>IF(真實IC!BU24&gt;真實IC!BU$26,1,0)</f>
        <v>0</v>
      </c>
      <c r="BV24" s="11">
        <f>IF(真實IC!BV24&gt;真實IC!BV$26,1,0)</f>
        <v>0</v>
      </c>
      <c r="BW24" s="11">
        <f>IF(真實IC!BW24&gt;真實IC!BW$26,1,0)</f>
        <v>1</v>
      </c>
      <c r="BX24" s="11">
        <f>IF(真實IC!BX24&gt;真實IC!BX$26,1,0)</f>
        <v>0</v>
      </c>
      <c r="BY24" s="11">
        <f>IF(真實IC!BY24&gt;真實IC!BY$26,1,0)</f>
        <v>1</v>
      </c>
      <c r="BZ24" s="11">
        <f>IF(真實IC!BZ24&gt;真實IC!BZ$26,1,0)</f>
        <v>1</v>
      </c>
      <c r="CA24" s="11">
        <f>IF(真實IC!CA24&gt;真實IC!CA$26,1,0)</f>
        <v>1</v>
      </c>
      <c r="CB24" s="11">
        <f>IF(真實IC!CB24&gt;真實IC!CB$26,1,0)</f>
        <v>1</v>
      </c>
      <c r="CC24" s="11">
        <f>IF(真實IC!CC24&gt;真實IC!CC$26,1,0)</f>
        <v>0</v>
      </c>
      <c r="CD24" s="11">
        <f>IF(真實IC!CD24&gt;真實IC!CD$26,1,0)</f>
        <v>1</v>
      </c>
      <c r="CE24" s="11">
        <f>IF(真實IC!CE24&gt;真實IC!CE$26,1,0)</f>
        <v>1</v>
      </c>
      <c r="CF24" s="11">
        <f>IF(真實IC!CF24&gt;真實IC!CF$26,1,0)</f>
        <v>1</v>
      </c>
      <c r="CG24" s="11">
        <f>IF(真實IC!CG24&gt;真實IC!CG$26,1,0)</f>
        <v>1</v>
      </c>
      <c r="CH24" s="11">
        <f>IF(真實IC!CH24&gt;真實IC!CH$26,1,0)</f>
        <v>1</v>
      </c>
      <c r="CI24" s="11">
        <f>IF(真實IC!CI24&gt;真實IC!CI$26,1,0)</f>
        <v>0</v>
      </c>
      <c r="CJ24" s="11">
        <f>IF(真實IC!CJ24&gt;真實IC!CJ$26,1,0)</f>
        <v>0</v>
      </c>
      <c r="CK24" s="11">
        <f>IF(真實IC!CK24&gt;真實IC!CK$26,1,0)</f>
        <v>1</v>
      </c>
      <c r="CL24" s="11">
        <f>IF(真實IC!CL24&gt;真實IC!CL$26,1,0)</f>
        <v>1</v>
      </c>
      <c r="CM24" s="11">
        <f>IF(真實IC!CM24&gt;真實IC!CM$26,1,0)</f>
        <v>1</v>
      </c>
      <c r="CN24" s="11">
        <f>IF(真實IC!CN24&gt;真實IC!CN$26,1,0)</f>
        <v>1</v>
      </c>
      <c r="CO24" s="11">
        <f>IF(真實IC!CO24&gt;真實IC!CO$26,1,0)</f>
        <v>1</v>
      </c>
      <c r="CP24" s="11">
        <f>IF(真實IC!CP24&gt;真實IC!CP$26,1,0)</f>
        <v>1</v>
      </c>
      <c r="CQ24" s="11">
        <f>IF(真實IC!CQ24&gt;真實IC!CQ$26,1,0)</f>
        <v>0</v>
      </c>
      <c r="CR24" s="11">
        <f>IF(真實IC!CR24&gt;真實IC!CR$26,1,0)</f>
        <v>1</v>
      </c>
      <c r="CS24" s="11">
        <f>IF(真實IC!CS24&gt;真實IC!CS$26,1,0)</f>
        <v>1</v>
      </c>
      <c r="CT24" s="11">
        <f>IF(真實IC!CT24&gt;真實IC!CT$26,1,0)</f>
        <v>0</v>
      </c>
      <c r="CU24" s="11">
        <f>IF(真實IC!CU24&gt;真實IC!CU$26,1,0)</f>
        <v>1</v>
      </c>
      <c r="CV24" s="11">
        <f>IF(真實IC!CV24&gt;真實IC!CV$26,1,0)</f>
        <v>1</v>
      </c>
      <c r="CW24" s="11">
        <f>IF(真實IC!CW24&gt;真實IC!CW$26,1,0)</f>
        <v>0</v>
      </c>
      <c r="CX24" s="11">
        <f>IF(真實IC!CX24&gt;真實IC!CX$26,1,0)</f>
        <v>1</v>
      </c>
      <c r="CY24" s="11">
        <f>IF(真實IC!CY24&gt;真實IC!CY$26,1,0)</f>
        <v>1</v>
      </c>
      <c r="CZ24" s="11">
        <f>IF(真實IC!CZ24&gt;真實IC!CZ$26,1,0)</f>
        <v>1</v>
      </c>
      <c r="DA24" s="11">
        <f>IF(真實IC!DA24&gt;真實IC!DA$26,1,0)</f>
        <v>1</v>
      </c>
      <c r="DB24" s="11">
        <f>IF(真實IC!DB24&gt;真實IC!DB$26,1,0)</f>
        <v>0</v>
      </c>
      <c r="DC24" s="11">
        <f>IF(真實IC!DC24&gt;真實IC!DC$26,1,0)</f>
        <v>1</v>
      </c>
      <c r="DD24" s="11">
        <f>IF(真實IC!DD24&gt;真實IC!DD$26,1,0)</f>
        <v>0</v>
      </c>
      <c r="DE24" s="11">
        <f>IF(真實IC!DE24&gt;真實IC!DE$26,1,0)</f>
        <v>0</v>
      </c>
      <c r="DF24" s="11">
        <f>IF(真實IC!DF24&gt;真實IC!DF$26,1,0)</f>
        <v>1</v>
      </c>
      <c r="DG24" s="11">
        <f>IF(真實IC!DG24&gt;真實IC!DG$26,1,0)</f>
        <v>1</v>
      </c>
      <c r="DH24" s="11">
        <f>IF(真實IC!DH24&gt;真實IC!DH$26,1,0)</f>
        <v>1</v>
      </c>
      <c r="DI24" s="11">
        <f>IF(真實IC!DI24&gt;真實IC!DI$26,1,0)</f>
        <v>1</v>
      </c>
      <c r="DJ24" s="11">
        <f>IF(真實IC!DJ24&gt;真實IC!DJ$26,1,0)</f>
        <v>1</v>
      </c>
      <c r="DK24" s="11">
        <f>IF(真實IC!DK24&gt;真實IC!DK$26,1,0)</f>
        <v>1</v>
      </c>
      <c r="DL24" s="11">
        <f>IF(真實IC!DL24&gt;真實IC!DL$26,1,0)</f>
        <v>1</v>
      </c>
      <c r="DM24" s="11">
        <f>IF(真實IC!DM24&gt;真實IC!DM$26,1,0)</f>
        <v>0</v>
      </c>
      <c r="DN24" s="11">
        <f>IF(真實IC!DN24&gt;真實IC!DN$26,1,0)</f>
        <v>1</v>
      </c>
      <c r="DO24" s="11">
        <f>IF(真實IC!DO24&gt;真實IC!DO$26,1,0)</f>
        <v>1</v>
      </c>
      <c r="DP24" s="11">
        <f>IF(真實IC!DP24&gt;真實IC!DP$26,1,0)</f>
        <v>1</v>
      </c>
      <c r="DQ24" s="11">
        <f>IF(真實IC!DQ24&gt;真實IC!DQ$26,1,0)</f>
        <v>1</v>
      </c>
      <c r="DR24" s="11">
        <f>IF(真實IC!DR24&gt;真實IC!DR$26,1,0)</f>
        <v>0</v>
      </c>
      <c r="DS24" s="11">
        <f>IF(真實IC!DS24&gt;真實IC!DS$26,1,0)</f>
        <v>0</v>
      </c>
      <c r="DT24" s="11">
        <f>IF(真實IC!DT24&gt;真實IC!DT$26,1,0)</f>
        <v>0</v>
      </c>
      <c r="DU24" s="11">
        <f>IF(真實IC!DU24&gt;真實IC!DU$26,1,0)</f>
        <v>0</v>
      </c>
      <c r="DV24" s="11">
        <f>IF(真實IC!DV24&gt;真實IC!DV$26,1,0)</f>
        <v>1</v>
      </c>
      <c r="DW24" s="11">
        <f>IF(真實IC!DW24&gt;真實IC!DW$26,1,0)</f>
        <v>1</v>
      </c>
      <c r="DX24" s="11">
        <f>IF(真實IC!DX24&gt;真實IC!DX$26,1,0)</f>
        <v>1</v>
      </c>
      <c r="DY24" s="11">
        <f>IF(真實IC!DY24&gt;真實IC!DY$26,1,0)</f>
        <v>1</v>
      </c>
      <c r="DZ24" s="11">
        <f>IF(真實IC!DZ24&gt;真實IC!DZ$26,1,0)</f>
        <v>0</v>
      </c>
      <c r="EA24" s="11">
        <f>IF(真實IC!EA24&gt;真實IC!EA$26,1,0)</f>
        <v>0</v>
      </c>
      <c r="EB24" s="11">
        <f>IF(真實IC!EB24&gt;真實IC!EB$26,1,0)</f>
        <v>1</v>
      </c>
      <c r="EC24" s="11">
        <f>IF(真實IC!EC24&gt;真實IC!EC$26,1,0)</f>
        <v>1</v>
      </c>
      <c r="ED24" s="11">
        <f>IF(真實IC!ED24&gt;真實IC!ED$26,1,0)</f>
        <v>1</v>
      </c>
      <c r="EE24" s="11">
        <f>IF(真實IC!EE24&gt;真實IC!EE$26,1,0)</f>
        <v>1</v>
      </c>
      <c r="EF24" s="11">
        <f>IF(真實IC!EF24&gt;真實IC!EF$26,1,0)</f>
        <v>1</v>
      </c>
      <c r="EG24">
        <f t="shared" si="11"/>
        <v>92</v>
      </c>
      <c r="EH24" s="19">
        <f t="shared" si="10"/>
        <v>0.67910447761194026</v>
      </c>
    </row>
    <row r="26" spans="1:138" x14ac:dyDescent="0.3">
      <c r="A26" t="s">
        <v>147</v>
      </c>
      <c r="B26" t="s">
        <v>148</v>
      </c>
      <c r="C26" s="18">
        <v>-1.7399999999999999E-2</v>
      </c>
      <c r="D26" s="18">
        <v>2.07E-2</v>
      </c>
      <c r="E26" s="18">
        <v>2.4E-2</v>
      </c>
      <c r="F26" s="18">
        <v>-6.6E-3</v>
      </c>
      <c r="G26" s="18">
        <v>3.1800000000000002E-2</v>
      </c>
      <c r="H26" s="18">
        <v>3.4299999999999997E-2</v>
      </c>
      <c r="I26" s="18">
        <v>-8.3000000000000001E-3</v>
      </c>
      <c r="J26" s="18">
        <v>1.2800000000000001E-2</v>
      </c>
      <c r="K26" s="18">
        <v>-5.0999999999999997E-2</v>
      </c>
      <c r="L26" s="18">
        <v>8.9999999999999998E-4</v>
      </c>
      <c r="M26" s="18">
        <v>2.3400000000000001E-2</v>
      </c>
      <c r="N26" s="18">
        <v>1.2999999999999999E-2</v>
      </c>
      <c r="O26" s="18">
        <v>5.8999999999999999E-3</v>
      </c>
      <c r="P26" s="18">
        <v>2.7400000000000001E-2</v>
      </c>
      <c r="Q26" s="18">
        <v>-3.7000000000000002E-3</v>
      </c>
      <c r="R26" s="18">
        <v>2.41E-2</v>
      </c>
      <c r="S26" s="18">
        <v>-1.2200000000000001E-2</v>
      </c>
      <c r="T26" s="18">
        <v>-3.9699999999999999E-2</v>
      </c>
      <c r="U26" s="18">
        <v>-7.3200000000000001E-2</v>
      </c>
      <c r="V26" s="18">
        <v>-5.8299999999999998E-2</v>
      </c>
      <c r="W26" s="18">
        <v>8.0000000000000004E-4</v>
      </c>
      <c r="X26" s="18">
        <v>4.4600000000000001E-2</v>
      </c>
      <c r="Y26" s="18">
        <v>-2.7699999999999999E-2</v>
      </c>
      <c r="Z26" s="18">
        <v>2.0999999999999999E-3</v>
      </c>
      <c r="AA26" s="18">
        <v>-2.3400000000000001E-2</v>
      </c>
      <c r="AB26" s="18">
        <v>3.2099999999999997E-2</v>
      </c>
      <c r="AC26" s="18">
        <v>3.8899999999999997E-2</v>
      </c>
      <c r="AD26" s="18">
        <v>-4.2900000000000001E-2</v>
      </c>
      <c r="AE26" s="18">
        <v>1.8599999999999998E-2</v>
      </c>
      <c r="AF26" s="18">
        <v>1.52E-2</v>
      </c>
      <c r="AG26" s="18">
        <v>3.5999999999999997E-2</v>
      </c>
      <c r="AH26" s="18">
        <v>9.4000000000000004E-3</v>
      </c>
      <c r="AI26" s="18">
        <v>1.0699999999999999E-2</v>
      </c>
      <c r="AJ26" s="18">
        <v>1.34E-2</v>
      </c>
      <c r="AK26" s="18">
        <v>-5.3E-3</v>
      </c>
      <c r="AL26" s="18">
        <v>1.4E-3</v>
      </c>
      <c r="AM26" s="18">
        <v>2.0799999999999999E-2</v>
      </c>
      <c r="AN26" s="18">
        <v>3.15E-2</v>
      </c>
      <c r="AO26" s="18">
        <v>6.1999999999999998E-3</v>
      </c>
      <c r="AP26" s="18">
        <v>6.1000000000000004E-3</v>
      </c>
      <c r="AQ26" s="18">
        <v>1.6899999999999998E-2</v>
      </c>
      <c r="AR26" s="18">
        <v>3.4700000000000002E-2</v>
      </c>
      <c r="AS26" s="18">
        <v>3.0999999999999999E-3</v>
      </c>
      <c r="AT26" s="18">
        <v>1.5100000000000001E-2</v>
      </c>
      <c r="AU26" s="18">
        <v>-1.9300000000000001E-2</v>
      </c>
      <c r="AV26" s="18">
        <v>3.8699999999999998E-2</v>
      </c>
      <c r="AW26" s="18">
        <v>-2.1899999999999999E-2</v>
      </c>
      <c r="AX26" s="18">
        <v>7.7999999999999996E-3</v>
      </c>
      <c r="AY26" s="18">
        <v>4.24E-2</v>
      </c>
      <c r="AZ26" s="18">
        <v>-2.63E-2</v>
      </c>
      <c r="BA26" s="18">
        <v>9.5999999999999992E-3</v>
      </c>
      <c r="BB26" s="18">
        <v>-2.4199999999999999E-2</v>
      </c>
      <c r="BC26" s="18">
        <v>2.0199999999999999E-2</v>
      </c>
      <c r="BD26" s="18">
        <v>-3.5000000000000001E-3</v>
      </c>
      <c r="BE26" s="18">
        <v>2.0199999999999999E-2</v>
      </c>
      <c r="BF26" s="18">
        <v>5.9999999999999995E-4</v>
      </c>
      <c r="BG26" s="18">
        <v>-5.1999999999999998E-3</v>
      </c>
      <c r="BH26" s="18">
        <v>-0.1159</v>
      </c>
      <c r="BI26" s="18">
        <v>8.6999999999999994E-3</v>
      </c>
      <c r="BJ26" s="18">
        <v>-1.6400000000000001E-2</v>
      </c>
      <c r="BK26" s="18">
        <v>2.0799999999999999E-2</v>
      </c>
      <c r="BL26" s="18">
        <v>4.4999999999999998E-2</v>
      </c>
      <c r="BM26" s="18">
        <v>2.4E-2</v>
      </c>
      <c r="BN26" s="18">
        <v>3.0200000000000001E-2</v>
      </c>
      <c r="BO26" s="18">
        <v>-4.3700000000000003E-2</v>
      </c>
      <c r="BP26" s="18">
        <v>2.1899999999999999E-2</v>
      </c>
      <c r="BQ26" s="18">
        <v>8.6E-3</v>
      </c>
      <c r="BR26" s="18">
        <v>-1.9199999999999998E-2</v>
      </c>
      <c r="BS26" s="18">
        <v>1.9699999999999999E-2</v>
      </c>
      <c r="BT26" s="18">
        <v>4.7699999999999999E-2</v>
      </c>
      <c r="BU26" s="18">
        <v>1.15E-2</v>
      </c>
      <c r="BV26" s="18">
        <v>4.3200000000000002E-2</v>
      </c>
      <c r="BW26" s="18">
        <v>-4.2700000000000002E-2</v>
      </c>
      <c r="BX26" s="18">
        <v>-1.78E-2</v>
      </c>
      <c r="BY26" s="18">
        <v>-0.1512</v>
      </c>
      <c r="BZ26" s="18">
        <v>0.1242</v>
      </c>
      <c r="CA26" s="18">
        <v>-4.5999999999999999E-3</v>
      </c>
      <c r="CB26" s="18">
        <v>6.0199999999999997E-2</v>
      </c>
      <c r="CC26" s="18">
        <v>8.5999999999999993E-2</v>
      </c>
      <c r="CD26" s="18">
        <v>-5.7999999999999996E-3</v>
      </c>
      <c r="CE26" s="18">
        <v>-6.0000000000000001E-3</v>
      </c>
      <c r="CF26" s="18">
        <v>2.5000000000000001E-3</v>
      </c>
      <c r="CG26" s="18">
        <v>8.9599999999999999E-2</v>
      </c>
      <c r="CH26" s="18">
        <v>7.0999999999999994E-2</v>
      </c>
      <c r="CI26" s="18">
        <v>2.7199999999999998E-2</v>
      </c>
      <c r="CJ26" s="18">
        <v>5.2499999999999998E-2</v>
      </c>
      <c r="CK26" s="18">
        <v>2.9499999999999998E-2</v>
      </c>
      <c r="CL26" s="18">
        <v>6.6799999999999998E-2</v>
      </c>
      <c r="CM26" s="18">
        <v>-2.8799999999999999E-2</v>
      </c>
      <c r="CN26" s="18">
        <v>3.95E-2</v>
      </c>
      <c r="CO26" s="18">
        <v>-2.9000000000000001E-2</v>
      </c>
      <c r="CP26" s="18">
        <v>1.4E-2</v>
      </c>
      <c r="CQ26" s="18">
        <v>-3.2300000000000002E-2</v>
      </c>
      <c r="CR26" s="18">
        <v>3.0999999999999999E-3</v>
      </c>
      <c r="CS26" s="18">
        <v>2.5600000000000001E-2</v>
      </c>
      <c r="CT26" s="18">
        <v>4.4400000000000002E-2</v>
      </c>
      <c r="CU26" s="18">
        <v>-3.0300000000000001E-2</v>
      </c>
      <c r="CV26" s="18">
        <v>-1.2999999999999999E-3</v>
      </c>
      <c r="CW26" s="18">
        <v>2.3E-3</v>
      </c>
      <c r="CX26" s="18">
        <v>-6.4299999999999996E-2</v>
      </c>
      <c r="CY26" s="18">
        <v>1.29E-2</v>
      </c>
      <c r="CZ26" s="18">
        <v>-0.1255</v>
      </c>
      <c r="DA26" s="18">
        <v>1.17E-2</v>
      </c>
      <c r="DB26" s="18">
        <v>6.3E-3</v>
      </c>
      <c r="DC26" s="18">
        <v>-0.1173</v>
      </c>
      <c r="DD26" s="18">
        <v>-3.5999999999999997E-2</v>
      </c>
      <c r="DE26" s="18">
        <v>0.1389</v>
      </c>
      <c r="DF26" s="18">
        <v>-5.11E-2</v>
      </c>
      <c r="DG26" s="18">
        <v>7.6700000000000004E-2</v>
      </c>
      <c r="DH26" s="18">
        <v>1.55E-2</v>
      </c>
      <c r="DI26" s="18">
        <v>2.3199999999999998E-2</v>
      </c>
      <c r="DJ26" s="18">
        <v>-1.84E-2</v>
      </c>
      <c r="DK26" s="18">
        <v>6.2199999999999998E-2</v>
      </c>
      <c r="DL26" s="18">
        <v>2.01E-2</v>
      </c>
      <c r="DM26" s="18">
        <v>1.35E-2</v>
      </c>
      <c r="DN26" s="18">
        <v>-3.0300000000000001E-2</v>
      </c>
      <c r="DO26" s="18">
        <v>-1.7000000000000001E-2</v>
      </c>
      <c r="DP26" s="18">
        <v>-2.18E-2</v>
      </c>
      <c r="DQ26" s="18">
        <v>8.5699999999999998E-2</v>
      </c>
      <c r="DR26" s="18">
        <v>2.81E-2</v>
      </c>
      <c r="DS26" s="18">
        <v>-2.3E-3</v>
      </c>
      <c r="DT26" s="18">
        <v>5.8500000000000003E-2</v>
      </c>
      <c r="DU26" s="18">
        <v>6.7699999999999996E-2</v>
      </c>
      <c r="DV26" s="18">
        <v>5.0000000000000001E-3</v>
      </c>
      <c r="DW26" s="18">
        <v>3.7400000000000003E-2</v>
      </c>
      <c r="DX26" s="18">
        <v>8.4099999999999994E-2</v>
      </c>
      <c r="DY26" s="18">
        <v>-3.6799999999999999E-2</v>
      </c>
      <c r="DZ26" s="18">
        <v>3.0999999999999999E-3</v>
      </c>
      <c r="EA26" s="18">
        <v>-2E-3</v>
      </c>
      <c r="EB26" s="18">
        <v>2.6499999999999999E-2</v>
      </c>
      <c r="EC26" s="18">
        <v>-2.4799999999999999E-2</v>
      </c>
      <c r="ED26" s="18">
        <v>3.4099999999999998E-2</v>
      </c>
      <c r="EE26" s="18">
        <v>2.1100000000000001E-2</v>
      </c>
      <c r="EF26" s="18">
        <v>-2.0277393000000001E-2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25"/>
  <sheetViews>
    <sheetView topLeftCell="CM1" workbookViewId="0">
      <selection activeCell="L38" sqref="L38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7" x14ac:dyDescent="0.3">
      <c r="B3" s="1" t="s">
        <v>136</v>
      </c>
      <c r="C3" s="9">
        <v>0.10910583</v>
      </c>
      <c r="D3" s="9">
        <v>1.457658E-2</v>
      </c>
      <c r="E3" s="9">
        <v>-3.6154400000000003E-2</v>
      </c>
      <c r="F3" s="9">
        <v>-4.7425999999999996E-3</v>
      </c>
      <c r="G3" s="9">
        <v>-5.7478E-3</v>
      </c>
      <c r="H3" s="9">
        <v>4.9378020000000002E-2</v>
      </c>
      <c r="I3" s="9">
        <v>0.18325177000000001</v>
      </c>
      <c r="J3" s="9">
        <v>0.11648631</v>
      </c>
      <c r="K3" s="9">
        <v>-3.0594900000000001E-2</v>
      </c>
      <c r="L3" s="9">
        <v>1.982805E-2</v>
      </c>
      <c r="M3" s="9">
        <v>-2.0999E-2</v>
      </c>
      <c r="N3" s="9">
        <v>0.14977942</v>
      </c>
      <c r="O3" s="9">
        <v>1.546341E-2</v>
      </c>
      <c r="P3" s="9">
        <v>-9.1792299999999993E-2</v>
      </c>
      <c r="Q3" s="9">
        <v>-7.7409000000000006E-2</v>
      </c>
      <c r="R3" s="9">
        <v>5.4776600000000002E-2</v>
      </c>
      <c r="S3" s="9">
        <v>-0.12533440000000001</v>
      </c>
      <c r="T3" s="9">
        <v>-0.1190534</v>
      </c>
      <c r="U3" s="9">
        <v>-3.7770100000000001E-2</v>
      </c>
      <c r="V3" s="9">
        <v>8.1183820000000004E-2</v>
      </c>
      <c r="W3" s="9">
        <v>8.4008970000000002E-2</v>
      </c>
      <c r="X3" s="9">
        <v>0.14701136000000001</v>
      </c>
      <c r="Y3" s="9">
        <v>-0.12536050000000001</v>
      </c>
      <c r="Z3" s="9">
        <v>0.19195355</v>
      </c>
      <c r="AA3" s="9">
        <v>-8.4370799999999996E-2</v>
      </c>
      <c r="AB3" s="9">
        <v>7.2897610000000002E-2</v>
      </c>
      <c r="AC3" s="9">
        <v>0.10260456</v>
      </c>
      <c r="AD3" s="9">
        <v>1.577017E-2</v>
      </c>
      <c r="AE3" s="9">
        <v>-0.15200720000000001</v>
      </c>
      <c r="AF3" s="9">
        <v>5.9250249999999997E-2</v>
      </c>
      <c r="AG3" s="9">
        <v>0.13005884000000001</v>
      </c>
      <c r="AH3" s="9">
        <v>0.11525639999999999</v>
      </c>
      <c r="AI3" s="9">
        <v>3.2606620000000003E-2</v>
      </c>
      <c r="AJ3" s="9">
        <v>2.7999110000000001E-2</v>
      </c>
      <c r="AK3" s="9">
        <v>0.14657042000000001</v>
      </c>
      <c r="AL3" s="9">
        <v>4.0841919999999997E-2</v>
      </c>
      <c r="AM3" s="9">
        <v>0.13137636999999999</v>
      </c>
      <c r="AN3" s="9">
        <v>0.22143296000000001</v>
      </c>
      <c r="AO3" s="9">
        <v>-2.0941000000000001E-2</v>
      </c>
      <c r="AP3" s="9">
        <v>-0.13716</v>
      </c>
      <c r="AQ3" s="9">
        <v>-2.4882899999999999E-2</v>
      </c>
      <c r="AR3" s="9">
        <v>1.551397E-2</v>
      </c>
      <c r="AS3" s="9">
        <v>3.4373040000000001E-2</v>
      </c>
      <c r="AT3" s="9">
        <v>6.3095689999999996E-2</v>
      </c>
      <c r="AU3" s="9">
        <v>4.3237699999999997E-2</v>
      </c>
      <c r="AV3" s="9">
        <v>-7.4230400000000002E-2</v>
      </c>
      <c r="AW3" s="9">
        <v>2.7994829999999998E-2</v>
      </c>
      <c r="AX3" s="9">
        <v>0.11986442</v>
      </c>
      <c r="AY3" s="9">
        <v>7.6559569999999993E-2</v>
      </c>
      <c r="AZ3" s="9">
        <v>-2.17304E-2</v>
      </c>
      <c r="BA3" s="9">
        <v>-1.2465E-3</v>
      </c>
      <c r="BB3" s="9">
        <v>0.10099582</v>
      </c>
      <c r="BC3" s="9">
        <v>2.9826930000000001E-2</v>
      </c>
      <c r="BD3" s="9">
        <v>8.6757699999999993E-3</v>
      </c>
      <c r="BE3" s="9">
        <v>6.8557209999999993E-2</v>
      </c>
      <c r="BF3" s="9">
        <v>0.15691260000000001</v>
      </c>
      <c r="BG3" s="9">
        <v>0.15920372999999999</v>
      </c>
      <c r="BH3" s="9">
        <v>6.1121670000000003E-2</v>
      </c>
      <c r="BI3" s="9">
        <v>9.6912849999999995E-2</v>
      </c>
      <c r="BJ3" s="9">
        <v>-5.4746200000000002E-2</v>
      </c>
      <c r="BK3" s="9">
        <v>-8.7493000000000001E-2</v>
      </c>
      <c r="BL3" s="9">
        <v>9.4426750000000004E-2</v>
      </c>
      <c r="BM3" s="9">
        <v>-2.2191099999999998E-2</v>
      </c>
      <c r="BN3" s="9">
        <v>1.5628610000000001E-2</v>
      </c>
      <c r="BO3" s="9">
        <v>8.1418240000000003E-2</v>
      </c>
      <c r="BP3" s="9">
        <v>-1.8508899999999998E-2</v>
      </c>
      <c r="BQ3" s="9">
        <v>6.8729570000000004E-2</v>
      </c>
      <c r="BR3" s="9">
        <v>3.1023600000000002E-3</v>
      </c>
      <c r="BS3" s="9">
        <v>7.4964420000000004E-2</v>
      </c>
      <c r="BT3" s="9">
        <v>4.520159E-2</v>
      </c>
      <c r="BU3" s="9">
        <v>2.5677330000000002E-2</v>
      </c>
      <c r="BV3" s="9">
        <v>9.1804029999999995E-2</v>
      </c>
      <c r="BW3" s="9">
        <v>-2.6353999999999999E-2</v>
      </c>
      <c r="BX3" s="9">
        <v>1.9394829999999998E-2</v>
      </c>
      <c r="BY3" s="9">
        <v>-7.6838900000000002E-2</v>
      </c>
      <c r="BZ3" s="9">
        <v>0.11330931</v>
      </c>
      <c r="CA3" s="9">
        <v>-0.1073549</v>
      </c>
      <c r="CB3" s="9">
        <v>4.0844789999999999E-2</v>
      </c>
      <c r="CC3" s="9">
        <v>-1.9801699999999998E-2</v>
      </c>
      <c r="CD3" s="9">
        <v>0.18837709</v>
      </c>
      <c r="CE3" s="9">
        <v>5.5574909999999998E-2</v>
      </c>
      <c r="CF3" s="9">
        <v>7.4872069999999999E-2</v>
      </c>
      <c r="CG3" s="9">
        <v>0.10000019</v>
      </c>
      <c r="CH3" s="9">
        <v>0.13602172000000001</v>
      </c>
      <c r="CI3" s="9">
        <v>-9.3741000000000005E-2</v>
      </c>
      <c r="CJ3" s="9">
        <v>3.9306000000000002E-3</v>
      </c>
      <c r="CK3" s="9">
        <v>5.6507780000000001E-2</v>
      </c>
      <c r="CL3" s="9">
        <v>0.26354578000000001</v>
      </c>
      <c r="CM3" s="9">
        <v>-9.5554000000000004E-3</v>
      </c>
      <c r="CN3" s="9">
        <v>-3.1511900000000002E-2</v>
      </c>
      <c r="CO3" s="9">
        <v>-2.2619E-2</v>
      </c>
      <c r="CP3" s="9">
        <v>0.13265561000000001</v>
      </c>
      <c r="CQ3" s="9">
        <v>0.13307278</v>
      </c>
      <c r="CR3" s="9">
        <v>-1.49564E-2</v>
      </c>
      <c r="CS3" s="9">
        <v>-3.3419900000000002E-2</v>
      </c>
      <c r="CT3" s="9">
        <v>1.2281210000000001E-2</v>
      </c>
      <c r="CU3" s="9">
        <v>0.11681498</v>
      </c>
      <c r="CV3" s="9">
        <v>-3.1589000000000001E-3</v>
      </c>
      <c r="CW3" s="9">
        <v>3.8217760000000003E-2</v>
      </c>
      <c r="CX3" s="9">
        <v>0.13917409</v>
      </c>
      <c r="CY3" s="9">
        <v>-2.3712299999999999E-2</v>
      </c>
      <c r="CZ3" s="9">
        <v>0.21835291000000001</v>
      </c>
      <c r="DA3" s="9">
        <v>-5.7967400000000002E-2</v>
      </c>
      <c r="DB3" s="9">
        <v>-1.4104200000000001E-2</v>
      </c>
      <c r="DC3" s="9">
        <v>0.11395608</v>
      </c>
      <c r="DD3" s="9">
        <v>7.4472259999999998E-2</v>
      </c>
      <c r="DE3" s="9">
        <v>-8.9970000000000002E-4</v>
      </c>
      <c r="DF3" s="9">
        <v>9.7707000000000002E-4</v>
      </c>
      <c r="DG3" s="9">
        <v>-7.2980100000000006E-2</v>
      </c>
      <c r="DH3" s="9">
        <v>-2.38453E-2</v>
      </c>
      <c r="DI3" s="9">
        <v>-0.1015307</v>
      </c>
      <c r="DJ3" s="9">
        <v>2.7692540000000002E-2</v>
      </c>
      <c r="DK3" s="9">
        <v>-4.9335200000000003E-2</v>
      </c>
      <c r="DL3" s="9">
        <v>-5.6994000000000003E-3</v>
      </c>
      <c r="DM3" s="9">
        <v>-3.6981800000000002E-2</v>
      </c>
      <c r="DN3" s="9">
        <v>0.10981299</v>
      </c>
      <c r="DO3" s="9">
        <v>4.2036829999999997E-2</v>
      </c>
      <c r="DP3" s="9">
        <v>8.4566669999999997E-2</v>
      </c>
      <c r="DQ3" s="9">
        <v>-0.1102798</v>
      </c>
      <c r="DR3" s="9">
        <v>9.4328709999999996E-2</v>
      </c>
      <c r="DS3" s="9">
        <v>-7.1906899999999996E-2</v>
      </c>
      <c r="DT3" s="9">
        <v>-9.62364E-2</v>
      </c>
      <c r="DU3" s="9">
        <v>2.3455500000000001E-3</v>
      </c>
      <c r="DV3" s="9">
        <v>0.13401742</v>
      </c>
      <c r="DW3" s="9">
        <v>9.4732520000000001E-2</v>
      </c>
      <c r="DX3" s="9">
        <v>-0.1037732</v>
      </c>
      <c r="DY3" s="9">
        <v>7.576215E-2</v>
      </c>
      <c r="DZ3" s="9">
        <v>-3.1829700000000002E-2</v>
      </c>
      <c r="EA3" s="9">
        <v>0.16130802</v>
      </c>
      <c r="EB3" s="9">
        <v>1.0203530000000001E-2</v>
      </c>
      <c r="EC3" s="9">
        <v>7.3988429999999994E-2</v>
      </c>
      <c r="ED3" s="9">
        <v>-0.15737689999999999</v>
      </c>
      <c r="EE3" s="9">
        <v>7.9137550000000001E-2</v>
      </c>
      <c r="EF3" s="9">
        <v>7.2528549999999997E-2</v>
      </c>
      <c r="EG3" s="10">
        <f>CORREL([1]bm補值!EG$2:EG$972,[1]下個月月報酬補值!EG$2:EG$972)</f>
        <v>0.14231065676311483</v>
      </c>
    </row>
    <row r="4" spans="1:137" x14ac:dyDescent="0.3">
      <c r="B4" s="1" t="s">
        <v>137</v>
      </c>
      <c r="C4" s="9">
        <v>-0.24758869999999999</v>
      </c>
      <c r="D4" s="9">
        <v>-0.27469329999999997</v>
      </c>
      <c r="E4" s="9">
        <v>-8.4648399999999999E-2</v>
      </c>
      <c r="F4" s="9">
        <v>2.2644629999999999E-2</v>
      </c>
      <c r="G4" s="9">
        <v>-4.9680000000000002E-2</v>
      </c>
      <c r="H4" s="9">
        <v>-0.1007596</v>
      </c>
      <c r="I4" s="9">
        <v>-1.2522699999999999E-2</v>
      </c>
      <c r="J4" s="9">
        <v>7.8736539999999994E-2</v>
      </c>
      <c r="K4" s="9">
        <v>-3.4185100000000003E-2</v>
      </c>
      <c r="L4" s="9">
        <v>8.8406789999999999E-2</v>
      </c>
      <c r="M4" s="9">
        <v>-3.0634999999999998E-3</v>
      </c>
      <c r="N4" s="9">
        <v>-0.21221799999999999</v>
      </c>
      <c r="O4" s="9">
        <v>-3.6805400000000002E-2</v>
      </c>
      <c r="P4" s="9">
        <v>7.1033120000000005E-2</v>
      </c>
      <c r="Q4" s="9">
        <v>-7.1261099999999994E-2</v>
      </c>
      <c r="R4" s="9">
        <v>2.1560449999999998E-2</v>
      </c>
      <c r="S4" s="9">
        <v>0.10111125999999999</v>
      </c>
      <c r="T4" s="9">
        <v>4.3224730000000003E-2</v>
      </c>
      <c r="U4" s="9">
        <v>1.488195E-2</v>
      </c>
      <c r="V4" s="9">
        <v>6.3260199999999999E-3</v>
      </c>
      <c r="W4" s="9">
        <v>-0.14355299999999999</v>
      </c>
      <c r="X4" s="9">
        <v>-6.4282199999999998E-2</v>
      </c>
      <c r="Y4" s="9">
        <v>-1.9034200000000001E-2</v>
      </c>
      <c r="Z4" s="9">
        <v>-2.0644599999999999E-2</v>
      </c>
      <c r="AA4" s="9">
        <v>3.3059529999999997E-2</v>
      </c>
      <c r="AB4" s="9">
        <v>-1.94182E-2</v>
      </c>
      <c r="AC4" s="9">
        <v>-6.3126799999999997E-2</v>
      </c>
      <c r="AD4" s="9">
        <v>-6.5629699999999999E-2</v>
      </c>
      <c r="AE4" s="9">
        <v>0.13799568000000001</v>
      </c>
      <c r="AF4" s="9">
        <v>-0.1005679</v>
      </c>
      <c r="AG4" s="9">
        <v>-3.7969099999999999E-2</v>
      </c>
      <c r="AH4" s="9">
        <v>-4.5839499999999998E-2</v>
      </c>
      <c r="AI4" s="9">
        <v>-5.1034099999999999E-2</v>
      </c>
      <c r="AJ4" s="9">
        <v>-3.2204E-3</v>
      </c>
      <c r="AK4" s="9">
        <v>4.8952000000000002E-4</v>
      </c>
      <c r="AL4" s="9">
        <v>-0.10644670000000001</v>
      </c>
      <c r="AM4" s="9">
        <v>-1.3724E-2</v>
      </c>
      <c r="AN4" s="9">
        <v>-0.1219647</v>
      </c>
      <c r="AO4" s="9">
        <v>-4.85897E-2</v>
      </c>
      <c r="AP4" s="9">
        <v>-1.9032000000000001E-3</v>
      </c>
      <c r="AQ4" s="9">
        <v>2.9067490000000001E-2</v>
      </c>
      <c r="AR4" s="9">
        <v>5.2635769999999998E-2</v>
      </c>
      <c r="AS4" s="9">
        <v>-1.28933E-2</v>
      </c>
      <c r="AT4" s="9">
        <v>-2.1310999999999999E-3</v>
      </c>
      <c r="AU4" s="9">
        <v>-0.15538440000000001</v>
      </c>
      <c r="AV4" s="9">
        <v>1.268178E-2</v>
      </c>
      <c r="AW4" s="9">
        <v>-1.1942299999999999E-2</v>
      </c>
      <c r="AX4" s="9">
        <v>-4.2538000000000003E-3</v>
      </c>
      <c r="AY4" s="9">
        <v>2.930087E-2</v>
      </c>
      <c r="AZ4" s="9">
        <v>-0.13412750000000001</v>
      </c>
      <c r="BA4" s="9">
        <v>-0.1371115</v>
      </c>
      <c r="BB4" s="9">
        <v>1.7546599999999999E-3</v>
      </c>
      <c r="BC4" s="9">
        <v>2.511712E-2</v>
      </c>
      <c r="BD4" s="9">
        <v>-0.1196019</v>
      </c>
      <c r="BE4" s="9">
        <v>0.13576165000000001</v>
      </c>
      <c r="BF4" s="9">
        <v>4.7091170000000002E-2</v>
      </c>
      <c r="BG4" s="9">
        <v>-2.60501E-2</v>
      </c>
      <c r="BH4" s="9">
        <v>4.3752760000000002E-2</v>
      </c>
      <c r="BI4" s="9">
        <v>-8.13918E-2</v>
      </c>
      <c r="BJ4" s="9">
        <v>-0.1006008</v>
      </c>
      <c r="BK4" s="9">
        <v>9.0490070000000006E-2</v>
      </c>
      <c r="BL4" s="9">
        <v>-3.0898499999999999E-2</v>
      </c>
      <c r="BM4" s="9">
        <v>5.8814169999999999E-2</v>
      </c>
      <c r="BN4" s="9">
        <v>8.1345630000000002E-2</v>
      </c>
      <c r="BO4" s="9">
        <v>-7.7164E-3</v>
      </c>
      <c r="BP4" s="9">
        <v>0.10673487</v>
      </c>
      <c r="BQ4" s="9">
        <v>-2.7156300000000001E-2</v>
      </c>
      <c r="BR4" s="9">
        <v>-5.4431E-2</v>
      </c>
      <c r="BS4" s="9">
        <v>-6.8229300000000007E-2</v>
      </c>
      <c r="BT4" s="9">
        <v>9.861222E-2</v>
      </c>
      <c r="BU4" s="9">
        <v>0.12839854000000001</v>
      </c>
      <c r="BV4" s="9">
        <v>-7.84025E-2</v>
      </c>
      <c r="BW4" s="9">
        <v>-0.1191337</v>
      </c>
      <c r="BX4" s="9">
        <v>-4.6890099999999997E-2</v>
      </c>
      <c r="BY4" s="9">
        <v>0.10169835000000001</v>
      </c>
      <c r="BZ4" s="9">
        <v>-2.5680100000000001E-2</v>
      </c>
      <c r="CA4" s="9">
        <v>-8.3301799999999995E-2</v>
      </c>
      <c r="CB4" s="9">
        <v>-0.15782760000000001</v>
      </c>
      <c r="CC4" s="9">
        <v>-7.1052599999999994E-2</v>
      </c>
      <c r="CD4" s="9">
        <v>-7.3875499999999997E-2</v>
      </c>
      <c r="CE4" s="9">
        <v>-0.23678650000000001</v>
      </c>
      <c r="CF4" s="9">
        <v>3.2627709999999997E-2</v>
      </c>
      <c r="CG4" s="9">
        <v>1.342309E-2</v>
      </c>
      <c r="CH4" s="9">
        <v>-2.7967000000000001E-3</v>
      </c>
      <c r="CI4" s="9">
        <v>4.7925700000000002E-2</v>
      </c>
      <c r="CJ4" s="9">
        <v>-3.2520000000000001E-3</v>
      </c>
      <c r="CK4" s="9">
        <v>-7.5708200000000003E-2</v>
      </c>
      <c r="CL4" s="9">
        <v>-4.4397300000000001E-2</v>
      </c>
      <c r="CM4" s="9">
        <v>0.17898859</v>
      </c>
      <c r="CN4" s="9">
        <v>5.7994270000000001E-2</v>
      </c>
      <c r="CO4" s="9">
        <v>-0.13939019999999999</v>
      </c>
      <c r="CP4" s="9">
        <v>6.4714670000000002E-2</v>
      </c>
      <c r="CQ4" s="9">
        <v>-0.18118790000000001</v>
      </c>
      <c r="CR4" s="9">
        <v>-8.8633500000000004E-2</v>
      </c>
      <c r="CS4" s="9">
        <v>-2.5321799999999998E-2</v>
      </c>
      <c r="CT4" s="9">
        <v>-0.1130791</v>
      </c>
      <c r="CU4" s="9">
        <v>8.0959599999999993E-3</v>
      </c>
      <c r="CV4" s="9">
        <v>-4.5200200000000003E-2</v>
      </c>
      <c r="CW4" s="9">
        <v>-5.8941199999999999E-2</v>
      </c>
      <c r="CX4" s="9">
        <v>-0.1077283</v>
      </c>
      <c r="CY4" s="9">
        <v>-9.6503500000000006E-2</v>
      </c>
      <c r="CZ4" s="9">
        <v>-0.21035429999999999</v>
      </c>
      <c r="DA4" s="9">
        <v>-0.10996110000000001</v>
      </c>
      <c r="DB4" s="9">
        <v>-0.1908205</v>
      </c>
      <c r="DC4" s="9">
        <v>-2.0727300000000001E-2</v>
      </c>
      <c r="DD4" s="9">
        <v>8.7029090000000003E-2</v>
      </c>
      <c r="DE4" s="9">
        <v>8.2024589999999994E-2</v>
      </c>
      <c r="DF4" s="9">
        <v>-0.16687669999999999</v>
      </c>
      <c r="DG4" s="9">
        <v>0.22243809</v>
      </c>
      <c r="DH4" s="9">
        <v>-0.1442978</v>
      </c>
      <c r="DI4" s="9">
        <v>-0.1196199</v>
      </c>
      <c r="DJ4" s="9">
        <v>-0.1015928</v>
      </c>
      <c r="DK4" s="9">
        <v>9.2855060000000003E-2</v>
      </c>
      <c r="DL4" s="9">
        <v>-4.2630500000000002E-2</v>
      </c>
      <c r="DM4" s="9">
        <v>8.2732070000000005E-2</v>
      </c>
      <c r="DN4" s="9">
        <v>-3.1049500000000001E-2</v>
      </c>
      <c r="DO4" s="9">
        <v>-9.8141999999999993E-2</v>
      </c>
      <c r="DP4" s="9">
        <v>-0.13058890000000001</v>
      </c>
      <c r="DQ4" s="9">
        <v>4.865572E-2</v>
      </c>
      <c r="DR4" s="9">
        <v>-3.9251899999999999E-2</v>
      </c>
      <c r="DS4" s="9">
        <v>-0.16103020000000001</v>
      </c>
      <c r="DT4" s="9">
        <v>-7.8883999999999996E-2</v>
      </c>
      <c r="DU4" s="9">
        <v>0.16407715</v>
      </c>
      <c r="DV4" s="9">
        <v>7.5052599999999997E-3</v>
      </c>
      <c r="DW4" s="9">
        <v>-0.1016452</v>
      </c>
      <c r="DX4" s="9">
        <v>-5.6040300000000001E-2</v>
      </c>
      <c r="DY4" s="9">
        <v>-0.10665669999999999</v>
      </c>
      <c r="DZ4" s="9">
        <v>-6.9186600000000001E-2</v>
      </c>
      <c r="EA4" s="9">
        <v>-0.12618869999999999</v>
      </c>
      <c r="EB4" s="9">
        <v>-6.4737100000000006E-2</v>
      </c>
      <c r="EC4" s="9">
        <v>5.1426090000000001E-2</v>
      </c>
      <c r="ED4" s="9">
        <v>3.4496730000000003E-2</v>
      </c>
      <c r="EE4" s="9">
        <v>0.1576776</v>
      </c>
      <c r="EF4" s="9">
        <v>-0.12717999999999999</v>
      </c>
      <c r="EG4" s="10">
        <f>CORREL([2]size補值!EG$2:EG$965,[2]下個月月報酬補值!EG$2:EG$965)</f>
        <v>-0.15895948868776608</v>
      </c>
    </row>
    <row r="5" spans="1:137" x14ac:dyDescent="0.3">
      <c r="B5" s="1" t="s">
        <v>138</v>
      </c>
      <c r="C5" s="9">
        <v>-5.4239999999999997E-2</v>
      </c>
      <c r="D5" s="9">
        <v>4.5377000000000001E-2</v>
      </c>
      <c r="E5" s="9">
        <v>-1.7749999999999998E-2</v>
      </c>
      <c r="F5" s="9">
        <v>-8.7690000000000004E-2</v>
      </c>
      <c r="G5" s="9">
        <v>0.102759</v>
      </c>
      <c r="H5" s="9">
        <v>2.5110000000000002E-3</v>
      </c>
      <c r="I5" s="9">
        <v>-1.83E-2</v>
      </c>
      <c r="J5" s="9">
        <v>2.2110999999999999E-2</v>
      </c>
      <c r="K5" s="9">
        <v>7.7257999999999993E-2</v>
      </c>
      <c r="L5" s="9">
        <v>9.3439999999999999E-3</v>
      </c>
      <c r="M5" s="9">
        <v>5.3601999999999997E-2</v>
      </c>
      <c r="N5" s="9">
        <v>-6.7879999999999996E-2</v>
      </c>
      <c r="O5" s="9">
        <v>6.4930000000000002E-2</v>
      </c>
      <c r="P5" s="9">
        <v>4.8809999999999999E-3</v>
      </c>
      <c r="Q5" s="9">
        <v>1.9198E-2</v>
      </c>
      <c r="R5" s="9">
        <v>-5.47E-3</v>
      </c>
      <c r="S5" s="9">
        <v>3.6551E-2</v>
      </c>
      <c r="T5" s="9">
        <v>0.12918499999999999</v>
      </c>
      <c r="U5" s="9">
        <v>1.3691999999999999E-2</v>
      </c>
      <c r="V5" s="9">
        <v>1.5295E-2</v>
      </c>
      <c r="W5" s="9">
        <v>-0.10469000000000001</v>
      </c>
      <c r="X5" s="9">
        <v>-0.29385</v>
      </c>
      <c r="Y5" s="9">
        <v>5.9212000000000001E-2</v>
      </c>
      <c r="Z5" s="9">
        <v>-0.18495</v>
      </c>
      <c r="AA5" s="9">
        <v>9.8247000000000001E-2</v>
      </c>
      <c r="AB5" s="9">
        <v>-6.6E-4</v>
      </c>
      <c r="AC5" s="9">
        <v>-0.10369</v>
      </c>
      <c r="AD5" s="9">
        <v>3.545E-3</v>
      </c>
      <c r="AE5" s="9">
        <v>0.17560100000000001</v>
      </c>
      <c r="AF5" s="9">
        <v>-0.15503</v>
      </c>
      <c r="AG5" s="9">
        <v>-2.6329999999999999E-2</v>
      </c>
      <c r="AH5" s="9">
        <v>-5.0000000000000001E-3</v>
      </c>
      <c r="AI5" s="9">
        <v>2.8067999999999999E-2</v>
      </c>
      <c r="AJ5" s="9">
        <v>-2.2380000000000001E-2</v>
      </c>
      <c r="AK5" s="9">
        <v>-4.7019999999999999E-2</v>
      </c>
      <c r="AL5" s="9">
        <v>-0.10156</v>
      </c>
      <c r="AM5" s="9">
        <v>2.3525000000000001E-2</v>
      </c>
      <c r="AN5" s="9">
        <v>5.2525000000000002E-2</v>
      </c>
      <c r="AO5" s="9">
        <v>5.8502999999999999E-2</v>
      </c>
      <c r="AP5" s="9">
        <v>3.3446999999999998E-2</v>
      </c>
      <c r="AQ5" s="9">
        <v>1.43E-2</v>
      </c>
      <c r="AR5" s="9">
        <v>3.5903999999999998E-2</v>
      </c>
      <c r="AS5" s="9">
        <v>3.9781999999999998E-2</v>
      </c>
      <c r="AT5" s="9">
        <v>0.148456</v>
      </c>
      <c r="AU5" s="9">
        <v>-4.079E-2</v>
      </c>
      <c r="AV5" s="9">
        <v>0.138959</v>
      </c>
      <c r="AW5" s="9">
        <v>5.9863E-2</v>
      </c>
      <c r="AX5" s="9">
        <v>-0.14979000000000001</v>
      </c>
      <c r="AY5" s="9">
        <v>6.1595999999999998E-2</v>
      </c>
      <c r="AZ5" s="9">
        <v>-6.1949999999999998E-2</v>
      </c>
      <c r="BA5" s="9">
        <v>-2.3900000000000002E-3</v>
      </c>
      <c r="BB5" s="9">
        <v>-0.14887</v>
      </c>
      <c r="BC5" s="9">
        <v>6.0351000000000002E-2</v>
      </c>
      <c r="BD5" s="9">
        <v>-1.469E-2</v>
      </c>
      <c r="BE5" s="9">
        <v>-0.14652000000000001</v>
      </c>
      <c r="BF5" s="9">
        <v>-0.20876</v>
      </c>
      <c r="BG5" s="9">
        <v>-0.20144000000000001</v>
      </c>
      <c r="BH5" s="9">
        <v>-0.11805</v>
      </c>
      <c r="BI5" s="9">
        <v>-7.7030000000000001E-2</v>
      </c>
      <c r="BJ5" s="9">
        <v>-3.6220000000000002E-2</v>
      </c>
      <c r="BK5" s="9">
        <v>-1.891E-2</v>
      </c>
      <c r="BL5" s="9">
        <v>-0.17126</v>
      </c>
      <c r="BM5" s="9">
        <v>0.13291700000000001</v>
      </c>
      <c r="BN5" s="9">
        <v>-3.5909999999999997E-2</v>
      </c>
      <c r="BO5" s="9">
        <v>2.1344999999999999E-2</v>
      </c>
      <c r="BP5" s="9">
        <v>4.9634999999999999E-2</v>
      </c>
      <c r="BQ5" s="9">
        <v>-1.721E-2</v>
      </c>
      <c r="BR5" s="9">
        <v>0.189827</v>
      </c>
      <c r="BS5" s="9">
        <v>-9.7610000000000002E-2</v>
      </c>
      <c r="BT5" s="9">
        <v>3.7830999999999997E-2</v>
      </c>
      <c r="BU5" s="9">
        <v>5.6008000000000002E-2</v>
      </c>
      <c r="BV5" s="9">
        <v>-0.11674</v>
      </c>
      <c r="BW5" s="9">
        <v>-0.14132</v>
      </c>
      <c r="BX5" s="9">
        <v>-3.3800000000000002E-3</v>
      </c>
      <c r="BY5" s="9">
        <v>0.13033600000000001</v>
      </c>
      <c r="BZ5" s="9">
        <v>3.1697999999999997E-2</v>
      </c>
      <c r="CA5" s="9">
        <v>4.0555000000000001E-2</v>
      </c>
      <c r="CB5" s="9">
        <v>-4.2040000000000001E-2</v>
      </c>
      <c r="CC5" s="9">
        <v>5.0014000000000003E-2</v>
      </c>
      <c r="CD5" s="9">
        <v>-6.8459999999999993E-2</v>
      </c>
      <c r="CE5" s="9">
        <v>-8.0829999999999999E-2</v>
      </c>
      <c r="CF5" s="9">
        <v>-1.9499999999999999E-3</v>
      </c>
      <c r="CG5" s="9">
        <v>-0.11821</v>
      </c>
      <c r="CH5" s="9">
        <v>-3.6720000000000003E-2</v>
      </c>
      <c r="CI5" s="9">
        <v>-8.3330000000000001E-2</v>
      </c>
      <c r="CJ5" s="9">
        <v>0.23067299999999999</v>
      </c>
      <c r="CK5" s="9">
        <v>0.13277900000000001</v>
      </c>
      <c r="CL5" s="9">
        <v>0.141287</v>
      </c>
      <c r="CM5" s="9">
        <v>-0.11269</v>
      </c>
      <c r="CN5" s="9">
        <v>0.22348899999999999</v>
      </c>
      <c r="CO5" s="9">
        <v>-0.10442</v>
      </c>
      <c r="CP5" s="9">
        <v>-1.443E-2</v>
      </c>
      <c r="CQ5" s="9">
        <v>-0.20723</v>
      </c>
      <c r="CR5" s="9">
        <v>-0.13486000000000001</v>
      </c>
      <c r="CS5" s="9">
        <v>7.3008000000000003E-2</v>
      </c>
      <c r="CT5" s="9">
        <v>-3.022E-2</v>
      </c>
      <c r="CU5" s="9">
        <v>-0.28688999999999998</v>
      </c>
      <c r="CV5" s="9">
        <v>0.23073099999999999</v>
      </c>
      <c r="CW5" s="9">
        <v>9.1076000000000004E-2</v>
      </c>
      <c r="CX5" s="9">
        <v>-0.12249</v>
      </c>
      <c r="CY5" s="9">
        <v>7.8381999999999993E-2</v>
      </c>
      <c r="CZ5" s="9">
        <v>-4.5949999999999998E-2</v>
      </c>
      <c r="DA5" s="9">
        <v>8.2669999999999993E-2</v>
      </c>
      <c r="DB5" s="9">
        <v>0.14934900000000001</v>
      </c>
      <c r="DC5" s="9">
        <v>-4.7800000000000002E-2</v>
      </c>
      <c r="DD5" s="9">
        <v>-0.16450999999999999</v>
      </c>
      <c r="DE5" s="9">
        <v>-0.11057</v>
      </c>
      <c r="DF5" s="9">
        <v>5.7417000000000003E-2</v>
      </c>
      <c r="DG5" s="9">
        <v>-0.21489</v>
      </c>
      <c r="DH5" s="9">
        <v>6.2996999999999997E-2</v>
      </c>
      <c r="DI5" s="9">
        <v>6.7721000000000003E-2</v>
      </c>
      <c r="DJ5" s="9">
        <v>0.118802</v>
      </c>
      <c r="DK5" s="9">
        <v>7.2830000000000004E-3</v>
      </c>
      <c r="DL5" s="9">
        <v>7.1320999999999996E-2</v>
      </c>
      <c r="DM5" s="9">
        <v>2.1021999999999999E-2</v>
      </c>
      <c r="DN5" s="9">
        <v>-3.04E-2</v>
      </c>
      <c r="DO5" s="9">
        <v>-9.6949999999999995E-2</v>
      </c>
      <c r="DP5" s="9">
        <v>-0.23068</v>
      </c>
      <c r="DQ5" s="9">
        <v>0.23818400000000001</v>
      </c>
      <c r="DR5" s="9">
        <v>3.5750000000000001E-3</v>
      </c>
      <c r="DS5" s="9">
        <v>0.13395599999999999</v>
      </c>
      <c r="DT5" s="9">
        <v>0.115106</v>
      </c>
      <c r="DU5" s="9">
        <v>0.10408000000000001</v>
      </c>
      <c r="DV5" s="9">
        <v>-5.4609999999999999E-2</v>
      </c>
      <c r="DW5" s="9">
        <v>-3.329E-2</v>
      </c>
      <c r="DX5" s="9">
        <v>5.5094999999999998E-2</v>
      </c>
      <c r="DY5" s="9">
        <v>6.8793999999999994E-2</v>
      </c>
      <c r="DZ5" s="9">
        <v>1.4481000000000001E-2</v>
      </c>
      <c r="EA5" s="9">
        <v>-0.29314000000000001</v>
      </c>
      <c r="EB5" s="9">
        <v>-0.14097999999999999</v>
      </c>
      <c r="EC5" s="9">
        <v>-1.221E-2</v>
      </c>
      <c r="ED5" s="9">
        <v>5.8167999999999997E-2</v>
      </c>
      <c r="EE5" s="9">
        <v>-0.1444</v>
      </c>
      <c r="EF5" s="9">
        <v>-9.7009999999999999E-2</v>
      </c>
      <c r="EG5" s="10"/>
    </row>
    <row r="6" spans="1:137" x14ac:dyDescent="0.3">
      <c r="A6" s="22" t="s">
        <v>139</v>
      </c>
      <c r="B6" s="23"/>
      <c r="C6" s="11">
        <f t="array" ref="C6">MATCH(MAX(ABS(C3:C5)), ABS(C3:C5), 0)</f>
        <v>2</v>
      </c>
      <c r="D6" s="11">
        <f t="array" ref="D6">MATCH(MAX(ABS(D3:D5)), ABS(D3:D5), 0)</f>
        <v>2</v>
      </c>
      <c r="E6" s="11">
        <f t="array" ref="E6">MATCH(MAX(ABS(E3:E5)), ABS(E3:E5), 0)</f>
        <v>2</v>
      </c>
      <c r="F6" s="11">
        <f t="array" ref="F6">MATCH(MAX(ABS(F3:F5)), ABS(F3:F5), 0)</f>
        <v>3</v>
      </c>
      <c r="G6" s="11">
        <f t="array" ref="G6">MATCH(MAX(ABS(G3:G5)), ABS(G3:G5), 0)</f>
        <v>3</v>
      </c>
      <c r="H6" s="11">
        <f t="array" ref="H6">MATCH(MAX(ABS(H3:H5)), ABS(H3:H5), 0)</f>
        <v>2</v>
      </c>
      <c r="I6" s="11">
        <f t="array" ref="I6">MATCH(MAX(ABS(I3:I5)), ABS(I3:I5), 0)</f>
        <v>1</v>
      </c>
      <c r="J6" s="11">
        <f t="array" ref="J6">MATCH(MAX(ABS(J3:J5)), ABS(J3:J5), 0)</f>
        <v>1</v>
      </c>
      <c r="K6" s="11">
        <f t="array" ref="K6">MATCH(MAX(ABS(K3:K5)), ABS(K3:K5), 0)</f>
        <v>3</v>
      </c>
      <c r="L6" s="11">
        <f t="array" ref="L6">MATCH(MAX(ABS(L3:L5)), ABS(L3:L5), 0)</f>
        <v>2</v>
      </c>
      <c r="M6" s="11">
        <f t="array" ref="M6">MATCH(MAX(ABS(M3:M5)), ABS(M3:M5), 0)</f>
        <v>3</v>
      </c>
      <c r="N6" s="11">
        <f t="array" ref="N6">MATCH(MAX(ABS(N3:N5)), ABS(N3:N5), 0)</f>
        <v>2</v>
      </c>
      <c r="O6" s="11">
        <f t="array" ref="O6">MATCH(MAX(ABS(O3:O5)), ABS(O3:O5), 0)</f>
        <v>3</v>
      </c>
      <c r="P6" s="11">
        <f t="array" ref="P6">MATCH(MAX(ABS(P3:P5)), ABS(P3:P5), 0)</f>
        <v>1</v>
      </c>
      <c r="Q6" s="11">
        <f t="array" ref="Q6">MATCH(MAX(ABS(Q3:Q5)), ABS(Q3:Q5), 0)</f>
        <v>1</v>
      </c>
      <c r="R6" s="11">
        <f t="array" ref="R6">MATCH(MAX(ABS(R3:R5)), ABS(R3:R5), 0)</f>
        <v>1</v>
      </c>
      <c r="S6" s="11">
        <f t="array" ref="S6">MATCH(MAX(ABS(S3:S5)), ABS(S3:S5), 0)</f>
        <v>1</v>
      </c>
      <c r="T6" s="11">
        <f t="array" ref="T6">MATCH(MAX(ABS(T3:T5)), ABS(T3:T5), 0)</f>
        <v>3</v>
      </c>
      <c r="U6" s="11">
        <f t="array" ref="U6">MATCH(MAX(ABS(U3:U5)), ABS(U3:U5), 0)</f>
        <v>1</v>
      </c>
      <c r="V6" s="11">
        <f t="array" ref="V6">MATCH(MAX(ABS(V3:V5)), ABS(V3:V5), 0)</f>
        <v>1</v>
      </c>
      <c r="W6" s="11">
        <f t="array" ref="W6">MATCH(MAX(ABS(W3:W5)), ABS(W3:W5), 0)</f>
        <v>2</v>
      </c>
      <c r="X6" s="11">
        <f t="array" ref="X6">MATCH(MAX(ABS(X3:X5)), ABS(X3:X5), 0)</f>
        <v>3</v>
      </c>
      <c r="Y6" s="11">
        <f t="array" ref="Y6">MATCH(MAX(ABS(Y3:Y5)), ABS(Y3:Y5), 0)</f>
        <v>1</v>
      </c>
      <c r="Z6" s="11">
        <f t="array" ref="Z6">MATCH(MAX(ABS(Z3:Z5)), ABS(Z3:Z5), 0)</f>
        <v>1</v>
      </c>
      <c r="AA6" s="11">
        <f t="array" ref="AA6">MATCH(MAX(ABS(AA3:AA5)), ABS(AA3:AA5), 0)</f>
        <v>3</v>
      </c>
      <c r="AB6" s="11">
        <f t="array" ref="AB6">MATCH(MAX(ABS(AB3:AB5)), ABS(AB3:AB5), 0)</f>
        <v>1</v>
      </c>
      <c r="AC6" s="11">
        <f t="array" ref="AC6">MATCH(MAX(ABS(AC3:AC5)), ABS(AC3:AC5), 0)</f>
        <v>3</v>
      </c>
      <c r="AD6" s="11">
        <f t="array" ref="AD6">MATCH(MAX(ABS(AD3:AD5)), ABS(AD3:AD5), 0)</f>
        <v>2</v>
      </c>
      <c r="AE6" s="11">
        <f t="array" ref="AE6">MATCH(MAX(ABS(AE3:AE5)), ABS(AE3:AE5), 0)</f>
        <v>3</v>
      </c>
      <c r="AF6" s="11">
        <f t="array" ref="AF6">MATCH(MAX(ABS(AF3:AF5)), ABS(AF3:AF5), 0)</f>
        <v>3</v>
      </c>
      <c r="AG6" s="11">
        <f t="array" ref="AG6">MATCH(MAX(ABS(AG3:AG5)), ABS(AG3:AG5), 0)</f>
        <v>1</v>
      </c>
      <c r="AH6" s="11">
        <f t="array" ref="AH6">MATCH(MAX(ABS(AH3:AH5)), ABS(AH3:AH5), 0)</f>
        <v>1</v>
      </c>
      <c r="AI6" s="11">
        <f t="array" ref="AI6">MATCH(MAX(ABS(AI3:AI5)), ABS(AI3:AI5), 0)</f>
        <v>2</v>
      </c>
      <c r="AJ6" s="11">
        <f t="array" ref="AJ6">MATCH(MAX(ABS(AJ3:AJ5)), ABS(AJ3:AJ5), 0)</f>
        <v>1</v>
      </c>
      <c r="AK6" s="11">
        <f t="array" ref="AK6">MATCH(MAX(ABS(AK3:AK5)), ABS(AK3:AK5), 0)</f>
        <v>1</v>
      </c>
      <c r="AL6" s="11">
        <f t="array" ref="AL6">MATCH(MAX(ABS(AL3:AL5)), ABS(AL3:AL5), 0)</f>
        <v>2</v>
      </c>
      <c r="AM6" s="11">
        <f t="array" ref="AM6">MATCH(MAX(ABS(AM3:AM5)), ABS(AM3:AM5), 0)</f>
        <v>1</v>
      </c>
      <c r="AN6" s="11">
        <f t="array" ref="AN6">MATCH(MAX(ABS(AN3:AN5)), ABS(AN3:AN5), 0)</f>
        <v>1</v>
      </c>
      <c r="AO6" s="11">
        <f t="array" ref="AO6">MATCH(MAX(ABS(AO3:AO5)), ABS(AO3:AO5), 0)</f>
        <v>3</v>
      </c>
      <c r="AP6" s="11">
        <f t="array" ref="AP6">MATCH(MAX(ABS(AP3:AP5)), ABS(AP3:AP5), 0)</f>
        <v>1</v>
      </c>
      <c r="AQ6" s="11">
        <f t="array" ref="AQ6">MATCH(MAX(ABS(AQ3:AQ5)), ABS(AQ3:AQ5), 0)</f>
        <v>2</v>
      </c>
      <c r="AR6" s="11">
        <f t="array" ref="AR6">MATCH(MAX(ABS(AR3:AR5)), ABS(AR3:AR5), 0)</f>
        <v>2</v>
      </c>
      <c r="AS6" s="11">
        <f t="array" ref="AS6">MATCH(MAX(ABS(AS3:AS5)), ABS(AS3:AS5), 0)</f>
        <v>3</v>
      </c>
      <c r="AT6" s="11">
        <f t="array" ref="AT6">MATCH(MAX(ABS(AT3:AT5)), ABS(AT3:AT5), 0)</f>
        <v>3</v>
      </c>
      <c r="AU6" s="11">
        <f t="array" ref="AU6">MATCH(MAX(ABS(AU3:AU5)), ABS(AU3:AU5), 0)</f>
        <v>2</v>
      </c>
      <c r="AV6" s="11">
        <f t="array" ref="AV6">MATCH(MAX(ABS(AV3:AV5)), ABS(AV3:AV5), 0)</f>
        <v>3</v>
      </c>
      <c r="AW6" s="11">
        <f t="array" ref="AW6">MATCH(MAX(ABS(AW3:AW5)), ABS(AW3:AW5), 0)</f>
        <v>3</v>
      </c>
      <c r="AX6" s="11">
        <f t="array" ref="AX6">MATCH(MAX(ABS(AX3:AX5)), ABS(AX3:AX5), 0)</f>
        <v>3</v>
      </c>
      <c r="AY6" s="11">
        <f t="array" ref="AY6">MATCH(MAX(ABS(AY3:AY5)), ABS(AY3:AY5), 0)</f>
        <v>1</v>
      </c>
      <c r="AZ6" s="11">
        <f t="array" ref="AZ6">MATCH(MAX(ABS(AZ3:AZ5)), ABS(AZ3:AZ5), 0)</f>
        <v>2</v>
      </c>
      <c r="BA6" s="11">
        <f t="array" ref="BA6">MATCH(MAX(ABS(BA3:BA5)), ABS(BA3:BA5), 0)</f>
        <v>2</v>
      </c>
      <c r="BB6" s="11">
        <f t="array" ref="BB6">MATCH(MAX(ABS(BB3:BB5)), ABS(BB3:BB5), 0)</f>
        <v>3</v>
      </c>
      <c r="BC6" s="11">
        <f t="array" ref="BC6">MATCH(MAX(ABS(BC3:BC5)), ABS(BC3:BC5), 0)</f>
        <v>3</v>
      </c>
      <c r="BD6" s="11">
        <f t="array" ref="BD6">MATCH(MAX(ABS(BD3:BD5)), ABS(BD3:BD5), 0)</f>
        <v>2</v>
      </c>
      <c r="BE6" s="11">
        <f t="array" ref="BE6">MATCH(MAX(ABS(BE3:BE5)), ABS(BE3:BE5), 0)</f>
        <v>3</v>
      </c>
      <c r="BF6" s="11">
        <f t="array" ref="BF6">MATCH(MAX(ABS(BF3:BF5)), ABS(BF3:BF5), 0)</f>
        <v>3</v>
      </c>
      <c r="BG6" s="11">
        <f t="array" ref="BG6">MATCH(MAX(ABS(BG3:BG5)), ABS(BG3:BG5), 0)</f>
        <v>3</v>
      </c>
      <c r="BH6" s="11">
        <f t="array" ref="BH6">MATCH(MAX(ABS(BH3:BH5)), ABS(BH3:BH5), 0)</f>
        <v>3</v>
      </c>
      <c r="BI6" s="11">
        <f t="array" ref="BI6">MATCH(MAX(ABS(BI3:BI5)), ABS(BI3:BI5), 0)</f>
        <v>1</v>
      </c>
      <c r="BJ6" s="11">
        <f t="array" ref="BJ6">MATCH(MAX(ABS(BJ3:BJ5)), ABS(BJ3:BJ5), 0)</f>
        <v>2</v>
      </c>
      <c r="BK6" s="11">
        <f t="array" ref="BK6">MATCH(MAX(ABS(BK3:BK5)), ABS(BK3:BK5), 0)</f>
        <v>2</v>
      </c>
      <c r="BL6" s="11">
        <f t="array" ref="BL6">MATCH(MAX(ABS(BL3:BL5)), ABS(BL3:BL5), 0)</f>
        <v>3</v>
      </c>
      <c r="BM6" s="11">
        <f t="array" ref="BM6">MATCH(MAX(ABS(BM3:BM5)), ABS(BM3:BM5), 0)</f>
        <v>3</v>
      </c>
      <c r="BN6" s="11">
        <f t="array" ref="BN6">MATCH(MAX(ABS(BN3:BN5)), ABS(BN3:BN5), 0)</f>
        <v>2</v>
      </c>
      <c r="BO6" s="11">
        <f t="array" ref="BO6">MATCH(MAX(ABS(BO3:BO5)), ABS(BO3:BO5), 0)</f>
        <v>1</v>
      </c>
      <c r="BP6" s="11">
        <f t="array" ref="BP6">MATCH(MAX(ABS(BP3:BP5)), ABS(BP3:BP5), 0)</f>
        <v>2</v>
      </c>
      <c r="BQ6" s="11">
        <f t="array" ref="BQ6">MATCH(MAX(ABS(BQ3:BQ5)), ABS(BQ3:BQ5), 0)</f>
        <v>1</v>
      </c>
      <c r="BR6" s="11">
        <f t="array" ref="BR6">MATCH(MAX(ABS(BR3:BR5)), ABS(BR3:BR5), 0)</f>
        <v>3</v>
      </c>
      <c r="BS6" s="11">
        <f t="array" ref="BS6">MATCH(MAX(ABS(BS3:BS5)), ABS(BS3:BS5), 0)</f>
        <v>3</v>
      </c>
      <c r="BT6" s="11">
        <f t="array" ref="BT6">MATCH(MAX(ABS(BT3:BT5)), ABS(BT3:BT5), 0)</f>
        <v>2</v>
      </c>
      <c r="BU6" s="11">
        <f t="array" ref="BU6">MATCH(MAX(ABS(BU3:BU5)), ABS(BU3:BU5), 0)</f>
        <v>2</v>
      </c>
      <c r="BV6" s="11">
        <f t="array" ref="BV6">MATCH(MAX(ABS(BV3:BV5)), ABS(BV3:BV5), 0)</f>
        <v>3</v>
      </c>
      <c r="BW6" s="11">
        <f t="array" ref="BW6">MATCH(MAX(ABS(BW3:BW5)), ABS(BW3:BW5), 0)</f>
        <v>3</v>
      </c>
      <c r="BX6" s="11">
        <f t="array" ref="BX6">MATCH(MAX(ABS(BX3:BX5)), ABS(BX3:BX5), 0)</f>
        <v>2</v>
      </c>
      <c r="BY6" s="11">
        <f t="array" ref="BY6">MATCH(MAX(ABS(BY3:BY5)), ABS(BY3:BY5), 0)</f>
        <v>3</v>
      </c>
      <c r="BZ6" s="11">
        <f t="array" ref="BZ6">MATCH(MAX(ABS(BZ3:BZ5)), ABS(BZ3:BZ5), 0)</f>
        <v>1</v>
      </c>
      <c r="CA6" s="11">
        <f t="array" ref="CA6">MATCH(MAX(ABS(CA3:CA5)), ABS(CA3:CA5), 0)</f>
        <v>1</v>
      </c>
      <c r="CB6" s="11">
        <f t="array" ref="CB6">MATCH(MAX(ABS(CB3:CB5)), ABS(CB3:CB5), 0)</f>
        <v>2</v>
      </c>
      <c r="CC6" s="11">
        <f t="array" ref="CC6">MATCH(MAX(ABS(CC3:CC5)), ABS(CC3:CC5), 0)</f>
        <v>2</v>
      </c>
      <c r="CD6" s="11">
        <f t="array" ref="CD6">MATCH(MAX(ABS(CD3:CD5)), ABS(CD3:CD5), 0)</f>
        <v>1</v>
      </c>
      <c r="CE6" s="11">
        <f t="array" ref="CE6">MATCH(MAX(ABS(CE3:CE5)), ABS(CE3:CE5), 0)</f>
        <v>2</v>
      </c>
      <c r="CF6" s="11">
        <f t="array" ref="CF6">MATCH(MAX(ABS(CF3:CF5)), ABS(CF3:CF5), 0)</f>
        <v>1</v>
      </c>
      <c r="CG6" s="11">
        <f t="array" ref="CG6">MATCH(MAX(ABS(CG3:CG5)), ABS(CG3:CG5), 0)</f>
        <v>3</v>
      </c>
      <c r="CH6" s="11">
        <f t="array" ref="CH6">MATCH(MAX(ABS(CH3:CH5)), ABS(CH3:CH5), 0)</f>
        <v>1</v>
      </c>
      <c r="CI6" s="11">
        <f t="array" ref="CI6">MATCH(MAX(ABS(CI3:CI5)), ABS(CI3:CI5), 0)</f>
        <v>1</v>
      </c>
      <c r="CJ6" s="11">
        <f t="array" ref="CJ6">MATCH(MAX(ABS(CJ3:CJ5)), ABS(CJ3:CJ5), 0)</f>
        <v>3</v>
      </c>
      <c r="CK6" s="11">
        <f t="array" ref="CK6">MATCH(MAX(ABS(CK3:CK5)), ABS(CK3:CK5), 0)</f>
        <v>3</v>
      </c>
      <c r="CL6" s="11">
        <f t="array" ref="CL6">MATCH(MAX(ABS(CL3:CL5)), ABS(CL3:CL5), 0)</f>
        <v>1</v>
      </c>
      <c r="CM6" s="11">
        <f t="array" ref="CM6">MATCH(MAX(ABS(CM3:CM5)), ABS(CM3:CM5), 0)</f>
        <v>2</v>
      </c>
      <c r="CN6" s="11">
        <f t="array" ref="CN6">MATCH(MAX(ABS(CN3:CN5)), ABS(CN3:CN5), 0)</f>
        <v>3</v>
      </c>
      <c r="CO6" s="11">
        <f t="array" ref="CO6">MATCH(MAX(ABS(CO3:CO5)), ABS(CO3:CO5), 0)</f>
        <v>2</v>
      </c>
      <c r="CP6" s="11">
        <f t="array" ref="CP6">MATCH(MAX(ABS(CP3:CP5)), ABS(CP3:CP5), 0)</f>
        <v>1</v>
      </c>
      <c r="CQ6" s="11">
        <f t="array" ref="CQ6">MATCH(MAX(ABS(CQ3:CQ5)), ABS(CQ3:CQ5), 0)</f>
        <v>3</v>
      </c>
      <c r="CR6" s="11">
        <f t="array" ref="CR6">MATCH(MAX(ABS(CR3:CR5)), ABS(CR3:CR5), 0)</f>
        <v>3</v>
      </c>
      <c r="CS6" s="11">
        <f t="array" ref="CS6">MATCH(MAX(ABS(CS3:CS5)), ABS(CS3:CS5), 0)</f>
        <v>3</v>
      </c>
      <c r="CT6" s="11">
        <f t="array" ref="CT6">MATCH(MAX(ABS(CT3:CT5)), ABS(CT3:CT5), 0)</f>
        <v>2</v>
      </c>
      <c r="CU6" s="11">
        <f t="array" ref="CU6">MATCH(MAX(ABS(CU3:CU5)), ABS(CU3:CU5), 0)</f>
        <v>3</v>
      </c>
      <c r="CV6" s="11">
        <f t="array" ref="CV6">MATCH(MAX(ABS(CV3:CV5)), ABS(CV3:CV5), 0)</f>
        <v>3</v>
      </c>
      <c r="CW6" s="11">
        <f t="array" ref="CW6">MATCH(MAX(ABS(CW3:CW5)), ABS(CW3:CW5), 0)</f>
        <v>3</v>
      </c>
      <c r="CX6" s="11">
        <f t="array" ref="CX6">MATCH(MAX(ABS(CX3:CX5)), ABS(CX3:CX5), 0)</f>
        <v>1</v>
      </c>
      <c r="CY6" s="11">
        <f t="array" ref="CY6">MATCH(MAX(ABS(CY3:CY5)), ABS(CY3:CY5), 0)</f>
        <v>2</v>
      </c>
      <c r="CZ6" s="11">
        <f t="array" ref="CZ6">MATCH(MAX(ABS(CZ3:CZ5)), ABS(CZ3:CZ5), 0)</f>
        <v>1</v>
      </c>
      <c r="DA6" s="11">
        <f t="array" ref="DA6">MATCH(MAX(ABS(DA3:DA5)), ABS(DA3:DA5), 0)</f>
        <v>2</v>
      </c>
      <c r="DB6" s="11">
        <f t="array" ref="DB6">MATCH(MAX(ABS(DB3:DB5)), ABS(DB3:DB5), 0)</f>
        <v>2</v>
      </c>
      <c r="DC6" s="11">
        <f t="array" ref="DC6">MATCH(MAX(ABS(DC3:DC5)), ABS(DC3:DC5), 0)</f>
        <v>1</v>
      </c>
      <c r="DD6" s="11">
        <f t="array" ref="DD6">MATCH(MAX(ABS(DD3:DD5)), ABS(DD3:DD5), 0)</f>
        <v>3</v>
      </c>
      <c r="DE6" s="11">
        <f t="array" ref="DE6">MATCH(MAX(ABS(DE3:DE5)), ABS(DE3:DE5), 0)</f>
        <v>3</v>
      </c>
      <c r="DF6" s="11">
        <f t="array" ref="DF6">MATCH(MAX(ABS(DF3:DF5)), ABS(DF3:DF5), 0)</f>
        <v>2</v>
      </c>
      <c r="DG6" s="11">
        <f t="array" ref="DG6">MATCH(MAX(ABS(DG3:DG5)), ABS(DG3:DG5), 0)</f>
        <v>2</v>
      </c>
      <c r="DH6" s="11">
        <f t="array" ref="DH6">MATCH(MAX(ABS(DH3:DH5)), ABS(DH3:DH5), 0)</f>
        <v>2</v>
      </c>
      <c r="DI6" s="11">
        <f t="array" ref="DI6">MATCH(MAX(ABS(DI3:DI5)), ABS(DI3:DI5), 0)</f>
        <v>2</v>
      </c>
      <c r="DJ6" s="11">
        <f t="array" ref="DJ6">MATCH(MAX(ABS(DJ3:DJ5)), ABS(DJ3:DJ5), 0)</f>
        <v>3</v>
      </c>
      <c r="DK6" s="11">
        <f t="array" ref="DK6">MATCH(MAX(ABS(DK3:DK5)), ABS(DK3:DK5), 0)</f>
        <v>2</v>
      </c>
      <c r="DL6" s="11">
        <f t="array" ref="DL6">MATCH(MAX(ABS(DL3:DL5)), ABS(DL3:DL5), 0)</f>
        <v>3</v>
      </c>
      <c r="DM6" s="11">
        <f t="array" ref="DM6">MATCH(MAX(ABS(DM3:DM5)), ABS(DM3:DM5), 0)</f>
        <v>2</v>
      </c>
      <c r="DN6" s="11">
        <f t="array" ref="DN6">MATCH(MAX(ABS(DN3:DN5)), ABS(DN3:DN5), 0)</f>
        <v>1</v>
      </c>
      <c r="DO6" s="11">
        <f t="array" ref="DO6">MATCH(MAX(ABS(DO3:DO5)), ABS(DO3:DO5), 0)</f>
        <v>2</v>
      </c>
      <c r="DP6" s="11">
        <f t="array" ref="DP6">MATCH(MAX(ABS(DP3:DP5)), ABS(DP3:DP5), 0)</f>
        <v>3</v>
      </c>
      <c r="DQ6" s="11">
        <f t="array" ref="DQ6">MATCH(MAX(ABS(DQ3:DQ5)), ABS(DQ3:DQ5), 0)</f>
        <v>3</v>
      </c>
      <c r="DR6" s="11">
        <f t="array" ref="DR6">MATCH(MAX(ABS(DR3:DR5)), ABS(DR3:DR5), 0)</f>
        <v>1</v>
      </c>
      <c r="DS6" s="11">
        <f t="array" ref="DS6">MATCH(MAX(ABS(DS3:DS5)), ABS(DS3:DS5), 0)</f>
        <v>2</v>
      </c>
      <c r="DT6" s="11">
        <f t="array" ref="DT6">MATCH(MAX(ABS(DT3:DT5)), ABS(DT3:DT5), 0)</f>
        <v>3</v>
      </c>
      <c r="DU6" s="11">
        <f t="array" ref="DU6">MATCH(MAX(ABS(DU3:DU5)), ABS(DU3:DU5), 0)</f>
        <v>2</v>
      </c>
      <c r="DV6" s="11">
        <f t="array" ref="DV6">MATCH(MAX(ABS(DV3:DV5)), ABS(DV3:DV5), 0)</f>
        <v>1</v>
      </c>
      <c r="DW6" s="11">
        <f t="array" ref="DW6">MATCH(MAX(ABS(DW3:DW5)), ABS(DW3:DW5), 0)</f>
        <v>2</v>
      </c>
      <c r="DX6" s="11">
        <f t="array" ref="DX6">MATCH(MAX(ABS(DX3:DX5)), ABS(DX3:DX5), 0)</f>
        <v>1</v>
      </c>
      <c r="DY6" s="11">
        <f t="array" ref="DY6">MATCH(MAX(ABS(DY3:DY5)), ABS(DY3:DY5), 0)</f>
        <v>2</v>
      </c>
      <c r="DZ6" s="11">
        <f t="array" ref="DZ6">MATCH(MAX(ABS(DZ3:DZ5)), ABS(DZ3:DZ5), 0)</f>
        <v>2</v>
      </c>
      <c r="EA6" s="11">
        <f t="array" ref="EA6">MATCH(MAX(ABS(EA3:EA5)), ABS(EA3:EA5), 0)</f>
        <v>3</v>
      </c>
      <c r="EB6" s="11">
        <f t="array" ref="EB6">MATCH(MAX(ABS(EB3:EB5)), ABS(EB3:EB5), 0)</f>
        <v>3</v>
      </c>
      <c r="EC6" s="11">
        <f t="array" ref="EC6">MATCH(MAX(ABS(EC3:EC5)), ABS(EC3:EC5), 0)</f>
        <v>1</v>
      </c>
      <c r="ED6" s="11">
        <f t="array" ref="ED6">MATCH(MAX(ABS(ED3:ED5)), ABS(ED3:ED5), 0)</f>
        <v>1</v>
      </c>
      <c r="EE6" s="11">
        <f t="array" ref="EE6">MATCH(MAX(ABS(EE3:EE5)), ABS(EE3:EE5), 0)</f>
        <v>2</v>
      </c>
      <c r="EF6" s="11">
        <f t="array" ref="EF6">MATCH(MAX(ABS(EF3:EF5)), ABS(EF3:EF5), 0)</f>
        <v>2</v>
      </c>
      <c r="EG6" s="11">
        <f t="array" ref="EG6">MATCH(MAX(ABS(EG3:EG5)), ABS(EG3:EG5), 0)</f>
        <v>2</v>
      </c>
    </row>
    <row r="7" spans="1:137" x14ac:dyDescent="0.3"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G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  <c r="EG7" s="11" t="str">
        <f t="shared" si="4"/>
        <v>size</v>
      </c>
    </row>
    <row r="8" spans="1:137" x14ac:dyDescent="0.3"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G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  <c r="EG8" s="11">
        <f t="shared" si="9"/>
        <v>-0.15895948868776608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>
        <v>10</v>
      </c>
      <c r="B12" s="1">
        <v>96</v>
      </c>
      <c r="C12" s="11">
        <f>IF(預測IC!C12&gt;預測IC!C$26,1,0)</f>
        <v>1</v>
      </c>
      <c r="D12" s="11">
        <f>C12+真實IC!D12</f>
        <v>1.1146886290452236</v>
      </c>
      <c r="E12" s="11">
        <f>D12+真實IC!E12</f>
        <v>1.1627154524324261</v>
      </c>
      <c r="F12" s="11">
        <f>E12+真實IC!F12</f>
        <v>1.218674837216885</v>
      </c>
      <c r="G12" s="11">
        <f>F12+真實IC!G12</f>
        <v>1.2506222857355154</v>
      </c>
      <c r="H12" s="11">
        <f>G12+真實IC!H12</f>
        <v>1.2891527979854034</v>
      </c>
      <c r="I12" s="11">
        <f>H12+真實IC!I12</f>
        <v>1.3254567348344555</v>
      </c>
      <c r="J12" s="11">
        <f>I12+真實IC!J12</f>
        <v>1.3692413135793271</v>
      </c>
      <c r="K12" s="11">
        <f>J12+真實IC!K12</f>
        <v>1.3984293117130262</v>
      </c>
      <c r="L12" s="11">
        <f>K12+真實IC!L12</f>
        <v>1.4403202527629999</v>
      </c>
      <c r="M12" s="11">
        <f>L12+真實IC!M12</f>
        <v>1.4672094265962068</v>
      </c>
      <c r="N12" s="11">
        <f>M12+真實IC!N12</f>
        <v>1.5365364133745596</v>
      </c>
      <c r="O12" s="11">
        <f>N12+真實IC!O12</f>
        <v>1.5644511724418</v>
      </c>
      <c r="P12" s="11">
        <f>O12+真實IC!P12</f>
        <v>1.5858715936462624</v>
      </c>
      <c r="Q12" s="11">
        <f>P12+真實IC!Q12</f>
        <v>1.6196643777671702</v>
      </c>
      <c r="R12" s="11">
        <f>Q12+真實IC!R12</f>
        <v>1.6330618840071058</v>
      </c>
      <c r="S12" s="11">
        <f>R12+真實IC!S12</f>
        <v>1.7041157811017129</v>
      </c>
      <c r="T12" s="11">
        <f>S12+真實IC!T12</f>
        <v>1.7519834974472377</v>
      </c>
      <c r="U12" s="11">
        <f>T12+真實IC!U12</f>
        <v>1.7723507180003686</v>
      </c>
      <c r="V12" s="11">
        <f>U12+真實IC!V12</f>
        <v>1.8173807088032172</v>
      </c>
      <c r="W12" s="11">
        <f>V12+真實IC!W12</f>
        <v>1.8814201237885981</v>
      </c>
      <c r="X12" s="11">
        <f>W12+真實IC!X12</f>
        <v>1.9910608751359335</v>
      </c>
      <c r="Y12" s="11">
        <f>X12+真實IC!Y12</f>
        <v>2.0078492523877496</v>
      </c>
      <c r="Z12" s="11">
        <f>Y12+真實IC!Z12</f>
        <v>2.0714729357033237</v>
      </c>
      <c r="AA12" s="11">
        <f>Z12+真實IC!AA12</f>
        <v>2.0983914151241354</v>
      </c>
      <c r="AB12" s="11">
        <f>AA12+真實IC!AB12</f>
        <v>2.1330805256756133</v>
      </c>
      <c r="AC12" s="11">
        <f>AB12+真實IC!AC12</f>
        <v>2.1798534713019246</v>
      </c>
      <c r="AD12" s="11">
        <f>AC12+真實IC!AD12</f>
        <v>2.1892457146336044</v>
      </c>
      <c r="AE12" s="11">
        <f>AD12+真實IC!AE12</f>
        <v>2.2356834313005884</v>
      </c>
      <c r="AF12" s="11">
        <f>AE12+真實IC!AF12</f>
        <v>2.2876955340773559</v>
      </c>
      <c r="AG12" s="11">
        <f>AF12+真實IC!AG12</f>
        <v>2.3176776790100804</v>
      </c>
      <c r="AH12" s="11">
        <f>AG12+真實IC!AH12</f>
        <v>2.3310834836597136</v>
      </c>
      <c r="AI12" s="11">
        <f>AH12+真實IC!AI12</f>
        <v>2.3543299428385782</v>
      </c>
      <c r="AJ12" s="11">
        <f>AI12+真實IC!AJ12</f>
        <v>2.3673136903846328</v>
      </c>
      <c r="AK12" s="11">
        <f>AJ12+真實IC!AK12</f>
        <v>2.4154373945367671</v>
      </c>
      <c r="AL12" s="11">
        <f>AK12+真實IC!AL12</f>
        <v>2.4495430157803435</v>
      </c>
      <c r="AM12" s="11">
        <f>AL12+真實IC!AM12</f>
        <v>2.4796291313929415</v>
      </c>
      <c r="AN12" s="11">
        <f>AM12+真實IC!AN12</f>
        <v>2.5488623657063698</v>
      </c>
      <c r="AO12" s="11">
        <f>AN12+真實IC!AO12</f>
        <v>2.5638578365494973</v>
      </c>
      <c r="AP12" s="11">
        <f>AO12+真實IC!AP12</f>
        <v>2.5975761813313465</v>
      </c>
      <c r="AQ12" s="11">
        <f>AP12+真實IC!AQ12</f>
        <v>2.6042585241171445</v>
      </c>
      <c r="AR12" s="11">
        <f>AQ12+真實IC!AR12</f>
        <v>2.6117629522059045</v>
      </c>
      <c r="AS12" s="11">
        <f>AR12+真實IC!AS12</f>
        <v>2.6317392251162759</v>
      </c>
      <c r="AT12" s="11">
        <f>AS12+真實IC!AT12</f>
        <v>2.7039346074687112</v>
      </c>
      <c r="AU12" s="11">
        <f>AT12+真實IC!AU12</f>
        <v>2.7673448695230825</v>
      </c>
      <c r="AV12" s="11">
        <f>AU12+真實IC!AV12</f>
        <v>2.8210605001798021</v>
      </c>
      <c r="AW12" s="11">
        <f>AV12+真實IC!AW12</f>
        <v>2.8382302049432053</v>
      </c>
      <c r="AX12" s="11">
        <f>AW12+真實IC!AX12</f>
        <v>2.8829262169161032</v>
      </c>
      <c r="AY12" s="11">
        <f>AX12+真實IC!AY12</f>
        <v>2.9078815099837763</v>
      </c>
      <c r="AZ12" s="11">
        <f>AY12+真實IC!AZ12</f>
        <v>2.9744453131630681</v>
      </c>
      <c r="BA12" s="11">
        <f>AZ12+真實IC!BA12</f>
        <v>3.0457214694440031</v>
      </c>
      <c r="BB12" s="11">
        <f>BA12+真實IC!BB12</f>
        <v>3.0747581240136448</v>
      </c>
      <c r="BC12" s="11">
        <f>BB12+真實IC!BC12</f>
        <v>3.1014490903059824</v>
      </c>
      <c r="BD12" s="11">
        <f>BC12+真實IC!BD12</f>
        <v>3.1506827119269532</v>
      </c>
      <c r="BE12" s="11">
        <f>BD12+真實IC!BE12</f>
        <v>3.1860512570694719</v>
      </c>
      <c r="BF12" s="11">
        <f>BE12+真實IC!BF12</f>
        <v>3.2536682063171671</v>
      </c>
      <c r="BG12" s="11">
        <f>BF12+真實IC!BG12</f>
        <v>3.3004259601984507</v>
      </c>
      <c r="BH12" s="11">
        <f>BG12+真實IC!BH12</f>
        <v>3.3355055492283676</v>
      </c>
      <c r="BI12" s="11">
        <f>BH12+真實IC!BI12</f>
        <v>3.3855268022593585</v>
      </c>
      <c r="BJ12" s="11">
        <f>BI12+真實IC!BJ12</f>
        <v>3.4289493013670307</v>
      </c>
      <c r="BK12" s="11">
        <f>BJ12+真實IC!BK12</f>
        <v>3.4490249533703086</v>
      </c>
      <c r="BL12" s="11">
        <f>BK12+真實IC!BL12</f>
        <v>3.4811540516708028</v>
      </c>
      <c r="BM12" s="11">
        <f>BL12+真實IC!BM12</f>
        <v>3.5314597361941273</v>
      </c>
      <c r="BN12" s="11">
        <f>BM12+真實IC!BN12</f>
        <v>3.5509622744042471</v>
      </c>
      <c r="BO12" s="11">
        <f>BN12+真實IC!BO12</f>
        <v>3.575208584660484</v>
      </c>
      <c r="BP12" s="11">
        <f>BO12+真實IC!BP12</f>
        <v>3.601630541994651</v>
      </c>
      <c r="BQ12" s="11">
        <f>BP12+真實IC!BQ12</f>
        <v>3.6155272916133976</v>
      </c>
      <c r="BR12" s="11">
        <f>BQ12+真實IC!BR12</f>
        <v>3.6842209067605109</v>
      </c>
      <c r="BS12" s="11">
        <f>BR12+真實IC!BS12</f>
        <v>3.7168637616489035</v>
      </c>
      <c r="BT12" s="11">
        <f>BS12+真實IC!BT12</f>
        <v>3.7381518588810021</v>
      </c>
      <c r="BU12" s="11">
        <f>BT12+真實IC!BU12</f>
        <v>3.7862352284571776</v>
      </c>
      <c r="BV12" s="11">
        <f>BU12+真實IC!BV12</f>
        <v>3.8285176175431075</v>
      </c>
      <c r="BW12" s="11">
        <f>BV12+真實IC!BW12</f>
        <v>3.8729946214347577</v>
      </c>
      <c r="BX12" s="11">
        <f>BW12+真實IC!BX12</f>
        <v>3.8889787730754874</v>
      </c>
      <c r="BY12" s="11">
        <f>BX12+真實IC!BY12</f>
        <v>3.9479086894330515</v>
      </c>
      <c r="BZ12" s="11">
        <f>BY12+真實IC!BZ12</f>
        <v>3.9932656351243243</v>
      </c>
      <c r="CA12" s="11">
        <f>BZ12+真實IC!CA12</f>
        <v>4.0276659225646672</v>
      </c>
      <c r="CB12" s="11">
        <f>CA12+真實IC!CB12</f>
        <v>4.1001417986368462</v>
      </c>
      <c r="CC12" s="11">
        <f>CB12+真實IC!CC12</f>
        <v>4.1657084112645357</v>
      </c>
      <c r="CD12" s="11">
        <f>CC12+真實IC!CD12</f>
        <v>4.2766420448489884</v>
      </c>
      <c r="CE12" s="11">
        <f>CD12+真實IC!CE12</f>
        <v>4.4306490577387301</v>
      </c>
      <c r="CF12" s="11">
        <f>CE12+真實IC!CF12</f>
        <v>4.4584166411525024</v>
      </c>
      <c r="CG12" s="11">
        <f>CF12+真實IC!CG12</f>
        <v>4.507694601115583</v>
      </c>
      <c r="CH12" s="11">
        <f>CG12+真實IC!CH12</f>
        <v>4.5709919734935429</v>
      </c>
      <c r="CI12" s="11">
        <f>CH12+真實IC!CI12</f>
        <v>4.605647885905749</v>
      </c>
      <c r="CJ12" s="11">
        <f>CI12+真實IC!CJ12</f>
        <v>4.6597679528199443</v>
      </c>
      <c r="CK12" s="11">
        <f>CJ12+真實IC!CK12</f>
        <v>4.7158693934677345</v>
      </c>
      <c r="CL12" s="11">
        <f>CK12+真實IC!CL12</f>
        <v>4.8338850011373449</v>
      </c>
      <c r="CM12" s="11">
        <f>CL12+真實IC!CM12</f>
        <v>4.9055933891545571</v>
      </c>
      <c r="CN12" s="11">
        <f>CM12+真實IC!CN12</f>
        <v>4.9840585931653631</v>
      </c>
      <c r="CO12" s="11">
        <f>CN12+真實IC!CO12</f>
        <v>5.0553508360389552</v>
      </c>
      <c r="CP12" s="11">
        <f>CO12+真實IC!CP12</f>
        <v>5.1006498575064487</v>
      </c>
      <c r="CQ12" s="11">
        <f>CP12+真實IC!CQ12</f>
        <v>5.1633342045100239</v>
      </c>
      <c r="CR12" s="11">
        <f>CQ12+真實IC!CR12</f>
        <v>5.2204941910315377</v>
      </c>
      <c r="CS12" s="11">
        <f>CR12+真實IC!CS12</f>
        <v>5.2214727646263901</v>
      </c>
      <c r="CT12" s="11">
        <f>CS12+真實IC!CT12</f>
        <v>5.2535867752344396</v>
      </c>
      <c r="CU12" s="11">
        <f>CT12+真實IC!CU12</f>
        <v>5.3283663045157965</v>
      </c>
      <c r="CV12" s="11">
        <f>CU12+真實IC!CV12</f>
        <v>5.3933996110114855</v>
      </c>
      <c r="CW12" s="11">
        <f>CV12+真實IC!CW12</f>
        <v>5.4064362803900634</v>
      </c>
      <c r="CX12" s="11">
        <f>CW12+真實IC!CX12</f>
        <v>5.4674261629270555</v>
      </c>
      <c r="CY12" s="11">
        <f>CX12+真實IC!CY12</f>
        <v>5.5134991405925105</v>
      </c>
      <c r="CZ12" s="11">
        <f>CY12+真實IC!CZ12</f>
        <v>5.5912914679320114</v>
      </c>
      <c r="DA12" s="11">
        <f>CZ12+真實IC!DA12</f>
        <v>5.6282701292912067</v>
      </c>
      <c r="DB12" s="11">
        <f>DA12+真實IC!DB12</f>
        <v>5.7172519457892514</v>
      </c>
      <c r="DC12" s="11">
        <f>DB12+真實IC!DC12</f>
        <v>5.7512251486640258</v>
      </c>
      <c r="DD12" s="11">
        <f>DC12+真實IC!DD12</f>
        <v>5.8211856943983689</v>
      </c>
      <c r="DE12" s="11">
        <f>DD12+真實IC!DE12</f>
        <v>5.8459233388134635</v>
      </c>
      <c r="DF12" s="11">
        <f>DE12+真實IC!DF12</f>
        <v>5.9014090728955368</v>
      </c>
      <c r="DG12" s="11">
        <f>DF12+真實IC!DG12</f>
        <v>5.9478188906750615</v>
      </c>
      <c r="DH12" s="11">
        <f>DG12+真實IC!DH12</f>
        <v>6.0090140454633785</v>
      </c>
      <c r="DI12" s="11">
        <f>DH12+真實IC!DI12</f>
        <v>6.0687631132431274</v>
      </c>
      <c r="DJ12" s="11">
        <f>DI12+真實IC!DJ12</f>
        <v>6.1101411561787993</v>
      </c>
      <c r="DK12" s="11">
        <f>DJ12+真實IC!DK12</f>
        <v>6.1420693555113948</v>
      </c>
      <c r="DL12" s="11">
        <f>DK12+真實IC!DL12</f>
        <v>6.1607391888451977</v>
      </c>
      <c r="DM12" s="11">
        <f>DL12+真實IC!DM12</f>
        <v>6.1799768824257582</v>
      </c>
      <c r="DN12" s="11">
        <f>DM12+真實IC!DN12</f>
        <v>6.222387247811823</v>
      </c>
      <c r="DO12" s="11">
        <f>DN12+真實IC!DO12</f>
        <v>6.2529441899133138</v>
      </c>
      <c r="DP12" s="11">
        <f>DO12+真實IC!DP12</f>
        <v>6.3123528844699743</v>
      </c>
      <c r="DQ12" s="11">
        <f>DP12+真實IC!DQ12</f>
        <v>6.386893531950447</v>
      </c>
      <c r="DR12" s="11">
        <f>DQ12+真實IC!DR12</f>
        <v>6.4056724752298342</v>
      </c>
      <c r="DS12" s="11">
        <f>DR12+真實IC!DS12</f>
        <v>6.4753230272995337</v>
      </c>
      <c r="DT12" s="11">
        <f>DS12+真實IC!DT12</f>
        <v>6.5001368688621204</v>
      </c>
      <c r="DU12" s="11">
        <f>DT12+真實IC!DU12</f>
        <v>6.5573671520064289</v>
      </c>
      <c r="DV12" s="11">
        <f>DU12+真實IC!DV12</f>
        <v>6.6059179764839593</v>
      </c>
      <c r="DW12" s="11">
        <f>DV12+真實IC!DW12</f>
        <v>6.6508858106964848</v>
      </c>
      <c r="DX12" s="11">
        <f>DW12+真實IC!DX12</f>
        <v>6.7010378912388466</v>
      </c>
      <c r="DY12" s="11">
        <f>DX12+真實IC!DY12</f>
        <v>6.7541832021264563</v>
      </c>
      <c r="DZ12" s="11">
        <f>DY12+真實IC!DZ12</f>
        <v>6.7604103514749445</v>
      </c>
      <c r="EA12" s="11">
        <f>DZ12+真實IC!EA12</f>
        <v>6.8735373932240815</v>
      </c>
      <c r="EB12" s="11">
        <f>EA12+真實IC!EB12</f>
        <v>6.9040631700419235</v>
      </c>
      <c r="EC12" s="11">
        <f>EB12+真實IC!EC12</f>
        <v>6.9307146796215884</v>
      </c>
      <c r="ED12" s="11">
        <f>EC12+真實IC!ED12</f>
        <v>6.9912228324300729</v>
      </c>
      <c r="EE12" s="11">
        <f>ED12+真實IC!EE12</f>
        <v>7.0177297245912209</v>
      </c>
      <c r="EF12" s="11">
        <f>EE12+真實IC!EF12</f>
        <v>7.0469634903464522</v>
      </c>
    </row>
    <row r="13" spans="1:137" x14ac:dyDescent="0.3">
      <c r="A13" s="1">
        <v>20</v>
      </c>
      <c r="B13" s="1">
        <v>48</v>
      </c>
      <c r="C13" s="11">
        <f>IF(預測IC!C13&gt;預測IC!C$26,1,0)</f>
        <v>1</v>
      </c>
      <c r="D13" s="11">
        <f>C13+真實IC!D13</f>
        <v>1.1237450287927724</v>
      </c>
      <c r="E13" s="11">
        <f>D13+真實IC!E13</f>
        <v>1.1936065851455788</v>
      </c>
      <c r="F13" s="11">
        <f>E13+真實IC!F13</f>
        <v>1.2535931118385018</v>
      </c>
      <c r="G13" s="11">
        <f>F13+真實IC!G13</f>
        <v>1.2656405161386077</v>
      </c>
      <c r="H13" s="11">
        <f>G13+真實IC!H13</f>
        <v>1.2956301478643291</v>
      </c>
      <c r="I13" s="11">
        <f>H13+真實IC!I13</f>
        <v>1.3283130108490515</v>
      </c>
      <c r="J13" s="11">
        <f>I13+真實IC!J13</f>
        <v>1.3628629028186963</v>
      </c>
      <c r="K13" s="11">
        <f>J13+真實IC!K13</f>
        <v>1.4231890420462665</v>
      </c>
      <c r="L13" s="11">
        <f>K13+真實IC!L13</f>
        <v>1.4292142033399202</v>
      </c>
      <c r="M13" s="11">
        <f>L13+真實IC!M13</f>
        <v>1.4324939615659249</v>
      </c>
      <c r="N13" s="11">
        <f>M13+真實IC!N13</f>
        <v>1.5323008785225956</v>
      </c>
      <c r="O13" s="11">
        <f>N13+真實IC!O13</f>
        <v>1.5497235773335456</v>
      </c>
      <c r="P13" s="11">
        <f>O13+真實IC!P13</f>
        <v>1.5705804903949512</v>
      </c>
      <c r="Q13" s="11">
        <f>P13+真實IC!Q13</f>
        <v>1.6147987546229212</v>
      </c>
      <c r="R13" s="11">
        <f>Q13+真實IC!R13</f>
        <v>1.6212886647989957</v>
      </c>
      <c r="S13" s="11">
        <f>R13+真實IC!S13</f>
        <v>1.7442039628025463</v>
      </c>
      <c r="T13" s="11">
        <f>S13+真實IC!T13</f>
        <v>1.8184380443142689</v>
      </c>
      <c r="U13" s="11">
        <f>T13+真實IC!U13</f>
        <v>1.872599119355963</v>
      </c>
      <c r="V13" s="11">
        <f>U13+真實IC!V13</f>
        <v>1.9253788582561966</v>
      </c>
      <c r="W13" s="11">
        <f>V13+真實IC!W13</f>
        <v>2.0008554201163467</v>
      </c>
      <c r="X13" s="11">
        <f>W13+真實IC!X13</f>
        <v>2.1219831909690847</v>
      </c>
      <c r="Y13" s="11">
        <f>X13+真實IC!Y13</f>
        <v>2.1484550741864274</v>
      </c>
      <c r="Z13" s="11">
        <f>Y13+真實IC!Z13</f>
        <v>2.2268795089916109</v>
      </c>
      <c r="AA13" s="11">
        <f>Z13+真實IC!AA13</f>
        <v>2.274592157441869</v>
      </c>
      <c r="AB13" s="11">
        <f>AA13+真實IC!AB13</f>
        <v>2.3212703775632462</v>
      </c>
      <c r="AC13" s="11">
        <f>AB13+真實IC!AC13</f>
        <v>2.3880420779451761</v>
      </c>
      <c r="AD13" s="11">
        <f>AC13+真實IC!AD13</f>
        <v>2.4095857677304515</v>
      </c>
      <c r="AE13" s="11">
        <f>AD13+真實IC!AE13</f>
        <v>2.4866571844572523</v>
      </c>
      <c r="AF13" s="11">
        <f>AE13+真實IC!AF13</f>
        <v>2.5599383452855635</v>
      </c>
      <c r="AG13" s="11">
        <f>AF13+真實IC!AG13</f>
        <v>2.5916201283405664</v>
      </c>
      <c r="AH13" s="11">
        <f>AG13+真實IC!AH13</f>
        <v>2.6012614675800827</v>
      </c>
      <c r="AI13" s="11">
        <f>AH13+真實IC!AI13</f>
        <v>2.6211713778004961</v>
      </c>
      <c r="AJ13" s="11">
        <f>AI13+真實IC!AJ13</f>
        <v>2.6048909078122202</v>
      </c>
      <c r="AK13" s="11">
        <f>AJ13+真實IC!AK13</f>
        <v>2.6708788206228764</v>
      </c>
      <c r="AL13" s="11">
        <f>AK13+真實IC!AL13</f>
        <v>2.6934291782094131</v>
      </c>
      <c r="AM13" s="11">
        <f>AL13+真實IC!AM13</f>
        <v>2.7397116217462418</v>
      </c>
      <c r="AN13" s="11">
        <f>AM13+真實IC!AN13</f>
        <v>2.8450418598822758</v>
      </c>
      <c r="AO13" s="11">
        <f>AN13+真實IC!AO13</f>
        <v>2.8433330131936403</v>
      </c>
      <c r="AP13" s="11">
        <f>AO13+真實IC!AP13</f>
        <v>2.9028838535556378</v>
      </c>
      <c r="AQ13" s="11">
        <f>AP13+真實IC!AQ13</f>
        <v>2.9139668480187608</v>
      </c>
      <c r="AR13" s="11">
        <f>AQ13+真實IC!AR13</f>
        <v>2.9047161155354848</v>
      </c>
      <c r="AS13" s="11">
        <f>AR13+真實IC!AS13</f>
        <v>2.9281210790770822</v>
      </c>
      <c r="AT13" s="11">
        <f>AS13+真實IC!AT13</f>
        <v>3.0145439938046819</v>
      </c>
      <c r="AU13" s="11">
        <f>AT13+真實IC!AU13</f>
        <v>3.0913283274330561</v>
      </c>
      <c r="AV13" s="11">
        <f>AU13+真實IC!AV13</f>
        <v>3.1709943030815264</v>
      </c>
      <c r="AW13" s="11">
        <f>AV13+真實IC!AW13</f>
        <v>3.1978155410519076</v>
      </c>
      <c r="AX13" s="11">
        <f>AW13+真實IC!AX13</f>
        <v>3.2306153731877632</v>
      </c>
      <c r="AY13" s="11">
        <f>AX13+真實IC!AY13</f>
        <v>3.2481797195363882</v>
      </c>
      <c r="AZ13" s="11">
        <f>AY13+真實IC!AZ13</f>
        <v>3.3036294954919532</v>
      </c>
      <c r="BA13" s="11">
        <f>AZ13+真實IC!BA13</f>
        <v>3.3834586158357416</v>
      </c>
      <c r="BB13" s="11">
        <f>BA13+真實IC!BB13</f>
        <v>3.4060060168105206</v>
      </c>
      <c r="BC13" s="11">
        <f>BB13+真實IC!BC13</f>
        <v>3.4251168840853627</v>
      </c>
      <c r="BD13" s="11">
        <f>BC13+真實IC!BD13</f>
        <v>3.4667931978320325</v>
      </c>
      <c r="BE13" s="11">
        <f>BD13+真實IC!BE13</f>
        <v>3.5105669872178158</v>
      </c>
      <c r="BF13" s="11">
        <f>BE13+真實IC!BF13</f>
        <v>3.6322241304837717</v>
      </c>
      <c r="BG13" s="11">
        <f>BF13+真實IC!BG13</f>
        <v>3.7206216763400923</v>
      </c>
      <c r="BH13" s="11">
        <f>BG13+真實IC!BH13</f>
        <v>3.7616453325322845</v>
      </c>
      <c r="BI13" s="11">
        <f>BH13+真實IC!BI13</f>
        <v>3.814054464988986</v>
      </c>
      <c r="BJ13" s="11">
        <f>BI13+真實IC!BJ13</f>
        <v>3.8655063839489081</v>
      </c>
      <c r="BK13" s="11">
        <f>BJ13+真實IC!BK13</f>
        <v>3.8906321573121003</v>
      </c>
      <c r="BL13" s="11">
        <f>BK13+真實IC!BL13</f>
        <v>3.9250921977605513</v>
      </c>
      <c r="BM13" s="11">
        <f>BL13+真實IC!BM13</f>
        <v>3.9784639664557422</v>
      </c>
      <c r="BN13" s="11">
        <f>BM13+真實IC!BN13</f>
        <v>3.9736063633973289</v>
      </c>
      <c r="BO13" s="11">
        <f>BN13+真實IC!BO13</f>
        <v>4.0044850796308031</v>
      </c>
      <c r="BP13" s="11">
        <f>BO13+真實IC!BP13</f>
        <v>4.0124362260485773</v>
      </c>
      <c r="BQ13" s="11">
        <f>BP13+真實IC!BQ13</f>
        <v>4.0540892898380028</v>
      </c>
      <c r="BR13" s="11">
        <f>BQ13+真實IC!BR13</f>
        <v>4.1339207466613361</v>
      </c>
      <c r="BS13" s="11">
        <f>BR13+真實IC!BS13</f>
        <v>4.174101261022753</v>
      </c>
      <c r="BT13" s="11">
        <f>BS13+真實IC!BT13</f>
        <v>4.2077690307806721</v>
      </c>
      <c r="BU13" s="11">
        <f>BT13+真實IC!BU13</f>
        <v>4.2824271987904456</v>
      </c>
      <c r="BV13" s="11">
        <f>BU13+真實IC!BV13</f>
        <v>4.3623580328915033</v>
      </c>
      <c r="BW13" s="11">
        <f>BV13+真實IC!BW13</f>
        <v>4.4380720385281824</v>
      </c>
      <c r="BX13" s="11">
        <f>BW13+真實IC!BX13</f>
        <v>4.4395494733044245</v>
      </c>
      <c r="BY13" s="11">
        <f>BX13+真實IC!BY13</f>
        <v>4.4787514298795656</v>
      </c>
      <c r="BZ13" s="11">
        <f>BY13+真實IC!BZ13</f>
        <v>4.554889552938616</v>
      </c>
      <c r="CA13" s="11">
        <f>BZ13+真實IC!CA13</f>
        <v>4.5884211185390127</v>
      </c>
      <c r="CB13" s="11">
        <f>CA13+真實IC!CB13</f>
        <v>4.7088480902710481</v>
      </c>
      <c r="CC13" s="11">
        <f>CB13+真實IC!CC13</f>
        <v>4.8289662640092814</v>
      </c>
      <c r="CD13" s="11">
        <f>CC13+真實IC!CD13</f>
        <v>4.9340520969016088</v>
      </c>
      <c r="CE13" s="11">
        <f>CD13+真實IC!CE13</f>
        <v>5.1178799333572176</v>
      </c>
      <c r="CF13" s="11">
        <f>CE13+真實IC!CF13</f>
        <v>5.1623942000822867</v>
      </c>
      <c r="CG13" s="11">
        <f>CF13+真實IC!CG13</f>
        <v>5.2204091678895264</v>
      </c>
      <c r="CH13" s="11">
        <f>CG13+真實IC!CH13</f>
        <v>5.2787437797167334</v>
      </c>
      <c r="CI13" s="11">
        <f>CH13+真實IC!CI13</f>
        <v>5.3305972888509965</v>
      </c>
      <c r="CJ13" s="11">
        <f>CI13+真實IC!CJ13</f>
        <v>5.3854074695298362</v>
      </c>
      <c r="CK13" s="11">
        <f>CJ13+真實IC!CK13</f>
        <v>5.4510945957966337</v>
      </c>
      <c r="CL13" s="11">
        <f>CK13+真實IC!CL13</f>
        <v>5.5325479618988149</v>
      </c>
      <c r="CM13" s="11">
        <f>CL13+真實IC!CM13</f>
        <v>5.6340001806128335</v>
      </c>
      <c r="CN13" s="11">
        <f>CM13+真實IC!CN13</f>
        <v>5.7349943472610274</v>
      </c>
      <c r="CO13" s="11">
        <f>CN13+真實IC!CO13</f>
        <v>5.8205605865691039</v>
      </c>
      <c r="CP13" s="11">
        <f>CO13+真實IC!CP13</f>
        <v>5.8902871268468386</v>
      </c>
      <c r="CQ13" s="11">
        <f>CP13+真實IC!CQ13</f>
        <v>5.9614659918152428</v>
      </c>
      <c r="CR13" s="11">
        <f>CQ13+真實IC!CR13</f>
        <v>6.0731108781957177</v>
      </c>
      <c r="CS13" s="11">
        <f>CR13+真實IC!CS13</f>
        <v>6.0826785318608527</v>
      </c>
      <c r="CT13" s="11">
        <f>CS13+真實IC!CT13</f>
        <v>6.1261407998299049</v>
      </c>
      <c r="CU13" s="11">
        <f>CT13+真實IC!CU13</f>
        <v>6.233231761543542</v>
      </c>
      <c r="CV13" s="11">
        <f>CU13+真實IC!CV13</f>
        <v>6.310887812800515</v>
      </c>
      <c r="CW13" s="11">
        <f>CV13+真實IC!CW13</f>
        <v>6.3471969325569484</v>
      </c>
      <c r="CX13" s="11">
        <f>CW13+真實IC!CX13</f>
        <v>6.4072301877970013</v>
      </c>
      <c r="CY13" s="11">
        <f>CX13+真實IC!CY13</f>
        <v>6.4695271348023642</v>
      </c>
      <c r="CZ13" s="11">
        <f>CY13+真實IC!CZ13</f>
        <v>6.5267513551558496</v>
      </c>
      <c r="DA13" s="11">
        <f>CZ13+真實IC!DA13</f>
        <v>6.576197388840729</v>
      </c>
      <c r="DB13" s="11">
        <f>DA13+真實IC!DB13</f>
        <v>6.6824327101436829</v>
      </c>
      <c r="DC13" s="11">
        <f>DB13+真實IC!DC13</f>
        <v>6.7122082760219755</v>
      </c>
      <c r="DD13" s="11">
        <f>DC13+真實IC!DD13</f>
        <v>6.7811853349463593</v>
      </c>
      <c r="DE13" s="11">
        <f>DD13+真實IC!DE13</f>
        <v>6.8036273313755951</v>
      </c>
      <c r="DF13" s="11">
        <f>DE13+真實IC!DF13</f>
        <v>6.8867495184436258</v>
      </c>
      <c r="DG13" s="11">
        <f>DF13+真實IC!DG13</f>
        <v>6.9344786020500857</v>
      </c>
      <c r="DH13" s="11">
        <f>DG13+真實IC!DH13</f>
        <v>7.023199202996393</v>
      </c>
      <c r="DI13" s="11">
        <f>DH13+真實IC!DI13</f>
        <v>7.1129477665438872</v>
      </c>
      <c r="DJ13" s="11">
        <f>DI13+真實IC!DJ13</f>
        <v>7.1199688901594449</v>
      </c>
      <c r="DK13" s="11">
        <f>DJ13+真實IC!DK13</f>
        <v>7.139355524023304</v>
      </c>
      <c r="DL13" s="11">
        <f>DK13+真實IC!DL13</f>
        <v>7.1614062147013922</v>
      </c>
      <c r="DM13" s="11">
        <f>DL13+真實IC!DM13</f>
        <v>7.1608745920909191</v>
      </c>
      <c r="DN13" s="11">
        <f>DM13+真實IC!DN13</f>
        <v>7.1723741700134322</v>
      </c>
      <c r="DO13" s="11">
        <f>DN13+真實IC!DO13</f>
        <v>7.2102376350982249</v>
      </c>
      <c r="DP13" s="11">
        <f>DO13+真實IC!DP13</f>
        <v>7.2682699439889262</v>
      </c>
      <c r="DQ13" s="11">
        <f>DP13+真實IC!DQ13</f>
        <v>7.3553989553814967</v>
      </c>
      <c r="DR13" s="11">
        <f>DQ13+真實IC!DR13</f>
        <v>7.3691701646538084</v>
      </c>
      <c r="DS13" s="11">
        <f>DR13+真實IC!DS13</f>
        <v>7.437767017294199</v>
      </c>
      <c r="DT13" s="11">
        <f>DS13+真實IC!DT13</f>
        <v>7.467612826455202</v>
      </c>
      <c r="DU13" s="11">
        <f>DT13+真實IC!DU13</f>
        <v>7.5006189858978205</v>
      </c>
      <c r="DV13" s="11">
        <f>DU13+真實IC!DV13</f>
        <v>7.5802391299220089</v>
      </c>
      <c r="DW13" s="11">
        <f>DV13+真實IC!DW13</f>
        <v>7.622267815634209</v>
      </c>
      <c r="DX13" s="11">
        <f>DW13+真實IC!DX13</f>
        <v>7.686791195212705</v>
      </c>
      <c r="DY13" s="11">
        <f>DX13+真實IC!DY13</f>
        <v>7.7437725342602644</v>
      </c>
      <c r="DZ13" s="11">
        <f>DY13+真實IC!DZ13</f>
        <v>7.7620746584065659</v>
      </c>
      <c r="EA13" s="11">
        <f>DZ13+真實IC!EA13</f>
        <v>7.8865436165556364</v>
      </c>
      <c r="EB13" s="11">
        <f>EA13+真實IC!EB13</f>
        <v>7.9437489093040252</v>
      </c>
      <c r="EC13" s="11">
        <f>EB13+真實IC!EC13</f>
        <v>7.9854086627392542</v>
      </c>
      <c r="ED13" s="11">
        <f>EC13+真實IC!ED13</f>
        <v>8.051090756398489</v>
      </c>
      <c r="EE13" s="11">
        <f>ED13+真實IC!EE13</f>
        <v>8.0923251403944008</v>
      </c>
      <c r="EF13" s="11">
        <f>EE13+真實IC!EF13</f>
        <v>8.1368387499471204</v>
      </c>
    </row>
    <row r="14" spans="1:137" x14ac:dyDescent="0.3">
      <c r="A14" s="1">
        <v>50</v>
      </c>
      <c r="B14" s="1">
        <v>19</v>
      </c>
      <c r="C14" s="11">
        <f>IF(預測IC!C14&gt;預測IC!C$26,1,0)</f>
        <v>1</v>
      </c>
      <c r="D14" s="11">
        <f>C14+真實IC!D14</f>
        <v>1.2223084485406259</v>
      </c>
      <c r="E14" s="11">
        <f>D14+真實IC!E14</f>
        <v>1.321076696682848</v>
      </c>
      <c r="F14" s="11">
        <f>E14+真實IC!F14</f>
        <v>1.3814186015888805</v>
      </c>
      <c r="G14" s="11">
        <f>F14+真實IC!G14</f>
        <v>1.4350752320316611</v>
      </c>
      <c r="H14" s="11">
        <f>G14+真實IC!H14</f>
        <v>1.4946630384671011</v>
      </c>
      <c r="I14" s="11">
        <f>H14+真實IC!I14</f>
        <v>1.5384503982902435</v>
      </c>
      <c r="J14" s="11">
        <f>I14+真實IC!J14</f>
        <v>1.5617603702551544</v>
      </c>
      <c r="K14" s="11">
        <f>J14+真實IC!K14</f>
        <v>1.6125878365160022</v>
      </c>
      <c r="L14" s="11">
        <f>K14+真實IC!L14</f>
        <v>1.6210682840815507</v>
      </c>
      <c r="M14" s="11">
        <f>L14+真實IC!M14</f>
        <v>1.6020465696165667</v>
      </c>
      <c r="N14" s="11">
        <f>M14+真實IC!N14</f>
        <v>1.8068791447577925</v>
      </c>
      <c r="O14" s="11">
        <f>N14+真實IC!O14</f>
        <v>1.8083735526963411</v>
      </c>
      <c r="P14" s="11">
        <f>O14+真實IC!P14</f>
        <v>1.8667194745945823</v>
      </c>
      <c r="Q14" s="11">
        <f>P14+真實IC!Q14</f>
        <v>1.9908233457660309</v>
      </c>
      <c r="R14" s="11">
        <f>Q14+真實IC!R14</f>
        <v>1.9748821584689291</v>
      </c>
      <c r="S14" s="11">
        <f>R14+真實IC!S14</f>
        <v>2.140775385653638</v>
      </c>
      <c r="T14" s="11">
        <f>S14+真實IC!T14</f>
        <v>2.1757949404880379</v>
      </c>
      <c r="U14" s="11">
        <f>T14+真實IC!U14</f>
        <v>2.2800616051236853</v>
      </c>
      <c r="V14" s="11">
        <f>U14+真實IC!V14</f>
        <v>2.3001507323090635</v>
      </c>
      <c r="W14" s="11">
        <f>V14+真實IC!W14</f>
        <v>2.4163165228409604</v>
      </c>
      <c r="X14" s="11">
        <f>W14+真實IC!X14</f>
        <v>2.6030022184513073</v>
      </c>
      <c r="Y14" s="11">
        <f>X14+真實IC!Y14</f>
        <v>2.6082220930468392</v>
      </c>
      <c r="Z14" s="11">
        <f>Y14+真實IC!Z14</f>
        <v>2.6467340193271469</v>
      </c>
      <c r="AA14" s="11">
        <f>Z14+真實IC!AA14</f>
        <v>2.7466398988244718</v>
      </c>
      <c r="AB14" s="11">
        <f>AA14+真實IC!AB14</f>
        <v>2.817409276171702</v>
      </c>
      <c r="AC14" s="11">
        <f>AB14+真實IC!AC14</f>
        <v>2.8143227138329125</v>
      </c>
      <c r="AD14" s="11">
        <f>AC14+真實IC!AD14</f>
        <v>2.8536506060229425</v>
      </c>
      <c r="AE14" s="11">
        <f>AD14+真實IC!AE14</f>
        <v>2.9704875258625085</v>
      </c>
      <c r="AF14" s="11">
        <f>AE14+真實IC!AF14</f>
        <v>3.066567621319142</v>
      </c>
      <c r="AG14" s="11">
        <f>AF14+真實IC!AG14</f>
        <v>3.0870885159657044</v>
      </c>
      <c r="AH14" s="11">
        <f>AG14+真實IC!AH14</f>
        <v>3.0923387938962104</v>
      </c>
      <c r="AI14" s="11">
        <f>AH14+真實IC!AI14</f>
        <v>3.1033033645787844</v>
      </c>
      <c r="AJ14" s="11">
        <f>AI14+真實IC!AJ14</f>
        <v>3.1183624006619355</v>
      </c>
      <c r="AK14" s="11">
        <f>AJ14+真實IC!AK14</f>
        <v>3.1952738315202374</v>
      </c>
      <c r="AL14" s="11">
        <f>AK14+真實IC!AL14</f>
        <v>3.2138333737784444</v>
      </c>
      <c r="AM14" s="11">
        <f>AL14+真實IC!AM14</f>
        <v>3.2750755401570695</v>
      </c>
      <c r="AN14" s="11">
        <f>AM14+真實IC!AN14</f>
        <v>3.3736702069266133</v>
      </c>
      <c r="AO14" s="11">
        <f>AN14+真實IC!AO14</f>
        <v>3.3356258543845518</v>
      </c>
      <c r="AP14" s="11">
        <f>AO14+真實IC!AP14</f>
        <v>3.4056023795366359</v>
      </c>
      <c r="AQ14" s="11">
        <f>AP14+真實IC!AQ14</f>
        <v>3.4137307962444647</v>
      </c>
      <c r="AR14" s="11">
        <f>AQ14+真實IC!AR14</f>
        <v>3.3955599732255797</v>
      </c>
      <c r="AS14" s="11">
        <f>AR14+真實IC!AS14</f>
        <v>3.38889063483589</v>
      </c>
      <c r="AT14" s="11">
        <f>AS14+真實IC!AT14</f>
        <v>3.468294114546528</v>
      </c>
      <c r="AU14" s="11">
        <f>AT14+真實IC!AU14</f>
        <v>3.6061465905992636</v>
      </c>
      <c r="AV14" s="11">
        <f>AU14+真實IC!AV14</f>
        <v>3.6724053398155223</v>
      </c>
      <c r="AW14" s="11">
        <f>AV14+真實IC!AW14</f>
        <v>3.7263340210449498</v>
      </c>
      <c r="AX14" s="11">
        <f>AW14+真實IC!AX14</f>
        <v>3.7457042344204403</v>
      </c>
      <c r="AY14" s="11">
        <f>AX14+真實IC!AY14</f>
        <v>3.7607723531922019</v>
      </c>
      <c r="AZ14" s="11">
        <f>AY14+真實IC!AZ14</f>
        <v>3.7864012807016665</v>
      </c>
      <c r="BA14" s="11">
        <f>AZ14+真實IC!BA14</f>
        <v>3.8827386060576403</v>
      </c>
      <c r="BB14" s="11">
        <f>BA14+真實IC!BB14</f>
        <v>3.9930498549587607</v>
      </c>
      <c r="BC14" s="11">
        <f>BB14+真實IC!BC14</f>
        <v>3.9645441714594547</v>
      </c>
      <c r="BD14" s="11">
        <f>BC14+真實IC!BD14</f>
        <v>3.9809616812704003</v>
      </c>
      <c r="BE14" s="11">
        <f>BD14+真實IC!BE14</f>
        <v>4.0510434514197291</v>
      </c>
      <c r="BF14" s="11">
        <f>BE14+真實IC!BF14</f>
        <v>4.2048727129937378</v>
      </c>
      <c r="BG14" s="11">
        <f>BF14+真實IC!BG14</f>
        <v>4.3301780194333279</v>
      </c>
      <c r="BH14" s="11">
        <f>BG14+真實IC!BH14</f>
        <v>4.4035914836120531</v>
      </c>
      <c r="BI14" s="11">
        <f>BH14+真實IC!BI14</f>
        <v>4.4537766965029073</v>
      </c>
      <c r="BJ14" s="11">
        <f>BI14+真實IC!BJ14</f>
        <v>4.4777936301885433</v>
      </c>
      <c r="BK14" s="11">
        <f>BJ14+真實IC!BK14</f>
        <v>4.4445562482102119</v>
      </c>
      <c r="BL14" s="11">
        <f>BK14+真實IC!BL14</f>
        <v>4.5045531437376525</v>
      </c>
      <c r="BM14" s="11">
        <f>BL14+真實IC!BM14</f>
        <v>4.550831468740653</v>
      </c>
      <c r="BN14" s="11">
        <f>BM14+真實IC!BN14</f>
        <v>4.5042548245442369</v>
      </c>
      <c r="BO14" s="11">
        <f>BN14+真實IC!BO14</f>
        <v>4.5378638702215017</v>
      </c>
      <c r="BP14" s="11">
        <f>BO14+真實IC!BP14</f>
        <v>4.4875315868937564</v>
      </c>
      <c r="BQ14" s="11">
        <f>BP14+真實IC!BQ14</f>
        <v>4.5033751107637068</v>
      </c>
      <c r="BR14" s="11">
        <f>BQ14+真實IC!BR14</f>
        <v>4.6034275338390929</v>
      </c>
      <c r="BS14" s="11">
        <f>BR14+真實IC!BS14</f>
        <v>4.6337602578258634</v>
      </c>
      <c r="BT14" s="11">
        <f>BS14+真實IC!BT14</f>
        <v>4.6184723299224908</v>
      </c>
      <c r="BU14" s="11">
        <f>BT14+真實IC!BU14</f>
        <v>4.7296317842362354</v>
      </c>
      <c r="BV14" s="11">
        <f>BU14+真實IC!BV14</f>
        <v>4.8376134174362297</v>
      </c>
      <c r="BW14" s="11">
        <f>BV14+真實IC!BW14</f>
        <v>4.9685109259934146</v>
      </c>
      <c r="BX14" s="11">
        <f>BW14+真實IC!BX14</f>
        <v>4.9682037917687483</v>
      </c>
      <c r="BY14" s="11">
        <f>BX14+真實IC!BY14</f>
        <v>4.9255993021153994</v>
      </c>
      <c r="BZ14" s="11">
        <f>BY14+真實IC!BZ14</f>
        <v>4.9856333589441819</v>
      </c>
      <c r="CA14" s="11">
        <f>BZ14+真實IC!CA14</f>
        <v>5.0100986250591193</v>
      </c>
      <c r="CB14" s="11">
        <f>CA14+真實IC!CB14</f>
        <v>5.1745641263810258</v>
      </c>
      <c r="CC14" s="11">
        <f>CB14+真實IC!CC14</f>
        <v>5.2951602849702084</v>
      </c>
      <c r="CD14" s="11">
        <f>CC14+真實IC!CD14</f>
        <v>5.3931769949024062</v>
      </c>
      <c r="CE14" s="11">
        <f>CD14+真實IC!CE14</f>
        <v>5.5637322973909571</v>
      </c>
      <c r="CF14" s="11">
        <f>CE14+真實IC!CF14</f>
        <v>5.6560629806730187</v>
      </c>
      <c r="CG14" s="11">
        <f>CF14+真實IC!CG14</f>
        <v>5.7133836443408397</v>
      </c>
      <c r="CH14" s="11">
        <f>CG14+真實IC!CH14</f>
        <v>5.7780450366190568</v>
      </c>
      <c r="CI14" s="11">
        <f>CH14+真實IC!CI14</f>
        <v>5.8839298139824159</v>
      </c>
      <c r="CJ14" s="11">
        <f>CI14+真實IC!CJ14</f>
        <v>5.9017259303315575</v>
      </c>
      <c r="CK14" s="11">
        <f>CJ14+真實IC!CK14</f>
        <v>5.9555180168455504</v>
      </c>
      <c r="CL14" s="11">
        <f>CK14+真實IC!CL14</f>
        <v>6.0177879717243865</v>
      </c>
      <c r="CM14" s="11">
        <f>CL14+真實IC!CM14</f>
        <v>6.1278569446970961</v>
      </c>
      <c r="CN14" s="11">
        <f>CM14+真實IC!CN14</f>
        <v>6.3024526193821533</v>
      </c>
      <c r="CO14" s="11">
        <f>CN14+真實IC!CO14</f>
        <v>6.475701773336108</v>
      </c>
      <c r="CP14" s="11">
        <f>CO14+真實IC!CP14</f>
        <v>6.5755111048178607</v>
      </c>
      <c r="CQ14" s="11">
        <f>CP14+真實IC!CQ14</f>
        <v>6.6077390047052482</v>
      </c>
      <c r="CR14" s="11">
        <f>CQ14+真實IC!CR14</f>
        <v>6.815458717295896</v>
      </c>
      <c r="CS14" s="11">
        <f>CR14+真實IC!CS14</f>
        <v>6.8110460837626468</v>
      </c>
      <c r="CT14" s="11">
        <f>CS14+真實IC!CT14</f>
        <v>6.8729184361542481</v>
      </c>
      <c r="CU14" s="11">
        <f>CT14+真實IC!CU14</f>
        <v>6.9744634361109625</v>
      </c>
      <c r="CV14" s="11">
        <f>CU14+真實IC!CV14</f>
        <v>7.1258602772685959</v>
      </c>
      <c r="CW14" s="11">
        <f>CV14+真實IC!CW14</f>
        <v>7.1706241617118556</v>
      </c>
      <c r="CX14" s="11">
        <f>CW14+真實IC!CX14</f>
        <v>7.2069235706000949</v>
      </c>
      <c r="CY14" s="11">
        <f>CX14+真實IC!CY14</f>
        <v>7.2570613140740443</v>
      </c>
      <c r="CZ14" s="11">
        <f>CY14+真實IC!CZ14</f>
        <v>7.3211248774244275</v>
      </c>
      <c r="DA14" s="11">
        <f>CZ14+真實IC!DA14</f>
        <v>7.3865182048489677</v>
      </c>
      <c r="DB14" s="11">
        <f>DA14+真實IC!DB14</f>
        <v>7.4911256459491975</v>
      </c>
      <c r="DC14" s="11">
        <f>DB14+真實IC!DC14</f>
        <v>7.5147582551540451</v>
      </c>
      <c r="DD14" s="11">
        <f>DC14+真實IC!DD14</f>
        <v>7.5939636070022294</v>
      </c>
      <c r="DE14" s="11">
        <f>DD14+真實IC!DE14</f>
        <v>7.6564905310086884</v>
      </c>
      <c r="DF14" s="11">
        <f>DE14+真實IC!DF14</f>
        <v>7.8580533704758002</v>
      </c>
      <c r="DG14" s="11">
        <f>DF14+真實IC!DG14</f>
        <v>7.9036367662026983</v>
      </c>
      <c r="DH14" s="11">
        <f>DG14+真實IC!DH14</f>
        <v>7.9623779603690723</v>
      </c>
      <c r="DI14" s="11">
        <f>DH14+真實IC!DI14</f>
        <v>8.0490244086675578</v>
      </c>
      <c r="DJ14" s="11">
        <f>DI14+真實IC!DJ14</f>
        <v>8.0578184380548787</v>
      </c>
      <c r="DK14" s="11">
        <f>DJ14+真實IC!DK14</f>
        <v>8.1394399875587382</v>
      </c>
      <c r="DL14" s="11">
        <f>DK14+真實IC!DL14</f>
        <v>8.1801948593906371</v>
      </c>
      <c r="DM14" s="11">
        <f>DL14+真實IC!DM14</f>
        <v>8.1813160091283983</v>
      </c>
      <c r="DN14" s="11">
        <f>DM14+真實IC!DN14</f>
        <v>8.2239785050216625</v>
      </c>
      <c r="DO14" s="11">
        <f>DN14+真實IC!DO14</f>
        <v>8.3265706943848965</v>
      </c>
      <c r="DP14" s="11">
        <f>DO14+真實IC!DP14</f>
        <v>8.3894855024551962</v>
      </c>
      <c r="DQ14" s="11">
        <f>DP14+真實IC!DQ14</f>
        <v>8.4606580670363289</v>
      </c>
      <c r="DR14" s="11">
        <f>DQ14+真實IC!DR14</f>
        <v>8.5132805864953287</v>
      </c>
      <c r="DS14" s="11">
        <f>DR14+真實IC!DS14</f>
        <v>8.5693324064238929</v>
      </c>
      <c r="DT14" s="11">
        <f>DS14+真實IC!DT14</f>
        <v>8.5770866967629757</v>
      </c>
      <c r="DU14" s="11">
        <f>DT14+真實IC!DU14</f>
        <v>8.6458819699551395</v>
      </c>
      <c r="DV14" s="11">
        <f>DU14+真實IC!DV14</f>
        <v>8.7541443244852459</v>
      </c>
      <c r="DW14" s="11">
        <f>DV14+真實IC!DW14</f>
        <v>8.7559536339937623</v>
      </c>
      <c r="DX14" s="11">
        <f>DW14+真實IC!DX14</f>
        <v>8.857885139546184</v>
      </c>
      <c r="DY14" s="11">
        <f>DX14+真實IC!DY14</f>
        <v>8.9321438396249349</v>
      </c>
      <c r="DZ14" s="11">
        <f>DY14+真實IC!DZ14</f>
        <v>8.967174839488715</v>
      </c>
      <c r="EA14" s="11">
        <f>DZ14+真實IC!EA14</f>
        <v>9.0300875240614573</v>
      </c>
      <c r="EB14" s="11">
        <f>EA14+真實IC!EB14</f>
        <v>9.1082673547617201</v>
      </c>
      <c r="EC14" s="11">
        <f>EB14+真實IC!EC14</f>
        <v>9.1143467369098534</v>
      </c>
      <c r="ED14" s="11">
        <f>EC14+真實IC!ED14</f>
        <v>9.2169764460960408</v>
      </c>
      <c r="EE14" s="11">
        <f>ED14+真實IC!EE14</f>
        <v>9.2135771925779686</v>
      </c>
      <c r="EF14" s="11">
        <f>EE14+真實IC!EF14</f>
        <v>9.239102547779849</v>
      </c>
    </row>
    <row r="15" spans="1:137" x14ac:dyDescent="0.3">
      <c r="A15" s="1">
        <v>100</v>
      </c>
      <c r="B15" s="1">
        <v>10</v>
      </c>
      <c r="C15" s="11">
        <f>IF(預測IC!C15&gt;預測IC!C$26,1,0)</f>
        <v>1</v>
      </c>
      <c r="D15" s="11">
        <f>C15+真實IC!D15</f>
        <v>1.3727092156099256</v>
      </c>
      <c r="E15" s="11">
        <f>D15+真實IC!E15</f>
        <v>1.4347548957268834</v>
      </c>
      <c r="F15" s="11">
        <f>E15+真實IC!F15</f>
        <v>1.399833459170186</v>
      </c>
      <c r="G15" s="11">
        <f>F15+真實IC!G15</f>
        <v>1.4342373801372226</v>
      </c>
      <c r="H15" s="11">
        <f>G15+真實IC!H15</f>
        <v>1.5530810838445819</v>
      </c>
      <c r="I15" s="11">
        <f>H15+真實IC!I15</f>
        <v>1.6115125281244473</v>
      </c>
      <c r="J15" s="11">
        <f>I15+真實IC!J15</f>
        <v>1.661473993371837</v>
      </c>
      <c r="K15" s="11">
        <f>J15+真實IC!K15</f>
        <v>1.7559887909637679</v>
      </c>
      <c r="L15" s="11">
        <f>K15+真實IC!L15</f>
        <v>1.7430217060027275</v>
      </c>
      <c r="M15" s="11">
        <f>L15+真實IC!M15</f>
        <v>1.7408886895664399</v>
      </c>
      <c r="N15" s="11">
        <f>M15+真實IC!N15</f>
        <v>2.0711980264312468</v>
      </c>
      <c r="O15" s="11">
        <f>N15+真實IC!O15</f>
        <v>2.058927230672094</v>
      </c>
      <c r="P15" s="11">
        <f>O15+真實IC!P15</f>
        <v>2.1230434136937557</v>
      </c>
      <c r="Q15" s="11">
        <f>P15+真實IC!Q15</f>
        <v>2.2785802558015682</v>
      </c>
      <c r="R15" s="11">
        <f>Q15+真實IC!R15</f>
        <v>2.2264505656964508</v>
      </c>
      <c r="S15" s="11">
        <f>R15+真實IC!S15</f>
        <v>2.4964584607786047</v>
      </c>
      <c r="T15" s="11">
        <f>S15+真實IC!T15</f>
        <v>2.542349537895789</v>
      </c>
      <c r="U15" s="11">
        <f>T15+真實IC!U15</f>
        <v>2.6793175995630576</v>
      </c>
      <c r="V15" s="11">
        <f>U15+真實IC!V15</f>
        <v>2.662185746214945</v>
      </c>
      <c r="W15" s="11">
        <f>V15+真實IC!W15</f>
        <v>2.7691203013728782</v>
      </c>
      <c r="X15" s="11">
        <f>W15+真實IC!X15</f>
        <v>2.9803066287032598</v>
      </c>
      <c r="Y15" s="11">
        <f>X15+真實IC!Y15</f>
        <v>2.9596766543374398</v>
      </c>
      <c r="Z15" s="11">
        <f>Y15+真實IC!Z15</f>
        <v>3.0063966263907984</v>
      </c>
      <c r="AA15" s="11">
        <f>Z15+真實IC!AA15</f>
        <v>3.1672470106038628</v>
      </c>
      <c r="AB15" s="11">
        <f>AA15+真實IC!AB15</f>
        <v>3.2509471831196932</v>
      </c>
      <c r="AC15" s="11">
        <f>AB15+真實IC!AC15</f>
        <v>3.2552648519677483</v>
      </c>
      <c r="AD15" s="11">
        <f>AC15+真實IC!AD15</f>
        <v>3.2949553330954564</v>
      </c>
      <c r="AE15" s="11">
        <f>AD15+真實IC!AE15</f>
        <v>3.5067479761427283</v>
      </c>
      <c r="AF15" s="11">
        <f>AE15+真實IC!AF15</f>
        <v>3.6444742633203826</v>
      </c>
      <c r="AG15" s="11">
        <f>AF15+真實IC!AG15</f>
        <v>3.6545977415820383</v>
      </c>
      <c r="AH15" s="11">
        <f>AG15+真實IC!AH15</f>
        <v>3.620993368224362</v>
      </c>
      <c r="AI15" s="11">
        <f>AH15+真實IC!AI15</f>
        <v>3.6952703284344439</v>
      </c>
      <c r="AJ15" s="11">
        <f>AI15+真實IC!AJ15</f>
        <v>3.7047351884019197</v>
      </c>
      <c r="AK15" s="11">
        <f>AJ15+真實IC!AK15</f>
        <v>3.7664948080603646</v>
      </c>
      <c r="AL15" s="11">
        <f>AK15+真實IC!AL15</f>
        <v>3.7596130489489283</v>
      </c>
      <c r="AM15" s="11">
        <f>AL15+真實IC!AM15</f>
        <v>3.8147356710835556</v>
      </c>
      <c r="AN15" s="11">
        <f>AM15+真實IC!AN15</f>
        <v>3.916424376995939</v>
      </c>
      <c r="AO15" s="11">
        <f>AN15+真實IC!AO15</f>
        <v>3.8650398567559718</v>
      </c>
      <c r="AP15" s="11">
        <f>AO15+真實IC!AP15</f>
        <v>3.9433255506487259</v>
      </c>
      <c r="AQ15" s="11">
        <f>AP15+真實IC!AQ15</f>
        <v>3.9630765378770856</v>
      </c>
      <c r="AR15" s="11">
        <f>AQ15+真實IC!AR15</f>
        <v>3.9385257181788069</v>
      </c>
      <c r="AS15" s="11">
        <f>AR15+真實IC!AS15</f>
        <v>3.8897924968247053</v>
      </c>
      <c r="AT15" s="11">
        <f>AS15+真實IC!AT15</f>
        <v>3.96078230942841</v>
      </c>
      <c r="AU15" s="11">
        <f>AT15+真實IC!AU15</f>
        <v>4.1278907404978407</v>
      </c>
      <c r="AV15" s="11">
        <f>AU15+真實IC!AV15</f>
        <v>4.1651886691969509</v>
      </c>
      <c r="AW15" s="11">
        <f>AV15+真實IC!AW15</f>
        <v>4.2569161419903017</v>
      </c>
      <c r="AX15" s="11">
        <f>AW15+真實IC!AX15</f>
        <v>4.3382767079450701</v>
      </c>
      <c r="AY15" s="11">
        <f>AX15+真實IC!AY15</f>
        <v>4.3662937720551032</v>
      </c>
      <c r="AZ15" s="11">
        <f>AY15+真實IC!AZ15</f>
        <v>4.4031411238077061</v>
      </c>
      <c r="BA15" s="11">
        <f>AZ15+真實IC!BA15</f>
        <v>4.5608290722160447</v>
      </c>
      <c r="BB15" s="11">
        <f>BA15+真實IC!BB15</f>
        <v>4.7585422217203854</v>
      </c>
      <c r="BC15" s="11">
        <f>BB15+真實IC!BC15</f>
        <v>4.7276055300980353</v>
      </c>
      <c r="BD15" s="11">
        <f>BC15+真實IC!BD15</f>
        <v>4.7349684460607406</v>
      </c>
      <c r="BE15" s="11">
        <f>BD15+真實IC!BE15</f>
        <v>4.7763664167576492</v>
      </c>
      <c r="BF15" s="11">
        <f>BE15+真實IC!BF15</f>
        <v>4.9872385042476362</v>
      </c>
      <c r="BG15" s="11">
        <f>BF15+真實IC!BG15</f>
        <v>5.1532897197122329</v>
      </c>
      <c r="BH15" s="11">
        <f>BG15+真實IC!BH15</f>
        <v>5.2519387661186538</v>
      </c>
      <c r="BI15" s="11">
        <f>BH15+真實IC!BI15</f>
        <v>5.3205254252336234</v>
      </c>
      <c r="BJ15" s="11">
        <f>BI15+真實IC!BJ15</f>
        <v>5.3956793233472986</v>
      </c>
      <c r="BK15" s="11">
        <f>BJ15+真實IC!BK15</f>
        <v>5.3228099044647097</v>
      </c>
      <c r="BL15" s="11">
        <f>BK15+真實IC!BL15</f>
        <v>5.3825653254390309</v>
      </c>
      <c r="BM15" s="11">
        <f>BL15+真實IC!BM15</f>
        <v>5.4307843299267748</v>
      </c>
      <c r="BN15" s="11">
        <f>BM15+真實IC!BN15</f>
        <v>5.364730294701193</v>
      </c>
      <c r="BO15" s="11">
        <f>BN15+真實IC!BO15</f>
        <v>5.3924647706561242</v>
      </c>
      <c r="BP15" s="11">
        <f>BO15+真實IC!BP15</f>
        <v>5.3408479161840594</v>
      </c>
      <c r="BQ15" s="11">
        <f>BP15+真實IC!BQ15</f>
        <v>5.3536508474743876</v>
      </c>
      <c r="BR15" s="11">
        <f>BQ15+真實IC!BR15</f>
        <v>5.4774129839108427</v>
      </c>
      <c r="BS15" s="11">
        <f>BR15+真實IC!BS15</f>
        <v>5.4892788948194546</v>
      </c>
      <c r="BT15" s="11">
        <f>BS15+真實IC!BT15</f>
        <v>5.5259125610150148</v>
      </c>
      <c r="BU15" s="11">
        <f>BT15+真實IC!BU15</f>
        <v>5.6114582947364546</v>
      </c>
      <c r="BV15" s="11">
        <f>BU15+真實IC!BV15</f>
        <v>5.716098339030145</v>
      </c>
      <c r="BW15" s="11">
        <f>BV15+真實IC!BW15</f>
        <v>6.014977328606073</v>
      </c>
      <c r="BX15" s="11">
        <f>BW15+真實IC!BX15</f>
        <v>6.0389267600434149</v>
      </c>
      <c r="BY15" s="11">
        <f>BX15+真實IC!BY15</f>
        <v>5.9129031864663277</v>
      </c>
      <c r="BZ15" s="11">
        <f>BY15+真實IC!BZ15</f>
        <v>6.0158096554436753</v>
      </c>
      <c r="CA15" s="11">
        <f>BZ15+真實IC!CA15</f>
        <v>6.0344016762401171</v>
      </c>
      <c r="CB15" s="11">
        <f>CA15+真實IC!CB15</f>
        <v>6.1654930790241789</v>
      </c>
      <c r="CC15" s="11">
        <f>CB15+真實IC!CC15</f>
        <v>6.3391447847462992</v>
      </c>
      <c r="CD15" s="11">
        <f>CC15+真實IC!CD15</f>
        <v>6.4592968687093837</v>
      </c>
      <c r="CE15" s="11">
        <f>CD15+真實IC!CE15</f>
        <v>6.5326649887578343</v>
      </c>
      <c r="CF15" s="11">
        <f>CE15+真實IC!CF15</f>
        <v>6.6270216391512546</v>
      </c>
      <c r="CG15" s="11">
        <f>CF15+真實IC!CG15</f>
        <v>6.7129076606814184</v>
      </c>
      <c r="CH15" s="11">
        <f>CG15+真實IC!CH15</f>
        <v>6.7757936189651193</v>
      </c>
      <c r="CI15" s="11">
        <f>CH15+真實IC!CI15</f>
        <v>6.8145920338600998</v>
      </c>
      <c r="CJ15" s="11">
        <f>CI15+真實IC!CJ15</f>
        <v>6.8552637508071612</v>
      </c>
      <c r="CK15" s="11">
        <f>CJ15+真實IC!CK15</f>
        <v>6.9509044989798667</v>
      </c>
      <c r="CL15" s="11">
        <f>CK15+真實IC!CL15</f>
        <v>6.9823264739731155</v>
      </c>
      <c r="CM15" s="11">
        <f>CL15+真實IC!CM15</f>
        <v>7.0904462296860382</v>
      </c>
      <c r="CN15" s="11">
        <f>CM15+真實IC!CN15</f>
        <v>7.2335960466572784</v>
      </c>
      <c r="CO15" s="11">
        <f>CN15+真實IC!CO15</f>
        <v>7.4069560358963278</v>
      </c>
      <c r="CP15" s="11">
        <f>CO15+真實IC!CP15</f>
        <v>7.5344918713292772</v>
      </c>
      <c r="CQ15" s="11">
        <f>CP15+真實IC!CQ15</f>
        <v>7.5095285108728387</v>
      </c>
      <c r="CR15" s="11">
        <f>CQ15+真實IC!CR15</f>
        <v>7.6910174431085734</v>
      </c>
      <c r="CS15" s="11">
        <f>CR15+真實IC!CS15</f>
        <v>7.6975004942076186</v>
      </c>
      <c r="CT15" s="11">
        <f>CS15+真實IC!CT15</f>
        <v>7.7297170506526705</v>
      </c>
      <c r="CU15" s="11">
        <f>CT15+真實IC!CU15</f>
        <v>7.8537669820665386</v>
      </c>
      <c r="CV15" s="11">
        <f>CU15+真實IC!CV15</f>
        <v>8.0363785297834553</v>
      </c>
      <c r="CW15" s="11">
        <f>CV15+真實IC!CW15</f>
        <v>8.0624506206865814</v>
      </c>
      <c r="CX15" s="11">
        <f>CW15+真實IC!CX15</f>
        <v>8.0864902277399118</v>
      </c>
      <c r="CY15" s="11">
        <f>CX15+真實IC!CY15</f>
        <v>8.1422229385647391</v>
      </c>
      <c r="CZ15" s="11">
        <f>CY15+真實IC!CZ15</f>
        <v>8.2221098865090809</v>
      </c>
      <c r="DA15" s="11">
        <f>CZ15+真實IC!DA15</f>
        <v>8.3109720987064364</v>
      </c>
      <c r="DB15" s="11">
        <f>DA15+真實IC!DB15</f>
        <v>8.4080203402319018</v>
      </c>
      <c r="DC15" s="11">
        <f>DB15+真實IC!DC15</f>
        <v>8.4430954902064848</v>
      </c>
      <c r="DD15" s="11">
        <f>DC15+真實IC!DD15</f>
        <v>8.4576022163379303</v>
      </c>
      <c r="DE15" s="11">
        <f>DD15+真實IC!DE15</f>
        <v>8.5147658510691819</v>
      </c>
      <c r="DF15" s="11">
        <f>DE15+真實IC!DF15</f>
        <v>8.8174863007119644</v>
      </c>
      <c r="DG15" s="11">
        <f>DF15+真實IC!DG15</f>
        <v>8.8654037856863059</v>
      </c>
      <c r="DH15" s="11">
        <f>DG15+真實IC!DH15</f>
        <v>8.9950257213541622</v>
      </c>
      <c r="DI15" s="11">
        <f>DH15+真實IC!DI15</f>
        <v>9.0378374885672752</v>
      </c>
      <c r="DJ15" s="11">
        <f>DI15+真實IC!DJ15</f>
        <v>9.0978612652583326</v>
      </c>
      <c r="DK15" s="11">
        <f>DJ15+真實IC!DK15</f>
        <v>9.1981901921264146</v>
      </c>
      <c r="DL15" s="11">
        <f>DK15+真實IC!DL15</f>
        <v>9.1978861989235874</v>
      </c>
      <c r="DM15" s="11">
        <f>DL15+真實IC!DM15</f>
        <v>9.1961129341863792</v>
      </c>
      <c r="DN15" s="11">
        <f>DM15+真實IC!DN15</f>
        <v>9.2401094316099996</v>
      </c>
      <c r="DO15" s="11">
        <f>DN15+真實IC!DO15</f>
        <v>9.3996548429692712</v>
      </c>
      <c r="DP15" s="11">
        <f>DO15+真實IC!DP15</f>
        <v>9.533959790334638</v>
      </c>
      <c r="DQ15" s="11">
        <f>DP15+真實IC!DQ15</f>
        <v>9.5709984792868354</v>
      </c>
      <c r="DR15" s="11">
        <f>DQ15+真實IC!DR15</f>
        <v>9.6410090459047737</v>
      </c>
      <c r="DS15" s="11">
        <f>DR15+真實IC!DS15</f>
        <v>9.6785391896827413</v>
      </c>
      <c r="DT15" s="11">
        <f>DS15+真實IC!DT15</f>
        <v>9.7312579796718115</v>
      </c>
      <c r="DU15" s="11">
        <f>DT15+真實IC!DU15</f>
        <v>9.8483856331824597</v>
      </c>
      <c r="DV15" s="11">
        <f>DU15+真實IC!DV15</f>
        <v>9.9881539901233314</v>
      </c>
      <c r="DW15" s="11">
        <f>DV15+真實IC!DW15</f>
        <v>9.9273276637859507</v>
      </c>
      <c r="DX15" s="11">
        <f>DW15+真實IC!DX15</f>
        <v>10.045943914435938</v>
      </c>
      <c r="DY15" s="11">
        <f>DX15+真實IC!DY15</f>
        <v>10.189553488816721</v>
      </c>
      <c r="DZ15" s="11">
        <f>DY15+真實IC!DZ15</f>
        <v>10.23000914212073</v>
      </c>
      <c r="EA15" s="11">
        <f>DZ15+真實IC!EA15</f>
        <v>10.273460362401055</v>
      </c>
      <c r="EB15" s="11">
        <f>EA15+真實IC!EB15</f>
        <v>10.361547811928309</v>
      </c>
      <c r="EC15" s="11">
        <f>EB15+真實IC!EC15</f>
        <v>10.427629667976255</v>
      </c>
      <c r="ED15" s="11">
        <f>EC15+真實IC!ED15</f>
        <v>10.540986723911567</v>
      </c>
      <c r="EE15" s="11">
        <f>ED15+真實IC!EE15</f>
        <v>10.544177444413094</v>
      </c>
      <c r="EF15" s="11">
        <f>EE15+真實IC!EF15</f>
        <v>10.573823499485099</v>
      </c>
    </row>
    <row r="16" spans="1:137" x14ac:dyDescent="0.3">
      <c r="A16" s="1">
        <v>107</v>
      </c>
      <c r="B16" s="1">
        <v>9</v>
      </c>
      <c r="C16" s="11">
        <f>IF(預測IC!C16&gt;預測IC!C$26,1,0)</f>
        <v>1</v>
      </c>
      <c r="D16" s="11">
        <f>C16+真實IC!D16</f>
        <v>1.4081949787325807</v>
      </c>
      <c r="E16" s="11">
        <f>D16+真實IC!E16</f>
        <v>1.4732015558439089</v>
      </c>
      <c r="F16" s="11">
        <f>E16+真實IC!F16</f>
        <v>1.3944860839395778</v>
      </c>
      <c r="G16" s="11">
        <f>F16+真實IC!G16</f>
        <v>1.4026326345985272</v>
      </c>
      <c r="H16" s="11">
        <f>G16+真實IC!H16</f>
        <v>1.4754806908861746</v>
      </c>
      <c r="I16" s="11">
        <f>H16+真實IC!I16</f>
        <v>1.5330113095517961</v>
      </c>
      <c r="J16" s="11">
        <f>I16+真實IC!J16</f>
        <v>1.5797212355944623</v>
      </c>
      <c r="K16" s="11">
        <f>J16+真實IC!K16</f>
        <v>1.6661421271768528</v>
      </c>
      <c r="L16" s="11">
        <f>K16+真實IC!L16</f>
        <v>1.6351149762113797</v>
      </c>
      <c r="M16" s="11">
        <f>L16+真實IC!M16</f>
        <v>1.6211275403494625</v>
      </c>
      <c r="N16" s="11">
        <f>M16+真實IC!N16</f>
        <v>1.9881151494720488</v>
      </c>
      <c r="O16" s="11">
        <f>N16+真實IC!O16</f>
        <v>1.9595280725930697</v>
      </c>
      <c r="P16" s="11">
        <f>O16+真實IC!P16</f>
        <v>2.020573304384492</v>
      </c>
      <c r="Q16" s="11">
        <f>P16+真實IC!Q16</f>
        <v>2.1784763748088301</v>
      </c>
      <c r="R16" s="11">
        <f>Q16+真實IC!R16</f>
        <v>2.1294853965259035</v>
      </c>
      <c r="S16" s="11">
        <f>R16+真實IC!S16</f>
        <v>2.4165484169246985</v>
      </c>
      <c r="T16" s="11">
        <f>S16+真實IC!T16</f>
        <v>2.4549550902183106</v>
      </c>
      <c r="U16" s="11">
        <f>T16+真實IC!U16</f>
        <v>2.5850175616480553</v>
      </c>
      <c r="V16" s="11">
        <f>U16+真實IC!V16</f>
        <v>2.5789954163150894</v>
      </c>
      <c r="W16" s="11">
        <f>V16+真實IC!W16</f>
        <v>2.6573689043427273</v>
      </c>
      <c r="X16" s="11">
        <f>W16+真實IC!X16</f>
        <v>2.8979008659698935</v>
      </c>
      <c r="Y16" s="11">
        <f>X16+真實IC!Y16</f>
        <v>2.8777202775502579</v>
      </c>
      <c r="Z16" s="11">
        <f>Y16+真實IC!Z16</f>
        <v>2.9207782084344696</v>
      </c>
      <c r="AA16" s="11">
        <f>Z16+真實IC!AA16</f>
        <v>3.0869370997317866</v>
      </c>
      <c r="AB16" s="11">
        <f>AA16+真實IC!AB16</f>
        <v>3.1619221413697671</v>
      </c>
      <c r="AC16" s="11">
        <f>AB16+真實IC!AC16</f>
        <v>3.1491566933343504</v>
      </c>
      <c r="AD16" s="11">
        <f>AC16+真實IC!AD16</f>
        <v>3.1839678651916019</v>
      </c>
      <c r="AE16" s="11">
        <f>AD16+真實IC!AE16</f>
        <v>3.3935961063685123</v>
      </c>
      <c r="AF16" s="11">
        <f>AE16+真實IC!AF16</f>
        <v>3.5415117166329386</v>
      </c>
      <c r="AG16" s="11">
        <f>AF16+真實IC!AG16</f>
        <v>3.554802469669474</v>
      </c>
      <c r="AH16" s="11">
        <f>AG16+真實IC!AH16</f>
        <v>3.5230370692200332</v>
      </c>
      <c r="AI16" s="11">
        <f>AH16+真實IC!AI16</f>
        <v>3.6135597184371879</v>
      </c>
      <c r="AJ16" s="11">
        <f>AI16+真實IC!AJ16</f>
        <v>3.606533752365312</v>
      </c>
      <c r="AK16" s="11">
        <f>AJ16+真實IC!AK16</f>
        <v>3.6709551531976841</v>
      </c>
      <c r="AL16" s="11">
        <f>AK16+真實IC!AL16</f>
        <v>3.6564826416802254</v>
      </c>
      <c r="AM16" s="11">
        <f>AL16+真實IC!AM16</f>
        <v>3.7225593722820234</v>
      </c>
      <c r="AN16" s="11">
        <f>AM16+真實IC!AN16</f>
        <v>3.829015572371699</v>
      </c>
      <c r="AO16" s="11">
        <f>AN16+真實IC!AO16</f>
        <v>3.7879254190099578</v>
      </c>
      <c r="AP16" s="11">
        <f>AO16+真實IC!AP16</f>
        <v>3.8657237871555465</v>
      </c>
      <c r="AQ16" s="11">
        <f>AP16+真實IC!AQ16</f>
        <v>3.8897598410100991</v>
      </c>
      <c r="AR16" s="11">
        <f>AQ16+真實IC!AR16</f>
        <v>3.8572670812900354</v>
      </c>
      <c r="AS16" s="11">
        <f>AR16+真實IC!AS16</f>
        <v>3.8046243630518015</v>
      </c>
      <c r="AT16" s="11">
        <f>AS16+真實IC!AT16</f>
        <v>3.9271884064020863</v>
      </c>
      <c r="AU16" s="11">
        <f>AT16+真實IC!AU16</f>
        <v>4.0974242952192261</v>
      </c>
      <c r="AV16" s="11">
        <f>AU16+真實IC!AV16</f>
        <v>4.1495051306559638</v>
      </c>
      <c r="AW16" s="11">
        <f>AV16+真實IC!AW16</f>
        <v>4.2584900692974923</v>
      </c>
      <c r="AX16" s="11">
        <f>AW16+真實IC!AX16</f>
        <v>4.3591113983988947</v>
      </c>
      <c r="AY16" s="11">
        <f>AX16+真實IC!AY16</f>
        <v>4.3929239882432407</v>
      </c>
      <c r="AZ16" s="11">
        <f>AY16+真實IC!AZ16</f>
        <v>4.4397508642466175</v>
      </c>
      <c r="BA16" s="11">
        <f>AZ16+真實IC!BA16</f>
        <v>4.5997415644212385</v>
      </c>
      <c r="BB16" s="11">
        <f>BA16+真實IC!BB16</f>
        <v>4.8252151274969783</v>
      </c>
      <c r="BC16" s="11">
        <f>BB16+真實IC!BC16</f>
        <v>4.7862157355747463</v>
      </c>
      <c r="BD16" s="11">
        <f>BC16+真實IC!BD16</f>
        <v>4.7924979199996294</v>
      </c>
      <c r="BE16" s="11">
        <f>BD16+真實IC!BE16</f>
        <v>4.853695563926089</v>
      </c>
      <c r="BF16" s="11">
        <f>BE16+真實IC!BF16</f>
        <v>5.1014824230265488</v>
      </c>
      <c r="BG16" s="11">
        <f>BF16+真實IC!BG16</f>
        <v>5.2627119926108996</v>
      </c>
      <c r="BH16" s="11">
        <f>BG16+真實IC!BH16</f>
        <v>5.3588740271186337</v>
      </c>
      <c r="BI16" s="11">
        <f>BH16+真實IC!BI16</f>
        <v>5.4003178348818954</v>
      </c>
      <c r="BJ16" s="11">
        <f>BI16+真實IC!BJ16</f>
        <v>5.4817459536578692</v>
      </c>
      <c r="BK16" s="11">
        <f>BJ16+真實IC!BK16</f>
        <v>5.3769727507373002</v>
      </c>
      <c r="BL16" s="11">
        <f>BK16+真實IC!BL16</f>
        <v>5.4381463502217704</v>
      </c>
      <c r="BM16" s="11">
        <f>BL16+真實IC!BM16</f>
        <v>5.4776443357128768</v>
      </c>
      <c r="BN16" s="11">
        <f>BM16+真實IC!BN16</f>
        <v>5.4104463653081876</v>
      </c>
      <c r="BO16" s="11">
        <f>BN16+真實IC!BO16</f>
        <v>5.4323367252618455</v>
      </c>
      <c r="BP16" s="11">
        <f>BO16+真實IC!BP16</f>
        <v>5.3745866645813898</v>
      </c>
      <c r="BQ16" s="11">
        <f>BP16+真實IC!BQ16</f>
        <v>5.3910646808363181</v>
      </c>
      <c r="BR16" s="11">
        <f>BQ16+真實IC!BR16</f>
        <v>5.5216476490613395</v>
      </c>
      <c r="BS16" s="11">
        <f>BR16+真實IC!BS16</f>
        <v>5.5536546362542225</v>
      </c>
      <c r="BT16" s="11">
        <f>BS16+真實IC!BT16</f>
        <v>5.5917207144664678</v>
      </c>
      <c r="BU16" s="11">
        <f>BT16+真實IC!BU16</f>
        <v>5.693257288694773</v>
      </c>
      <c r="BV16" s="11">
        <f>BU16+真實IC!BV16</f>
        <v>5.7298429266185193</v>
      </c>
      <c r="BW16" s="11">
        <f>BV16+真實IC!BW16</f>
        <v>6.0478137611568865</v>
      </c>
      <c r="BX16" s="11">
        <f>BW16+真實IC!BX16</f>
        <v>6.0718920329862334</v>
      </c>
      <c r="BY16" s="11">
        <f>BX16+真實IC!BY16</f>
        <v>5.9393336237288539</v>
      </c>
      <c r="BZ16" s="11">
        <f>BY16+真實IC!BZ16</f>
        <v>6.0508594722305027</v>
      </c>
      <c r="CA16" s="11">
        <f>BZ16+真實IC!CA16</f>
        <v>6.0805738619860659</v>
      </c>
      <c r="CB16" s="11">
        <f>CA16+真實IC!CB16</f>
        <v>6.2198825979193995</v>
      </c>
      <c r="CC16" s="11">
        <f>CB16+真實IC!CC16</f>
        <v>6.2642707510896054</v>
      </c>
      <c r="CD16" s="11">
        <f>CC16+真實IC!CD16</f>
        <v>6.4193420227159672</v>
      </c>
      <c r="CE16" s="11">
        <f>CD16+真實IC!CE16</f>
        <v>6.5129562531838827</v>
      </c>
      <c r="CF16" s="11">
        <f>CE16+真實IC!CF16</f>
        <v>6.6181575171936338</v>
      </c>
      <c r="CG16" s="11">
        <f>CF16+真實IC!CG16</f>
        <v>6.6798853953403006</v>
      </c>
      <c r="CH16" s="11">
        <f>CG16+真實IC!CH16</f>
        <v>6.7215828100433272</v>
      </c>
      <c r="CI16" s="11">
        <f>CH16+真實IC!CI16</f>
        <v>6.7602926918718449</v>
      </c>
      <c r="CJ16" s="11">
        <f>CI16+真實IC!CJ16</f>
        <v>6.7899960773656085</v>
      </c>
      <c r="CK16" s="11">
        <f>CJ16+真實IC!CK16</f>
        <v>6.8784187671472159</v>
      </c>
      <c r="CL16" s="11">
        <f>CK16+真實IC!CL16</f>
        <v>6.8942974494819254</v>
      </c>
      <c r="CM16" s="11">
        <f>CL16+真實IC!CM16</f>
        <v>7.0073532878732996</v>
      </c>
      <c r="CN16" s="11">
        <f>CM16+真實IC!CN16</f>
        <v>7.1677132041898268</v>
      </c>
      <c r="CO16" s="11">
        <f>CN16+真實IC!CO16</f>
        <v>7.377260722649579</v>
      </c>
      <c r="CP16" s="11">
        <f>CO16+真實IC!CP16</f>
        <v>7.5138924121316704</v>
      </c>
      <c r="CQ16" s="11">
        <f>CP16+真實IC!CQ16</f>
        <v>7.4935586323113093</v>
      </c>
      <c r="CR16" s="11">
        <f>CQ16+真實IC!CR16</f>
        <v>7.6828451657787076</v>
      </c>
      <c r="CS16" s="11">
        <f>CR16+真實IC!CS16</f>
        <v>7.723697353373451</v>
      </c>
      <c r="CT16" s="11">
        <f>CS16+真實IC!CT16</f>
        <v>7.7726008792048802</v>
      </c>
      <c r="CU16" s="11">
        <f>CT16+真實IC!CU16</f>
        <v>7.9080725800690859</v>
      </c>
      <c r="CV16" s="11">
        <f>CU16+真實IC!CV16</f>
        <v>8.0803241027075714</v>
      </c>
      <c r="CW16" s="11">
        <f>CV16+真實IC!CW16</f>
        <v>8.1276657618818504</v>
      </c>
      <c r="CX16" s="11">
        <f>CW16+真實IC!CX16</f>
        <v>8.1399060466361011</v>
      </c>
      <c r="CY16" s="11">
        <f>CX16+真實IC!CY16</f>
        <v>8.1984603528073539</v>
      </c>
      <c r="CZ16" s="11">
        <f>CY16+真實IC!CZ16</f>
        <v>8.3010936119854861</v>
      </c>
      <c r="DA16" s="11">
        <f>CZ16+真實IC!DA16</f>
        <v>8.4192749423479363</v>
      </c>
      <c r="DB16" s="11">
        <f>DA16+真實IC!DB16</f>
        <v>8.5172922252337333</v>
      </c>
      <c r="DC16" s="11">
        <f>DB16+真實IC!DC16</f>
        <v>8.5602345875542341</v>
      </c>
      <c r="DD16" s="11">
        <f>DC16+真實IC!DD16</f>
        <v>8.5919782980415143</v>
      </c>
      <c r="DE16" s="11">
        <f>DD16+真實IC!DE16</f>
        <v>8.6265306984003036</v>
      </c>
      <c r="DF16" s="11">
        <f>DE16+真實IC!DF16</f>
        <v>8.9521102493174567</v>
      </c>
      <c r="DG16" s="11">
        <f>DF16+真實IC!DG16</f>
        <v>8.9977871643463487</v>
      </c>
      <c r="DH16" s="11">
        <f>DG16+真實IC!DH16</f>
        <v>9.1349349247588574</v>
      </c>
      <c r="DI16" s="11">
        <f>DH16+真實IC!DI16</f>
        <v>9.1827645324758453</v>
      </c>
      <c r="DJ16" s="11">
        <f>DI16+真實IC!DJ16</f>
        <v>9.2537195849127301</v>
      </c>
      <c r="DK16" s="11">
        <f>DJ16+真實IC!DK16</f>
        <v>9.3499742097119274</v>
      </c>
      <c r="DL16" s="11">
        <f>DK16+真實IC!DL16</f>
        <v>9.3281013354621525</v>
      </c>
      <c r="DM16" s="11">
        <f>DL16+真實IC!DM16</f>
        <v>9.2899663399015999</v>
      </c>
      <c r="DN16" s="11">
        <f>DM16+真實IC!DN16</f>
        <v>9.3324041932610076</v>
      </c>
      <c r="DO16" s="11">
        <f>DN16+真實IC!DO16</f>
        <v>9.5019951396490825</v>
      </c>
      <c r="DP16" s="11">
        <f>DO16+真實IC!DP16</f>
        <v>9.6623291341248958</v>
      </c>
      <c r="DQ16" s="11">
        <f>DP16+真實IC!DQ16</f>
        <v>9.7093992901294275</v>
      </c>
      <c r="DR16" s="11">
        <f>DQ16+真實IC!DR16</f>
        <v>9.7645905417789418</v>
      </c>
      <c r="DS16" s="11">
        <f>DR16+真實IC!DS16</f>
        <v>9.7860312144914356</v>
      </c>
      <c r="DT16" s="11">
        <f>DS16+真實IC!DT16</f>
        <v>9.8451441895696217</v>
      </c>
      <c r="DU16" s="11">
        <f>DT16+真實IC!DU16</f>
        <v>9.9679162360925861</v>
      </c>
      <c r="DV16" s="11">
        <f>DU16+真實IC!DV16</f>
        <v>10.10486996811038</v>
      </c>
      <c r="DW16" s="11">
        <f>DV16+真實IC!DW16</f>
        <v>10.033567393987024</v>
      </c>
      <c r="DX16" s="11">
        <f>DW16+真實IC!DX16</f>
        <v>10.158852100311002</v>
      </c>
      <c r="DY16" s="11">
        <f>DX16+真實IC!DY16</f>
        <v>10.316424233046375</v>
      </c>
      <c r="DZ16" s="11">
        <f>DY16+真實IC!DZ16</f>
        <v>10.375234981237421</v>
      </c>
      <c r="EA16" s="11">
        <f>DZ16+真實IC!EA16</f>
        <v>10.375655496477664</v>
      </c>
      <c r="EB16" s="11">
        <f>EA16+真實IC!EB16</f>
        <v>10.476334597154866</v>
      </c>
      <c r="EC16" s="11">
        <f>EB16+真實IC!EC16</f>
        <v>10.539866663789436</v>
      </c>
      <c r="ED16" s="11">
        <f>EC16+真實IC!ED16</f>
        <v>10.655283411288357</v>
      </c>
      <c r="EE16" s="11">
        <f>ED16+真實IC!EE16</f>
        <v>10.659680086595117</v>
      </c>
      <c r="EF16" s="11">
        <f>EE16+真實IC!EF16</f>
        <v>10.694230722575096</v>
      </c>
    </row>
    <row r="17" spans="1:136" x14ac:dyDescent="0.3">
      <c r="A17" s="1">
        <v>120</v>
      </c>
      <c r="B17" s="1">
        <v>8</v>
      </c>
      <c r="C17" s="11">
        <f>IF(預測IC!C17&gt;預測IC!C$26,1,0)</f>
        <v>1</v>
      </c>
      <c r="D17" s="11">
        <f>C17+真實IC!D17</f>
        <v>1.4395884886246213</v>
      </c>
      <c r="E17" s="11">
        <f>D17+真實IC!E17</f>
        <v>1.5191783380153743</v>
      </c>
      <c r="F17" s="11">
        <f>E17+真實IC!F17</f>
        <v>1.4384261738630553</v>
      </c>
      <c r="G17" s="11">
        <f>F17+真實IC!G17</f>
        <v>1.5438132485267859</v>
      </c>
      <c r="H17" s="11">
        <f>G17+真實IC!H17</f>
        <v>1.6488073021545269</v>
      </c>
      <c r="I17" s="11">
        <f>H17+真實IC!I17</f>
        <v>1.7625323299567144</v>
      </c>
      <c r="J17" s="11">
        <f>I17+真實IC!J17</f>
        <v>1.8043907250749436</v>
      </c>
      <c r="K17" s="11">
        <f>J17+真實IC!K17</f>
        <v>1.9059508047972535</v>
      </c>
      <c r="L17" s="11">
        <f>K17+真實IC!L17</f>
        <v>1.8721748752586154</v>
      </c>
      <c r="M17" s="11">
        <f>L17+真實IC!M17</f>
        <v>1.8868340173489038</v>
      </c>
      <c r="N17" s="11">
        <f>M17+真實IC!N17</f>
        <v>2.2919420262883659</v>
      </c>
      <c r="O17" s="11">
        <f>N17+真實IC!O17</f>
        <v>2.2806353502242338</v>
      </c>
      <c r="P17" s="11">
        <f>O17+真實IC!P17</f>
        <v>2.346974719363065</v>
      </c>
      <c r="Q17" s="11">
        <f>P17+真實IC!Q17</f>
        <v>2.5087760139781921</v>
      </c>
      <c r="R17" s="11">
        <f>Q17+真實IC!R17</f>
        <v>2.4567184050736648</v>
      </c>
      <c r="S17" s="11">
        <f>R17+真實IC!S17</f>
        <v>2.7673718377289629</v>
      </c>
      <c r="T17" s="11">
        <f>S17+真實IC!T17</f>
        <v>2.7907144232399035</v>
      </c>
      <c r="U17" s="11">
        <f>T17+真實IC!U17</f>
        <v>2.9319855657784606</v>
      </c>
      <c r="V17" s="11">
        <f>U17+真實IC!V17</f>
        <v>2.935996755608159</v>
      </c>
      <c r="W17" s="11">
        <f>V17+真實IC!W17</f>
        <v>3.0151387444101765</v>
      </c>
      <c r="X17" s="11">
        <f>W17+真實IC!X17</f>
        <v>3.2531281757304913</v>
      </c>
      <c r="Y17" s="11">
        <f>X17+真實IC!Y17</f>
        <v>3.2302001646678362</v>
      </c>
      <c r="Z17" s="11">
        <f>Y17+真實IC!Z17</f>
        <v>3.2840686539587018</v>
      </c>
      <c r="AA17" s="11">
        <f>Z17+真實IC!AA17</f>
        <v>3.4753520908741113</v>
      </c>
      <c r="AB17" s="11">
        <f>AA17+真實IC!AB17</f>
        <v>3.5602041537522835</v>
      </c>
      <c r="AC17" s="11">
        <f>AB17+真實IC!AC17</f>
        <v>3.5401178990142621</v>
      </c>
      <c r="AD17" s="11">
        <f>AC17+真實IC!AD17</f>
        <v>3.6087377222511088</v>
      </c>
      <c r="AE17" s="11">
        <f>AD17+真實IC!AE17</f>
        <v>3.8308604266795596</v>
      </c>
      <c r="AF17" s="11">
        <f>AE17+真實IC!AF17</f>
        <v>3.9511467513354059</v>
      </c>
      <c r="AG17" s="11">
        <f>AF17+真實IC!AG17</f>
        <v>3.9738877321231962</v>
      </c>
      <c r="AH17" s="11">
        <f>AG17+真實IC!AH17</f>
        <v>3.9384151129503073</v>
      </c>
      <c r="AI17" s="11">
        <f>AH17+真實IC!AI17</f>
        <v>4.0532795583485939</v>
      </c>
      <c r="AJ17" s="11">
        <f>AI17+真實IC!AJ17</f>
        <v>4.0106769278296373</v>
      </c>
      <c r="AK17" s="11">
        <f>AJ17+真實IC!AK17</f>
        <v>4.0843932025686733</v>
      </c>
      <c r="AL17" s="11">
        <f>AK17+真實IC!AL17</f>
        <v>4.0744094692336743</v>
      </c>
      <c r="AM17" s="11">
        <f>AL17+真實IC!AM17</f>
        <v>4.1497788368213309</v>
      </c>
      <c r="AN17" s="11">
        <f>AM17+真實IC!AN17</f>
        <v>4.2630659571672487</v>
      </c>
      <c r="AO17" s="11">
        <f>AN17+真實IC!AO17</f>
        <v>4.1863714295446259</v>
      </c>
      <c r="AP17" s="11">
        <f>AO17+真實IC!AP17</f>
        <v>4.2636142439642111</v>
      </c>
      <c r="AQ17" s="11">
        <f>AP17+真實IC!AQ17</f>
        <v>4.2728482374400008</v>
      </c>
      <c r="AR17" s="11">
        <f>AQ17+真實IC!AR17</f>
        <v>4.2378509564049436</v>
      </c>
      <c r="AS17" s="11">
        <f>AR17+真實IC!AS17</f>
        <v>4.1790479994607095</v>
      </c>
      <c r="AT17" s="11">
        <f>AS17+真實IC!AT17</f>
        <v>4.3061197925679613</v>
      </c>
      <c r="AU17" s="11">
        <f>AT17+真實IC!AU17</f>
        <v>4.4836818183161329</v>
      </c>
      <c r="AV17" s="11">
        <f>AU17+真實IC!AV17</f>
        <v>4.5422112676507647</v>
      </c>
      <c r="AW17" s="11">
        <f>AV17+真實IC!AW17</f>
        <v>4.618400877880581</v>
      </c>
      <c r="AX17" s="11">
        <f>AW17+真實IC!AX17</f>
        <v>4.7160199829981888</v>
      </c>
      <c r="AY17" s="11">
        <f>AX17+真實IC!AY17</f>
        <v>4.7434436796887898</v>
      </c>
      <c r="AZ17" s="11">
        <f>AY17+真實IC!AZ17</f>
        <v>4.7914241134979623</v>
      </c>
      <c r="BA17" s="11">
        <f>AZ17+真實IC!BA17</f>
        <v>4.9542305233077251</v>
      </c>
      <c r="BB17" s="11">
        <f>BA17+真實IC!BB17</f>
        <v>5.1846725682555954</v>
      </c>
      <c r="BC17" s="11">
        <f>BB17+真實IC!BC17</f>
        <v>5.1573797438751052</v>
      </c>
      <c r="BD17" s="11">
        <f>BC17+真實IC!BD17</f>
        <v>5.1767916157679821</v>
      </c>
      <c r="BE17" s="11">
        <f>BD17+真實IC!BE17</f>
        <v>5.2209018691128204</v>
      </c>
      <c r="BF17" s="11">
        <f>BE17+真實IC!BF17</f>
        <v>5.3686786993929783</v>
      </c>
      <c r="BG17" s="11">
        <f>BF17+真實IC!BG17</f>
        <v>5.554430277523859</v>
      </c>
      <c r="BH17" s="11">
        <f>BG17+真實IC!BH17</f>
        <v>5.6876213908491877</v>
      </c>
      <c r="BI17" s="11">
        <f>BH17+真實IC!BI17</f>
        <v>5.7747333362891347</v>
      </c>
      <c r="BJ17" s="11">
        <f>BI17+真實IC!BJ17</f>
        <v>5.8639248138457942</v>
      </c>
      <c r="BK17" s="11">
        <f>BJ17+真實IC!BK17</f>
        <v>5.7491090218462766</v>
      </c>
      <c r="BL17" s="11">
        <f>BK17+真實IC!BL17</f>
        <v>5.7832614691705713</v>
      </c>
      <c r="BM17" s="11">
        <f>BL17+真實IC!BM17</f>
        <v>5.8123204803229251</v>
      </c>
      <c r="BN17" s="11">
        <f>BM17+真實IC!BN17</f>
        <v>5.7386637123865594</v>
      </c>
      <c r="BO17" s="11">
        <f>BN17+真實IC!BO17</f>
        <v>5.7738433278032826</v>
      </c>
      <c r="BP17" s="11">
        <f>BO17+真實IC!BP17</f>
        <v>5.7132051808933655</v>
      </c>
      <c r="BQ17" s="11">
        <f>BP17+真實IC!BQ17</f>
        <v>5.7245816913398171</v>
      </c>
      <c r="BR17" s="11">
        <f>BQ17+真實IC!BR17</f>
        <v>5.8396040443655686</v>
      </c>
      <c r="BS17" s="11">
        <f>BR17+真實IC!BS17</f>
        <v>5.8605100625792641</v>
      </c>
      <c r="BT17" s="11">
        <f>BS17+真實IC!BT17</f>
        <v>5.8941576358256222</v>
      </c>
      <c r="BU17" s="11">
        <f>BT17+真實IC!BU17</f>
        <v>5.9986819353584826</v>
      </c>
      <c r="BV17" s="11">
        <f>BU17+真實IC!BV17</f>
        <v>6.0369228918606765</v>
      </c>
      <c r="BW17" s="11">
        <f>BV17+真實IC!BW17</f>
        <v>6.2452597173780653</v>
      </c>
      <c r="BX17" s="11">
        <f>BW17+真實IC!BX17</f>
        <v>6.2523555072195318</v>
      </c>
      <c r="BY17" s="11">
        <f>BX17+真實IC!BY17</f>
        <v>6.1098781320930646</v>
      </c>
      <c r="BZ17" s="11">
        <f>BY17+真實IC!BZ17</f>
        <v>6.2304562879741496</v>
      </c>
      <c r="CA17" s="11">
        <f>BZ17+真實IC!CA17</f>
        <v>6.2583911203326394</v>
      </c>
      <c r="CB17" s="11">
        <f>CA17+真實IC!CB17</f>
        <v>6.408024278025529</v>
      </c>
      <c r="CC17" s="11">
        <f>CB17+真實IC!CC17</f>
        <v>6.4497845304997643</v>
      </c>
      <c r="CD17" s="11">
        <f>CC17+真實IC!CD17</f>
        <v>6.6227442717189131</v>
      </c>
      <c r="CE17" s="11">
        <f>CD17+真實IC!CE17</f>
        <v>6.7184523453804079</v>
      </c>
      <c r="CF17" s="11">
        <f>CE17+真實IC!CF17</f>
        <v>6.8171985428066062</v>
      </c>
      <c r="CG17" s="11">
        <f>CF17+真實IC!CG17</f>
        <v>6.8919135314353372</v>
      </c>
      <c r="CH17" s="11">
        <f>CG17+真實IC!CH17</f>
        <v>6.9505499780423872</v>
      </c>
      <c r="CI17" s="11">
        <f>CH17+真實IC!CI17</f>
        <v>6.965081163031976</v>
      </c>
      <c r="CJ17" s="11">
        <f>CI17+真實IC!CJ17</f>
        <v>6.9860319905133244</v>
      </c>
      <c r="CK17" s="11">
        <f>CJ17+真實IC!CK17</f>
        <v>7.0699878387729553</v>
      </c>
      <c r="CL17" s="11">
        <f>CK17+真實IC!CL17</f>
        <v>7.0605614940039239</v>
      </c>
      <c r="CM17" s="11">
        <f>CL17+真實IC!CM17</f>
        <v>7.1560553648204772</v>
      </c>
      <c r="CN17" s="11">
        <f>CM17+真實IC!CN17</f>
        <v>7.3325866434018643</v>
      </c>
      <c r="CO17" s="11">
        <f>CN17+真實IC!CO17</f>
        <v>7.530667063291653</v>
      </c>
      <c r="CP17" s="11">
        <f>CO17+真實IC!CP17</f>
        <v>7.6788263324889963</v>
      </c>
      <c r="CQ17" s="11">
        <f>CP17+真實IC!CQ17</f>
        <v>7.7307334358307225</v>
      </c>
      <c r="CR17" s="11">
        <f>CQ17+真實IC!CR17</f>
        <v>7.927136067593012</v>
      </c>
      <c r="CS17" s="11">
        <f>CR17+真實IC!CS17</f>
        <v>7.9584818859887303</v>
      </c>
      <c r="CT17" s="11">
        <f>CS17+真實IC!CT17</f>
        <v>8.0171356825913449</v>
      </c>
      <c r="CU17" s="11">
        <f>CT17+真實IC!CU17</f>
        <v>8.1724875753911039</v>
      </c>
      <c r="CV17" s="11">
        <f>CU17+真實IC!CV17</f>
        <v>8.3239589602524582</v>
      </c>
      <c r="CW17" s="11">
        <f>CV17+真實IC!CW17</f>
        <v>8.387352179056947</v>
      </c>
      <c r="CX17" s="11">
        <f>CW17+真實IC!CX17</f>
        <v>8.398124573580894</v>
      </c>
      <c r="CY17" s="11">
        <f>CX17+真實IC!CY17</f>
        <v>8.4576225254407174</v>
      </c>
      <c r="CZ17" s="11">
        <f>CY17+真實IC!CZ17</f>
        <v>8.5818713632883377</v>
      </c>
      <c r="DA17" s="11">
        <f>CZ17+真實IC!DA17</f>
        <v>8.6763677625078284</v>
      </c>
      <c r="DB17" s="11">
        <f>DA17+真實IC!DB17</f>
        <v>8.7806393884109113</v>
      </c>
      <c r="DC17" s="11">
        <f>DB17+真實IC!DC17</f>
        <v>8.8240028573884111</v>
      </c>
      <c r="DD17" s="11">
        <f>DC17+真實IC!DD17</f>
        <v>8.853158278271291</v>
      </c>
      <c r="DE17" s="11">
        <f>DD17+真實IC!DE17</f>
        <v>8.8772831416180136</v>
      </c>
      <c r="DF17" s="11">
        <f>DE17+真實IC!DF17</f>
        <v>9.2295086958894856</v>
      </c>
      <c r="DG17" s="11">
        <f>DF17+真實IC!DG17</f>
        <v>9.2767196843180102</v>
      </c>
      <c r="DH17" s="11">
        <f>DG17+真實IC!DH17</f>
        <v>9.4401514855299986</v>
      </c>
      <c r="DI17" s="11">
        <f>DH17+真實IC!DI17</f>
        <v>9.5103338756007272</v>
      </c>
      <c r="DJ17" s="11">
        <f>DI17+真實IC!DJ17</f>
        <v>9.6392589353867368</v>
      </c>
      <c r="DK17" s="11">
        <f>DJ17+真實IC!DK17</f>
        <v>9.7420402041350425</v>
      </c>
      <c r="DL17" s="11">
        <f>DK17+真實IC!DL17</f>
        <v>9.738110472443914</v>
      </c>
      <c r="DM17" s="11">
        <f>DL17+真實IC!DM17</f>
        <v>9.6955468637321616</v>
      </c>
      <c r="DN17" s="11">
        <f>DM17+真實IC!DN17</f>
        <v>9.7310358964465014</v>
      </c>
      <c r="DO17" s="11">
        <f>DN17+真實IC!DO17</f>
        <v>9.9107988225452299</v>
      </c>
      <c r="DP17" s="11">
        <f>DO17+真實IC!DP17</f>
        <v>10.052832980795865</v>
      </c>
      <c r="DQ17" s="11">
        <f>DP17+真實IC!DQ17</f>
        <v>10.125486985901889</v>
      </c>
      <c r="DR17" s="11">
        <f>DQ17+真實IC!DR17</f>
        <v>10.181371800778217</v>
      </c>
      <c r="DS17" s="11">
        <f>DR17+真實IC!DS17</f>
        <v>10.218725889533319</v>
      </c>
      <c r="DT17" s="11">
        <f>DS17+真實IC!DT17</f>
        <v>10.278537824768295</v>
      </c>
      <c r="DU17" s="11">
        <f>DT17+真實IC!DU17</f>
        <v>10.408030781088284</v>
      </c>
      <c r="DV17" s="11">
        <f>DU17+真實IC!DV17</f>
        <v>10.525796179199238</v>
      </c>
      <c r="DW17" s="11">
        <f>DV17+真實IC!DW17</f>
        <v>10.449197266163242</v>
      </c>
      <c r="DX17" s="11">
        <f>DW17+真實IC!DX17</f>
        <v>10.578736248759716</v>
      </c>
      <c r="DY17" s="11">
        <f>DX17+真實IC!DY17</f>
        <v>10.686019144361568</v>
      </c>
      <c r="DZ17" s="11">
        <f>DY17+真實IC!DZ17</f>
        <v>10.735231773531376</v>
      </c>
      <c r="EA17" s="11">
        <f>DZ17+真實IC!EA17</f>
        <v>10.730599249314652</v>
      </c>
      <c r="EB17" s="11">
        <f>EA17+真實IC!EB17</f>
        <v>10.83788457606841</v>
      </c>
      <c r="EC17" s="11">
        <f>EB17+真實IC!EC17</f>
        <v>10.85430979328447</v>
      </c>
      <c r="ED17" s="11">
        <f>EC17+真實IC!ED17</f>
        <v>10.982634237213382</v>
      </c>
      <c r="EE17" s="11">
        <f>ED17+真實IC!EE17</f>
        <v>10.982440716067304</v>
      </c>
      <c r="EF17" s="11">
        <f>EE17+真實IC!EF17</f>
        <v>11.023427921491205</v>
      </c>
    </row>
    <row r="18" spans="1:136" x14ac:dyDescent="0.3">
      <c r="A18" s="1">
        <v>137</v>
      </c>
      <c r="B18" s="1">
        <v>7</v>
      </c>
      <c r="C18" s="11">
        <f>IF(預測IC!C18&gt;預測IC!C$26,1,0)</f>
        <v>1</v>
      </c>
      <c r="D18" s="11">
        <f>C18+真實IC!D18</f>
        <v>1.4018836814220679</v>
      </c>
      <c r="E18" s="11">
        <f>D18+真實IC!E18</f>
        <v>1.4553230316897918</v>
      </c>
      <c r="F18" s="11">
        <f>E18+真實IC!F18</f>
        <v>1.335940071587602</v>
      </c>
      <c r="G18" s="11">
        <f>F18+真實IC!G18</f>
        <v>1.444256444872682</v>
      </c>
      <c r="H18" s="11">
        <f>G18+真實IC!H18</f>
        <v>1.5727960066472533</v>
      </c>
      <c r="I18" s="11">
        <f>H18+真實IC!I18</f>
        <v>1.7082961868704944</v>
      </c>
      <c r="J18" s="11">
        <f>I18+真實IC!J18</f>
        <v>1.7517077026221362</v>
      </c>
      <c r="K18" s="11">
        <f>J18+真實IC!K18</f>
        <v>1.8873555913997684</v>
      </c>
      <c r="L18" s="11">
        <f>K18+真實IC!L18</f>
        <v>1.8406828710590952</v>
      </c>
      <c r="M18" s="11">
        <f>L18+真實IC!M18</f>
        <v>1.8697343354355525</v>
      </c>
      <c r="N18" s="11">
        <f>M18+真實IC!N18</f>
        <v>2.3315543535061658</v>
      </c>
      <c r="O18" s="11">
        <f>N18+真實IC!O18</f>
        <v>2.3632922946036641</v>
      </c>
      <c r="P18" s="11">
        <f>O18+真實IC!P18</f>
        <v>2.4458449061736118</v>
      </c>
      <c r="Q18" s="11">
        <f>P18+真實IC!Q18</f>
        <v>2.6348203248631017</v>
      </c>
      <c r="R18" s="11">
        <f>Q18+真實IC!R18</f>
        <v>2.5733280869911268</v>
      </c>
      <c r="S18" s="11">
        <f>R18+真實IC!S18</f>
        <v>2.9570607159230211</v>
      </c>
      <c r="T18" s="11">
        <f>S18+真實IC!T18</f>
        <v>3.0093704134737518</v>
      </c>
      <c r="U18" s="11">
        <f>T18+真實IC!U18</f>
        <v>3.1418654379035709</v>
      </c>
      <c r="V18" s="11">
        <f>U18+真實IC!V18</f>
        <v>3.1547605729734216</v>
      </c>
      <c r="W18" s="11">
        <f>V18+真實IC!W18</f>
        <v>3.2320568530331601</v>
      </c>
      <c r="X18" s="11">
        <f>W18+真實IC!X18</f>
        <v>3.4471779104331119</v>
      </c>
      <c r="Y18" s="11">
        <f>X18+真實IC!Y18</f>
        <v>3.4279455760756763</v>
      </c>
      <c r="Z18" s="11">
        <f>Y18+真實IC!Z18</f>
        <v>3.5171799395161991</v>
      </c>
      <c r="AA18" s="11">
        <f>Z18+真實IC!AA18</f>
        <v>3.6897505970507276</v>
      </c>
      <c r="AB18" s="11">
        <f>AA18+真實IC!AB18</f>
        <v>3.774448896781212</v>
      </c>
      <c r="AC18" s="11">
        <f>AB18+真實IC!AC18</f>
        <v>3.7758143172580443</v>
      </c>
      <c r="AD18" s="11">
        <f>AC18+真實IC!AD18</f>
        <v>3.8721001624434637</v>
      </c>
      <c r="AE18" s="11">
        <f>AD18+真實IC!AE18</f>
        <v>4.130491511358672</v>
      </c>
      <c r="AF18" s="11">
        <f>AE18+真實IC!AF18</f>
        <v>4.2810351511827456</v>
      </c>
      <c r="AG18" s="11">
        <f>AF18+真實IC!AG18</f>
        <v>4.3135282672806214</v>
      </c>
      <c r="AH18" s="11">
        <f>AG18+真實IC!AH18</f>
        <v>4.2733308063121065</v>
      </c>
      <c r="AI18" s="11">
        <f>AH18+真實IC!AI18</f>
        <v>4.3914165408701065</v>
      </c>
      <c r="AJ18" s="11">
        <f>AI18+真實IC!AJ18</f>
        <v>4.3440227847036574</v>
      </c>
      <c r="AK18" s="11">
        <f>AJ18+真實IC!AK18</f>
        <v>4.3741752653012833</v>
      </c>
      <c r="AL18" s="11">
        <f>AK18+真實IC!AL18</f>
        <v>4.3733197102469115</v>
      </c>
      <c r="AM18" s="11">
        <f>AL18+真實IC!AM18</f>
        <v>4.4399631156716826</v>
      </c>
      <c r="AN18" s="11">
        <f>AM18+真實IC!AN18</f>
        <v>4.5192577556268843</v>
      </c>
      <c r="AO18" s="11">
        <f>AN18+真實IC!AO18</f>
        <v>4.5438420360716911</v>
      </c>
      <c r="AP18" s="11">
        <f>AO18+真實IC!AP18</f>
        <v>4.6221206280054981</v>
      </c>
      <c r="AQ18" s="11">
        <f>AP18+真實IC!AQ18</f>
        <v>4.605335486436382</v>
      </c>
      <c r="AR18" s="11">
        <f>AQ18+真實IC!AR18</f>
        <v>4.5436409628356005</v>
      </c>
      <c r="AS18" s="11">
        <f>AR18+真實IC!AS18</f>
        <v>4.4603878349464141</v>
      </c>
      <c r="AT18" s="11">
        <f>AS18+真實IC!AT18</f>
        <v>4.6267736443704734</v>
      </c>
      <c r="AU18" s="11">
        <f>AT18+真實IC!AU18</f>
        <v>4.8234333755091523</v>
      </c>
      <c r="AV18" s="11">
        <f>AU18+真實IC!AV18</f>
        <v>4.8836690402156222</v>
      </c>
      <c r="AW18" s="11">
        <f>AV18+真實IC!AW18</f>
        <v>4.981435902036857</v>
      </c>
      <c r="AX18" s="11">
        <f>AW18+真實IC!AX18</f>
        <v>5.1075002394629845</v>
      </c>
      <c r="AY18" s="11">
        <f>AX18+真實IC!AY18</f>
        <v>5.1422835181041329</v>
      </c>
      <c r="AZ18" s="11">
        <f>AY18+真實IC!AZ18</f>
        <v>5.2086247938415546</v>
      </c>
      <c r="BA18" s="11">
        <f>AZ18+真實IC!BA18</f>
        <v>5.389104558511101</v>
      </c>
      <c r="BB18" s="11">
        <f>BA18+真實IC!BB18</f>
        <v>5.706561984175214</v>
      </c>
      <c r="BC18" s="11">
        <f>BB18+真實IC!BC18</f>
        <v>5.7345040348771841</v>
      </c>
      <c r="BD18" s="11">
        <f>BC18+真實IC!BD18</f>
        <v>5.7547791745342112</v>
      </c>
      <c r="BE18" s="11">
        <f>BD18+真實IC!BE18</f>
        <v>5.8459520273901333</v>
      </c>
      <c r="BF18" s="11">
        <f>BE18+真實IC!BF18</f>
        <v>6.0109385220861409</v>
      </c>
      <c r="BG18" s="11">
        <f>BF18+真實IC!BG18</f>
        <v>6.1576524969144293</v>
      </c>
      <c r="BH18" s="11">
        <f>BG18+真實IC!BH18</f>
        <v>6.2955507620645719</v>
      </c>
      <c r="BI18" s="11">
        <f>BH18+真實IC!BI18</f>
        <v>6.4045507689832375</v>
      </c>
      <c r="BJ18" s="11">
        <f>BI18+真實IC!BJ18</f>
        <v>6.5040822882563845</v>
      </c>
      <c r="BK18" s="11">
        <f>BJ18+真實IC!BK18</f>
        <v>6.4306266614323793</v>
      </c>
      <c r="BL18" s="11">
        <f>BK18+真實IC!BL18</f>
        <v>6.4864145422941588</v>
      </c>
      <c r="BM18" s="11">
        <f>BL18+真實IC!BM18</f>
        <v>6.5144958986672545</v>
      </c>
      <c r="BN18" s="11">
        <f>BM18+真實IC!BN18</f>
        <v>6.4362871991848793</v>
      </c>
      <c r="BO18" s="11">
        <f>BN18+真實IC!BO18</f>
        <v>6.4565146952912542</v>
      </c>
      <c r="BP18" s="11">
        <f>BO18+真實IC!BP18</f>
        <v>6.3940512632548021</v>
      </c>
      <c r="BQ18" s="11">
        <f>BP18+真實IC!BQ18</f>
        <v>6.3959680473646507</v>
      </c>
      <c r="BR18" s="11">
        <f>BQ18+真實IC!BR18</f>
        <v>6.5169298652471266</v>
      </c>
      <c r="BS18" s="11">
        <f>BR18+真實IC!BS18</f>
        <v>6.5498031218231585</v>
      </c>
      <c r="BT18" s="11">
        <f>BS18+真實IC!BT18</f>
        <v>6.5631022726008359</v>
      </c>
      <c r="BU18" s="11">
        <f>BT18+真實IC!BU18</f>
        <v>6.6745638181299389</v>
      </c>
      <c r="BV18" s="11">
        <f>BU18+真實IC!BV18</f>
        <v>6.7141882442540863</v>
      </c>
      <c r="BW18" s="11">
        <f>BV18+真實IC!BW18</f>
        <v>6.9325637433850753</v>
      </c>
      <c r="BX18" s="11">
        <f>BW18+真實IC!BX18</f>
        <v>6.9167518194392832</v>
      </c>
      <c r="BY18" s="11">
        <f>BX18+真實IC!BY18</f>
        <v>6.8292865511671819</v>
      </c>
      <c r="BZ18" s="11">
        <f>BY18+真實IC!BZ18</f>
        <v>6.9826065389697796</v>
      </c>
      <c r="CA18" s="11">
        <f>BZ18+真實IC!CA18</f>
        <v>6.9986830828626401</v>
      </c>
      <c r="CB18" s="11">
        <f>CA18+真實IC!CB18</f>
        <v>7.1055291433327135</v>
      </c>
      <c r="CC18" s="11">
        <f>CB18+真實IC!CC18</f>
        <v>7.2101897671743584</v>
      </c>
      <c r="CD18" s="11">
        <f>CC18+真實IC!CD18</f>
        <v>7.403906585821189</v>
      </c>
      <c r="CE18" s="11">
        <f>CD18+真實IC!CE18</f>
        <v>7.4811669806994114</v>
      </c>
      <c r="CF18" s="11">
        <f>CE18+真實IC!CF18</f>
        <v>7.5529845723997857</v>
      </c>
      <c r="CG18" s="11">
        <f>CF18+真實IC!CG18</f>
        <v>7.6445938279637051</v>
      </c>
      <c r="CH18" s="11">
        <f>CG18+真實IC!CH18</f>
        <v>7.8072508746509381</v>
      </c>
      <c r="CI18" s="11">
        <f>CH18+真實IC!CI18</f>
        <v>7.8461200145286281</v>
      </c>
      <c r="CJ18" s="11">
        <f>CI18+真實IC!CJ18</f>
        <v>7.8423476480282304</v>
      </c>
      <c r="CK18" s="11">
        <f>CJ18+真實IC!CK18</f>
        <v>7.9384056796937532</v>
      </c>
      <c r="CL18" s="11">
        <f>CK18+真實IC!CL18</f>
        <v>7.90741613463556</v>
      </c>
      <c r="CM18" s="11">
        <f>CL18+真實IC!CM18</f>
        <v>8.0101857462635113</v>
      </c>
      <c r="CN18" s="11">
        <f>CM18+真實IC!CN18</f>
        <v>8.131128879805086</v>
      </c>
      <c r="CO18" s="11">
        <f>CN18+真實IC!CO18</f>
        <v>8.3594109656805475</v>
      </c>
      <c r="CP18" s="11">
        <f>CO18+真實IC!CP18</f>
        <v>8.522250074628559</v>
      </c>
      <c r="CQ18" s="11">
        <f>CP18+真實IC!CQ18</f>
        <v>8.5604927502235011</v>
      </c>
      <c r="CR18" s="11">
        <f>CQ18+真實IC!CR18</f>
        <v>8.754215157875711</v>
      </c>
      <c r="CS18" s="11">
        <f>CR18+真實IC!CS18</f>
        <v>8.8119058065271272</v>
      </c>
      <c r="CT18" s="11">
        <f>CS18+真實IC!CT18</f>
        <v>8.8887760332993508</v>
      </c>
      <c r="CU18" s="11">
        <f>CT18+真實IC!CU18</f>
        <v>9.033340854475485</v>
      </c>
      <c r="CV18" s="11">
        <f>CU18+真實IC!CV18</f>
        <v>9.1603631226084925</v>
      </c>
      <c r="CW18" s="11">
        <f>CV18+真實IC!CW18</f>
        <v>9.2269216971068087</v>
      </c>
      <c r="CX18" s="11">
        <f>CW18+真實IC!CX18</f>
        <v>9.2884818829405873</v>
      </c>
      <c r="CY18" s="11">
        <f>CX18+真實IC!CY18</f>
        <v>9.3599143418529618</v>
      </c>
      <c r="CZ18" s="11">
        <f>CY18+真實IC!CZ18</f>
        <v>9.4927572051547333</v>
      </c>
      <c r="DA18" s="11">
        <f>CZ18+真實IC!DA18</f>
        <v>9.571115836062166</v>
      </c>
      <c r="DB18" s="11">
        <f>DA18+真實IC!DB18</f>
        <v>9.6892305543473771</v>
      </c>
      <c r="DC18" s="11">
        <f>DB18+真實IC!DC18</f>
        <v>9.7256393358428834</v>
      </c>
      <c r="DD18" s="11">
        <f>DC18+真實IC!DD18</f>
        <v>9.7666535231622174</v>
      </c>
      <c r="DE18" s="11">
        <f>DD18+真實IC!DE18</f>
        <v>9.8050741106486683</v>
      </c>
      <c r="DF18" s="11">
        <f>DE18+真實IC!DF18</f>
        <v>10.171766120262683</v>
      </c>
      <c r="DG18" s="11">
        <f>DF18+真實IC!DG18</f>
        <v>10.226536604389556</v>
      </c>
      <c r="DH18" s="11">
        <f>DG18+真實IC!DH18</f>
        <v>10.418937986348698</v>
      </c>
      <c r="DI18" s="11">
        <f>DH18+真實IC!DI18</f>
        <v>10.516901113827654</v>
      </c>
      <c r="DJ18" s="11">
        <f>DI18+真實IC!DJ18</f>
        <v>10.663097189927067</v>
      </c>
      <c r="DK18" s="11">
        <f>DJ18+真實IC!DK18</f>
        <v>10.7696244519295</v>
      </c>
      <c r="DL18" s="11">
        <f>DK18+真實IC!DL18</f>
        <v>10.765794177861908</v>
      </c>
      <c r="DM18" s="11">
        <f>DL18+真實IC!DM18</f>
        <v>10.707337013571733</v>
      </c>
      <c r="DN18" s="11">
        <f>DM18+真實IC!DN18</f>
        <v>10.690614949493712</v>
      </c>
      <c r="DO18" s="11">
        <f>DN18+真實IC!DO18</f>
        <v>10.910935161285011</v>
      </c>
      <c r="DP18" s="11">
        <f>DO18+真實IC!DP18</f>
        <v>11.044421633562092</v>
      </c>
      <c r="DQ18" s="11">
        <f>DP18+真實IC!DQ18</f>
        <v>11.11017109174599</v>
      </c>
      <c r="DR18" s="11">
        <f>DQ18+真實IC!DR18</f>
        <v>11.187011746517951</v>
      </c>
      <c r="DS18" s="11">
        <f>DR18+真實IC!DS18</f>
        <v>11.198289728773634</v>
      </c>
      <c r="DT18" s="11">
        <f>DS18+真實IC!DT18</f>
        <v>11.220890763614742</v>
      </c>
      <c r="DU18" s="11">
        <f>DT18+真實IC!DU18</f>
        <v>11.379605586331419</v>
      </c>
      <c r="DV18" s="11">
        <f>DU18+真實IC!DV18</f>
        <v>11.485246195131481</v>
      </c>
      <c r="DW18" s="11">
        <f>DV18+真實IC!DW18</f>
        <v>11.416609245179364</v>
      </c>
      <c r="DX18" s="11">
        <f>DW18+真實IC!DX18</f>
        <v>11.570212222641846</v>
      </c>
      <c r="DY18" s="11">
        <f>DX18+真實IC!DY18</f>
        <v>11.707045337580098</v>
      </c>
      <c r="DZ18" s="11">
        <f>DY18+真實IC!DZ18</f>
        <v>11.761675711736681</v>
      </c>
      <c r="EA18" s="11">
        <f>DZ18+真實IC!EA18</f>
        <v>11.756937414498436</v>
      </c>
      <c r="EB18" s="11">
        <f>EA18+真實IC!EB18</f>
        <v>11.866901768948631</v>
      </c>
      <c r="EC18" s="11">
        <f>EB18+真實IC!EC18</f>
        <v>11.869665884374003</v>
      </c>
      <c r="ED18" s="11">
        <f>EC18+真實IC!ED18</f>
        <v>11.980143906239768</v>
      </c>
      <c r="EE18" s="11">
        <f>ED18+真實IC!EE18</f>
        <v>11.981255193912125</v>
      </c>
      <c r="EF18" s="11">
        <f>EE18+真實IC!EF18</f>
        <v>12.045209527601269</v>
      </c>
    </row>
    <row r="19" spans="1:136" x14ac:dyDescent="0.3">
      <c r="A19" s="1">
        <v>160</v>
      </c>
      <c r="B19" s="1">
        <v>6</v>
      </c>
      <c r="C19" s="11">
        <f>IF(預測IC!C19&gt;預測IC!C$26,1,0)</f>
        <v>1</v>
      </c>
      <c r="D19" s="11">
        <f>C19+真實IC!D19</f>
        <v>1.4075207100894693</v>
      </c>
      <c r="E19" s="11">
        <f>D19+真實IC!E19</f>
        <v>1.4733349174194872</v>
      </c>
      <c r="F19" s="11">
        <f>E19+真實IC!F19</f>
        <v>1.2956462556139268</v>
      </c>
      <c r="G19" s="11">
        <f>F19+真實IC!G19</f>
        <v>1.3917122274711042</v>
      </c>
      <c r="H19" s="11">
        <f>G19+真實IC!H19</f>
        <v>1.5693225462937561</v>
      </c>
      <c r="I19" s="11">
        <f>H19+真實IC!I19</f>
        <v>1.7039768791852226</v>
      </c>
      <c r="J19" s="11">
        <f>I19+真實IC!J19</f>
        <v>1.7394064637054136</v>
      </c>
      <c r="K19" s="11">
        <f>J19+真實IC!K19</f>
        <v>1.9781958784293303</v>
      </c>
      <c r="L19" s="11">
        <f>K19+真實IC!L19</f>
        <v>1.947833045373301</v>
      </c>
      <c r="M19" s="11">
        <f>L19+真實IC!M19</f>
        <v>1.9041428092169939</v>
      </c>
      <c r="N19" s="11">
        <f>M19+真實IC!N19</f>
        <v>2.436516846905235</v>
      </c>
      <c r="O19" s="11">
        <f>N19+真實IC!O19</f>
        <v>2.4680787213941509</v>
      </c>
      <c r="P19" s="11">
        <f>O19+真實IC!P19</f>
        <v>2.5606129075808481</v>
      </c>
      <c r="Q19" s="11">
        <f>P19+真實IC!Q19</f>
        <v>2.757775995845368</v>
      </c>
      <c r="R19" s="11">
        <f>Q19+真實IC!R19</f>
        <v>2.667476905214512</v>
      </c>
      <c r="S19" s="11">
        <f>R19+真實IC!S19</f>
        <v>2.8516370219121199</v>
      </c>
      <c r="T19" s="11">
        <f>S19+真實IC!T19</f>
        <v>2.9031017391574294</v>
      </c>
      <c r="U19" s="11">
        <f>T19+真實IC!U19</f>
        <v>3.0388000777893525</v>
      </c>
      <c r="V19" s="11">
        <f>U19+真實IC!V19</f>
        <v>3.075418765574804</v>
      </c>
      <c r="W19" s="11">
        <f>V19+真實IC!W19</f>
        <v>3.147834334894303</v>
      </c>
      <c r="X19" s="11">
        <f>W19+真實IC!X19</f>
        <v>3.2972342082470303</v>
      </c>
      <c r="Y19" s="11">
        <f>X19+真實IC!Y19</f>
        <v>3.2716055707188736</v>
      </c>
      <c r="Z19" s="11">
        <f>Y19+真實IC!Z19</f>
        <v>3.3632246812948972</v>
      </c>
      <c r="AA19" s="11">
        <f>Z19+真實IC!AA19</f>
        <v>3.4950575807759883</v>
      </c>
      <c r="AB19" s="11">
        <f>AA19+真實IC!AB19</f>
        <v>3.597311186659931</v>
      </c>
      <c r="AC19" s="11">
        <f>AB19+真實IC!AC19</f>
        <v>3.611452729368541</v>
      </c>
      <c r="AD19" s="11">
        <f>AC19+真實IC!AD19</f>
        <v>3.7074461071666089</v>
      </c>
      <c r="AE19" s="11">
        <f>AD19+真實IC!AE19</f>
        <v>4.0159389650919772</v>
      </c>
      <c r="AF19" s="11">
        <f>AE19+真實IC!AF19</f>
        <v>4.1847695458000205</v>
      </c>
      <c r="AG19" s="11">
        <f>AF19+真實IC!AG19</f>
        <v>4.2069057648725687</v>
      </c>
      <c r="AH19" s="11">
        <f>AG19+真實IC!AH19</f>
        <v>4.1503480496508649</v>
      </c>
      <c r="AI19" s="11">
        <f>AH19+真實IC!AI19</f>
        <v>4.2418967125755396</v>
      </c>
      <c r="AJ19" s="11">
        <f>AI19+真實IC!AJ19</f>
        <v>4.1903514222482769</v>
      </c>
      <c r="AK19" s="11">
        <f>AJ19+真實IC!AK19</f>
        <v>4.1979034647542299</v>
      </c>
      <c r="AL19" s="11">
        <f>AK19+真實IC!AL19</f>
        <v>4.1967672025728771</v>
      </c>
      <c r="AM19" s="11">
        <f>AL19+真實IC!AM19</f>
        <v>4.2398732143842821</v>
      </c>
      <c r="AN19" s="11">
        <f>AM19+真實IC!AN19</f>
        <v>4.3234415087499638</v>
      </c>
      <c r="AO19" s="11">
        <f>AN19+真實IC!AO19</f>
        <v>4.3793316348790787</v>
      </c>
      <c r="AP19" s="11">
        <f>AO19+真實IC!AP19</f>
        <v>4.4669057551519309</v>
      </c>
      <c r="AQ19" s="11">
        <f>AP19+真實IC!AQ19</f>
        <v>4.411980262778318</v>
      </c>
      <c r="AR19" s="11">
        <f>AQ19+真實IC!AR19</f>
        <v>4.3373633651436592</v>
      </c>
      <c r="AS19" s="11">
        <f>AR19+真實IC!AS19</f>
        <v>4.2281644890905925</v>
      </c>
      <c r="AT19" s="11">
        <f>AS19+真實IC!AT19</f>
        <v>4.4127581529006505</v>
      </c>
      <c r="AU19" s="11">
        <f>AT19+真實IC!AU19</f>
        <v>4.6516023912996651</v>
      </c>
      <c r="AV19" s="11">
        <f>AU19+真實IC!AV19</f>
        <v>4.6485697816970575</v>
      </c>
      <c r="AW19" s="11">
        <f>AV19+真實IC!AW19</f>
        <v>4.7852631788259705</v>
      </c>
      <c r="AX19" s="11">
        <f>AW19+真實IC!AX19</f>
        <v>5.0093869741268264</v>
      </c>
      <c r="AY19" s="11">
        <f>AX19+真實IC!AY19</f>
        <v>5.0389159445202063</v>
      </c>
      <c r="AZ19" s="11">
        <f>AY19+真實IC!AZ19</f>
        <v>5.1229484167938457</v>
      </c>
      <c r="BA19" s="11">
        <f>AZ19+真實IC!BA19</f>
        <v>5.309945194348626</v>
      </c>
      <c r="BB19" s="11">
        <f>BA19+真實IC!BB19</f>
        <v>5.6741061261418455</v>
      </c>
      <c r="BC19" s="11">
        <f>BB19+真實IC!BC19</f>
        <v>5.8586779155482729</v>
      </c>
      <c r="BD19" s="11">
        <f>BC19+真實IC!BD19</f>
        <v>5.8586042085803856</v>
      </c>
      <c r="BE19" s="11">
        <f>BD19+真實IC!BE19</f>
        <v>5.948084930340757</v>
      </c>
      <c r="BF19" s="11">
        <f>BE19+真實IC!BF19</f>
        <v>6.0898943653044988</v>
      </c>
      <c r="BG19" s="11">
        <f>BF19+真實IC!BG19</f>
        <v>6.2432031164742874</v>
      </c>
      <c r="BH19" s="11">
        <f>BG19+真實IC!BH19</f>
        <v>6.3837000224278606</v>
      </c>
      <c r="BI19" s="11">
        <f>BH19+真實IC!BI19</f>
        <v>6.5114986512470789</v>
      </c>
      <c r="BJ19" s="11">
        <f>BI19+真實IC!BJ19</f>
        <v>6.5633179596757483</v>
      </c>
      <c r="BK19" s="11">
        <f>BJ19+真實IC!BK19</f>
        <v>6.4662795367303625</v>
      </c>
      <c r="BL19" s="11">
        <f>BK19+真實IC!BL19</f>
        <v>6.529444070477382</v>
      </c>
      <c r="BM19" s="11">
        <f>BL19+真實IC!BM19</f>
        <v>6.5612303353465276</v>
      </c>
      <c r="BN19" s="11">
        <f>BM19+真實IC!BN19</f>
        <v>6.47981707514636</v>
      </c>
      <c r="BO19" s="11">
        <f>BN19+真實IC!BO19</f>
        <v>6.5055460364114754</v>
      </c>
      <c r="BP19" s="11">
        <f>BO19+真實IC!BP19</f>
        <v>6.4931356951338746</v>
      </c>
      <c r="BQ19" s="11">
        <f>BP19+真實IC!BQ19</f>
        <v>6.5030697395881978</v>
      </c>
      <c r="BR19" s="11">
        <f>BQ19+真實IC!BR19</f>
        <v>6.6399089751313429</v>
      </c>
      <c r="BS19" s="11">
        <f>BR19+真實IC!BS19</f>
        <v>6.636409043191704</v>
      </c>
      <c r="BT19" s="11">
        <f>BS19+真實IC!BT19</f>
        <v>6.6232153739885664</v>
      </c>
      <c r="BU19" s="11">
        <f>BT19+真實IC!BU19</f>
        <v>6.7538860088799542</v>
      </c>
      <c r="BV19" s="11">
        <f>BU19+真實IC!BV19</f>
        <v>6.7842368008458518</v>
      </c>
      <c r="BW19" s="11">
        <f>BV19+真實IC!BW19</f>
        <v>7.0916898076555857</v>
      </c>
      <c r="BX19" s="11">
        <f>BW19+真實IC!BX19</f>
        <v>7.0552909180967918</v>
      </c>
      <c r="BY19" s="11">
        <f>BX19+真實IC!BY19</f>
        <v>6.9754239910278457</v>
      </c>
      <c r="BZ19" s="11">
        <f>BY19+真實IC!BZ19</f>
        <v>7.0441261158498998</v>
      </c>
      <c r="CA19" s="11">
        <f>BZ19+真實IC!CA19</f>
        <v>7.0734548710736744</v>
      </c>
      <c r="CB19" s="11">
        <f>CA19+真實IC!CB19</f>
        <v>7.2012930801745716</v>
      </c>
      <c r="CC19" s="11">
        <f>CB19+真實IC!CC19</f>
        <v>7.2237993130730889</v>
      </c>
      <c r="CD19" s="11">
        <f>CC19+真實IC!CD19</f>
        <v>7.4394185111668065</v>
      </c>
      <c r="CE19" s="11">
        <f>CD19+真實IC!CE19</f>
        <v>7.5278933701044748</v>
      </c>
      <c r="CF19" s="11">
        <f>CE19+真實IC!CF19</f>
        <v>7.6077977673105242</v>
      </c>
      <c r="CG19" s="11">
        <f>CF19+真實IC!CG19</f>
        <v>7.6649153921774813</v>
      </c>
      <c r="CH19" s="11">
        <f>CG19+真實IC!CH19</f>
        <v>7.8178052592274074</v>
      </c>
      <c r="CI19" s="11">
        <f>CH19+真實IC!CI19</f>
        <v>7.8548722053876023</v>
      </c>
      <c r="CJ19" s="11">
        <f>CI19+真實IC!CJ19</f>
        <v>7.8430602826256077</v>
      </c>
      <c r="CK19" s="11">
        <f>CJ19+真實IC!CK19</f>
        <v>7.9618575455829426</v>
      </c>
      <c r="CL19" s="11">
        <f>CK19+真實IC!CL19</f>
        <v>7.9186172656081526</v>
      </c>
      <c r="CM19" s="11">
        <f>CL19+真實IC!CM19</f>
        <v>8.0288531443455202</v>
      </c>
      <c r="CN19" s="11">
        <f>CM19+真實IC!CN19</f>
        <v>8.1720463548150537</v>
      </c>
      <c r="CO19" s="11">
        <f>CN19+真實IC!CO19</f>
        <v>8.4232819860353683</v>
      </c>
      <c r="CP19" s="11">
        <f>CO19+真實IC!CP19</f>
        <v>8.5823145850177003</v>
      </c>
      <c r="CQ19" s="11">
        <f>CP19+真實IC!CQ19</f>
        <v>8.6147091925341197</v>
      </c>
      <c r="CR19" s="11">
        <f>CQ19+真實IC!CR19</f>
        <v>8.7910159167803119</v>
      </c>
      <c r="CS19" s="11">
        <f>CR19+真實IC!CS19</f>
        <v>8.8452663663286462</v>
      </c>
      <c r="CT19" s="11">
        <f>CS19+真實IC!CT19</f>
        <v>8.8716875676169042</v>
      </c>
      <c r="CU19" s="11">
        <f>CT19+真實IC!CU19</f>
        <v>9.018295110877844</v>
      </c>
      <c r="CV19" s="11">
        <f>CU19+真實IC!CV19</f>
        <v>9.1128481188492234</v>
      </c>
      <c r="CW19" s="11">
        <f>CV19+真實IC!CW19</f>
        <v>9.1733639974222605</v>
      </c>
      <c r="CX19" s="11">
        <f>CW19+真實IC!CX19</f>
        <v>9.2309987237904458</v>
      </c>
      <c r="CY19" s="11">
        <f>CX19+真實IC!CY19</f>
        <v>9.304150061098408</v>
      </c>
      <c r="CZ19" s="11">
        <f>CY19+真實IC!CZ19</f>
        <v>9.417001889739872</v>
      </c>
      <c r="DA19" s="11">
        <f>CZ19+真實IC!DA19</f>
        <v>9.4921843668435528</v>
      </c>
      <c r="DB19" s="11">
        <f>DA19+真實IC!DB19</f>
        <v>9.6401462136131695</v>
      </c>
      <c r="DC19" s="11">
        <f>DB19+真實IC!DC19</f>
        <v>9.6049668137110746</v>
      </c>
      <c r="DD19" s="11">
        <f>DC19+真實IC!DD19</f>
        <v>9.6111679389659042</v>
      </c>
      <c r="DE19" s="11">
        <f>DD19+真實IC!DE19</f>
        <v>9.6441863536216967</v>
      </c>
      <c r="DF19" s="11">
        <f>DE19+真實IC!DF19</f>
        <v>9.8496880992159923</v>
      </c>
      <c r="DG19" s="11">
        <f>DF19+真實IC!DG19</f>
        <v>9.9160623642104291</v>
      </c>
      <c r="DH19" s="11">
        <f>DG19+真實IC!DH19</f>
        <v>10.140652144929916</v>
      </c>
      <c r="DI19" s="11">
        <f>DH19+真實IC!DI19</f>
        <v>10.249113583764677</v>
      </c>
      <c r="DJ19" s="11">
        <f>DI19+真實IC!DJ19</f>
        <v>10.414364052723748</v>
      </c>
      <c r="DK19" s="11">
        <f>DJ19+真實IC!DK19</f>
        <v>10.535806362234199</v>
      </c>
      <c r="DL19" s="11">
        <f>DK19+真實IC!DL19</f>
        <v>10.523823576325226</v>
      </c>
      <c r="DM19" s="11">
        <f>DL19+真實IC!DM19</f>
        <v>10.466523145086896</v>
      </c>
      <c r="DN19" s="11">
        <f>DM19+真實IC!DN19</f>
        <v>10.468998268184535</v>
      </c>
      <c r="DO19" s="11">
        <f>DN19+真實IC!DO19</f>
        <v>10.71826021989428</v>
      </c>
      <c r="DP19" s="11">
        <f>DO19+真實IC!DP19</f>
        <v>10.888528350574241</v>
      </c>
      <c r="DQ19" s="11">
        <f>DP19+真實IC!DQ19</f>
        <v>10.968902522412316</v>
      </c>
      <c r="DR19" s="11">
        <f>DQ19+真實IC!DR19</f>
        <v>11.044864875737364</v>
      </c>
      <c r="DS19" s="11">
        <f>DR19+真實IC!DS19</f>
        <v>11.039187562218373</v>
      </c>
      <c r="DT19" s="11">
        <f>DS19+真實IC!DT19</f>
        <v>11.044220808738478</v>
      </c>
      <c r="DU19" s="11">
        <f>DT19+真實IC!DU19</f>
        <v>11.194802730694791</v>
      </c>
      <c r="DV19" s="11">
        <f>DU19+真實IC!DV19</f>
        <v>11.306327437135396</v>
      </c>
      <c r="DW19" s="11">
        <f>DV19+真實IC!DW19</f>
        <v>11.20503146818673</v>
      </c>
      <c r="DX19" s="11">
        <f>DW19+真實IC!DX19</f>
        <v>11.343396602424908</v>
      </c>
      <c r="DY19" s="11">
        <f>DX19+真實IC!DY19</f>
        <v>11.482645281110507</v>
      </c>
      <c r="DZ19" s="11">
        <f>DY19+真實IC!DZ19</f>
        <v>11.561183228733039</v>
      </c>
      <c r="EA19" s="11">
        <f>DZ19+真實IC!EA19</f>
        <v>11.594102955928054</v>
      </c>
      <c r="EB19" s="11">
        <f>EA19+真實IC!EB19</f>
        <v>11.702856465566306</v>
      </c>
      <c r="EC19" s="11">
        <f>EB19+真實IC!EC19</f>
        <v>11.690666422342604</v>
      </c>
      <c r="ED19" s="11">
        <f>EC19+真實IC!ED19</f>
        <v>11.841601739332761</v>
      </c>
      <c r="EE19" s="11">
        <f>ED19+真實IC!EE19</f>
        <v>11.834295212655633</v>
      </c>
      <c r="EF19" s="11">
        <f>EE19+真實IC!EF19</f>
        <v>11.908318132053138</v>
      </c>
    </row>
    <row r="20" spans="1:136" x14ac:dyDescent="0.3">
      <c r="A20" s="1">
        <v>192</v>
      </c>
      <c r="B20" s="1">
        <v>5</v>
      </c>
      <c r="C20" s="11">
        <f>IF(預測IC!C20&gt;預測IC!C$26,1,0)</f>
        <v>1</v>
      </c>
      <c r="D20" s="11">
        <f>C20+真實IC!D20</f>
        <v>1.3820250200473498</v>
      </c>
      <c r="E20" s="11">
        <f>D20+真實IC!E20</f>
        <v>1.4393613703741304</v>
      </c>
      <c r="F20" s="11">
        <f>E20+真實IC!F20</f>
        <v>1.2338301060409562</v>
      </c>
      <c r="G20" s="11">
        <f>F20+真實IC!G20</f>
        <v>1.3510132473298953</v>
      </c>
      <c r="H20" s="11">
        <f>G20+真實IC!H20</f>
        <v>1.4949455295855707</v>
      </c>
      <c r="I20" s="11">
        <f>H20+真實IC!I20</f>
        <v>1.6530950921866725</v>
      </c>
      <c r="J20" s="11">
        <f>I20+真實IC!J20</f>
        <v>1.6875663509135288</v>
      </c>
      <c r="K20" s="11">
        <f>J20+真實IC!K20</f>
        <v>1.9022908546746107</v>
      </c>
      <c r="L20" s="11">
        <f>K20+真實IC!L20</f>
        <v>1.8715953716735152</v>
      </c>
      <c r="M20" s="11">
        <f>L20+真實IC!M20</f>
        <v>1.7938771433822418</v>
      </c>
      <c r="N20" s="11">
        <f>M20+真實IC!N20</f>
        <v>2.2938886213917158</v>
      </c>
      <c r="O20" s="11">
        <f>N20+真實IC!O20</f>
        <v>2.3437535074609901</v>
      </c>
      <c r="P20" s="11">
        <f>O20+真實IC!P20</f>
        <v>2.4349234351295155</v>
      </c>
      <c r="Q20" s="11">
        <f>P20+真實IC!Q20</f>
        <v>2.6516491741324941</v>
      </c>
      <c r="R20" s="11">
        <f>Q20+真實IC!R20</f>
        <v>2.5423961184950254</v>
      </c>
      <c r="S20" s="11">
        <f>R20+真實IC!S20</f>
        <v>2.6975787368227682</v>
      </c>
      <c r="T20" s="11">
        <f>S20+真實IC!T20</f>
        <v>2.7830441925605838</v>
      </c>
      <c r="U20" s="11">
        <f>T20+真實IC!U20</f>
        <v>2.9316938726783586</v>
      </c>
      <c r="V20" s="11">
        <f>U20+真實IC!V20</f>
        <v>2.9443379757955475</v>
      </c>
      <c r="W20" s="11">
        <f>V20+真實IC!W20</f>
        <v>3.0354228452280925</v>
      </c>
      <c r="X20" s="11">
        <f>W20+真實IC!X20</f>
        <v>3.2458092581508775</v>
      </c>
      <c r="Y20" s="11">
        <f>X20+真實IC!Y20</f>
        <v>3.2037417686122804</v>
      </c>
      <c r="Z20" s="11">
        <f>Y20+真實IC!Z20</f>
        <v>3.3093587290959396</v>
      </c>
      <c r="AA20" s="11">
        <f>Z20+真實IC!AA20</f>
        <v>3.4398420975765855</v>
      </c>
      <c r="AB20" s="11">
        <f>AA20+真實IC!AB20</f>
        <v>3.5246019383027587</v>
      </c>
      <c r="AC20" s="11">
        <f>AB20+真實IC!AC20</f>
        <v>3.5718502010307263</v>
      </c>
      <c r="AD20" s="11">
        <f>AC20+真實IC!AD20</f>
        <v>3.7016936197443906</v>
      </c>
      <c r="AE20" s="11">
        <f>AD20+真實IC!AE20</f>
        <v>3.8629148268995017</v>
      </c>
      <c r="AF20" s="11">
        <f>AE20+真實IC!AF20</f>
        <v>4.0864126465358748</v>
      </c>
      <c r="AG20" s="11">
        <f>AF20+真實IC!AG20</f>
        <v>4.1140718650757666</v>
      </c>
      <c r="AH20" s="11">
        <f>AG20+真實IC!AH20</f>
        <v>4.0238936643609842</v>
      </c>
      <c r="AI20" s="11">
        <f>AH20+真實IC!AI20</f>
        <v>4.1402304194163078</v>
      </c>
      <c r="AJ20" s="11">
        <f>AI20+真實IC!AJ20</f>
        <v>4.0782403848687601</v>
      </c>
      <c r="AK20" s="11">
        <f>AJ20+真實IC!AK20</f>
        <v>4.0646452693727575</v>
      </c>
      <c r="AL20" s="11">
        <f>AK20+真實IC!AL20</f>
        <v>4.0590286430110165</v>
      </c>
      <c r="AM20" s="11">
        <f>AL20+真實IC!AM20</f>
        <v>4.092124623759819</v>
      </c>
      <c r="AN20" s="11">
        <f>AM20+真實IC!AN20</f>
        <v>4.1675948172788173</v>
      </c>
      <c r="AO20" s="11">
        <f>AN20+真實IC!AO20</f>
        <v>4.2167031119182168</v>
      </c>
      <c r="AP20" s="11">
        <f>AO20+真實IC!AP20</f>
        <v>4.3484335731736046</v>
      </c>
      <c r="AQ20" s="11">
        <f>AP20+真實IC!AQ20</f>
        <v>4.4213343193138259</v>
      </c>
      <c r="AR20" s="11">
        <f>AQ20+真實IC!AR20</f>
        <v>4.4080450462239922</v>
      </c>
      <c r="AS20" s="11">
        <f>AR20+真實IC!AS20</f>
        <v>4.365753329775016</v>
      </c>
      <c r="AT20" s="11">
        <f>AS20+真實IC!AT20</f>
        <v>4.6048770772200864</v>
      </c>
      <c r="AU20" s="11">
        <f>AT20+真實IC!AU20</f>
        <v>4.886574949803288</v>
      </c>
      <c r="AV20" s="11">
        <f>AU20+真實IC!AV20</f>
        <v>4.8543283370165247</v>
      </c>
      <c r="AW20" s="11">
        <f>AV20+真實IC!AW20</f>
        <v>5.0793261777948695</v>
      </c>
      <c r="AX20" s="11">
        <f>AW20+真實IC!AX20</f>
        <v>5.2836653977554162</v>
      </c>
      <c r="AY20" s="11">
        <f>AX20+真實IC!AY20</f>
        <v>5.3223400961983254</v>
      </c>
      <c r="AZ20" s="11">
        <f>AY20+真實IC!AZ20</f>
        <v>5.4221443994706489</v>
      </c>
      <c r="BA20" s="11">
        <f>AZ20+真實IC!BA20</f>
        <v>5.5734821249765618</v>
      </c>
      <c r="BB20" s="11">
        <f>BA20+真實IC!BB20</f>
        <v>5.9519289102859059</v>
      </c>
      <c r="BC20" s="11">
        <f>BB20+真實IC!BC20</f>
        <v>6.1920695852763199</v>
      </c>
      <c r="BD20" s="11">
        <f>BC20+真實IC!BD20</f>
        <v>6.2004297586428399</v>
      </c>
      <c r="BE20" s="11">
        <f>BD20+真實IC!BE20</f>
        <v>6.2987081333771959</v>
      </c>
      <c r="BF20" s="11">
        <f>BE20+真實IC!BF20</f>
        <v>6.4366793964461708</v>
      </c>
      <c r="BG20" s="11">
        <f>BF20+真實IC!BG20</f>
        <v>6.5307414520545111</v>
      </c>
      <c r="BH20" s="11">
        <f>BG20+真實IC!BH20</f>
        <v>6.6807987526179655</v>
      </c>
      <c r="BI20" s="11">
        <f>BH20+真實IC!BI20</f>
        <v>6.8125440197031404</v>
      </c>
      <c r="BJ20" s="11">
        <f>BI20+真實IC!BJ20</f>
        <v>6.8676999403219972</v>
      </c>
      <c r="BK20" s="11">
        <f>BJ20+真實IC!BK20</f>
        <v>6.7500495679169754</v>
      </c>
      <c r="BL20" s="11">
        <f>BK20+真實IC!BL20</f>
        <v>6.8199090098541957</v>
      </c>
      <c r="BM20" s="11">
        <f>BL20+真實IC!BM20</f>
        <v>6.8673775613183849</v>
      </c>
      <c r="BN20" s="11">
        <f>BM20+真實IC!BN20</f>
        <v>6.886015588571551</v>
      </c>
      <c r="BO20" s="11">
        <f>BN20+真實IC!BO20</f>
        <v>6.8475538710555721</v>
      </c>
      <c r="BP20" s="11">
        <f>BO20+真實IC!BP20</f>
        <v>6.8548361185618969</v>
      </c>
      <c r="BQ20" s="11">
        <f>BP20+真實IC!BQ20</f>
        <v>6.8702878255227402</v>
      </c>
      <c r="BR20" s="11">
        <f>BQ20+真實IC!BR20</f>
        <v>7.0514149069944017</v>
      </c>
      <c r="BS20" s="11">
        <f>BR20+真實IC!BS20</f>
        <v>7.0188787092695453</v>
      </c>
      <c r="BT20" s="11">
        <f>BS20+真實IC!BT20</f>
        <v>6.9664110859876391</v>
      </c>
      <c r="BU20" s="11">
        <f>BT20+真實IC!BU20</f>
        <v>7.1158520900329609</v>
      </c>
      <c r="BV20" s="11">
        <f>BU20+真實IC!BV20</f>
        <v>7.0343086482723622</v>
      </c>
      <c r="BW20" s="11">
        <f>BV20+真實IC!BW20</f>
        <v>7.3861381983207668</v>
      </c>
      <c r="BX20" s="11">
        <f>BW20+真實IC!BX20</f>
        <v>7.3332767765902416</v>
      </c>
      <c r="BY20" s="11">
        <f>BX20+真實IC!BY20</f>
        <v>7.3286374174405733</v>
      </c>
      <c r="BZ20" s="11">
        <f>BY20+真實IC!BZ20</f>
        <v>7.4189088217008567</v>
      </c>
      <c r="CA20" s="11">
        <f>BZ20+真實IC!CA20</f>
        <v>7.4590115497526099</v>
      </c>
      <c r="CB20" s="11">
        <f>CA20+真實IC!CB20</f>
        <v>7.5855065955226291</v>
      </c>
      <c r="CC20" s="11">
        <f>CB20+真實IC!CC20</f>
        <v>7.5984217430007099</v>
      </c>
      <c r="CD20" s="11">
        <f>CC20+真實IC!CD20</f>
        <v>7.7794492404913074</v>
      </c>
      <c r="CE20" s="11">
        <f>CD20+真實IC!CE20</f>
        <v>7.8652274130937476</v>
      </c>
      <c r="CF20" s="11">
        <f>CE20+真實IC!CF20</f>
        <v>7.9461853502924242</v>
      </c>
      <c r="CG20" s="11">
        <f>CF20+真實IC!CG20</f>
        <v>8.0221555910355331</v>
      </c>
      <c r="CH20" s="11">
        <f>CG20+真實IC!CH20</f>
        <v>8.0940196166326714</v>
      </c>
      <c r="CI20" s="11">
        <f>CH20+真實IC!CI20</f>
        <v>8.124414290401754</v>
      </c>
      <c r="CJ20" s="11">
        <f>CI20+真實IC!CJ20</f>
        <v>8.0829043056178254</v>
      </c>
      <c r="CK20" s="11">
        <f>CJ20+真實IC!CK20</f>
        <v>8.163493929558447</v>
      </c>
      <c r="CL20" s="11">
        <f>CK20+真實IC!CL20</f>
        <v>8.0713089953693178</v>
      </c>
      <c r="CM20" s="11">
        <f>CL20+真實IC!CM20</f>
        <v>8.168084801218555</v>
      </c>
      <c r="CN20" s="11">
        <f>CM20+真實IC!CN20</f>
        <v>8.3729766348596577</v>
      </c>
      <c r="CO20" s="11">
        <f>CN20+真實IC!CO20</f>
        <v>8.6695499399646874</v>
      </c>
      <c r="CP20" s="11">
        <f>CO20+真實IC!CP20</f>
        <v>8.8615811450737141</v>
      </c>
      <c r="CQ20" s="11">
        <f>CP20+真實IC!CQ20</f>
        <v>8.8846991903739969</v>
      </c>
      <c r="CR20" s="11">
        <f>CQ20+真實IC!CR20</f>
        <v>9.0801853008589397</v>
      </c>
      <c r="CS20" s="11">
        <f>CR20+真實IC!CS20</f>
        <v>9.1773223995932618</v>
      </c>
      <c r="CT20" s="11">
        <f>CS20+真實IC!CT20</f>
        <v>9.2057368069898491</v>
      </c>
      <c r="CU20" s="11">
        <f>CT20+真實IC!CU20</f>
        <v>9.3524648160614756</v>
      </c>
      <c r="CV20" s="11">
        <f>CU20+真實IC!CV20</f>
        <v>9.47167894427416</v>
      </c>
      <c r="CW20" s="11">
        <f>CV20+真實IC!CW20</f>
        <v>9.5395826524490062</v>
      </c>
      <c r="CX20" s="11">
        <f>CW20+真實IC!CX20</f>
        <v>9.6298812033167707</v>
      </c>
      <c r="CY20" s="11">
        <f>CX20+真實IC!CY20</f>
        <v>9.7386140417188418</v>
      </c>
      <c r="CZ20" s="11">
        <f>CY20+真實IC!CZ20</f>
        <v>9.8937756868680395</v>
      </c>
      <c r="DA20" s="11">
        <f>CZ20+真實IC!DA20</f>
        <v>9.9708573835215883</v>
      </c>
      <c r="DB20" s="11">
        <f>DA20+真實IC!DB20</f>
        <v>10.047825453292372</v>
      </c>
      <c r="DC20" s="11">
        <f>DB20+真實IC!DC20</f>
        <v>9.9982123840568171</v>
      </c>
      <c r="DD20" s="11">
        <f>DC20+真實IC!DD20</f>
        <v>10.001809568813767</v>
      </c>
      <c r="DE20" s="11">
        <f>DD20+真實IC!DE20</f>
        <v>10.012228290420619</v>
      </c>
      <c r="DF20" s="11">
        <f>DE20+真實IC!DF20</f>
        <v>10.257802495698204</v>
      </c>
      <c r="DG20" s="11">
        <f>DF20+真實IC!DG20</f>
        <v>10.310147308998022</v>
      </c>
      <c r="DH20" s="11">
        <f>DG20+真實IC!DH20</f>
        <v>10.588446162166965</v>
      </c>
      <c r="DI20" s="11">
        <f>DH20+真實IC!DI20</f>
        <v>10.72604192147964</v>
      </c>
      <c r="DJ20" s="11">
        <f>DI20+真實IC!DJ20</f>
        <v>10.862600013912337</v>
      </c>
      <c r="DK20" s="11">
        <f>DJ20+真實IC!DK20</f>
        <v>10.947787553932841</v>
      </c>
      <c r="DL20" s="11">
        <f>DK20+真實IC!DL20</f>
        <v>10.928322180599221</v>
      </c>
      <c r="DM20" s="11">
        <f>DL20+真實IC!DM20</f>
        <v>10.858986073924104</v>
      </c>
      <c r="DN20" s="11">
        <f>DM20+真實IC!DN20</f>
        <v>10.917005280578303</v>
      </c>
      <c r="DO20" s="11">
        <f>DN20+真實IC!DO20</f>
        <v>11.175006644037314</v>
      </c>
      <c r="DP20" s="11">
        <f>DO20+真實IC!DP20</f>
        <v>11.375162078791703</v>
      </c>
      <c r="DQ20" s="11">
        <f>DP20+真實IC!DQ20</f>
        <v>11.432622260416403</v>
      </c>
      <c r="DR20" s="11">
        <f>DQ20+真實IC!DR20</f>
        <v>11.511134920444693</v>
      </c>
      <c r="DS20" s="11">
        <f>DR20+真實IC!DS20</f>
        <v>11.503644224690934</v>
      </c>
      <c r="DT20" s="11">
        <f>DS20+真實IC!DT20</f>
        <v>11.473958885892092</v>
      </c>
      <c r="DU20" s="11">
        <f>DT20+真實IC!DU20</f>
        <v>11.650334054822489</v>
      </c>
      <c r="DV20" s="11">
        <f>DU20+真實IC!DV20</f>
        <v>11.779679526661347</v>
      </c>
      <c r="DW20" s="11">
        <f>DV20+真實IC!DW20</f>
        <v>11.676133358521541</v>
      </c>
      <c r="DX20" s="11">
        <f>DW20+真實IC!DX20</f>
        <v>11.829999688127856</v>
      </c>
      <c r="DY20" s="11">
        <f>DX20+真實IC!DY20</f>
        <v>11.951591145903258</v>
      </c>
      <c r="DZ20" s="11">
        <f>DY20+真實IC!DZ20</f>
        <v>12.041790792062233</v>
      </c>
      <c r="EA20" s="11">
        <f>DZ20+真實IC!EA20</f>
        <v>12.035865192788899</v>
      </c>
      <c r="EB20" s="11">
        <f>EA20+真實IC!EB20</f>
        <v>12.118272335233318</v>
      </c>
      <c r="EC20" s="11">
        <f>EB20+真實IC!EC20</f>
        <v>12.15232191664726</v>
      </c>
      <c r="ED20" s="11">
        <f>EC20+真實IC!ED20</f>
        <v>12.32924077771427</v>
      </c>
      <c r="EE20" s="11">
        <f>ED20+真實IC!EE20</f>
        <v>12.327499797962416</v>
      </c>
      <c r="EF20" s="11">
        <f>EE20+真實IC!EF20</f>
        <v>12.413302858804665</v>
      </c>
    </row>
    <row r="21" spans="1:136" x14ac:dyDescent="0.3">
      <c r="A21" s="1">
        <v>241</v>
      </c>
      <c r="B21" s="1">
        <v>4</v>
      </c>
      <c r="C21" s="11">
        <f>IF(預測IC!C21&gt;預測IC!C$26,1,0)</f>
        <v>1</v>
      </c>
      <c r="D21" s="11">
        <f>C21+真實IC!D21</f>
        <v>1.1263879167668236</v>
      </c>
      <c r="E21" s="11">
        <f>D21+真實IC!E21</f>
        <v>1.112697746481033</v>
      </c>
      <c r="F21" s="11">
        <f>E21+真實IC!F21</f>
        <v>0.92865916487490308</v>
      </c>
      <c r="G21" s="11">
        <f>F21+真實IC!G21</f>
        <v>1.0725013159874677</v>
      </c>
      <c r="H21" s="11">
        <f>G21+真實IC!H21</f>
        <v>1.2346654037813056</v>
      </c>
      <c r="I21" s="11">
        <f>H21+真實IC!I21</f>
        <v>1.3819210119087786</v>
      </c>
      <c r="J21" s="11">
        <f>I21+真實IC!J21</f>
        <v>1.4423563376004209</v>
      </c>
      <c r="K21" s="11">
        <f>J21+真實IC!K21</f>
        <v>1.6492363636038165</v>
      </c>
      <c r="L21" s="11">
        <f>K21+真實IC!L21</f>
        <v>1.6542655169098772</v>
      </c>
      <c r="M21" s="11">
        <f>L21+真實IC!M21</f>
        <v>1.5545809235016659</v>
      </c>
      <c r="N21" s="11">
        <f>M21+真實IC!N21</f>
        <v>2.139472188122391</v>
      </c>
      <c r="O21" s="11">
        <f>N21+真實IC!O21</f>
        <v>2.1738241775830818</v>
      </c>
      <c r="P21" s="11">
        <f>O21+真實IC!P21</f>
        <v>2.3185967784727666</v>
      </c>
      <c r="Q21" s="11">
        <f>P21+真實IC!Q21</f>
        <v>2.575906852567019</v>
      </c>
      <c r="R21" s="11">
        <f>Q21+真實IC!R21</f>
        <v>2.4803315414603886</v>
      </c>
      <c r="S21" s="11">
        <f>R21+真實IC!S21</f>
        <v>2.6089218269103456</v>
      </c>
      <c r="T21" s="11">
        <f>S21+真實IC!T21</f>
        <v>2.7073834996671429</v>
      </c>
      <c r="U21" s="11">
        <f>T21+真實IC!U21</f>
        <v>2.793661917278901</v>
      </c>
      <c r="V21" s="11">
        <f>U21+真實IC!V21</f>
        <v>2.8472195366449324</v>
      </c>
      <c r="W21" s="11">
        <f>V21+真實IC!W21</f>
        <v>2.9717181554734404</v>
      </c>
      <c r="X21" s="11">
        <f>W21+真實IC!X21</f>
        <v>3.1853490976785568</v>
      </c>
      <c r="Y21" s="11">
        <f>X21+真實IC!Y21</f>
        <v>3.164516014786122</v>
      </c>
      <c r="Z21" s="11">
        <f>Y21+真實IC!Z21</f>
        <v>3.2787200020088463</v>
      </c>
      <c r="AA21" s="11">
        <f>Z21+真實IC!AA21</f>
        <v>3.389355909011325</v>
      </c>
      <c r="AB21" s="11">
        <f>AA21+真實IC!AB21</f>
        <v>3.5191954914083947</v>
      </c>
      <c r="AC21" s="11">
        <f>AB21+真實IC!AC21</f>
        <v>3.5380232281151947</v>
      </c>
      <c r="AD21" s="11">
        <f>AC21+真實IC!AD21</f>
        <v>3.6668478937627524</v>
      </c>
      <c r="AE21" s="11">
        <f>AD21+真實IC!AE21</f>
        <v>3.7949528725589983</v>
      </c>
      <c r="AF21" s="11">
        <f>AE21+真實IC!AF21</f>
        <v>4.0900971306423619</v>
      </c>
      <c r="AG21" s="11">
        <f>AF21+真實IC!AG21</f>
        <v>4.1343999084321563</v>
      </c>
      <c r="AH21" s="11">
        <f>AG21+真實IC!AH21</f>
        <v>4.026818545867358</v>
      </c>
      <c r="AI21" s="11">
        <f>AH21+真實IC!AI21</f>
        <v>4.1289422213788418</v>
      </c>
      <c r="AJ21" s="11">
        <f>AI21+真實IC!AJ21</f>
        <v>4.0585368794323733</v>
      </c>
      <c r="AK21" s="11">
        <f>AJ21+真實IC!AK21</f>
        <v>4.0227337118142632</v>
      </c>
      <c r="AL21" s="11">
        <f>AK21+真實IC!AL21</f>
        <v>4.0425145253741146</v>
      </c>
      <c r="AM21" s="11">
        <f>AL21+真實IC!AM21</f>
        <v>4.1110503328217449</v>
      </c>
      <c r="AN21" s="11">
        <f>AM21+真實IC!AN21</f>
        <v>4.2230063888848388</v>
      </c>
      <c r="AO21" s="11">
        <f>AN21+真實IC!AO21</f>
        <v>4.3085741637987258</v>
      </c>
      <c r="AP21" s="11">
        <f>AO21+真實IC!AP21</f>
        <v>4.381109307368745</v>
      </c>
      <c r="AQ21" s="11">
        <f>AP21+真實IC!AQ21</f>
        <v>4.5143357675777143</v>
      </c>
      <c r="AR21" s="11">
        <f>AQ21+真實IC!AR21</f>
        <v>4.5623239089810248</v>
      </c>
      <c r="AS21" s="11">
        <f>AR21+真實IC!AS21</f>
        <v>4.5169172269210165</v>
      </c>
      <c r="AT21" s="11">
        <f>AS21+真實IC!AT21</f>
        <v>4.7817554844690138</v>
      </c>
      <c r="AU21" s="11">
        <f>AT21+真實IC!AU21</f>
        <v>5.1282367484324407</v>
      </c>
      <c r="AV21" s="11">
        <f>AU21+真實IC!AV21</f>
        <v>5.0595228357359607</v>
      </c>
      <c r="AW21" s="11">
        <f>AV21+真實IC!AW21</f>
        <v>5.3227777521097757</v>
      </c>
      <c r="AX21" s="11">
        <f>AW21+真實IC!AX21</f>
        <v>5.5404960546268134</v>
      </c>
      <c r="AY21" s="11">
        <f>AX21+真實IC!AY21</f>
        <v>5.5875173456048515</v>
      </c>
      <c r="AZ21" s="11">
        <f>AY21+真實IC!AZ21</f>
        <v>5.6960197040194576</v>
      </c>
      <c r="BA21" s="11">
        <f>AZ21+真實IC!BA21</f>
        <v>5.8356123861807845</v>
      </c>
      <c r="BB21" s="11">
        <f>BA21+真實IC!BB21</f>
        <v>6.2400438143139336</v>
      </c>
      <c r="BC21" s="11">
        <f>BB21+真實IC!BC21</f>
        <v>6.40450434624276</v>
      </c>
      <c r="BD21" s="11">
        <f>BC21+真實IC!BD21</f>
        <v>6.4427234935106741</v>
      </c>
      <c r="BE21" s="11">
        <f>BD21+真實IC!BE21</f>
        <v>6.5794688494186389</v>
      </c>
      <c r="BF21" s="11">
        <f>BE21+真實IC!BF21</f>
        <v>6.7785860658492423</v>
      </c>
      <c r="BG21" s="11">
        <f>BF21+真實IC!BG21</f>
        <v>6.8708716373564958</v>
      </c>
      <c r="BH21" s="11">
        <f>BG21+真實IC!BH21</f>
        <v>6.9777137469939259</v>
      </c>
      <c r="BI21" s="11">
        <f>BH21+真實IC!BI21</f>
        <v>7.1436833431723175</v>
      </c>
      <c r="BJ21" s="11">
        <f>BI21+真實IC!BJ21</f>
        <v>7.1660774055364271</v>
      </c>
      <c r="BK21" s="11">
        <f>BJ21+真實IC!BK21</f>
        <v>7.0933542907877127</v>
      </c>
      <c r="BL21" s="11">
        <f>BK21+真實IC!BL21</f>
        <v>7.1806950812554113</v>
      </c>
      <c r="BM21" s="11">
        <f>BL21+真實IC!BM21</f>
        <v>7.2214903672841322</v>
      </c>
      <c r="BN21" s="11">
        <f>BM21+真實IC!BN21</f>
        <v>7.2472811337325789</v>
      </c>
      <c r="BO21" s="11">
        <f>BN21+真實IC!BO21</f>
        <v>7.1834238973188986</v>
      </c>
      <c r="BP21" s="11">
        <f>BO21+真實IC!BP21</f>
        <v>7.1792430949873056</v>
      </c>
      <c r="BQ21" s="11">
        <f>BP21+真實IC!BQ21</f>
        <v>7.2337853258218106</v>
      </c>
      <c r="BR21" s="11">
        <f>BQ21+真實IC!BR21</f>
        <v>7.375846781731906</v>
      </c>
      <c r="BS21" s="11">
        <f>BR21+真實IC!BS21</f>
        <v>7.3101049607715582</v>
      </c>
      <c r="BT21" s="11">
        <f>BS21+真實IC!BT21</f>
        <v>7.2492842182290333</v>
      </c>
      <c r="BU21" s="11">
        <f>BT21+真實IC!BU21</f>
        <v>7.4200227287794513</v>
      </c>
      <c r="BV21" s="11">
        <f>BU21+真實IC!BV21</f>
        <v>7.3756827487381775</v>
      </c>
      <c r="BW21" s="11">
        <f>BV21+真實IC!BW21</f>
        <v>7.560143419458587</v>
      </c>
      <c r="BX21" s="11">
        <f>BW21+真實IC!BX21</f>
        <v>7.48297841693799</v>
      </c>
      <c r="BY21" s="11">
        <f>BX21+真實IC!BY21</f>
        <v>7.427312124695753</v>
      </c>
      <c r="BZ21" s="11">
        <f>BY21+真實IC!BZ21</f>
        <v>7.4749750534164683</v>
      </c>
      <c r="CA21" s="11">
        <f>BZ21+真實IC!CA21</f>
        <v>7.5354926567188665</v>
      </c>
      <c r="CB21" s="11">
        <f>CA21+真實IC!CB21</f>
        <v>7.7433625046204542</v>
      </c>
      <c r="CC21" s="11">
        <f>CB21+真實IC!CC21</f>
        <v>7.7353435503494881</v>
      </c>
      <c r="CD21" s="11">
        <f>CC21+真實IC!CD21</f>
        <v>8.0233996147119608</v>
      </c>
      <c r="CE21" s="11">
        <f>CD21+真實IC!CE21</f>
        <v>8.0849144970661158</v>
      </c>
      <c r="CF21" s="11">
        <f>CE21+真實IC!CF21</f>
        <v>8.2161801738671887</v>
      </c>
      <c r="CG21" s="11">
        <f>CF21+真實IC!CG21</f>
        <v>8.3012655093413201</v>
      </c>
      <c r="CH21" s="11">
        <f>CG21+真實IC!CH21</f>
        <v>8.3813658304175327</v>
      </c>
      <c r="CI21" s="11">
        <f>CH21+真實IC!CI21</f>
        <v>8.461865446808515</v>
      </c>
      <c r="CJ21" s="11">
        <f>CI21+真實IC!CJ21</f>
        <v>8.406724598247358</v>
      </c>
      <c r="CK21" s="11">
        <f>CJ21+真實IC!CK21</f>
        <v>8.4738842285442129</v>
      </c>
      <c r="CL21" s="11">
        <f>CK21+真實IC!CL21</f>
        <v>8.3399938039212476</v>
      </c>
      <c r="CM21" s="11">
        <f>CL21+真實IC!CM21</f>
        <v>8.4562256231018065</v>
      </c>
      <c r="CN21" s="11">
        <f>CM21+真實IC!CN21</f>
        <v>8.5370771319312393</v>
      </c>
      <c r="CO21" s="11">
        <f>CN21+真實IC!CO21</f>
        <v>8.8725608901261186</v>
      </c>
      <c r="CP21" s="11">
        <f>CO21+真實IC!CP21</f>
        <v>9.0952609510040308</v>
      </c>
      <c r="CQ21" s="11">
        <f>CP21+真實IC!CQ21</f>
        <v>9.1181731451735271</v>
      </c>
      <c r="CR21" s="11">
        <f>CQ21+真實IC!CR21</f>
        <v>9.3572331115347946</v>
      </c>
      <c r="CS21" s="11">
        <f>CR21+真實IC!CS21</f>
        <v>9.4185021477541255</v>
      </c>
      <c r="CT21" s="11">
        <f>CS21+真實IC!CT21</f>
        <v>9.4664952518271299</v>
      </c>
      <c r="CU21" s="11">
        <f>CT21+真實IC!CU21</f>
        <v>9.6254118741445804</v>
      </c>
      <c r="CV21" s="11">
        <f>CU21+真實IC!CV21</f>
        <v>9.7797437189191534</v>
      </c>
      <c r="CW21" s="11">
        <f>CV21+真實IC!CW21</f>
        <v>9.8180892357908363</v>
      </c>
      <c r="CX21" s="11">
        <f>CW21+真實IC!CX21</f>
        <v>9.9202114114482427</v>
      </c>
      <c r="CY21" s="11">
        <f>CX21+真實IC!CY21</f>
        <v>10.022716572529806</v>
      </c>
      <c r="CZ21" s="11">
        <f>CY21+真實IC!CZ21</f>
        <v>10.260167943355636</v>
      </c>
      <c r="DA21" s="11">
        <f>CZ21+真實IC!DA21</f>
        <v>10.301877007419563</v>
      </c>
      <c r="DB21" s="11">
        <f>DA21+真實IC!DB21</f>
        <v>10.373338221193562</v>
      </c>
      <c r="DC21" s="11">
        <f>DB21+真實IC!DC21</f>
        <v>10.328290661970271</v>
      </c>
      <c r="DD21" s="11">
        <f>DC21+真實IC!DD21</f>
        <v>10.331109456361343</v>
      </c>
      <c r="DE21" s="11">
        <f>DD21+真實IC!DE21</f>
        <v>10.36008719342167</v>
      </c>
      <c r="DF21" s="11">
        <f>DE21+真實IC!DF21</f>
        <v>10.661237405103714</v>
      </c>
      <c r="DG21" s="11">
        <f>DF21+真實IC!DG21</f>
        <v>10.720646923948628</v>
      </c>
      <c r="DH21" s="11">
        <f>DG21+真實IC!DH21</f>
        <v>10.802083112228656</v>
      </c>
      <c r="DI21" s="11">
        <f>DH21+真實IC!DI21</f>
        <v>10.98192293739606</v>
      </c>
      <c r="DJ21" s="11">
        <f>DI21+真實IC!DJ21</f>
        <v>11.138528655859702</v>
      </c>
      <c r="DK21" s="11">
        <f>DJ21+真實IC!DK21</f>
        <v>11.229424246766648</v>
      </c>
      <c r="DL21" s="11">
        <f>DK21+真實IC!DL21</f>
        <v>11.216687255265635</v>
      </c>
      <c r="DM21" s="11">
        <f>DL21+真實IC!DM21</f>
        <v>11.19169845282349</v>
      </c>
      <c r="DN21" s="11">
        <f>DM21+真實IC!DN21</f>
        <v>11.262896065317483</v>
      </c>
      <c r="DO21" s="11">
        <f>DN21+真實IC!DO21</f>
        <v>11.594522870196128</v>
      </c>
      <c r="DP21" s="11">
        <f>DO21+真實IC!DP21</f>
        <v>11.823542759876362</v>
      </c>
      <c r="DQ21" s="11">
        <f>DP21+真實IC!DQ21</f>
        <v>11.893965458684546</v>
      </c>
      <c r="DR21" s="11">
        <f>DQ21+真實IC!DR21</f>
        <v>11.944136317721627</v>
      </c>
      <c r="DS21" s="11">
        <f>DR21+真實IC!DS21</f>
        <v>11.942464223042306</v>
      </c>
      <c r="DT21" s="11">
        <f>DS21+真實IC!DT21</f>
        <v>11.937249032695627</v>
      </c>
      <c r="DU21" s="11">
        <f>DT21+真實IC!DU21</f>
        <v>12.08586374933404</v>
      </c>
      <c r="DV21" s="11">
        <f>DU21+真實IC!DV21</f>
        <v>12.226139726203918</v>
      </c>
      <c r="DW21" s="11">
        <f>DV21+真實IC!DW21</f>
        <v>12.122605233607615</v>
      </c>
      <c r="DX21" s="11">
        <f>DW21+真實IC!DX21</f>
        <v>12.308571447638798</v>
      </c>
      <c r="DY21" s="11">
        <f>DX21+真實IC!DY21</f>
        <v>12.47530241872739</v>
      </c>
      <c r="DZ21" s="11">
        <f>DY21+真實IC!DZ21</f>
        <v>12.574232992387294</v>
      </c>
      <c r="EA21" s="11">
        <f>DZ21+真實IC!EA21</f>
        <v>12.539166535202058</v>
      </c>
      <c r="EB21" s="11">
        <f>EA21+真實IC!EB21</f>
        <v>12.565468729200592</v>
      </c>
      <c r="EC21" s="11">
        <f>EB21+真實IC!EC21</f>
        <v>12.579505784298634</v>
      </c>
      <c r="ED21" s="11">
        <f>EC21+真實IC!ED21</f>
        <v>12.634004640646815</v>
      </c>
      <c r="EE21" s="11">
        <f>ED21+真實IC!EE21</f>
        <v>12.655315232954683</v>
      </c>
      <c r="EF21" s="11">
        <f>EE21+真實IC!EF21</f>
        <v>12.684112459374354</v>
      </c>
    </row>
    <row r="22" spans="1:136" x14ac:dyDescent="0.3">
      <c r="A22" s="1">
        <v>321</v>
      </c>
      <c r="B22" s="1">
        <v>3</v>
      </c>
      <c r="C22" s="11">
        <f>IF(預測IC!C22&gt;預測IC!C$26,1,0)</f>
        <v>1</v>
      </c>
      <c r="D22" s="11">
        <f>C22+真實IC!D22</f>
        <v>1.1424278520773985</v>
      </c>
      <c r="E22" s="11">
        <f>D22+真實IC!E22</f>
        <v>1.1250727531609395</v>
      </c>
      <c r="F22" s="11">
        <f>E22+真實IC!F22</f>
        <v>1.0572416922396619</v>
      </c>
      <c r="G22" s="11">
        <f>F22+真實IC!G22</f>
        <v>1.161126055529996</v>
      </c>
      <c r="H22" s="11">
        <f>G22+真實IC!H22</f>
        <v>1.2853041184906424</v>
      </c>
      <c r="I22" s="11">
        <f>H22+真實IC!I22</f>
        <v>1.4087972878287123</v>
      </c>
      <c r="J22" s="11">
        <f>I22+真實IC!J22</f>
        <v>1.4613958770940552</v>
      </c>
      <c r="K22" s="11">
        <f>J22+真實IC!K22</f>
        <v>1.7067617897768108</v>
      </c>
      <c r="L22" s="11">
        <f>K22+真實IC!L22</f>
        <v>1.6924885810918286</v>
      </c>
      <c r="M22" s="11">
        <f>L22+真實IC!M22</f>
        <v>1.6183885223212562</v>
      </c>
      <c r="N22" s="11">
        <f>M22+真實IC!N22</f>
        <v>2.374531965438595</v>
      </c>
      <c r="O22" s="11">
        <f>N22+真實IC!O22</f>
        <v>2.3678160871272276</v>
      </c>
      <c r="P22" s="11">
        <f>O22+真實IC!P22</f>
        <v>2.4405989712560445</v>
      </c>
      <c r="Q22" s="11">
        <f>P22+真實IC!Q22</f>
        <v>2.7173758650890965</v>
      </c>
      <c r="R22" s="11">
        <f>Q22+真實IC!R22</f>
        <v>2.6807474308175085</v>
      </c>
      <c r="S22" s="11">
        <f>R22+真實IC!S22</f>
        <v>2.8503939863754493</v>
      </c>
      <c r="T22" s="11">
        <f>S22+真實IC!T22</f>
        <v>2.9792064083585723</v>
      </c>
      <c r="U22" s="11">
        <f>T22+真實IC!U22</f>
        <v>3.0897964317610764</v>
      </c>
      <c r="V22" s="11">
        <f>U22+真實IC!V22</f>
        <v>3.1280832082809318</v>
      </c>
      <c r="W22" s="11">
        <f>V22+真實IC!W22</f>
        <v>3.2861309614448824</v>
      </c>
      <c r="X22" s="11">
        <f>W22+真實IC!X22</f>
        <v>3.5079177204787526</v>
      </c>
      <c r="Y22" s="11">
        <f>X22+真實IC!Y22</f>
        <v>3.4921855120652316</v>
      </c>
      <c r="Z22" s="11">
        <f>Y22+真實IC!Z22</f>
        <v>3.5677337812110776</v>
      </c>
      <c r="AA22" s="11">
        <f>Z22+真實IC!AA22</f>
        <v>3.6502582067891907</v>
      </c>
      <c r="AB22" s="11">
        <f>AA22+真實IC!AB22</f>
        <v>3.7846944195025163</v>
      </c>
      <c r="AC22" s="11">
        <f>AB22+真實IC!AC22</f>
        <v>3.8704708802179488</v>
      </c>
      <c r="AD22" s="11">
        <f>AC22+真實IC!AD22</f>
        <v>3.8840436689903099</v>
      </c>
      <c r="AE22" s="11">
        <f>AD22+真實IC!AE22</f>
        <v>4.0148675118066439</v>
      </c>
      <c r="AF22" s="11">
        <f>AE22+真實IC!AF22</f>
        <v>4.4447842798552557</v>
      </c>
      <c r="AG22" s="11">
        <f>AF22+真實IC!AG22</f>
        <v>4.49762582003099</v>
      </c>
      <c r="AH22" s="11">
        <f>AG22+真實IC!AH22</f>
        <v>4.3917598606105175</v>
      </c>
      <c r="AI22" s="11">
        <f>AH22+真實IC!AI22</f>
        <v>4.5027635718374661</v>
      </c>
      <c r="AJ22" s="11">
        <f>AI22+真實IC!AJ22</f>
        <v>4.4710637225110581</v>
      </c>
      <c r="AK22" s="11">
        <f>AJ22+真實IC!AK22</f>
        <v>4.5723522832514538</v>
      </c>
      <c r="AL22" s="11">
        <f>AK22+真實IC!AL22</f>
        <v>4.5629125447777437</v>
      </c>
      <c r="AM22" s="11">
        <f>AL22+真實IC!AM22</f>
        <v>4.6470014482454474</v>
      </c>
      <c r="AN22" s="11">
        <f>AM22+真實IC!AN22</f>
        <v>4.7581342579090062</v>
      </c>
      <c r="AO22" s="11">
        <f>AN22+真實IC!AO22</f>
        <v>4.9162871332027329</v>
      </c>
      <c r="AP22" s="11">
        <f>AO22+真實IC!AP22</f>
        <v>4.9788234870907253</v>
      </c>
      <c r="AQ22" s="11">
        <f>AP22+真實IC!AQ22</f>
        <v>5.0889551993820037</v>
      </c>
      <c r="AR22" s="11">
        <f>AQ22+真實IC!AR22</f>
        <v>5.1568796870856071</v>
      </c>
      <c r="AS22" s="11">
        <f>AR22+真實IC!AS22</f>
        <v>5.2307233897714402</v>
      </c>
      <c r="AT22" s="11">
        <f>AS22+真實IC!AT22</f>
        <v>5.2484517607658772</v>
      </c>
      <c r="AU22" s="11">
        <f>AT22+真實IC!AU22</f>
        <v>5.6778055454442233</v>
      </c>
      <c r="AV22" s="11">
        <f>AU22+真實IC!AV22</f>
        <v>5.5880515635725905</v>
      </c>
      <c r="AW22" s="11">
        <f>AV22+真實IC!AW22</f>
        <v>5.9588508422637636</v>
      </c>
      <c r="AX22" s="11">
        <f>AW22+真實IC!AX22</f>
        <v>5.94897565625807</v>
      </c>
      <c r="AY22" s="11">
        <f>AX22+真實IC!AY22</f>
        <v>6.0207090415923004</v>
      </c>
      <c r="AZ22" s="11">
        <f>AY22+真實IC!AZ22</f>
        <v>6.175897445635834</v>
      </c>
      <c r="BA22" s="11">
        <f>AZ22+真實IC!BA22</f>
        <v>6.2256724032200212</v>
      </c>
      <c r="BB22" s="11">
        <f>BA22+真實IC!BB22</f>
        <v>6.7439364526700585</v>
      </c>
      <c r="BC22" s="11">
        <f>BB22+真實IC!BC22</f>
        <v>6.9395624880205764</v>
      </c>
      <c r="BD22" s="11">
        <f>BC22+真實IC!BD22</f>
        <v>7.0188220329400126</v>
      </c>
      <c r="BE22" s="11">
        <f>BD22+真實IC!BE22</f>
        <v>7.146889916905673</v>
      </c>
      <c r="BF22" s="11">
        <f>BE22+真實IC!BF22</f>
        <v>7.3459923654541113</v>
      </c>
      <c r="BG22" s="11">
        <f>BF22+真實IC!BG22</f>
        <v>7.3047608963013309</v>
      </c>
      <c r="BH22" s="11">
        <f>BG22+真實IC!BH22</f>
        <v>7.432467905697747</v>
      </c>
      <c r="BI22" s="11">
        <f>BH22+真實IC!BI22</f>
        <v>7.5435566251076542</v>
      </c>
      <c r="BJ22" s="11">
        <f>BI22+真實IC!BJ22</f>
        <v>7.5844469567871782</v>
      </c>
      <c r="BK22" s="11">
        <f>BJ22+真實IC!BK22</f>
        <v>7.5361317157355137</v>
      </c>
      <c r="BL22" s="11">
        <f>BK22+真實IC!BL22</f>
        <v>7.6756031061363776</v>
      </c>
      <c r="BM22" s="11">
        <f>BL22+真實IC!BM22</f>
        <v>7.6780335893819105</v>
      </c>
      <c r="BN22" s="11">
        <f>BM22+真實IC!BN22</f>
        <v>7.760971488582233</v>
      </c>
      <c r="BO22" s="11">
        <f>BN22+真實IC!BO22</f>
        <v>7.7104870594694823</v>
      </c>
      <c r="BP22" s="11">
        <f>BO22+真實IC!BP22</f>
        <v>7.7099460593449507</v>
      </c>
      <c r="BQ22" s="11">
        <f>BP22+真實IC!BQ22</f>
        <v>7.737776156743263</v>
      </c>
      <c r="BR22" s="11">
        <f>BQ22+真實IC!BR22</f>
        <v>7.8443429387109536</v>
      </c>
      <c r="BS22" s="11">
        <f>BR22+真實IC!BS22</f>
        <v>7.7472953490064089</v>
      </c>
      <c r="BT22" s="11">
        <f>BS22+真實IC!BT22</f>
        <v>7.836021543339192</v>
      </c>
      <c r="BU22" s="11">
        <f>BT22+真實IC!BU22</f>
        <v>7.9403721264215568</v>
      </c>
      <c r="BV22" s="11">
        <f>BU22+真實IC!BV22</f>
        <v>7.8917685918324789</v>
      </c>
      <c r="BW22" s="11">
        <f>BV22+真實IC!BW22</f>
        <v>8.0239403833682594</v>
      </c>
      <c r="BX22" s="11">
        <f>BW22+真實IC!BX22</f>
        <v>7.9109114844638944</v>
      </c>
      <c r="BY22" s="11">
        <f>BX22+真實IC!BY22</f>
        <v>7.8553144344935237</v>
      </c>
      <c r="BZ22" s="11">
        <f>BY22+真實IC!BZ22</f>
        <v>7.9025721703564162</v>
      </c>
      <c r="CA22" s="11">
        <f>BZ22+真實IC!CA22</f>
        <v>7.93006224883674</v>
      </c>
      <c r="CB22" s="11">
        <f>CA22+真實IC!CB22</f>
        <v>8.1848015045516007</v>
      </c>
      <c r="CC22" s="11">
        <f>CB22+真實IC!CC22</f>
        <v>8.059697509231567</v>
      </c>
      <c r="CD22" s="11">
        <f>CC22+真實IC!CD22</f>
        <v>8.3935755459442891</v>
      </c>
      <c r="CE22" s="11">
        <f>CD22+真實IC!CE22</f>
        <v>8.4604156915811064</v>
      </c>
      <c r="CF22" s="11">
        <f>CE22+真實IC!CF22</f>
        <v>8.6492154773413841</v>
      </c>
      <c r="CG22" s="11">
        <f>CF22+真實IC!CG22</f>
        <v>8.856300809974897</v>
      </c>
      <c r="CH22" s="11">
        <f>CG22+真實IC!CH22</f>
        <v>8.972219581254345</v>
      </c>
      <c r="CI22" s="11">
        <f>CH22+真實IC!CI22</f>
        <v>9.0899993275327038</v>
      </c>
      <c r="CJ22" s="11">
        <f>CI22+真實IC!CJ22</f>
        <v>8.9636739682541169</v>
      </c>
      <c r="CK22" s="11">
        <f>CJ22+真實IC!CK22</f>
        <v>9.074597508540899</v>
      </c>
      <c r="CL22" s="11">
        <f>CK22+真實IC!CL22</f>
        <v>8.8339457099158576</v>
      </c>
      <c r="CM22" s="11">
        <f>CL22+真實IC!CM22</f>
        <v>9.0537781951133205</v>
      </c>
      <c r="CN22" s="11">
        <f>CM22+真實IC!CN22</f>
        <v>9.2065821119235274</v>
      </c>
      <c r="CO22" s="11">
        <f>CN22+真實IC!CO22</f>
        <v>9.4786416100704027</v>
      </c>
      <c r="CP22" s="11">
        <f>CO22+真實IC!CP22</f>
        <v>9.7380501670398054</v>
      </c>
      <c r="CQ22" s="11">
        <f>CP22+真實IC!CQ22</f>
        <v>9.7552097825589286</v>
      </c>
      <c r="CR22" s="11">
        <f>CQ22+真實IC!CR22</f>
        <v>10.001982552550816</v>
      </c>
      <c r="CS22" s="11">
        <f>CR22+真實IC!CS22</f>
        <v>10.086764488435181</v>
      </c>
      <c r="CT22" s="11">
        <f>CS22+真實IC!CT22</f>
        <v>10.125027103010456</v>
      </c>
      <c r="CU22" s="11">
        <f>CT22+真實IC!CU22</f>
        <v>10.292381014196824</v>
      </c>
      <c r="CV22" s="11">
        <f>CU22+真實IC!CV22</f>
        <v>10.458603692886378</v>
      </c>
      <c r="CW22" s="11">
        <f>CV22+真實IC!CW22</f>
        <v>10.481487735218362</v>
      </c>
      <c r="CX22" s="11">
        <f>CW22+真實IC!CX22</f>
        <v>10.48523732848621</v>
      </c>
      <c r="CY22" s="11">
        <f>CX22+真實IC!CY22</f>
        <v>10.589748154554272</v>
      </c>
      <c r="CZ22" s="11">
        <f>CY22+真實IC!CZ22</f>
        <v>10.85266863915351</v>
      </c>
      <c r="DA22" s="11">
        <f>CZ22+真實IC!DA22</f>
        <v>10.885122633963649</v>
      </c>
      <c r="DB22" s="11">
        <f>DA22+真實IC!DB22</f>
        <v>10.939164255674171</v>
      </c>
      <c r="DC22" s="11">
        <f>DB22+真實IC!DC22</f>
        <v>10.918439471230014</v>
      </c>
      <c r="DD22" s="11">
        <f>DC22+真實IC!DD22</f>
        <v>10.950149640355839</v>
      </c>
      <c r="DE22" s="11">
        <f>DD22+真實IC!DE22</f>
        <v>10.932393136853907</v>
      </c>
      <c r="DF22" s="11">
        <f>DE22+真實IC!DF22</f>
        <v>11.322060770548031</v>
      </c>
      <c r="DG22" s="11">
        <f>DF22+真實IC!DG22</f>
        <v>11.393950269965034</v>
      </c>
      <c r="DH22" s="11">
        <f>DG22+真實IC!DH22</f>
        <v>11.475404651580941</v>
      </c>
      <c r="DI22" s="11">
        <f>DH22+真實IC!DI22</f>
        <v>11.53552676285153</v>
      </c>
      <c r="DJ22" s="11">
        <f>DI22+真實IC!DJ22</f>
        <v>11.68922652568186</v>
      </c>
      <c r="DK22" s="11">
        <f>DJ22+真實IC!DK22</f>
        <v>11.780654930741372</v>
      </c>
      <c r="DL22" s="11">
        <f>DK22+真實IC!DL22</f>
        <v>11.777441599998234</v>
      </c>
      <c r="DM22" s="11">
        <f>DL22+真實IC!DM22</f>
        <v>11.745556890708503</v>
      </c>
      <c r="DN22" s="11">
        <f>DM22+真實IC!DN22</f>
        <v>11.792320218912511</v>
      </c>
      <c r="DO22" s="11">
        <f>DN22+真實IC!DO22</f>
        <v>11.868036034967417</v>
      </c>
      <c r="DP22" s="11">
        <f>DO22+真實IC!DP22</f>
        <v>12.037598467108149</v>
      </c>
      <c r="DQ22" s="11">
        <f>DP22+真實IC!DQ22</f>
        <v>12.203002633652789</v>
      </c>
      <c r="DR22" s="11">
        <f>DQ22+真實IC!DR22</f>
        <v>12.196910081037471</v>
      </c>
      <c r="DS22" s="11">
        <f>DR22+真實IC!DS22</f>
        <v>12.160563818787935</v>
      </c>
      <c r="DT22" s="11">
        <f>DS22+真實IC!DT22</f>
        <v>12.187692572766105</v>
      </c>
      <c r="DU22" s="11">
        <f>DT22+真實IC!DU22</f>
        <v>12.349239483648836</v>
      </c>
      <c r="DV22" s="11">
        <f>DU22+真實IC!DV22</f>
        <v>12.474944601327014</v>
      </c>
      <c r="DW22" s="11">
        <f>DV22+真實IC!DW22</f>
        <v>12.39352918794709</v>
      </c>
      <c r="DX22" s="11">
        <f>DW22+真實IC!DX22</f>
        <v>12.615971796395385</v>
      </c>
      <c r="DY22" s="11">
        <f>DX22+真實IC!DY22</f>
        <v>12.735927821114046</v>
      </c>
      <c r="DZ22" s="11">
        <f>DY22+真實IC!DZ22</f>
        <v>12.846762325901757</v>
      </c>
      <c r="EA22" s="11">
        <f>DZ22+真實IC!EA22</f>
        <v>12.812571083491884</v>
      </c>
      <c r="EB22" s="11">
        <f>EA22+真實IC!EB22</f>
        <v>12.942337033797953</v>
      </c>
      <c r="EC22" s="11">
        <f>EB22+真實IC!EC22</f>
        <v>12.963832135373591</v>
      </c>
      <c r="ED22" s="11">
        <f>EC22+真實IC!ED22</f>
        <v>13.041245702431199</v>
      </c>
      <c r="EE22" s="11">
        <f>ED22+真實IC!EE22</f>
        <v>13.088882361815898</v>
      </c>
      <c r="EF22" s="11">
        <f>EE22+真實IC!EF22</f>
        <v>13.125477830947677</v>
      </c>
    </row>
    <row r="23" spans="1:136" x14ac:dyDescent="0.3">
      <c r="A23" s="1">
        <v>482</v>
      </c>
      <c r="B23" s="1">
        <v>2</v>
      </c>
      <c r="C23" s="11">
        <f>IF(預測IC!C23&gt;預測IC!C$26,1,0)</f>
        <v>1</v>
      </c>
      <c r="D23" s="11">
        <f>C23+真實IC!D23</f>
        <v>1.2540926274514612</v>
      </c>
      <c r="E23" s="11">
        <f>D23+真實IC!E23</f>
        <v>1.3870978215076322</v>
      </c>
      <c r="F23" s="11">
        <f>E23+真實IC!F23</f>
        <v>1.2047017461867535</v>
      </c>
      <c r="G23" s="11">
        <f>F23+真實IC!G23</f>
        <v>1.1777301776623854</v>
      </c>
      <c r="H23" s="11">
        <f>G23+真實IC!H23</f>
        <v>1.1595417068209009</v>
      </c>
      <c r="I23" s="11">
        <f>H23+真實IC!I23</f>
        <v>1.3076937354211948</v>
      </c>
      <c r="J23" s="11">
        <f>I23+真實IC!J23</f>
        <v>1.2095314442747425</v>
      </c>
      <c r="K23" s="11">
        <f>J23+真實IC!K23</f>
        <v>1.3521390193993974</v>
      </c>
      <c r="L23" s="11">
        <f>K23+真實IC!L23</f>
        <v>1.3013681856942145</v>
      </c>
      <c r="M23" s="11">
        <f>L23+真實IC!M23</f>
        <v>1.0429182693355721</v>
      </c>
      <c r="N23" s="11">
        <f>M23+真實IC!N23</f>
        <v>2.0188197126068523</v>
      </c>
      <c r="O23" s="11">
        <f>N23+真實IC!O23</f>
        <v>1.9994120013400831</v>
      </c>
      <c r="P23" s="11">
        <f>O23+真實IC!P23</f>
        <v>2.0898137125222087</v>
      </c>
      <c r="Q23" s="11">
        <f>P23+真實IC!Q23</f>
        <v>2.0302456956216881</v>
      </c>
      <c r="R23" s="11">
        <f>Q23+真實IC!R23</f>
        <v>1.9740345523084331</v>
      </c>
      <c r="S23" s="11">
        <f>R23+真實IC!S23</f>
        <v>2.0877590851356951</v>
      </c>
      <c r="T23" s="11">
        <f>S23+真實IC!T23</f>
        <v>2.2423617784631236</v>
      </c>
      <c r="U23" s="11">
        <f>T23+真實IC!U23</f>
        <v>2.336119200903918</v>
      </c>
      <c r="V23" s="11">
        <f>U23+真實IC!V23</f>
        <v>2.3130897437941269</v>
      </c>
      <c r="W23" s="11">
        <f>V23+真實IC!W23</f>
        <v>2.5726370674711863</v>
      </c>
      <c r="X23" s="11">
        <f>W23+真實IC!X23</f>
        <v>2.7544182532690091</v>
      </c>
      <c r="Y23" s="11">
        <f>X23+真實IC!Y23</f>
        <v>2.7397584517385187</v>
      </c>
      <c r="Z23" s="11">
        <f>Y23+真實IC!Z23</f>
        <v>2.7727909671823938</v>
      </c>
      <c r="AA23" s="11">
        <f>Z23+真實IC!AA23</f>
        <v>2.7160425212222834</v>
      </c>
      <c r="AB23" s="11">
        <f>AA23+真實IC!AB23</f>
        <v>2.7800823010990667</v>
      </c>
      <c r="AC23" s="11">
        <f>AB23+真實IC!AC23</f>
        <v>2.9488371007359793</v>
      </c>
      <c r="AD23" s="11">
        <f>AC23+真實IC!AD23</f>
        <v>3.0204659688216533</v>
      </c>
      <c r="AE23" s="11">
        <f>AD23+真實IC!AE23</f>
        <v>3.1576779575793132</v>
      </c>
      <c r="AF23" s="11">
        <f>AE23+真實IC!AF23</f>
        <v>3.4823372832195245</v>
      </c>
      <c r="AG23" s="11">
        <f>AF23+真實IC!AG23</f>
        <v>3.5742109408658846</v>
      </c>
      <c r="AH23" s="11">
        <f>AG23+真實IC!AH23</f>
        <v>3.4900393563427015</v>
      </c>
      <c r="AI23" s="11">
        <f>AH23+真實IC!AI23</f>
        <v>3.6991909549629653</v>
      </c>
      <c r="AJ23" s="11">
        <f>AI23+真實IC!AJ23</f>
        <v>3.7048340928111196</v>
      </c>
      <c r="AK23" s="11">
        <f>AJ23+真實IC!AK23</f>
        <v>3.8189451921583109</v>
      </c>
      <c r="AL23" s="11">
        <f>AK23+真實IC!AL23</f>
        <v>3.8048785990513063</v>
      </c>
      <c r="AM23" s="11">
        <f>AL23+真實IC!AM23</f>
        <v>3.8126480880561715</v>
      </c>
      <c r="AN23" s="11">
        <f>AM23+真實IC!AN23</f>
        <v>4.0549627874134719</v>
      </c>
      <c r="AO23" s="11">
        <f>AN23+真實IC!AO23</f>
        <v>4.1457452669430896</v>
      </c>
      <c r="AP23" s="11">
        <f>AO23+真實IC!AP23</f>
        <v>4.1426241675907836</v>
      </c>
      <c r="AQ23" s="11">
        <f>AP23+真實IC!AQ23</f>
        <v>4.2420048066035356</v>
      </c>
      <c r="AR23" s="11">
        <f>AQ23+真實IC!AR23</f>
        <v>4.3881409709429029</v>
      </c>
      <c r="AS23" s="11">
        <f>AR23+真實IC!AS23</f>
        <v>4.4698045917234728</v>
      </c>
      <c r="AT23" s="11">
        <f>AS23+真實IC!AT23</f>
        <v>4.5793104946883734</v>
      </c>
      <c r="AU23" s="11">
        <f>AT23+真實IC!AU23</f>
        <v>5.1876425389378502</v>
      </c>
      <c r="AV23" s="11">
        <f>AU23+真實IC!AV23</f>
        <v>5.1384924723085579</v>
      </c>
      <c r="AW23" s="11">
        <f>AV23+真實IC!AW23</f>
        <v>5.7207524464827726</v>
      </c>
      <c r="AX23" s="11">
        <f>AW23+真實IC!AX23</f>
        <v>5.7059396674742322</v>
      </c>
      <c r="AY23" s="11">
        <f>AX23+真實IC!AY23</f>
        <v>5.8761736483148139</v>
      </c>
      <c r="AZ23" s="11">
        <f>AY23+真實IC!AZ23</f>
        <v>5.9542452248360211</v>
      </c>
      <c r="BA23" s="11">
        <f>AZ23+真實IC!BA23</f>
        <v>6.0082435634658786</v>
      </c>
      <c r="BB23" s="11">
        <f>BA23+真實IC!BB23</f>
        <v>6.6942668931456124</v>
      </c>
      <c r="BC23" s="11">
        <f>BB23+真實IC!BC23</f>
        <v>6.9471360750455515</v>
      </c>
      <c r="BD23" s="11">
        <f>BC23+真實IC!BD23</f>
        <v>7.0731088595200475</v>
      </c>
      <c r="BE23" s="11">
        <f>BD23+真實IC!BE23</f>
        <v>7.1974010025459467</v>
      </c>
      <c r="BF23" s="11">
        <f>BE23+真實IC!BF23</f>
        <v>7.4074101154063978</v>
      </c>
      <c r="BG23" s="11">
        <f>BF23+真實IC!BG23</f>
        <v>7.4457329428255434</v>
      </c>
      <c r="BH23" s="11">
        <f>BG23+真實IC!BH23</f>
        <v>7.5090981385287821</v>
      </c>
      <c r="BI23" s="11">
        <f>BH23+真實IC!BI23</f>
        <v>7.7002102178519811</v>
      </c>
      <c r="BJ23" s="11">
        <f>BI23+真實IC!BJ23</f>
        <v>7.757704078657472</v>
      </c>
      <c r="BK23" s="11">
        <f>BJ23+真實IC!BK23</f>
        <v>7.7098547553562842</v>
      </c>
      <c r="BL23" s="11">
        <f>BK23+真實IC!BL23</f>
        <v>7.8242210454979535</v>
      </c>
      <c r="BM23" s="11">
        <f>BL23+真實IC!BM23</f>
        <v>7.7547255834735029</v>
      </c>
      <c r="BN23" s="11">
        <f>BM23+真實IC!BN23</f>
        <v>7.7931788207137762</v>
      </c>
      <c r="BO23" s="11">
        <f>BN23+真實IC!BO23</f>
        <v>7.8297037624597756</v>
      </c>
      <c r="BP23" s="11">
        <f>BO23+真實IC!BP23</f>
        <v>7.807228041067094</v>
      </c>
      <c r="BQ23" s="11">
        <f>BP23+真實IC!BQ23</f>
        <v>7.8792759425023604</v>
      </c>
      <c r="BR23" s="11">
        <f>BQ23+真實IC!BR23</f>
        <v>7.982098532682711</v>
      </c>
      <c r="BS23" s="11">
        <f>BR23+真實IC!BS23</f>
        <v>7.7615314382803202</v>
      </c>
      <c r="BT23" s="11">
        <f>BS23+真實IC!BT23</f>
        <v>7.9797181144132239</v>
      </c>
      <c r="BU23" s="11">
        <f>BT23+真實IC!BU23</f>
        <v>8.0854033882066272</v>
      </c>
      <c r="BV23" s="11">
        <f>BU23+真實IC!BV23</f>
        <v>8.0321343376487384</v>
      </c>
      <c r="BW23" s="11">
        <f>BV23+真實IC!BW23</f>
        <v>8.0474968526918289</v>
      </c>
      <c r="BX23" s="11">
        <f>BW23+真實IC!BX23</f>
        <v>7.9787617633610308</v>
      </c>
      <c r="BY23" s="11">
        <f>BX23+真實IC!BY23</f>
        <v>8.0970109972879865</v>
      </c>
      <c r="BZ23" s="11">
        <f>BY23+真實IC!BZ23</f>
        <v>8.104680759719832</v>
      </c>
      <c r="CA23" s="11">
        <f>BZ23+真實IC!CA23</f>
        <v>8.180333959466461</v>
      </c>
      <c r="CB23" s="11">
        <f>CA23+真實IC!CB23</f>
        <v>8.4965007212252104</v>
      </c>
      <c r="CC23" s="11">
        <f>CB23+真實IC!CC23</f>
        <v>8.4119561065094359</v>
      </c>
      <c r="CD23" s="11">
        <f>CC23+真實IC!CD23</f>
        <v>8.6036325615242202</v>
      </c>
      <c r="CE23" s="11">
        <f>CD23+真實IC!CE23</f>
        <v>8.6632348633619376</v>
      </c>
      <c r="CF23" s="11">
        <f>CE23+真實IC!CF23</f>
        <v>8.8203697731531019</v>
      </c>
      <c r="CG23" s="11">
        <f>CF23+真實IC!CG23</f>
        <v>9.0370070147803041</v>
      </c>
      <c r="CH23" s="11">
        <f>CG23+真實IC!CH23</f>
        <v>9.2172034637017326</v>
      </c>
      <c r="CI23" s="11">
        <f>CH23+真實IC!CI23</f>
        <v>9.5271028808298297</v>
      </c>
      <c r="CJ23" s="11">
        <f>CI23+真實IC!CJ23</f>
        <v>9.3705869844119292</v>
      </c>
      <c r="CK23" s="11">
        <f>CJ23+真實IC!CK23</f>
        <v>9.4424433749484731</v>
      </c>
      <c r="CL23" s="11">
        <f>CK23+真實IC!CL23</f>
        <v>9.0337823622810554</v>
      </c>
      <c r="CM23" s="11">
        <f>CL23+真實IC!CM23</f>
        <v>9.2684873348971539</v>
      </c>
      <c r="CN23" s="11">
        <f>CM23+真實IC!CN23</f>
        <v>9.5455915968532228</v>
      </c>
      <c r="CO23" s="11">
        <f>CN23+真實IC!CO23</f>
        <v>9.8117501345803237</v>
      </c>
      <c r="CP23" s="11">
        <f>CO23+真實IC!CP23</f>
        <v>10.12311087774308</v>
      </c>
      <c r="CQ23" s="11">
        <f>CP23+真實IC!CQ23</f>
        <v>10.0984086076637</v>
      </c>
      <c r="CR23" s="11">
        <f>CQ23+真實IC!CR23</f>
        <v>10.249406778137647</v>
      </c>
      <c r="CS23" s="11">
        <f>CR23+真實IC!CS23</f>
        <v>10.31456666243086</v>
      </c>
      <c r="CT23" s="11">
        <f>CS23+真實IC!CT23</f>
        <v>10.379956877810809</v>
      </c>
      <c r="CU23" s="11">
        <f>CT23+真實IC!CU23</f>
        <v>10.582060762797965</v>
      </c>
      <c r="CV23" s="11">
        <f>CU23+真實IC!CV23</f>
        <v>10.735391731069541</v>
      </c>
      <c r="CW23" s="11">
        <f>CV23+真實IC!CW23</f>
        <v>10.711205443280539</v>
      </c>
      <c r="CX23" s="11">
        <f>CW23+真實IC!CX23</f>
        <v>10.622488449184013</v>
      </c>
      <c r="CY23" s="11">
        <f>CX23+真實IC!CY23</f>
        <v>10.776238782855552</v>
      </c>
      <c r="CZ23" s="11">
        <f>CY23+真實IC!CZ23</f>
        <v>10.958237576712904</v>
      </c>
      <c r="DA23" s="11">
        <f>CZ23+真實IC!DA23</f>
        <v>11.022882459161293</v>
      </c>
      <c r="DB23" s="11">
        <f>DA23+真實IC!DB23</f>
        <v>11.041629525604513</v>
      </c>
      <c r="DC23" s="11">
        <f>DB23+真實IC!DC23</f>
        <v>11.160820011674927</v>
      </c>
      <c r="DD23" s="11">
        <f>DC23+真實IC!DD23</f>
        <v>11.25361868635208</v>
      </c>
      <c r="DE23" s="11">
        <f>DD23+真實IC!DE23</f>
        <v>11.19353273884191</v>
      </c>
      <c r="DF23" s="11">
        <f>DE23+真實IC!DF23</f>
        <v>11.60232765940283</v>
      </c>
      <c r="DG23" s="11">
        <f>DF23+真實IC!DG23</f>
        <v>11.669948086809239</v>
      </c>
      <c r="DH23" s="11">
        <f>DG23+真實IC!DH23</f>
        <v>11.809174980321346</v>
      </c>
      <c r="DI23" s="11">
        <f>DH23+真實IC!DI23</f>
        <v>11.905215531192242</v>
      </c>
      <c r="DJ23" s="11">
        <f>DI23+真實IC!DJ23</f>
        <v>12.025248113016161</v>
      </c>
      <c r="DK23" s="11">
        <f>DJ23+真實IC!DK23</f>
        <v>12.116493101756989</v>
      </c>
      <c r="DL23" s="11">
        <f>DK23+真實IC!DL23</f>
        <v>12.142735753861613</v>
      </c>
      <c r="DM23" s="11">
        <f>DL23+真實IC!DM23</f>
        <v>12.096258437872372</v>
      </c>
      <c r="DN23" s="11">
        <f>DM23+真實IC!DN23</f>
        <v>12.102755633916342</v>
      </c>
      <c r="DO23" s="11">
        <f>DN23+真實IC!DO23</f>
        <v>12.226824075904071</v>
      </c>
      <c r="DP23" s="11">
        <f>DO23+真實IC!DP23</f>
        <v>12.403663694388978</v>
      </c>
      <c r="DQ23" s="11">
        <f>DP23+真實IC!DQ23</f>
        <v>12.649609801947765</v>
      </c>
      <c r="DR23" s="11">
        <f>DQ23+真實IC!DR23</f>
        <v>12.559723799216458</v>
      </c>
      <c r="DS23" s="11">
        <f>DR23+真實IC!DS23</f>
        <v>12.443147807549519</v>
      </c>
      <c r="DT23" s="11">
        <f>DS23+真實IC!DT23</f>
        <v>12.420851350479762</v>
      </c>
      <c r="DU23" s="11">
        <f>DT23+真實IC!DU23</f>
        <v>12.476490829188045</v>
      </c>
      <c r="DV23" s="11">
        <f>DU23+真實IC!DV23</f>
        <v>12.752762437517484</v>
      </c>
      <c r="DW23" s="11">
        <f>DV23+真實IC!DW23</f>
        <v>12.775814258272547</v>
      </c>
      <c r="DX23" s="11">
        <f>DW23+真實IC!DX23</f>
        <v>13.089307464651514</v>
      </c>
      <c r="DY23" s="11">
        <f>DX23+真實IC!DY23</f>
        <v>13.035381240113923</v>
      </c>
      <c r="DZ23" s="11">
        <f>DY23+真實IC!DZ23</f>
        <v>12.81820725236148</v>
      </c>
      <c r="EA23" s="11">
        <f>DZ23+真實IC!EA23</f>
        <v>12.724845172892511</v>
      </c>
      <c r="EB23" s="11">
        <f>EA23+真實IC!EB23</f>
        <v>12.969129831016433</v>
      </c>
      <c r="EC23" s="11">
        <f>EB23+真實IC!EC23</f>
        <v>12.93254551469062</v>
      </c>
      <c r="ED23" s="11">
        <f>EC23+真實IC!ED23</f>
        <v>13.023971419310401</v>
      </c>
      <c r="EE23" s="11">
        <f>ED23+真實IC!EE23</f>
        <v>13.093183495295394</v>
      </c>
      <c r="EF23" s="11">
        <f>EE23+真實IC!EF23</f>
        <v>13.186599353209083</v>
      </c>
    </row>
    <row r="24" spans="1:136" x14ac:dyDescent="0.3">
      <c r="A24" s="1">
        <v>964</v>
      </c>
      <c r="B24" s="1">
        <v>1</v>
      </c>
      <c r="C24" s="11">
        <f>IF(預測IC!C24&gt;預測IC!C$26,1,0)</f>
        <v>1</v>
      </c>
      <c r="D24" s="11">
        <f>C24+真實IC!D24</f>
        <v>1.1006099128992286</v>
      </c>
      <c r="E24" s="11">
        <f>D24+真實IC!E24</f>
        <v>1.3851224105897306</v>
      </c>
      <c r="F24" s="11">
        <f>E24+真實IC!F24</f>
        <v>1.1835766917180843</v>
      </c>
      <c r="G24" s="11">
        <f>F24+真實IC!G24</f>
        <v>1.1609543031554668</v>
      </c>
      <c r="H24" s="11">
        <f>G24+真實IC!H24</f>
        <v>1.1968100998104234</v>
      </c>
      <c r="I24" s="11">
        <f>H24+真實IC!I24</f>
        <v>1.19469816660728</v>
      </c>
      <c r="J24" s="11">
        <f>I24+真實IC!J24</f>
        <v>1.094725973697144</v>
      </c>
      <c r="K24" s="11">
        <f>J24+真實IC!K24</f>
        <v>1.1451703096906327</v>
      </c>
      <c r="L24" s="11">
        <f>K24+真實IC!L24</f>
        <v>1.0513706164338823</v>
      </c>
      <c r="M24" s="11">
        <f>L24+真實IC!M24</f>
        <v>0.90455127753437381</v>
      </c>
      <c r="N24" s="11">
        <f>M24+真實IC!N24</f>
        <v>2.6735826466469428</v>
      </c>
      <c r="O24" s="11">
        <f>N24+真實IC!O24</f>
        <v>2.7102314373864864</v>
      </c>
      <c r="P24" s="11">
        <f>O24+真實IC!P24</f>
        <v>2.8144798517954861</v>
      </c>
      <c r="Q24" s="11">
        <f>P24+真實IC!Q24</f>
        <v>2.75351489014878</v>
      </c>
      <c r="R24" s="11">
        <f>Q24+真實IC!R24</f>
        <v>2.5078175193695205</v>
      </c>
      <c r="S24" s="11">
        <f>R24+真實IC!S24</f>
        <v>2.860331980429685</v>
      </c>
      <c r="T24" s="11">
        <f>S24+真實IC!T24</f>
        <v>2.5898452657556676</v>
      </c>
      <c r="U24" s="11">
        <f>T24+真實IC!U24</f>
        <v>2.7383639399795858</v>
      </c>
      <c r="V24" s="11">
        <f>U24+真實IC!V24</f>
        <v>2.6712246371419575</v>
      </c>
      <c r="W24" s="11">
        <f>V24+真實IC!W24</f>
        <v>2.5066601195550775</v>
      </c>
      <c r="X24" s="11">
        <f>W24+真實IC!X24</f>
        <v>2.4705022231938254</v>
      </c>
      <c r="Y24" s="11">
        <f>X24+真實IC!Y24</f>
        <v>2.4610252082674084</v>
      </c>
      <c r="Z24" s="11">
        <f>Y24+真實IC!Z24</f>
        <v>2.5668675355462156</v>
      </c>
      <c r="AA24" s="11">
        <f>Z24+真實IC!AA24</f>
        <v>2.7854121152373703</v>
      </c>
      <c r="AB24" s="11">
        <f>AA24+真實IC!AB24</f>
        <v>2.9807517379126143</v>
      </c>
      <c r="AC24" s="11">
        <f>AB24+真實IC!AC24</f>
        <v>3.3824990717595691</v>
      </c>
      <c r="AD24" s="11">
        <f>AC24+真實IC!AD24</f>
        <v>3.4836743710162921</v>
      </c>
      <c r="AE24" s="11">
        <f>AD24+真實IC!AE24</f>
        <v>3.6768161607280501</v>
      </c>
      <c r="AF24" s="11">
        <f>AE24+真實IC!AF24</f>
        <v>4.1722055735322119</v>
      </c>
      <c r="AG24" s="11">
        <f>AF24+真實IC!AG24</f>
        <v>4.3109412911588496</v>
      </c>
      <c r="AH24" s="11">
        <f>AG24+真實IC!AH24</f>
        <v>4.25424393109106</v>
      </c>
      <c r="AI24" s="11">
        <f>AH24+真實IC!AI24</f>
        <v>4.5646581663204024</v>
      </c>
      <c r="AJ24" s="11">
        <f>AI24+真實IC!AJ24</f>
        <v>4.4837669223210268</v>
      </c>
      <c r="AK24" s="11">
        <f>AJ24+真實IC!AK24</f>
        <v>4.5686508753892188</v>
      </c>
      <c r="AL24" s="11">
        <f>AK24+真實IC!AL24</f>
        <v>4.6558245768658537</v>
      </c>
      <c r="AM24" s="11">
        <f>AL24+真實IC!AM24</f>
        <v>4.6369052954453274</v>
      </c>
      <c r="AN24" s="11">
        <f>AM24+真實IC!AN24</f>
        <v>4.8580947605907587</v>
      </c>
      <c r="AO24" s="11">
        <f>AN24+真實IC!AO24</f>
        <v>4.9610004631685483</v>
      </c>
      <c r="AP24" s="11">
        <f>AO24+真實IC!AP24</f>
        <v>4.9838521786576448</v>
      </c>
      <c r="AQ24" s="11">
        <f>AP24+真實IC!AQ24</f>
        <v>5.2009793817857091</v>
      </c>
      <c r="AR24" s="11">
        <f>AQ24+真實IC!AR24</f>
        <v>5.3718127879565349</v>
      </c>
      <c r="AS24" s="11">
        <f>AR24+真實IC!AS24</f>
        <v>5.3750995616631574</v>
      </c>
      <c r="AT24" s="11">
        <f>AS24+真實IC!AT24</f>
        <v>5.5258685415888378</v>
      </c>
      <c r="AU24" s="11">
        <f>AT24+真實IC!AU24</f>
        <v>6.0029227288312397</v>
      </c>
      <c r="AV24" s="11">
        <f>AU24+真實IC!AV24</f>
        <v>6.2506073890615674</v>
      </c>
      <c r="AW24" s="11">
        <f>AV24+真實IC!AW24</f>
        <v>6.1018964325301273</v>
      </c>
      <c r="AX24" s="11">
        <f>AW24+真實IC!AX24</f>
        <v>6.2133877694463431</v>
      </c>
      <c r="AY24" s="11">
        <f>AX24+真實IC!AY24</f>
        <v>6.3815150633312321</v>
      </c>
      <c r="AZ24" s="11">
        <f>AY24+真實IC!AZ24</f>
        <v>6.5001387884024089</v>
      </c>
      <c r="BA24" s="11">
        <f>AZ24+真實IC!BA24</f>
        <v>6.5506300938144211</v>
      </c>
      <c r="BB24" s="11">
        <f>BA24+真實IC!BB24</f>
        <v>7.4233332429209113</v>
      </c>
      <c r="BC24" s="11">
        <f>BB24+真實IC!BC24</f>
        <v>7.4189663733065281</v>
      </c>
      <c r="BD24" s="11">
        <f>BC24+真實IC!BD24</f>
        <v>7.4375974073933921</v>
      </c>
      <c r="BE24" s="11">
        <f>BD24+真實IC!BE24</f>
        <v>7.3802168694083123</v>
      </c>
      <c r="BF24" s="11">
        <f>BE24+真實IC!BF24</f>
        <v>7.3158464484588492</v>
      </c>
      <c r="BG24" s="11">
        <f>BF24+真實IC!BG24</f>
        <v>7.2248622207514135</v>
      </c>
      <c r="BH24" s="11">
        <f>BG24+真實IC!BH24</f>
        <v>7.3725357860031329</v>
      </c>
      <c r="BI24" s="11">
        <f>BH24+真實IC!BI24</f>
        <v>7.5961648920731797</v>
      </c>
      <c r="BJ24" s="11">
        <f>BI24+真實IC!BJ24</f>
        <v>7.7958049252436306</v>
      </c>
      <c r="BK24" s="11">
        <f>BJ24+真實IC!BK24</f>
        <v>7.7609772780708566</v>
      </c>
      <c r="BL24" s="11">
        <f>BK24+真實IC!BL24</f>
        <v>7.867084198222023</v>
      </c>
      <c r="BM24" s="11">
        <f>BL24+真實IC!BM24</f>
        <v>7.9518671380610115</v>
      </c>
      <c r="BN24" s="11">
        <f>BM24+真實IC!BN24</f>
        <v>8.0607803983775597</v>
      </c>
      <c r="BO24" s="11">
        <f>BN24+真實IC!BO24</f>
        <v>7.8996707072819179</v>
      </c>
      <c r="BP24" s="11">
        <f>BO24+真實IC!BP24</f>
        <v>7.9314648116118081</v>
      </c>
      <c r="BQ24" s="11">
        <f>BP24+真實IC!BQ24</f>
        <v>7.8672951782816929</v>
      </c>
      <c r="BR24" s="11">
        <f>BQ24+真實IC!BR24</f>
        <v>7.9662160674669344</v>
      </c>
      <c r="BS24" s="11">
        <f>BR24+真實IC!BS24</f>
        <v>7.8445950309373282</v>
      </c>
      <c r="BT24" s="11">
        <f>BS24+真實IC!BT24</f>
        <v>8.1213140470775365</v>
      </c>
      <c r="BU24" s="11">
        <f>BT24+真實IC!BU24</f>
        <v>8.130062539392382</v>
      </c>
      <c r="BV24" s="11">
        <f>BU24+真實IC!BV24</f>
        <v>8.0838038336517197</v>
      </c>
      <c r="BW24" s="11">
        <f>BV24+真實IC!BW24</f>
        <v>8.2348312790741396</v>
      </c>
      <c r="BX24" s="11">
        <f>BW24+真實IC!BX24</f>
        <v>8.130876245025048</v>
      </c>
      <c r="BY24" s="11">
        <f>BX24+真實IC!BY24</f>
        <v>8.2492844760753492</v>
      </c>
      <c r="BZ24" s="11">
        <f>BY24+真實IC!BZ24</f>
        <v>8.5081773749253458</v>
      </c>
      <c r="CA24" s="11">
        <f>BZ24+真實IC!CA24</f>
        <v>8.6233990556987603</v>
      </c>
      <c r="CB24" s="11">
        <f>CA24+真實IC!CB24</f>
        <v>9.2630971893332745</v>
      </c>
      <c r="CC24" s="11">
        <f>CB24+真實IC!CC24</f>
        <v>9.0806273094457133</v>
      </c>
      <c r="CD24" s="11">
        <f>CC24+真實IC!CD24</f>
        <v>9.2249336201879082</v>
      </c>
      <c r="CE24" s="11">
        <f>CD24+真實IC!CE24</f>
        <v>9.3904984941790222</v>
      </c>
      <c r="CF24" s="11">
        <f>CE24+真實IC!CF24</f>
        <v>9.6122198564244101</v>
      </c>
      <c r="CG24" s="11">
        <f>CF24+真實IC!CG24</f>
        <v>10.132188822498332</v>
      </c>
      <c r="CH24" s="11">
        <f>CG24+真實IC!CH24</f>
        <v>10.486466119340834</v>
      </c>
      <c r="CI24" s="11">
        <f>CH24+真實IC!CI24</f>
        <v>10.158014298631569</v>
      </c>
      <c r="CJ24" s="11">
        <f>CI24+真實IC!CJ24</f>
        <v>9.8578274050413128</v>
      </c>
      <c r="CK24" s="11">
        <f>CJ24+真實IC!CK24</f>
        <v>10.180886670369697</v>
      </c>
      <c r="CL24" s="11">
        <f>CK24+真實IC!CL24</f>
        <v>10.322642003742237</v>
      </c>
      <c r="CM24" s="11">
        <f>CL24+真實IC!CM24</f>
        <v>10.959075268101747</v>
      </c>
      <c r="CN24" s="11">
        <f>CM24+真實IC!CN24</f>
        <v>11.568752465368821</v>
      </c>
      <c r="CO24" s="11">
        <f>CN24+真實IC!CO24</f>
        <v>12.021229907159274</v>
      </c>
      <c r="CP24" s="11">
        <f>CO24+真實IC!CP24</f>
        <v>12.181574111974117</v>
      </c>
      <c r="CQ24" s="11">
        <f>CP24+真實IC!CQ24</f>
        <v>12.021384465346616</v>
      </c>
      <c r="CR24" s="11">
        <f>CQ24+真實IC!CR24</f>
        <v>12.159171921395318</v>
      </c>
      <c r="CS24" s="11">
        <f>CR24+真實IC!CS24</f>
        <v>12.267146157334345</v>
      </c>
      <c r="CT24" s="11">
        <f>CS24+真實IC!CT24</f>
        <v>12.147601768998506</v>
      </c>
      <c r="CU24" s="11">
        <f>CT24+真實IC!CU24</f>
        <v>12.20033081381216</v>
      </c>
      <c r="CV24" s="11">
        <f>CU24+真實IC!CV24</f>
        <v>12.383194908719384</v>
      </c>
      <c r="CW24" s="11">
        <f>CV24+真實IC!CW24</f>
        <v>12.148201693446538</v>
      </c>
      <c r="CX24" s="11">
        <f>CW24+真實IC!CX24</f>
        <v>12.203408887155225</v>
      </c>
      <c r="CY24" s="11">
        <f>CX24+真實IC!CY24</f>
        <v>12.524556639361967</v>
      </c>
      <c r="CZ24" s="11">
        <f>CY24+真實IC!CZ24</f>
        <v>12.636763267806534</v>
      </c>
      <c r="DA24" s="11">
        <f>CZ24+真實IC!DA24</f>
        <v>12.670742852898988</v>
      </c>
      <c r="DB24" s="11">
        <f>DA24+真實IC!DB24</f>
        <v>12.654240987049992</v>
      </c>
      <c r="DC24" s="11">
        <f>DB24+真實IC!DC24</f>
        <v>12.845416745220527</v>
      </c>
      <c r="DD24" s="11">
        <f>DC24+真實IC!DD24</f>
        <v>12.649572023038086</v>
      </c>
      <c r="DE24" s="11">
        <f>DD24+真實IC!DE24</f>
        <v>12.781157614333619</v>
      </c>
      <c r="DF24" s="11">
        <f>DE24+真實IC!DF24</f>
        <v>13.306742620478117</v>
      </c>
      <c r="DG24" s="11">
        <f>DF24+真實IC!DG24</f>
        <v>13.426287906878249</v>
      </c>
      <c r="DH24" s="11">
        <f>DG24+真實IC!DH24</f>
        <v>13.692090582870762</v>
      </c>
      <c r="DI24" s="11">
        <f>DH24+真實IC!DI24</f>
        <v>13.729275491145142</v>
      </c>
      <c r="DJ24" s="11">
        <f>DI24+真實IC!DJ24</f>
        <v>13.958645365676231</v>
      </c>
      <c r="DK24" s="11">
        <f>DJ24+真實IC!DK24</f>
        <v>14.078325546884422</v>
      </c>
      <c r="DL24" s="11">
        <f>DK24+真實IC!DL24</f>
        <v>14.139686060099839</v>
      </c>
      <c r="DM24" s="11">
        <f>DL24+真實IC!DM24</f>
        <v>14.139272614854772</v>
      </c>
      <c r="DN24" s="11">
        <f>DM24+真實IC!DN24</f>
        <v>14.372607185629468</v>
      </c>
      <c r="DO24" s="11">
        <f>DN24+真實IC!DO24</f>
        <v>14.488219140652948</v>
      </c>
      <c r="DP24" s="11">
        <f>DO24+真實IC!DP24</f>
        <v>14.711790964136645</v>
      </c>
      <c r="DQ24" s="11">
        <f>DP24+真實IC!DQ24</f>
        <v>15.070862266233293</v>
      </c>
      <c r="DR24" s="11">
        <f>DQ24+真實IC!DR24</f>
        <v>15.050346636021263</v>
      </c>
      <c r="DS24" s="11">
        <f>DR24+真實IC!DS24</f>
        <v>14.982984090307319</v>
      </c>
      <c r="DT24" s="11">
        <f>DS24+真實IC!DT24</f>
        <v>14.953548363918456</v>
      </c>
      <c r="DU24" s="11">
        <f>DT24+真實IC!DU24</f>
        <v>14.931766968557225</v>
      </c>
      <c r="DV24" s="11">
        <f>DU24+真實IC!DV24</f>
        <v>15.089991667201039</v>
      </c>
      <c r="DW24" s="11">
        <f>DV24+真實IC!DW24</f>
        <v>15.191174163856283</v>
      </c>
      <c r="DX24" s="11">
        <f>DW24+真實IC!DX24</f>
        <v>15.502767291648787</v>
      </c>
      <c r="DY24" s="11">
        <f>DX24+真實IC!DY24</f>
        <v>15.499527415040244</v>
      </c>
      <c r="DZ24" s="11">
        <f>DY24+真實IC!DZ24</f>
        <v>15.066020836303553</v>
      </c>
      <c r="EA24" s="11">
        <f>DZ24+真實IC!EA24</f>
        <v>15.042849334456879</v>
      </c>
      <c r="EB24" s="11">
        <f>EA24+真實IC!EB24</f>
        <v>15.63254725145597</v>
      </c>
      <c r="EC24" s="11">
        <f>EB24+真實IC!EC24</f>
        <v>15.618237332685291</v>
      </c>
      <c r="ED24" s="11">
        <f>EC24+真實IC!ED24</f>
        <v>15.674410177983654</v>
      </c>
      <c r="EE24" s="11">
        <f>ED24+真實IC!EE24</f>
        <v>15.781890835218073</v>
      </c>
      <c r="EF24" s="11">
        <f>EE24+真實IC!EF24</f>
        <v>15.915977911568287</v>
      </c>
    </row>
    <row r="25" spans="1:136" s="13" customFormat="1" x14ac:dyDescent="0.3">
      <c r="A25" s="15" t="s">
        <v>147</v>
      </c>
      <c r="B25" s="15" t="s">
        <v>148</v>
      </c>
      <c r="C25" s="16">
        <v>-1.7446770539390338E-2</v>
      </c>
      <c r="D25" s="17">
        <f>C25+預測IC!D25</f>
        <v>3.2542899924252917E-3</v>
      </c>
      <c r="E25" s="17">
        <f>D25+預測IC!E25</f>
        <v>2.7236419247192001E-2</v>
      </c>
      <c r="F25" s="17">
        <f>E25+預測IC!F25</f>
        <v>2.0678840274368924E-2</v>
      </c>
      <c r="G25" s="17">
        <f>F25+預測IC!G25</f>
        <v>5.2523970074888612E-2</v>
      </c>
      <c r="H25" s="17">
        <f>G25+預測IC!H25</f>
        <v>8.6872502811879138E-2</v>
      </c>
      <c r="I25" s="17">
        <f>H25+預測IC!I25</f>
        <v>7.8617570030553904E-2</v>
      </c>
      <c r="J25" s="17">
        <f>I25+預測IC!J25</f>
        <v>9.1461094424606662E-2</v>
      </c>
      <c r="K25" s="17">
        <f>J25+預測IC!K25</f>
        <v>4.0442569797815839E-2</v>
      </c>
      <c r="L25" s="17">
        <f>K25+預測IC!L25</f>
        <v>4.1316512538852428E-2</v>
      </c>
      <c r="M25" s="17">
        <f>L25+預測IC!M25</f>
        <v>6.4706088044348353E-2</v>
      </c>
      <c r="N25" s="17">
        <f>M25+預測IC!N25</f>
        <v>7.7695060244681202E-2</v>
      </c>
      <c r="O25" s="17">
        <f>N25+預測IC!O25</f>
        <v>8.3549648970316082E-2</v>
      </c>
      <c r="P25" s="17">
        <f>O25+預測IC!P25</f>
        <v>0.11096285554210664</v>
      </c>
      <c r="Q25" s="17">
        <f>P25+預測IC!Q25</f>
        <v>0.10724991942441378</v>
      </c>
      <c r="R25" s="17">
        <f>Q25+預測IC!R25</f>
        <v>0.13132653347223711</v>
      </c>
      <c r="S25" s="17">
        <f>R25+預測IC!S25</f>
        <v>0.11913650817319715</v>
      </c>
      <c r="T25" s="17">
        <f>S25+預測IC!T25</f>
        <v>7.9386930013607554E-2</v>
      </c>
      <c r="U25" s="17">
        <f>T25+預測IC!U25</f>
        <v>6.2314801819580018E-3</v>
      </c>
      <c r="V25" s="17">
        <f>U25+預測IC!V25</f>
        <v>-5.2028749728156659E-2</v>
      </c>
      <c r="W25" s="17">
        <f>V25+預測IC!W25</f>
        <v>-5.1255952162648284E-2</v>
      </c>
      <c r="X25" s="17">
        <f>W25+預測IC!X25</f>
        <v>-6.6644310274293142E-3</v>
      </c>
      <c r="Y25" s="17">
        <f>X25+預測IC!Y25</f>
        <v>-3.4364111077642409E-2</v>
      </c>
      <c r="Z25" s="17">
        <f>Y25+預測IC!Z25</f>
        <v>-3.226910512789876E-2</v>
      </c>
      <c r="AA25" s="17">
        <f>Z25+預測IC!AA25</f>
        <v>-5.5669656120462874E-2</v>
      </c>
      <c r="AB25" s="17">
        <f>AA25+預測IC!AB25</f>
        <v>-2.3540285023140685E-2</v>
      </c>
      <c r="AC25" s="17">
        <f>AB25+預測IC!AC25</f>
        <v>1.5362988070925745E-2</v>
      </c>
      <c r="AD25" s="17">
        <f>AC25+預測IC!AD25</f>
        <v>-2.7502394100178525E-2</v>
      </c>
      <c r="AE25" s="17">
        <f>AD25+預測IC!AE25</f>
        <v>-8.8551995500263658E-3</v>
      </c>
      <c r="AF25" s="17">
        <f>AE25+預測IC!AF25</f>
        <v>6.3745687725025833E-3</v>
      </c>
      <c r="AG25" s="17">
        <f>AF25+預測IC!AG25</f>
        <v>4.2391172551395004E-2</v>
      </c>
      <c r="AH25" s="17">
        <f>AG25+預測IC!AH25</f>
        <v>5.174578393671117E-2</v>
      </c>
      <c r="AI25" s="17">
        <f>AH25+預測IC!AI25</f>
        <v>6.2494035273549312E-2</v>
      </c>
      <c r="AJ25" s="17">
        <f>AI25+預測IC!AJ25</f>
        <v>7.5851789326630281E-2</v>
      </c>
      <c r="AK25" s="17">
        <f>AJ25+預測IC!AK25</f>
        <v>7.0519041997534893E-2</v>
      </c>
      <c r="AL25" s="17">
        <f>AK25+預測IC!AL25</f>
        <v>7.1902177804796574E-2</v>
      </c>
      <c r="AM25" s="17">
        <f>AL25+預測IC!AM25</f>
        <v>9.2698106224871041E-2</v>
      </c>
      <c r="AN25" s="17">
        <f>AM25+預測IC!AN25</f>
        <v>0.12421580844526167</v>
      </c>
      <c r="AO25" s="17">
        <f>AN25+預測IC!AO25</f>
        <v>0.13045752497859112</v>
      </c>
      <c r="AP25" s="17">
        <f>AO25+預測IC!AP25</f>
        <v>0.13660278663216249</v>
      </c>
      <c r="AQ25" s="17">
        <f>AP25+預測IC!AQ25</f>
        <v>0.15354914430885899</v>
      </c>
      <c r="AR25" s="17">
        <f>AQ25+預測IC!AR25</f>
        <v>0.18823197476316722</v>
      </c>
      <c r="AS25" s="17">
        <f>AR25+預測IC!AS25</f>
        <v>0.19133056338036419</v>
      </c>
      <c r="AT25" s="17">
        <f>AS25+預測IC!AT25</f>
        <v>0.2064119105238503</v>
      </c>
      <c r="AU25" s="17">
        <f>AT25+預測IC!AU25</f>
        <v>0.18716070129398632</v>
      </c>
      <c r="AV25" s="17">
        <f>AU25+預測IC!AV25</f>
        <v>0.22587221468161775</v>
      </c>
      <c r="AW25" s="17">
        <f>AV25+預測IC!AW25</f>
        <v>0.20401526354588115</v>
      </c>
      <c r="AX25" s="17">
        <f>AW25+預測IC!AX25</f>
        <v>0.21178956425567083</v>
      </c>
      <c r="AY25" s="17">
        <f>AX25+預測IC!AY25</f>
        <v>0.25418681095099677</v>
      </c>
      <c r="AZ25" s="17">
        <f>AY25+預測IC!AZ25</f>
        <v>0.22787783608983703</v>
      </c>
      <c r="BA25" s="17">
        <f>AZ25+預測IC!BA25</f>
        <v>0.23744958539855326</v>
      </c>
      <c r="BB25" s="17">
        <f>BA25+預測IC!BB25</f>
        <v>0.21319984413227844</v>
      </c>
      <c r="BC25" s="17">
        <f>BB25+預測IC!BC25</f>
        <v>0.23336321827619427</v>
      </c>
      <c r="BD25" s="17">
        <f>BC25+預測IC!BD25</f>
        <v>0.22985821949407825</v>
      </c>
      <c r="BE25" s="17">
        <f>BD25+預測IC!BE25</f>
        <v>0.25001015459262055</v>
      </c>
      <c r="BF25" s="17">
        <f>BE25+預測IC!BF25</f>
        <v>0.25059149082339083</v>
      </c>
      <c r="BG25" s="17">
        <f>BF25+預測IC!BG25</f>
        <v>0.24537178987013822</v>
      </c>
      <c r="BH25" s="17">
        <f>BG25+預測IC!BH25</f>
        <v>0.12950002846800823</v>
      </c>
      <c r="BI25" s="17">
        <f>BH25+預測IC!BI25</f>
        <v>0.13822525416044559</v>
      </c>
      <c r="BJ25" s="17">
        <f>BI25+預測IC!BJ25</f>
        <v>0.12184799318262345</v>
      </c>
      <c r="BK25" s="17">
        <f>BJ25+預測IC!BK25</f>
        <v>0.14268836478288388</v>
      </c>
      <c r="BL25" s="17">
        <f>BK25+預測IC!BL25</f>
        <v>0.18766423688499859</v>
      </c>
      <c r="BM25" s="17">
        <f>BL25+預測IC!BM25</f>
        <v>0.21161854296686244</v>
      </c>
      <c r="BN25" s="17">
        <f>BM25+預測IC!BN25</f>
        <v>0.24185764435830504</v>
      </c>
      <c r="BO25" s="17">
        <f>BN25+預測IC!BO25</f>
        <v>0.19813175676721753</v>
      </c>
      <c r="BP25" s="17">
        <f>BO25+預測IC!BP25</f>
        <v>0.22002122633541615</v>
      </c>
      <c r="BQ25" s="17">
        <f>BP25+預測IC!BQ25</f>
        <v>0.22864865659892455</v>
      </c>
      <c r="BR25" s="17">
        <f>BQ25+預測IC!BR25</f>
        <v>0.20945570260426577</v>
      </c>
      <c r="BS25" s="17">
        <f>BR25+預測IC!BS25</f>
        <v>0.22919083249239883</v>
      </c>
      <c r="BT25" s="17">
        <f>BS25+預測IC!BT25</f>
        <v>0.27688516997609824</v>
      </c>
      <c r="BU25" s="17">
        <f>BT25+預測IC!BU25</f>
        <v>0.28833998678268163</v>
      </c>
      <c r="BV25" s="17">
        <f>BU25+預測IC!BV25</f>
        <v>0.33156860751789485</v>
      </c>
      <c r="BW25" s="17">
        <f>BV25+預測IC!BW25</f>
        <v>0.28882117708097205</v>
      </c>
      <c r="BX25" s="17">
        <f>BW25+預測IC!BX25</f>
        <v>0.27100988465317749</v>
      </c>
      <c r="BY25" s="17">
        <f>BX25+預測IC!BY25</f>
        <v>0.11985678778410189</v>
      </c>
      <c r="BZ25" s="17">
        <f>BY25+預測IC!BZ25</f>
        <v>0.24408079140367717</v>
      </c>
      <c r="CA25" s="17">
        <f>BZ25+預測IC!CA25</f>
        <v>0.23952353755914751</v>
      </c>
      <c r="CB25" s="17">
        <f>CA25+預測IC!CB25</f>
        <v>0.29973477776405871</v>
      </c>
      <c r="CC25" s="17">
        <f>CB25+預測IC!CC25</f>
        <v>0.385726811246561</v>
      </c>
      <c r="CD25" s="17">
        <f>CC25+預測IC!CD25</f>
        <v>0.37991833166419492</v>
      </c>
      <c r="CE25" s="17">
        <f>CD25+預測IC!CE25</f>
        <v>0.37387698467522684</v>
      </c>
      <c r="CF25" s="17">
        <f>CE25+預測IC!CF25</f>
        <v>0.37632930904747891</v>
      </c>
      <c r="CG25" s="17">
        <f>CF25+預測IC!CG25</f>
        <v>0.46596556098450181</v>
      </c>
      <c r="CH25" s="17">
        <f>CG25+預測IC!CH25</f>
        <v>0.53695829351125968</v>
      </c>
      <c r="CI25" s="17">
        <f>CH25+預測IC!CI25</f>
        <v>0.56412893641304307</v>
      </c>
      <c r="CJ25" s="17">
        <f>CI25+預測IC!CJ25</f>
        <v>0.61659736483837313</v>
      </c>
      <c r="CK25" s="17">
        <f>CJ25+預測IC!CK25</f>
        <v>0.64607802578142259</v>
      </c>
      <c r="CL25" s="17">
        <f>CK25+預測IC!CL25</f>
        <v>0.71290310684162383</v>
      </c>
      <c r="CM25" s="17">
        <f>CL25+預測IC!CM25</f>
        <v>0.68413087782180682</v>
      </c>
      <c r="CN25" s="17">
        <f>CM25+預測IC!CN25</f>
        <v>0.72359339372344467</v>
      </c>
      <c r="CO25" s="17">
        <f>CN25+預測IC!CO25</f>
        <v>0.69456230674608477</v>
      </c>
      <c r="CP25" s="17">
        <f>CO25+預測IC!CP25</f>
        <v>0.70854618926555268</v>
      </c>
      <c r="CQ25" s="17">
        <f>CP25+預測IC!CQ25</f>
        <v>0.67626922430621883</v>
      </c>
      <c r="CR25" s="17">
        <f>CQ25+預測IC!CR25</f>
        <v>0.6793728009191129</v>
      </c>
      <c r="CS25" s="17">
        <f>CR25+預測IC!CS25</f>
        <v>0.70496465668619601</v>
      </c>
      <c r="CT25" s="17">
        <f>CS25+預測IC!CT25</f>
        <v>0.74935654297338927</v>
      </c>
      <c r="CU25" s="17">
        <f>CT25+預測IC!CU25</f>
        <v>0.71901758442381181</v>
      </c>
      <c r="CV25" s="17">
        <f>CU25+預測IC!CV25</f>
        <v>0.7177596079692401</v>
      </c>
      <c r="CW25" s="17">
        <f>CV25+預測IC!CW25</f>
        <v>0.72009596442509805</v>
      </c>
      <c r="CX25" s="17">
        <f>CW25+預測IC!CX25</f>
        <v>0.655831819499192</v>
      </c>
      <c r="CY25" s="17">
        <f>CX25+預測IC!CY25</f>
        <v>0.66874159895818441</v>
      </c>
      <c r="CZ25" s="17">
        <f>CY25+預測IC!CZ25</f>
        <v>0.54326450428732564</v>
      </c>
      <c r="DA25" s="17">
        <f>CZ25+預測IC!DA25</f>
        <v>0.55495518722711823</v>
      </c>
      <c r="DB25" s="17">
        <f>DA25+預測IC!DB25</f>
        <v>0.56129303092785998</v>
      </c>
      <c r="DC25" s="17">
        <f>DB25+預測IC!DC25</f>
        <v>0.44398767445847448</v>
      </c>
      <c r="DD25" s="17">
        <f>DC25+預測IC!DD25</f>
        <v>0.40797680240902789</v>
      </c>
      <c r="DE25" s="17">
        <f>DD25+預測IC!DE25</f>
        <v>0.54688810648129582</v>
      </c>
      <c r="DF25" s="17">
        <f>DE25+預測IC!DF25</f>
        <v>0.49574460025519007</v>
      </c>
      <c r="DG25" s="17">
        <f>DF25+預測IC!DG25</f>
        <v>0.57247604743715907</v>
      </c>
      <c r="DH25" s="17">
        <f>DG25+預測IC!DH25</f>
        <v>0.58798482963416721</v>
      </c>
      <c r="DI25" s="17">
        <f>DH25+預測IC!DI25</f>
        <v>0.61120860330892302</v>
      </c>
      <c r="DJ25" s="17">
        <f>DI25+預測IC!DJ25</f>
        <v>0.59283572694769515</v>
      </c>
      <c r="DK25" s="17">
        <f>DJ25+預測IC!DK25</f>
        <v>0.65503474103279458</v>
      </c>
      <c r="DL25" s="17">
        <f>DK25+預測IC!DL25</f>
        <v>0.67513304551975173</v>
      </c>
      <c r="DM25" s="17">
        <f>DL25+預測IC!DM25</f>
        <v>0.68863198526781977</v>
      </c>
      <c r="DN25" s="17">
        <f>DM25+預測IC!DN25</f>
        <v>0.65837977253939894</v>
      </c>
      <c r="DO25" s="17">
        <f>DN25+預測IC!DO25</f>
        <v>0.64135693683134509</v>
      </c>
      <c r="DP25" s="17">
        <f>DO25+預測IC!DP25</f>
        <v>0.61956841355888315</v>
      </c>
      <c r="DQ25" s="17">
        <f>DP25+預測IC!DQ25</f>
        <v>0.70531403814402038</v>
      </c>
      <c r="DR25" s="17">
        <f>DQ25+預測IC!DR25</f>
        <v>0.73342078174899417</v>
      </c>
      <c r="DS25" s="17">
        <f>DR25+預測IC!DS25</f>
        <v>0.73111762194163477</v>
      </c>
      <c r="DT25" s="17">
        <f>DS25+預測IC!DT25</f>
        <v>0.78958882007312226</v>
      </c>
      <c r="DU25" s="17">
        <f>DT25+預測IC!DU25</f>
        <v>0.85724776912176992</v>
      </c>
      <c r="DV25" s="17">
        <f>DU25+預測IC!DV25</f>
        <v>0.86226853976220219</v>
      </c>
      <c r="DW25" s="17">
        <f>DV25+預測IC!DW25</f>
        <v>0.89968472343740924</v>
      </c>
      <c r="DX25" s="17">
        <f>DW25+預測IC!DX25</f>
        <v>0.98379572718345132</v>
      </c>
      <c r="DY25" s="17">
        <f>DX25+預測IC!DY25</f>
        <v>0.94696332863943844</v>
      </c>
      <c r="DZ25" s="17">
        <f>DY25+預測IC!DZ25</f>
        <v>0.95005503145637549</v>
      </c>
      <c r="EA25" s="17">
        <f>DZ25+預測IC!EA25</f>
        <v>0.94809740324208092</v>
      </c>
      <c r="EB25" s="17">
        <f>EA25+預測IC!EB25</f>
        <v>0.97455650684560069</v>
      </c>
      <c r="EC25" s="17">
        <f>EB25+預測IC!EC25</f>
        <v>0.94980396808491041</v>
      </c>
      <c r="ED25" s="17">
        <f>EC25+預測IC!ED25</f>
        <v>0.98391945906747036</v>
      </c>
      <c r="EE25" s="17">
        <f>ED25+預測IC!EE25</f>
        <v>1.0049814330565034</v>
      </c>
      <c r="EF25" s="17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G25"/>
  <sheetViews>
    <sheetView topLeftCell="CZ19" workbookViewId="0">
      <selection activeCell="DE10" sqref="DE10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7" x14ac:dyDescent="0.3">
      <c r="B3" s="1" t="s">
        <v>136</v>
      </c>
      <c r="C3" s="9">
        <v>0.10910583</v>
      </c>
      <c r="D3" s="9">
        <v>1.457658E-2</v>
      </c>
      <c r="E3" s="9">
        <v>-3.6154400000000003E-2</v>
      </c>
      <c r="F3" s="9">
        <v>-4.7425999999999996E-3</v>
      </c>
      <c r="G3" s="9">
        <v>-5.7478E-3</v>
      </c>
      <c r="H3" s="9">
        <v>4.9378020000000002E-2</v>
      </c>
      <c r="I3" s="9">
        <v>0.18325177000000001</v>
      </c>
      <c r="J3" s="9">
        <v>0.11648631</v>
      </c>
      <c r="K3" s="9">
        <v>-3.0594900000000001E-2</v>
      </c>
      <c r="L3" s="9">
        <v>1.982805E-2</v>
      </c>
      <c r="M3" s="9">
        <v>-2.0999E-2</v>
      </c>
      <c r="N3" s="9">
        <v>0.14977942</v>
      </c>
      <c r="O3" s="9">
        <v>1.546341E-2</v>
      </c>
      <c r="P3" s="9">
        <v>-9.1792299999999993E-2</v>
      </c>
      <c r="Q3" s="9">
        <v>-7.7409000000000006E-2</v>
      </c>
      <c r="R3" s="9">
        <v>5.4776600000000002E-2</v>
      </c>
      <c r="S3" s="9">
        <v>-0.12533440000000001</v>
      </c>
      <c r="T3" s="9">
        <v>-0.1190534</v>
      </c>
      <c r="U3" s="9">
        <v>-3.7770100000000001E-2</v>
      </c>
      <c r="V3" s="9">
        <v>8.1183820000000004E-2</v>
      </c>
      <c r="W3" s="9">
        <v>8.4008970000000002E-2</v>
      </c>
      <c r="X3" s="9">
        <v>0.14701136000000001</v>
      </c>
      <c r="Y3" s="9">
        <v>-0.12536050000000001</v>
      </c>
      <c r="Z3" s="9">
        <v>0.19195355</v>
      </c>
      <c r="AA3" s="9">
        <v>-8.4370799999999996E-2</v>
      </c>
      <c r="AB3" s="9">
        <v>7.2897610000000002E-2</v>
      </c>
      <c r="AC3" s="9">
        <v>0.10260456</v>
      </c>
      <c r="AD3" s="9">
        <v>1.577017E-2</v>
      </c>
      <c r="AE3" s="9">
        <v>-0.15200720000000001</v>
      </c>
      <c r="AF3" s="9">
        <v>5.9250249999999997E-2</v>
      </c>
      <c r="AG3" s="9">
        <v>0.13005884000000001</v>
      </c>
      <c r="AH3" s="9">
        <v>0.11525639999999999</v>
      </c>
      <c r="AI3" s="9">
        <v>3.2606620000000003E-2</v>
      </c>
      <c r="AJ3" s="9">
        <v>2.7999110000000001E-2</v>
      </c>
      <c r="AK3" s="9">
        <v>0.14657042000000001</v>
      </c>
      <c r="AL3" s="9">
        <v>4.0841919999999997E-2</v>
      </c>
      <c r="AM3" s="9">
        <v>0.13137636999999999</v>
      </c>
      <c r="AN3" s="9">
        <v>0.22143296000000001</v>
      </c>
      <c r="AO3" s="9">
        <v>-2.0941000000000001E-2</v>
      </c>
      <c r="AP3" s="9">
        <v>-0.13716</v>
      </c>
      <c r="AQ3" s="9">
        <v>-2.4882899999999999E-2</v>
      </c>
      <c r="AR3" s="9">
        <v>1.551397E-2</v>
      </c>
      <c r="AS3" s="9">
        <v>3.4373040000000001E-2</v>
      </c>
      <c r="AT3" s="9">
        <v>6.3095689999999996E-2</v>
      </c>
      <c r="AU3" s="9">
        <v>4.3237699999999997E-2</v>
      </c>
      <c r="AV3" s="9">
        <v>-7.4230400000000002E-2</v>
      </c>
      <c r="AW3" s="9">
        <v>2.7994829999999998E-2</v>
      </c>
      <c r="AX3" s="9">
        <v>0.11986442</v>
      </c>
      <c r="AY3" s="9">
        <v>7.6559569999999993E-2</v>
      </c>
      <c r="AZ3" s="9">
        <v>-2.17304E-2</v>
      </c>
      <c r="BA3" s="9">
        <v>-1.2465E-3</v>
      </c>
      <c r="BB3" s="9">
        <v>0.10099582</v>
      </c>
      <c r="BC3" s="9">
        <v>2.9826930000000001E-2</v>
      </c>
      <c r="BD3" s="9">
        <v>8.6757699999999993E-3</v>
      </c>
      <c r="BE3" s="9">
        <v>6.8557209999999993E-2</v>
      </c>
      <c r="BF3" s="9">
        <v>0.15691260000000001</v>
      </c>
      <c r="BG3" s="9">
        <v>0.15920372999999999</v>
      </c>
      <c r="BH3" s="9">
        <v>6.1121670000000003E-2</v>
      </c>
      <c r="BI3" s="9">
        <v>9.6912849999999995E-2</v>
      </c>
      <c r="BJ3" s="9">
        <v>-5.4746200000000002E-2</v>
      </c>
      <c r="BK3" s="9">
        <v>-8.7493000000000001E-2</v>
      </c>
      <c r="BL3" s="9">
        <v>9.4426750000000004E-2</v>
      </c>
      <c r="BM3" s="9">
        <v>-2.2191099999999998E-2</v>
      </c>
      <c r="BN3" s="9">
        <v>1.5628610000000001E-2</v>
      </c>
      <c r="BO3" s="9">
        <v>8.1418240000000003E-2</v>
      </c>
      <c r="BP3" s="9">
        <v>-1.8508899999999998E-2</v>
      </c>
      <c r="BQ3" s="9">
        <v>6.8729570000000004E-2</v>
      </c>
      <c r="BR3" s="9">
        <v>3.1023600000000002E-3</v>
      </c>
      <c r="BS3" s="9">
        <v>7.4964420000000004E-2</v>
      </c>
      <c r="BT3" s="9">
        <v>4.520159E-2</v>
      </c>
      <c r="BU3" s="9">
        <v>2.5677330000000002E-2</v>
      </c>
      <c r="BV3" s="9">
        <v>9.1804029999999995E-2</v>
      </c>
      <c r="BW3" s="9">
        <v>-2.6353999999999999E-2</v>
      </c>
      <c r="BX3" s="9">
        <v>1.9394829999999998E-2</v>
      </c>
      <c r="BY3" s="9">
        <v>-7.6838900000000002E-2</v>
      </c>
      <c r="BZ3" s="9">
        <v>0.11330931</v>
      </c>
      <c r="CA3" s="9">
        <v>-0.1073549</v>
      </c>
      <c r="CB3" s="9">
        <v>4.0844789999999999E-2</v>
      </c>
      <c r="CC3" s="9">
        <v>-1.9801699999999998E-2</v>
      </c>
      <c r="CD3" s="9">
        <v>0.18837709</v>
      </c>
      <c r="CE3" s="9">
        <v>5.5574909999999998E-2</v>
      </c>
      <c r="CF3" s="9">
        <v>7.4872069999999999E-2</v>
      </c>
      <c r="CG3" s="9">
        <v>0.10000019</v>
      </c>
      <c r="CH3" s="9">
        <v>0.13602172000000001</v>
      </c>
      <c r="CI3" s="9">
        <v>-9.3741000000000005E-2</v>
      </c>
      <c r="CJ3" s="9">
        <v>3.9306000000000002E-3</v>
      </c>
      <c r="CK3" s="9">
        <v>5.6507780000000001E-2</v>
      </c>
      <c r="CL3" s="9">
        <v>0.26354578000000001</v>
      </c>
      <c r="CM3" s="9">
        <v>-9.5554000000000004E-3</v>
      </c>
      <c r="CN3" s="9">
        <v>-3.1511900000000002E-2</v>
      </c>
      <c r="CO3" s="9">
        <v>-2.2619E-2</v>
      </c>
      <c r="CP3" s="9">
        <v>0.13265561000000001</v>
      </c>
      <c r="CQ3" s="9">
        <v>0.13307278</v>
      </c>
      <c r="CR3" s="9">
        <v>-1.49564E-2</v>
      </c>
      <c r="CS3" s="9">
        <v>-3.3419900000000002E-2</v>
      </c>
      <c r="CT3" s="9">
        <v>1.2281210000000001E-2</v>
      </c>
      <c r="CU3" s="9">
        <v>0.11681498</v>
      </c>
      <c r="CV3" s="9">
        <v>-3.1589000000000001E-3</v>
      </c>
      <c r="CW3" s="9">
        <v>3.8217760000000003E-2</v>
      </c>
      <c r="CX3" s="9">
        <v>0.13917409</v>
      </c>
      <c r="CY3" s="9">
        <v>-2.3712299999999999E-2</v>
      </c>
      <c r="CZ3" s="9">
        <v>0.21835291000000001</v>
      </c>
      <c r="DA3" s="9">
        <v>-5.7967400000000002E-2</v>
      </c>
      <c r="DB3" s="9">
        <v>-1.4104200000000001E-2</v>
      </c>
      <c r="DC3" s="9">
        <v>0.11395608</v>
      </c>
      <c r="DD3" s="9">
        <v>7.4472259999999998E-2</v>
      </c>
      <c r="DE3" s="9">
        <v>-8.9970000000000002E-4</v>
      </c>
      <c r="DF3" s="9">
        <v>9.7707000000000002E-4</v>
      </c>
      <c r="DG3" s="9">
        <v>-7.2980100000000006E-2</v>
      </c>
      <c r="DH3" s="9">
        <v>-2.38453E-2</v>
      </c>
      <c r="DI3" s="9">
        <v>-0.1015307</v>
      </c>
      <c r="DJ3" s="9">
        <v>2.7692540000000002E-2</v>
      </c>
      <c r="DK3" s="9">
        <v>-4.9335200000000003E-2</v>
      </c>
      <c r="DL3" s="9">
        <v>-5.6994000000000003E-3</v>
      </c>
      <c r="DM3" s="9">
        <v>-3.6981800000000002E-2</v>
      </c>
      <c r="DN3" s="9">
        <v>0.10981299</v>
      </c>
      <c r="DO3" s="9">
        <v>4.2036829999999997E-2</v>
      </c>
      <c r="DP3" s="9">
        <v>8.4566669999999997E-2</v>
      </c>
      <c r="DQ3" s="9">
        <v>-0.1102798</v>
      </c>
      <c r="DR3" s="9">
        <v>9.4328709999999996E-2</v>
      </c>
      <c r="DS3" s="9">
        <v>-7.1906899999999996E-2</v>
      </c>
      <c r="DT3" s="9">
        <v>-9.62364E-2</v>
      </c>
      <c r="DU3" s="9">
        <v>2.3455500000000001E-3</v>
      </c>
      <c r="DV3" s="9">
        <v>0.13401742</v>
      </c>
      <c r="DW3" s="9">
        <v>9.4732520000000001E-2</v>
      </c>
      <c r="DX3" s="9">
        <v>-0.1037732</v>
      </c>
      <c r="DY3" s="9">
        <v>7.576215E-2</v>
      </c>
      <c r="DZ3" s="9">
        <v>-3.1829700000000002E-2</v>
      </c>
      <c r="EA3" s="9">
        <v>0.16130802</v>
      </c>
      <c r="EB3" s="9">
        <v>1.0203530000000001E-2</v>
      </c>
      <c r="EC3" s="9">
        <v>7.3988429999999994E-2</v>
      </c>
      <c r="ED3" s="9">
        <v>-0.15737689999999999</v>
      </c>
      <c r="EE3" s="9">
        <v>7.9137550000000001E-2</v>
      </c>
      <c r="EF3" s="9">
        <v>7.2528549999999997E-2</v>
      </c>
      <c r="EG3" s="10">
        <f>CORREL([1]bm補值!EG$2:EG$972,[1]下個月月報酬補值!EG$2:EG$972)</f>
        <v>0.14231065676311483</v>
      </c>
    </row>
    <row r="4" spans="1:137" x14ac:dyDescent="0.3">
      <c r="B4" s="1" t="s">
        <v>137</v>
      </c>
      <c r="C4" s="9">
        <v>-0.24758869999999999</v>
      </c>
      <c r="D4" s="9">
        <v>-0.27469329999999997</v>
      </c>
      <c r="E4" s="9">
        <v>-8.4648399999999999E-2</v>
      </c>
      <c r="F4" s="9">
        <v>2.2644629999999999E-2</v>
      </c>
      <c r="G4" s="9">
        <v>-4.9680000000000002E-2</v>
      </c>
      <c r="H4" s="9">
        <v>-0.1007596</v>
      </c>
      <c r="I4" s="9">
        <v>-1.2522699999999999E-2</v>
      </c>
      <c r="J4" s="9">
        <v>7.8736539999999994E-2</v>
      </c>
      <c r="K4" s="9">
        <v>-3.4185100000000003E-2</v>
      </c>
      <c r="L4" s="9">
        <v>8.8406789999999999E-2</v>
      </c>
      <c r="M4" s="9">
        <v>-3.0634999999999998E-3</v>
      </c>
      <c r="N4" s="9">
        <v>-0.21221799999999999</v>
      </c>
      <c r="O4" s="9">
        <v>-3.6805400000000002E-2</v>
      </c>
      <c r="P4" s="9">
        <v>7.1033120000000005E-2</v>
      </c>
      <c r="Q4" s="9">
        <v>-7.1261099999999994E-2</v>
      </c>
      <c r="R4" s="9">
        <v>2.1560449999999998E-2</v>
      </c>
      <c r="S4" s="9">
        <v>0.10111125999999999</v>
      </c>
      <c r="T4" s="9">
        <v>4.3224730000000003E-2</v>
      </c>
      <c r="U4" s="9">
        <v>1.488195E-2</v>
      </c>
      <c r="V4" s="9">
        <v>6.3260199999999999E-3</v>
      </c>
      <c r="W4" s="9">
        <v>-0.14355299999999999</v>
      </c>
      <c r="X4" s="9">
        <v>-6.4282199999999998E-2</v>
      </c>
      <c r="Y4" s="9">
        <v>-1.9034200000000001E-2</v>
      </c>
      <c r="Z4" s="9">
        <v>-2.0644599999999999E-2</v>
      </c>
      <c r="AA4" s="9">
        <v>3.3059529999999997E-2</v>
      </c>
      <c r="AB4" s="9">
        <v>-1.94182E-2</v>
      </c>
      <c r="AC4" s="9">
        <v>-6.3126799999999997E-2</v>
      </c>
      <c r="AD4" s="9">
        <v>-6.5629699999999999E-2</v>
      </c>
      <c r="AE4" s="9">
        <v>0.13799568000000001</v>
      </c>
      <c r="AF4" s="9">
        <v>-0.1005679</v>
      </c>
      <c r="AG4" s="9">
        <v>-3.7969099999999999E-2</v>
      </c>
      <c r="AH4" s="9">
        <v>-4.5839499999999998E-2</v>
      </c>
      <c r="AI4" s="9">
        <v>-5.1034099999999999E-2</v>
      </c>
      <c r="AJ4" s="9">
        <v>-3.2204E-3</v>
      </c>
      <c r="AK4" s="9">
        <v>4.8952000000000002E-4</v>
      </c>
      <c r="AL4" s="9">
        <v>-0.10644670000000001</v>
      </c>
      <c r="AM4" s="9">
        <v>-1.3724E-2</v>
      </c>
      <c r="AN4" s="9">
        <v>-0.1219647</v>
      </c>
      <c r="AO4" s="9">
        <v>-4.85897E-2</v>
      </c>
      <c r="AP4" s="9">
        <v>-1.9032000000000001E-3</v>
      </c>
      <c r="AQ4" s="9">
        <v>2.9067490000000001E-2</v>
      </c>
      <c r="AR4" s="9">
        <v>5.2635769999999998E-2</v>
      </c>
      <c r="AS4" s="9">
        <v>-1.28933E-2</v>
      </c>
      <c r="AT4" s="9">
        <v>-2.1310999999999999E-3</v>
      </c>
      <c r="AU4" s="9">
        <v>-0.15538440000000001</v>
      </c>
      <c r="AV4" s="9">
        <v>1.268178E-2</v>
      </c>
      <c r="AW4" s="9">
        <v>-1.1942299999999999E-2</v>
      </c>
      <c r="AX4" s="9">
        <v>-4.2538000000000003E-3</v>
      </c>
      <c r="AY4" s="9">
        <v>2.930087E-2</v>
      </c>
      <c r="AZ4" s="9">
        <v>-0.13412750000000001</v>
      </c>
      <c r="BA4" s="9">
        <v>-0.1371115</v>
      </c>
      <c r="BB4" s="9">
        <v>1.7546599999999999E-3</v>
      </c>
      <c r="BC4" s="9">
        <v>2.511712E-2</v>
      </c>
      <c r="BD4" s="9">
        <v>-0.1196019</v>
      </c>
      <c r="BE4" s="9">
        <v>0.13576165000000001</v>
      </c>
      <c r="BF4" s="9">
        <v>4.7091170000000002E-2</v>
      </c>
      <c r="BG4" s="9">
        <v>-2.60501E-2</v>
      </c>
      <c r="BH4" s="9">
        <v>4.3752760000000002E-2</v>
      </c>
      <c r="BI4" s="9">
        <v>-8.13918E-2</v>
      </c>
      <c r="BJ4" s="9">
        <v>-0.1006008</v>
      </c>
      <c r="BK4" s="9">
        <v>9.0490070000000006E-2</v>
      </c>
      <c r="BL4" s="9">
        <v>-3.0898499999999999E-2</v>
      </c>
      <c r="BM4" s="9">
        <v>5.8814169999999999E-2</v>
      </c>
      <c r="BN4" s="9">
        <v>8.1345630000000002E-2</v>
      </c>
      <c r="BO4" s="9">
        <v>-7.7164E-3</v>
      </c>
      <c r="BP4" s="9">
        <v>0.10673487</v>
      </c>
      <c r="BQ4" s="9">
        <v>-2.7156300000000001E-2</v>
      </c>
      <c r="BR4" s="9">
        <v>-5.4431E-2</v>
      </c>
      <c r="BS4" s="9">
        <v>-6.8229300000000007E-2</v>
      </c>
      <c r="BT4" s="9">
        <v>9.861222E-2</v>
      </c>
      <c r="BU4" s="9">
        <v>0.12839854000000001</v>
      </c>
      <c r="BV4" s="9">
        <v>-7.84025E-2</v>
      </c>
      <c r="BW4" s="9">
        <v>-0.1191337</v>
      </c>
      <c r="BX4" s="9">
        <v>-4.6890099999999997E-2</v>
      </c>
      <c r="BY4" s="9">
        <v>0.10169835000000001</v>
      </c>
      <c r="BZ4" s="9">
        <v>-2.5680100000000001E-2</v>
      </c>
      <c r="CA4" s="9">
        <v>-8.3301799999999995E-2</v>
      </c>
      <c r="CB4" s="9">
        <v>-0.15782760000000001</v>
      </c>
      <c r="CC4" s="9">
        <v>-7.1052599999999994E-2</v>
      </c>
      <c r="CD4" s="9">
        <v>-7.3875499999999997E-2</v>
      </c>
      <c r="CE4" s="9">
        <v>-0.23678650000000001</v>
      </c>
      <c r="CF4" s="9">
        <v>3.2627709999999997E-2</v>
      </c>
      <c r="CG4" s="9">
        <v>1.342309E-2</v>
      </c>
      <c r="CH4" s="9">
        <v>-2.7967000000000001E-3</v>
      </c>
      <c r="CI4" s="9">
        <v>4.7925700000000002E-2</v>
      </c>
      <c r="CJ4" s="9">
        <v>-3.2520000000000001E-3</v>
      </c>
      <c r="CK4" s="9">
        <v>-7.5708200000000003E-2</v>
      </c>
      <c r="CL4" s="9">
        <v>-4.4397300000000001E-2</v>
      </c>
      <c r="CM4" s="9">
        <v>0.17898859</v>
      </c>
      <c r="CN4" s="9">
        <v>5.7994270000000001E-2</v>
      </c>
      <c r="CO4" s="9">
        <v>-0.13939019999999999</v>
      </c>
      <c r="CP4" s="9">
        <v>6.4714670000000002E-2</v>
      </c>
      <c r="CQ4" s="9">
        <v>-0.18118790000000001</v>
      </c>
      <c r="CR4" s="9">
        <v>-8.8633500000000004E-2</v>
      </c>
      <c r="CS4" s="9">
        <v>-2.5321799999999998E-2</v>
      </c>
      <c r="CT4" s="9">
        <v>-0.1130791</v>
      </c>
      <c r="CU4" s="9">
        <v>8.0959599999999993E-3</v>
      </c>
      <c r="CV4" s="9">
        <v>-4.5200200000000003E-2</v>
      </c>
      <c r="CW4" s="9">
        <v>-5.8941199999999999E-2</v>
      </c>
      <c r="CX4" s="9">
        <v>-0.1077283</v>
      </c>
      <c r="CY4" s="9">
        <v>-9.6503500000000006E-2</v>
      </c>
      <c r="CZ4" s="9">
        <v>-0.21035429999999999</v>
      </c>
      <c r="DA4" s="9">
        <v>-0.10996110000000001</v>
      </c>
      <c r="DB4" s="9">
        <v>-0.1908205</v>
      </c>
      <c r="DC4" s="9">
        <v>-2.0727300000000001E-2</v>
      </c>
      <c r="DD4" s="9">
        <v>8.7029090000000003E-2</v>
      </c>
      <c r="DE4" s="9">
        <v>8.2024589999999994E-2</v>
      </c>
      <c r="DF4" s="9">
        <v>-0.16687669999999999</v>
      </c>
      <c r="DG4" s="9">
        <v>0.22243809</v>
      </c>
      <c r="DH4" s="9">
        <v>-0.1442978</v>
      </c>
      <c r="DI4" s="9">
        <v>-0.1196199</v>
      </c>
      <c r="DJ4" s="9">
        <v>-0.1015928</v>
      </c>
      <c r="DK4" s="9">
        <v>9.2855060000000003E-2</v>
      </c>
      <c r="DL4" s="9">
        <v>-4.2630500000000002E-2</v>
      </c>
      <c r="DM4" s="9">
        <v>8.2732070000000005E-2</v>
      </c>
      <c r="DN4" s="9">
        <v>-3.1049500000000001E-2</v>
      </c>
      <c r="DO4" s="9">
        <v>-9.8141999999999993E-2</v>
      </c>
      <c r="DP4" s="9">
        <v>-0.13058890000000001</v>
      </c>
      <c r="DQ4" s="9">
        <v>4.865572E-2</v>
      </c>
      <c r="DR4" s="9">
        <v>-3.9251899999999999E-2</v>
      </c>
      <c r="DS4" s="9">
        <v>-0.16103020000000001</v>
      </c>
      <c r="DT4" s="9">
        <v>-7.8883999999999996E-2</v>
      </c>
      <c r="DU4" s="9">
        <v>0.16407715</v>
      </c>
      <c r="DV4" s="9">
        <v>7.5052599999999997E-3</v>
      </c>
      <c r="DW4" s="9">
        <v>-0.1016452</v>
      </c>
      <c r="DX4" s="9">
        <v>-5.6040300000000001E-2</v>
      </c>
      <c r="DY4" s="9">
        <v>-0.10665669999999999</v>
      </c>
      <c r="DZ4" s="9">
        <v>-6.9186600000000001E-2</v>
      </c>
      <c r="EA4" s="9">
        <v>-0.12618869999999999</v>
      </c>
      <c r="EB4" s="9">
        <v>-6.4737100000000006E-2</v>
      </c>
      <c r="EC4" s="9">
        <v>5.1426090000000001E-2</v>
      </c>
      <c r="ED4" s="9">
        <v>3.4496730000000003E-2</v>
      </c>
      <c r="EE4" s="9">
        <v>0.1576776</v>
      </c>
      <c r="EF4" s="9">
        <v>-0.12717999999999999</v>
      </c>
      <c r="EG4" s="10">
        <f>CORREL([2]size補值!EG$2:EG$965,[2]下個月月報酬補值!EG$2:EG$965)</f>
        <v>-0.15895948868776608</v>
      </c>
    </row>
    <row r="5" spans="1:137" x14ac:dyDescent="0.3">
      <c r="B5" s="1" t="s">
        <v>138</v>
      </c>
      <c r="C5" s="9">
        <v>-5.4239999999999997E-2</v>
      </c>
      <c r="D5" s="9">
        <v>4.5377000000000001E-2</v>
      </c>
      <c r="E5" s="9">
        <v>-1.7749999999999998E-2</v>
      </c>
      <c r="F5" s="9">
        <v>-8.7690000000000004E-2</v>
      </c>
      <c r="G5" s="9">
        <v>0.102759</v>
      </c>
      <c r="H5" s="9">
        <v>2.5110000000000002E-3</v>
      </c>
      <c r="I5" s="9">
        <v>-1.83E-2</v>
      </c>
      <c r="J5" s="9">
        <v>2.2110999999999999E-2</v>
      </c>
      <c r="K5" s="9">
        <v>7.7257999999999993E-2</v>
      </c>
      <c r="L5" s="9">
        <v>9.3439999999999999E-3</v>
      </c>
      <c r="M5" s="9">
        <v>5.3601999999999997E-2</v>
      </c>
      <c r="N5" s="9">
        <v>-6.7879999999999996E-2</v>
      </c>
      <c r="O5" s="9">
        <v>6.4930000000000002E-2</v>
      </c>
      <c r="P5" s="9">
        <v>4.8809999999999999E-3</v>
      </c>
      <c r="Q5" s="9">
        <v>1.9198E-2</v>
      </c>
      <c r="R5" s="9">
        <v>-5.47E-3</v>
      </c>
      <c r="S5" s="9">
        <v>3.6551E-2</v>
      </c>
      <c r="T5" s="9">
        <v>0.12918499999999999</v>
      </c>
      <c r="U5" s="9">
        <v>1.3691999999999999E-2</v>
      </c>
      <c r="V5" s="9">
        <v>1.5295E-2</v>
      </c>
      <c r="W5" s="9">
        <v>-0.10469000000000001</v>
      </c>
      <c r="X5" s="9">
        <v>-0.29385</v>
      </c>
      <c r="Y5" s="9">
        <v>5.9212000000000001E-2</v>
      </c>
      <c r="Z5" s="9">
        <v>-0.18495</v>
      </c>
      <c r="AA5" s="9">
        <v>9.8247000000000001E-2</v>
      </c>
      <c r="AB5" s="9">
        <v>-6.6E-4</v>
      </c>
      <c r="AC5" s="9">
        <v>-0.10369</v>
      </c>
      <c r="AD5" s="9">
        <v>3.545E-3</v>
      </c>
      <c r="AE5" s="9">
        <v>0.17560100000000001</v>
      </c>
      <c r="AF5" s="9">
        <v>-0.15503</v>
      </c>
      <c r="AG5" s="9">
        <v>-2.6329999999999999E-2</v>
      </c>
      <c r="AH5" s="9">
        <v>-5.0000000000000001E-3</v>
      </c>
      <c r="AI5" s="9">
        <v>2.8067999999999999E-2</v>
      </c>
      <c r="AJ5" s="9">
        <v>-2.2380000000000001E-2</v>
      </c>
      <c r="AK5" s="9">
        <v>-4.7019999999999999E-2</v>
      </c>
      <c r="AL5" s="9">
        <v>-0.10156</v>
      </c>
      <c r="AM5" s="9">
        <v>2.3525000000000001E-2</v>
      </c>
      <c r="AN5" s="9">
        <v>5.2525000000000002E-2</v>
      </c>
      <c r="AO5" s="9">
        <v>5.8502999999999999E-2</v>
      </c>
      <c r="AP5" s="9">
        <v>3.3446999999999998E-2</v>
      </c>
      <c r="AQ5" s="9">
        <v>1.43E-2</v>
      </c>
      <c r="AR5" s="9">
        <v>3.5903999999999998E-2</v>
      </c>
      <c r="AS5" s="9">
        <v>3.9781999999999998E-2</v>
      </c>
      <c r="AT5" s="9">
        <v>0.148456</v>
      </c>
      <c r="AU5" s="9">
        <v>-4.079E-2</v>
      </c>
      <c r="AV5" s="9">
        <v>0.138959</v>
      </c>
      <c r="AW5" s="9">
        <v>5.9863E-2</v>
      </c>
      <c r="AX5" s="9">
        <v>-0.14979000000000001</v>
      </c>
      <c r="AY5" s="9">
        <v>6.1595999999999998E-2</v>
      </c>
      <c r="AZ5" s="9">
        <v>-6.1949999999999998E-2</v>
      </c>
      <c r="BA5" s="9">
        <v>-2.3900000000000002E-3</v>
      </c>
      <c r="BB5" s="9">
        <v>-0.14887</v>
      </c>
      <c r="BC5" s="9">
        <v>6.0351000000000002E-2</v>
      </c>
      <c r="BD5" s="9">
        <v>-1.469E-2</v>
      </c>
      <c r="BE5" s="9">
        <v>-0.14652000000000001</v>
      </c>
      <c r="BF5" s="9">
        <v>-0.20876</v>
      </c>
      <c r="BG5" s="9">
        <v>-0.20144000000000001</v>
      </c>
      <c r="BH5" s="9">
        <v>-0.11805</v>
      </c>
      <c r="BI5" s="9">
        <v>-7.7030000000000001E-2</v>
      </c>
      <c r="BJ5" s="9">
        <v>-3.6220000000000002E-2</v>
      </c>
      <c r="BK5" s="9">
        <v>-1.891E-2</v>
      </c>
      <c r="BL5" s="9">
        <v>-0.17126</v>
      </c>
      <c r="BM5" s="9">
        <v>0.13291700000000001</v>
      </c>
      <c r="BN5" s="9">
        <v>-3.5909999999999997E-2</v>
      </c>
      <c r="BO5" s="9">
        <v>2.1344999999999999E-2</v>
      </c>
      <c r="BP5" s="9">
        <v>4.9634999999999999E-2</v>
      </c>
      <c r="BQ5" s="9">
        <v>-1.721E-2</v>
      </c>
      <c r="BR5" s="9">
        <v>0.189827</v>
      </c>
      <c r="BS5" s="9">
        <v>-9.7610000000000002E-2</v>
      </c>
      <c r="BT5" s="9">
        <v>3.7830999999999997E-2</v>
      </c>
      <c r="BU5" s="9">
        <v>5.6008000000000002E-2</v>
      </c>
      <c r="BV5" s="9">
        <v>-0.11674</v>
      </c>
      <c r="BW5" s="9">
        <v>-0.14132</v>
      </c>
      <c r="BX5" s="9">
        <v>-3.3800000000000002E-3</v>
      </c>
      <c r="BY5" s="9">
        <v>0.13033600000000001</v>
      </c>
      <c r="BZ5" s="9">
        <v>3.1697999999999997E-2</v>
      </c>
      <c r="CA5" s="9">
        <v>4.0555000000000001E-2</v>
      </c>
      <c r="CB5" s="9">
        <v>-4.2040000000000001E-2</v>
      </c>
      <c r="CC5" s="9">
        <v>5.0014000000000003E-2</v>
      </c>
      <c r="CD5" s="9">
        <v>-6.8459999999999993E-2</v>
      </c>
      <c r="CE5" s="9">
        <v>-8.0829999999999999E-2</v>
      </c>
      <c r="CF5" s="9">
        <v>-1.9499999999999999E-3</v>
      </c>
      <c r="CG5" s="9">
        <v>-0.11821</v>
      </c>
      <c r="CH5" s="9">
        <v>-3.6720000000000003E-2</v>
      </c>
      <c r="CI5" s="9">
        <v>-8.3330000000000001E-2</v>
      </c>
      <c r="CJ5" s="9">
        <v>0.23067299999999999</v>
      </c>
      <c r="CK5" s="9">
        <v>0.13277900000000001</v>
      </c>
      <c r="CL5" s="9">
        <v>0.141287</v>
      </c>
      <c r="CM5" s="9">
        <v>-0.11269</v>
      </c>
      <c r="CN5" s="9">
        <v>0.22348899999999999</v>
      </c>
      <c r="CO5" s="9">
        <v>-0.10442</v>
      </c>
      <c r="CP5" s="9">
        <v>-1.443E-2</v>
      </c>
      <c r="CQ5" s="9">
        <v>-0.20723</v>
      </c>
      <c r="CR5" s="9">
        <v>-0.13486000000000001</v>
      </c>
      <c r="CS5" s="9">
        <v>7.3008000000000003E-2</v>
      </c>
      <c r="CT5" s="9">
        <v>-3.022E-2</v>
      </c>
      <c r="CU5" s="9">
        <v>-0.28688999999999998</v>
      </c>
      <c r="CV5" s="9">
        <v>0.23073099999999999</v>
      </c>
      <c r="CW5" s="9">
        <v>9.1076000000000004E-2</v>
      </c>
      <c r="CX5" s="9">
        <v>-0.12249</v>
      </c>
      <c r="CY5" s="9">
        <v>7.8381999999999993E-2</v>
      </c>
      <c r="CZ5" s="9">
        <v>-4.5949999999999998E-2</v>
      </c>
      <c r="DA5" s="9">
        <v>8.2669999999999993E-2</v>
      </c>
      <c r="DB5" s="9">
        <v>0.14934900000000001</v>
      </c>
      <c r="DC5" s="9">
        <v>-4.7800000000000002E-2</v>
      </c>
      <c r="DD5" s="9">
        <v>-0.16450999999999999</v>
      </c>
      <c r="DE5" s="9">
        <v>-0.11057</v>
      </c>
      <c r="DF5" s="9">
        <v>5.7417000000000003E-2</v>
      </c>
      <c r="DG5" s="9">
        <v>-0.21489</v>
      </c>
      <c r="DH5" s="9">
        <v>6.2996999999999997E-2</v>
      </c>
      <c r="DI5" s="9">
        <v>6.7721000000000003E-2</v>
      </c>
      <c r="DJ5" s="9">
        <v>0.118802</v>
      </c>
      <c r="DK5" s="9">
        <v>7.2830000000000004E-3</v>
      </c>
      <c r="DL5" s="9">
        <v>7.1320999999999996E-2</v>
      </c>
      <c r="DM5" s="9">
        <v>2.1021999999999999E-2</v>
      </c>
      <c r="DN5" s="9">
        <v>-3.04E-2</v>
      </c>
      <c r="DO5" s="9">
        <v>-9.6949999999999995E-2</v>
      </c>
      <c r="DP5" s="9">
        <v>-0.23068</v>
      </c>
      <c r="DQ5" s="9">
        <v>0.23818400000000001</v>
      </c>
      <c r="DR5" s="9">
        <v>3.5750000000000001E-3</v>
      </c>
      <c r="DS5" s="9">
        <v>0.13395599999999999</v>
      </c>
      <c r="DT5" s="9">
        <v>0.115106</v>
      </c>
      <c r="DU5" s="9">
        <v>0.10408000000000001</v>
      </c>
      <c r="DV5" s="9">
        <v>-5.4609999999999999E-2</v>
      </c>
      <c r="DW5" s="9">
        <v>-3.329E-2</v>
      </c>
      <c r="DX5" s="9">
        <v>5.5094999999999998E-2</v>
      </c>
      <c r="DY5" s="9">
        <v>6.8793999999999994E-2</v>
      </c>
      <c r="DZ5" s="9">
        <v>1.4481000000000001E-2</v>
      </c>
      <c r="EA5" s="9">
        <v>-0.29314000000000001</v>
      </c>
      <c r="EB5" s="9">
        <v>-0.14097999999999999</v>
      </c>
      <c r="EC5" s="9">
        <v>-1.221E-2</v>
      </c>
      <c r="ED5" s="9">
        <v>5.8167999999999997E-2</v>
      </c>
      <c r="EE5" s="9">
        <v>-0.1444</v>
      </c>
      <c r="EF5" s="9">
        <v>-9.7009999999999999E-2</v>
      </c>
      <c r="EG5" s="10"/>
    </row>
    <row r="6" spans="1:137" x14ac:dyDescent="0.3">
      <c r="A6" s="22" t="s">
        <v>139</v>
      </c>
      <c r="B6" s="23"/>
      <c r="C6" s="11">
        <f t="array" ref="C6">MATCH(MAX(ABS(C3:C5)), ABS(C3:C5), 0)</f>
        <v>2</v>
      </c>
      <c r="D6" s="11">
        <f t="array" ref="D6">MATCH(MAX(ABS(D3:D5)), ABS(D3:D5), 0)</f>
        <v>2</v>
      </c>
      <c r="E6" s="11">
        <f t="array" ref="E6">MATCH(MAX(ABS(E3:E5)), ABS(E3:E5), 0)</f>
        <v>2</v>
      </c>
      <c r="F6" s="11">
        <f t="array" ref="F6">MATCH(MAX(ABS(F3:F5)), ABS(F3:F5), 0)</f>
        <v>3</v>
      </c>
      <c r="G6" s="11">
        <f t="array" ref="G6">MATCH(MAX(ABS(G3:G5)), ABS(G3:G5), 0)</f>
        <v>3</v>
      </c>
      <c r="H6" s="11">
        <f t="array" ref="H6">MATCH(MAX(ABS(H3:H5)), ABS(H3:H5), 0)</f>
        <v>2</v>
      </c>
      <c r="I6" s="11">
        <f t="array" ref="I6">MATCH(MAX(ABS(I3:I5)), ABS(I3:I5), 0)</f>
        <v>1</v>
      </c>
      <c r="J6" s="11">
        <f t="array" ref="J6">MATCH(MAX(ABS(J3:J5)), ABS(J3:J5), 0)</f>
        <v>1</v>
      </c>
      <c r="K6" s="11">
        <f t="array" ref="K6">MATCH(MAX(ABS(K3:K5)), ABS(K3:K5), 0)</f>
        <v>3</v>
      </c>
      <c r="L6" s="11">
        <f t="array" ref="L6">MATCH(MAX(ABS(L3:L5)), ABS(L3:L5), 0)</f>
        <v>2</v>
      </c>
      <c r="M6" s="11">
        <f t="array" ref="M6">MATCH(MAX(ABS(M3:M5)), ABS(M3:M5), 0)</f>
        <v>3</v>
      </c>
      <c r="N6" s="11">
        <f t="array" ref="N6">MATCH(MAX(ABS(N3:N5)), ABS(N3:N5), 0)</f>
        <v>2</v>
      </c>
      <c r="O6" s="11">
        <f t="array" ref="O6">MATCH(MAX(ABS(O3:O5)), ABS(O3:O5), 0)</f>
        <v>3</v>
      </c>
      <c r="P6" s="11">
        <f t="array" ref="P6">MATCH(MAX(ABS(P3:P5)), ABS(P3:P5), 0)</f>
        <v>1</v>
      </c>
      <c r="Q6" s="11">
        <f t="array" ref="Q6">MATCH(MAX(ABS(Q3:Q5)), ABS(Q3:Q5), 0)</f>
        <v>1</v>
      </c>
      <c r="R6" s="11">
        <f t="array" ref="R6">MATCH(MAX(ABS(R3:R5)), ABS(R3:R5), 0)</f>
        <v>1</v>
      </c>
      <c r="S6" s="11">
        <f t="array" ref="S6">MATCH(MAX(ABS(S3:S5)), ABS(S3:S5), 0)</f>
        <v>1</v>
      </c>
      <c r="T6" s="11">
        <f t="array" ref="T6">MATCH(MAX(ABS(T3:T5)), ABS(T3:T5), 0)</f>
        <v>3</v>
      </c>
      <c r="U6" s="11">
        <f t="array" ref="U6">MATCH(MAX(ABS(U3:U5)), ABS(U3:U5), 0)</f>
        <v>1</v>
      </c>
      <c r="V6" s="11">
        <f t="array" ref="V6">MATCH(MAX(ABS(V3:V5)), ABS(V3:V5), 0)</f>
        <v>1</v>
      </c>
      <c r="W6" s="11">
        <f t="array" ref="W6">MATCH(MAX(ABS(W3:W5)), ABS(W3:W5), 0)</f>
        <v>2</v>
      </c>
      <c r="X6" s="11">
        <f t="array" ref="X6">MATCH(MAX(ABS(X3:X5)), ABS(X3:X5), 0)</f>
        <v>3</v>
      </c>
      <c r="Y6" s="11">
        <f t="array" ref="Y6">MATCH(MAX(ABS(Y3:Y5)), ABS(Y3:Y5), 0)</f>
        <v>1</v>
      </c>
      <c r="Z6" s="11">
        <f t="array" ref="Z6">MATCH(MAX(ABS(Z3:Z5)), ABS(Z3:Z5), 0)</f>
        <v>1</v>
      </c>
      <c r="AA6" s="11">
        <f t="array" ref="AA6">MATCH(MAX(ABS(AA3:AA5)), ABS(AA3:AA5), 0)</f>
        <v>3</v>
      </c>
      <c r="AB6" s="11">
        <f t="array" ref="AB6">MATCH(MAX(ABS(AB3:AB5)), ABS(AB3:AB5), 0)</f>
        <v>1</v>
      </c>
      <c r="AC6" s="11">
        <f t="array" ref="AC6">MATCH(MAX(ABS(AC3:AC5)), ABS(AC3:AC5), 0)</f>
        <v>3</v>
      </c>
      <c r="AD6" s="11">
        <f t="array" ref="AD6">MATCH(MAX(ABS(AD3:AD5)), ABS(AD3:AD5), 0)</f>
        <v>2</v>
      </c>
      <c r="AE6" s="11">
        <f t="array" ref="AE6">MATCH(MAX(ABS(AE3:AE5)), ABS(AE3:AE5), 0)</f>
        <v>3</v>
      </c>
      <c r="AF6" s="11">
        <f t="array" ref="AF6">MATCH(MAX(ABS(AF3:AF5)), ABS(AF3:AF5), 0)</f>
        <v>3</v>
      </c>
      <c r="AG6" s="11">
        <f t="array" ref="AG6">MATCH(MAX(ABS(AG3:AG5)), ABS(AG3:AG5), 0)</f>
        <v>1</v>
      </c>
      <c r="AH6" s="11">
        <f t="array" ref="AH6">MATCH(MAX(ABS(AH3:AH5)), ABS(AH3:AH5), 0)</f>
        <v>1</v>
      </c>
      <c r="AI6" s="11">
        <f t="array" ref="AI6">MATCH(MAX(ABS(AI3:AI5)), ABS(AI3:AI5), 0)</f>
        <v>2</v>
      </c>
      <c r="AJ6" s="11">
        <f t="array" ref="AJ6">MATCH(MAX(ABS(AJ3:AJ5)), ABS(AJ3:AJ5), 0)</f>
        <v>1</v>
      </c>
      <c r="AK6" s="11">
        <f t="array" ref="AK6">MATCH(MAX(ABS(AK3:AK5)), ABS(AK3:AK5), 0)</f>
        <v>1</v>
      </c>
      <c r="AL6" s="11">
        <f t="array" ref="AL6">MATCH(MAX(ABS(AL3:AL5)), ABS(AL3:AL5), 0)</f>
        <v>2</v>
      </c>
      <c r="AM6" s="11">
        <f t="array" ref="AM6">MATCH(MAX(ABS(AM3:AM5)), ABS(AM3:AM5), 0)</f>
        <v>1</v>
      </c>
      <c r="AN6" s="11">
        <f t="array" ref="AN6">MATCH(MAX(ABS(AN3:AN5)), ABS(AN3:AN5), 0)</f>
        <v>1</v>
      </c>
      <c r="AO6" s="11">
        <f t="array" ref="AO6">MATCH(MAX(ABS(AO3:AO5)), ABS(AO3:AO5), 0)</f>
        <v>3</v>
      </c>
      <c r="AP6" s="11">
        <f t="array" ref="AP6">MATCH(MAX(ABS(AP3:AP5)), ABS(AP3:AP5), 0)</f>
        <v>1</v>
      </c>
      <c r="AQ6" s="11">
        <f t="array" ref="AQ6">MATCH(MAX(ABS(AQ3:AQ5)), ABS(AQ3:AQ5), 0)</f>
        <v>2</v>
      </c>
      <c r="AR6" s="11">
        <f t="array" ref="AR6">MATCH(MAX(ABS(AR3:AR5)), ABS(AR3:AR5), 0)</f>
        <v>2</v>
      </c>
      <c r="AS6" s="11">
        <f t="array" ref="AS6">MATCH(MAX(ABS(AS3:AS5)), ABS(AS3:AS5), 0)</f>
        <v>3</v>
      </c>
      <c r="AT6" s="11">
        <f t="array" ref="AT6">MATCH(MAX(ABS(AT3:AT5)), ABS(AT3:AT5), 0)</f>
        <v>3</v>
      </c>
      <c r="AU6" s="11">
        <f t="array" ref="AU6">MATCH(MAX(ABS(AU3:AU5)), ABS(AU3:AU5), 0)</f>
        <v>2</v>
      </c>
      <c r="AV6" s="11">
        <f t="array" ref="AV6">MATCH(MAX(ABS(AV3:AV5)), ABS(AV3:AV5), 0)</f>
        <v>3</v>
      </c>
      <c r="AW6" s="11">
        <f t="array" ref="AW6">MATCH(MAX(ABS(AW3:AW5)), ABS(AW3:AW5), 0)</f>
        <v>3</v>
      </c>
      <c r="AX6" s="11">
        <f t="array" ref="AX6">MATCH(MAX(ABS(AX3:AX5)), ABS(AX3:AX5), 0)</f>
        <v>3</v>
      </c>
      <c r="AY6" s="11">
        <f t="array" ref="AY6">MATCH(MAX(ABS(AY3:AY5)), ABS(AY3:AY5), 0)</f>
        <v>1</v>
      </c>
      <c r="AZ6" s="11">
        <f t="array" ref="AZ6">MATCH(MAX(ABS(AZ3:AZ5)), ABS(AZ3:AZ5), 0)</f>
        <v>2</v>
      </c>
      <c r="BA6" s="11">
        <f t="array" ref="BA6">MATCH(MAX(ABS(BA3:BA5)), ABS(BA3:BA5), 0)</f>
        <v>2</v>
      </c>
      <c r="BB6" s="11">
        <f t="array" ref="BB6">MATCH(MAX(ABS(BB3:BB5)), ABS(BB3:BB5), 0)</f>
        <v>3</v>
      </c>
      <c r="BC6" s="11">
        <f t="array" ref="BC6">MATCH(MAX(ABS(BC3:BC5)), ABS(BC3:BC5), 0)</f>
        <v>3</v>
      </c>
      <c r="BD6" s="11">
        <f t="array" ref="BD6">MATCH(MAX(ABS(BD3:BD5)), ABS(BD3:BD5), 0)</f>
        <v>2</v>
      </c>
      <c r="BE6" s="11">
        <f t="array" ref="BE6">MATCH(MAX(ABS(BE3:BE5)), ABS(BE3:BE5), 0)</f>
        <v>3</v>
      </c>
      <c r="BF6" s="11">
        <f t="array" ref="BF6">MATCH(MAX(ABS(BF3:BF5)), ABS(BF3:BF5), 0)</f>
        <v>3</v>
      </c>
      <c r="BG6" s="11">
        <f t="array" ref="BG6">MATCH(MAX(ABS(BG3:BG5)), ABS(BG3:BG5), 0)</f>
        <v>3</v>
      </c>
      <c r="BH6" s="11">
        <f t="array" ref="BH6">MATCH(MAX(ABS(BH3:BH5)), ABS(BH3:BH5), 0)</f>
        <v>3</v>
      </c>
      <c r="BI6" s="11">
        <f t="array" ref="BI6">MATCH(MAX(ABS(BI3:BI5)), ABS(BI3:BI5), 0)</f>
        <v>1</v>
      </c>
      <c r="BJ6" s="11">
        <f t="array" ref="BJ6">MATCH(MAX(ABS(BJ3:BJ5)), ABS(BJ3:BJ5), 0)</f>
        <v>2</v>
      </c>
      <c r="BK6" s="11">
        <f t="array" ref="BK6">MATCH(MAX(ABS(BK3:BK5)), ABS(BK3:BK5), 0)</f>
        <v>2</v>
      </c>
      <c r="BL6" s="11">
        <f t="array" ref="BL6">MATCH(MAX(ABS(BL3:BL5)), ABS(BL3:BL5), 0)</f>
        <v>3</v>
      </c>
      <c r="BM6" s="11">
        <f t="array" ref="BM6">MATCH(MAX(ABS(BM3:BM5)), ABS(BM3:BM5), 0)</f>
        <v>3</v>
      </c>
      <c r="BN6" s="11">
        <f t="array" ref="BN6">MATCH(MAX(ABS(BN3:BN5)), ABS(BN3:BN5), 0)</f>
        <v>2</v>
      </c>
      <c r="BO6" s="11">
        <f t="array" ref="BO6">MATCH(MAX(ABS(BO3:BO5)), ABS(BO3:BO5), 0)</f>
        <v>1</v>
      </c>
      <c r="BP6" s="11">
        <f t="array" ref="BP6">MATCH(MAX(ABS(BP3:BP5)), ABS(BP3:BP5), 0)</f>
        <v>2</v>
      </c>
      <c r="BQ6" s="11">
        <f t="array" ref="BQ6">MATCH(MAX(ABS(BQ3:BQ5)), ABS(BQ3:BQ5), 0)</f>
        <v>1</v>
      </c>
      <c r="BR6" s="11">
        <f t="array" ref="BR6">MATCH(MAX(ABS(BR3:BR5)), ABS(BR3:BR5), 0)</f>
        <v>3</v>
      </c>
      <c r="BS6" s="11">
        <f t="array" ref="BS6">MATCH(MAX(ABS(BS3:BS5)), ABS(BS3:BS5), 0)</f>
        <v>3</v>
      </c>
      <c r="BT6" s="11">
        <f t="array" ref="BT6">MATCH(MAX(ABS(BT3:BT5)), ABS(BT3:BT5), 0)</f>
        <v>2</v>
      </c>
      <c r="BU6" s="11">
        <f t="array" ref="BU6">MATCH(MAX(ABS(BU3:BU5)), ABS(BU3:BU5), 0)</f>
        <v>2</v>
      </c>
      <c r="BV6" s="11">
        <f t="array" ref="BV6">MATCH(MAX(ABS(BV3:BV5)), ABS(BV3:BV5), 0)</f>
        <v>3</v>
      </c>
      <c r="BW6" s="11">
        <f t="array" ref="BW6">MATCH(MAX(ABS(BW3:BW5)), ABS(BW3:BW5), 0)</f>
        <v>3</v>
      </c>
      <c r="BX6" s="11">
        <f t="array" ref="BX6">MATCH(MAX(ABS(BX3:BX5)), ABS(BX3:BX5), 0)</f>
        <v>2</v>
      </c>
      <c r="BY6" s="11">
        <f t="array" ref="BY6">MATCH(MAX(ABS(BY3:BY5)), ABS(BY3:BY5), 0)</f>
        <v>3</v>
      </c>
      <c r="BZ6" s="11">
        <f t="array" ref="BZ6">MATCH(MAX(ABS(BZ3:BZ5)), ABS(BZ3:BZ5), 0)</f>
        <v>1</v>
      </c>
      <c r="CA6" s="11">
        <f t="array" ref="CA6">MATCH(MAX(ABS(CA3:CA5)), ABS(CA3:CA5), 0)</f>
        <v>1</v>
      </c>
      <c r="CB6" s="11">
        <f t="array" ref="CB6">MATCH(MAX(ABS(CB3:CB5)), ABS(CB3:CB5), 0)</f>
        <v>2</v>
      </c>
      <c r="CC6" s="11">
        <f t="array" ref="CC6">MATCH(MAX(ABS(CC3:CC5)), ABS(CC3:CC5), 0)</f>
        <v>2</v>
      </c>
      <c r="CD6" s="11">
        <f t="array" ref="CD6">MATCH(MAX(ABS(CD3:CD5)), ABS(CD3:CD5), 0)</f>
        <v>1</v>
      </c>
      <c r="CE6" s="11">
        <f t="array" ref="CE6">MATCH(MAX(ABS(CE3:CE5)), ABS(CE3:CE5), 0)</f>
        <v>2</v>
      </c>
      <c r="CF6" s="11">
        <f t="array" ref="CF6">MATCH(MAX(ABS(CF3:CF5)), ABS(CF3:CF5), 0)</f>
        <v>1</v>
      </c>
      <c r="CG6" s="11">
        <f t="array" ref="CG6">MATCH(MAX(ABS(CG3:CG5)), ABS(CG3:CG5), 0)</f>
        <v>3</v>
      </c>
      <c r="CH6" s="11">
        <f t="array" ref="CH6">MATCH(MAX(ABS(CH3:CH5)), ABS(CH3:CH5), 0)</f>
        <v>1</v>
      </c>
      <c r="CI6" s="11">
        <f t="array" ref="CI6">MATCH(MAX(ABS(CI3:CI5)), ABS(CI3:CI5), 0)</f>
        <v>1</v>
      </c>
      <c r="CJ6" s="11">
        <f t="array" ref="CJ6">MATCH(MAX(ABS(CJ3:CJ5)), ABS(CJ3:CJ5), 0)</f>
        <v>3</v>
      </c>
      <c r="CK6" s="11">
        <f t="array" ref="CK6">MATCH(MAX(ABS(CK3:CK5)), ABS(CK3:CK5), 0)</f>
        <v>3</v>
      </c>
      <c r="CL6" s="11">
        <f t="array" ref="CL6">MATCH(MAX(ABS(CL3:CL5)), ABS(CL3:CL5), 0)</f>
        <v>1</v>
      </c>
      <c r="CM6" s="11">
        <f t="array" ref="CM6">MATCH(MAX(ABS(CM3:CM5)), ABS(CM3:CM5), 0)</f>
        <v>2</v>
      </c>
      <c r="CN6" s="11">
        <f t="array" ref="CN6">MATCH(MAX(ABS(CN3:CN5)), ABS(CN3:CN5), 0)</f>
        <v>3</v>
      </c>
      <c r="CO6" s="11">
        <f t="array" ref="CO6">MATCH(MAX(ABS(CO3:CO5)), ABS(CO3:CO5), 0)</f>
        <v>2</v>
      </c>
      <c r="CP6" s="11">
        <f t="array" ref="CP6">MATCH(MAX(ABS(CP3:CP5)), ABS(CP3:CP5), 0)</f>
        <v>1</v>
      </c>
      <c r="CQ6" s="11">
        <f t="array" ref="CQ6">MATCH(MAX(ABS(CQ3:CQ5)), ABS(CQ3:CQ5), 0)</f>
        <v>3</v>
      </c>
      <c r="CR6" s="11">
        <f t="array" ref="CR6">MATCH(MAX(ABS(CR3:CR5)), ABS(CR3:CR5), 0)</f>
        <v>3</v>
      </c>
      <c r="CS6" s="11">
        <f t="array" ref="CS6">MATCH(MAX(ABS(CS3:CS5)), ABS(CS3:CS5), 0)</f>
        <v>3</v>
      </c>
      <c r="CT6" s="11">
        <f t="array" ref="CT6">MATCH(MAX(ABS(CT3:CT5)), ABS(CT3:CT5), 0)</f>
        <v>2</v>
      </c>
      <c r="CU6" s="11">
        <f t="array" ref="CU6">MATCH(MAX(ABS(CU3:CU5)), ABS(CU3:CU5), 0)</f>
        <v>3</v>
      </c>
      <c r="CV6" s="11">
        <f t="array" ref="CV6">MATCH(MAX(ABS(CV3:CV5)), ABS(CV3:CV5), 0)</f>
        <v>3</v>
      </c>
      <c r="CW6" s="11">
        <f t="array" ref="CW6">MATCH(MAX(ABS(CW3:CW5)), ABS(CW3:CW5), 0)</f>
        <v>3</v>
      </c>
      <c r="CX6" s="11">
        <f t="array" ref="CX6">MATCH(MAX(ABS(CX3:CX5)), ABS(CX3:CX5), 0)</f>
        <v>1</v>
      </c>
      <c r="CY6" s="11">
        <f t="array" ref="CY6">MATCH(MAX(ABS(CY3:CY5)), ABS(CY3:CY5), 0)</f>
        <v>2</v>
      </c>
      <c r="CZ6" s="11">
        <f t="array" ref="CZ6">MATCH(MAX(ABS(CZ3:CZ5)), ABS(CZ3:CZ5), 0)</f>
        <v>1</v>
      </c>
      <c r="DA6" s="11">
        <f t="array" ref="DA6">MATCH(MAX(ABS(DA3:DA5)), ABS(DA3:DA5), 0)</f>
        <v>2</v>
      </c>
      <c r="DB6" s="11">
        <f t="array" ref="DB6">MATCH(MAX(ABS(DB3:DB5)), ABS(DB3:DB5), 0)</f>
        <v>2</v>
      </c>
      <c r="DC6" s="11">
        <f t="array" ref="DC6">MATCH(MAX(ABS(DC3:DC5)), ABS(DC3:DC5), 0)</f>
        <v>1</v>
      </c>
      <c r="DD6" s="11">
        <f t="array" ref="DD6">MATCH(MAX(ABS(DD3:DD5)), ABS(DD3:DD5), 0)</f>
        <v>3</v>
      </c>
      <c r="DE6" s="11">
        <f t="array" ref="DE6">MATCH(MAX(ABS(DE3:DE5)), ABS(DE3:DE5), 0)</f>
        <v>3</v>
      </c>
      <c r="DF6" s="11">
        <f t="array" ref="DF6">MATCH(MAX(ABS(DF3:DF5)), ABS(DF3:DF5), 0)</f>
        <v>2</v>
      </c>
      <c r="DG6" s="11">
        <f t="array" ref="DG6">MATCH(MAX(ABS(DG3:DG5)), ABS(DG3:DG5), 0)</f>
        <v>2</v>
      </c>
      <c r="DH6" s="11">
        <f t="array" ref="DH6">MATCH(MAX(ABS(DH3:DH5)), ABS(DH3:DH5), 0)</f>
        <v>2</v>
      </c>
      <c r="DI6" s="11">
        <f t="array" ref="DI6">MATCH(MAX(ABS(DI3:DI5)), ABS(DI3:DI5), 0)</f>
        <v>2</v>
      </c>
      <c r="DJ6" s="11">
        <f t="array" ref="DJ6">MATCH(MAX(ABS(DJ3:DJ5)), ABS(DJ3:DJ5), 0)</f>
        <v>3</v>
      </c>
      <c r="DK6" s="11">
        <f t="array" ref="DK6">MATCH(MAX(ABS(DK3:DK5)), ABS(DK3:DK5), 0)</f>
        <v>2</v>
      </c>
      <c r="DL6" s="11">
        <f t="array" ref="DL6">MATCH(MAX(ABS(DL3:DL5)), ABS(DL3:DL5), 0)</f>
        <v>3</v>
      </c>
      <c r="DM6" s="11">
        <f t="array" ref="DM6">MATCH(MAX(ABS(DM3:DM5)), ABS(DM3:DM5), 0)</f>
        <v>2</v>
      </c>
      <c r="DN6" s="11">
        <f t="array" ref="DN6">MATCH(MAX(ABS(DN3:DN5)), ABS(DN3:DN5), 0)</f>
        <v>1</v>
      </c>
      <c r="DO6" s="11">
        <f t="array" ref="DO6">MATCH(MAX(ABS(DO3:DO5)), ABS(DO3:DO5), 0)</f>
        <v>2</v>
      </c>
      <c r="DP6" s="11">
        <f t="array" ref="DP6">MATCH(MAX(ABS(DP3:DP5)), ABS(DP3:DP5), 0)</f>
        <v>3</v>
      </c>
      <c r="DQ6" s="11">
        <f t="array" ref="DQ6">MATCH(MAX(ABS(DQ3:DQ5)), ABS(DQ3:DQ5), 0)</f>
        <v>3</v>
      </c>
      <c r="DR6" s="11">
        <f t="array" ref="DR6">MATCH(MAX(ABS(DR3:DR5)), ABS(DR3:DR5), 0)</f>
        <v>1</v>
      </c>
      <c r="DS6" s="11">
        <f t="array" ref="DS6">MATCH(MAX(ABS(DS3:DS5)), ABS(DS3:DS5), 0)</f>
        <v>2</v>
      </c>
      <c r="DT6" s="11">
        <f t="array" ref="DT6">MATCH(MAX(ABS(DT3:DT5)), ABS(DT3:DT5), 0)</f>
        <v>3</v>
      </c>
      <c r="DU6" s="11">
        <f t="array" ref="DU6">MATCH(MAX(ABS(DU3:DU5)), ABS(DU3:DU5), 0)</f>
        <v>2</v>
      </c>
      <c r="DV6" s="11">
        <f t="array" ref="DV6">MATCH(MAX(ABS(DV3:DV5)), ABS(DV3:DV5), 0)</f>
        <v>1</v>
      </c>
      <c r="DW6" s="11">
        <f t="array" ref="DW6">MATCH(MAX(ABS(DW3:DW5)), ABS(DW3:DW5), 0)</f>
        <v>2</v>
      </c>
      <c r="DX6" s="11">
        <f t="array" ref="DX6">MATCH(MAX(ABS(DX3:DX5)), ABS(DX3:DX5), 0)</f>
        <v>1</v>
      </c>
      <c r="DY6" s="11">
        <f t="array" ref="DY6">MATCH(MAX(ABS(DY3:DY5)), ABS(DY3:DY5), 0)</f>
        <v>2</v>
      </c>
      <c r="DZ6" s="11">
        <f t="array" ref="DZ6">MATCH(MAX(ABS(DZ3:DZ5)), ABS(DZ3:DZ5), 0)</f>
        <v>2</v>
      </c>
      <c r="EA6" s="11">
        <f t="array" ref="EA6">MATCH(MAX(ABS(EA3:EA5)), ABS(EA3:EA5), 0)</f>
        <v>3</v>
      </c>
      <c r="EB6" s="11">
        <f t="array" ref="EB6">MATCH(MAX(ABS(EB3:EB5)), ABS(EB3:EB5), 0)</f>
        <v>3</v>
      </c>
      <c r="EC6" s="11">
        <f t="array" ref="EC6">MATCH(MAX(ABS(EC3:EC5)), ABS(EC3:EC5), 0)</f>
        <v>1</v>
      </c>
      <c r="ED6" s="11">
        <f t="array" ref="ED6">MATCH(MAX(ABS(ED3:ED5)), ABS(ED3:ED5), 0)</f>
        <v>1</v>
      </c>
      <c r="EE6" s="11">
        <f t="array" ref="EE6">MATCH(MAX(ABS(EE3:EE5)), ABS(EE3:EE5), 0)</f>
        <v>2</v>
      </c>
      <c r="EF6" s="11">
        <f t="array" ref="EF6">MATCH(MAX(ABS(EF3:EF5)), ABS(EF3:EF5), 0)</f>
        <v>2</v>
      </c>
      <c r="EG6" s="11">
        <f t="array" ref="EG6">MATCH(MAX(ABS(EG3:EG5)), ABS(EG3:EG5), 0)</f>
        <v>2</v>
      </c>
    </row>
    <row r="7" spans="1:137" x14ac:dyDescent="0.3"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G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  <c r="EG7" s="11" t="str">
        <f t="shared" si="4"/>
        <v>size</v>
      </c>
    </row>
    <row r="8" spans="1:137" x14ac:dyDescent="0.3"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G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  <c r="EG8" s="11">
        <f t="shared" si="9"/>
        <v>-0.15895948868776608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>
        <v>10</v>
      </c>
      <c r="B12" s="1">
        <v>96</v>
      </c>
      <c r="C12" s="11">
        <f>IF(預測IC!C12&gt;預測IC!C$26,1,0)</f>
        <v>1</v>
      </c>
      <c r="D12" s="11">
        <f>C12+真實IC!D12</f>
        <v>1.1146886290452236</v>
      </c>
      <c r="E12" s="11">
        <f>D12+真實IC!E12</f>
        <v>1.1627154524324261</v>
      </c>
      <c r="F12" s="11">
        <f>E12+真實IC!F12</f>
        <v>1.218674837216885</v>
      </c>
      <c r="G12" s="11">
        <f>F12+真實IC!G12</f>
        <v>1.2506222857355154</v>
      </c>
      <c r="H12" s="11">
        <f>G12+真實IC!H12</f>
        <v>1.2891527979854034</v>
      </c>
      <c r="I12" s="11">
        <f>H12+真實IC!I12</f>
        <v>1.3254567348344555</v>
      </c>
      <c r="J12" s="11">
        <f>I12+真實IC!J12</f>
        <v>1.3692413135793271</v>
      </c>
      <c r="K12" s="11">
        <f>J12+真實IC!K12</f>
        <v>1.3984293117130262</v>
      </c>
      <c r="L12" s="11">
        <f>K12+真實IC!L12</f>
        <v>1.4403202527629999</v>
      </c>
      <c r="M12" s="11">
        <f>L12+真實IC!M12</f>
        <v>1.4672094265962068</v>
      </c>
      <c r="N12" s="11">
        <f>M12+真實IC!N12</f>
        <v>1.5365364133745596</v>
      </c>
      <c r="O12" s="11">
        <f>N12+真實IC!O12</f>
        <v>1.5644511724418</v>
      </c>
      <c r="P12" s="11">
        <f>O12+真實IC!P12</f>
        <v>1.5858715936462624</v>
      </c>
      <c r="Q12" s="11">
        <f>P12+真實IC!Q12</f>
        <v>1.6196643777671702</v>
      </c>
      <c r="R12" s="11">
        <f>Q12+真實IC!R12</f>
        <v>1.6330618840071058</v>
      </c>
      <c r="S12" s="11">
        <f>R12+真實IC!S12</f>
        <v>1.7041157811017129</v>
      </c>
      <c r="T12" s="11">
        <f>S12+真實IC!T12</f>
        <v>1.7519834974472377</v>
      </c>
      <c r="U12" s="11">
        <f>T12+真實IC!U12</f>
        <v>1.7723507180003686</v>
      </c>
      <c r="V12" s="11">
        <f>U12+真實IC!V12</f>
        <v>1.8173807088032172</v>
      </c>
      <c r="W12" s="11">
        <f>V12+真實IC!W12</f>
        <v>1.8814201237885981</v>
      </c>
      <c r="X12" s="11">
        <f>W12+真實IC!X12</f>
        <v>1.9910608751359335</v>
      </c>
      <c r="Y12" s="11">
        <f>X12+真實IC!Y12</f>
        <v>2.0078492523877496</v>
      </c>
      <c r="Z12" s="11">
        <f>Y12+真實IC!Z12</f>
        <v>2.0714729357033237</v>
      </c>
      <c r="AA12" s="11">
        <f>Z12+真實IC!AA12</f>
        <v>2.0983914151241354</v>
      </c>
      <c r="AB12" s="11">
        <f>AA12+真實IC!AB12</f>
        <v>2.1330805256756133</v>
      </c>
      <c r="AC12" s="11">
        <f>AB12+真實IC!AC12</f>
        <v>2.1798534713019246</v>
      </c>
      <c r="AD12" s="11">
        <f>AC12+真實IC!AD12</f>
        <v>2.1892457146336044</v>
      </c>
      <c r="AE12" s="11">
        <f>AD12+真實IC!AE12</f>
        <v>2.2356834313005884</v>
      </c>
      <c r="AF12" s="11">
        <f>AE12+真實IC!AF12</f>
        <v>2.2876955340773559</v>
      </c>
      <c r="AG12" s="11">
        <f>AF12+真實IC!AG12</f>
        <v>2.3176776790100804</v>
      </c>
      <c r="AH12" s="11">
        <f>AG12+真實IC!AH12</f>
        <v>2.3310834836597136</v>
      </c>
      <c r="AI12" s="11">
        <f>AH12+真實IC!AI12</f>
        <v>2.3543299428385782</v>
      </c>
      <c r="AJ12" s="11">
        <f>AI12+真實IC!AJ12</f>
        <v>2.3673136903846328</v>
      </c>
      <c r="AK12" s="11">
        <f>AJ12+真實IC!AK12</f>
        <v>2.4154373945367671</v>
      </c>
      <c r="AL12" s="11">
        <f>AK12+真實IC!AL12</f>
        <v>2.4495430157803435</v>
      </c>
      <c r="AM12" s="11">
        <f>AL12+真實IC!AM12</f>
        <v>2.4796291313929415</v>
      </c>
      <c r="AN12" s="11">
        <f>AM12+真實IC!AN12</f>
        <v>2.5488623657063698</v>
      </c>
      <c r="AO12" s="11">
        <f>AN12+真實IC!AO12</f>
        <v>2.5638578365494973</v>
      </c>
      <c r="AP12" s="11">
        <f>AO12+真實IC!AP12</f>
        <v>2.5975761813313465</v>
      </c>
      <c r="AQ12" s="11">
        <f>AP12+真實IC!AQ12</f>
        <v>2.6042585241171445</v>
      </c>
      <c r="AR12" s="11">
        <f>AQ12+真實IC!AR12</f>
        <v>2.6117629522059045</v>
      </c>
      <c r="AS12" s="11">
        <f>AR12+真實IC!AS12</f>
        <v>2.6317392251162759</v>
      </c>
      <c r="AT12" s="11">
        <f>AS12+真實IC!AT12</f>
        <v>2.7039346074687112</v>
      </c>
      <c r="AU12" s="11">
        <f>AT12+真實IC!AU12</f>
        <v>2.7673448695230825</v>
      </c>
      <c r="AV12" s="11">
        <f>AU12+真實IC!AV12</f>
        <v>2.8210605001798021</v>
      </c>
      <c r="AW12" s="11">
        <f>AV12+真實IC!AW12</f>
        <v>2.8382302049432053</v>
      </c>
      <c r="AX12" s="11">
        <f>AW12+真實IC!AX12</f>
        <v>2.8829262169161032</v>
      </c>
      <c r="AY12" s="11">
        <f>AX12+真實IC!AY12</f>
        <v>2.9078815099837763</v>
      </c>
      <c r="AZ12" s="11">
        <f>AY12+真實IC!AZ12</f>
        <v>2.9744453131630681</v>
      </c>
      <c r="BA12" s="11">
        <f>AZ12+真實IC!BA12</f>
        <v>3.0457214694440031</v>
      </c>
      <c r="BB12" s="11">
        <f>BA12+真實IC!BB12</f>
        <v>3.0747581240136448</v>
      </c>
      <c r="BC12" s="11">
        <f>BB12+真實IC!BC12</f>
        <v>3.1014490903059824</v>
      </c>
      <c r="BD12" s="11">
        <f>BC12+真實IC!BD12</f>
        <v>3.1506827119269532</v>
      </c>
      <c r="BE12" s="11">
        <f>BD12+真實IC!BE12</f>
        <v>3.1860512570694719</v>
      </c>
      <c r="BF12" s="11">
        <f>BE12+真實IC!BF12</f>
        <v>3.2536682063171671</v>
      </c>
      <c r="BG12" s="11">
        <f>BF12+真實IC!BG12</f>
        <v>3.3004259601984507</v>
      </c>
      <c r="BH12" s="11">
        <f>BG12+真實IC!BH12</f>
        <v>3.3355055492283676</v>
      </c>
      <c r="BI12" s="11">
        <f>BH12+真實IC!BI12</f>
        <v>3.3855268022593585</v>
      </c>
      <c r="BJ12" s="11">
        <f>BI12+真實IC!BJ12</f>
        <v>3.4289493013670307</v>
      </c>
      <c r="BK12" s="11">
        <f>BJ12+真實IC!BK12</f>
        <v>3.4490249533703086</v>
      </c>
      <c r="BL12" s="11">
        <f>BK12+真實IC!BL12</f>
        <v>3.4811540516708028</v>
      </c>
      <c r="BM12" s="11">
        <f>BL12+真實IC!BM12</f>
        <v>3.5314597361941273</v>
      </c>
      <c r="BN12" s="11">
        <f>BM12+真實IC!BN12</f>
        <v>3.5509622744042471</v>
      </c>
      <c r="BO12" s="11">
        <f>BN12+真實IC!BO12</f>
        <v>3.575208584660484</v>
      </c>
      <c r="BP12" s="11">
        <f>BO12+真實IC!BP12</f>
        <v>3.601630541994651</v>
      </c>
      <c r="BQ12" s="11">
        <f>BP12+真實IC!BQ12</f>
        <v>3.6155272916133976</v>
      </c>
      <c r="BR12" s="11">
        <f>BQ12+真實IC!BR12</f>
        <v>3.6842209067605109</v>
      </c>
      <c r="BS12" s="11">
        <f>BR12+真實IC!BS12</f>
        <v>3.7168637616489035</v>
      </c>
      <c r="BT12" s="11">
        <f>BS12+真實IC!BT12</f>
        <v>3.7381518588810021</v>
      </c>
      <c r="BU12" s="11">
        <f>BT12+真實IC!BU12</f>
        <v>3.7862352284571776</v>
      </c>
      <c r="BV12" s="11">
        <f>BU12+真實IC!BV12</f>
        <v>3.8285176175431075</v>
      </c>
      <c r="BW12" s="11">
        <f>BV12+真實IC!BW12</f>
        <v>3.8729946214347577</v>
      </c>
      <c r="BX12" s="11">
        <f>BW12+真實IC!BX12</f>
        <v>3.8889787730754874</v>
      </c>
      <c r="BY12" s="11">
        <f>BX12+真實IC!BY12</f>
        <v>3.9479086894330515</v>
      </c>
      <c r="BZ12" s="11">
        <f>BY12+真實IC!BZ12</f>
        <v>3.9932656351243243</v>
      </c>
      <c r="CA12" s="11">
        <f>BZ12+真實IC!CA12</f>
        <v>4.0276659225646672</v>
      </c>
      <c r="CB12" s="11">
        <f>CA12+真實IC!CB12</f>
        <v>4.1001417986368462</v>
      </c>
      <c r="CC12" s="11">
        <f>CB12+真實IC!CC12</f>
        <v>4.1657084112645357</v>
      </c>
      <c r="CD12" s="11">
        <f>CC12+真實IC!CD12</f>
        <v>4.2766420448489884</v>
      </c>
      <c r="CE12" s="11">
        <f>CD12+真實IC!CE12</f>
        <v>4.4306490577387301</v>
      </c>
      <c r="CF12" s="11">
        <f>CE12+真實IC!CF12</f>
        <v>4.4584166411525024</v>
      </c>
      <c r="CG12" s="11">
        <f>CF12+真實IC!CG12</f>
        <v>4.507694601115583</v>
      </c>
      <c r="CH12" s="11">
        <f>CG12+真實IC!CH12</f>
        <v>4.5709919734935429</v>
      </c>
      <c r="CI12" s="11">
        <f>CH12+真實IC!CI12</f>
        <v>4.605647885905749</v>
      </c>
      <c r="CJ12" s="11">
        <f>CI12+真實IC!CJ12</f>
        <v>4.6597679528199443</v>
      </c>
      <c r="CK12" s="11">
        <f>CJ12+真實IC!CK12</f>
        <v>4.7158693934677345</v>
      </c>
      <c r="CL12" s="11">
        <f>CK12+真實IC!CL12</f>
        <v>4.8338850011373449</v>
      </c>
      <c r="CM12" s="11">
        <f>CL12+真實IC!CM12</f>
        <v>4.9055933891545571</v>
      </c>
      <c r="CN12" s="11">
        <f>CM12+真實IC!CN12</f>
        <v>4.9840585931653631</v>
      </c>
      <c r="CO12" s="11">
        <f>CN12+真實IC!CO12</f>
        <v>5.0553508360389552</v>
      </c>
      <c r="CP12" s="11">
        <f>CO12+真實IC!CP12</f>
        <v>5.1006498575064487</v>
      </c>
      <c r="CQ12" s="11">
        <f>CP12+真實IC!CQ12</f>
        <v>5.1633342045100239</v>
      </c>
      <c r="CR12" s="11">
        <f>CQ12+真實IC!CR12</f>
        <v>5.2204941910315377</v>
      </c>
      <c r="CS12" s="11">
        <f>CR12+真實IC!CS12</f>
        <v>5.2214727646263901</v>
      </c>
      <c r="CT12" s="11">
        <f>CS12+真實IC!CT12</f>
        <v>5.2535867752344396</v>
      </c>
      <c r="CU12" s="11">
        <f>CT12+真實IC!CU12</f>
        <v>5.3283663045157965</v>
      </c>
      <c r="CV12" s="11">
        <f>CU12+真實IC!CV12</f>
        <v>5.3933996110114855</v>
      </c>
      <c r="CW12" s="11">
        <f>CV12+真實IC!CW12</f>
        <v>5.4064362803900634</v>
      </c>
      <c r="CX12" s="11">
        <f>CW12+真實IC!CX12</f>
        <v>5.4674261629270555</v>
      </c>
      <c r="CY12" s="11">
        <f>CX12+真實IC!CY12</f>
        <v>5.5134991405925105</v>
      </c>
      <c r="CZ12" s="11">
        <f>CY12+真實IC!CZ12</f>
        <v>5.5912914679320114</v>
      </c>
      <c r="DA12" s="11">
        <f>CZ12+真實IC!DA12</f>
        <v>5.6282701292912067</v>
      </c>
      <c r="DB12" s="11">
        <f>DA12+真實IC!DB12</f>
        <v>5.7172519457892514</v>
      </c>
      <c r="DC12" s="11">
        <f>DB12+真實IC!DC12</f>
        <v>5.7512251486640258</v>
      </c>
      <c r="DD12" s="11">
        <f>DC12+真實IC!DD12</f>
        <v>5.8211856943983689</v>
      </c>
      <c r="DE12" s="11">
        <f>DD12+真實IC!DE12</f>
        <v>5.8459233388134635</v>
      </c>
      <c r="DF12" s="11">
        <f>DE12+真實IC!DF12</f>
        <v>5.9014090728955368</v>
      </c>
      <c r="DG12" s="11">
        <f>DF12+真實IC!DG12</f>
        <v>5.9478188906750615</v>
      </c>
      <c r="DH12" s="11">
        <f>DG12+真實IC!DH12</f>
        <v>6.0090140454633785</v>
      </c>
      <c r="DI12" s="11">
        <f>DH12+真實IC!DI12</f>
        <v>6.0687631132431274</v>
      </c>
      <c r="DJ12" s="11">
        <f>DI12+真實IC!DJ12</f>
        <v>6.1101411561787993</v>
      </c>
      <c r="DK12" s="11">
        <f>DJ12+真實IC!DK12</f>
        <v>6.1420693555113948</v>
      </c>
      <c r="DL12" s="11">
        <f>DK12+真實IC!DL12</f>
        <v>6.1607391888451977</v>
      </c>
      <c r="DM12" s="11">
        <f>DL12+真實IC!DM12</f>
        <v>6.1799768824257582</v>
      </c>
      <c r="DN12" s="11">
        <f>DM12+真實IC!DN12</f>
        <v>6.222387247811823</v>
      </c>
      <c r="DO12" s="11">
        <f>DN12+真實IC!DO12</f>
        <v>6.2529441899133138</v>
      </c>
      <c r="DP12" s="11">
        <f>DO12+真實IC!DP12</f>
        <v>6.3123528844699743</v>
      </c>
      <c r="DQ12" s="11">
        <f>DP12+真實IC!DQ12</f>
        <v>6.386893531950447</v>
      </c>
      <c r="DR12" s="11">
        <f>DQ12+真實IC!DR12</f>
        <v>6.4056724752298342</v>
      </c>
      <c r="DS12" s="11">
        <f>DR12+真實IC!DS12</f>
        <v>6.4753230272995337</v>
      </c>
      <c r="DT12" s="11">
        <f>DS12+真實IC!DT12</f>
        <v>6.5001368688621204</v>
      </c>
      <c r="DU12" s="11">
        <f>DT12+真實IC!DU12</f>
        <v>6.5573671520064289</v>
      </c>
      <c r="DV12" s="11">
        <f>DU12+真實IC!DV12</f>
        <v>6.6059179764839593</v>
      </c>
      <c r="DW12" s="11">
        <f>DV12+真實IC!DW12</f>
        <v>6.6508858106964848</v>
      </c>
      <c r="DX12" s="11">
        <f>DW12+真實IC!DX12</f>
        <v>6.7010378912388466</v>
      </c>
      <c r="DY12" s="11">
        <f>DX12+真實IC!DY12</f>
        <v>6.7541832021264563</v>
      </c>
      <c r="DZ12" s="11">
        <f>DY12+真實IC!DZ12</f>
        <v>6.7604103514749445</v>
      </c>
      <c r="EA12" s="11">
        <f>DZ12+真實IC!EA12</f>
        <v>6.8735373932240815</v>
      </c>
      <c r="EB12" s="11">
        <f>EA12+真實IC!EB12</f>
        <v>6.9040631700419235</v>
      </c>
      <c r="EC12" s="11">
        <f>EB12+真實IC!EC12</f>
        <v>6.9307146796215884</v>
      </c>
      <c r="ED12" s="11">
        <f>EC12+真實IC!ED12</f>
        <v>6.9912228324300729</v>
      </c>
      <c r="EE12" s="11">
        <f>ED12+真實IC!EE12</f>
        <v>7.0177297245912209</v>
      </c>
      <c r="EF12" s="11">
        <f>EE12+真實IC!EF12</f>
        <v>7.0469634903464522</v>
      </c>
    </row>
    <row r="13" spans="1:137" x14ac:dyDescent="0.3">
      <c r="A13" s="1">
        <v>20</v>
      </c>
      <c r="B13" s="1">
        <v>48</v>
      </c>
      <c r="C13" s="11">
        <f>IF(預測IC!C13&gt;預測IC!C$26,1,0)</f>
        <v>1</v>
      </c>
      <c r="D13" s="11">
        <f>C13+真實IC!D13</f>
        <v>1.1237450287927724</v>
      </c>
      <c r="E13" s="11">
        <f>D13+真實IC!E13</f>
        <v>1.1936065851455788</v>
      </c>
      <c r="F13" s="11">
        <f>E13+真實IC!F13</f>
        <v>1.2535931118385018</v>
      </c>
      <c r="G13" s="11">
        <f>F13+真實IC!G13</f>
        <v>1.2656405161386077</v>
      </c>
      <c r="H13" s="11">
        <f>G13+真實IC!H13</f>
        <v>1.2956301478643291</v>
      </c>
      <c r="I13" s="11">
        <f>H13+真實IC!I13</f>
        <v>1.3283130108490515</v>
      </c>
      <c r="J13" s="11">
        <f>I13+真實IC!J13</f>
        <v>1.3628629028186963</v>
      </c>
      <c r="K13" s="11">
        <f>J13+真實IC!K13</f>
        <v>1.4231890420462665</v>
      </c>
      <c r="L13" s="11">
        <f>K13+真實IC!L13</f>
        <v>1.4292142033399202</v>
      </c>
      <c r="M13" s="11">
        <f>L13+真實IC!M13</f>
        <v>1.4324939615659249</v>
      </c>
      <c r="N13" s="11">
        <f>M13+真實IC!N13</f>
        <v>1.5323008785225956</v>
      </c>
      <c r="O13" s="11">
        <f>N13+真實IC!O13</f>
        <v>1.5497235773335456</v>
      </c>
      <c r="P13" s="11">
        <f>O13+真實IC!P13</f>
        <v>1.5705804903949512</v>
      </c>
      <c r="Q13" s="11">
        <f>P13+真實IC!Q13</f>
        <v>1.6147987546229212</v>
      </c>
      <c r="R13" s="11">
        <f>Q13+真實IC!R13</f>
        <v>1.6212886647989957</v>
      </c>
      <c r="S13" s="11">
        <f>R13+真實IC!S13</f>
        <v>1.7442039628025463</v>
      </c>
      <c r="T13" s="11">
        <f>S13+真實IC!T13</f>
        <v>1.8184380443142689</v>
      </c>
      <c r="U13" s="11">
        <f>T13+真實IC!U13</f>
        <v>1.872599119355963</v>
      </c>
      <c r="V13" s="11">
        <f>U13+真實IC!V13</f>
        <v>1.9253788582561966</v>
      </c>
      <c r="W13" s="11">
        <f>V13+真實IC!W13</f>
        <v>2.0008554201163467</v>
      </c>
      <c r="X13" s="11">
        <f>W13+真實IC!X13</f>
        <v>2.1219831909690847</v>
      </c>
      <c r="Y13" s="11">
        <f>X13+真實IC!Y13</f>
        <v>2.1484550741864274</v>
      </c>
      <c r="Z13" s="11">
        <f>Y13+真實IC!Z13</f>
        <v>2.2268795089916109</v>
      </c>
      <c r="AA13" s="11">
        <f>Z13+真實IC!AA13</f>
        <v>2.274592157441869</v>
      </c>
      <c r="AB13" s="11">
        <f>AA13+真實IC!AB13</f>
        <v>2.3212703775632462</v>
      </c>
      <c r="AC13" s="11">
        <f>AB13+真實IC!AC13</f>
        <v>2.3880420779451761</v>
      </c>
      <c r="AD13" s="11">
        <f>AC13+真實IC!AD13</f>
        <v>2.4095857677304515</v>
      </c>
      <c r="AE13" s="11">
        <f>AD13+真實IC!AE13</f>
        <v>2.4866571844572523</v>
      </c>
      <c r="AF13" s="11">
        <f>AE13+真實IC!AF13</f>
        <v>2.5599383452855635</v>
      </c>
      <c r="AG13" s="11">
        <f>AF13+真實IC!AG13</f>
        <v>2.5916201283405664</v>
      </c>
      <c r="AH13" s="11">
        <f>AG13+真實IC!AH13</f>
        <v>2.6012614675800827</v>
      </c>
      <c r="AI13" s="11">
        <f>AH13+真實IC!AI13</f>
        <v>2.6211713778004961</v>
      </c>
      <c r="AJ13" s="11">
        <f>AI13+真實IC!AJ13</f>
        <v>2.6048909078122202</v>
      </c>
      <c r="AK13" s="11">
        <f>AJ13+真實IC!AK13</f>
        <v>2.6708788206228764</v>
      </c>
      <c r="AL13" s="11">
        <f>AK13+真實IC!AL13</f>
        <v>2.6934291782094131</v>
      </c>
      <c r="AM13" s="11">
        <f>AL13+真實IC!AM13</f>
        <v>2.7397116217462418</v>
      </c>
      <c r="AN13" s="11">
        <f>AM13+真實IC!AN13</f>
        <v>2.8450418598822758</v>
      </c>
      <c r="AO13" s="11">
        <f>AN13+真實IC!AO13</f>
        <v>2.8433330131936403</v>
      </c>
      <c r="AP13" s="11">
        <f>AO13+真實IC!AP13</f>
        <v>2.9028838535556378</v>
      </c>
      <c r="AQ13" s="11">
        <f>AP13+真實IC!AQ13</f>
        <v>2.9139668480187608</v>
      </c>
      <c r="AR13" s="11">
        <f>AQ13+真實IC!AR13</f>
        <v>2.9047161155354848</v>
      </c>
      <c r="AS13" s="11">
        <f>AR13+真實IC!AS13</f>
        <v>2.9281210790770822</v>
      </c>
      <c r="AT13" s="11">
        <f>AS13+真實IC!AT13</f>
        <v>3.0145439938046819</v>
      </c>
      <c r="AU13" s="11">
        <f>AT13+真實IC!AU13</f>
        <v>3.0913283274330561</v>
      </c>
      <c r="AV13" s="11">
        <f>AU13+真實IC!AV13</f>
        <v>3.1709943030815264</v>
      </c>
      <c r="AW13" s="11">
        <f>AV13+真實IC!AW13</f>
        <v>3.1978155410519076</v>
      </c>
      <c r="AX13" s="11">
        <f>AW13+真實IC!AX13</f>
        <v>3.2306153731877632</v>
      </c>
      <c r="AY13" s="11">
        <f>AX13+真實IC!AY13</f>
        <v>3.2481797195363882</v>
      </c>
      <c r="AZ13" s="11">
        <f>AY13+真實IC!AZ13</f>
        <v>3.3036294954919532</v>
      </c>
      <c r="BA13" s="11">
        <f>AZ13+真實IC!BA13</f>
        <v>3.3834586158357416</v>
      </c>
      <c r="BB13" s="11">
        <f>BA13+真實IC!BB13</f>
        <v>3.4060060168105206</v>
      </c>
      <c r="BC13" s="11">
        <f>BB13+真實IC!BC13</f>
        <v>3.4251168840853627</v>
      </c>
      <c r="BD13" s="11">
        <f>BC13+真實IC!BD13</f>
        <v>3.4667931978320325</v>
      </c>
      <c r="BE13" s="11">
        <f>BD13+真實IC!BE13</f>
        <v>3.5105669872178158</v>
      </c>
      <c r="BF13" s="11">
        <f>BE13+真實IC!BF13</f>
        <v>3.6322241304837717</v>
      </c>
      <c r="BG13" s="11">
        <f>BF13+真實IC!BG13</f>
        <v>3.7206216763400923</v>
      </c>
      <c r="BH13" s="11">
        <f>BG13+真實IC!BH13</f>
        <v>3.7616453325322845</v>
      </c>
      <c r="BI13" s="11">
        <f>BH13+真實IC!BI13</f>
        <v>3.814054464988986</v>
      </c>
      <c r="BJ13" s="11">
        <f>BI13+真實IC!BJ13</f>
        <v>3.8655063839489081</v>
      </c>
      <c r="BK13" s="11">
        <f>BJ13+真實IC!BK13</f>
        <v>3.8906321573121003</v>
      </c>
      <c r="BL13" s="11">
        <f>BK13+真實IC!BL13</f>
        <v>3.9250921977605513</v>
      </c>
      <c r="BM13" s="11">
        <f>BL13+真實IC!BM13</f>
        <v>3.9784639664557422</v>
      </c>
      <c r="BN13" s="11">
        <f>BM13+真實IC!BN13</f>
        <v>3.9736063633973289</v>
      </c>
      <c r="BO13" s="11">
        <f>BN13+真實IC!BO13</f>
        <v>4.0044850796308031</v>
      </c>
      <c r="BP13" s="11">
        <f>BO13+真實IC!BP13</f>
        <v>4.0124362260485773</v>
      </c>
      <c r="BQ13" s="11">
        <f>BP13+真實IC!BQ13</f>
        <v>4.0540892898380028</v>
      </c>
      <c r="BR13" s="11">
        <f>BQ13+真實IC!BR13</f>
        <v>4.1339207466613361</v>
      </c>
      <c r="BS13" s="11">
        <f>BR13+真實IC!BS13</f>
        <v>4.174101261022753</v>
      </c>
      <c r="BT13" s="11">
        <f>BS13+真實IC!BT13</f>
        <v>4.2077690307806721</v>
      </c>
      <c r="BU13" s="11">
        <f>BT13+真實IC!BU13</f>
        <v>4.2824271987904456</v>
      </c>
      <c r="BV13" s="11">
        <f>BU13+真實IC!BV13</f>
        <v>4.3623580328915033</v>
      </c>
      <c r="BW13" s="11">
        <f>BV13+真實IC!BW13</f>
        <v>4.4380720385281824</v>
      </c>
      <c r="BX13" s="11">
        <f>BW13+真實IC!BX13</f>
        <v>4.4395494733044245</v>
      </c>
      <c r="BY13" s="11">
        <f>BX13+真實IC!BY13</f>
        <v>4.4787514298795656</v>
      </c>
      <c r="BZ13" s="11">
        <f>BY13+真實IC!BZ13</f>
        <v>4.554889552938616</v>
      </c>
      <c r="CA13" s="11">
        <f>BZ13+真實IC!CA13</f>
        <v>4.5884211185390127</v>
      </c>
      <c r="CB13" s="11">
        <f>CA13+真實IC!CB13</f>
        <v>4.7088480902710481</v>
      </c>
      <c r="CC13" s="11">
        <f>CB13+真實IC!CC13</f>
        <v>4.8289662640092814</v>
      </c>
      <c r="CD13" s="11">
        <f>CC13+真實IC!CD13</f>
        <v>4.9340520969016088</v>
      </c>
      <c r="CE13" s="11">
        <f>CD13+真實IC!CE13</f>
        <v>5.1178799333572176</v>
      </c>
      <c r="CF13" s="11">
        <f>CE13+真實IC!CF13</f>
        <v>5.1623942000822867</v>
      </c>
      <c r="CG13" s="11">
        <f>CF13+真實IC!CG13</f>
        <v>5.2204091678895264</v>
      </c>
      <c r="CH13" s="11">
        <f>CG13+真實IC!CH13</f>
        <v>5.2787437797167334</v>
      </c>
      <c r="CI13" s="11">
        <f>CH13+真實IC!CI13</f>
        <v>5.3305972888509965</v>
      </c>
      <c r="CJ13" s="11">
        <f>CI13+真實IC!CJ13</f>
        <v>5.3854074695298362</v>
      </c>
      <c r="CK13" s="11">
        <f>CJ13+真實IC!CK13</f>
        <v>5.4510945957966337</v>
      </c>
      <c r="CL13" s="11">
        <f>CK13+真實IC!CL13</f>
        <v>5.5325479618988149</v>
      </c>
      <c r="CM13" s="11">
        <f>CL13+真實IC!CM13</f>
        <v>5.6340001806128335</v>
      </c>
      <c r="CN13" s="11">
        <f>CM13+真實IC!CN13</f>
        <v>5.7349943472610274</v>
      </c>
      <c r="CO13" s="11">
        <f>CN13+真實IC!CO13</f>
        <v>5.8205605865691039</v>
      </c>
      <c r="CP13" s="11">
        <f>CO13+真實IC!CP13</f>
        <v>5.8902871268468386</v>
      </c>
      <c r="CQ13" s="11">
        <f>CP13+真實IC!CQ13</f>
        <v>5.9614659918152428</v>
      </c>
      <c r="CR13" s="11">
        <f>CQ13+真實IC!CR13</f>
        <v>6.0731108781957177</v>
      </c>
      <c r="CS13" s="11">
        <f>CR13+真實IC!CS13</f>
        <v>6.0826785318608527</v>
      </c>
      <c r="CT13" s="11">
        <f>CS13+真實IC!CT13</f>
        <v>6.1261407998299049</v>
      </c>
      <c r="CU13" s="11">
        <f>CT13+真實IC!CU13</f>
        <v>6.233231761543542</v>
      </c>
      <c r="CV13" s="11">
        <f>CU13+真實IC!CV13</f>
        <v>6.310887812800515</v>
      </c>
      <c r="CW13" s="11">
        <f>CV13+真實IC!CW13</f>
        <v>6.3471969325569484</v>
      </c>
      <c r="CX13" s="11">
        <f>CW13+真實IC!CX13</f>
        <v>6.4072301877970013</v>
      </c>
      <c r="CY13" s="11">
        <f>CX13+真實IC!CY13</f>
        <v>6.4695271348023642</v>
      </c>
      <c r="CZ13" s="11">
        <f>CY13+真實IC!CZ13</f>
        <v>6.5267513551558496</v>
      </c>
      <c r="DA13" s="11">
        <f>CZ13+真實IC!DA13</f>
        <v>6.576197388840729</v>
      </c>
      <c r="DB13" s="11">
        <f>DA13+真實IC!DB13</f>
        <v>6.6824327101436829</v>
      </c>
      <c r="DC13" s="11">
        <f>DB13+真實IC!DC13</f>
        <v>6.7122082760219755</v>
      </c>
      <c r="DD13" s="11">
        <f>DC13+真實IC!DD13</f>
        <v>6.7811853349463593</v>
      </c>
      <c r="DE13" s="11">
        <f>DD13+真實IC!DE13</f>
        <v>6.8036273313755951</v>
      </c>
      <c r="DF13" s="11">
        <f>DE13+真實IC!DF13</f>
        <v>6.8867495184436258</v>
      </c>
      <c r="DG13" s="11">
        <f>DF13+真實IC!DG13</f>
        <v>6.9344786020500857</v>
      </c>
      <c r="DH13" s="11">
        <f>DG13+真實IC!DH13</f>
        <v>7.023199202996393</v>
      </c>
      <c r="DI13" s="11">
        <f>DH13+真實IC!DI13</f>
        <v>7.1129477665438872</v>
      </c>
      <c r="DJ13" s="11">
        <f>DI13+真實IC!DJ13</f>
        <v>7.1199688901594449</v>
      </c>
      <c r="DK13" s="11">
        <f>DJ13+真實IC!DK13</f>
        <v>7.139355524023304</v>
      </c>
      <c r="DL13" s="11">
        <f>DK13+真實IC!DL13</f>
        <v>7.1614062147013922</v>
      </c>
      <c r="DM13" s="11">
        <f>DL13+真實IC!DM13</f>
        <v>7.1608745920909191</v>
      </c>
      <c r="DN13" s="11">
        <f>DM13+真實IC!DN13</f>
        <v>7.1723741700134322</v>
      </c>
      <c r="DO13" s="11">
        <f>DN13+真實IC!DO13</f>
        <v>7.2102376350982249</v>
      </c>
      <c r="DP13" s="11">
        <f>DO13+真實IC!DP13</f>
        <v>7.2682699439889262</v>
      </c>
      <c r="DQ13" s="11">
        <f>DP13+真實IC!DQ13</f>
        <v>7.3553989553814967</v>
      </c>
      <c r="DR13" s="11">
        <f>DQ13+真實IC!DR13</f>
        <v>7.3691701646538084</v>
      </c>
      <c r="DS13" s="11">
        <f>DR13+真實IC!DS13</f>
        <v>7.437767017294199</v>
      </c>
      <c r="DT13" s="11">
        <f>DS13+真實IC!DT13</f>
        <v>7.467612826455202</v>
      </c>
      <c r="DU13" s="11">
        <f>DT13+真實IC!DU13</f>
        <v>7.5006189858978205</v>
      </c>
      <c r="DV13" s="11">
        <f>DU13+真實IC!DV13</f>
        <v>7.5802391299220089</v>
      </c>
      <c r="DW13" s="11">
        <f>DV13+真實IC!DW13</f>
        <v>7.622267815634209</v>
      </c>
      <c r="DX13" s="11">
        <f>DW13+真實IC!DX13</f>
        <v>7.686791195212705</v>
      </c>
      <c r="DY13" s="11">
        <f>DX13+真實IC!DY13</f>
        <v>7.7437725342602644</v>
      </c>
      <c r="DZ13" s="11">
        <f>DY13+真實IC!DZ13</f>
        <v>7.7620746584065659</v>
      </c>
      <c r="EA13" s="11">
        <f>DZ13+真實IC!EA13</f>
        <v>7.8865436165556364</v>
      </c>
      <c r="EB13" s="11">
        <f>EA13+真實IC!EB13</f>
        <v>7.9437489093040252</v>
      </c>
      <c r="EC13" s="11">
        <f>EB13+真實IC!EC13</f>
        <v>7.9854086627392542</v>
      </c>
      <c r="ED13" s="11">
        <f>EC13+真實IC!ED13</f>
        <v>8.051090756398489</v>
      </c>
      <c r="EE13" s="11">
        <f>ED13+真實IC!EE13</f>
        <v>8.0923251403944008</v>
      </c>
      <c r="EF13" s="11">
        <f>EE13+真實IC!EF13</f>
        <v>8.1368387499471204</v>
      </c>
    </row>
    <row r="14" spans="1:137" x14ac:dyDescent="0.3">
      <c r="A14" s="1">
        <v>50</v>
      </c>
      <c r="B14" s="1">
        <v>19</v>
      </c>
      <c r="C14" s="11">
        <f>IF(預測IC!C14&gt;預測IC!C$26,1,0)</f>
        <v>1</v>
      </c>
      <c r="D14" s="11">
        <f>C14+真實IC!D14</f>
        <v>1.2223084485406259</v>
      </c>
      <c r="E14" s="11">
        <f>D14+真實IC!E14</f>
        <v>1.321076696682848</v>
      </c>
      <c r="F14" s="11">
        <f>E14+真實IC!F14</f>
        <v>1.3814186015888805</v>
      </c>
      <c r="G14" s="11">
        <f>F14+真實IC!G14</f>
        <v>1.4350752320316611</v>
      </c>
      <c r="H14" s="11">
        <f>G14+真實IC!H14</f>
        <v>1.4946630384671011</v>
      </c>
      <c r="I14" s="11">
        <f>H14+真實IC!I14</f>
        <v>1.5384503982902435</v>
      </c>
      <c r="J14" s="11">
        <f>I14+真實IC!J14</f>
        <v>1.5617603702551544</v>
      </c>
      <c r="K14" s="11">
        <f>J14+真實IC!K14</f>
        <v>1.6125878365160022</v>
      </c>
      <c r="L14" s="11">
        <f>K14+真實IC!L14</f>
        <v>1.6210682840815507</v>
      </c>
      <c r="M14" s="11">
        <f>L14+真實IC!M14</f>
        <v>1.6020465696165667</v>
      </c>
      <c r="N14" s="11">
        <f>M14+真實IC!N14</f>
        <v>1.8068791447577925</v>
      </c>
      <c r="O14" s="11">
        <f>N14+真實IC!O14</f>
        <v>1.8083735526963411</v>
      </c>
      <c r="P14" s="11">
        <f>O14+真實IC!P14</f>
        <v>1.8667194745945823</v>
      </c>
      <c r="Q14" s="11">
        <f>P14+真實IC!Q14</f>
        <v>1.9908233457660309</v>
      </c>
      <c r="R14" s="11">
        <f>Q14+真實IC!R14</f>
        <v>1.9748821584689291</v>
      </c>
      <c r="S14" s="11">
        <f>R14+真實IC!S14</f>
        <v>2.140775385653638</v>
      </c>
      <c r="T14" s="11">
        <f>S14+真實IC!T14</f>
        <v>2.1757949404880379</v>
      </c>
      <c r="U14" s="11">
        <f>T14+真實IC!U14</f>
        <v>2.2800616051236853</v>
      </c>
      <c r="V14" s="11">
        <f>U14+真實IC!V14</f>
        <v>2.3001507323090635</v>
      </c>
      <c r="W14" s="11">
        <f>V14+真實IC!W14</f>
        <v>2.4163165228409604</v>
      </c>
      <c r="X14" s="11">
        <f>W14+真實IC!X14</f>
        <v>2.6030022184513073</v>
      </c>
      <c r="Y14" s="11">
        <f>X14+真實IC!Y14</f>
        <v>2.6082220930468392</v>
      </c>
      <c r="Z14" s="11">
        <f>Y14+真實IC!Z14</f>
        <v>2.6467340193271469</v>
      </c>
      <c r="AA14" s="11">
        <f>Z14+真實IC!AA14</f>
        <v>2.7466398988244718</v>
      </c>
      <c r="AB14" s="11">
        <f>AA14+真實IC!AB14</f>
        <v>2.817409276171702</v>
      </c>
      <c r="AC14" s="11">
        <f>AB14+真實IC!AC14</f>
        <v>2.8143227138329125</v>
      </c>
      <c r="AD14" s="11">
        <f>AC14+真實IC!AD14</f>
        <v>2.8536506060229425</v>
      </c>
      <c r="AE14" s="11">
        <f>AD14+真實IC!AE14</f>
        <v>2.9704875258625085</v>
      </c>
      <c r="AF14" s="11">
        <f>AE14+真實IC!AF14</f>
        <v>3.066567621319142</v>
      </c>
      <c r="AG14" s="11">
        <f>AF14+真實IC!AG14</f>
        <v>3.0870885159657044</v>
      </c>
      <c r="AH14" s="11">
        <f>AG14+真實IC!AH14</f>
        <v>3.0923387938962104</v>
      </c>
      <c r="AI14" s="11">
        <f>AH14+真實IC!AI14</f>
        <v>3.1033033645787844</v>
      </c>
      <c r="AJ14" s="11">
        <f>AI14+真實IC!AJ14</f>
        <v>3.1183624006619355</v>
      </c>
      <c r="AK14" s="11">
        <f>AJ14+真實IC!AK14</f>
        <v>3.1952738315202374</v>
      </c>
      <c r="AL14" s="11">
        <f>AK14+真實IC!AL14</f>
        <v>3.2138333737784444</v>
      </c>
      <c r="AM14" s="11">
        <f>AL14+真實IC!AM14</f>
        <v>3.2750755401570695</v>
      </c>
      <c r="AN14" s="11">
        <f>AM14+真實IC!AN14</f>
        <v>3.3736702069266133</v>
      </c>
      <c r="AO14" s="11">
        <f>AN14+真實IC!AO14</f>
        <v>3.3356258543845518</v>
      </c>
      <c r="AP14" s="11">
        <f>AO14+真實IC!AP14</f>
        <v>3.4056023795366359</v>
      </c>
      <c r="AQ14" s="11">
        <f>AP14+真實IC!AQ14</f>
        <v>3.4137307962444647</v>
      </c>
      <c r="AR14" s="11">
        <f>AQ14+真實IC!AR14</f>
        <v>3.3955599732255797</v>
      </c>
      <c r="AS14" s="11">
        <f>AR14+真實IC!AS14</f>
        <v>3.38889063483589</v>
      </c>
      <c r="AT14" s="11">
        <f>AS14+真實IC!AT14</f>
        <v>3.468294114546528</v>
      </c>
      <c r="AU14" s="11">
        <f>AT14+真實IC!AU14</f>
        <v>3.6061465905992636</v>
      </c>
      <c r="AV14" s="11">
        <f>AU14+真實IC!AV14</f>
        <v>3.6724053398155223</v>
      </c>
      <c r="AW14" s="11">
        <f>AV14+真實IC!AW14</f>
        <v>3.7263340210449498</v>
      </c>
      <c r="AX14" s="11">
        <f>AW14+真實IC!AX14</f>
        <v>3.7457042344204403</v>
      </c>
      <c r="AY14" s="11">
        <f>AX14+真實IC!AY14</f>
        <v>3.7607723531922019</v>
      </c>
      <c r="AZ14" s="11">
        <f>AY14+真實IC!AZ14</f>
        <v>3.7864012807016665</v>
      </c>
      <c r="BA14" s="11">
        <f>AZ14+真實IC!BA14</f>
        <v>3.8827386060576403</v>
      </c>
      <c r="BB14" s="11">
        <f>BA14+真實IC!BB14</f>
        <v>3.9930498549587607</v>
      </c>
      <c r="BC14" s="11">
        <f>BB14+真實IC!BC14</f>
        <v>3.9645441714594547</v>
      </c>
      <c r="BD14" s="11">
        <f>BC14+真實IC!BD14</f>
        <v>3.9809616812704003</v>
      </c>
      <c r="BE14" s="11">
        <f>BD14+真實IC!BE14</f>
        <v>4.0510434514197291</v>
      </c>
      <c r="BF14" s="11">
        <f>BE14+真實IC!BF14</f>
        <v>4.2048727129937378</v>
      </c>
      <c r="BG14" s="11">
        <f>BF14+真實IC!BG14</f>
        <v>4.3301780194333279</v>
      </c>
      <c r="BH14" s="11">
        <f>BG14+真實IC!BH14</f>
        <v>4.4035914836120531</v>
      </c>
      <c r="BI14" s="11">
        <f>BH14+真實IC!BI14</f>
        <v>4.4537766965029073</v>
      </c>
      <c r="BJ14" s="11">
        <f>BI14+真實IC!BJ14</f>
        <v>4.4777936301885433</v>
      </c>
      <c r="BK14" s="11">
        <f>BJ14+真實IC!BK14</f>
        <v>4.4445562482102119</v>
      </c>
      <c r="BL14" s="11">
        <f>BK14+真實IC!BL14</f>
        <v>4.5045531437376525</v>
      </c>
      <c r="BM14" s="11">
        <f>BL14+真實IC!BM14</f>
        <v>4.550831468740653</v>
      </c>
      <c r="BN14" s="11">
        <f>BM14+真實IC!BN14</f>
        <v>4.5042548245442369</v>
      </c>
      <c r="BO14" s="11">
        <f>BN14+真實IC!BO14</f>
        <v>4.5378638702215017</v>
      </c>
      <c r="BP14" s="11">
        <f>BO14+真實IC!BP14</f>
        <v>4.4875315868937564</v>
      </c>
      <c r="BQ14" s="11">
        <f>BP14+真實IC!BQ14</f>
        <v>4.5033751107637068</v>
      </c>
      <c r="BR14" s="11">
        <f>BQ14+真實IC!BR14</f>
        <v>4.6034275338390929</v>
      </c>
      <c r="BS14" s="11">
        <f>BR14+真實IC!BS14</f>
        <v>4.6337602578258634</v>
      </c>
      <c r="BT14" s="11">
        <f>BS14+真實IC!BT14</f>
        <v>4.6184723299224908</v>
      </c>
      <c r="BU14" s="11">
        <f>BT14+真實IC!BU14</f>
        <v>4.7296317842362354</v>
      </c>
      <c r="BV14" s="11">
        <f>BU14+真實IC!BV14</f>
        <v>4.8376134174362297</v>
      </c>
      <c r="BW14" s="11">
        <f>BV14+真實IC!BW14</f>
        <v>4.9685109259934146</v>
      </c>
      <c r="BX14" s="11">
        <f>BW14+真實IC!BX14</f>
        <v>4.9682037917687483</v>
      </c>
      <c r="BY14" s="11">
        <f>BX14+真實IC!BY14</f>
        <v>4.9255993021153994</v>
      </c>
      <c r="BZ14" s="11">
        <f>BY14+真實IC!BZ14</f>
        <v>4.9856333589441819</v>
      </c>
      <c r="CA14" s="11">
        <f>BZ14+真實IC!CA14</f>
        <v>5.0100986250591193</v>
      </c>
      <c r="CB14" s="11">
        <f>CA14+真實IC!CB14</f>
        <v>5.1745641263810258</v>
      </c>
      <c r="CC14" s="11">
        <f>CB14+真實IC!CC14</f>
        <v>5.2951602849702084</v>
      </c>
      <c r="CD14" s="11">
        <f>CC14+真實IC!CD14</f>
        <v>5.3931769949024062</v>
      </c>
      <c r="CE14" s="11">
        <f>CD14+真實IC!CE14</f>
        <v>5.5637322973909571</v>
      </c>
      <c r="CF14" s="11">
        <f>CE14+真實IC!CF14</f>
        <v>5.6560629806730187</v>
      </c>
      <c r="CG14" s="11">
        <f>CF14+真實IC!CG14</f>
        <v>5.7133836443408397</v>
      </c>
      <c r="CH14" s="11">
        <f>CG14+真實IC!CH14</f>
        <v>5.7780450366190568</v>
      </c>
      <c r="CI14" s="11">
        <f>CH14+真實IC!CI14</f>
        <v>5.8839298139824159</v>
      </c>
      <c r="CJ14" s="11">
        <f>CI14+真實IC!CJ14</f>
        <v>5.9017259303315575</v>
      </c>
      <c r="CK14" s="11">
        <f>CJ14+真實IC!CK14</f>
        <v>5.9555180168455504</v>
      </c>
      <c r="CL14" s="11">
        <f>CK14+真實IC!CL14</f>
        <v>6.0177879717243865</v>
      </c>
      <c r="CM14" s="11">
        <f>CL14+真實IC!CM14</f>
        <v>6.1278569446970961</v>
      </c>
      <c r="CN14" s="11">
        <f>CM14+真實IC!CN14</f>
        <v>6.3024526193821533</v>
      </c>
      <c r="CO14" s="11">
        <f>CN14+真實IC!CO14</f>
        <v>6.475701773336108</v>
      </c>
      <c r="CP14" s="11">
        <f>CO14+真實IC!CP14</f>
        <v>6.5755111048178607</v>
      </c>
      <c r="CQ14" s="11">
        <f>CP14+真實IC!CQ14</f>
        <v>6.6077390047052482</v>
      </c>
      <c r="CR14" s="11">
        <f>CQ14+真實IC!CR14</f>
        <v>6.815458717295896</v>
      </c>
      <c r="CS14" s="11">
        <f>CR14+真實IC!CS14</f>
        <v>6.8110460837626468</v>
      </c>
      <c r="CT14" s="11">
        <f>CS14+真實IC!CT14</f>
        <v>6.8729184361542481</v>
      </c>
      <c r="CU14" s="11">
        <f>CT14+真實IC!CU14</f>
        <v>6.9744634361109625</v>
      </c>
      <c r="CV14" s="11">
        <f>CU14+真實IC!CV14</f>
        <v>7.1258602772685959</v>
      </c>
      <c r="CW14" s="11">
        <f>CV14+真實IC!CW14</f>
        <v>7.1706241617118556</v>
      </c>
      <c r="CX14" s="11">
        <f>CW14+真實IC!CX14</f>
        <v>7.2069235706000949</v>
      </c>
      <c r="CY14" s="11">
        <f>CX14+真實IC!CY14</f>
        <v>7.2570613140740443</v>
      </c>
      <c r="CZ14" s="11">
        <f>CY14+真實IC!CZ14</f>
        <v>7.3211248774244275</v>
      </c>
      <c r="DA14" s="11">
        <f>CZ14+真實IC!DA14</f>
        <v>7.3865182048489677</v>
      </c>
      <c r="DB14" s="11">
        <f>DA14+真實IC!DB14</f>
        <v>7.4911256459491975</v>
      </c>
      <c r="DC14" s="11">
        <f>DB14+真實IC!DC14</f>
        <v>7.5147582551540451</v>
      </c>
      <c r="DD14" s="11">
        <f>DC14+真實IC!DD14</f>
        <v>7.5939636070022294</v>
      </c>
      <c r="DE14" s="11">
        <f>DD14+真實IC!DE14</f>
        <v>7.6564905310086884</v>
      </c>
      <c r="DF14" s="11">
        <f>DE14+真實IC!DF14</f>
        <v>7.8580533704758002</v>
      </c>
      <c r="DG14" s="11">
        <f>DF14+真實IC!DG14</f>
        <v>7.9036367662026983</v>
      </c>
      <c r="DH14" s="11">
        <f>DG14+真實IC!DH14</f>
        <v>7.9623779603690723</v>
      </c>
      <c r="DI14" s="11">
        <f>DH14+真實IC!DI14</f>
        <v>8.0490244086675578</v>
      </c>
      <c r="DJ14" s="11">
        <f>DI14+真實IC!DJ14</f>
        <v>8.0578184380548787</v>
      </c>
      <c r="DK14" s="11">
        <f>DJ14+真實IC!DK14</f>
        <v>8.1394399875587382</v>
      </c>
      <c r="DL14" s="11">
        <f>DK14+真實IC!DL14</f>
        <v>8.1801948593906371</v>
      </c>
      <c r="DM14" s="11">
        <f>DL14+真實IC!DM14</f>
        <v>8.1813160091283983</v>
      </c>
      <c r="DN14" s="11">
        <f>DM14+真實IC!DN14</f>
        <v>8.2239785050216625</v>
      </c>
      <c r="DO14" s="11">
        <f>DN14+真實IC!DO14</f>
        <v>8.3265706943848965</v>
      </c>
      <c r="DP14" s="11">
        <f>DO14+真實IC!DP14</f>
        <v>8.3894855024551962</v>
      </c>
      <c r="DQ14" s="11">
        <f>DP14+真實IC!DQ14</f>
        <v>8.4606580670363289</v>
      </c>
      <c r="DR14" s="11">
        <f>DQ14+真實IC!DR14</f>
        <v>8.5132805864953287</v>
      </c>
      <c r="DS14" s="11">
        <f>DR14+真實IC!DS14</f>
        <v>8.5693324064238929</v>
      </c>
      <c r="DT14" s="11">
        <f>DS14+真實IC!DT14</f>
        <v>8.5770866967629757</v>
      </c>
      <c r="DU14" s="11">
        <f>DT14+真實IC!DU14</f>
        <v>8.6458819699551395</v>
      </c>
      <c r="DV14" s="11">
        <f>DU14+真實IC!DV14</f>
        <v>8.7541443244852459</v>
      </c>
      <c r="DW14" s="11">
        <f>DV14+真實IC!DW14</f>
        <v>8.7559536339937623</v>
      </c>
      <c r="DX14" s="11">
        <f>DW14+真實IC!DX14</f>
        <v>8.857885139546184</v>
      </c>
      <c r="DY14" s="11">
        <f>DX14+真實IC!DY14</f>
        <v>8.9321438396249349</v>
      </c>
      <c r="DZ14" s="11">
        <f>DY14+真實IC!DZ14</f>
        <v>8.967174839488715</v>
      </c>
      <c r="EA14" s="11">
        <f>DZ14+真實IC!EA14</f>
        <v>9.0300875240614573</v>
      </c>
      <c r="EB14" s="11">
        <f>EA14+真實IC!EB14</f>
        <v>9.1082673547617201</v>
      </c>
      <c r="EC14" s="11">
        <f>EB14+真實IC!EC14</f>
        <v>9.1143467369098534</v>
      </c>
      <c r="ED14" s="11">
        <f>EC14+真實IC!ED14</f>
        <v>9.2169764460960408</v>
      </c>
      <c r="EE14" s="11">
        <f>ED14+真實IC!EE14</f>
        <v>9.2135771925779686</v>
      </c>
      <c r="EF14" s="11">
        <f>EE14+真實IC!EF14</f>
        <v>9.239102547779849</v>
      </c>
    </row>
    <row r="15" spans="1:137" x14ac:dyDescent="0.3">
      <c r="A15" s="1">
        <v>100</v>
      </c>
      <c r="B15" s="1">
        <v>10</v>
      </c>
      <c r="C15" s="11">
        <f>IF(預測IC!C15&gt;預測IC!C$26,1,0)</f>
        <v>1</v>
      </c>
      <c r="D15" s="11">
        <f>C15+真實IC!D15</f>
        <v>1.3727092156099256</v>
      </c>
      <c r="E15" s="11">
        <f>D15+真實IC!E15</f>
        <v>1.4347548957268834</v>
      </c>
      <c r="F15" s="11">
        <f>E15+真實IC!F15</f>
        <v>1.399833459170186</v>
      </c>
      <c r="G15" s="11">
        <f>F15+真實IC!G15</f>
        <v>1.4342373801372226</v>
      </c>
      <c r="H15" s="11">
        <f>G15+真實IC!H15</f>
        <v>1.5530810838445819</v>
      </c>
      <c r="I15" s="11">
        <f>H15+真實IC!I15</f>
        <v>1.6115125281244473</v>
      </c>
      <c r="J15" s="11">
        <f>I15+真實IC!J15</f>
        <v>1.661473993371837</v>
      </c>
      <c r="K15" s="11">
        <f>J15+真實IC!K15</f>
        <v>1.7559887909637679</v>
      </c>
      <c r="L15" s="11">
        <f>K15+真實IC!L15</f>
        <v>1.7430217060027275</v>
      </c>
      <c r="M15" s="11">
        <f>L15+真實IC!M15</f>
        <v>1.7408886895664399</v>
      </c>
      <c r="N15" s="11">
        <f>M15+真實IC!N15</f>
        <v>2.0711980264312468</v>
      </c>
      <c r="O15" s="11">
        <f>N15+真實IC!O15</f>
        <v>2.058927230672094</v>
      </c>
      <c r="P15" s="11">
        <f>O15+真實IC!P15</f>
        <v>2.1230434136937557</v>
      </c>
      <c r="Q15" s="11">
        <f>P15+真實IC!Q15</f>
        <v>2.2785802558015682</v>
      </c>
      <c r="R15" s="11">
        <f>Q15+真實IC!R15</f>
        <v>2.2264505656964508</v>
      </c>
      <c r="S15" s="11">
        <f>R15+真實IC!S15</f>
        <v>2.4964584607786047</v>
      </c>
      <c r="T15" s="11">
        <f>S15+真實IC!T15</f>
        <v>2.542349537895789</v>
      </c>
      <c r="U15" s="11">
        <f>T15+真實IC!U15</f>
        <v>2.6793175995630576</v>
      </c>
      <c r="V15" s="11">
        <f>U15+真實IC!V15</f>
        <v>2.662185746214945</v>
      </c>
      <c r="W15" s="11">
        <f>V15+真實IC!W15</f>
        <v>2.7691203013728782</v>
      </c>
      <c r="X15" s="11">
        <f>W15+真實IC!X15</f>
        <v>2.9803066287032598</v>
      </c>
      <c r="Y15" s="11">
        <f>X15+真實IC!Y15</f>
        <v>2.9596766543374398</v>
      </c>
      <c r="Z15" s="11">
        <f>Y15+真實IC!Z15</f>
        <v>3.0063966263907984</v>
      </c>
      <c r="AA15" s="11">
        <f>Z15+真實IC!AA15</f>
        <v>3.1672470106038628</v>
      </c>
      <c r="AB15" s="11">
        <f>AA15+真實IC!AB15</f>
        <v>3.2509471831196932</v>
      </c>
      <c r="AC15" s="11">
        <f>AB15+真實IC!AC15</f>
        <v>3.2552648519677483</v>
      </c>
      <c r="AD15" s="11">
        <f>AC15+真實IC!AD15</f>
        <v>3.2949553330954564</v>
      </c>
      <c r="AE15" s="11">
        <f>AD15+真實IC!AE15</f>
        <v>3.5067479761427283</v>
      </c>
      <c r="AF15" s="11">
        <f>AE15+真實IC!AF15</f>
        <v>3.6444742633203826</v>
      </c>
      <c r="AG15" s="11">
        <f>AF15+真實IC!AG15</f>
        <v>3.6545977415820383</v>
      </c>
      <c r="AH15" s="11">
        <f>AG15+真實IC!AH15</f>
        <v>3.620993368224362</v>
      </c>
      <c r="AI15" s="11">
        <f>AH15+真實IC!AI15</f>
        <v>3.6952703284344439</v>
      </c>
      <c r="AJ15" s="11">
        <f>AI15+真實IC!AJ15</f>
        <v>3.7047351884019197</v>
      </c>
      <c r="AK15" s="11">
        <f>AJ15+真實IC!AK15</f>
        <v>3.7664948080603646</v>
      </c>
      <c r="AL15" s="11">
        <f>AK15+真實IC!AL15</f>
        <v>3.7596130489489283</v>
      </c>
      <c r="AM15" s="11">
        <f>AL15+真實IC!AM15</f>
        <v>3.8147356710835556</v>
      </c>
      <c r="AN15" s="11">
        <f>AM15+真實IC!AN15</f>
        <v>3.916424376995939</v>
      </c>
      <c r="AO15" s="11">
        <f>AN15+真實IC!AO15</f>
        <v>3.8650398567559718</v>
      </c>
      <c r="AP15" s="11">
        <f>AO15+真實IC!AP15</f>
        <v>3.9433255506487259</v>
      </c>
      <c r="AQ15" s="11">
        <f>AP15+真實IC!AQ15</f>
        <v>3.9630765378770856</v>
      </c>
      <c r="AR15" s="11">
        <f>AQ15+真實IC!AR15</f>
        <v>3.9385257181788069</v>
      </c>
      <c r="AS15" s="11">
        <f>AR15+真實IC!AS15</f>
        <v>3.8897924968247053</v>
      </c>
      <c r="AT15" s="11">
        <f>AS15+真實IC!AT15</f>
        <v>3.96078230942841</v>
      </c>
      <c r="AU15" s="11">
        <f>AT15+真實IC!AU15</f>
        <v>4.1278907404978407</v>
      </c>
      <c r="AV15" s="11">
        <f>AU15+真實IC!AV15</f>
        <v>4.1651886691969509</v>
      </c>
      <c r="AW15" s="11">
        <f>AV15+真實IC!AW15</f>
        <v>4.2569161419903017</v>
      </c>
      <c r="AX15" s="11">
        <f>AW15+真實IC!AX15</f>
        <v>4.3382767079450701</v>
      </c>
      <c r="AY15" s="11">
        <f>AX15+真實IC!AY15</f>
        <v>4.3662937720551032</v>
      </c>
      <c r="AZ15" s="11">
        <f>AY15+真實IC!AZ15</f>
        <v>4.4031411238077061</v>
      </c>
      <c r="BA15" s="11">
        <f>AZ15+真實IC!BA15</f>
        <v>4.5608290722160447</v>
      </c>
      <c r="BB15" s="11">
        <f>BA15+真實IC!BB15</f>
        <v>4.7585422217203854</v>
      </c>
      <c r="BC15" s="11">
        <f>BB15+真實IC!BC15</f>
        <v>4.7276055300980353</v>
      </c>
      <c r="BD15" s="11">
        <f>BC15+真實IC!BD15</f>
        <v>4.7349684460607406</v>
      </c>
      <c r="BE15" s="11">
        <f>BD15+真實IC!BE15</f>
        <v>4.7763664167576492</v>
      </c>
      <c r="BF15" s="11">
        <f>BE15+真實IC!BF15</f>
        <v>4.9872385042476362</v>
      </c>
      <c r="BG15" s="11">
        <f>BF15+真實IC!BG15</f>
        <v>5.1532897197122329</v>
      </c>
      <c r="BH15" s="11">
        <f>BG15+真實IC!BH15</f>
        <v>5.2519387661186538</v>
      </c>
      <c r="BI15" s="11">
        <f>BH15+真實IC!BI15</f>
        <v>5.3205254252336234</v>
      </c>
      <c r="BJ15" s="11">
        <f>BI15+真實IC!BJ15</f>
        <v>5.3956793233472986</v>
      </c>
      <c r="BK15" s="11">
        <f>BJ15+真實IC!BK15</f>
        <v>5.3228099044647097</v>
      </c>
      <c r="BL15" s="11">
        <f>BK15+真實IC!BL15</f>
        <v>5.3825653254390309</v>
      </c>
      <c r="BM15" s="11">
        <f>BL15+真實IC!BM15</f>
        <v>5.4307843299267748</v>
      </c>
      <c r="BN15" s="11">
        <f>BM15+真實IC!BN15</f>
        <v>5.364730294701193</v>
      </c>
      <c r="BO15" s="11">
        <f>BN15+真實IC!BO15</f>
        <v>5.3924647706561242</v>
      </c>
      <c r="BP15" s="11">
        <f>BO15+真實IC!BP15</f>
        <v>5.3408479161840594</v>
      </c>
      <c r="BQ15" s="11">
        <f>BP15+真實IC!BQ15</f>
        <v>5.3536508474743876</v>
      </c>
      <c r="BR15" s="11">
        <f>BQ15+真實IC!BR15</f>
        <v>5.4774129839108427</v>
      </c>
      <c r="BS15" s="11">
        <f>BR15+真實IC!BS15</f>
        <v>5.4892788948194546</v>
      </c>
      <c r="BT15" s="11">
        <f>BS15+真實IC!BT15</f>
        <v>5.5259125610150148</v>
      </c>
      <c r="BU15" s="11">
        <f>BT15+真實IC!BU15</f>
        <v>5.6114582947364546</v>
      </c>
      <c r="BV15" s="11">
        <f>BU15+真實IC!BV15</f>
        <v>5.716098339030145</v>
      </c>
      <c r="BW15" s="11">
        <f>BV15+真實IC!BW15</f>
        <v>6.014977328606073</v>
      </c>
      <c r="BX15" s="11">
        <f>BW15+真實IC!BX15</f>
        <v>6.0389267600434149</v>
      </c>
      <c r="BY15" s="11">
        <f>BX15+真實IC!BY15</f>
        <v>5.9129031864663277</v>
      </c>
      <c r="BZ15" s="11">
        <f>BY15+真實IC!BZ15</f>
        <v>6.0158096554436753</v>
      </c>
      <c r="CA15" s="11">
        <f>BZ15+真實IC!CA15</f>
        <v>6.0344016762401171</v>
      </c>
      <c r="CB15" s="11">
        <f>CA15+真實IC!CB15</f>
        <v>6.1654930790241789</v>
      </c>
      <c r="CC15" s="11">
        <f>CB15+真實IC!CC15</f>
        <v>6.3391447847462992</v>
      </c>
      <c r="CD15" s="11">
        <f>CC15+真實IC!CD15</f>
        <v>6.4592968687093837</v>
      </c>
      <c r="CE15" s="11">
        <f>CD15+真實IC!CE15</f>
        <v>6.5326649887578343</v>
      </c>
      <c r="CF15" s="11">
        <f>CE15+真實IC!CF15</f>
        <v>6.6270216391512546</v>
      </c>
      <c r="CG15" s="11">
        <f>CF15+真實IC!CG15</f>
        <v>6.7129076606814184</v>
      </c>
      <c r="CH15" s="11">
        <f>CG15+真實IC!CH15</f>
        <v>6.7757936189651193</v>
      </c>
      <c r="CI15" s="11">
        <f>CH15+真實IC!CI15</f>
        <v>6.8145920338600998</v>
      </c>
      <c r="CJ15" s="11">
        <f>CI15+真實IC!CJ15</f>
        <v>6.8552637508071612</v>
      </c>
      <c r="CK15" s="11">
        <f>CJ15+真實IC!CK15</f>
        <v>6.9509044989798667</v>
      </c>
      <c r="CL15" s="11">
        <f>CK15+真實IC!CL15</f>
        <v>6.9823264739731155</v>
      </c>
      <c r="CM15" s="11">
        <f>CL15+真實IC!CM15</f>
        <v>7.0904462296860382</v>
      </c>
      <c r="CN15" s="11">
        <f>CM15+真實IC!CN15</f>
        <v>7.2335960466572784</v>
      </c>
      <c r="CO15" s="11">
        <f>CN15+真實IC!CO15</f>
        <v>7.4069560358963278</v>
      </c>
      <c r="CP15" s="11">
        <f>CO15+真實IC!CP15</f>
        <v>7.5344918713292772</v>
      </c>
      <c r="CQ15" s="11">
        <f>CP15+真實IC!CQ15</f>
        <v>7.5095285108728387</v>
      </c>
      <c r="CR15" s="11">
        <f>CQ15+真實IC!CR15</f>
        <v>7.6910174431085734</v>
      </c>
      <c r="CS15" s="11">
        <f>CR15+真實IC!CS15</f>
        <v>7.6975004942076186</v>
      </c>
      <c r="CT15" s="11">
        <f>CS15+真實IC!CT15</f>
        <v>7.7297170506526705</v>
      </c>
      <c r="CU15" s="11">
        <f>CT15+真實IC!CU15</f>
        <v>7.8537669820665386</v>
      </c>
      <c r="CV15" s="11">
        <f>CU15+真實IC!CV15</f>
        <v>8.0363785297834553</v>
      </c>
      <c r="CW15" s="11">
        <f>CV15+真實IC!CW15</f>
        <v>8.0624506206865814</v>
      </c>
      <c r="CX15" s="11">
        <f>CW15+真實IC!CX15</f>
        <v>8.0864902277399118</v>
      </c>
      <c r="CY15" s="11">
        <f>CX15+真實IC!CY15</f>
        <v>8.1422229385647391</v>
      </c>
      <c r="CZ15" s="11">
        <f>CY15+真實IC!CZ15</f>
        <v>8.2221098865090809</v>
      </c>
      <c r="DA15" s="11">
        <f>CZ15+真實IC!DA15</f>
        <v>8.3109720987064364</v>
      </c>
      <c r="DB15" s="11">
        <f>DA15+真實IC!DB15</f>
        <v>8.4080203402319018</v>
      </c>
      <c r="DC15" s="11">
        <f>DB15+真實IC!DC15</f>
        <v>8.4430954902064848</v>
      </c>
      <c r="DD15" s="11">
        <f>DC15+真實IC!DD15</f>
        <v>8.4576022163379303</v>
      </c>
      <c r="DE15" s="11">
        <f>DD15+真實IC!DE15</f>
        <v>8.5147658510691819</v>
      </c>
      <c r="DF15" s="11">
        <f>DE15+真實IC!DF15</f>
        <v>8.8174863007119644</v>
      </c>
      <c r="DG15" s="11">
        <f>DF15+真實IC!DG15</f>
        <v>8.8654037856863059</v>
      </c>
      <c r="DH15" s="11">
        <f>DG15+真實IC!DH15</f>
        <v>8.9950257213541622</v>
      </c>
      <c r="DI15" s="11">
        <f>DH15+真實IC!DI15</f>
        <v>9.0378374885672752</v>
      </c>
      <c r="DJ15" s="11">
        <f>DI15+真實IC!DJ15</f>
        <v>9.0978612652583326</v>
      </c>
      <c r="DK15" s="11">
        <f>DJ15+真實IC!DK15</f>
        <v>9.1981901921264146</v>
      </c>
      <c r="DL15" s="11">
        <f>DK15+真實IC!DL15</f>
        <v>9.1978861989235874</v>
      </c>
      <c r="DM15" s="11">
        <f>DL15+真實IC!DM15</f>
        <v>9.1961129341863792</v>
      </c>
      <c r="DN15" s="11">
        <f>DM15+真實IC!DN15</f>
        <v>9.2401094316099996</v>
      </c>
      <c r="DO15" s="11">
        <f>DN15+真實IC!DO15</f>
        <v>9.3996548429692712</v>
      </c>
      <c r="DP15" s="11">
        <f>DO15+真實IC!DP15</f>
        <v>9.533959790334638</v>
      </c>
      <c r="DQ15" s="11">
        <f>DP15+真實IC!DQ15</f>
        <v>9.5709984792868354</v>
      </c>
      <c r="DR15" s="11">
        <f>DQ15+真實IC!DR15</f>
        <v>9.6410090459047737</v>
      </c>
      <c r="DS15" s="11">
        <f>DR15+真實IC!DS15</f>
        <v>9.6785391896827413</v>
      </c>
      <c r="DT15" s="11">
        <f>DS15+真實IC!DT15</f>
        <v>9.7312579796718115</v>
      </c>
      <c r="DU15" s="11">
        <f>DT15+真實IC!DU15</f>
        <v>9.8483856331824597</v>
      </c>
      <c r="DV15" s="11">
        <f>DU15+真實IC!DV15</f>
        <v>9.9881539901233314</v>
      </c>
      <c r="DW15" s="11">
        <f>DV15+真實IC!DW15</f>
        <v>9.9273276637859507</v>
      </c>
      <c r="DX15" s="11">
        <f>DW15+真實IC!DX15</f>
        <v>10.045943914435938</v>
      </c>
      <c r="DY15" s="11">
        <f>DX15+真實IC!DY15</f>
        <v>10.189553488816721</v>
      </c>
      <c r="DZ15" s="11">
        <f>DY15+真實IC!DZ15</f>
        <v>10.23000914212073</v>
      </c>
      <c r="EA15" s="11">
        <f>DZ15+真實IC!EA15</f>
        <v>10.273460362401055</v>
      </c>
      <c r="EB15" s="11">
        <f>EA15+真實IC!EB15</f>
        <v>10.361547811928309</v>
      </c>
      <c r="EC15" s="11">
        <f>EB15+真實IC!EC15</f>
        <v>10.427629667976255</v>
      </c>
      <c r="ED15" s="11">
        <f>EC15+真實IC!ED15</f>
        <v>10.540986723911567</v>
      </c>
      <c r="EE15" s="11">
        <f>ED15+真實IC!EE15</f>
        <v>10.544177444413094</v>
      </c>
      <c r="EF15" s="11">
        <f>EE15+真實IC!EF15</f>
        <v>10.573823499485099</v>
      </c>
    </row>
    <row r="16" spans="1:137" x14ac:dyDescent="0.3">
      <c r="A16" s="1">
        <v>107</v>
      </c>
      <c r="B16" s="1">
        <v>9</v>
      </c>
      <c r="C16" s="11">
        <f>IF(預測IC!C16&gt;預測IC!C$26,1,0)</f>
        <v>1</v>
      </c>
      <c r="D16" s="11">
        <f>C16+真實IC!D16</f>
        <v>1.4081949787325807</v>
      </c>
      <c r="E16" s="11">
        <f>D16+真實IC!E16</f>
        <v>1.4732015558439089</v>
      </c>
      <c r="F16" s="11">
        <f>E16+真實IC!F16</f>
        <v>1.3944860839395778</v>
      </c>
      <c r="G16" s="11">
        <f>F16+真實IC!G16</f>
        <v>1.4026326345985272</v>
      </c>
      <c r="H16" s="11">
        <f>G16+真實IC!H16</f>
        <v>1.4754806908861746</v>
      </c>
      <c r="I16" s="11">
        <f>H16+真實IC!I16</f>
        <v>1.5330113095517961</v>
      </c>
      <c r="J16" s="11">
        <f>I16+真實IC!J16</f>
        <v>1.5797212355944623</v>
      </c>
      <c r="K16" s="11">
        <f>J16+真實IC!K16</f>
        <v>1.6661421271768528</v>
      </c>
      <c r="L16" s="11">
        <f>K16+真實IC!L16</f>
        <v>1.6351149762113797</v>
      </c>
      <c r="M16" s="11">
        <f>L16+真實IC!M16</f>
        <v>1.6211275403494625</v>
      </c>
      <c r="N16" s="11">
        <f>M16+真實IC!N16</f>
        <v>1.9881151494720488</v>
      </c>
      <c r="O16" s="11">
        <f>N16+真實IC!O16</f>
        <v>1.9595280725930697</v>
      </c>
      <c r="P16" s="11">
        <f>O16+真實IC!P16</f>
        <v>2.020573304384492</v>
      </c>
      <c r="Q16" s="11">
        <f>P16+真實IC!Q16</f>
        <v>2.1784763748088301</v>
      </c>
      <c r="R16" s="11">
        <f>Q16+真實IC!R16</f>
        <v>2.1294853965259035</v>
      </c>
      <c r="S16" s="11">
        <f>R16+真實IC!S16</f>
        <v>2.4165484169246985</v>
      </c>
      <c r="T16" s="11">
        <f>S16+真實IC!T16</f>
        <v>2.4549550902183106</v>
      </c>
      <c r="U16" s="11">
        <f>T16+真實IC!U16</f>
        <v>2.5850175616480553</v>
      </c>
      <c r="V16" s="11">
        <f>U16+真實IC!V16</f>
        <v>2.5789954163150894</v>
      </c>
      <c r="W16" s="11">
        <f>V16+真實IC!W16</f>
        <v>2.6573689043427273</v>
      </c>
      <c r="X16" s="11">
        <f>W16+真實IC!X16</f>
        <v>2.8979008659698935</v>
      </c>
      <c r="Y16" s="11">
        <f>X16+真實IC!Y16</f>
        <v>2.8777202775502579</v>
      </c>
      <c r="Z16" s="11">
        <f>Y16+真實IC!Z16</f>
        <v>2.9207782084344696</v>
      </c>
      <c r="AA16" s="11">
        <f>Z16+真實IC!AA16</f>
        <v>3.0869370997317866</v>
      </c>
      <c r="AB16" s="11">
        <f>AA16+真實IC!AB16</f>
        <v>3.1619221413697671</v>
      </c>
      <c r="AC16" s="11">
        <f>AB16+真實IC!AC16</f>
        <v>3.1491566933343504</v>
      </c>
      <c r="AD16" s="11">
        <f>AC16+真實IC!AD16</f>
        <v>3.1839678651916019</v>
      </c>
      <c r="AE16" s="11">
        <f>AD16+真實IC!AE16</f>
        <v>3.3935961063685123</v>
      </c>
      <c r="AF16" s="11">
        <f>AE16+真實IC!AF16</f>
        <v>3.5415117166329386</v>
      </c>
      <c r="AG16" s="11">
        <f>AF16+真實IC!AG16</f>
        <v>3.554802469669474</v>
      </c>
      <c r="AH16" s="11">
        <f>AG16+真實IC!AH16</f>
        <v>3.5230370692200332</v>
      </c>
      <c r="AI16" s="11">
        <f>AH16+真實IC!AI16</f>
        <v>3.6135597184371879</v>
      </c>
      <c r="AJ16" s="11">
        <f>AI16+真實IC!AJ16</f>
        <v>3.606533752365312</v>
      </c>
      <c r="AK16" s="11">
        <f>AJ16+真實IC!AK16</f>
        <v>3.6709551531976841</v>
      </c>
      <c r="AL16" s="11">
        <f>AK16+真實IC!AL16</f>
        <v>3.6564826416802254</v>
      </c>
      <c r="AM16" s="11">
        <f>AL16+真實IC!AM16</f>
        <v>3.7225593722820234</v>
      </c>
      <c r="AN16" s="11">
        <f>AM16+真實IC!AN16</f>
        <v>3.829015572371699</v>
      </c>
      <c r="AO16" s="11">
        <f>AN16+真實IC!AO16</f>
        <v>3.7879254190099578</v>
      </c>
      <c r="AP16" s="11">
        <f>AO16+真實IC!AP16</f>
        <v>3.8657237871555465</v>
      </c>
      <c r="AQ16" s="11">
        <f>AP16+真實IC!AQ16</f>
        <v>3.8897598410100991</v>
      </c>
      <c r="AR16" s="11">
        <f>AQ16+真實IC!AR16</f>
        <v>3.8572670812900354</v>
      </c>
      <c r="AS16" s="11">
        <f>AR16+真實IC!AS16</f>
        <v>3.8046243630518015</v>
      </c>
      <c r="AT16" s="11">
        <f>AS16+真實IC!AT16</f>
        <v>3.9271884064020863</v>
      </c>
      <c r="AU16" s="11">
        <f>AT16+真實IC!AU16</f>
        <v>4.0974242952192261</v>
      </c>
      <c r="AV16" s="11">
        <f>AU16+真實IC!AV16</f>
        <v>4.1495051306559638</v>
      </c>
      <c r="AW16" s="11">
        <f>AV16+真實IC!AW16</f>
        <v>4.2584900692974923</v>
      </c>
      <c r="AX16" s="11">
        <f>AW16+真實IC!AX16</f>
        <v>4.3591113983988947</v>
      </c>
      <c r="AY16" s="11">
        <f>AX16+真實IC!AY16</f>
        <v>4.3929239882432407</v>
      </c>
      <c r="AZ16" s="11">
        <f>AY16+真實IC!AZ16</f>
        <v>4.4397508642466175</v>
      </c>
      <c r="BA16" s="11">
        <f>AZ16+真實IC!BA16</f>
        <v>4.5997415644212385</v>
      </c>
      <c r="BB16" s="11">
        <f>BA16+真實IC!BB16</f>
        <v>4.8252151274969783</v>
      </c>
      <c r="BC16" s="11">
        <f>BB16+真實IC!BC16</f>
        <v>4.7862157355747463</v>
      </c>
      <c r="BD16" s="11">
        <f>BC16+真實IC!BD16</f>
        <v>4.7924979199996294</v>
      </c>
      <c r="BE16" s="11">
        <f>BD16+真實IC!BE16</f>
        <v>4.853695563926089</v>
      </c>
      <c r="BF16" s="11">
        <f>BE16+真實IC!BF16</f>
        <v>5.1014824230265488</v>
      </c>
      <c r="BG16" s="11">
        <f>BF16+真實IC!BG16</f>
        <v>5.2627119926108996</v>
      </c>
      <c r="BH16" s="11">
        <f>BG16+真實IC!BH16</f>
        <v>5.3588740271186337</v>
      </c>
      <c r="BI16" s="11">
        <f>BH16+真實IC!BI16</f>
        <v>5.4003178348818954</v>
      </c>
      <c r="BJ16" s="11">
        <f>BI16+真實IC!BJ16</f>
        <v>5.4817459536578692</v>
      </c>
      <c r="BK16" s="11">
        <f>BJ16+真實IC!BK16</f>
        <v>5.3769727507373002</v>
      </c>
      <c r="BL16" s="11">
        <f>BK16+真實IC!BL16</f>
        <v>5.4381463502217704</v>
      </c>
      <c r="BM16" s="11">
        <f>BL16+真實IC!BM16</f>
        <v>5.4776443357128768</v>
      </c>
      <c r="BN16" s="11">
        <f>BM16+真實IC!BN16</f>
        <v>5.4104463653081876</v>
      </c>
      <c r="BO16" s="11">
        <f>BN16+真實IC!BO16</f>
        <v>5.4323367252618455</v>
      </c>
      <c r="BP16" s="11">
        <f>BO16+真實IC!BP16</f>
        <v>5.3745866645813898</v>
      </c>
      <c r="BQ16" s="11">
        <f>BP16+真實IC!BQ16</f>
        <v>5.3910646808363181</v>
      </c>
      <c r="BR16" s="11">
        <f>BQ16+真實IC!BR16</f>
        <v>5.5216476490613395</v>
      </c>
      <c r="BS16" s="11">
        <f>BR16+真實IC!BS16</f>
        <v>5.5536546362542225</v>
      </c>
      <c r="BT16" s="11">
        <f>BS16+真實IC!BT16</f>
        <v>5.5917207144664678</v>
      </c>
      <c r="BU16" s="11">
        <f>BT16+真實IC!BU16</f>
        <v>5.693257288694773</v>
      </c>
      <c r="BV16" s="11">
        <f>BU16+真實IC!BV16</f>
        <v>5.7298429266185193</v>
      </c>
      <c r="BW16" s="11">
        <f>BV16+真實IC!BW16</f>
        <v>6.0478137611568865</v>
      </c>
      <c r="BX16" s="11">
        <f>BW16+真實IC!BX16</f>
        <v>6.0718920329862334</v>
      </c>
      <c r="BY16" s="11">
        <f>BX16+真實IC!BY16</f>
        <v>5.9393336237288539</v>
      </c>
      <c r="BZ16" s="11">
        <f>BY16+真實IC!BZ16</f>
        <v>6.0508594722305027</v>
      </c>
      <c r="CA16" s="11">
        <f>BZ16+真實IC!CA16</f>
        <v>6.0805738619860659</v>
      </c>
      <c r="CB16" s="11">
        <f>CA16+真實IC!CB16</f>
        <v>6.2198825979193995</v>
      </c>
      <c r="CC16" s="11">
        <f>CB16+真實IC!CC16</f>
        <v>6.2642707510896054</v>
      </c>
      <c r="CD16" s="11">
        <f>CC16+真實IC!CD16</f>
        <v>6.4193420227159672</v>
      </c>
      <c r="CE16" s="11">
        <f>CD16+真實IC!CE16</f>
        <v>6.5129562531838827</v>
      </c>
      <c r="CF16" s="11">
        <f>CE16+真實IC!CF16</f>
        <v>6.6181575171936338</v>
      </c>
      <c r="CG16" s="11">
        <f>CF16+真實IC!CG16</f>
        <v>6.6798853953403006</v>
      </c>
      <c r="CH16" s="11">
        <f>CG16+真實IC!CH16</f>
        <v>6.7215828100433272</v>
      </c>
      <c r="CI16" s="11">
        <f>CH16+真實IC!CI16</f>
        <v>6.7602926918718449</v>
      </c>
      <c r="CJ16" s="11">
        <f>CI16+真實IC!CJ16</f>
        <v>6.7899960773656085</v>
      </c>
      <c r="CK16" s="11">
        <f>CJ16+真實IC!CK16</f>
        <v>6.8784187671472159</v>
      </c>
      <c r="CL16" s="11">
        <f>CK16+真實IC!CL16</f>
        <v>6.8942974494819254</v>
      </c>
      <c r="CM16" s="11">
        <f>CL16+真實IC!CM16</f>
        <v>7.0073532878732996</v>
      </c>
      <c r="CN16" s="11">
        <f>CM16+真實IC!CN16</f>
        <v>7.1677132041898268</v>
      </c>
      <c r="CO16" s="11">
        <f>CN16+真實IC!CO16</f>
        <v>7.377260722649579</v>
      </c>
      <c r="CP16" s="11">
        <f>CO16+真實IC!CP16</f>
        <v>7.5138924121316704</v>
      </c>
      <c r="CQ16" s="11">
        <f>CP16+真實IC!CQ16</f>
        <v>7.4935586323113093</v>
      </c>
      <c r="CR16" s="11">
        <f>CQ16+真實IC!CR16</f>
        <v>7.6828451657787076</v>
      </c>
      <c r="CS16" s="11">
        <f>CR16+真實IC!CS16</f>
        <v>7.723697353373451</v>
      </c>
      <c r="CT16" s="11">
        <f>CS16+真實IC!CT16</f>
        <v>7.7726008792048802</v>
      </c>
      <c r="CU16" s="11">
        <f>CT16+真實IC!CU16</f>
        <v>7.9080725800690859</v>
      </c>
      <c r="CV16" s="11">
        <f>CU16+真實IC!CV16</f>
        <v>8.0803241027075714</v>
      </c>
      <c r="CW16" s="11">
        <f>CV16+真實IC!CW16</f>
        <v>8.1276657618818504</v>
      </c>
      <c r="CX16" s="11">
        <f>CW16+真實IC!CX16</f>
        <v>8.1399060466361011</v>
      </c>
      <c r="CY16" s="11">
        <f>CX16+真實IC!CY16</f>
        <v>8.1984603528073539</v>
      </c>
      <c r="CZ16" s="11">
        <f>CY16+真實IC!CZ16</f>
        <v>8.3010936119854861</v>
      </c>
      <c r="DA16" s="11">
        <f>CZ16+真實IC!DA16</f>
        <v>8.4192749423479363</v>
      </c>
      <c r="DB16" s="11">
        <f>DA16+真實IC!DB16</f>
        <v>8.5172922252337333</v>
      </c>
      <c r="DC16" s="11">
        <f>DB16+真實IC!DC16</f>
        <v>8.5602345875542341</v>
      </c>
      <c r="DD16" s="11">
        <f>DC16+真實IC!DD16</f>
        <v>8.5919782980415143</v>
      </c>
      <c r="DE16" s="11">
        <f>DD16+真實IC!DE16</f>
        <v>8.6265306984003036</v>
      </c>
      <c r="DF16" s="11">
        <f>DE16+真實IC!DF16</f>
        <v>8.9521102493174567</v>
      </c>
      <c r="DG16" s="11">
        <f>DF16+真實IC!DG16</f>
        <v>8.9977871643463487</v>
      </c>
      <c r="DH16" s="11">
        <f>DG16+真實IC!DH16</f>
        <v>9.1349349247588574</v>
      </c>
      <c r="DI16" s="11">
        <f>DH16+真實IC!DI16</f>
        <v>9.1827645324758453</v>
      </c>
      <c r="DJ16" s="11">
        <f>DI16+真實IC!DJ16</f>
        <v>9.2537195849127301</v>
      </c>
      <c r="DK16" s="11">
        <f>DJ16+真實IC!DK16</f>
        <v>9.3499742097119274</v>
      </c>
      <c r="DL16" s="11">
        <f>DK16+真實IC!DL16</f>
        <v>9.3281013354621525</v>
      </c>
      <c r="DM16" s="11">
        <f>DL16+真實IC!DM16</f>
        <v>9.2899663399015999</v>
      </c>
      <c r="DN16" s="11">
        <f>DM16+真實IC!DN16</f>
        <v>9.3324041932610076</v>
      </c>
      <c r="DO16" s="11">
        <f>DN16+真實IC!DO16</f>
        <v>9.5019951396490825</v>
      </c>
      <c r="DP16" s="11">
        <f>DO16+真實IC!DP16</f>
        <v>9.6623291341248958</v>
      </c>
      <c r="DQ16" s="11">
        <f>DP16+真實IC!DQ16</f>
        <v>9.7093992901294275</v>
      </c>
      <c r="DR16" s="11">
        <f>DQ16+真實IC!DR16</f>
        <v>9.7645905417789418</v>
      </c>
      <c r="DS16" s="11">
        <f>DR16+真實IC!DS16</f>
        <v>9.7860312144914356</v>
      </c>
      <c r="DT16" s="11">
        <f>DS16+真實IC!DT16</f>
        <v>9.8451441895696217</v>
      </c>
      <c r="DU16" s="11">
        <f>DT16+真實IC!DU16</f>
        <v>9.9679162360925861</v>
      </c>
      <c r="DV16" s="11">
        <f>DU16+真實IC!DV16</f>
        <v>10.10486996811038</v>
      </c>
      <c r="DW16" s="11">
        <f>DV16+真實IC!DW16</f>
        <v>10.033567393987024</v>
      </c>
      <c r="DX16" s="11">
        <f>DW16+真實IC!DX16</f>
        <v>10.158852100311002</v>
      </c>
      <c r="DY16" s="11">
        <f>DX16+真實IC!DY16</f>
        <v>10.316424233046375</v>
      </c>
      <c r="DZ16" s="11">
        <f>DY16+真實IC!DZ16</f>
        <v>10.375234981237421</v>
      </c>
      <c r="EA16" s="11">
        <f>DZ16+真實IC!EA16</f>
        <v>10.375655496477664</v>
      </c>
      <c r="EB16" s="11">
        <f>EA16+真實IC!EB16</f>
        <v>10.476334597154866</v>
      </c>
      <c r="EC16" s="11">
        <f>EB16+真實IC!EC16</f>
        <v>10.539866663789436</v>
      </c>
      <c r="ED16" s="11">
        <f>EC16+真實IC!ED16</f>
        <v>10.655283411288357</v>
      </c>
      <c r="EE16" s="11">
        <f>ED16+真實IC!EE16</f>
        <v>10.659680086595117</v>
      </c>
      <c r="EF16" s="11">
        <f>EE16+真實IC!EF16</f>
        <v>10.694230722575096</v>
      </c>
    </row>
    <row r="17" spans="1:136" x14ac:dyDescent="0.3">
      <c r="A17" s="1">
        <v>120</v>
      </c>
      <c r="B17" s="1">
        <v>8</v>
      </c>
      <c r="C17" s="11">
        <f>IF(預測IC!C17&gt;預測IC!C$26,1,0)</f>
        <v>1</v>
      </c>
      <c r="D17" s="11">
        <f>C17+真實IC!D17</f>
        <v>1.4395884886246213</v>
      </c>
      <c r="E17" s="11">
        <f>D17+真實IC!E17</f>
        <v>1.5191783380153743</v>
      </c>
      <c r="F17" s="11">
        <f>E17+真實IC!F17</f>
        <v>1.4384261738630553</v>
      </c>
      <c r="G17" s="11">
        <f>F17+真實IC!G17</f>
        <v>1.5438132485267859</v>
      </c>
      <c r="H17" s="11">
        <f>G17+真實IC!H17</f>
        <v>1.6488073021545269</v>
      </c>
      <c r="I17" s="11">
        <f>H17+真實IC!I17</f>
        <v>1.7625323299567144</v>
      </c>
      <c r="J17" s="11">
        <f>I17+真實IC!J17</f>
        <v>1.8043907250749436</v>
      </c>
      <c r="K17" s="11">
        <f>J17+真實IC!K17</f>
        <v>1.9059508047972535</v>
      </c>
      <c r="L17" s="11">
        <f>K17+真實IC!L17</f>
        <v>1.8721748752586154</v>
      </c>
      <c r="M17" s="11">
        <f>L17+真實IC!M17</f>
        <v>1.8868340173489038</v>
      </c>
      <c r="N17" s="11">
        <f>M17+真實IC!N17</f>
        <v>2.2919420262883659</v>
      </c>
      <c r="O17" s="11">
        <f>N17+真實IC!O17</f>
        <v>2.2806353502242338</v>
      </c>
      <c r="P17" s="11">
        <f>O17+真實IC!P17</f>
        <v>2.346974719363065</v>
      </c>
      <c r="Q17" s="11">
        <f>P17+真實IC!Q17</f>
        <v>2.5087760139781921</v>
      </c>
      <c r="R17" s="11">
        <f>Q17+真實IC!R17</f>
        <v>2.4567184050736648</v>
      </c>
      <c r="S17" s="11">
        <f>R17+真實IC!S17</f>
        <v>2.7673718377289629</v>
      </c>
      <c r="T17" s="11">
        <f>S17+真實IC!T17</f>
        <v>2.7907144232399035</v>
      </c>
      <c r="U17" s="11">
        <f>T17+真實IC!U17</f>
        <v>2.9319855657784606</v>
      </c>
      <c r="V17" s="11">
        <f>U17+真實IC!V17</f>
        <v>2.935996755608159</v>
      </c>
      <c r="W17" s="11">
        <f>V17+真實IC!W17</f>
        <v>3.0151387444101765</v>
      </c>
      <c r="X17" s="11">
        <f>W17+真實IC!X17</f>
        <v>3.2531281757304913</v>
      </c>
      <c r="Y17" s="11">
        <f>X17+真實IC!Y17</f>
        <v>3.2302001646678362</v>
      </c>
      <c r="Z17" s="11">
        <f>Y17+真實IC!Z17</f>
        <v>3.2840686539587018</v>
      </c>
      <c r="AA17" s="11">
        <f>Z17+真實IC!AA17</f>
        <v>3.4753520908741113</v>
      </c>
      <c r="AB17" s="11">
        <f>AA17+真實IC!AB17</f>
        <v>3.5602041537522835</v>
      </c>
      <c r="AC17" s="11">
        <f>AB17+真實IC!AC17</f>
        <v>3.5401178990142621</v>
      </c>
      <c r="AD17" s="11">
        <f>AC17+真實IC!AD17</f>
        <v>3.6087377222511088</v>
      </c>
      <c r="AE17" s="11">
        <f>AD17+真實IC!AE17</f>
        <v>3.8308604266795596</v>
      </c>
      <c r="AF17" s="11">
        <f>AE17+真實IC!AF17</f>
        <v>3.9511467513354059</v>
      </c>
      <c r="AG17" s="11">
        <f>AF17+真實IC!AG17</f>
        <v>3.9738877321231962</v>
      </c>
      <c r="AH17" s="11">
        <f>AG17+真實IC!AH17</f>
        <v>3.9384151129503073</v>
      </c>
      <c r="AI17" s="11">
        <f>AH17+真實IC!AI17</f>
        <v>4.0532795583485939</v>
      </c>
      <c r="AJ17" s="11">
        <f>AI17+真實IC!AJ17</f>
        <v>4.0106769278296373</v>
      </c>
      <c r="AK17" s="11">
        <f>AJ17+真實IC!AK17</f>
        <v>4.0843932025686733</v>
      </c>
      <c r="AL17" s="11">
        <f>AK17+真實IC!AL17</f>
        <v>4.0744094692336743</v>
      </c>
      <c r="AM17" s="11">
        <f>AL17+真實IC!AM17</f>
        <v>4.1497788368213309</v>
      </c>
      <c r="AN17" s="11">
        <f>AM17+真實IC!AN17</f>
        <v>4.2630659571672487</v>
      </c>
      <c r="AO17" s="11">
        <f>AN17+真實IC!AO17</f>
        <v>4.1863714295446259</v>
      </c>
      <c r="AP17" s="11">
        <f>AO17+真實IC!AP17</f>
        <v>4.2636142439642111</v>
      </c>
      <c r="AQ17" s="11">
        <f>AP17+真實IC!AQ17</f>
        <v>4.2728482374400008</v>
      </c>
      <c r="AR17" s="11">
        <f>AQ17+真實IC!AR17</f>
        <v>4.2378509564049436</v>
      </c>
      <c r="AS17" s="11">
        <f>AR17+真實IC!AS17</f>
        <v>4.1790479994607095</v>
      </c>
      <c r="AT17" s="11">
        <f>AS17+真實IC!AT17</f>
        <v>4.3061197925679613</v>
      </c>
      <c r="AU17" s="11">
        <f>AT17+真實IC!AU17</f>
        <v>4.4836818183161329</v>
      </c>
      <c r="AV17" s="11">
        <f>AU17+真實IC!AV17</f>
        <v>4.5422112676507647</v>
      </c>
      <c r="AW17" s="11">
        <f>AV17+真實IC!AW17</f>
        <v>4.618400877880581</v>
      </c>
      <c r="AX17" s="11">
        <f>AW17+真實IC!AX17</f>
        <v>4.7160199829981888</v>
      </c>
      <c r="AY17" s="11">
        <f>AX17+真實IC!AY17</f>
        <v>4.7434436796887898</v>
      </c>
      <c r="AZ17" s="11">
        <f>AY17+真實IC!AZ17</f>
        <v>4.7914241134979623</v>
      </c>
      <c r="BA17" s="11">
        <f>AZ17+真實IC!BA17</f>
        <v>4.9542305233077251</v>
      </c>
      <c r="BB17" s="11">
        <f>BA17+真實IC!BB17</f>
        <v>5.1846725682555954</v>
      </c>
      <c r="BC17" s="11">
        <f>BB17+真實IC!BC17</f>
        <v>5.1573797438751052</v>
      </c>
      <c r="BD17" s="11">
        <f>BC17+真實IC!BD17</f>
        <v>5.1767916157679821</v>
      </c>
      <c r="BE17" s="11">
        <f>BD17+真實IC!BE17</f>
        <v>5.2209018691128204</v>
      </c>
      <c r="BF17" s="11">
        <f>BE17+真實IC!BF17</f>
        <v>5.3686786993929783</v>
      </c>
      <c r="BG17" s="11">
        <f>BF17+真實IC!BG17</f>
        <v>5.554430277523859</v>
      </c>
      <c r="BH17" s="11">
        <f>BG17+真實IC!BH17</f>
        <v>5.6876213908491877</v>
      </c>
      <c r="BI17" s="11">
        <f>BH17+真實IC!BI17</f>
        <v>5.7747333362891347</v>
      </c>
      <c r="BJ17" s="11">
        <f>BI17+真實IC!BJ17</f>
        <v>5.8639248138457942</v>
      </c>
      <c r="BK17" s="11">
        <f>BJ17+真實IC!BK17</f>
        <v>5.7491090218462766</v>
      </c>
      <c r="BL17" s="11">
        <f>BK17+真實IC!BL17</f>
        <v>5.7832614691705713</v>
      </c>
      <c r="BM17" s="11">
        <f>BL17+真實IC!BM17</f>
        <v>5.8123204803229251</v>
      </c>
      <c r="BN17" s="11">
        <f>BM17+真實IC!BN17</f>
        <v>5.7386637123865594</v>
      </c>
      <c r="BO17" s="11">
        <f>BN17+真實IC!BO17</f>
        <v>5.7738433278032826</v>
      </c>
      <c r="BP17" s="11">
        <f>BO17+真實IC!BP17</f>
        <v>5.7132051808933655</v>
      </c>
      <c r="BQ17" s="11">
        <f>BP17+真實IC!BQ17</f>
        <v>5.7245816913398171</v>
      </c>
      <c r="BR17" s="11">
        <f>BQ17+真實IC!BR17</f>
        <v>5.8396040443655686</v>
      </c>
      <c r="BS17" s="11">
        <f>BR17+真實IC!BS17</f>
        <v>5.8605100625792641</v>
      </c>
      <c r="BT17" s="11">
        <f>BS17+真實IC!BT17</f>
        <v>5.8941576358256222</v>
      </c>
      <c r="BU17" s="11">
        <f>BT17+真實IC!BU17</f>
        <v>5.9986819353584826</v>
      </c>
      <c r="BV17" s="11">
        <f>BU17+真實IC!BV17</f>
        <v>6.0369228918606765</v>
      </c>
      <c r="BW17" s="11">
        <f>BV17+真實IC!BW17</f>
        <v>6.2452597173780653</v>
      </c>
      <c r="BX17" s="11">
        <f>BW17+真實IC!BX17</f>
        <v>6.2523555072195318</v>
      </c>
      <c r="BY17" s="11">
        <f>BX17+真實IC!BY17</f>
        <v>6.1098781320930646</v>
      </c>
      <c r="BZ17" s="11">
        <f>BY17+真實IC!BZ17</f>
        <v>6.2304562879741496</v>
      </c>
      <c r="CA17" s="11">
        <f>BZ17+真實IC!CA17</f>
        <v>6.2583911203326394</v>
      </c>
      <c r="CB17" s="11">
        <f>CA17+真實IC!CB17</f>
        <v>6.408024278025529</v>
      </c>
      <c r="CC17" s="11">
        <f>CB17+真實IC!CC17</f>
        <v>6.4497845304997643</v>
      </c>
      <c r="CD17" s="11">
        <f>CC17+真實IC!CD17</f>
        <v>6.6227442717189131</v>
      </c>
      <c r="CE17" s="11">
        <f>CD17+真實IC!CE17</f>
        <v>6.7184523453804079</v>
      </c>
      <c r="CF17" s="11">
        <f>CE17+真實IC!CF17</f>
        <v>6.8171985428066062</v>
      </c>
      <c r="CG17" s="11">
        <f>CF17+真實IC!CG17</f>
        <v>6.8919135314353372</v>
      </c>
      <c r="CH17" s="11">
        <f>CG17+真實IC!CH17</f>
        <v>6.9505499780423872</v>
      </c>
      <c r="CI17" s="11">
        <f>CH17+真實IC!CI17</f>
        <v>6.965081163031976</v>
      </c>
      <c r="CJ17" s="11">
        <f>CI17+真實IC!CJ17</f>
        <v>6.9860319905133244</v>
      </c>
      <c r="CK17" s="11">
        <f>CJ17+真實IC!CK17</f>
        <v>7.0699878387729553</v>
      </c>
      <c r="CL17" s="11">
        <f>CK17+真實IC!CL17</f>
        <v>7.0605614940039239</v>
      </c>
      <c r="CM17" s="11">
        <f>CL17+真實IC!CM17</f>
        <v>7.1560553648204772</v>
      </c>
      <c r="CN17" s="11">
        <f>CM17+真實IC!CN17</f>
        <v>7.3325866434018643</v>
      </c>
      <c r="CO17" s="11">
        <f>CN17+真實IC!CO17</f>
        <v>7.530667063291653</v>
      </c>
      <c r="CP17" s="11">
        <f>CO17+真實IC!CP17</f>
        <v>7.6788263324889963</v>
      </c>
      <c r="CQ17" s="11">
        <f>CP17+真實IC!CQ17</f>
        <v>7.7307334358307225</v>
      </c>
      <c r="CR17" s="11">
        <f>CQ17+真實IC!CR17</f>
        <v>7.927136067593012</v>
      </c>
      <c r="CS17" s="11">
        <f>CR17+真實IC!CS17</f>
        <v>7.9584818859887303</v>
      </c>
      <c r="CT17" s="11">
        <f>CS17+真實IC!CT17</f>
        <v>8.0171356825913449</v>
      </c>
      <c r="CU17" s="11">
        <f>CT17+真實IC!CU17</f>
        <v>8.1724875753911039</v>
      </c>
      <c r="CV17" s="11">
        <f>CU17+真實IC!CV17</f>
        <v>8.3239589602524582</v>
      </c>
      <c r="CW17" s="11">
        <f>CV17+真實IC!CW17</f>
        <v>8.387352179056947</v>
      </c>
      <c r="CX17" s="11">
        <f>CW17+真實IC!CX17</f>
        <v>8.398124573580894</v>
      </c>
      <c r="CY17" s="11">
        <f>CX17+真實IC!CY17</f>
        <v>8.4576225254407174</v>
      </c>
      <c r="CZ17" s="11">
        <f>CY17+真實IC!CZ17</f>
        <v>8.5818713632883377</v>
      </c>
      <c r="DA17" s="11">
        <f>CZ17+真實IC!DA17</f>
        <v>8.6763677625078284</v>
      </c>
      <c r="DB17" s="11">
        <f>DA17+真實IC!DB17</f>
        <v>8.7806393884109113</v>
      </c>
      <c r="DC17" s="11">
        <f>DB17+真實IC!DC17</f>
        <v>8.8240028573884111</v>
      </c>
      <c r="DD17" s="11">
        <f>DC17+真實IC!DD17</f>
        <v>8.853158278271291</v>
      </c>
      <c r="DE17" s="11">
        <f>DD17+真實IC!DE17</f>
        <v>8.8772831416180136</v>
      </c>
      <c r="DF17" s="11">
        <f>DE17+真實IC!DF17</f>
        <v>9.2295086958894856</v>
      </c>
      <c r="DG17" s="11">
        <f>DF17+真實IC!DG17</f>
        <v>9.2767196843180102</v>
      </c>
      <c r="DH17" s="11">
        <f>DG17+真實IC!DH17</f>
        <v>9.4401514855299986</v>
      </c>
      <c r="DI17" s="11">
        <f>DH17+真實IC!DI17</f>
        <v>9.5103338756007272</v>
      </c>
      <c r="DJ17" s="11">
        <f>DI17+真實IC!DJ17</f>
        <v>9.6392589353867368</v>
      </c>
      <c r="DK17" s="11">
        <f>DJ17+真實IC!DK17</f>
        <v>9.7420402041350425</v>
      </c>
      <c r="DL17" s="11">
        <f>DK17+真實IC!DL17</f>
        <v>9.738110472443914</v>
      </c>
      <c r="DM17" s="11">
        <f>DL17+真實IC!DM17</f>
        <v>9.6955468637321616</v>
      </c>
      <c r="DN17" s="11">
        <f>DM17+真實IC!DN17</f>
        <v>9.7310358964465014</v>
      </c>
      <c r="DO17" s="11">
        <f>DN17+真實IC!DO17</f>
        <v>9.9107988225452299</v>
      </c>
      <c r="DP17" s="11">
        <f>DO17+真實IC!DP17</f>
        <v>10.052832980795865</v>
      </c>
      <c r="DQ17" s="11">
        <f>DP17+真實IC!DQ17</f>
        <v>10.125486985901889</v>
      </c>
      <c r="DR17" s="11">
        <f>DQ17+真實IC!DR17</f>
        <v>10.181371800778217</v>
      </c>
      <c r="DS17" s="11">
        <f>DR17+真實IC!DS17</f>
        <v>10.218725889533319</v>
      </c>
      <c r="DT17" s="11">
        <f>DS17+真實IC!DT17</f>
        <v>10.278537824768295</v>
      </c>
      <c r="DU17" s="11">
        <f>DT17+真實IC!DU17</f>
        <v>10.408030781088284</v>
      </c>
      <c r="DV17" s="11">
        <f>DU17+真實IC!DV17</f>
        <v>10.525796179199238</v>
      </c>
      <c r="DW17" s="11">
        <f>DV17+真實IC!DW17</f>
        <v>10.449197266163242</v>
      </c>
      <c r="DX17" s="11">
        <f>DW17+真實IC!DX17</f>
        <v>10.578736248759716</v>
      </c>
      <c r="DY17" s="11">
        <f>DX17+真實IC!DY17</f>
        <v>10.686019144361568</v>
      </c>
      <c r="DZ17" s="11">
        <f>DY17+真實IC!DZ17</f>
        <v>10.735231773531376</v>
      </c>
      <c r="EA17" s="11">
        <f>DZ17+真實IC!EA17</f>
        <v>10.730599249314652</v>
      </c>
      <c r="EB17" s="11">
        <f>EA17+真實IC!EB17</f>
        <v>10.83788457606841</v>
      </c>
      <c r="EC17" s="11">
        <f>EB17+真實IC!EC17</f>
        <v>10.85430979328447</v>
      </c>
      <c r="ED17" s="11">
        <f>EC17+真實IC!ED17</f>
        <v>10.982634237213382</v>
      </c>
      <c r="EE17" s="11">
        <f>ED17+真實IC!EE17</f>
        <v>10.982440716067304</v>
      </c>
      <c r="EF17" s="11">
        <f>EE17+真實IC!EF17</f>
        <v>11.023427921491205</v>
      </c>
    </row>
    <row r="18" spans="1:136" x14ac:dyDescent="0.3">
      <c r="A18" s="1">
        <v>137</v>
      </c>
      <c r="B18" s="1">
        <v>7</v>
      </c>
      <c r="C18" s="11">
        <f>IF(預測IC!C18&gt;預測IC!C$26,1,0)</f>
        <v>1</v>
      </c>
      <c r="D18" s="11">
        <f>C18+真實IC!D18</f>
        <v>1.4018836814220679</v>
      </c>
      <c r="E18" s="11">
        <f>D18+真實IC!E18</f>
        <v>1.4553230316897918</v>
      </c>
      <c r="F18" s="11">
        <f>E18+真實IC!F18</f>
        <v>1.335940071587602</v>
      </c>
      <c r="G18" s="11">
        <f>F18+真實IC!G18</f>
        <v>1.444256444872682</v>
      </c>
      <c r="H18" s="11">
        <f>G18+真實IC!H18</f>
        <v>1.5727960066472533</v>
      </c>
      <c r="I18" s="11">
        <f>H18+真實IC!I18</f>
        <v>1.7082961868704944</v>
      </c>
      <c r="J18" s="11">
        <f>I18+真實IC!J18</f>
        <v>1.7517077026221362</v>
      </c>
      <c r="K18" s="11">
        <f>J18+真實IC!K18</f>
        <v>1.8873555913997684</v>
      </c>
      <c r="L18" s="11">
        <f>K18+真實IC!L18</f>
        <v>1.8406828710590952</v>
      </c>
      <c r="M18" s="11">
        <f>L18+真實IC!M18</f>
        <v>1.8697343354355525</v>
      </c>
      <c r="N18" s="11">
        <f>M18+真實IC!N18</f>
        <v>2.3315543535061658</v>
      </c>
      <c r="O18" s="11">
        <f>N18+真實IC!O18</f>
        <v>2.3632922946036641</v>
      </c>
      <c r="P18" s="11">
        <f>O18+真實IC!P18</f>
        <v>2.4458449061736118</v>
      </c>
      <c r="Q18" s="11">
        <f>P18+真實IC!Q18</f>
        <v>2.6348203248631017</v>
      </c>
      <c r="R18" s="11">
        <f>Q18+真實IC!R18</f>
        <v>2.5733280869911268</v>
      </c>
      <c r="S18" s="11">
        <f>R18+真實IC!S18</f>
        <v>2.9570607159230211</v>
      </c>
      <c r="T18" s="11">
        <f>S18+真實IC!T18</f>
        <v>3.0093704134737518</v>
      </c>
      <c r="U18" s="11">
        <f>T18+真實IC!U18</f>
        <v>3.1418654379035709</v>
      </c>
      <c r="V18" s="11">
        <f>U18+真實IC!V18</f>
        <v>3.1547605729734216</v>
      </c>
      <c r="W18" s="11">
        <f>V18+真實IC!W18</f>
        <v>3.2320568530331601</v>
      </c>
      <c r="X18" s="11">
        <f>W18+真實IC!X18</f>
        <v>3.4471779104331119</v>
      </c>
      <c r="Y18" s="11">
        <f>X18+真實IC!Y18</f>
        <v>3.4279455760756763</v>
      </c>
      <c r="Z18" s="11">
        <f>Y18+真實IC!Z18</f>
        <v>3.5171799395161991</v>
      </c>
      <c r="AA18" s="11">
        <f>Z18+真實IC!AA18</f>
        <v>3.6897505970507276</v>
      </c>
      <c r="AB18" s="11">
        <f>AA18+真實IC!AB18</f>
        <v>3.774448896781212</v>
      </c>
      <c r="AC18" s="11">
        <f>AB18+真實IC!AC18</f>
        <v>3.7758143172580443</v>
      </c>
      <c r="AD18" s="11">
        <f>AC18+真實IC!AD18</f>
        <v>3.8721001624434637</v>
      </c>
      <c r="AE18" s="11">
        <f>AD18+真實IC!AE18</f>
        <v>4.130491511358672</v>
      </c>
      <c r="AF18" s="11">
        <f>AE18+真實IC!AF18</f>
        <v>4.2810351511827456</v>
      </c>
      <c r="AG18" s="11">
        <f>AF18+真實IC!AG18</f>
        <v>4.3135282672806214</v>
      </c>
      <c r="AH18" s="11">
        <f>AG18+真實IC!AH18</f>
        <v>4.2733308063121065</v>
      </c>
      <c r="AI18" s="11">
        <f>AH18+真實IC!AI18</f>
        <v>4.3914165408701065</v>
      </c>
      <c r="AJ18" s="11">
        <f>AI18+真實IC!AJ18</f>
        <v>4.3440227847036574</v>
      </c>
      <c r="AK18" s="11">
        <f>AJ18+真實IC!AK18</f>
        <v>4.3741752653012833</v>
      </c>
      <c r="AL18" s="11">
        <f>AK18+真實IC!AL18</f>
        <v>4.3733197102469115</v>
      </c>
      <c r="AM18" s="11">
        <f>AL18+真實IC!AM18</f>
        <v>4.4399631156716826</v>
      </c>
      <c r="AN18" s="11">
        <f>AM18+真實IC!AN18</f>
        <v>4.5192577556268843</v>
      </c>
      <c r="AO18" s="11">
        <f>AN18+真實IC!AO18</f>
        <v>4.5438420360716911</v>
      </c>
      <c r="AP18" s="11">
        <f>AO18+真實IC!AP18</f>
        <v>4.6221206280054981</v>
      </c>
      <c r="AQ18" s="11">
        <f>AP18+真實IC!AQ18</f>
        <v>4.605335486436382</v>
      </c>
      <c r="AR18" s="11">
        <f>AQ18+真實IC!AR18</f>
        <v>4.5436409628356005</v>
      </c>
      <c r="AS18" s="11">
        <f>AR18+真實IC!AS18</f>
        <v>4.4603878349464141</v>
      </c>
      <c r="AT18" s="11">
        <f>AS18+真實IC!AT18</f>
        <v>4.6267736443704734</v>
      </c>
      <c r="AU18" s="11">
        <f>AT18+真實IC!AU18</f>
        <v>4.8234333755091523</v>
      </c>
      <c r="AV18" s="11">
        <f>AU18+真實IC!AV18</f>
        <v>4.8836690402156222</v>
      </c>
      <c r="AW18" s="11">
        <f>AV18+真實IC!AW18</f>
        <v>4.981435902036857</v>
      </c>
      <c r="AX18" s="11">
        <f>AW18+真實IC!AX18</f>
        <v>5.1075002394629845</v>
      </c>
      <c r="AY18" s="11">
        <f>AX18+真實IC!AY18</f>
        <v>5.1422835181041329</v>
      </c>
      <c r="AZ18" s="11">
        <f>AY18+真實IC!AZ18</f>
        <v>5.2086247938415546</v>
      </c>
      <c r="BA18" s="11">
        <f>AZ18+真實IC!BA18</f>
        <v>5.389104558511101</v>
      </c>
      <c r="BB18" s="11">
        <f>BA18+真實IC!BB18</f>
        <v>5.706561984175214</v>
      </c>
      <c r="BC18" s="11">
        <f>BB18+真實IC!BC18</f>
        <v>5.7345040348771841</v>
      </c>
      <c r="BD18" s="11">
        <f>BC18+真實IC!BD18</f>
        <v>5.7547791745342112</v>
      </c>
      <c r="BE18" s="11">
        <f>BD18+真實IC!BE18</f>
        <v>5.8459520273901333</v>
      </c>
      <c r="BF18" s="11">
        <f>BE18+真實IC!BF18</f>
        <v>6.0109385220861409</v>
      </c>
      <c r="BG18" s="11">
        <f>BF18+真實IC!BG18</f>
        <v>6.1576524969144293</v>
      </c>
      <c r="BH18" s="11">
        <f>BG18+真實IC!BH18</f>
        <v>6.2955507620645719</v>
      </c>
      <c r="BI18" s="11">
        <f>BH18+真實IC!BI18</f>
        <v>6.4045507689832375</v>
      </c>
      <c r="BJ18" s="11">
        <f>BI18+真實IC!BJ18</f>
        <v>6.5040822882563845</v>
      </c>
      <c r="BK18" s="11">
        <f>BJ18+真實IC!BK18</f>
        <v>6.4306266614323793</v>
      </c>
      <c r="BL18" s="11">
        <f>BK18+真實IC!BL18</f>
        <v>6.4864145422941588</v>
      </c>
      <c r="BM18" s="11">
        <f>BL18+真實IC!BM18</f>
        <v>6.5144958986672545</v>
      </c>
      <c r="BN18" s="11">
        <f>BM18+真實IC!BN18</f>
        <v>6.4362871991848793</v>
      </c>
      <c r="BO18" s="11">
        <f>BN18+真實IC!BO18</f>
        <v>6.4565146952912542</v>
      </c>
      <c r="BP18" s="11">
        <f>BO18+真實IC!BP18</f>
        <v>6.3940512632548021</v>
      </c>
      <c r="BQ18" s="11">
        <f>BP18+真實IC!BQ18</f>
        <v>6.3959680473646507</v>
      </c>
      <c r="BR18" s="11">
        <f>BQ18+真實IC!BR18</f>
        <v>6.5169298652471266</v>
      </c>
      <c r="BS18" s="11">
        <f>BR18+真實IC!BS18</f>
        <v>6.5498031218231585</v>
      </c>
      <c r="BT18" s="11">
        <f>BS18+真實IC!BT18</f>
        <v>6.5631022726008359</v>
      </c>
      <c r="BU18" s="11">
        <f>BT18+真實IC!BU18</f>
        <v>6.6745638181299389</v>
      </c>
      <c r="BV18" s="11">
        <f>BU18+真實IC!BV18</f>
        <v>6.7141882442540863</v>
      </c>
      <c r="BW18" s="11">
        <f>BV18+真實IC!BW18</f>
        <v>6.9325637433850753</v>
      </c>
      <c r="BX18" s="11">
        <f>BW18+真實IC!BX18</f>
        <v>6.9167518194392832</v>
      </c>
      <c r="BY18" s="11">
        <f>BX18+真實IC!BY18</f>
        <v>6.8292865511671819</v>
      </c>
      <c r="BZ18" s="11">
        <f>BY18+真實IC!BZ18</f>
        <v>6.9826065389697796</v>
      </c>
      <c r="CA18" s="11">
        <f>BZ18+真實IC!CA18</f>
        <v>6.9986830828626401</v>
      </c>
      <c r="CB18" s="11">
        <f>CA18+真實IC!CB18</f>
        <v>7.1055291433327135</v>
      </c>
      <c r="CC18" s="11">
        <f>CB18+真實IC!CC18</f>
        <v>7.2101897671743584</v>
      </c>
      <c r="CD18" s="11">
        <f>CC18+真實IC!CD18</f>
        <v>7.403906585821189</v>
      </c>
      <c r="CE18" s="11">
        <f>CD18+真實IC!CE18</f>
        <v>7.4811669806994114</v>
      </c>
      <c r="CF18" s="11">
        <f>CE18+真實IC!CF18</f>
        <v>7.5529845723997857</v>
      </c>
      <c r="CG18" s="11">
        <f>CF18+真實IC!CG18</f>
        <v>7.6445938279637051</v>
      </c>
      <c r="CH18" s="11">
        <f>CG18+真實IC!CH18</f>
        <v>7.8072508746509381</v>
      </c>
      <c r="CI18" s="11">
        <f>CH18+真實IC!CI18</f>
        <v>7.8461200145286281</v>
      </c>
      <c r="CJ18" s="11">
        <f>CI18+真實IC!CJ18</f>
        <v>7.8423476480282304</v>
      </c>
      <c r="CK18" s="11">
        <f>CJ18+真實IC!CK18</f>
        <v>7.9384056796937532</v>
      </c>
      <c r="CL18" s="11">
        <f>CK18+真實IC!CL18</f>
        <v>7.90741613463556</v>
      </c>
      <c r="CM18" s="11">
        <f>CL18+真實IC!CM18</f>
        <v>8.0101857462635113</v>
      </c>
      <c r="CN18" s="11">
        <f>CM18+真實IC!CN18</f>
        <v>8.131128879805086</v>
      </c>
      <c r="CO18" s="11">
        <f>CN18+真實IC!CO18</f>
        <v>8.3594109656805475</v>
      </c>
      <c r="CP18" s="11">
        <f>CO18+真實IC!CP18</f>
        <v>8.522250074628559</v>
      </c>
      <c r="CQ18" s="11">
        <f>CP18+真實IC!CQ18</f>
        <v>8.5604927502235011</v>
      </c>
      <c r="CR18" s="11">
        <f>CQ18+真實IC!CR18</f>
        <v>8.754215157875711</v>
      </c>
      <c r="CS18" s="11">
        <f>CR18+真實IC!CS18</f>
        <v>8.8119058065271272</v>
      </c>
      <c r="CT18" s="11">
        <f>CS18+真實IC!CT18</f>
        <v>8.8887760332993508</v>
      </c>
      <c r="CU18" s="11">
        <f>CT18+真實IC!CU18</f>
        <v>9.033340854475485</v>
      </c>
      <c r="CV18" s="11">
        <f>CU18+真實IC!CV18</f>
        <v>9.1603631226084925</v>
      </c>
      <c r="CW18" s="11">
        <f>CV18+真實IC!CW18</f>
        <v>9.2269216971068087</v>
      </c>
      <c r="CX18" s="11">
        <f>CW18+真實IC!CX18</f>
        <v>9.2884818829405873</v>
      </c>
      <c r="CY18" s="11">
        <f>CX18+真實IC!CY18</f>
        <v>9.3599143418529618</v>
      </c>
      <c r="CZ18" s="11">
        <f>CY18+真實IC!CZ18</f>
        <v>9.4927572051547333</v>
      </c>
      <c r="DA18" s="11">
        <f>CZ18+真實IC!DA18</f>
        <v>9.571115836062166</v>
      </c>
      <c r="DB18" s="11">
        <f>DA18+真實IC!DB18</f>
        <v>9.6892305543473771</v>
      </c>
      <c r="DC18" s="11">
        <f>DB18+真實IC!DC18</f>
        <v>9.7256393358428834</v>
      </c>
      <c r="DD18" s="11">
        <f>DC18+真實IC!DD18</f>
        <v>9.7666535231622174</v>
      </c>
      <c r="DE18" s="11">
        <f>DD18+真實IC!DE18</f>
        <v>9.8050741106486683</v>
      </c>
      <c r="DF18" s="11">
        <f>DE18+真實IC!DF18</f>
        <v>10.171766120262683</v>
      </c>
      <c r="DG18" s="11">
        <f>DF18+真實IC!DG18</f>
        <v>10.226536604389556</v>
      </c>
      <c r="DH18" s="11">
        <f>DG18+真實IC!DH18</f>
        <v>10.418937986348698</v>
      </c>
      <c r="DI18" s="11">
        <f>DH18+真實IC!DI18</f>
        <v>10.516901113827654</v>
      </c>
      <c r="DJ18" s="11">
        <f>DI18+真實IC!DJ18</f>
        <v>10.663097189927067</v>
      </c>
      <c r="DK18" s="11">
        <f>DJ18+真實IC!DK18</f>
        <v>10.7696244519295</v>
      </c>
      <c r="DL18" s="11">
        <f>DK18+真實IC!DL18</f>
        <v>10.765794177861908</v>
      </c>
      <c r="DM18" s="11">
        <f>DL18+真實IC!DM18</f>
        <v>10.707337013571733</v>
      </c>
      <c r="DN18" s="11">
        <f>DM18+真實IC!DN18</f>
        <v>10.690614949493712</v>
      </c>
      <c r="DO18" s="11">
        <f>DN18+真實IC!DO18</f>
        <v>10.910935161285011</v>
      </c>
      <c r="DP18" s="11">
        <f>DO18+真實IC!DP18</f>
        <v>11.044421633562092</v>
      </c>
      <c r="DQ18" s="11">
        <f>DP18+真實IC!DQ18</f>
        <v>11.11017109174599</v>
      </c>
      <c r="DR18" s="11">
        <f>DQ18+真實IC!DR18</f>
        <v>11.187011746517951</v>
      </c>
      <c r="DS18" s="11">
        <f>DR18+真實IC!DS18</f>
        <v>11.198289728773634</v>
      </c>
      <c r="DT18" s="11">
        <f>DS18+真實IC!DT18</f>
        <v>11.220890763614742</v>
      </c>
      <c r="DU18" s="11">
        <f>DT18+真實IC!DU18</f>
        <v>11.379605586331419</v>
      </c>
      <c r="DV18" s="11">
        <f>DU18+真實IC!DV18</f>
        <v>11.485246195131481</v>
      </c>
      <c r="DW18" s="11">
        <f>DV18+真實IC!DW18</f>
        <v>11.416609245179364</v>
      </c>
      <c r="DX18" s="11">
        <f>DW18+真實IC!DX18</f>
        <v>11.570212222641846</v>
      </c>
      <c r="DY18" s="11">
        <f>DX18+真實IC!DY18</f>
        <v>11.707045337580098</v>
      </c>
      <c r="DZ18" s="11">
        <f>DY18+真實IC!DZ18</f>
        <v>11.761675711736681</v>
      </c>
      <c r="EA18" s="11">
        <f>DZ18+真實IC!EA18</f>
        <v>11.756937414498436</v>
      </c>
      <c r="EB18" s="11">
        <f>EA18+真實IC!EB18</f>
        <v>11.866901768948631</v>
      </c>
      <c r="EC18" s="11">
        <f>EB18+真實IC!EC18</f>
        <v>11.869665884374003</v>
      </c>
      <c r="ED18" s="11">
        <f>EC18+真實IC!ED18</f>
        <v>11.980143906239768</v>
      </c>
      <c r="EE18" s="11">
        <f>ED18+真實IC!EE18</f>
        <v>11.981255193912125</v>
      </c>
      <c r="EF18" s="11">
        <f>EE18+真實IC!EF18</f>
        <v>12.045209527601269</v>
      </c>
    </row>
    <row r="19" spans="1:136" x14ac:dyDescent="0.3">
      <c r="A19" s="1">
        <v>160</v>
      </c>
      <c r="B19" s="1">
        <v>6</v>
      </c>
      <c r="C19" s="11">
        <f>IF(預測IC!C19&gt;預測IC!C$26,1,0)</f>
        <v>1</v>
      </c>
      <c r="D19" s="11">
        <f>C19+真實IC!D19</f>
        <v>1.4075207100894693</v>
      </c>
      <c r="E19" s="11">
        <f>D19+真實IC!E19</f>
        <v>1.4733349174194872</v>
      </c>
      <c r="F19" s="11">
        <f>E19+真實IC!F19</f>
        <v>1.2956462556139268</v>
      </c>
      <c r="G19" s="11">
        <f>F19+真實IC!G19</f>
        <v>1.3917122274711042</v>
      </c>
      <c r="H19" s="11">
        <f>G19+真實IC!H19</f>
        <v>1.5693225462937561</v>
      </c>
      <c r="I19" s="11">
        <f>H19+真實IC!I19</f>
        <v>1.7039768791852226</v>
      </c>
      <c r="J19" s="11">
        <f>I19+真實IC!J19</f>
        <v>1.7394064637054136</v>
      </c>
      <c r="K19" s="11">
        <f>J19+真實IC!K19</f>
        <v>1.9781958784293303</v>
      </c>
      <c r="L19" s="11">
        <f>K19+真實IC!L19</f>
        <v>1.947833045373301</v>
      </c>
      <c r="M19" s="11">
        <f>L19+真實IC!M19</f>
        <v>1.9041428092169939</v>
      </c>
      <c r="N19" s="11">
        <f>M19+真實IC!N19</f>
        <v>2.436516846905235</v>
      </c>
      <c r="O19" s="11">
        <f>N19+真實IC!O19</f>
        <v>2.4680787213941509</v>
      </c>
      <c r="P19" s="11">
        <f>O19+真實IC!P19</f>
        <v>2.5606129075808481</v>
      </c>
      <c r="Q19" s="11">
        <f>P19+真實IC!Q19</f>
        <v>2.757775995845368</v>
      </c>
      <c r="R19" s="11">
        <f>Q19+真實IC!R19</f>
        <v>2.667476905214512</v>
      </c>
      <c r="S19" s="11">
        <f>R19+真實IC!S19</f>
        <v>2.8516370219121199</v>
      </c>
      <c r="T19" s="11">
        <f>S19+真實IC!T19</f>
        <v>2.9031017391574294</v>
      </c>
      <c r="U19" s="11">
        <f>T19+真實IC!U19</f>
        <v>3.0388000777893525</v>
      </c>
      <c r="V19" s="11">
        <f>U19+真實IC!V19</f>
        <v>3.075418765574804</v>
      </c>
      <c r="W19" s="11">
        <f>V19+真實IC!W19</f>
        <v>3.147834334894303</v>
      </c>
      <c r="X19" s="11">
        <f>W19+真實IC!X19</f>
        <v>3.2972342082470303</v>
      </c>
      <c r="Y19" s="11">
        <f>X19+真實IC!Y19</f>
        <v>3.2716055707188736</v>
      </c>
      <c r="Z19" s="11">
        <f>Y19+真實IC!Z19</f>
        <v>3.3632246812948972</v>
      </c>
      <c r="AA19" s="11">
        <f>Z19+真實IC!AA19</f>
        <v>3.4950575807759883</v>
      </c>
      <c r="AB19" s="11">
        <f>AA19+真實IC!AB19</f>
        <v>3.597311186659931</v>
      </c>
      <c r="AC19" s="11">
        <f>AB19+真實IC!AC19</f>
        <v>3.611452729368541</v>
      </c>
      <c r="AD19" s="11">
        <f>AC19+真實IC!AD19</f>
        <v>3.7074461071666089</v>
      </c>
      <c r="AE19" s="11">
        <f>AD19+真實IC!AE19</f>
        <v>4.0159389650919772</v>
      </c>
      <c r="AF19" s="11">
        <f>AE19+真實IC!AF19</f>
        <v>4.1847695458000205</v>
      </c>
      <c r="AG19" s="11">
        <f>AF19+真實IC!AG19</f>
        <v>4.2069057648725687</v>
      </c>
      <c r="AH19" s="11">
        <f>AG19+真實IC!AH19</f>
        <v>4.1503480496508649</v>
      </c>
      <c r="AI19" s="11">
        <f>AH19+真實IC!AI19</f>
        <v>4.2418967125755396</v>
      </c>
      <c r="AJ19" s="11">
        <f>AI19+真實IC!AJ19</f>
        <v>4.1903514222482769</v>
      </c>
      <c r="AK19" s="11">
        <f>AJ19+真實IC!AK19</f>
        <v>4.1979034647542299</v>
      </c>
      <c r="AL19" s="11">
        <f>AK19+真實IC!AL19</f>
        <v>4.1967672025728771</v>
      </c>
      <c r="AM19" s="11">
        <f>AL19+真實IC!AM19</f>
        <v>4.2398732143842821</v>
      </c>
      <c r="AN19" s="11">
        <f>AM19+真實IC!AN19</f>
        <v>4.3234415087499638</v>
      </c>
      <c r="AO19" s="11">
        <f>AN19+真實IC!AO19</f>
        <v>4.3793316348790787</v>
      </c>
      <c r="AP19" s="11">
        <f>AO19+真實IC!AP19</f>
        <v>4.4669057551519309</v>
      </c>
      <c r="AQ19" s="11">
        <f>AP19+真實IC!AQ19</f>
        <v>4.411980262778318</v>
      </c>
      <c r="AR19" s="11">
        <f>AQ19+真實IC!AR19</f>
        <v>4.3373633651436592</v>
      </c>
      <c r="AS19" s="11">
        <f>AR19+真實IC!AS19</f>
        <v>4.2281644890905925</v>
      </c>
      <c r="AT19" s="11">
        <f>AS19+真實IC!AT19</f>
        <v>4.4127581529006505</v>
      </c>
      <c r="AU19" s="11">
        <f>AT19+真實IC!AU19</f>
        <v>4.6516023912996651</v>
      </c>
      <c r="AV19" s="11">
        <f>AU19+真實IC!AV19</f>
        <v>4.6485697816970575</v>
      </c>
      <c r="AW19" s="11">
        <f>AV19+真實IC!AW19</f>
        <v>4.7852631788259705</v>
      </c>
      <c r="AX19" s="11">
        <f>AW19+真實IC!AX19</f>
        <v>5.0093869741268264</v>
      </c>
      <c r="AY19" s="11">
        <f>AX19+真實IC!AY19</f>
        <v>5.0389159445202063</v>
      </c>
      <c r="AZ19" s="11">
        <f>AY19+真實IC!AZ19</f>
        <v>5.1229484167938457</v>
      </c>
      <c r="BA19" s="11">
        <f>AZ19+真實IC!BA19</f>
        <v>5.309945194348626</v>
      </c>
      <c r="BB19" s="11">
        <f>BA19+真實IC!BB19</f>
        <v>5.6741061261418455</v>
      </c>
      <c r="BC19" s="11">
        <f>BB19+真實IC!BC19</f>
        <v>5.8586779155482729</v>
      </c>
      <c r="BD19" s="11">
        <f>BC19+真實IC!BD19</f>
        <v>5.8586042085803856</v>
      </c>
      <c r="BE19" s="11">
        <f>BD19+真實IC!BE19</f>
        <v>5.948084930340757</v>
      </c>
      <c r="BF19" s="11">
        <f>BE19+真實IC!BF19</f>
        <v>6.0898943653044988</v>
      </c>
      <c r="BG19" s="11">
        <f>BF19+真實IC!BG19</f>
        <v>6.2432031164742874</v>
      </c>
      <c r="BH19" s="11">
        <f>BG19+真實IC!BH19</f>
        <v>6.3837000224278606</v>
      </c>
      <c r="BI19" s="11">
        <f>BH19+真實IC!BI19</f>
        <v>6.5114986512470789</v>
      </c>
      <c r="BJ19" s="11">
        <f>BI19+真實IC!BJ19</f>
        <v>6.5633179596757483</v>
      </c>
      <c r="BK19" s="11">
        <f>BJ19+真實IC!BK19</f>
        <v>6.4662795367303625</v>
      </c>
      <c r="BL19" s="11">
        <f>BK19+真實IC!BL19</f>
        <v>6.529444070477382</v>
      </c>
      <c r="BM19" s="11">
        <f>BL19+真實IC!BM19</f>
        <v>6.5612303353465276</v>
      </c>
      <c r="BN19" s="11">
        <f>BM19+真實IC!BN19</f>
        <v>6.47981707514636</v>
      </c>
      <c r="BO19" s="11">
        <f>BN19+真實IC!BO19</f>
        <v>6.5055460364114754</v>
      </c>
      <c r="BP19" s="11">
        <f>BO19+真實IC!BP19</f>
        <v>6.4931356951338746</v>
      </c>
      <c r="BQ19" s="11">
        <f>BP19+真實IC!BQ19</f>
        <v>6.5030697395881978</v>
      </c>
      <c r="BR19" s="11">
        <f>BQ19+真實IC!BR19</f>
        <v>6.6399089751313429</v>
      </c>
      <c r="BS19" s="11">
        <f>BR19+真實IC!BS19</f>
        <v>6.636409043191704</v>
      </c>
      <c r="BT19" s="11">
        <f>BS19+真實IC!BT19</f>
        <v>6.6232153739885664</v>
      </c>
      <c r="BU19" s="11">
        <f>BT19+真實IC!BU19</f>
        <v>6.7538860088799542</v>
      </c>
      <c r="BV19" s="11">
        <f>BU19+真實IC!BV19</f>
        <v>6.7842368008458518</v>
      </c>
      <c r="BW19" s="11">
        <f>BV19+真實IC!BW19</f>
        <v>7.0916898076555857</v>
      </c>
      <c r="BX19" s="11">
        <f>BW19+真實IC!BX19</f>
        <v>7.0552909180967918</v>
      </c>
      <c r="BY19" s="11">
        <f>BX19+真實IC!BY19</f>
        <v>6.9754239910278457</v>
      </c>
      <c r="BZ19" s="11">
        <f>BY19+真實IC!BZ19</f>
        <v>7.0441261158498998</v>
      </c>
      <c r="CA19" s="11">
        <f>BZ19+真實IC!CA19</f>
        <v>7.0734548710736744</v>
      </c>
      <c r="CB19" s="11">
        <f>CA19+真實IC!CB19</f>
        <v>7.2012930801745716</v>
      </c>
      <c r="CC19" s="11">
        <f>CB19+真實IC!CC19</f>
        <v>7.2237993130730889</v>
      </c>
      <c r="CD19" s="11">
        <f>CC19+真實IC!CD19</f>
        <v>7.4394185111668065</v>
      </c>
      <c r="CE19" s="11">
        <f>CD19+真實IC!CE19</f>
        <v>7.5278933701044748</v>
      </c>
      <c r="CF19" s="11">
        <f>CE19+真實IC!CF19</f>
        <v>7.6077977673105242</v>
      </c>
      <c r="CG19" s="11">
        <f>CF19+真實IC!CG19</f>
        <v>7.6649153921774813</v>
      </c>
      <c r="CH19" s="11">
        <f>CG19+真實IC!CH19</f>
        <v>7.8178052592274074</v>
      </c>
      <c r="CI19" s="11">
        <f>CH19+真實IC!CI19</f>
        <v>7.8548722053876023</v>
      </c>
      <c r="CJ19" s="11">
        <f>CI19+真實IC!CJ19</f>
        <v>7.8430602826256077</v>
      </c>
      <c r="CK19" s="11">
        <f>CJ19+真實IC!CK19</f>
        <v>7.9618575455829426</v>
      </c>
      <c r="CL19" s="11">
        <f>CK19+真實IC!CL19</f>
        <v>7.9186172656081526</v>
      </c>
      <c r="CM19" s="11">
        <f>CL19+真實IC!CM19</f>
        <v>8.0288531443455202</v>
      </c>
      <c r="CN19" s="11">
        <f>CM19+真實IC!CN19</f>
        <v>8.1720463548150537</v>
      </c>
      <c r="CO19" s="11">
        <f>CN19+真實IC!CO19</f>
        <v>8.4232819860353683</v>
      </c>
      <c r="CP19" s="11">
        <f>CO19+真實IC!CP19</f>
        <v>8.5823145850177003</v>
      </c>
      <c r="CQ19" s="11">
        <f>CP19+真實IC!CQ19</f>
        <v>8.6147091925341197</v>
      </c>
      <c r="CR19" s="11">
        <f>CQ19+真實IC!CR19</f>
        <v>8.7910159167803119</v>
      </c>
      <c r="CS19" s="11">
        <f>CR19+真實IC!CS19</f>
        <v>8.8452663663286462</v>
      </c>
      <c r="CT19" s="11">
        <f>CS19+真實IC!CT19</f>
        <v>8.8716875676169042</v>
      </c>
      <c r="CU19" s="11">
        <f>CT19+真實IC!CU19</f>
        <v>9.018295110877844</v>
      </c>
      <c r="CV19" s="11">
        <f>CU19+真實IC!CV19</f>
        <v>9.1128481188492234</v>
      </c>
      <c r="CW19" s="11">
        <f>CV19+真實IC!CW19</f>
        <v>9.1733639974222605</v>
      </c>
      <c r="CX19" s="11">
        <f>CW19+真實IC!CX19</f>
        <v>9.2309987237904458</v>
      </c>
      <c r="CY19" s="11">
        <f>CX19+真實IC!CY19</f>
        <v>9.304150061098408</v>
      </c>
      <c r="CZ19" s="11">
        <f>CY19+真實IC!CZ19</f>
        <v>9.417001889739872</v>
      </c>
      <c r="DA19" s="11">
        <f>CZ19+真實IC!DA19</f>
        <v>9.4921843668435528</v>
      </c>
      <c r="DB19" s="11">
        <f>DA19+真實IC!DB19</f>
        <v>9.6401462136131695</v>
      </c>
      <c r="DC19" s="11">
        <f>DB19+真實IC!DC19</f>
        <v>9.6049668137110746</v>
      </c>
      <c r="DD19" s="11">
        <f>DC19+真實IC!DD19</f>
        <v>9.6111679389659042</v>
      </c>
      <c r="DE19" s="11">
        <f>DD19+真實IC!DE19</f>
        <v>9.6441863536216967</v>
      </c>
      <c r="DF19" s="11">
        <f>DE19+真實IC!DF19</f>
        <v>9.8496880992159923</v>
      </c>
      <c r="DG19" s="11">
        <f>DF19+真實IC!DG19</f>
        <v>9.9160623642104291</v>
      </c>
      <c r="DH19" s="11">
        <f>DG19+真實IC!DH19</f>
        <v>10.140652144929916</v>
      </c>
      <c r="DI19" s="11">
        <f>DH19+真實IC!DI19</f>
        <v>10.249113583764677</v>
      </c>
      <c r="DJ19" s="11">
        <f>DI19+真實IC!DJ19</f>
        <v>10.414364052723748</v>
      </c>
      <c r="DK19" s="11">
        <f>DJ19+真實IC!DK19</f>
        <v>10.535806362234199</v>
      </c>
      <c r="DL19" s="11">
        <f>DK19+真實IC!DL19</f>
        <v>10.523823576325226</v>
      </c>
      <c r="DM19" s="11">
        <f>DL19+真實IC!DM19</f>
        <v>10.466523145086896</v>
      </c>
      <c r="DN19" s="11">
        <f>DM19+真實IC!DN19</f>
        <v>10.468998268184535</v>
      </c>
      <c r="DO19" s="11">
        <f>DN19+真實IC!DO19</f>
        <v>10.71826021989428</v>
      </c>
      <c r="DP19" s="11">
        <f>DO19+真實IC!DP19</f>
        <v>10.888528350574241</v>
      </c>
      <c r="DQ19" s="11">
        <f>DP19+真實IC!DQ19</f>
        <v>10.968902522412316</v>
      </c>
      <c r="DR19" s="11">
        <f>DQ19+真實IC!DR19</f>
        <v>11.044864875737364</v>
      </c>
      <c r="DS19" s="11">
        <f>DR19+真實IC!DS19</f>
        <v>11.039187562218373</v>
      </c>
      <c r="DT19" s="11">
        <f>DS19+真實IC!DT19</f>
        <v>11.044220808738478</v>
      </c>
      <c r="DU19" s="11">
        <f>DT19+真實IC!DU19</f>
        <v>11.194802730694791</v>
      </c>
      <c r="DV19" s="11">
        <f>DU19+真實IC!DV19</f>
        <v>11.306327437135396</v>
      </c>
      <c r="DW19" s="11">
        <f>DV19+真實IC!DW19</f>
        <v>11.20503146818673</v>
      </c>
      <c r="DX19" s="11">
        <f>DW19+真實IC!DX19</f>
        <v>11.343396602424908</v>
      </c>
      <c r="DY19" s="11">
        <f>DX19+真實IC!DY19</f>
        <v>11.482645281110507</v>
      </c>
      <c r="DZ19" s="11">
        <f>DY19+真實IC!DZ19</f>
        <v>11.561183228733039</v>
      </c>
      <c r="EA19" s="11">
        <f>DZ19+真實IC!EA19</f>
        <v>11.594102955928054</v>
      </c>
      <c r="EB19" s="11">
        <f>EA19+真實IC!EB19</f>
        <v>11.702856465566306</v>
      </c>
      <c r="EC19" s="11">
        <f>EB19+真實IC!EC19</f>
        <v>11.690666422342604</v>
      </c>
      <c r="ED19" s="11">
        <f>EC19+真實IC!ED19</f>
        <v>11.841601739332761</v>
      </c>
      <c r="EE19" s="11">
        <f>ED19+真實IC!EE19</f>
        <v>11.834295212655633</v>
      </c>
      <c r="EF19" s="11">
        <f>EE19+真實IC!EF19</f>
        <v>11.908318132053138</v>
      </c>
    </row>
    <row r="20" spans="1:136" x14ac:dyDescent="0.3">
      <c r="A20" s="1">
        <v>192</v>
      </c>
      <c r="B20" s="1">
        <v>5</v>
      </c>
      <c r="C20" s="11">
        <f>IF(預測IC!C20&gt;預測IC!C$26,1,0)</f>
        <v>1</v>
      </c>
      <c r="D20" s="11">
        <f>C20+真實IC!D20</f>
        <v>1.3820250200473498</v>
      </c>
      <c r="E20" s="11">
        <f>D20+真實IC!E20</f>
        <v>1.4393613703741304</v>
      </c>
      <c r="F20" s="11">
        <f>E20+真實IC!F20</f>
        <v>1.2338301060409562</v>
      </c>
      <c r="G20" s="11">
        <f>F20+真實IC!G20</f>
        <v>1.3510132473298953</v>
      </c>
      <c r="H20" s="11">
        <f>G20+真實IC!H20</f>
        <v>1.4949455295855707</v>
      </c>
      <c r="I20" s="11">
        <f>H20+真實IC!I20</f>
        <v>1.6530950921866725</v>
      </c>
      <c r="J20" s="11">
        <f>I20+真實IC!J20</f>
        <v>1.6875663509135288</v>
      </c>
      <c r="K20" s="11">
        <f>J20+真實IC!K20</f>
        <v>1.9022908546746107</v>
      </c>
      <c r="L20" s="11">
        <f>K20+真實IC!L20</f>
        <v>1.8715953716735152</v>
      </c>
      <c r="M20" s="11">
        <f>L20+真實IC!M20</f>
        <v>1.7938771433822418</v>
      </c>
      <c r="N20" s="11">
        <f>M20+真實IC!N20</f>
        <v>2.2938886213917158</v>
      </c>
      <c r="O20" s="11">
        <f>N20+真實IC!O20</f>
        <v>2.3437535074609901</v>
      </c>
      <c r="P20" s="11">
        <f>O20+真實IC!P20</f>
        <v>2.4349234351295155</v>
      </c>
      <c r="Q20" s="11">
        <f>P20+真實IC!Q20</f>
        <v>2.6516491741324941</v>
      </c>
      <c r="R20" s="11">
        <f>Q20+真實IC!R20</f>
        <v>2.5423961184950254</v>
      </c>
      <c r="S20" s="11">
        <f>R20+真實IC!S20</f>
        <v>2.6975787368227682</v>
      </c>
      <c r="T20" s="11">
        <f>S20+真實IC!T20</f>
        <v>2.7830441925605838</v>
      </c>
      <c r="U20" s="11">
        <f>T20+真實IC!U20</f>
        <v>2.9316938726783586</v>
      </c>
      <c r="V20" s="11">
        <f>U20+真實IC!V20</f>
        <v>2.9443379757955475</v>
      </c>
      <c r="W20" s="11">
        <f>V20+真實IC!W20</f>
        <v>3.0354228452280925</v>
      </c>
      <c r="X20" s="11">
        <f>W20+真實IC!X20</f>
        <v>3.2458092581508775</v>
      </c>
      <c r="Y20" s="11">
        <f>X20+真實IC!Y20</f>
        <v>3.2037417686122804</v>
      </c>
      <c r="Z20" s="11">
        <f>Y20+真實IC!Z20</f>
        <v>3.3093587290959396</v>
      </c>
      <c r="AA20" s="11">
        <f>Z20+真實IC!AA20</f>
        <v>3.4398420975765855</v>
      </c>
      <c r="AB20" s="11">
        <f>AA20+真實IC!AB20</f>
        <v>3.5246019383027587</v>
      </c>
      <c r="AC20" s="11">
        <f>AB20+真實IC!AC20</f>
        <v>3.5718502010307263</v>
      </c>
      <c r="AD20" s="11">
        <f>AC20+真實IC!AD20</f>
        <v>3.7016936197443906</v>
      </c>
      <c r="AE20" s="11">
        <f>AD20+真實IC!AE20</f>
        <v>3.8629148268995017</v>
      </c>
      <c r="AF20" s="11">
        <f>AE20+真實IC!AF20</f>
        <v>4.0864126465358748</v>
      </c>
      <c r="AG20" s="11">
        <f>AF20+真實IC!AG20</f>
        <v>4.1140718650757666</v>
      </c>
      <c r="AH20" s="11">
        <f>AG20+真實IC!AH20</f>
        <v>4.0238936643609842</v>
      </c>
      <c r="AI20" s="11">
        <f>AH20+真實IC!AI20</f>
        <v>4.1402304194163078</v>
      </c>
      <c r="AJ20" s="11">
        <f>AI20+真實IC!AJ20</f>
        <v>4.0782403848687601</v>
      </c>
      <c r="AK20" s="11">
        <f>AJ20+真實IC!AK20</f>
        <v>4.0646452693727575</v>
      </c>
      <c r="AL20" s="11">
        <f>AK20+真實IC!AL20</f>
        <v>4.0590286430110165</v>
      </c>
      <c r="AM20" s="11">
        <f>AL20+真實IC!AM20</f>
        <v>4.092124623759819</v>
      </c>
      <c r="AN20" s="11">
        <f>AM20+真實IC!AN20</f>
        <v>4.1675948172788173</v>
      </c>
      <c r="AO20" s="11">
        <f>AN20+真實IC!AO20</f>
        <v>4.2167031119182168</v>
      </c>
      <c r="AP20" s="11">
        <f>AO20+真實IC!AP20</f>
        <v>4.3484335731736046</v>
      </c>
      <c r="AQ20" s="11">
        <f>AP20+真實IC!AQ20</f>
        <v>4.4213343193138259</v>
      </c>
      <c r="AR20" s="11">
        <f>AQ20+真實IC!AR20</f>
        <v>4.4080450462239922</v>
      </c>
      <c r="AS20" s="11">
        <f>AR20+真實IC!AS20</f>
        <v>4.365753329775016</v>
      </c>
      <c r="AT20" s="11">
        <f>AS20+真實IC!AT20</f>
        <v>4.6048770772200864</v>
      </c>
      <c r="AU20" s="11">
        <f>AT20+真實IC!AU20</f>
        <v>4.886574949803288</v>
      </c>
      <c r="AV20" s="11">
        <f>AU20+真實IC!AV20</f>
        <v>4.8543283370165247</v>
      </c>
      <c r="AW20" s="11">
        <f>AV20+真實IC!AW20</f>
        <v>5.0793261777948695</v>
      </c>
      <c r="AX20" s="11">
        <f>AW20+真實IC!AX20</f>
        <v>5.2836653977554162</v>
      </c>
      <c r="AY20" s="11">
        <f>AX20+真實IC!AY20</f>
        <v>5.3223400961983254</v>
      </c>
      <c r="AZ20" s="11">
        <f>AY20+真實IC!AZ20</f>
        <v>5.4221443994706489</v>
      </c>
      <c r="BA20" s="11">
        <f>AZ20+真實IC!BA20</f>
        <v>5.5734821249765618</v>
      </c>
      <c r="BB20" s="11">
        <f>BA20+真實IC!BB20</f>
        <v>5.9519289102859059</v>
      </c>
      <c r="BC20" s="11">
        <f>BB20+真實IC!BC20</f>
        <v>6.1920695852763199</v>
      </c>
      <c r="BD20" s="11">
        <f>BC20+真實IC!BD20</f>
        <v>6.2004297586428399</v>
      </c>
      <c r="BE20" s="11">
        <f>BD20+真實IC!BE20</f>
        <v>6.2987081333771959</v>
      </c>
      <c r="BF20" s="11">
        <f>BE20+真實IC!BF20</f>
        <v>6.4366793964461708</v>
      </c>
      <c r="BG20" s="11">
        <f>BF20+真實IC!BG20</f>
        <v>6.5307414520545111</v>
      </c>
      <c r="BH20" s="11">
        <f>BG20+真實IC!BH20</f>
        <v>6.6807987526179655</v>
      </c>
      <c r="BI20" s="11">
        <f>BH20+真實IC!BI20</f>
        <v>6.8125440197031404</v>
      </c>
      <c r="BJ20" s="11">
        <f>BI20+真實IC!BJ20</f>
        <v>6.8676999403219972</v>
      </c>
      <c r="BK20" s="11">
        <f>BJ20+真實IC!BK20</f>
        <v>6.7500495679169754</v>
      </c>
      <c r="BL20" s="11">
        <f>BK20+真實IC!BL20</f>
        <v>6.8199090098541957</v>
      </c>
      <c r="BM20" s="11">
        <f>BL20+真實IC!BM20</f>
        <v>6.8673775613183849</v>
      </c>
      <c r="BN20" s="11">
        <f>BM20+真實IC!BN20</f>
        <v>6.886015588571551</v>
      </c>
      <c r="BO20" s="11">
        <f>BN20+真實IC!BO20</f>
        <v>6.8475538710555721</v>
      </c>
      <c r="BP20" s="11">
        <f>BO20+真實IC!BP20</f>
        <v>6.8548361185618969</v>
      </c>
      <c r="BQ20" s="11">
        <f>BP20+真實IC!BQ20</f>
        <v>6.8702878255227402</v>
      </c>
      <c r="BR20" s="11">
        <f>BQ20+真實IC!BR20</f>
        <v>7.0514149069944017</v>
      </c>
      <c r="BS20" s="11">
        <f>BR20+真實IC!BS20</f>
        <v>7.0188787092695453</v>
      </c>
      <c r="BT20" s="11">
        <f>BS20+真實IC!BT20</f>
        <v>6.9664110859876391</v>
      </c>
      <c r="BU20" s="11">
        <f>BT20+真實IC!BU20</f>
        <v>7.1158520900329609</v>
      </c>
      <c r="BV20" s="11">
        <f>BU20+真實IC!BV20</f>
        <v>7.0343086482723622</v>
      </c>
      <c r="BW20" s="11">
        <f>BV20+真實IC!BW20</f>
        <v>7.3861381983207668</v>
      </c>
      <c r="BX20" s="11">
        <f>BW20+真實IC!BX20</f>
        <v>7.3332767765902416</v>
      </c>
      <c r="BY20" s="11">
        <f>BX20+真實IC!BY20</f>
        <v>7.3286374174405733</v>
      </c>
      <c r="BZ20" s="11">
        <f>BY20+真實IC!BZ20</f>
        <v>7.4189088217008567</v>
      </c>
      <c r="CA20" s="11">
        <f>BZ20+真實IC!CA20</f>
        <v>7.4590115497526099</v>
      </c>
      <c r="CB20" s="11">
        <f>CA20+真實IC!CB20</f>
        <v>7.5855065955226291</v>
      </c>
      <c r="CC20" s="11">
        <f>CB20+真實IC!CC20</f>
        <v>7.5984217430007099</v>
      </c>
      <c r="CD20" s="11">
        <f>CC20+真實IC!CD20</f>
        <v>7.7794492404913074</v>
      </c>
      <c r="CE20" s="11">
        <f>CD20+真實IC!CE20</f>
        <v>7.8652274130937476</v>
      </c>
      <c r="CF20" s="11">
        <f>CE20+真實IC!CF20</f>
        <v>7.9461853502924242</v>
      </c>
      <c r="CG20" s="11">
        <f>CF20+真實IC!CG20</f>
        <v>8.0221555910355331</v>
      </c>
      <c r="CH20" s="11">
        <f>CG20+真實IC!CH20</f>
        <v>8.0940196166326714</v>
      </c>
      <c r="CI20" s="11">
        <f>CH20+真實IC!CI20</f>
        <v>8.124414290401754</v>
      </c>
      <c r="CJ20" s="11">
        <f>CI20+真實IC!CJ20</f>
        <v>8.0829043056178254</v>
      </c>
      <c r="CK20" s="11">
        <f>CJ20+真實IC!CK20</f>
        <v>8.163493929558447</v>
      </c>
      <c r="CL20" s="11">
        <f>CK20+真實IC!CL20</f>
        <v>8.0713089953693178</v>
      </c>
      <c r="CM20" s="11">
        <f>CL20+真實IC!CM20</f>
        <v>8.168084801218555</v>
      </c>
      <c r="CN20" s="11">
        <f>CM20+真實IC!CN20</f>
        <v>8.3729766348596577</v>
      </c>
      <c r="CO20" s="11">
        <f>CN20+真實IC!CO20</f>
        <v>8.6695499399646874</v>
      </c>
      <c r="CP20" s="11">
        <f>CO20+真實IC!CP20</f>
        <v>8.8615811450737141</v>
      </c>
      <c r="CQ20" s="11">
        <f>CP20+真實IC!CQ20</f>
        <v>8.8846991903739969</v>
      </c>
      <c r="CR20" s="11">
        <f>CQ20+真實IC!CR20</f>
        <v>9.0801853008589397</v>
      </c>
      <c r="CS20" s="11">
        <f>CR20+真實IC!CS20</f>
        <v>9.1773223995932618</v>
      </c>
      <c r="CT20" s="11">
        <f>CS20+真實IC!CT20</f>
        <v>9.2057368069898491</v>
      </c>
      <c r="CU20" s="11">
        <f>CT20+真實IC!CU20</f>
        <v>9.3524648160614756</v>
      </c>
      <c r="CV20" s="11">
        <f>CU20+真實IC!CV20</f>
        <v>9.47167894427416</v>
      </c>
      <c r="CW20" s="11">
        <f>CV20+真實IC!CW20</f>
        <v>9.5395826524490062</v>
      </c>
      <c r="CX20" s="11">
        <f>CW20+真實IC!CX20</f>
        <v>9.6298812033167707</v>
      </c>
      <c r="CY20" s="11">
        <f>CX20+真實IC!CY20</f>
        <v>9.7386140417188418</v>
      </c>
      <c r="CZ20" s="11">
        <f>CY20+真實IC!CZ20</f>
        <v>9.8937756868680395</v>
      </c>
      <c r="DA20" s="11">
        <f>CZ20+真實IC!DA20</f>
        <v>9.9708573835215883</v>
      </c>
      <c r="DB20" s="11">
        <f>DA20+真實IC!DB20</f>
        <v>10.047825453292372</v>
      </c>
      <c r="DC20" s="11">
        <f>DB20+真實IC!DC20</f>
        <v>9.9982123840568171</v>
      </c>
      <c r="DD20" s="11">
        <f>DC20+真實IC!DD20</f>
        <v>10.001809568813767</v>
      </c>
      <c r="DE20" s="11">
        <f>DD20+真實IC!DE20</f>
        <v>10.012228290420619</v>
      </c>
      <c r="DF20" s="11">
        <f>DE20+真實IC!DF20</f>
        <v>10.257802495698204</v>
      </c>
      <c r="DG20" s="11">
        <f>DF20+真實IC!DG20</f>
        <v>10.310147308998022</v>
      </c>
      <c r="DH20" s="11">
        <f>DG20+真實IC!DH20</f>
        <v>10.588446162166965</v>
      </c>
      <c r="DI20" s="11">
        <f>DH20+真實IC!DI20</f>
        <v>10.72604192147964</v>
      </c>
      <c r="DJ20" s="11">
        <f>DI20+真實IC!DJ20</f>
        <v>10.862600013912337</v>
      </c>
      <c r="DK20" s="11">
        <f>DJ20+真實IC!DK20</f>
        <v>10.947787553932841</v>
      </c>
      <c r="DL20" s="11">
        <f>DK20+真實IC!DL20</f>
        <v>10.928322180599221</v>
      </c>
      <c r="DM20" s="11">
        <f>DL20+真實IC!DM20</f>
        <v>10.858986073924104</v>
      </c>
      <c r="DN20" s="11">
        <f>DM20+真實IC!DN20</f>
        <v>10.917005280578303</v>
      </c>
      <c r="DO20" s="11">
        <f>DN20+真實IC!DO20</f>
        <v>11.175006644037314</v>
      </c>
      <c r="DP20" s="11">
        <f>DO20+真實IC!DP20</f>
        <v>11.375162078791703</v>
      </c>
      <c r="DQ20" s="11">
        <f>DP20+真實IC!DQ20</f>
        <v>11.432622260416403</v>
      </c>
      <c r="DR20" s="11">
        <f>DQ20+真實IC!DR20</f>
        <v>11.511134920444693</v>
      </c>
      <c r="DS20" s="11">
        <f>DR20+真實IC!DS20</f>
        <v>11.503644224690934</v>
      </c>
      <c r="DT20" s="11">
        <f>DS20+真實IC!DT20</f>
        <v>11.473958885892092</v>
      </c>
      <c r="DU20" s="11">
        <f>DT20+真實IC!DU20</f>
        <v>11.650334054822489</v>
      </c>
      <c r="DV20" s="11">
        <f>DU20+真實IC!DV20</f>
        <v>11.779679526661347</v>
      </c>
      <c r="DW20" s="11">
        <f>DV20+真實IC!DW20</f>
        <v>11.676133358521541</v>
      </c>
      <c r="DX20" s="11">
        <f>DW20+真實IC!DX20</f>
        <v>11.829999688127856</v>
      </c>
      <c r="DY20" s="11">
        <f>DX20+真實IC!DY20</f>
        <v>11.951591145903258</v>
      </c>
      <c r="DZ20" s="11">
        <f>DY20+真實IC!DZ20</f>
        <v>12.041790792062233</v>
      </c>
      <c r="EA20" s="11">
        <f>DZ20+真實IC!EA20</f>
        <v>12.035865192788899</v>
      </c>
      <c r="EB20" s="11">
        <f>EA20+真實IC!EB20</f>
        <v>12.118272335233318</v>
      </c>
      <c r="EC20" s="11">
        <f>EB20+真實IC!EC20</f>
        <v>12.15232191664726</v>
      </c>
      <c r="ED20" s="11">
        <f>EC20+真實IC!ED20</f>
        <v>12.32924077771427</v>
      </c>
      <c r="EE20" s="11">
        <f>ED20+真實IC!EE20</f>
        <v>12.327499797962416</v>
      </c>
      <c r="EF20" s="11">
        <f>EE20+真實IC!EF20</f>
        <v>12.413302858804665</v>
      </c>
    </row>
    <row r="21" spans="1:136" x14ac:dyDescent="0.3">
      <c r="A21" s="1">
        <v>241</v>
      </c>
      <c r="B21" s="1">
        <v>4</v>
      </c>
      <c r="C21" s="11">
        <f>IF(預測IC!C21&gt;預測IC!C$26,1,0)</f>
        <v>1</v>
      </c>
      <c r="D21" s="11">
        <f>C21+真實IC!D21</f>
        <v>1.1263879167668236</v>
      </c>
      <c r="E21" s="11">
        <f>D21+真實IC!E21</f>
        <v>1.112697746481033</v>
      </c>
      <c r="F21" s="11">
        <f>E21+真實IC!F21</f>
        <v>0.92865916487490308</v>
      </c>
      <c r="G21" s="11">
        <f>F21+真實IC!G21</f>
        <v>1.0725013159874677</v>
      </c>
      <c r="H21" s="11">
        <f>G21+真實IC!H21</f>
        <v>1.2346654037813056</v>
      </c>
      <c r="I21" s="11">
        <f>H21+真實IC!I21</f>
        <v>1.3819210119087786</v>
      </c>
      <c r="J21" s="11">
        <f>I21+真實IC!J21</f>
        <v>1.4423563376004209</v>
      </c>
      <c r="K21" s="11">
        <f>J21+真實IC!K21</f>
        <v>1.6492363636038165</v>
      </c>
      <c r="L21" s="11">
        <f>K21+真實IC!L21</f>
        <v>1.6542655169098772</v>
      </c>
      <c r="M21" s="11">
        <f>L21+真實IC!M21</f>
        <v>1.5545809235016659</v>
      </c>
      <c r="N21" s="11">
        <f>M21+真實IC!N21</f>
        <v>2.139472188122391</v>
      </c>
      <c r="O21" s="11">
        <f>N21+真實IC!O21</f>
        <v>2.1738241775830818</v>
      </c>
      <c r="P21" s="11">
        <f>O21+真實IC!P21</f>
        <v>2.3185967784727666</v>
      </c>
      <c r="Q21" s="11">
        <f>P21+真實IC!Q21</f>
        <v>2.575906852567019</v>
      </c>
      <c r="R21" s="11">
        <f>Q21+真實IC!R21</f>
        <v>2.4803315414603886</v>
      </c>
      <c r="S21" s="11">
        <f>R21+真實IC!S21</f>
        <v>2.6089218269103456</v>
      </c>
      <c r="T21" s="11">
        <f>S21+真實IC!T21</f>
        <v>2.7073834996671429</v>
      </c>
      <c r="U21" s="11">
        <f>T21+真實IC!U21</f>
        <v>2.793661917278901</v>
      </c>
      <c r="V21" s="11">
        <f>U21+真實IC!V21</f>
        <v>2.8472195366449324</v>
      </c>
      <c r="W21" s="11">
        <f>V21+真實IC!W21</f>
        <v>2.9717181554734404</v>
      </c>
      <c r="X21" s="11">
        <f>W21+真實IC!X21</f>
        <v>3.1853490976785568</v>
      </c>
      <c r="Y21" s="11">
        <f>X21+真實IC!Y21</f>
        <v>3.164516014786122</v>
      </c>
      <c r="Z21" s="11">
        <f>Y21+真實IC!Z21</f>
        <v>3.2787200020088463</v>
      </c>
      <c r="AA21" s="11">
        <f>Z21+真實IC!AA21</f>
        <v>3.389355909011325</v>
      </c>
      <c r="AB21" s="11">
        <f>AA21+真實IC!AB21</f>
        <v>3.5191954914083947</v>
      </c>
      <c r="AC21" s="11">
        <f>AB21+真實IC!AC21</f>
        <v>3.5380232281151947</v>
      </c>
      <c r="AD21" s="11">
        <f>AC21+真實IC!AD21</f>
        <v>3.6668478937627524</v>
      </c>
      <c r="AE21" s="11">
        <f>AD21+真實IC!AE21</f>
        <v>3.7949528725589983</v>
      </c>
      <c r="AF21" s="11">
        <f>AE21+真實IC!AF21</f>
        <v>4.0900971306423619</v>
      </c>
      <c r="AG21" s="11">
        <f>AF21+真實IC!AG21</f>
        <v>4.1343999084321563</v>
      </c>
      <c r="AH21" s="11">
        <f>AG21+真實IC!AH21</f>
        <v>4.026818545867358</v>
      </c>
      <c r="AI21" s="11">
        <f>AH21+真實IC!AI21</f>
        <v>4.1289422213788418</v>
      </c>
      <c r="AJ21" s="11">
        <f>AI21+真實IC!AJ21</f>
        <v>4.0585368794323733</v>
      </c>
      <c r="AK21" s="11">
        <f>AJ21+真實IC!AK21</f>
        <v>4.0227337118142632</v>
      </c>
      <c r="AL21" s="11">
        <f>AK21+真實IC!AL21</f>
        <v>4.0425145253741146</v>
      </c>
      <c r="AM21" s="11">
        <f>AL21+真實IC!AM21</f>
        <v>4.1110503328217449</v>
      </c>
      <c r="AN21" s="11">
        <f>AM21+真實IC!AN21</f>
        <v>4.2230063888848388</v>
      </c>
      <c r="AO21" s="11">
        <f>AN21+真實IC!AO21</f>
        <v>4.3085741637987258</v>
      </c>
      <c r="AP21" s="11">
        <f>AO21+真實IC!AP21</f>
        <v>4.381109307368745</v>
      </c>
      <c r="AQ21" s="11">
        <f>AP21+真實IC!AQ21</f>
        <v>4.5143357675777143</v>
      </c>
      <c r="AR21" s="11">
        <f>AQ21+真實IC!AR21</f>
        <v>4.5623239089810248</v>
      </c>
      <c r="AS21" s="11">
        <f>AR21+真實IC!AS21</f>
        <v>4.5169172269210165</v>
      </c>
      <c r="AT21" s="11">
        <f>AS21+真實IC!AT21</f>
        <v>4.7817554844690138</v>
      </c>
      <c r="AU21" s="11">
        <f>AT21+真實IC!AU21</f>
        <v>5.1282367484324407</v>
      </c>
      <c r="AV21" s="11">
        <f>AU21+真實IC!AV21</f>
        <v>5.0595228357359607</v>
      </c>
      <c r="AW21" s="11">
        <f>AV21+真實IC!AW21</f>
        <v>5.3227777521097757</v>
      </c>
      <c r="AX21" s="11">
        <f>AW21+真實IC!AX21</f>
        <v>5.5404960546268134</v>
      </c>
      <c r="AY21" s="11">
        <f>AX21+真實IC!AY21</f>
        <v>5.5875173456048515</v>
      </c>
      <c r="AZ21" s="11">
        <f>AY21+真實IC!AZ21</f>
        <v>5.6960197040194576</v>
      </c>
      <c r="BA21" s="11">
        <f>AZ21+真實IC!BA21</f>
        <v>5.8356123861807845</v>
      </c>
      <c r="BB21" s="11">
        <f>BA21+真實IC!BB21</f>
        <v>6.2400438143139336</v>
      </c>
      <c r="BC21" s="11">
        <f>BB21+真實IC!BC21</f>
        <v>6.40450434624276</v>
      </c>
      <c r="BD21" s="11">
        <f>BC21+真實IC!BD21</f>
        <v>6.4427234935106741</v>
      </c>
      <c r="BE21" s="11">
        <f>BD21+真實IC!BE21</f>
        <v>6.5794688494186389</v>
      </c>
      <c r="BF21" s="11">
        <f>BE21+真實IC!BF21</f>
        <v>6.7785860658492423</v>
      </c>
      <c r="BG21" s="11">
        <f>BF21+真實IC!BG21</f>
        <v>6.8708716373564958</v>
      </c>
      <c r="BH21" s="11">
        <f>BG21+真實IC!BH21</f>
        <v>6.9777137469939259</v>
      </c>
      <c r="BI21" s="11">
        <f>BH21+真實IC!BI21</f>
        <v>7.1436833431723175</v>
      </c>
      <c r="BJ21" s="11">
        <f>BI21+真實IC!BJ21</f>
        <v>7.1660774055364271</v>
      </c>
      <c r="BK21" s="11">
        <f>BJ21+真實IC!BK21</f>
        <v>7.0933542907877127</v>
      </c>
      <c r="BL21" s="11">
        <f>BK21+真實IC!BL21</f>
        <v>7.1806950812554113</v>
      </c>
      <c r="BM21" s="11">
        <f>BL21+真實IC!BM21</f>
        <v>7.2214903672841322</v>
      </c>
      <c r="BN21" s="11">
        <f>BM21+真實IC!BN21</f>
        <v>7.2472811337325789</v>
      </c>
      <c r="BO21" s="11">
        <f>BN21+真實IC!BO21</f>
        <v>7.1834238973188986</v>
      </c>
      <c r="BP21" s="11">
        <f>BO21+真實IC!BP21</f>
        <v>7.1792430949873056</v>
      </c>
      <c r="BQ21" s="11">
        <f>BP21+真實IC!BQ21</f>
        <v>7.2337853258218106</v>
      </c>
      <c r="BR21" s="11">
        <f>BQ21+真實IC!BR21</f>
        <v>7.375846781731906</v>
      </c>
      <c r="BS21" s="11">
        <f>BR21+真實IC!BS21</f>
        <v>7.3101049607715582</v>
      </c>
      <c r="BT21" s="11">
        <f>BS21+真實IC!BT21</f>
        <v>7.2492842182290333</v>
      </c>
      <c r="BU21" s="11">
        <f>BT21+真實IC!BU21</f>
        <v>7.4200227287794513</v>
      </c>
      <c r="BV21" s="11">
        <f>BU21+真實IC!BV21</f>
        <v>7.3756827487381775</v>
      </c>
      <c r="BW21" s="11">
        <f>BV21+真實IC!BW21</f>
        <v>7.560143419458587</v>
      </c>
      <c r="BX21" s="11">
        <f>BW21+真實IC!BX21</f>
        <v>7.48297841693799</v>
      </c>
      <c r="BY21" s="11">
        <f>BX21+真實IC!BY21</f>
        <v>7.427312124695753</v>
      </c>
      <c r="BZ21" s="11">
        <f>BY21+真實IC!BZ21</f>
        <v>7.4749750534164683</v>
      </c>
      <c r="CA21" s="11">
        <f>BZ21+真實IC!CA21</f>
        <v>7.5354926567188665</v>
      </c>
      <c r="CB21" s="11">
        <f>CA21+真實IC!CB21</f>
        <v>7.7433625046204542</v>
      </c>
      <c r="CC21" s="11">
        <f>CB21+真實IC!CC21</f>
        <v>7.7353435503494881</v>
      </c>
      <c r="CD21" s="11">
        <f>CC21+真實IC!CD21</f>
        <v>8.0233996147119608</v>
      </c>
      <c r="CE21" s="11">
        <f>CD21+真實IC!CE21</f>
        <v>8.0849144970661158</v>
      </c>
      <c r="CF21" s="11">
        <f>CE21+真實IC!CF21</f>
        <v>8.2161801738671887</v>
      </c>
      <c r="CG21" s="11">
        <f>CF21+真實IC!CG21</f>
        <v>8.3012655093413201</v>
      </c>
      <c r="CH21" s="11">
        <f>CG21+真實IC!CH21</f>
        <v>8.3813658304175327</v>
      </c>
      <c r="CI21" s="11">
        <f>CH21+真實IC!CI21</f>
        <v>8.461865446808515</v>
      </c>
      <c r="CJ21" s="11">
        <f>CI21+真實IC!CJ21</f>
        <v>8.406724598247358</v>
      </c>
      <c r="CK21" s="11">
        <f>CJ21+真實IC!CK21</f>
        <v>8.4738842285442129</v>
      </c>
      <c r="CL21" s="11">
        <f>CK21+真實IC!CL21</f>
        <v>8.3399938039212476</v>
      </c>
      <c r="CM21" s="11">
        <f>CL21+真實IC!CM21</f>
        <v>8.4562256231018065</v>
      </c>
      <c r="CN21" s="11">
        <f>CM21+真實IC!CN21</f>
        <v>8.5370771319312393</v>
      </c>
      <c r="CO21" s="11">
        <f>CN21+真實IC!CO21</f>
        <v>8.8725608901261186</v>
      </c>
      <c r="CP21" s="11">
        <f>CO21+真實IC!CP21</f>
        <v>9.0952609510040308</v>
      </c>
      <c r="CQ21" s="11">
        <f>CP21+真實IC!CQ21</f>
        <v>9.1181731451735271</v>
      </c>
      <c r="CR21" s="11">
        <f>CQ21+真實IC!CR21</f>
        <v>9.3572331115347946</v>
      </c>
      <c r="CS21" s="11">
        <f>CR21+真實IC!CS21</f>
        <v>9.4185021477541255</v>
      </c>
      <c r="CT21" s="11">
        <f>CS21+真實IC!CT21</f>
        <v>9.4664952518271299</v>
      </c>
      <c r="CU21" s="11">
        <f>CT21+真實IC!CU21</f>
        <v>9.6254118741445804</v>
      </c>
      <c r="CV21" s="11">
        <f>CU21+真實IC!CV21</f>
        <v>9.7797437189191534</v>
      </c>
      <c r="CW21" s="11">
        <f>CV21+真實IC!CW21</f>
        <v>9.8180892357908363</v>
      </c>
      <c r="CX21" s="11">
        <f>CW21+真實IC!CX21</f>
        <v>9.9202114114482427</v>
      </c>
      <c r="CY21" s="11">
        <f>CX21+真實IC!CY21</f>
        <v>10.022716572529806</v>
      </c>
      <c r="CZ21" s="11">
        <f>CY21+真實IC!CZ21</f>
        <v>10.260167943355636</v>
      </c>
      <c r="DA21" s="11">
        <f>CZ21+真實IC!DA21</f>
        <v>10.301877007419563</v>
      </c>
      <c r="DB21" s="11">
        <f>DA21+真實IC!DB21</f>
        <v>10.373338221193562</v>
      </c>
      <c r="DC21" s="11">
        <f>DB21+真實IC!DC21</f>
        <v>10.328290661970271</v>
      </c>
      <c r="DD21" s="11">
        <f>DC21+真實IC!DD21</f>
        <v>10.331109456361343</v>
      </c>
      <c r="DE21" s="11">
        <f>DD21+真實IC!DE21</f>
        <v>10.36008719342167</v>
      </c>
      <c r="DF21" s="11">
        <f>DE21+真實IC!DF21</f>
        <v>10.661237405103714</v>
      </c>
      <c r="DG21" s="11">
        <f>DF21+真實IC!DG21</f>
        <v>10.720646923948628</v>
      </c>
      <c r="DH21" s="11">
        <f>DG21+真實IC!DH21</f>
        <v>10.802083112228656</v>
      </c>
      <c r="DI21" s="11">
        <f>DH21+真實IC!DI21</f>
        <v>10.98192293739606</v>
      </c>
      <c r="DJ21" s="11">
        <f>DI21+真實IC!DJ21</f>
        <v>11.138528655859702</v>
      </c>
      <c r="DK21" s="11">
        <f>DJ21+真實IC!DK21</f>
        <v>11.229424246766648</v>
      </c>
      <c r="DL21" s="11">
        <f>DK21+真實IC!DL21</f>
        <v>11.216687255265635</v>
      </c>
      <c r="DM21" s="11">
        <f>DL21+真實IC!DM21</f>
        <v>11.19169845282349</v>
      </c>
      <c r="DN21" s="11">
        <f>DM21+真實IC!DN21</f>
        <v>11.262896065317483</v>
      </c>
      <c r="DO21" s="11">
        <f>DN21+真實IC!DO21</f>
        <v>11.594522870196128</v>
      </c>
      <c r="DP21" s="11">
        <f>DO21+真實IC!DP21</f>
        <v>11.823542759876362</v>
      </c>
      <c r="DQ21" s="11">
        <f>DP21+真實IC!DQ21</f>
        <v>11.893965458684546</v>
      </c>
      <c r="DR21" s="11">
        <f>DQ21+真實IC!DR21</f>
        <v>11.944136317721627</v>
      </c>
      <c r="DS21" s="11">
        <f>DR21+真實IC!DS21</f>
        <v>11.942464223042306</v>
      </c>
      <c r="DT21" s="11">
        <f>DS21+真實IC!DT21</f>
        <v>11.937249032695627</v>
      </c>
      <c r="DU21" s="11">
        <f>DT21+真實IC!DU21</f>
        <v>12.08586374933404</v>
      </c>
      <c r="DV21" s="11">
        <f>DU21+真實IC!DV21</f>
        <v>12.226139726203918</v>
      </c>
      <c r="DW21" s="11">
        <f>DV21+真實IC!DW21</f>
        <v>12.122605233607615</v>
      </c>
      <c r="DX21" s="11">
        <f>DW21+真實IC!DX21</f>
        <v>12.308571447638798</v>
      </c>
      <c r="DY21" s="11">
        <f>DX21+真實IC!DY21</f>
        <v>12.47530241872739</v>
      </c>
      <c r="DZ21" s="11">
        <f>DY21+真實IC!DZ21</f>
        <v>12.574232992387294</v>
      </c>
      <c r="EA21" s="11">
        <f>DZ21+真實IC!EA21</f>
        <v>12.539166535202058</v>
      </c>
      <c r="EB21" s="11">
        <f>EA21+真實IC!EB21</f>
        <v>12.565468729200592</v>
      </c>
      <c r="EC21" s="11">
        <f>EB21+真實IC!EC21</f>
        <v>12.579505784298634</v>
      </c>
      <c r="ED21" s="11">
        <f>EC21+真實IC!ED21</f>
        <v>12.634004640646815</v>
      </c>
      <c r="EE21" s="11">
        <f>ED21+真實IC!EE21</f>
        <v>12.655315232954683</v>
      </c>
      <c r="EF21" s="11">
        <f>EE21+真實IC!EF21</f>
        <v>12.684112459374354</v>
      </c>
    </row>
    <row r="22" spans="1:136" x14ac:dyDescent="0.3">
      <c r="A22" s="1">
        <v>321</v>
      </c>
      <c r="B22" s="1">
        <v>3</v>
      </c>
      <c r="C22" s="11">
        <f>IF(預測IC!C22&gt;預測IC!C$26,1,0)</f>
        <v>1</v>
      </c>
      <c r="D22" s="11">
        <f>C22+真實IC!D22</f>
        <v>1.1424278520773985</v>
      </c>
      <c r="E22" s="11">
        <f>D22+真實IC!E22</f>
        <v>1.1250727531609395</v>
      </c>
      <c r="F22" s="11">
        <f>E22+真實IC!F22</f>
        <v>1.0572416922396619</v>
      </c>
      <c r="G22" s="11">
        <f>F22+真實IC!G22</f>
        <v>1.161126055529996</v>
      </c>
      <c r="H22" s="11">
        <f>G22+真實IC!H22</f>
        <v>1.2853041184906424</v>
      </c>
      <c r="I22" s="11">
        <f>H22+真實IC!I22</f>
        <v>1.4087972878287123</v>
      </c>
      <c r="J22" s="11">
        <f>I22+真實IC!J22</f>
        <v>1.4613958770940552</v>
      </c>
      <c r="K22" s="11">
        <f>J22+真實IC!K22</f>
        <v>1.7067617897768108</v>
      </c>
      <c r="L22" s="11">
        <f>K22+真實IC!L22</f>
        <v>1.6924885810918286</v>
      </c>
      <c r="M22" s="11">
        <f>L22+真實IC!M22</f>
        <v>1.6183885223212562</v>
      </c>
      <c r="N22" s="11">
        <f>M22+真實IC!N22</f>
        <v>2.374531965438595</v>
      </c>
      <c r="O22" s="11">
        <f>N22+真實IC!O22</f>
        <v>2.3678160871272276</v>
      </c>
      <c r="P22" s="11">
        <f>O22+真實IC!P22</f>
        <v>2.4405989712560445</v>
      </c>
      <c r="Q22" s="11">
        <f>P22+真實IC!Q22</f>
        <v>2.7173758650890965</v>
      </c>
      <c r="R22" s="11">
        <f>Q22+真實IC!R22</f>
        <v>2.6807474308175085</v>
      </c>
      <c r="S22" s="11">
        <f>R22+真實IC!S22</f>
        <v>2.8503939863754493</v>
      </c>
      <c r="T22" s="11">
        <f>S22+真實IC!T22</f>
        <v>2.9792064083585723</v>
      </c>
      <c r="U22" s="11">
        <f>T22+真實IC!U22</f>
        <v>3.0897964317610764</v>
      </c>
      <c r="V22" s="11">
        <f>U22+真實IC!V22</f>
        <v>3.1280832082809318</v>
      </c>
      <c r="W22" s="11">
        <f>V22+真實IC!W22</f>
        <v>3.2861309614448824</v>
      </c>
      <c r="X22" s="11">
        <f>W22+真實IC!X22</f>
        <v>3.5079177204787526</v>
      </c>
      <c r="Y22" s="11">
        <f>X22+真實IC!Y22</f>
        <v>3.4921855120652316</v>
      </c>
      <c r="Z22" s="11">
        <f>Y22+真實IC!Z22</f>
        <v>3.5677337812110776</v>
      </c>
      <c r="AA22" s="11">
        <f>Z22+真實IC!AA22</f>
        <v>3.6502582067891907</v>
      </c>
      <c r="AB22" s="11">
        <f>AA22+真實IC!AB22</f>
        <v>3.7846944195025163</v>
      </c>
      <c r="AC22" s="11">
        <f>AB22+真實IC!AC22</f>
        <v>3.8704708802179488</v>
      </c>
      <c r="AD22" s="11">
        <f>AC22+真實IC!AD22</f>
        <v>3.8840436689903099</v>
      </c>
      <c r="AE22" s="11">
        <f>AD22+真實IC!AE22</f>
        <v>4.0148675118066439</v>
      </c>
      <c r="AF22" s="11">
        <f>AE22+真實IC!AF22</f>
        <v>4.4447842798552557</v>
      </c>
      <c r="AG22" s="11">
        <f>AF22+真實IC!AG22</f>
        <v>4.49762582003099</v>
      </c>
      <c r="AH22" s="11">
        <f>AG22+真實IC!AH22</f>
        <v>4.3917598606105175</v>
      </c>
      <c r="AI22" s="11">
        <f>AH22+真實IC!AI22</f>
        <v>4.5027635718374661</v>
      </c>
      <c r="AJ22" s="11">
        <f>AI22+真實IC!AJ22</f>
        <v>4.4710637225110581</v>
      </c>
      <c r="AK22" s="11">
        <f>AJ22+真實IC!AK22</f>
        <v>4.5723522832514538</v>
      </c>
      <c r="AL22" s="11">
        <f>AK22+真實IC!AL22</f>
        <v>4.5629125447777437</v>
      </c>
      <c r="AM22" s="11">
        <f>AL22+真實IC!AM22</f>
        <v>4.6470014482454474</v>
      </c>
      <c r="AN22" s="11">
        <f>AM22+真實IC!AN22</f>
        <v>4.7581342579090062</v>
      </c>
      <c r="AO22" s="11">
        <f>AN22+真實IC!AO22</f>
        <v>4.9162871332027329</v>
      </c>
      <c r="AP22" s="11">
        <f>AO22+真實IC!AP22</f>
        <v>4.9788234870907253</v>
      </c>
      <c r="AQ22" s="11">
        <f>AP22+真實IC!AQ22</f>
        <v>5.0889551993820037</v>
      </c>
      <c r="AR22" s="11">
        <f>AQ22+真實IC!AR22</f>
        <v>5.1568796870856071</v>
      </c>
      <c r="AS22" s="11">
        <f>AR22+真實IC!AS22</f>
        <v>5.2307233897714402</v>
      </c>
      <c r="AT22" s="11">
        <f>AS22+真實IC!AT22</f>
        <v>5.2484517607658772</v>
      </c>
      <c r="AU22" s="11">
        <f>AT22+真實IC!AU22</f>
        <v>5.6778055454442233</v>
      </c>
      <c r="AV22" s="11">
        <f>AU22+真實IC!AV22</f>
        <v>5.5880515635725905</v>
      </c>
      <c r="AW22" s="11">
        <f>AV22+真實IC!AW22</f>
        <v>5.9588508422637636</v>
      </c>
      <c r="AX22" s="11">
        <f>AW22+真實IC!AX22</f>
        <v>5.94897565625807</v>
      </c>
      <c r="AY22" s="11">
        <f>AX22+真實IC!AY22</f>
        <v>6.0207090415923004</v>
      </c>
      <c r="AZ22" s="11">
        <f>AY22+真實IC!AZ22</f>
        <v>6.175897445635834</v>
      </c>
      <c r="BA22" s="11">
        <f>AZ22+真實IC!BA22</f>
        <v>6.2256724032200212</v>
      </c>
      <c r="BB22" s="11">
        <f>BA22+真實IC!BB22</f>
        <v>6.7439364526700585</v>
      </c>
      <c r="BC22" s="11">
        <f>BB22+真實IC!BC22</f>
        <v>6.9395624880205764</v>
      </c>
      <c r="BD22" s="11">
        <f>BC22+真實IC!BD22</f>
        <v>7.0188220329400126</v>
      </c>
      <c r="BE22" s="11">
        <f>BD22+真實IC!BE22</f>
        <v>7.146889916905673</v>
      </c>
      <c r="BF22" s="11">
        <f>BE22+真實IC!BF22</f>
        <v>7.3459923654541113</v>
      </c>
      <c r="BG22" s="11">
        <f>BF22+真實IC!BG22</f>
        <v>7.3047608963013309</v>
      </c>
      <c r="BH22" s="11">
        <f>BG22+真實IC!BH22</f>
        <v>7.432467905697747</v>
      </c>
      <c r="BI22" s="11">
        <f>BH22+真實IC!BI22</f>
        <v>7.5435566251076542</v>
      </c>
      <c r="BJ22" s="11">
        <f>BI22+真實IC!BJ22</f>
        <v>7.5844469567871782</v>
      </c>
      <c r="BK22" s="11">
        <f>BJ22+真實IC!BK22</f>
        <v>7.5361317157355137</v>
      </c>
      <c r="BL22" s="11">
        <f>BK22+真實IC!BL22</f>
        <v>7.6756031061363776</v>
      </c>
      <c r="BM22" s="11">
        <f>BL22+真實IC!BM22</f>
        <v>7.6780335893819105</v>
      </c>
      <c r="BN22" s="11">
        <f>BM22+真實IC!BN22</f>
        <v>7.760971488582233</v>
      </c>
      <c r="BO22" s="11">
        <f>BN22+真實IC!BO22</f>
        <v>7.7104870594694823</v>
      </c>
      <c r="BP22" s="11">
        <f>BO22+真實IC!BP22</f>
        <v>7.7099460593449507</v>
      </c>
      <c r="BQ22" s="11">
        <f>BP22+真實IC!BQ22</f>
        <v>7.737776156743263</v>
      </c>
      <c r="BR22" s="11">
        <f>BQ22+真實IC!BR22</f>
        <v>7.8443429387109536</v>
      </c>
      <c r="BS22" s="11">
        <f>BR22+真實IC!BS22</f>
        <v>7.7472953490064089</v>
      </c>
      <c r="BT22" s="11">
        <f>BS22+真實IC!BT22</f>
        <v>7.836021543339192</v>
      </c>
      <c r="BU22" s="11">
        <f>BT22+真實IC!BU22</f>
        <v>7.9403721264215568</v>
      </c>
      <c r="BV22" s="11">
        <f>BU22+真實IC!BV22</f>
        <v>7.8917685918324789</v>
      </c>
      <c r="BW22" s="11">
        <f>BV22+真實IC!BW22</f>
        <v>8.0239403833682594</v>
      </c>
      <c r="BX22" s="11">
        <f>BW22+真實IC!BX22</f>
        <v>7.9109114844638944</v>
      </c>
      <c r="BY22" s="11">
        <f>BX22+真實IC!BY22</f>
        <v>7.8553144344935237</v>
      </c>
      <c r="BZ22" s="11">
        <f>BY22+真實IC!BZ22</f>
        <v>7.9025721703564162</v>
      </c>
      <c r="CA22" s="11">
        <f>BZ22+真實IC!CA22</f>
        <v>7.93006224883674</v>
      </c>
      <c r="CB22" s="11">
        <f>CA22+真實IC!CB22</f>
        <v>8.1848015045516007</v>
      </c>
      <c r="CC22" s="11">
        <f>CB22+真實IC!CC22</f>
        <v>8.059697509231567</v>
      </c>
      <c r="CD22" s="11">
        <f>CC22+真實IC!CD22</f>
        <v>8.3935755459442891</v>
      </c>
      <c r="CE22" s="11">
        <f>CD22+真實IC!CE22</f>
        <v>8.4604156915811064</v>
      </c>
      <c r="CF22" s="11">
        <f>CE22+真實IC!CF22</f>
        <v>8.6492154773413841</v>
      </c>
      <c r="CG22" s="11">
        <f>CF22+真實IC!CG22</f>
        <v>8.856300809974897</v>
      </c>
      <c r="CH22" s="11">
        <f>CG22+真實IC!CH22</f>
        <v>8.972219581254345</v>
      </c>
      <c r="CI22" s="11">
        <f>CH22+真實IC!CI22</f>
        <v>9.0899993275327038</v>
      </c>
      <c r="CJ22" s="11">
        <f>CI22+真實IC!CJ22</f>
        <v>8.9636739682541169</v>
      </c>
      <c r="CK22" s="11">
        <f>CJ22+真實IC!CK22</f>
        <v>9.074597508540899</v>
      </c>
      <c r="CL22" s="11">
        <f>CK22+真實IC!CL22</f>
        <v>8.8339457099158576</v>
      </c>
      <c r="CM22" s="11">
        <f>CL22+真實IC!CM22</f>
        <v>9.0537781951133205</v>
      </c>
      <c r="CN22" s="11">
        <f>CM22+真實IC!CN22</f>
        <v>9.2065821119235274</v>
      </c>
      <c r="CO22" s="11">
        <f>CN22+真實IC!CO22</f>
        <v>9.4786416100704027</v>
      </c>
      <c r="CP22" s="11">
        <f>CO22+真實IC!CP22</f>
        <v>9.7380501670398054</v>
      </c>
      <c r="CQ22" s="11">
        <f>CP22+真實IC!CQ22</f>
        <v>9.7552097825589286</v>
      </c>
      <c r="CR22" s="11">
        <f>CQ22+真實IC!CR22</f>
        <v>10.001982552550816</v>
      </c>
      <c r="CS22" s="11">
        <f>CR22+真實IC!CS22</f>
        <v>10.086764488435181</v>
      </c>
      <c r="CT22" s="11">
        <f>CS22+真實IC!CT22</f>
        <v>10.125027103010456</v>
      </c>
      <c r="CU22" s="11">
        <f>CT22+真實IC!CU22</f>
        <v>10.292381014196824</v>
      </c>
      <c r="CV22" s="11">
        <f>CU22+真實IC!CV22</f>
        <v>10.458603692886378</v>
      </c>
      <c r="CW22" s="11">
        <f>CV22+真實IC!CW22</f>
        <v>10.481487735218362</v>
      </c>
      <c r="CX22" s="11">
        <f>CW22+真實IC!CX22</f>
        <v>10.48523732848621</v>
      </c>
      <c r="CY22" s="11">
        <f>CX22+真實IC!CY22</f>
        <v>10.589748154554272</v>
      </c>
      <c r="CZ22" s="11">
        <f>CY22+真實IC!CZ22</f>
        <v>10.85266863915351</v>
      </c>
      <c r="DA22" s="11">
        <f>CZ22+真實IC!DA22</f>
        <v>10.885122633963649</v>
      </c>
      <c r="DB22" s="11">
        <f>DA22+真實IC!DB22</f>
        <v>10.939164255674171</v>
      </c>
      <c r="DC22" s="11">
        <f>DB22+真實IC!DC22</f>
        <v>10.918439471230014</v>
      </c>
      <c r="DD22" s="11">
        <f>DC22+真實IC!DD22</f>
        <v>10.950149640355839</v>
      </c>
      <c r="DE22" s="11">
        <f>DD22+真實IC!DE22</f>
        <v>10.932393136853907</v>
      </c>
      <c r="DF22" s="11">
        <f>DE22+真實IC!DF22</f>
        <v>11.322060770548031</v>
      </c>
      <c r="DG22" s="11">
        <f>DF22+真實IC!DG22</f>
        <v>11.393950269965034</v>
      </c>
      <c r="DH22" s="11">
        <f>DG22+真實IC!DH22</f>
        <v>11.475404651580941</v>
      </c>
      <c r="DI22" s="11">
        <f>DH22+真實IC!DI22</f>
        <v>11.53552676285153</v>
      </c>
      <c r="DJ22" s="11">
        <f>DI22+真實IC!DJ22</f>
        <v>11.68922652568186</v>
      </c>
      <c r="DK22" s="11">
        <f>DJ22+真實IC!DK22</f>
        <v>11.780654930741372</v>
      </c>
      <c r="DL22" s="11">
        <f>DK22+真實IC!DL22</f>
        <v>11.777441599998234</v>
      </c>
      <c r="DM22" s="11">
        <f>DL22+真實IC!DM22</f>
        <v>11.745556890708503</v>
      </c>
      <c r="DN22" s="11">
        <f>DM22+真實IC!DN22</f>
        <v>11.792320218912511</v>
      </c>
      <c r="DO22" s="11">
        <f>DN22+真實IC!DO22</f>
        <v>11.868036034967417</v>
      </c>
      <c r="DP22" s="11">
        <f>DO22+真實IC!DP22</f>
        <v>12.037598467108149</v>
      </c>
      <c r="DQ22" s="11">
        <f>DP22+真實IC!DQ22</f>
        <v>12.203002633652789</v>
      </c>
      <c r="DR22" s="11">
        <f>DQ22+真實IC!DR22</f>
        <v>12.196910081037471</v>
      </c>
      <c r="DS22" s="11">
        <f>DR22+真實IC!DS22</f>
        <v>12.160563818787935</v>
      </c>
      <c r="DT22" s="11">
        <f>DS22+真實IC!DT22</f>
        <v>12.187692572766105</v>
      </c>
      <c r="DU22" s="11">
        <f>DT22+真實IC!DU22</f>
        <v>12.349239483648836</v>
      </c>
      <c r="DV22" s="11">
        <f>DU22+真實IC!DV22</f>
        <v>12.474944601327014</v>
      </c>
      <c r="DW22" s="11">
        <f>DV22+真實IC!DW22</f>
        <v>12.39352918794709</v>
      </c>
      <c r="DX22" s="11">
        <f>DW22+真實IC!DX22</f>
        <v>12.615971796395385</v>
      </c>
      <c r="DY22" s="11">
        <f>DX22+真實IC!DY22</f>
        <v>12.735927821114046</v>
      </c>
      <c r="DZ22" s="11">
        <f>DY22+真實IC!DZ22</f>
        <v>12.846762325901757</v>
      </c>
      <c r="EA22" s="11">
        <f>DZ22+真實IC!EA22</f>
        <v>12.812571083491884</v>
      </c>
      <c r="EB22" s="11">
        <f>EA22+真實IC!EB22</f>
        <v>12.942337033797953</v>
      </c>
      <c r="EC22" s="11">
        <f>EB22+真實IC!EC22</f>
        <v>12.963832135373591</v>
      </c>
      <c r="ED22" s="11">
        <f>EC22+真實IC!ED22</f>
        <v>13.041245702431199</v>
      </c>
      <c r="EE22" s="11">
        <f>ED22+真實IC!EE22</f>
        <v>13.088882361815898</v>
      </c>
      <c r="EF22" s="11">
        <f>EE22+真實IC!EF22</f>
        <v>13.125477830947677</v>
      </c>
    </row>
    <row r="23" spans="1:136" x14ac:dyDescent="0.3">
      <c r="A23" s="1">
        <v>482</v>
      </c>
      <c r="B23" s="1">
        <v>2</v>
      </c>
      <c r="C23" s="11">
        <f>IF(預測IC!C23&gt;預測IC!C$26,1,0)</f>
        <v>1</v>
      </c>
      <c r="D23" s="11">
        <f>C23+真實IC!D23</f>
        <v>1.2540926274514612</v>
      </c>
      <c r="E23" s="11">
        <f>D23+真實IC!E23</f>
        <v>1.3870978215076322</v>
      </c>
      <c r="F23" s="11">
        <f>E23+真實IC!F23</f>
        <v>1.2047017461867535</v>
      </c>
      <c r="G23" s="11">
        <f>F23+真實IC!G23</f>
        <v>1.1777301776623854</v>
      </c>
      <c r="H23" s="11">
        <f>G23+真實IC!H23</f>
        <v>1.1595417068209009</v>
      </c>
      <c r="I23" s="11">
        <f>H23+真實IC!I23</f>
        <v>1.3076937354211948</v>
      </c>
      <c r="J23" s="11">
        <f>I23+真實IC!J23</f>
        <v>1.2095314442747425</v>
      </c>
      <c r="K23" s="11">
        <f>J23+真實IC!K23</f>
        <v>1.3521390193993974</v>
      </c>
      <c r="L23" s="11">
        <f>K23+真實IC!L23</f>
        <v>1.3013681856942145</v>
      </c>
      <c r="M23" s="11">
        <f>L23+真實IC!M23</f>
        <v>1.0429182693355721</v>
      </c>
      <c r="N23" s="11">
        <f>M23+真實IC!N23</f>
        <v>2.0188197126068523</v>
      </c>
      <c r="O23" s="11">
        <f>N23+真實IC!O23</f>
        <v>1.9994120013400831</v>
      </c>
      <c r="P23" s="11">
        <f>O23+真實IC!P23</f>
        <v>2.0898137125222087</v>
      </c>
      <c r="Q23" s="11">
        <f>P23+真實IC!Q23</f>
        <v>2.0302456956216881</v>
      </c>
      <c r="R23" s="11">
        <f>Q23+真實IC!R23</f>
        <v>1.9740345523084331</v>
      </c>
      <c r="S23" s="11">
        <f>R23+真實IC!S23</f>
        <v>2.0877590851356951</v>
      </c>
      <c r="T23" s="11">
        <f>S23+真實IC!T23</f>
        <v>2.2423617784631236</v>
      </c>
      <c r="U23" s="11">
        <f>T23+真實IC!U23</f>
        <v>2.336119200903918</v>
      </c>
      <c r="V23" s="11">
        <f>U23+真實IC!V23</f>
        <v>2.3130897437941269</v>
      </c>
      <c r="W23" s="11">
        <f>V23+真實IC!W23</f>
        <v>2.5726370674711863</v>
      </c>
      <c r="X23" s="11">
        <f>W23+真實IC!X23</f>
        <v>2.7544182532690091</v>
      </c>
      <c r="Y23" s="11">
        <f>X23+真實IC!Y23</f>
        <v>2.7397584517385187</v>
      </c>
      <c r="Z23" s="11">
        <f>Y23+真實IC!Z23</f>
        <v>2.7727909671823938</v>
      </c>
      <c r="AA23" s="11">
        <f>Z23+真實IC!AA23</f>
        <v>2.7160425212222834</v>
      </c>
      <c r="AB23" s="11">
        <f>AA23+真實IC!AB23</f>
        <v>2.7800823010990667</v>
      </c>
      <c r="AC23" s="11">
        <f>AB23+真實IC!AC23</f>
        <v>2.9488371007359793</v>
      </c>
      <c r="AD23" s="11">
        <f>AC23+真實IC!AD23</f>
        <v>3.0204659688216533</v>
      </c>
      <c r="AE23" s="11">
        <f>AD23+真實IC!AE23</f>
        <v>3.1576779575793132</v>
      </c>
      <c r="AF23" s="11">
        <f>AE23+真實IC!AF23</f>
        <v>3.4823372832195245</v>
      </c>
      <c r="AG23" s="11">
        <f>AF23+真實IC!AG23</f>
        <v>3.5742109408658846</v>
      </c>
      <c r="AH23" s="11">
        <f>AG23+真實IC!AH23</f>
        <v>3.4900393563427015</v>
      </c>
      <c r="AI23" s="11">
        <f>AH23+真實IC!AI23</f>
        <v>3.6991909549629653</v>
      </c>
      <c r="AJ23" s="11">
        <f>AI23+真實IC!AJ23</f>
        <v>3.7048340928111196</v>
      </c>
      <c r="AK23" s="11">
        <f>AJ23+真實IC!AK23</f>
        <v>3.8189451921583109</v>
      </c>
      <c r="AL23" s="11">
        <f>AK23+真實IC!AL23</f>
        <v>3.8048785990513063</v>
      </c>
      <c r="AM23" s="11">
        <f>AL23+真實IC!AM23</f>
        <v>3.8126480880561715</v>
      </c>
      <c r="AN23" s="11">
        <f>AM23+真實IC!AN23</f>
        <v>4.0549627874134719</v>
      </c>
      <c r="AO23" s="11">
        <f>AN23+真實IC!AO23</f>
        <v>4.1457452669430896</v>
      </c>
      <c r="AP23" s="11">
        <f>AO23+真實IC!AP23</f>
        <v>4.1426241675907836</v>
      </c>
      <c r="AQ23" s="11">
        <f>AP23+真實IC!AQ23</f>
        <v>4.2420048066035356</v>
      </c>
      <c r="AR23" s="11">
        <f>AQ23+真實IC!AR23</f>
        <v>4.3881409709429029</v>
      </c>
      <c r="AS23" s="11">
        <f>AR23+真實IC!AS23</f>
        <v>4.4698045917234728</v>
      </c>
      <c r="AT23" s="11">
        <f>AS23+真實IC!AT23</f>
        <v>4.5793104946883734</v>
      </c>
      <c r="AU23" s="11">
        <f>AT23+真實IC!AU23</f>
        <v>5.1876425389378502</v>
      </c>
      <c r="AV23" s="11">
        <f>AU23+真實IC!AV23</f>
        <v>5.1384924723085579</v>
      </c>
      <c r="AW23" s="11">
        <f>AV23+真實IC!AW23</f>
        <v>5.7207524464827726</v>
      </c>
      <c r="AX23" s="11">
        <f>AW23+真實IC!AX23</f>
        <v>5.7059396674742322</v>
      </c>
      <c r="AY23" s="11">
        <f>AX23+真實IC!AY23</f>
        <v>5.8761736483148139</v>
      </c>
      <c r="AZ23" s="11">
        <f>AY23+真實IC!AZ23</f>
        <v>5.9542452248360211</v>
      </c>
      <c r="BA23" s="11">
        <f>AZ23+真實IC!BA23</f>
        <v>6.0082435634658786</v>
      </c>
      <c r="BB23" s="11">
        <f>BA23+真實IC!BB23</f>
        <v>6.6942668931456124</v>
      </c>
      <c r="BC23" s="11">
        <f>BB23+真實IC!BC23</f>
        <v>6.9471360750455515</v>
      </c>
      <c r="BD23" s="11">
        <f>BC23+真實IC!BD23</f>
        <v>7.0731088595200475</v>
      </c>
      <c r="BE23" s="11">
        <f>BD23+真實IC!BE23</f>
        <v>7.1974010025459467</v>
      </c>
      <c r="BF23" s="11">
        <f>BE23+真實IC!BF23</f>
        <v>7.4074101154063978</v>
      </c>
      <c r="BG23" s="11">
        <f>BF23+真實IC!BG23</f>
        <v>7.4457329428255434</v>
      </c>
      <c r="BH23" s="11">
        <f>BG23+真實IC!BH23</f>
        <v>7.5090981385287821</v>
      </c>
      <c r="BI23" s="11">
        <f>BH23+真實IC!BI23</f>
        <v>7.7002102178519811</v>
      </c>
      <c r="BJ23" s="11">
        <f>BI23+真實IC!BJ23</f>
        <v>7.757704078657472</v>
      </c>
      <c r="BK23" s="11">
        <f>BJ23+真實IC!BK23</f>
        <v>7.7098547553562842</v>
      </c>
      <c r="BL23" s="11">
        <f>BK23+真實IC!BL23</f>
        <v>7.8242210454979535</v>
      </c>
      <c r="BM23" s="11">
        <f>BL23+真實IC!BM23</f>
        <v>7.7547255834735029</v>
      </c>
      <c r="BN23" s="11">
        <f>BM23+真實IC!BN23</f>
        <v>7.7931788207137762</v>
      </c>
      <c r="BO23" s="11">
        <f>BN23+真實IC!BO23</f>
        <v>7.8297037624597756</v>
      </c>
      <c r="BP23" s="11">
        <f>BO23+真實IC!BP23</f>
        <v>7.807228041067094</v>
      </c>
      <c r="BQ23" s="11">
        <f>BP23+真實IC!BQ23</f>
        <v>7.8792759425023604</v>
      </c>
      <c r="BR23" s="11">
        <f>BQ23+真實IC!BR23</f>
        <v>7.982098532682711</v>
      </c>
      <c r="BS23" s="11">
        <f>BR23+真實IC!BS23</f>
        <v>7.7615314382803202</v>
      </c>
      <c r="BT23" s="11">
        <f>BS23+真實IC!BT23</f>
        <v>7.9797181144132239</v>
      </c>
      <c r="BU23" s="11">
        <f>BT23+真實IC!BU23</f>
        <v>8.0854033882066272</v>
      </c>
      <c r="BV23" s="11">
        <f>BU23+真實IC!BV23</f>
        <v>8.0321343376487384</v>
      </c>
      <c r="BW23" s="11">
        <f>BV23+真實IC!BW23</f>
        <v>8.0474968526918289</v>
      </c>
      <c r="BX23" s="11">
        <f>BW23+真實IC!BX23</f>
        <v>7.9787617633610308</v>
      </c>
      <c r="BY23" s="11">
        <f>BX23+真實IC!BY23</f>
        <v>8.0970109972879865</v>
      </c>
      <c r="BZ23" s="11">
        <f>BY23+真實IC!BZ23</f>
        <v>8.104680759719832</v>
      </c>
      <c r="CA23" s="11">
        <f>BZ23+真實IC!CA23</f>
        <v>8.180333959466461</v>
      </c>
      <c r="CB23" s="11">
        <f>CA23+真實IC!CB23</f>
        <v>8.4965007212252104</v>
      </c>
      <c r="CC23" s="11">
        <f>CB23+真實IC!CC23</f>
        <v>8.4119561065094359</v>
      </c>
      <c r="CD23" s="11">
        <f>CC23+真實IC!CD23</f>
        <v>8.6036325615242202</v>
      </c>
      <c r="CE23" s="11">
        <f>CD23+真實IC!CE23</f>
        <v>8.6632348633619376</v>
      </c>
      <c r="CF23" s="11">
        <f>CE23+真實IC!CF23</f>
        <v>8.8203697731531019</v>
      </c>
      <c r="CG23" s="11">
        <f>CF23+真實IC!CG23</f>
        <v>9.0370070147803041</v>
      </c>
      <c r="CH23" s="11">
        <f>CG23+真實IC!CH23</f>
        <v>9.2172034637017326</v>
      </c>
      <c r="CI23" s="11">
        <f>CH23+真實IC!CI23</f>
        <v>9.5271028808298297</v>
      </c>
      <c r="CJ23" s="11">
        <f>CI23+真實IC!CJ23</f>
        <v>9.3705869844119292</v>
      </c>
      <c r="CK23" s="11">
        <f>CJ23+真實IC!CK23</f>
        <v>9.4424433749484731</v>
      </c>
      <c r="CL23" s="11">
        <f>CK23+真實IC!CL23</f>
        <v>9.0337823622810554</v>
      </c>
      <c r="CM23" s="11">
        <f>CL23+真實IC!CM23</f>
        <v>9.2684873348971539</v>
      </c>
      <c r="CN23" s="11">
        <f>CM23+真實IC!CN23</f>
        <v>9.5455915968532228</v>
      </c>
      <c r="CO23" s="11">
        <f>CN23+真實IC!CO23</f>
        <v>9.8117501345803237</v>
      </c>
      <c r="CP23" s="11">
        <f>CO23+真實IC!CP23</f>
        <v>10.12311087774308</v>
      </c>
      <c r="CQ23" s="11">
        <f>CP23+真實IC!CQ23</f>
        <v>10.0984086076637</v>
      </c>
      <c r="CR23" s="11">
        <f>CQ23+真實IC!CR23</f>
        <v>10.249406778137647</v>
      </c>
      <c r="CS23" s="11">
        <f>CR23+真實IC!CS23</f>
        <v>10.31456666243086</v>
      </c>
      <c r="CT23" s="11">
        <f>CS23+真實IC!CT23</f>
        <v>10.379956877810809</v>
      </c>
      <c r="CU23" s="11">
        <f>CT23+真實IC!CU23</f>
        <v>10.582060762797965</v>
      </c>
      <c r="CV23" s="11">
        <f>CU23+真實IC!CV23</f>
        <v>10.735391731069541</v>
      </c>
      <c r="CW23" s="11">
        <f>CV23+真實IC!CW23</f>
        <v>10.711205443280539</v>
      </c>
      <c r="CX23" s="11">
        <f>CW23+真實IC!CX23</f>
        <v>10.622488449184013</v>
      </c>
      <c r="CY23" s="11">
        <f>CX23+真實IC!CY23</f>
        <v>10.776238782855552</v>
      </c>
      <c r="CZ23" s="11">
        <f>CY23+真實IC!CZ23</f>
        <v>10.958237576712904</v>
      </c>
      <c r="DA23" s="11">
        <f>CZ23+真實IC!DA23</f>
        <v>11.022882459161293</v>
      </c>
      <c r="DB23" s="11">
        <f>DA23+真實IC!DB23</f>
        <v>11.041629525604513</v>
      </c>
      <c r="DC23" s="11">
        <f>DB23+真實IC!DC23</f>
        <v>11.160820011674927</v>
      </c>
      <c r="DD23" s="11">
        <f>DC23+真實IC!DD23</f>
        <v>11.25361868635208</v>
      </c>
      <c r="DE23" s="11">
        <f>DD23+真實IC!DE23</f>
        <v>11.19353273884191</v>
      </c>
      <c r="DF23" s="11">
        <f>DE23+真實IC!DF23</f>
        <v>11.60232765940283</v>
      </c>
      <c r="DG23" s="11">
        <f>DF23+真實IC!DG23</f>
        <v>11.669948086809239</v>
      </c>
      <c r="DH23" s="11">
        <f>DG23+真實IC!DH23</f>
        <v>11.809174980321346</v>
      </c>
      <c r="DI23" s="11">
        <f>DH23+真實IC!DI23</f>
        <v>11.905215531192242</v>
      </c>
      <c r="DJ23" s="11">
        <f>DI23+真實IC!DJ23</f>
        <v>12.025248113016161</v>
      </c>
      <c r="DK23" s="11">
        <f>DJ23+真實IC!DK23</f>
        <v>12.116493101756989</v>
      </c>
      <c r="DL23" s="11">
        <f>DK23+真實IC!DL23</f>
        <v>12.142735753861613</v>
      </c>
      <c r="DM23" s="11">
        <f>DL23+真實IC!DM23</f>
        <v>12.096258437872372</v>
      </c>
      <c r="DN23" s="11">
        <f>DM23+真實IC!DN23</f>
        <v>12.102755633916342</v>
      </c>
      <c r="DO23" s="11">
        <f>DN23+真實IC!DO23</f>
        <v>12.226824075904071</v>
      </c>
      <c r="DP23" s="11">
        <f>DO23+真實IC!DP23</f>
        <v>12.403663694388978</v>
      </c>
      <c r="DQ23" s="11">
        <f>DP23+真實IC!DQ23</f>
        <v>12.649609801947765</v>
      </c>
      <c r="DR23" s="11">
        <f>DQ23+真實IC!DR23</f>
        <v>12.559723799216458</v>
      </c>
      <c r="DS23" s="11">
        <f>DR23+真實IC!DS23</f>
        <v>12.443147807549519</v>
      </c>
      <c r="DT23" s="11">
        <f>DS23+真實IC!DT23</f>
        <v>12.420851350479762</v>
      </c>
      <c r="DU23" s="11">
        <f>DT23+真實IC!DU23</f>
        <v>12.476490829188045</v>
      </c>
      <c r="DV23" s="11">
        <f>DU23+真實IC!DV23</f>
        <v>12.752762437517484</v>
      </c>
      <c r="DW23" s="11">
        <f>DV23+真實IC!DW23</f>
        <v>12.775814258272547</v>
      </c>
      <c r="DX23" s="11">
        <f>DW23+真實IC!DX23</f>
        <v>13.089307464651514</v>
      </c>
      <c r="DY23" s="11">
        <f>DX23+真實IC!DY23</f>
        <v>13.035381240113923</v>
      </c>
      <c r="DZ23" s="11">
        <f>DY23+真實IC!DZ23</f>
        <v>12.81820725236148</v>
      </c>
      <c r="EA23" s="11">
        <f>DZ23+真實IC!EA23</f>
        <v>12.724845172892511</v>
      </c>
      <c r="EB23" s="11">
        <f>EA23+真實IC!EB23</f>
        <v>12.969129831016433</v>
      </c>
      <c r="EC23" s="11">
        <f>EB23+真實IC!EC23</f>
        <v>12.93254551469062</v>
      </c>
      <c r="ED23" s="11">
        <f>EC23+真實IC!ED23</f>
        <v>13.023971419310401</v>
      </c>
      <c r="EE23" s="11">
        <f>ED23+真實IC!EE23</f>
        <v>13.093183495295394</v>
      </c>
      <c r="EF23" s="11">
        <f>EE23+真實IC!EF23</f>
        <v>13.186599353209083</v>
      </c>
    </row>
    <row r="24" spans="1:136" x14ac:dyDescent="0.3">
      <c r="A24" s="1">
        <v>964</v>
      </c>
      <c r="B24" s="1">
        <v>1</v>
      </c>
      <c r="C24" s="11">
        <f>IF(預測IC!C24&gt;預測IC!C$26,1,0)</f>
        <v>1</v>
      </c>
      <c r="D24" s="11">
        <f>C24+真實IC!D24</f>
        <v>1.1006099128992286</v>
      </c>
      <c r="E24" s="11">
        <f>D24+真實IC!E24</f>
        <v>1.3851224105897306</v>
      </c>
      <c r="F24" s="11">
        <f>E24+真實IC!F24</f>
        <v>1.1835766917180843</v>
      </c>
      <c r="G24" s="11">
        <f>F24+真實IC!G24</f>
        <v>1.1609543031554668</v>
      </c>
      <c r="H24" s="11">
        <f>G24+真實IC!H24</f>
        <v>1.1968100998104234</v>
      </c>
      <c r="I24" s="11">
        <f>H24+真實IC!I24</f>
        <v>1.19469816660728</v>
      </c>
      <c r="J24" s="11">
        <f>I24+真實IC!J24</f>
        <v>1.094725973697144</v>
      </c>
      <c r="K24" s="11">
        <f>J24+真實IC!K24</f>
        <v>1.1451703096906327</v>
      </c>
      <c r="L24" s="11">
        <f>K24+真實IC!L24</f>
        <v>1.0513706164338823</v>
      </c>
      <c r="M24" s="11">
        <f>L24+真實IC!M24</f>
        <v>0.90455127753437381</v>
      </c>
      <c r="N24" s="11">
        <f>M24+真實IC!N24</f>
        <v>2.6735826466469428</v>
      </c>
      <c r="O24" s="11">
        <f>N24+真實IC!O24</f>
        <v>2.7102314373864864</v>
      </c>
      <c r="P24" s="11">
        <f>O24+真實IC!P24</f>
        <v>2.8144798517954861</v>
      </c>
      <c r="Q24" s="11">
        <f>P24+真實IC!Q24</f>
        <v>2.75351489014878</v>
      </c>
      <c r="R24" s="11">
        <f>Q24+真實IC!R24</f>
        <v>2.5078175193695205</v>
      </c>
      <c r="S24" s="11">
        <f>R24+真實IC!S24</f>
        <v>2.860331980429685</v>
      </c>
      <c r="T24" s="11">
        <f>S24+真實IC!T24</f>
        <v>2.5898452657556676</v>
      </c>
      <c r="U24" s="11">
        <f>T24+真實IC!U24</f>
        <v>2.7383639399795858</v>
      </c>
      <c r="V24" s="11">
        <f>U24+真實IC!V24</f>
        <v>2.6712246371419575</v>
      </c>
      <c r="W24" s="11">
        <f>V24+真實IC!W24</f>
        <v>2.5066601195550775</v>
      </c>
      <c r="X24" s="11">
        <f>W24+真實IC!X24</f>
        <v>2.4705022231938254</v>
      </c>
      <c r="Y24" s="11">
        <f>X24+真實IC!Y24</f>
        <v>2.4610252082674084</v>
      </c>
      <c r="Z24" s="11">
        <f>Y24+真實IC!Z24</f>
        <v>2.5668675355462156</v>
      </c>
      <c r="AA24" s="11">
        <f>Z24+真實IC!AA24</f>
        <v>2.7854121152373703</v>
      </c>
      <c r="AB24" s="11">
        <f>AA24+真實IC!AB24</f>
        <v>2.9807517379126143</v>
      </c>
      <c r="AC24" s="11">
        <f>AB24+真實IC!AC24</f>
        <v>3.3824990717595691</v>
      </c>
      <c r="AD24" s="11">
        <f>AC24+真實IC!AD24</f>
        <v>3.4836743710162921</v>
      </c>
      <c r="AE24" s="11">
        <f>AD24+真實IC!AE24</f>
        <v>3.6768161607280501</v>
      </c>
      <c r="AF24" s="11">
        <f>AE24+真實IC!AF24</f>
        <v>4.1722055735322119</v>
      </c>
      <c r="AG24" s="11">
        <f>AF24+真實IC!AG24</f>
        <v>4.3109412911588496</v>
      </c>
      <c r="AH24" s="11">
        <f>AG24+真實IC!AH24</f>
        <v>4.25424393109106</v>
      </c>
      <c r="AI24" s="11">
        <f>AH24+真實IC!AI24</f>
        <v>4.5646581663204024</v>
      </c>
      <c r="AJ24" s="11">
        <f>AI24+真實IC!AJ24</f>
        <v>4.4837669223210268</v>
      </c>
      <c r="AK24" s="11">
        <f>AJ24+真實IC!AK24</f>
        <v>4.5686508753892188</v>
      </c>
      <c r="AL24" s="11">
        <f>AK24+真實IC!AL24</f>
        <v>4.6558245768658537</v>
      </c>
      <c r="AM24" s="11">
        <f>AL24+真實IC!AM24</f>
        <v>4.6369052954453274</v>
      </c>
      <c r="AN24" s="11">
        <f>AM24+真實IC!AN24</f>
        <v>4.8580947605907587</v>
      </c>
      <c r="AO24" s="11">
        <f>AN24+真實IC!AO24</f>
        <v>4.9610004631685483</v>
      </c>
      <c r="AP24" s="11">
        <f>AO24+真實IC!AP24</f>
        <v>4.9838521786576448</v>
      </c>
      <c r="AQ24" s="11">
        <f>AP24+真實IC!AQ24</f>
        <v>5.2009793817857091</v>
      </c>
      <c r="AR24" s="11">
        <f>AQ24+真實IC!AR24</f>
        <v>5.3718127879565349</v>
      </c>
      <c r="AS24" s="11">
        <f>AR24+真實IC!AS24</f>
        <v>5.3750995616631574</v>
      </c>
      <c r="AT24" s="11">
        <f>AS24+真實IC!AT24</f>
        <v>5.5258685415888378</v>
      </c>
      <c r="AU24" s="11">
        <f>AT24+真實IC!AU24</f>
        <v>6.0029227288312397</v>
      </c>
      <c r="AV24" s="11">
        <f>AU24+真實IC!AV24</f>
        <v>6.2506073890615674</v>
      </c>
      <c r="AW24" s="11">
        <f>AV24+真實IC!AW24</f>
        <v>6.1018964325301273</v>
      </c>
      <c r="AX24" s="11">
        <f>AW24+真實IC!AX24</f>
        <v>6.2133877694463431</v>
      </c>
      <c r="AY24" s="11">
        <f>AX24+真實IC!AY24</f>
        <v>6.3815150633312321</v>
      </c>
      <c r="AZ24" s="11">
        <f>AY24+真實IC!AZ24</f>
        <v>6.5001387884024089</v>
      </c>
      <c r="BA24" s="11">
        <f>AZ24+真實IC!BA24</f>
        <v>6.5506300938144211</v>
      </c>
      <c r="BB24" s="11">
        <f>BA24+真實IC!BB24</f>
        <v>7.4233332429209113</v>
      </c>
      <c r="BC24" s="11">
        <f>BB24+真實IC!BC24</f>
        <v>7.4189663733065281</v>
      </c>
      <c r="BD24" s="11">
        <f>BC24+真實IC!BD24</f>
        <v>7.4375974073933921</v>
      </c>
      <c r="BE24" s="11">
        <f>BD24+真實IC!BE24</f>
        <v>7.3802168694083123</v>
      </c>
      <c r="BF24" s="11">
        <f>BE24+真實IC!BF24</f>
        <v>7.3158464484588492</v>
      </c>
      <c r="BG24" s="11">
        <f>BF24+真實IC!BG24</f>
        <v>7.2248622207514135</v>
      </c>
      <c r="BH24" s="11">
        <f>BG24+真實IC!BH24</f>
        <v>7.3725357860031329</v>
      </c>
      <c r="BI24" s="11">
        <f>BH24+真實IC!BI24</f>
        <v>7.5961648920731797</v>
      </c>
      <c r="BJ24" s="11">
        <f>BI24+真實IC!BJ24</f>
        <v>7.7958049252436306</v>
      </c>
      <c r="BK24" s="11">
        <f>BJ24+真實IC!BK24</f>
        <v>7.7609772780708566</v>
      </c>
      <c r="BL24" s="11">
        <f>BK24+真實IC!BL24</f>
        <v>7.867084198222023</v>
      </c>
      <c r="BM24" s="11">
        <f>BL24+真實IC!BM24</f>
        <v>7.9518671380610115</v>
      </c>
      <c r="BN24" s="11">
        <f>BM24+真實IC!BN24</f>
        <v>8.0607803983775597</v>
      </c>
      <c r="BO24" s="11">
        <f>BN24+真實IC!BO24</f>
        <v>7.8996707072819179</v>
      </c>
      <c r="BP24" s="11">
        <f>BO24+真實IC!BP24</f>
        <v>7.9314648116118081</v>
      </c>
      <c r="BQ24" s="11">
        <f>BP24+真實IC!BQ24</f>
        <v>7.8672951782816929</v>
      </c>
      <c r="BR24" s="11">
        <f>BQ24+真實IC!BR24</f>
        <v>7.9662160674669344</v>
      </c>
      <c r="BS24" s="11">
        <f>BR24+真實IC!BS24</f>
        <v>7.8445950309373282</v>
      </c>
      <c r="BT24" s="11">
        <f>BS24+真實IC!BT24</f>
        <v>8.1213140470775365</v>
      </c>
      <c r="BU24" s="11">
        <f>BT24+真實IC!BU24</f>
        <v>8.130062539392382</v>
      </c>
      <c r="BV24" s="11">
        <f>BU24+真實IC!BV24</f>
        <v>8.0838038336517197</v>
      </c>
      <c r="BW24" s="11">
        <f>BV24+真實IC!BW24</f>
        <v>8.2348312790741396</v>
      </c>
      <c r="BX24" s="11">
        <f>BW24+真實IC!BX24</f>
        <v>8.130876245025048</v>
      </c>
      <c r="BY24" s="11">
        <f>BX24+真實IC!BY24</f>
        <v>8.2492844760753492</v>
      </c>
      <c r="BZ24" s="11">
        <f>BY24+真實IC!BZ24</f>
        <v>8.5081773749253458</v>
      </c>
      <c r="CA24" s="11">
        <f>BZ24+真實IC!CA24</f>
        <v>8.6233990556987603</v>
      </c>
      <c r="CB24" s="11">
        <f>CA24+真實IC!CB24</f>
        <v>9.2630971893332745</v>
      </c>
      <c r="CC24" s="11">
        <f>CB24+真實IC!CC24</f>
        <v>9.0806273094457133</v>
      </c>
      <c r="CD24" s="11">
        <f>CC24+真實IC!CD24</f>
        <v>9.2249336201879082</v>
      </c>
      <c r="CE24" s="11">
        <f>CD24+真實IC!CE24</f>
        <v>9.3904984941790222</v>
      </c>
      <c r="CF24" s="11">
        <f>CE24+真實IC!CF24</f>
        <v>9.6122198564244101</v>
      </c>
      <c r="CG24" s="11">
        <f>CF24+真實IC!CG24</f>
        <v>10.132188822498332</v>
      </c>
      <c r="CH24" s="11">
        <f>CG24+真實IC!CH24</f>
        <v>10.486466119340834</v>
      </c>
      <c r="CI24" s="11">
        <f>CH24+真實IC!CI24</f>
        <v>10.158014298631569</v>
      </c>
      <c r="CJ24" s="11">
        <f>CI24+真實IC!CJ24</f>
        <v>9.8578274050413128</v>
      </c>
      <c r="CK24" s="11">
        <f>CJ24+真實IC!CK24</f>
        <v>10.180886670369697</v>
      </c>
      <c r="CL24" s="11">
        <f>CK24+真實IC!CL24</f>
        <v>10.322642003742237</v>
      </c>
      <c r="CM24" s="11">
        <f>CL24+真實IC!CM24</f>
        <v>10.959075268101747</v>
      </c>
      <c r="CN24" s="11">
        <f>CM24+真實IC!CN24</f>
        <v>11.568752465368821</v>
      </c>
      <c r="CO24" s="11">
        <f>CN24+真實IC!CO24</f>
        <v>12.021229907159274</v>
      </c>
      <c r="CP24" s="11">
        <f>CO24+真實IC!CP24</f>
        <v>12.181574111974117</v>
      </c>
      <c r="CQ24" s="11">
        <f>CP24+真實IC!CQ24</f>
        <v>12.021384465346616</v>
      </c>
      <c r="CR24" s="11">
        <f>CQ24+真實IC!CR24</f>
        <v>12.159171921395318</v>
      </c>
      <c r="CS24" s="11">
        <f>CR24+真實IC!CS24</f>
        <v>12.267146157334345</v>
      </c>
      <c r="CT24" s="11">
        <f>CS24+真實IC!CT24</f>
        <v>12.147601768998506</v>
      </c>
      <c r="CU24" s="11">
        <f>CT24+真實IC!CU24</f>
        <v>12.20033081381216</v>
      </c>
      <c r="CV24" s="11">
        <f>CU24+真實IC!CV24</f>
        <v>12.383194908719384</v>
      </c>
      <c r="CW24" s="11">
        <f>CV24+真實IC!CW24</f>
        <v>12.148201693446538</v>
      </c>
      <c r="CX24" s="11">
        <f>CW24+真實IC!CX24</f>
        <v>12.203408887155225</v>
      </c>
      <c r="CY24" s="11">
        <f>CX24+真實IC!CY24</f>
        <v>12.524556639361967</v>
      </c>
      <c r="CZ24" s="11">
        <f>CY24+真實IC!CZ24</f>
        <v>12.636763267806534</v>
      </c>
      <c r="DA24" s="11">
        <f>CZ24+真實IC!DA24</f>
        <v>12.670742852898988</v>
      </c>
      <c r="DB24" s="11">
        <f>DA24+真實IC!DB24</f>
        <v>12.654240987049992</v>
      </c>
      <c r="DC24" s="11">
        <f>DB24+真實IC!DC24</f>
        <v>12.845416745220527</v>
      </c>
      <c r="DD24" s="11">
        <f>DC24+真實IC!DD24</f>
        <v>12.649572023038086</v>
      </c>
      <c r="DE24" s="11">
        <f>DD24+真實IC!DE24</f>
        <v>12.781157614333619</v>
      </c>
      <c r="DF24" s="11">
        <f>DE24+真實IC!DF24</f>
        <v>13.306742620478117</v>
      </c>
      <c r="DG24" s="11">
        <f>DF24+真實IC!DG24</f>
        <v>13.426287906878249</v>
      </c>
      <c r="DH24" s="11">
        <f>DG24+真實IC!DH24</f>
        <v>13.692090582870762</v>
      </c>
      <c r="DI24" s="11">
        <f>DH24+真實IC!DI24</f>
        <v>13.729275491145142</v>
      </c>
      <c r="DJ24" s="11">
        <f>DI24+真實IC!DJ24</f>
        <v>13.958645365676231</v>
      </c>
      <c r="DK24" s="11">
        <f>DJ24+真實IC!DK24</f>
        <v>14.078325546884422</v>
      </c>
      <c r="DL24" s="11">
        <f>DK24+真實IC!DL24</f>
        <v>14.139686060099839</v>
      </c>
      <c r="DM24" s="11">
        <f>DL24+真實IC!DM24</f>
        <v>14.139272614854772</v>
      </c>
      <c r="DN24" s="11">
        <f>DM24+真實IC!DN24</f>
        <v>14.372607185629468</v>
      </c>
      <c r="DO24" s="11">
        <f>DN24+真實IC!DO24</f>
        <v>14.488219140652948</v>
      </c>
      <c r="DP24" s="11">
        <f>DO24+真實IC!DP24</f>
        <v>14.711790964136645</v>
      </c>
      <c r="DQ24" s="11">
        <f>DP24+真實IC!DQ24</f>
        <v>15.070862266233293</v>
      </c>
      <c r="DR24" s="11">
        <f>DQ24+真實IC!DR24</f>
        <v>15.050346636021263</v>
      </c>
      <c r="DS24" s="11">
        <f>DR24+真實IC!DS24</f>
        <v>14.982984090307319</v>
      </c>
      <c r="DT24" s="11">
        <f>DS24+真實IC!DT24</f>
        <v>14.953548363918456</v>
      </c>
      <c r="DU24" s="11">
        <f>DT24+真實IC!DU24</f>
        <v>14.931766968557225</v>
      </c>
      <c r="DV24" s="11">
        <f>DU24+真實IC!DV24</f>
        <v>15.089991667201039</v>
      </c>
      <c r="DW24" s="11">
        <f>DV24+真實IC!DW24</f>
        <v>15.191174163856283</v>
      </c>
      <c r="DX24" s="11">
        <f>DW24+真實IC!DX24</f>
        <v>15.502767291648787</v>
      </c>
      <c r="DY24" s="11">
        <f>DX24+真實IC!DY24</f>
        <v>15.499527415040244</v>
      </c>
      <c r="DZ24" s="11">
        <f>DY24+真實IC!DZ24</f>
        <v>15.066020836303553</v>
      </c>
      <c r="EA24" s="11">
        <f>DZ24+真實IC!EA24</f>
        <v>15.042849334456879</v>
      </c>
      <c r="EB24" s="11">
        <f>EA24+真實IC!EB24</f>
        <v>15.63254725145597</v>
      </c>
      <c r="EC24" s="11">
        <f>EB24+真實IC!EC24</f>
        <v>15.618237332685291</v>
      </c>
      <c r="ED24" s="11">
        <f>EC24+真實IC!ED24</f>
        <v>15.674410177983654</v>
      </c>
      <c r="EE24" s="11">
        <f>ED24+真實IC!EE24</f>
        <v>15.781890835218073</v>
      </c>
      <c r="EF24" s="11">
        <f>EE24+真實IC!EF24</f>
        <v>15.915977911568287</v>
      </c>
    </row>
    <row r="25" spans="1:136" s="13" customFormat="1" x14ac:dyDescent="0.3">
      <c r="A25" s="15" t="s">
        <v>147</v>
      </c>
      <c r="B25" s="15" t="s">
        <v>148</v>
      </c>
      <c r="C25" s="16">
        <v>-1.7446770539390338E-2</v>
      </c>
      <c r="D25" s="17">
        <f>C25+預測IC!D25</f>
        <v>3.2542899924252917E-3</v>
      </c>
      <c r="E25" s="17">
        <f>D25+預測IC!E25</f>
        <v>2.7236419247192001E-2</v>
      </c>
      <c r="F25" s="17">
        <f>E25+預測IC!F25</f>
        <v>2.0678840274368924E-2</v>
      </c>
      <c r="G25" s="17">
        <f>F25+預測IC!G25</f>
        <v>5.2523970074888612E-2</v>
      </c>
      <c r="H25" s="17">
        <f>G25+預測IC!H25</f>
        <v>8.6872502811879138E-2</v>
      </c>
      <c r="I25" s="17">
        <f>H25+預測IC!I25</f>
        <v>7.8617570030553904E-2</v>
      </c>
      <c r="J25" s="17">
        <f>I25+預測IC!J25</f>
        <v>9.1461094424606662E-2</v>
      </c>
      <c r="K25" s="17">
        <f>J25+預測IC!K25</f>
        <v>4.0442569797815839E-2</v>
      </c>
      <c r="L25" s="17">
        <f>K25+預測IC!L25</f>
        <v>4.1316512538852428E-2</v>
      </c>
      <c r="M25" s="17">
        <f>L25+預測IC!M25</f>
        <v>6.4706088044348353E-2</v>
      </c>
      <c r="N25" s="17">
        <f>M25+預測IC!N25</f>
        <v>7.7695060244681202E-2</v>
      </c>
      <c r="O25" s="17">
        <f>N25+預測IC!O25</f>
        <v>8.3549648970316082E-2</v>
      </c>
      <c r="P25" s="17">
        <f>O25+預測IC!P25</f>
        <v>0.11096285554210664</v>
      </c>
      <c r="Q25" s="17">
        <f>P25+預測IC!Q25</f>
        <v>0.10724991942441378</v>
      </c>
      <c r="R25" s="17">
        <f>Q25+預測IC!R25</f>
        <v>0.13132653347223711</v>
      </c>
      <c r="S25" s="17">
        <f>R25+預測IC!S25</f>
        <v>0.11913650817319715</v>
      </c>
      <c r="T25" s="17">
        <f>S25+預測IC!T25</f>
        <v>7.9386930013607554E-2</v>
      </c>
      <c r="U25" s="17">
        <f>T25+預測IC!U25</f>
        <v>6.2314801819580018E-3</v>
      </c>
      <c r="V25" s="17">
        <f>U25+預測IC!V25</f>
        <v>-5.2028749728156659E-2</v>
      </c>
      <c r="W25" s="17">
        <f>V25+預測IC!W25</f>
        <v>-5.1255952162648284E-2</v>
      </c>
      <c r="X25" s="17">
        <f>W25+預測IC!X25</f>
        <v>-6.6644310274293142E-3</v>
      </c>
      <c r="Y25" s="17">
        <f>X25+預測IC!Y25</f>
        <v>-3.4364111077642409E-2</v>
      </c>
      <c r="Z25" s="17">
        <f>Y25+預測IC!Z25</f>
        <v>-3.226910512789876E-2</v>
      </c>
      <c r="AA25" s="17">
        <f>Z25+預測IC!AA25</f>
        <v>-5.5669656120462874E-2</v>
      </c>
      <c r="AB25" s="17">
        <f>AA25+預測IC!AB25</f>
        <v>-2.3540285023140685E-2</v>
      </c>
      <c r="AC25" s="17">
        <f>AB25+預測IC!AC25</f>
        <v>1.5362988070925745E-2</v>
      </c>
      <c r="AD25" s="17">
        <f>AC25+預測IC!AD25</f>
        <v>-2.7502394100178525E-2</v>
      </c>
      <c r="AE25" s="17">
        <f>AD25+預測IC!AE25</f>
        <v>-8.8551995500263658E-3</v>
      </c>
      <c r="AF25" s="17">
        <f>AE25+預測IC!AF25</f>
        <v>6.3745687725025833E-3</v>
      </c>
      <c r="AG25" s="17">
        <f>AF25+預測IC!AG25</f>
        <v>4.2391172551395004E-2</v>
      </c>
      <c r="AH25" s="17">
        <f>AG25+預測IC!AH25</f>
        <v>5.174578393671117E-2</v>
      </c>
      <c r="AI25" s="17">
        <f>AH25+預測IC!AI25</f>
        <v>6.2494035273549312E-2</v>
      </c>
      <c r="AJ25" s="17">
        <f>AI25+預測IC!AJ25</f>
        <v>7.5851789326630281E-2</v>
      </c>
      <c r="AK25" s="17">
        <f>AJ25+預測IC!AK25</f>
        <v>7.0519041997534893E-2</v>
      </c>
      <c r="AL25" s="17">
        <f>AK25+預測IC!AL25</f>
        <v>7.1902177804796574E-2</v>
      </c>
      <c r="AM25" s="17">
        <f>AL25+預測IC!AM25</f>
        <v>9.2698106224871041E-2</v>
      </c>
      <c r="AN25" s="17">
        <f>AM25+預測IC!AN25</f>
        <v>0.12421580844526167</v>
      </c>
      <c r="AO25" s="17">
        <f>AN25+預測IC!AO25</f>
        <v>0.13045752497859112</v>
      </c>
      <c r="AP25" s="17">
        <f>AO25+預測IC!AP25</f>
        <v>0.13660278663216249</v>
      </c>
      <c r="AQ25" s="17">
        <f>AP25+預測IC!AQ25</f>
        <v>0.15354914430885899</v>
      </c>
      <c r="AR25" s="17">
        <f>AQ25+預測IC!AR25</f>
        <v>0.18823197476316722</v>
      </c>
      <c r="AS25" s="17">
        <f>AR25+預測IC!AS25</f>
        <v>0.19133056338036419</v>
      </c>
      <c r="AT25" s="17">
        <f>AS25+預測IC!AT25</f>
        <v>0.2064119105238503</v>
      </c>
      <c r="AU25" s="17">
        <f>AT25+預測IC!AU25</f>
        <v>0.18716070129398632</v>
      </c>
      <c r="AV25" s="17">
        <f>AU25+預測IC!AV25</f>
        <v>0.22587221468161775</v>
      </c>
      <c r="AW25" s="17">
        <f>AV25+預測IC!AW25</f>
        <v>0.20401526354588115</v>
      </c>
      <c r="AX25" s="17">
        <f>AW25+預測IC!AX25</f>
        <v>0.21178956425567083</v>
      </c>
      <c r="AY25" s="17">
        <f>AX25+預測IC!AY25</f>
        <v>0.25418681095099677</v>
      </c>
      <c r="AZ25" s="17">
        <f>AY25+預測IC!AZ25</f>
        <v>0.22787783608983703</v>
      </c>
      <c r="BA25" s="17">
        <f>AZ25+預測IC!BA25</f>
        <v>0.23744958539855326</v>
      </c>
      <c r="BB25" s="17">
        <f>BA25+預測IC!BB25</f>
        <v>0.21319984413227844</v>
      </c>
      <c r="BC25" s="17">
        <f>BB25+預測IC!BC25</f>
        <v>0.23336321827619427</v>
      </c>
      <c r="BD25" s="17">
        <f>BC25+預測IC!BD25</f>
        <v>0.22985821949407825</v>
      </c>
      <c r="BE25" s="17">
        <f>BD25+預測IC!BE25</f>
        <v>0.25001015459262055</v>
      </c>
      <c r="BF25" s="17">
        <f>BE25+預測IC!BF25</f>
        <v>0.25059149082339083</v>
      </c>
      <c r="BG25" s="17">
        <f>BF25+預測IC!BG25</f>
        <v>0.24537178987013822</v>
      </c>
      <c r="BH25" s="17">
        <f>BG25+預測IC!BH25</f>
        <v>0.12950002846800823</v>
      </c>
      <c r="BI25" s="17">
        <f>BH25+預測IC!BI25</f>
        <v>0.13822525416044559</v>
      </c>
      <c r="BJ25" s="17">
        <f>BI25+預測IC!BJ25</f>
        <v>0.12184799318262345</v>
      </c>
      <c r="BK25" s="17">
        <f>BJ25+預測IC!BK25</f>
        <v>0.14268836478288388</v>
      </c>
      <c r="BL25" s="17">
        <f>BK25+預測IC!BL25</f>
        <v>0.18766423688499859</v>
      </c>
      <c r="BM25" s="17">
        <f>BL25+預測IC!BM25</f>
        <v>0.21161854296686244</v>
      </c>
      <c r="BN25" s="17">
        <f>BM25+預測IC!BN25</f>
        <v>0.24185764435830504</v>
      </c>
      <c r="BO25" s="17">
        <f>BN25+預測IC!BO25</f>
        <v>0.19813175676721753</v>
      </c>
      <c r="BP25" s="17">
        <f>BO25+預測IC!BP25</f>
        <v>0.22002122633541615</v>
      </c>
      <c r="BQ25" s="17">
        <f>BP25+預測IC!BQ25</f>
        <v>0.22864865659892455</v>
      </c>
      <c r="BR25" s="17">
        <f>BQ25+預測IC!BR25</f>
        <v>0.20945570260426577</v>
      </c>
      <c r="BS25" s="17">
        <f>BR25+預測IC!BS25</f>
        <v>0.22919083249239883</v>
      </c>
      <c r="BT25" s="17">
        <f>BS25+預測IC!BT25</f>
        <v>0.27688516997609824</v>
      </c>
      <c r="BU25" s="17">
        <f>BT25+預測IC!BU25</f>
        <v>0.28833998678268163</v>
      </c>
      <c r="BV25" s="17">
        <f>BU25+預測IC!BV25</f>
        <v>0.33156860751789485</v>
      </c>
      <c r="BW25" s="17">
        <f>BV25+預測IC!BW25</f>
        <v>0.28882117708097205</v>
      </c>
      <c r="BX25" s="17">
        <f>BW25+預測IC!BX25</f>
        <v>0.27100988465317749</v>
      </c>
      <c r="BY25" s="17">
        <f>BX25+預測IC!BY25</f>
        <v>0.11985678778410189</v>
      </c>
      <c r="BZ25" s="17">
        <f>BY25+預測IC!BZ25</f>
        <v>0.24408079140367717</v>
      </c>
      <c r="CA25" s="17">
        <f>BZ25+預測IC!CA25</f>
        <v>0.23952353755914751</v>
      </c>
      <c r="CB25" s="17">
        <f>CA25+預測IC!CB25</f>
        <v>0.29973477776405871</v>
      </c>
      <c r="CC25" s="17">
        <f>CB25+預測IC!CC25</f>
        <v>0.385726811246561</v>
      </c>
      <c r="CD25" s="17">
        <f>CC25+預測IC!CD25</f>
        <v>0.37991833166419492</v>
      </c>
      <c r="CE25" s="17">
        <f>CD25+預測IC!CE25</f>
        <v>0.37387698467522684</v>
      </c>
      <c r="CF25" s="17">
        <f>CE25+預測IC!CF25</f>
        <v>0.37632930904747891</v>
      </c>
      <c r="CG25" s="17">
        <f>CF25+預測IC!CG25</f>
        <v>0.46596556098450181</v>
      </c>
      <c r="CH25" s="17">
        <f>CG25+預測IC!CH25</f>
        <v>0.53695829351125968</v>
      </c>
      <c r="CI25" s="17">
        <f>CH25+預測IC!CI25</f>
        <v>0.56412893641304307</v>
      </c>
      <c r="CJ25" s="17">
        <f>CI25+預測IC!CJ25</f>
        <v>0.61659736483837313</v>
      </c>
      <c r="CK25" s="17">
        <f>CJ25+預測IC!CK25</f>
        <v>0.64607802578142259</v>
      </c>
      <c r="CL25" s="17">
        <f>CK25+預測IC!CL25</f>
        <v>0.71290310684162383</v>
      </c>
      <c r="CM25" s="17">
        <f>CL25+預測IC!CM25</f>
        <v>0.68413087782180682</v>
      </c>
      <c r="CN25" s="17">
        <f>CM25+預測IC!CN25</f>
        <v>0.72359339372344467</v>
      </c>
      <c r="CO25" s="17">
        <f>CN25+預測IC!CO25</f>
        <v>0.69456230674608477</v>
      </c>
      <c r="CP25" s="17">
        <f>CO25+預測IC!CP25</f>
        <v>0.70854618926555268</v>
      </c>
      <c r="CQ25" s="17">
        <f>CP25+預測IC!CQ25</f>
        <v>0.67626922430621883</v>
      </c>
      <c r="CR25" s="17">
        <f>CQ25+預測IC!CR25</f>
        <v>0.6793728009191129</v>
      </c>
      <c r="CS25" s="17">
        <f>CR25+預測IC!CS25</f>
        <v>0.70496465668619601</v>
      </c>
      <c r="CT25" s="17">
        <f>CS25+預測IC!CT25</f>
        <v>0.74935654297338927</v>
      </c>
      <c r="CU25" s="17">
        <f>CT25+預測IC!CU25</f>
        <v>0.71901758442381181</v>
      </c>
      <c r="CV25" s="17">
        <f>CU25+預測IC!CV25</f>
        <v>0.7177596079692401</v>
      </c>
      <c r="CW25" s="17">
        <f>CV25+預測IC!CW25</f>
        <v>0.72009596442509805</v>
      </c>
      <c r="CX25" s="17">
        <f>CW25+預測IC!CX25</f>
        <v>0.655831819499192</v>
      </c>
      <c r="CY25" s="17">
        <f>CX25+預測IC!CY25</f>
        <v>0.66874159895818441</v>
      </c>
      <c r="CZ25" s="17">
        <f>CY25+預測IC!CZ25</f>
        <v>0.54326450428732564</v>
      </c>
      <c r="DA25" s="17">
        <f>CZ25+預測IC!DA25</f>
        <v>0.55495518722711823</v>
      </c>
      <c r="DB25" s="17">
        <f>DA25+預測IC!DB25</f>
        <v>0.56129303092785998</v>
      </c>
      <c r="DC25" s="17">
        <f>DB25+預測IC!DC25</f>
        <v>0.44398767445847448</v>
      </c>
      <c r="DD25" s="17">
        <f>DC25+預測IC!DD25</f>
        <v>0.40797680240902789</v>
      </c>
      <c r="DE25" s="17">
        <f>DD25+預測IC!DE25</f>
        <v>0.54688810648129582</v>
      </c>
      <c r="DF25" s="17">
        <f>DE25+預測IC!DF25</f>
        <v>0.49574460025519007</v>
      </c>
      <c r="DG25" s="17">
        <f>DF25+預測IC!DG25</f>
        <v>0.57247604743715907</v>
      </c>
      <c r="DH25" s="17">
        <f>DG25+預測IC!DH25</f>
        <v>0.58798482963416721</v>
      </c>
      <c r="DI25" s="17">
        <f>DH25+預測IC!DI25</f>
        <v>0.61120860330892302</v>
      </c>
      <c r="DJ25" s="17">
        <f>DI25+預測IC!DJ25</f>
        <v>0.59283572694769515</v>
      </c>
      <c r="DK25" s="17">
        <f>DJ25+預測IC!DK25</f>
        <v>0.65503474103279458</v>
      </c>
      <c r="DL25" s="17">
        <f>DK25+預測IC!DL25</f>
        <v>0.67513304551975173</v>
      </c>
      <c r="DM25" s="17">
        <f>DL25+預測IC!DM25</f>
        <v>0.68863198526781977</v>
      </c>
      <c r="DN25" s="17">
        <f>DM25+預測IC!DN25</f>
        <v>0.65837977253939894</v>
      </c>
      <c r="DO25" s="17">
        <f>DN25+預測IC!DO25</f>
        <v>0.64135693683134509</v>
      </c>
      <c r="DP25" s="17">
        <f>DO25+預測IC!DP25</f>
        <v>0.61956841355888315</v>
      </c>
      <c r="DQ25" s="17">
        <f>DP25+預測IC!DQ25</f>
        <v>0.70531403814402038</v>
      </c>
      <c r="DR25" s="17">
        <f>DQ25+預測IC!DR25</f>
        <v>0.73342078174899417</v>
      </c>
      <c r="DS25" s="17">
        <f>DR25+預測IC!DS25</f>
        <v>0.73111762194163477</v>
      </c>
      <c r="DT25" s="17">
        <f>DS25+預測IC!DT25</f>
        <v>0.78958882007312226</v>
      </c>
      <c r="DU25" s="17">
        <f>DT25+預測IC!DU25</f>
        <v>0.85724776912176992</v>
      </c>
      <c r="DV25" s="17">
        <f>DU25+預測IC!DV25</f>
        <v>0.86226853976220219</v>
      </c>
      <c r="DW25" s="17">
        <f>DV25+預測IC!DW25</f>
        <v>0.89968472343740924</v>
      </c>
      <c r="DX25" s="17">
        <f>DW25+預測IC!DX25</f>
        <v>0.98379572718345132</v>
      </c>
      <c r="DY25" s="17">
        <f>DX25+預測IC!DY25</f>
        <v>0.94696332863943844</v>
      </c>
      <c r="DZ25" s="17">
        <f>DY25+預測IC!DZ25</f>
        <v>0.95005503145637549</v>
      </c>
      <c r="EA25" s="17">
        <f>DZ25+預測IC!EA25</f>
        <v>0.94809740324208092</v>
      </c>
      <c r="EB25" s="17">
        <f>EA25+預測IC!EB25</f>
        <v>0.97455650684560069</v>
      </c>
      <c r="EC25" s="17">
        <f>EB25+預測IC!EC25</f>
        <v>0.94980396808491041</v>
      </c>
      <c r="ED25" s="17">
        <f>EC25+預測IC!ED25</f>
        <v>0.98391945906747036</v>
      </c>
      <c r="EE25" s="17">
        <f>ED25+預測IC!EE25</f>
        <v>1.0049814330565034</v>
      </c>
      <c r="EF25" s="17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真實IC</vt:lpstr>
      <vt:lpstr>預測IC</vt:lpstr>
      <vt:lpstr>RF預測勝率</vt:lpstr>
      <vt:lpstr>RF預測累積報酬</vt:lpstr>
      <vt:lpstr>RF預測累積畫圖</vt:lpstr>
      <vt:lpstr>RF再投資累積報酬</vt:lpstr>
      <vt:lpstr>RF夏普比率</vt:lpstr>
      <vt:lpstr>RF樣本外R2</vt:lpstr>
      <vt:lpstr>真實勝率</vt:lpstr>
      <vt:lpstr>真實累積報酬</vt:lpstr>
      <vt:lpstr>畫圖(真實)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2025-06-02T09:27:12Z</dcterms:modified>
</cp:coreProperties>
</file>