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520作業\"/>
    </mc:Choice>
  </mc:AlternateContent>
  <xr:revisionPtr revIDLastSave="0" documentId="13_ncr:1_{065A603F-EE42-40C2-A76F-470325E6EB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預測IC" sheetId="1" r:id="rId1"/>
    <sheet name="夏普比率" sheetId="2" r:id="rId2"/>
    <sheet name="NN4再投資累積報酬" sheetId="7" r:id="rId3"/>
    <sheet name="勝率" sheetId="3" r:id="rId4"/>
    <sheet name="累積報酬" sheetId="4" r:id="rId5"/>
    <sheet name="畫圖" sheetId="5" r:id="rId6"/>
    <sheet name="樣本外R2" sheetId="6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F24" i="7" l="1" a="1"/>
  <c r="EF24" i="7" s="1"/>
  <c r="EE24" i="7" a="1"/>
  <c r="EE24" i="7" s="1"/>
  <c r="ED24" i="7" a="1"/>
  <c r="ED24" i="7" s="1"/>
  <c r="EC24" i="7" a="1"/>
  <c r="EC24" i="7" s="1"/>
  <c r="EB24" i="7" a="1"/>
  <c r="EB24" i="7" s="1"/>
  <c r="EA24" i="7" a="1"/>
  <c r="EA24" i="7" s="1"/>
  <c r="DZ24" i="7" a="1"/>
  <c r="DZ24" i="7" s="1"/>
  <c r="DY24" i="7" a="1"/>
  <c r="DY24" i="7" s="1"/>
  <c r="DX24" i="7" a="1"/>
  <c r="DX24" i="7" s="1"/>
  <c r="DW24" i="7" a="1"/>
  <c r="DW24" i="7" s="1"/>
  <c r="DV24" i="7" a="1"/>
  <c r="DV24" i="7" s="1"/>
  <c r="DU24" i="7" a="1"/>
  <c r="DU24" i="7" s="1"/>
  <c r="DT24" i="7" a="1"/>
  <c r="DT24" i="7" s="1"/>
  <c r="DS24" i="7" a="1"/>
  <c r="DS24" i="7" s="1"/>
  <c r="DR24" i="7" a="1"/>
  <c r="DR24" i="7" s="1"/>
  <c r="DQ24" i="7" a="1"/>
  <c r="DQ24" i="7" s="1"/>
  <c r="DP24" i="7" a="1"/>
  <c r="DP24" i="7" s="1"/>
  <c r="DO24" i="7" a="1"/>
  <c r="DO24" i="7" s="1"/>
  <c r="DN24" i="7" a="1"/>
  <c r="DN24" i="7" s="1"/>
  <c r="DM24" i="7" a="1"/>
  <c r="DM24" i="7" s="1"/>
  <c r="DL24" i="7"/>
  <c r="DL24" i="7" a="1"/>
  <c r="DK24" i="7" a="1"/>
  <c r="DK24" i="7" s="1"/>
  <c r="DJ24" i="7" a="1"/>
  <c r="DJ24" i="7" s="1"/>
  <c r="DI24" i="7" a="1"/>
  <c r="DI24" i="7" s="1"/>
  <c r="DH24" i="7" a="1"/>
  <c r="DH24" i="7" s="1"/>
  <c r="DG24" i="7" a="1"/>
  <c r="DG24" i="7" s="1"/>
  <c r="DF24" i="7" a="1"/>
  <c r="DF24" i="7" s="1"/>
  <c r="DE24" i="7" a="1"/>
  <c r="DE24" i="7" s="1"/>
  <c r="DD24" i="7" a="1"/>
  <c r="DD24" i="7" s="1"/>
  <c r="DC24" i="7"/>
  <c r="DC24" i="7" a="1"/>
  <c r="DB24" i="7"/>
  <c r="DB24" i="7" a="1"/>
  <c r="DA24" i="7" a="1"/>
  <c r="DA24" i="7" s="1"/>
  <c r="CZ24" i="7" a="1"/>
  <c r="CZ24" i="7" s="1"/>
  <c r="CY24" i="7" a="1"/>
  <c r="CY24" i="7" s="1"/>
  <c r="CX24" i="7" a="1"/>
  <c r="CX24" i="7" s="1"/>
  <c r="CW24" i="7" a="1"/>
  <c r="CW24" i="7" s="1"/>
  <c r="CV24" i="7" a="1"/>
  <c r="CV24" i="7" s="1"/>
  <c r="CU24" i="7" a="1"/>
  <c r="CU24" i="7" s="1"/>
  <c r="CT24" i="7"/>
  <c r="CT24" i="7" a="1"/>
  <c r="CS24" i="7" a="1"/>
  <c r="CS24" i="7" s="1"/>
  <c r="CR24" i="7" a="1"/>
  <c r="CR24" i="7" s="1"/>
  <c r="CQ24" i="7" a="1"/>
  <c r="CQ24" i="7" s="1"/>
  <c r="CP24" i="7" a="1"/>
  <c r="CP24" i="7" s="1"/>
  <c r="CO24" i="7" a="1"/>
  <c r="CO24" i="7" s="1"/>
  <c r="CN24" i="7" a="1"/>
  <c r="CN24" i="7" s="1"/>
  <c r="CM24" i="7" a="1"/>
  <c r="CM24" i="7" s="1"/>
  <c r="CL24" i="7" a="1"/>
  <c r="CL24" i="7" s="1"/>
  <c r="CK24" i="7" a="1"/>
  <c r="CK24" i="7" s="1"/>
  <c r="CJ24" i="7" a="1"/>
  <c r="CJ24" i="7" s="1"/>
  <c r="CI24" i="7" a="1"/>
  <c r="CI24" i="7" s="1"/>
  <c r="CH24" i="7" a="1"/>
  <c r="CH24" i="7" s="1"/>
  <c r="CG24" i="7" a="1"/>
  <c r="CG24" i="7" s="1"/>
  <c r="CF24" i="7"/>
  <c r="CF24" i="7" a="1"/>
  <c r="CE24" i="7" a="1"/>
  <c r="CE24" i="7" s="1"/>
  <c r="CD24" i="7" a="1"/>
  <c r="CD24" i="7" s="1"/>
  <c r="CC24" i="7" a="1"/>
  <c r="CC24" i="7" s="1"/>
  <c r="CB24" i="7" a="1"/>
  <c r="CB24" i="7" s="1"/>
  <c r="CA24" i="7" a="1"/>
  <c r="CA24" i="7" s="1"/>
  <c r="BZ24" i="7" a="1"/>
  <c r="BZ24" i="7" s="1"/>
  <c r="BY24" i="7" a="1"/>
  <c r="BY24" i="7" s="1"/>
  <c r="BX24" i="7" a="1"/>
  <c r="BX24" i="7" s="1"/>
  <c r="BW24" i="7"/>
  <c r="BW24" i="7" a="1"/>
  <c r="BV24" i="7"/>
  <c r="BV24" i="7" a="1"/>
  <c r="BU24" i="7" a="1"/>
  <c r="BU24" i="7" s="1"/>
  <c r="BT24" i="7" a="1"/>
  <c r="BT24" i="7" s="1"/>
  <c r="BS24" i="7" a="1"/>
  <c r="BS24" i="7" s="1"/>
  <c r="BR24" i="7" a="1"/>
  <c r="BR24" i="7" s="1"/>
  <c r="BQ24" i="7" a="1"/>
  <c r="BQ24" i="7" s="1"/>
  <c r="BP24" i="7" a="1"/>
  <c r="BP24" i="7" s="1"/>
  <c r="BO24" i="7" a="1"/>
  <c r="BO24" i="7" s="1"/>
  <c r="BN24" i="7" a="1"/>
  <c r="BN24" i="7" s="1"/>
  <c r="BM24" i="7" a="1"/>
  <c r="BM24" i="7" s="1"/>
  <c r="BL24" i="7" a="1"/>
  <c r="BL24" i="7" s="1"/>
  <c r="BK24" i="7" a="1"/>
  <c r="BK24" i="7" s="1"/>
  <c r="BJ24" i="7" a="1"/>
  <c r="BJ24" i="7" s="1"/>
  <c r="BI24" i="7" a="1"/>
  <c r="BI24" i="7" s="1"/>
  <c r="BH24" i="7" a="1"/>
  <c r="BH24" i="7" s="1"/>
  <c r="BG24" i="7" a="1"/>
  <c r="BG24" i="7" s="1"/>
  <c r="BF24" i="7" a="1"/>
  <c r="BF24" i="7" s="1"/>
  <c r="BE24" i="7" a="1"/>
  <c r="BE24" i="7" s="1"/>
  <c r="BD24" i="7" a="1"/>
  <c r="BD24" i="7" s="1"/>
  <c r="BC24" i="7" a="1"/>
  <c r="BC24" i="7" s="1"/>
  <c r="BB24" i="7" a="1"/>
  <c r="BB24" i="7" s="1"/>
  <c r="BA24" i="7" a="1"/>
  <c r="BA24" i="7" s="1"/>
  <c r="AZ24" i="7"/>
  <c r="AZ24" i="7" a="1"/>
  <c r="AY24" i="7" a="1"/>
  <c r="AY24" i="7" s="1"/>
  <c r="AX24" i="7" a="1"/>
  <c r="AX24" i="7" s="1"/>
  <c r="AW24" i="7" a="1"/>
  <c r="AW24" i="7" s="1"/>
  <c r="AV24" i="7" a="1"/>
  <c r="AV24" i="7" s="1"/>
  <c r="AU24" i="7" a="1"/>
  <c r="AU24" i="7" s="1"/>
  <c r="AT24" i="7" a="1"/>
  <c r="AT24" i="7" s="1"/>
  <c r="AS24" i="7" a="1"/>
  <c r="AS24" i="7" s="1"/>
  <c r="AR24" i="7" a="1"/>
  <c r="AR24" i="7" s="1"/>
  <c r="AQ24" i="7"/>
  <c r="AQ24" i="7" a="1"/>
  <c r="AP24" i="7"/>
  <c r="AP24" i="7" a="1"/>
  <c r="AO24" i="7" a="1"/>
  <c r="AO24" i="7" s="1"/>
  <c r="AN24" i="7" a="1"/>
  <c r="AN24" i="7" s="1"/>
  <c r="AM24" i="7" a="1"/>
  <c r="AM24" i="7" s="1"/>
  <c r="AL24" i="7" a="1"/>
  <c r="AL24" i="7" s="1"/>
  <c r="AK24" i="7" a="1"/>
  <c r="AK24" i="7" s="1"/>
  <c r="AJ24" i="7" a="1"/>
  <c r="AJ24" i="7" s="1"/>
  <c r="AI24" i="7" a="1"/>
  <c r="AI24" i="7" s="1"/>
  <c r="AH24" i="7"/>
  <c r="AH24" i="7" a="1"/>
  <c r="AG24" i="7" a="1"/>
  <c r="AG24" i="7" s="1"/>
  <c r="AF24" i="7" a="1"/>
  <c r="AF24" i="7" s="1"/>
  <c r="AE24" i="7" a="1"/>
  <c r="AE24" i="7" s="1"/>
  <c r="AD24" i="7" a="1"/>
  <c r="AD24" i="7" s="1"/>
  <c r="AC24" i="7" a="1"/>
  <c r="AC24" i="7" s="1"/>
  <c r="AB24" i="7" a="1"/>
  <c r="AB24" i="7" s="1"/>
  <c r="AA24" i="7" a="1"/>
  <c r="AA24" i="7" s="1"/>
  <c r="Z24" i="7" a="1"/>
  <c r="Z24" i="7" s="1"/>
  <c r="Y24" i="7" a="1"/>
  <c r="Y24" i="7" s="1"/>
  <c r="X24" i="7" a="1"/>
  <c r="X24" i="7" s="1"/>
  <c r="W24" i="7" a="1"/>
  <c r="W24" i="7" s="1"/>
  <c r="V24" i="7" a="1"/>
  <c r="V24" i="7" s="1"/>
  <c r="U24" i="7" a="1"/>
  <c r="U24" i="7" s="1"/>
  <c r="T24" i="7"/>
  <c r="T24" i="7" a="1"/>
  <c r="S24" i="7" a="1"/>
  <c r="S24" i="7" s="1"/>
  <c r="R24" i="7" a="1"/>
  <c r="R24" i="7" s="1"/>
  <c r="Q24" i="7" a="1"/>
  <c r="Q24" i="7" s="1"/>
  <c r="P24" i="7" a="1"/>
  <c r="P24" i="7" s="1"/>
  <c r="O24" i="7" a="1"/>
  <c r="O24" i="7" s="1"/>
  <c r="N24" i="7" a="1"/>
  <c r="N24" i="7" s="1"/>
  <c r="M24" i="7" a="1"/>
  <c r="M24" i="7" s="1"/>
  <c r="L24" i="7" a="1"/>
  <c r="L24" i="7" s="1"/>
  <c r="K24" i="7"/>
  <c r="K24" i="7" a="1"/>
  <c r="J24" i="7"/>
  <c r="J24" i="7" a="1"/>
  <c r="I24" i="7" a="1"/>
  <c r="I24" i="7" s="1"/>
  <c r="H24" i="7" a="1"/>
  <c r="H24" i="7" s="1"/>
  <c r="G24" i="7" a="1"/>
  <c r="G24" i="7" s="1"/>
  <c r="F24" i="7" a="1"/>
  <c r="F24" i="7" s="1"/>
  <c r="E24" i="7" a="1"/>
  <c r="E24" i="7" s="1"/>
  <c r="D24" i="7" a="1"/>
  <c r="D24" i="7" s="1"/>
  <c r="C24" i="7" a="1"/>
  <c r="C24" i="7" s="1"/>
  <c r="EF23" i="7" a="1"/>
  <c r="EF23" i="7" s="1"/>
  <c r="EE23" i="7" a="1"/>
  <c r="EE23" i="7" s="1"/>
  <c r="ED23" i="7" a="1"/>
  <c r="ED23" i="7" s="1"/>
  <c r="EC23" i="7" a="1"/>
  <c r="EC23" i="7" s="1"/>
  <c r="EB23" i="7" a="1"/>
  <c r="EB23" i="7" s="1"/>
  <c r="EA23" i="7" a="1"/>
  <c r="EA23" i="7" s="1"/>
  <c r="DZ23" i="7" a="1"/>
  <c r="DZ23" i="7" s="1"/>
  <c r="DY23" i="7" a="1"/>
  <c r="DY23" i="7" s="1"/>
  <c r="DX23" i="7" a="1"/>
  <c r="DX23" i="7" s="1"/>
  <c r="DW23" i="7" a="1"/>
  <c r="DW23" i="7" s="1"/>
  <c r="DV23" i="7" a="1"/>
  <c r="DV23" i="7" s="1"/>
  <c r="DU23" i="7" a="1"/>
  <c r="DU23" i="7" s="1"/>
  <c r="DT23" i="7" a="1"/>
  <c r="DT23" i="7" s="1"/>
  <c r="DS23" i="7" a="1"/>
  <c r="DS23" i="7" s="1"/>
  <c r="DR23" i="7"/>
  <c r="DR23" i="7" a="1"/>
  <c r="DQ23" i="7" a="1"/>
  <c r="DQ23" i="7" s="1"/>
  <c r="DP23" i="7" a="1"/>
  <c r="DP23" i="7" s="1"/>
  <c r="DO23" i="7" a="1"/>
  <c r="DO23" i="7" s="1"/>
  <c r="DN23" i="7" a="1"/>
  <c r="DN23" i="7" s="1"/>
  <c r="DM23" i="7" a="1"/>
  <c r="DM23" i="7" s="1"/>
  <c r="DL23" i="7" a="1"/>
  <c r="DL23" i="7" s="1"/>
  <c r="DK23" i="7" a="1"/>
  <c r="DK23" i="7" s="1"/>
  <c r="DJ23" i="7" a="1"/>
  <c r="DJ23" i="7" s="1"/>
  <c r="DI23" i="7"/>
  <c r="DI23" i="7" a="1"/>
  <c r="DH23" i="7"/>
  <c r="DH23" i="7" a="1"/>
  <c r="DG23" i="7" a="1"/>
  <c r="DG23" i="7" s="1"/>
  <c r="DF23" i="7" a="1"/>
  <c r="DF23" i="7" s="1"/>
  <c r="DE23" i="7" a="1"/>
  <c r="DE23" i="7" s="1"/>
  <c r="DD23" i="7" a="1"/>
  <c r="DD23" i="7" s="1"/>
  <c r="DC23" i="7" a="1"/>
  <c r="DC23" i="7" s="1"/>
  <c r="DB23" i="7" a="1"/>
  <c r="DB23" i="7" s="1"/>
  <c r="DA23" i="7" a="1"/>
  <c r="DA23" i="7" s="1"/>
  <c r="CZ23" i="7"/>
  <c r="CZ23" i="7" a="1"/>
  <c r="CY23" i="7" a="1"/>
  <c r="CY23" i="7" s="1"/>
  <c r="CX23" i="7" a="1"/>
  <c r="CX23" i="7" s="1"/>
  <c r="CW23" i="7" a="1"/>
  <c r="CW23" i="7" s="1"/>
  <c r="CV23" i="7" a="1"/>
  <c r="CV23" i="7" s="1"/>
  <c r="CU23" i="7" a="1"/>
  <c r="CU23" i="7" s="1"/>
  <c r="CT23" i="7" a="1"/>
  <c r="CT23" i="7" s="1"/>
  <c r="CS23" i="7" a="1"/>
  <c r="CS23" i="7" s="1"/>
  <c r="CR23" i="7" a="1"/>
  <c r="CR23" i="7" s="1"/>
  <c r="CQ23" i="7" a="1"/>
  <c r="CQ23" i="7" s="1"/>
  <c r="CP23" i="7" a="1"/>
  <c r="CP23" i="7" s="1"/>
  <c r="CO23" i="7" a="1"/>
  <c r="CO23" i="7" s="1"/>
  <c r="CN23" i="7" a="1"/>
  <c r="CN23" i="7" s="1"/>
  <c r="CM23" i="7" a="1"/>
  <c r="CM23" i="7" s="1"/>
  <c r="CL23" i="7"/>
  <c r="CL23" i="7" a="1"/>
  <c r="CK23" i="7" a="1"/>
  <c r="CK23" i="7" s="1"/>
  <c r="CJ23" i="7" a="1"/>
  <c r="CJ23" i="7" s="1"/>
  <c r="CI23" i="7" a="1"/>
  <c r="CI23" i="7" s="1"/>
  <c r="CH23" i="7" a="1"/>
  <c r="CH23" i="7" s="1"/>
  <c r="CG23" i="7" a="1"/>
  <c r="CG23" i="7" s="1"/>
  <c r="CF23" i="7" a="1"/>
  <c r="CF23" i="7" s="1"/>
  <c r="CE23" i="7" a="1"/>
  <c r="CE23" i="7" s="1"/>
  <c r="CD23" i="7" a="1"/>
  <c r="CD23" i="7" s="1"/>
  <c r="CC23" i="7" a="1"/>
  <c r="CC23" i="7" s="1"/>
  <c r="CB23" i="7"/>
  <c r="CB23" i="7" a="1"/>
  <c r="CA23" i="7" a="1"/>
  <c r="CA23" i="7" s="1"/>
  <c r="BZ23" i="7" a="1"/>
  <c r="BZ23" i="7" s="1"/>
  <c r="BY23" i="7" a="1"/>
  <c r="BY23" i="7" s="1"/>
  <c r="BX23" i="7" a="1"/>
  <c r="BX23" i="7" s="1"/>
  <c r="BW23" i="7" a="1"/>
  <c r="BW23" i="7" s="1"/>
  <c r="BV23" i="7" a="1"/>
  <c r="BV23" i="7" s="1"/>
  <c r="BU23" i="7" a="1"/>
  <c r="BU23" i="7" s="1"/>
  <c r="BT23" i="7" a="1"/>
  <c r="BT23" i="7" s="1"/>
  <c r="BS23" i="7"/>
  <c r="BS23" i="7" a="1"/>
  <c r="BR23" i="7" a="1"/>
  <c r="BR23" i="7" s="1"/>
  <c r="BQ23" i="7" a="1"/>
  <c r="BQ23" i="7" s="1"/>
  <c r="BP23" i="7" a="1"/>
  <c r="BP23" i="7" s="1"/>
  <c r="BO23" i="7" a="1"/>
  <c r="BO23" i="7" s="1"/>
  <c r="BN23" i="7" a="1"/>
  <c r="BN23" i="7" s="1"/>
  <c r="BM23" i="7" a="1"/>
  <c r="BM23" i="7" s="1"/>
  <c r="BL23" i="7" a="1"/>
  <c r="BL23" i="7" s="1"/>
  <c r="BK23" i="7" a="1"/>
  <c r="BK23" i="7" s="1"/>
  <c r="BJ23" i="7" a="1"/>
  <c r="BJ23" i="7" s="1"/>
  <c r="BI23" i="7" a="1"/>
  <c r="BI23" i="7" s="1"/>
  <c r="BH23" i="7" a="1"/>
  <c r="BH23" i="7" s="1"/>
  <c r="BG23" i="7" a="1"/>
  <c r="BG23" i="7" s="1"/>
  <c r="BF23" i="7" a="1"/>
  <c r="BF23" i="7" s="1"/>
  <c r="BE23" i="7" a="1"/>
  <c r="BE23" i="7" s="1"/>
  <c r="BD23" i="7" a="1"/>
  <c r="BD23" i="7" s="1"/>
  <c r="BC23" i="7" a="1"/>
  <c r="BC23" i="7" s="1"/>
  <c r="BB23" i="7" a="1"/>
  <c r="BB23" i="7" s="1"/>
  <c r="BA23" i="7" a="1"/>
  <c r="BA23" i="7" s="1"/>
  <c r="AZ23" i="7" a="1"/>
  <c r="AZ23" i="7" s="1"/>
  <c r="AY23" i="7" a="1"/>
  <c r="AY23" i="7" s="1"/>
  <c r="AX23" i="7" a="1"/>
  <c r="AX23" i="7" s="1"/>
  <c r="AW23" i="7"/>
  <c r="AW23" i="7" a="1"/>
  <c r="AV23" i="7" a="1"/>
  <c r="AV23" i="7" s="1"/>
  <c r="AU23" i="7" a="1"/>
  <c r="AU23" i="7" s="1"/>
  <c r="AT23" i="7" a="1"/>
  <c r="AT23" i="7" s="1"/>
  <c r="AS23" i="7" a="1"/>
  <c r="AS23" i="7" s="1"/>
  <c r="AR23" i="7" a="1"/>
  <c r="AR23" i="7" s="1"/>
  <c r="AQ23" i="7" a="1"/>
  <c r="AQ23" i="7" s="1"/>
  <c r="AP23" i="7" a="1"/>
  <c r="AP23" i="7" s="1"/>
  <c r="AO23" i="7" a="1"/>
  <c r="AO23" i="7" s="1"/>
  <c r="AN23" i="7"/>
  <c r="AN23" i="7" a="1"/>
  <c r="AM23" i="7" a="1"/>
  <c r="AM23" i="7" s="1"/>
  <c r="AL23" i="7" a="1"/>
  <c r="AL23" i="7" s="1"/>
  <c r="AK23" i="7" a="1"/>
  <c r="AK23" i="7" s="1"/>
  <c r="AJ23" i="7" a="1"/>
  <c r="AJ23" i="7" s="1"/>
  <c r="AI23" i="7" a="1"/>
  <c r="AI23" i="7" s="1"/>
  <c r="AH23" i="7" a="1"/>
  <c r="AH23" i="7" s="1"/>
  <c r="AG23" i="7" a="1"/>
  <c r="AG23" i="7" s="1"/>
  <c r="AF23" i="7" a="1"/>
  <c r="AF23" i="7" s="1"/>
  <c r="AE23" i="7"/>
  <c r="AE23" i="7" a="1"/>
  <c r="AD23" i="7" a="1"/>
  <c r="AD23" i="7" s="1"/>
  <c r="AC23" i="7" a="1"/>
  <c r="AC23" i="7" s="1"/>
  <c r="AB23" i="7" a="1"/>
  <c r="AB23" i="7" s="1"/>
  <c r="AA23" i="7"/>
  <c r="AA23" i="7" a="1"/>
  <c r="Z23" i="7"/>
  <c r="Z23" i="7" a="1"/>
  <c r="Y23" i="7"/>
  <c r="Y23" i="7" a="1"/>
  <c r="X23" i="7"/>
  <c r="X23" i="7" a="1"/>
  <c r="W23" i="7"/>
  <c r="W23" i="7" a="1"/>
  <c r="V23" i="7" a="1"/>
  <c r="V23" i="7" s="1"/>
  <c r="U23" i="7" a="1"/>
  <c r="U23" i="7" s="1"/>
  <c r="T23" i="7" a="1"/>
  <c r="T23" i="7" s="1"/>
  <c r="S23" i="7"/>
  <c r="S23" i="7" a="1"/>
  <c r="R23" i="7"/>
  <c r="R23" i="7" a="1"/>
  <c r="Q23" i="7"/>
  <c r="Q23" i="7" a="1"/>
  <c r="P23" i="7" a="1"/>
  <c r="P23" i="7" s="1"/>
  <c r="O23" i="7" a="1"/>
  <c r="O23" i="7" s="1"/>
  <c r="N23" i="7" a="1"/>
  <c r="N23" i="7" s="1"/>
  <c r="M23" i="7" a="1"/>
  <c r="M23" i="7" s="1"/>
  <c r="L23" i="7" a="1"/>
  <c r="L23" i="7" s="1"/>
  <c r="K23" i="7" a="1"/>
  <c r="K23" i="7" s="1"/>
  <c r="J23" i="7" a="1"/>
  <c r="J23" i="7" s="1"/>
  <c r="I23" i="7"/>
  <c r="I23" i="7" a="1"/>
  <c r="H23" i="7"/>
  <c r="H23" i="7" a="1"/>
  <c r="G23" i="7"/>
  <c r="G23" i="7" a="1"/>
  <c r="F23" i="7" a="1"/>
  <c r="F23" i="7" s="1"/>
  <c r="E23" i="7" a="1"/>
  <c r="E23" i="7" s="1"/>
  <c r="D23" i="7" a="1"/>
  <c r="D23" i="7" s="1"/>
  <c r="C23" i="7" a="1"/>
  <c r="C23" i="7" s="1"/>
  <c r="EF22" i="7" a="1"/>
  <c r="EF22" i="7" s="1"/>
  <c r="EE22" i="7" a="1"/>
  <c r="EE22" i="7" s="1"/>
  <c r="ED22" i="7" a="1"/>
  <c r="ED22" i="7" s="1"/>
  <c r="EC22" i="7"/>
  <c r="EC22" i="7" a="1"/>
  <c r="EB22" i="7" a="1"/>
  <c r="EB22" i="7" s="1"/>
  <c r="EA22" i="7" a="1"/>
  <c r="EA22" i="7" s="1"/>
  <c r="DZ22" i="7" a="1"/>
  <c r="DZ22" i="7" s="1"/>
  <c r="DY22" i="7"/>
  <c r="DY22" i="7" a="1"/>
  <c r="DX22" i="7"/>
  <c r="DX22" i="7" a="1"/>
  <c r="DW22" i="7"/>
  <c r="DW22" i="7" a="1"/>
  <c r="DV22" i="7" a="1"/>
  <c r="DV22" i="7" s="1"/>
  <c r="DU22" i="7" a="1"/>
  <c r="DU22" i="7" s="1"/>
  <c r="DT22" i="7" a="1"/>
  <c r="DT22" i="7" s="1"/>
  <c r="DS22" i="7" a="1"/>
  <c r="DS22" i="7" s="1"/>
  <c r="DR22" i="7" a="1"/>
  <c r="DR22" i="7" s="1"/>
  <c r="DQ22" i="7"/>
  <c r="DQ22" i="7" a="1"/>
  <c r="DP22" i="7" a="1"/>
  <c r="DP22" i="7" s="1"/>
  <c r="DO22" i="7" a="1"/>
  <c r="DO22" i="7" s="1"/>
  <c r="DN22" i="7" a="1"/>
  <c r="DN22" i="7" s="1"/>
  <c r="DM22" i="7" a="1"/>
  <c r="DM22" i="7" s="1"/>
  <c r="DL22" i="7" a="1"/>
  <c r="DL22" i="7" s="1"/>
  <c r="DK22" i="7" a="1"/>
  <c r="DK22" i="7" s="1"/>
  <c r="DJ22" i="7" a="1"/>
  <c r="DJ22" i="7" s="1"/>
  <c r="DI22" i="7"/>
  <c r="DI22" i="7" a="1"/>
  <c r="DH22" i="7" a="1"/>
  <c r="DH22" i="7" s="1"/>
  <c r="DG22" i="7"/>
  <c r="DG22" i="7" a="1"/>
  <c r="DF22" i="7"/>
  <c r="DF22" i="7" a="1"/>
  <c r="DE22" i="7"/>
  <c r="DE22" i="7" a="1"/>
  <c r="DD22" i="7" a="1"/>
  <c r="DD22" i="7" s="1"/>
  <c r="DC22" i="7" a="1"/>
  <c r="DC22" i="7" s="1"/>
  <c r="DB22" i="7" a="1"/>
  <c r="DB22" i="7" s="1"/>
  <c r="DA22" i="7"/>
  <c r="DA22" i="7" a="1"/>
  <c r="CZ22" i="7" a="1"/>
  <c r="CZ22" i="7" s="1"/>
  <c r="CY22" i="7" a="1"/>
  <c r="CY22" i="7" s="1"/>
  <c r="CX22" i="7" a="1"/>
  <c r="CX22" i="7" s="1"/>
  <c r="CW22" i="7" a="1"/>
  <c r="CW22" i="7" s="1"/>
  <c r="CV22" i="7" a="1"/>
  <c r="CV22" i="7" s="1"/>
  <c r="CU22" i="7" a="1"/>
  <c r="CU22" i="7" s="1"/>
  <c r="CT22" i="7" a="1"/>
  <c r="CT22" i="7" s="1"/>
  <c r="CS22" i="7"/>
  <c r="CS22" i="7" a="1"/>
  <c r="CR22" i="7" a="1"/>
  <c r="CR22" i="7" s="1"/>
  <c r="CQ22" i="7"/>
  <c r="CQ22" i="7" a="1"/>
  <c r="CP22" i="7" a="1"/>
  <c r="CP22" i="7" s="1"/>
  <c r="CO22" i="7"/>
  <c r="CO22" i="7" a="1"/>
  <c r="CN22" i="7" a="1"/>
  <c r="CN22" i="7" s="1"/>
  <c r="CM22" i="7" a="1"/>
  <c r="CM22" i="7" s="1"/>
  <c r="CL22" i="7" a="1"/>
  <c r="CL22" i="7" s="1"/>
  <c r="CK22" i="7" a="1"/>
  <c r="CK22" i="7" s="1"/>
  <c r="CJ22" i="7" a="1"/>
  <c r="CJ22" i="7" s="1"/>
  <c r="CI22" i="7" a="1"/>
  <c r="CI22" i="7" s="1"/>
  <c r="CH22" i="7" a="1"/>
  <c r="CH22" i="7" s="1"/>
  <c r="CG22" i="7" a="1"/>
  <c r="CG22" i="7" s="1"/>
  <c r="CF22" i="7" a="1"/>
  <c r="CF22" i="7" s="1"/>
  <c r="CE22" i="7" a="1"/>
  <c r="CE22" i="7" s="1"/>
  <c r="CD22" i="7" a="1"/>
  <c r="CD22" i="7" s="1"/>
  <c r="CC22" i="7"/>
  <c r="CC22" i="7" a="1"/>
  <c r="CB22" i="7"/>
  <c r="CB22" i="7" a="1"/>
  <c r="CA22" i="7"/>
  <c r="CA22" i="7" a="1"/>
  <c r="BZ22" i="7"/>
  <c r="BZ22" i="7" a="1"/>
  <c r="BY22" i="7" a="1"/>
  <c r="BY22" i="7" s="1"/>
  <c r="BX22" i="7" a="1"/>
  <c r="BX22" i="7" s="1"/>
  <c r="BW22" i="7" a="1"/>
  <c r="BW22" i="7" s="1"/>
  <c r="BV22" i="7" a="1"/>
  <c r="BV22" i="7" s="1"/>
  <c r="BU22" i="7"/>
  <c r="BU22" i="7" a="1"/>
  <c r="BT22" i="7"/>
  <c r="BT22" i="7" a="1"/>
  <c r="BS22" i="7" a="1"/>
  <c r="BS22" i="7" s="1"/>
  <c r="BR22" i="7" a="1"/>
  <c r="BR22" i="7" s="1"/>
  <c r="BQ22" i="7" a="1"/>
  <c r="BQ22" i="7" s="1"/>
  <c r="BP22" i="7" a="1"/>
  <c r="BP22" i="7" s="1"/>
  <c r="BO22" i="7" a="1"/>
  <c r="BO22" i="7" s="1"/>
  <c r="BN22" i="7" a="1"/>
  <c r="BN22" i="7" s="1"/>
  <c r="BM22" i="7" a="1"/>
  <c r="BM22" i="7" s="1"/>
  <c r="BL22" i="7"/>
  <c r="BL22" i="7" a="1"/>
  <c r="BK22" i="7"/>
  <c r="BK22" i="7" a="1"/>
  <c r="BJ22" i="7"/>
  <c r="BJ22" i="7" a="1"/>
  <c r="BI22" i="7"/>
  <c r="BI22" i="7" a="1"/>
  <c r="BH22" i="7" a="1"/>
  <c r="BH22" i="7" s="1"/>
  <c r="BG22" i="7" a="1"/>
  <c r="BG22" i="7" s="1"/>
  <c r="BF22" i="7" a="1"/>
  <c r="BF22" i="7" s="1"/>
  <c r="BE22" i="7" a="1"/>
  <c r="BE22" i="7" s="1"/>
  <c r="BD22" i="7" a="1"/>
  <c r="BD22" i="7" s="1"/>
  <c r="BC22" i="7" a="1"/>
  <c r="BC22" i="7" s="1"/>
  <c r="BB22" i="7" a="1"/>
  <c r="BB22" i="7" s="1"/>
  <c r="BA22" i="7"/>
  <c r="BA22" i="7" a="1"/>
  <c r="AZ22" i="7" a="1"/>
  <c r="AZ22" i="7" s="1"/>
  <c r="AY22" i="7" a="1"/>
  <c r="AY22" i="7" s="1"/>
  <c r="AX22" i="7" a="1"/>
  <c r="AX22" i="7" s="1"/>
  <c r="AW22" i="7"/>
  <c r="AW22" i="7" a="1"/>
  <c r="AV22" i="7"/>
  <c r="AV22" i="7" a="1"/>
  <c r="AU22" i="7" a="1"/>
  <c r="AU22" i="7" s="1"/>
  <c r="AT22" i="7" a="1"/>
  <c r="AT22" i="7" s="1"/>
  <c r="AS22" i="7" a="1"/>
  <c r="AS22" i="7" s="1"/>
  <c r="AR22" i="7" a="1"/>
  <c r="AR22" i="7" s="1"/>
  <c r="AQ22" i="7" a="1"/>
  <c r="AQ22" i="7" s="1"/>
  <c r="AP22" i="7" a="1"/>
  <c r="AP22" i="7" s="1"/>
  <c r="AO22" i="7" a="1"/>
  <c r="AO22" i="7" s="1"/>
  <c r="AN22" i="7" a="1"/>
  <c r="AN22" i="7" s="1"/>
  <c r="AM22" i="7" a="1"/>
  <c r="AM22" i="7" s="1"/>
  <c r="AL22" i="7" a="1"/>
  <c r="AL22" i="7" s="1"/>
  <c r="AK22" i="7" a="1"/>
  <c r="AK22" i="7" s="1"/>
  <c r="AJ22" i="7" a="1"/>
  <c r="AJ22" i="7" s="1"/>
  <c r="AI22" i="7" a="1"/>
  <c r="AI22" i="7" s="1"/>
  <c r="AH22" i="7" a="1"/>
  <c r="AH22" i="7" s="1"/>
  <c r="AG22" i="7" a="1"/>
  <c r="AG22" i="7" s="1"/>
  <c r="AF22" i="7"/>
  <c r="AF22" i="7" a="1"/>
  <c r="AE22" i="7"/>
  <c r="AE22" i="7" a="1"/>
  <c r="AD22" i="7"/>
  <c r="AD22" i="7" a="1"/>
  <c r="AC22" i="7"/>
  <c r="AC22" i="7" a="1"/>
  <c r="AB22" i="7" a="1"/>
  <c r="AB22" i="7" s="1"/>
  <c r="AA22" i="7" a="1"/>
  <c r="AA22" i="7" s="1"/>
  <c r="Z22" i="7" a="1"/>
  <c r="Z22" i="7" s="1"/>
  <c r="Y22" i="7" a="1"/>
  <c r="Y22" i="7" s="1"/>
  <c r="X22" i="7" a="1"/>
  <c r="X22" i="7" s="1"/>
  <c r="W22" i="7" a="1"/>
  <c r="W22" i="7" s="1"/>
  <c r="V22" i="7" a="1"/>
  <c r="V22" i="7" s="1"/>
  <c r="U22" i="7" a="1"/>
  <c r="U22" i="7" s="1"/>
  <c r="T22" i="7" a="1"/>
  <c r="T22" i="7" s="1"/>
  <c r="S22" i="7" a="1"/>
  <c r="S22" i="7" s="1"/>
  <c r="R22" i="7" a="1"/>
  <c r="R22" i="7" s="1"/>
  <c r="Q22" i="7" a="1"/>
  <c r="Q22" i="7" s="1"/>
  <c r="P22" i="7"/>
  <c r="P22" i="7" a="1"/>
  <c r="O22" i="7" a="1"/>
  <c r="O22" i="7" s="1"/>
  <c r="N22" i="7" a="1"/>
  <c r="N22" i="7" s="1"/>
  <c r="M22" i="7"/>
  <c r="M22" i="7" a="1"/>
  <c r="L22" i="7" a="1"/>
  <c r="L22" i="7" s="1"/>
  <c r="K22" i="7" a="1"/>
  <c r="K22" i="7" s="1"/>
  <c r="J22" i="7" a="1"/>
  <c r="J22" i="7" s="1"/>
  <c r="I22" i="7" a="1"/>
  <c r="I22" i="7" s="1"/>
  <c r="H22" i="7" a="1"/>
  <c r="H22" i="7" s="1"/>
  <c r="G22" i="7"/>
  <c r="G22" i="7" a="1"/>
  <c r="F22" i="7"/>
  <c r="F22" i="7" a="1"/>
  <c r="E22" i="7"/>
  <c r="E22" i="7" a="1"/>
  <c r="D22" i="7" a="1"/>
  <c r="D22" i="7" s="1"/>
  <c r="C22" i="7" a="1"/>
  <c r="C22" i="7" s="1"/>
  <c r="EF21" i="7" a="1"/>
  <c r="EF21" i="7" s="1"/>
  <c r="EE21" i="7"/>
  <c r="EE21" i="7" a="1"/>
  <c r="ED21" i="7"/>
  <c r="ED21" i="7" a="1"/>
  <c r="EC21" i="7"/>
  <c r="EC21" i="7" a="1"/>
  <c r="EB21" i="7" a="1"/>
  <c r="EB21" i="7" s="1"/>
  <c r="EA21" i="7"/>
  <c r="EA21" i="7" a="1"/>
  <c r="DZ21" i="7" a="1"/>
  <c r="DZ21" i="7" s="1"/>
  <c r="DY21" i="7" a="1"/>
  <c r="DY21" i="7" s="1"/>
  <c r="DX21" i="7" a="1"/>
  <c r="DX21" i="7" s="1"/>
  <c r="DW21" i="7" a="1"/>
  <c r="DW21" i="7" s="1"/>
  <c r="DV21" i="7" a="1"/>
  <c r="DV21" i="7" s="1"/>
  <c r="DU21" i="7" a="1"/>
  <c r="DU21" i="7" s="1"/>
  <c r="DT21" i="7" a="1"/>
  <c r="DT21" i="7" s="1"/>
  <c r="DS21" i="7" a="1"/>
  <c r="DS21" i="7" s="1"/>
  <c r="DR21" i="7" a="1"/>
  <c r="DR21" i="7" s="1"/>
  <c r="DQ21" i="7" a="1"/>
  <c r="DQ21" i="7" s="1"/>
  <c r="DP21" i="7" a="1"/>
  <c r="DP21" i="7" s="1"/>
  <c r="DO21" i="7" a="1"/>
  <c r="DO21" i="7" s="1"/>
  <c r="DN21" i="7"/>
  <c r="DN21" i="7" a="1"/>
  <c r="DM21" i="7"/>
  <c r="DM21" i="7" a="1"/>
  <c r="DL21" i="7"/>
  <c r="DL21" i="7" a="1"/>
  <c r="DK21" i="7"/>
  <c r="DK21" i="7" a="1"/>
  <c r="DJ21" i="7" a="1"/>
  <c r="DJ21" i="7" s="1"/>
  <c r="DI21" i="7" a="1"/>
  <c r="DI21" i="7" s="1"/>
  <c r="DH21" i="7" a="1"/>
  <c r="DH21" i="7" s="1"/>
  <c r="DG21" i="7" a="1"/>
  <c r="DG21" i="7" s="1"/>
  <c r="DF21" i="7" a="1"/>
  <c r="DF21" i="7" s="1"/>
  <c r="DE21" i="7" a="1"/>
  <c r="DE21" i="7" s="1"/>
  <c r="DD21" i="7" a="1"/>
  <c r="DD21" i="7" s="1"/>
  <c r="DC21" i="7" a="1"/>
  <c r="DC21" i="7" s="1"/>
  <c r="DB21" i="7" a="1"/>
  <c r="DB21" i="7" s="1"/>
  <c r="DA21" i="7" a="1"/>
  <c r="DA21" i="7" s="1"/>
  <c r="CZ21" i="7" a="1"/>
  <c r="CZ21" i="7" s="1"/>
  <c r="CY21" i="7"/>
  <c r="CY21" i="7" a="1"/>
  <c r="CX21" i="7" a="1"/>
  <c r="CX21" i="7" s="1"/>
  <c r="CW21" i="7" a="1"/>
  <c r="CW21" i="7" s="1"/>
  <c r="CV21" i="7" a="1"/>
  <c r="CV21" i="7" s="1"/>
  <c r="CU21" i="7"/>
  <c r="CU21" i="7" a="1"/>
  <c r="CT21" i="7" a="1"/>
  <c r="CT21" i="7" s="1"/>
  <c r="CS21" i="7" a="1"/>
  <c r="CS21" i="7" s="1"/>
  <c r="CR21" i="7" a="1"/>
  <c r="CR21" i="7" s="1"/>
  <c r="CQ21" i="7" a="1"/>
  <c r="CQ21" i="7" s="1"/>
  <c r="CP21" i="7" a="1"/>
  <c r="CP21" i="7" s="1"/>
  <c r="CO21" i="7" a="1"/>
  <c r="CO21" i="7" s="1"/>
  <c r="CN21" i="7" a="1"/>
  <c r="CN21" i="7" s="1"/>
  <c r="CM21" i="7" a="1"/>
  <c r="CM21" i="7" s="1"/>
  <c r="CL21" i="7" a="1"/>
  <c r="CL21" i="7" s="1"/>
  <c r="CK21" i="7" a="1"/>
  <c r="CK21" i="7" s="1"/>
  <c r="CJ21" i="7" a="1"/>
  <c r="CJ21" i="7" s="1"/>
  <c r="CI21" i="7"/>
  <c r="CI21" i="7" a="1"/>
  <c r="CH21" i="7"/>
  <c r="CH21" i="7" a="1"/>
  <c r="CG21" i="7"/>
  <c r="CG21" i="7" a="1"/>
  <c r="CF21" i="7"/>
  <c r="CF21" i="7" a="1"/>
  <c r="CE21" i="7" a="1"/>
  <c r="CE21" i="7" s="1"/>
  <c r="CD21" i="7" a="1"/>
  <c r="CD21" i="7" s="1"/>
  <c r="CC21" i="7" a="1"/>
  <c r="CC21" i="7" s="1"/>
  <c r="CB21" i="7" a="1"/>
  <c r="CB21" i="7" s="1"/>
  <c r="CA21" i="7" a="1"/>
  <c r="CA21" i="7" s="1"/>
  <c r="BZ21" i="7" a="1"/>
  <c r="BZ21" i="7" s="1"/>
  <c r="BY21" i="7" a="1"/>
  <c r="BY21" i="7" s="1"/>
  <c r="BX21" i="7" a="1"/>
  <c r="BX21" i="7" s="1"/>
  <c r="BW21" i="7" a="1"/>
  <c r="BW21" i="7" s="1"/>
  <c r="BV21" i="7" a="1"/>
  <c r="BV21" i="7" s="1"/>
  <c r="BU21" i="7" a="1"/>
  <c r="BU21" i="7" s="1"/>
  <c r="BT21" i="7" a="1"/>
  <c r="BT21" i="7" s="1"/>
  <c r="BS21" i="7"/>
  <c r="BS21" i="7" a="1"/>
  <c r="BR21" i="7" a="1"/>
  <c r="BR21" i="7" s="1"/>
  <c r="BQ21" i="7"/>
  <c r="BQ21" i="7" a="1"/>
  <c r="BP21" i="7"/>
  <c r="BP21" i="7" a="1"/>
  <c r="BO21" i="7"/>
  <c r="BO21" i="7" a="1"/>
  <c r="BN21" i="7" a="1"/>
  <c r="BN21" i="7" s="1"/>
  <c r="BM21" i="7" a="1"/>
  <c r="BM21" i="7" s="1"/>
  <c r="BL21" i="7" a="1"/>
  <c r="BL21" i="7" s="1"/>
  <c r="BK21" i="7" a="1"/>
  <c r="BK21" i="7" s="1"/>
  <c r="BJ21" i="7" a="1"/>
  <c r="BJ21" i="7" s="1"/>
  <c r="BI21" i="7"/>
  <c r="BI21" i="7" a="1"/>
  <c r="BH21" i="7" a="1"/>
  <c r="BH21" i="7" s="1"/>
  <c r="BG21" i="7"/>
  <c r="BG21" i="7" a="1"/>
  <c r="BF21" i="7" a="1"/>
  <c r="BF21" i="7" s="1"/>
  <c r="BE21" i="7" a="1"/>
  <c r="BE21" i="7" s="1"/>
  <c r="BD21" i="7" a="1"/>
  <c r="BD21" i="7" s="1"/>
  <c r="BC21" i="7"/>
  <c r="BC21" i="7" a="1"/>
  <c r="BB21" i="7"/>
  <c r="BB21" i="7" a="1"/>
  <c r="BA21" i="7" a="1"/>
  <c r="BA21" i="7" s="1"/>
  <c r="AZ21" i="7" a="1"/>
  <c r="AZ21" i="7" s="1"/>
  <c r="AY21" i="7"/>
  <c r="AY21" i="7" a="1"/>
  <c r="AX21" i="7" a="1"/>
  <c r="AX21" i="7" s="1"/>
  <c r="AW21" i="7" a="1"/>
  <c r="AW21" i="7" s="1"/>
  <c r="AV21" i="7" a="1"/>
  <c r="AV21" i="7" s="1"/>
  <c r="AU21" i="7" a="1"/>
  <c r="AU21" i="7" s="1"/>
  <c r="AT21" i="7" a="1"/>
  <c r="AT21" i="7" s="1"/>
  <c r="AS21" i="7" a="1"/>
  <c r="AS21" i="7" s="1"/>
  <c r="AR21" i="7" a="1"/>
  <c r="AR21" i="7" s="1"/>
  <c r="AQ21" i="7" a="1"/>
  <c r="AQ21" i="7" s="1"/>
  <c r="AP21" i="7" a="1"/>
  <c r="AP21" i="7" s="1"/>
  <c r="AO21" i="7" a="1"/>
  <c r="AO21" i="7" s="1"/>
  <c r="AN21" i="7" a="1"/>
  <c r="AN21" i="7" s="1"/>
  <c r="AM21" i="7" a="1"/>
  <c r="AM21" i="7" s="1"/>
  <c r="AL21" i="7"/>
  <c r="AL21" i="7" a="1"/>
  <c r="AK21" i="7"/>
  <c r="AK21" i="7" a="1"/>
  <c r="AJ21" i="7"/>
  <c r="AJ21" i="7" a="1"/>
  <c r="AI21" i="7"/>
  <c r="AI21" i="7" a="1"/>
  <c r="AH21" i="7" a="1"/>
  <c r="AH21" i="7" s="1"/>
  <c r="AG21" i="7" a="1"/>
  <c r="AG21" i="7" s="1"/>
  <c r="AF21" i="7" a="1"/>
  <c r="AF21" i="7" s="1"/>
  <c r="AE21" i="7" a="1"/>
  <c r="AE21" i="7" s="1"/>
  <c r="AD21" i="7"/>
  <c r="AD21" i="7" a="1"/>
  <c r="AC21" i="7"/>
  <c r="AC21" i="7" a="1"/>
  <c r="AB21" i="7" a="1"/>
  <c r="AB21" i="7" s="1"/>
  <c r="AA21" i="7" a="1"/>
  <c r="AA21" i="7" s="1"/>
  <c r="Z21" i="7" a="1"/>
  <c r="Z21" i="7" s="1"/>
  <c r="Y21" i="7" a="1"/>
  <c r="Y21" i="7" s="1"/>
  <c r="X21" i="7" a="1"/>
  <c r="X21" i="7" s="1"/>
  <c r="W21" i="7" a="1"/>
  <c r="W21" i="7" s="1"/>
  <c r="V21" i="7" a="1"/>
  <c r="V21" i="7" s="1"/>
  <c r="U21" i="7" a="1"/>
  <c r="U21" i="7" s="1"/>
  <c r="T21" i="7" a="1"/>
  <c r="T21" i="7" s="1"/>
  <c r="S21" i="7"/>
  <c r="S21" i="7" a="1"/>
  <c r="R21" i="7" a="1"/>
  <c r="R21" i="7" s="1"/>
  <c r="Q21" i="7" a="1"/>
  <c r="Q21" i="7" s="1"/>
  <c r="P21" i="7" a="1"/>
  <c r="P21" i="7" s="1"/>
  <c r="O21" i="7" a="1"/>
  <c r="O21" i="7" s="1"/>
  <c r="N21" i="7" a="1"/>
  <c r="N21" i="7" s="1"/>
  <c r="M21" i="7"/>
  <c r="M21" i="7" a="1"/>
  <c r="L21" i="7" a="1"/>
  <c r="L21" i="7" s="1"/>
  <c r="K21" i="7" a="1"/>
  <c r="K21" i="7" s="1"/>
  <c r="J21" i="7" a="1"/>
  <c r="J21" i="7" s="1"/>
  <c r="I21" i="7" a="1"/>
  <c r="I21" i="7" s="1"/>
  <c r="H21" i="7" a="1"/>
  <c r="H21" i="7" s="1"/>
  <c r="G21" i="7"/>
  <c r="G21" i="7" a="1"/>
  <c r="F21" i="7"/>
  <c r="F21" i="7" a="1"/>
  <c r="E21" i="7"/>
  <c r="E21" i="7" a="1"/>
  <c r="D21" i="7" a="1"/>
  <c r="D21" i="7" s="1"/>
  <c r="C21" i="7" a="1"/>
  <c r="C21" i="7" s="1"/>
  <c r="EF20" i="7" a="1"/>
  <c r="EF20" i="7" s="1"/>
  <c r="EE20" i="7" a="1"/>
  <c r="EE20" i="7" s="1"/>
  <c r="ED20" i="7" a="1"/>
  <c r="ED20" i="7" s="1"/>
  <c r="EC20" i="7" a="1"/>
  <c r="EC20" i="7" s="1"/>
  <c r="EB20" i="7" a="1"/>
  <c r="EB20" i="7" s="1"/>
  <c r="EA20" i="7" a="1"/>
  <c r="EA20" i="7" s="1"/>
  <c r="DZ20" i="7" a="1"/>
  <c r="DZ20" i="7" s="1"/>
  <c r="DY20" i="7" a="1"/>
  <c r="DY20" i="7" s="1"/>
  <c r="DX20" i="7" a="1"/>
  <c r="DX20" i="7" s="1"/>
  <c r="DW20" i="7" a="1"/>
  <c r="DW20" i="7" s="1"/>
  <c r="DV20" i="7" a="1"/>
  <c r="DV20" i="7" s="1"/>
  <c r="DU20" i="7" a="1"/>
  <c r="DU20" i="7" s="1"/>
  <c r="DT20" i="7" a="1"/>
  <c r="DT20" i="7" s="1"/>
  <c r="DS20" i="7"/>
  <c r="DS20" i="7" a="1"/>
  <c r="DR20" i="7"/>
  <c r="DR20" i="7" a="1"/>
  <c r="DQ20" i="7"/>
  <c r="DQ20" i="7" a="1"/>
  <c r="DP20" i="7" a="1"/>
  <c r="DP20" i="7" s="1"/>
  <c r="DO20" i="7" a="1"/>
  <c r="DO20" i="7" s="1"/>
  <c r="DN20" i="7" a="1"/>
  <c r="DN20" i="7" s="1"/>
  <c r="DM20" i="7"/>
  <c r="DM20" i="7" a="1"/>
  <c r="DL20" i="7"/>
  <c r="DL20" i="7" a="1"/>
  <c r="DK20" i="7" a="1"/>
  <c r="DK20" i="7" s="1"/>
  <c r="DJ20" i="7" a="1"/>
  <c r="DJ20" i="7" s="1"/>
  <c r="DI20" i="7" a="1"/>
  <c r="DI20" i="7" s="1"/>
  <c r="DH20" i="7" a="1"/>
  <c r="DH20" i="7" s="1"/>
  <c r="DG20" i="7" a="1"/>
  <c r="DG20" i="7" s="1"/>
  <c r="DF20" i="7" a="1"/>
  <c r="DF20" i="7" s="1"/>
  <c r="DE20" i="7"/>
  <c r="DE20" i="7" a="1"/>
  <c r="DD20" i="7" a="1"/>
  <c r="DD20" i="7" s="1"/>
  <c r="DC20" i="7" a="1"/>
  <c r="DC20" i="7" s="1"/>
  <c r="DB20" i="7"/>
  <c r="DB20" i="7" a="1"/>
  <c r="DA20" i="7" a="1"/>
  <c r="DA20" i="7" s="1"/>
  <c r="CZ20" i="7" a="1"/>
  <c r="CZ20" i="7" s="1"/>
  <c r="CY20" i="7" a="1"/>
  <c r="CY20" i="7" s="1"/>
  <c r="CX20" i="7" a="1"/>
  <c r="CX20" i="7" s="1"/>
  <c r="CW20" i="7" a="1"/>
  <c r="CW20" i="7" s="1"/>
  <c r="CV20" i="7" a="1"/>
  <c r="CV20" i="7" s="1"/>
  <c r="CU20" i="7" a="1"/>
  <c r="CU20" i="7" s="1"/>
  <c r="CT20" i="7" a="1"/>
  <c r="CT20" i="7" s="1"/>
  <c r="CS20" i="7"/>
  <c r="CS20" i="7" a="1"/>
  <c r="CR20" i="7" a="1"/>
  <c r="CR20" i="7" s="1"/>
  <c r="CQ20" i="7" a="1"/>
  <c r="CQ20" i="7" s="1"/>
  <c r="CP20" i="7" a="1"/>
  <c r="CP20" i="7" s="1"/>
  <c r="CO20" i="7"/>
  <c r="CO20" i="7" a="1"/>
  <c r="CN20" i="7"/>
  <c r="CN20" i="7" a="1"/>
  <c r="CM20" i="7"/>
  <c r="CM20" i="7" a="1"/>
  <c r="CL20" i="7"/>
  <c r="CL20" i="7" a="1"/>
  <c r="CK20" i="7" a="1"/>
  <c r="CK20" i="7" s="1"/>
  <c r="CJ20" i="7" a="1"/>
  <c r="CJ20" i="7" s="1"/>
  <c r="CI20" i="7" a="1"/>
  <c r="CI20" i="7" s="1"/>
  <c r="CH20" i="7" a="1"/>
  <c r="CH20" i="7" s="1"/>
  <c r="CG20" i="7"/>
  <c r="CG20" i="7" a="1"/>
  <c r="CF20" i="7"/>
  <c r="CF20" i="7" a="1"/>
  <c r="CE20" i="7" a="1"/>
  <c r="CE20" i="7" s="1"/>
  <c r="CD20" i="7" a="1"/>
  <c r="CD20" i="7" s="1"/>
  <c r="CC20" i="7" a="1"/>
  <c r="CC20" i="7" s="1"/>
  <c r="CB20" i="7" a="1"/>
  <c r="CB20" i="7" s="1"/>
  <c r="CA20" i="7" a="1"/>
  <c r="CA20" i="7" s="1"/>
  <c r="BZ20" i="7" a="1"/>
  <c r="BZ20" i="7" s="1"/>
  <c r="BY20" i="7" a="1"/>
  <c r="BY20" i="7" s="1"/>
  <c r="BX20" i="7" a="1"/>
  <c r="BX20" i="7" s="1"/>
  <c r="BW20" i="7" a="1"/>
  <c r="BW20" i="7" s="1"/>
  <c r="BV20" i="7"/>
  <c r="BV20" i="7" a="1"/>
  <c r="BU20" i="7"/>
  <c r="BU20" i="7" a="1"/>
  <c r="BT20" i="7" a="1"/>
  <c r="BT20" i="7" s="1"/>
  <c r="BS20" i="7" a="1"/>
  <c r="BS20" i="7" s="1"/>
  <c r="BR20" i="7" a="1"/>
  <c r="BR20" i="7" s="1"/>
  <c r="BQ20" i="7" a="1"/>
  <c r="BQ20" i="7" s="1"/>
  <c r="BP20" i="7" a="1"/>
  <c r="BP20" i="7" s="1"/>
  <c r="BO20" i="7" a="1"/>
  <c r="BO20" i="7" s="1"/>
  <c r="BN20" i="7" a="1"/>
  <c r="BN20" i="7" s="1"/>
  <c r="BM20" i="7" a="1"/>
  <c r="BM20" i="7" s="1"/>
  <c r="BL20" i="7" a="1"/>
  <c r="BL20" i="7" s="1"/>
  <c r="BK20" i="7" a="1"/>
  <c r="BK20" i="7" s="1"/>
  <c r="BJ20" i="7" a="1"/>
  <c r="BJ20" i="7" s="1"/>
  <c r="BI20" i="7"/>
  <c r="BI20" i="7" a="1"/>
  <c r="BH20" i="7"/>
  <c r="BH20" i="7" a="1"/>
  <c r="BG20" i="7" a="1"/>
  <c r="BG20" i="7" s="1"/>
  <c r="BF20" i="7" a="1"/>
  <c r="BF20" i="7" s="1"/>
  <c r="BE20" i="7" a="1"/>
  <c r="BE20" i="7" s="1"/>
  <c r="BD20" i="7" a="1"/>
  <c r="BD20" i="7" s="1"/>
  <c r="BC20" i="7" a="1"/>
  <c r="BC20" i="7" s="1"/>
  <c r="BB20" i="7" a="1"/>
  <c r="BB20" i="7" s="1"/>
  <c r="BA20" i="7" a="1"/>
  <c r="BA20" i="7" s="1"/>
  <c r="AZ20" i="7" a="1"/>
  <c r="AZ20" i="7" s="1"/>
  <c r="AY20" i="7" a="1"/>
  <c r="AY20" i="7" s="1"/>
  <c r="AX20" i="7" a="1"/>
  <c r="AX20" i="7" s="1"/>
  <c r="AW20" i="7"/>
  <c r="AW20" i="7" a="1"/>
  <c r="AV20" i="7" a="1"/>
  <c r="AV20" i="7" s="1"/>
  <c r="AU20" i="7" a="1"/>
  <c r="AU20" i="7" s="1"/>
  <c r="AT20" i="7" a="1"/>
  <c r="AT20" i="7" s="1"/>
  <c r="AS20" i="7" a="1"/>
  <c r="AS20" i="7" s="1"/>
  <c r="AR20" i="7"/>
  <c r="AR20" i="7" a="1"/>
  <c r="AQ20" i="7"/>
  <c r="AQ20" i="7" a="1"/>
  <c r="AP20" i="7"/>
  <c r="AP20" i="7" a="1"/>
  <c r="AO20" i="7"/>
  <c r="AO20" i="7" a="1"/>
  <c r="AN20" i="7" a="1"/>
  <c r="AN20" i="7" s="1"/>
  <c r="AM20" i="7" a="1"/>
  <c r="AM20" i="7" s="1"/>
  <c r="AL20" i="7" a="1"/>
  <c r="AL20" i="7" s="1"/>
  <c r="AK20" i="7" a="1"/>
  <c r="AK20" i="7" s="1"/>
  <c r="AJ20" i="7"/>
  <c r="AJ20" i="7" a="1"/>
  <c r="AI20" i="7" a="1"/>
  <c r="AI20" i="7" s="1"/>
  <c r="AH20" i="7" a="1"/>
  <c r="AH20" i="7" s="1"/>
  <c r="AG20" i="7" a="1"/>
  <c r="AG20" i="7" s="1"/>
  <c r="AF20" i="7" a="1"/>
  <c r="AF20" i="7" s="1"/>
  <c r="AE20" i="7" a="1"/>
  <c r="AE20" i="7" s="1"/>
  <c r="AD20" i="7" a="1"/>
  <c r="AD20" i="7" s="1"/>
  <c r="AC20" i="7" a="1"/>
  <c r="AC20" i="7" s="1"/>
  <c r="AB20" i="7" a="1"/>
  <c r="AB20" i="7" s="1"/>
  <c r="AA20" i="7"/>
  <c r="AA20" i="7" a="1"/>
  <c r="Z20" i="7" a="1"/>
  <c r="Z20" i="7" s="1"/>
  <c r="Y20" i="7"/>
  <c r="Y20" i="7" a="1"/>
  <c r="X20" i="7" a="1"/>
  <c r="X20" i="7" s="1"/>
  <c r="W20" i="7" a="1"/>
  <c r="W20" i="7" s="1"/>
  <c r="V20" i="7" a="1"/>
  <c r="V20" i="7" s="1"/>
  <c r="U20" i="7" a="1"/>
  <c r="U20" i="7" s="1"/>
  <c r="T20" i="7" a="1"/>
  <c r="T20" i="7" s="1"/>
  <c r="S20" i="7" a="1"/>
  <c r="S20" i="7" s="1"/>
  <c r="R20" i="7"/>
  <c r="R20" i="7" a="1"/>
  <c r="Q20" i="7"/>
  <c r="Q20" i="7" a="1"/>
  <c r="P20" i="7" a="1"/>
  <c r="P20" i="7" s="1"/>
  <c r="O20" i="7" a="1"/>
  <c r="O20" i="7" s="1"/>
  <c r="N20" i="7" a="1"/>
  <c r="N20" i="7" s="1"/>
  <c r="M20" i="7"/>
  <c r="M20" i="7" a="1"/>
  <c r="L20" i="7"/>
  <c r="L20" i="7" a="1"/>
  <c r="K20" i="7"/>
  <c r="K20" i="7" a="1"/>
  <c r="J20" i="7" a="1"/>
  <c r="J20" i="7" s="1"/>
  <c r="I20" i="7" a="1"/>
  <c r="I20" i="7" s="1"/>
  <c r="H20" i="7" a="1"/>
  <c r="H20" i="7" s="1"/>
  <c r="G20" i="7" a="1"/>
  <c r="G20" i="7" s="1"/>
  <c r="F20" i="7" a="1"/>
  <c r="F20" i="7" s="1"/>
  <c r="E20" i="7"/>
  <c r="E20" i="7" a="1"/>
  <c r="D20" i="7" a="1"/>
  <c r="D20" i="7" s="1"/>
  <c r="C20" i="7" a="1"/>
  <c r="C20" i="7" s="1"/>
  <c r="EF19" i="7" a="1"/>
  <c r="EF19" i="7" s="1"/>
  <c r="EE19" i="7" a="1"/>
  <c r="EE19" i="7" s="1"/>
  <c r="ED19" i="7" a="1"/>
  <c r="ED19" i="7" s="1"/>
  <c r="EC19" i="7" a="1"/>
  <c r="EC19" i="7" s="1"/>
  <c r="EB19" i="7" a="1"/>
  <c r="EB19" i="7" s="1"/>
  <c r="EA19" i="7" a="1"/>
  <c r="EA19" i="7" s="1"/>
  <c r="DZ19" i="7" a="1"/>
  <c r="DZ19" i="7" s="1"/>
  <c r="DY19" i="7"/>
  <c r="DY19" i="7" a="1"/>
  <c r="DX19" i="7"/>
  <c r="DX19" i="7" a="1"/>
  <c r="DW19" i="7"/>
  <c r="DW19" i="7" a="1"/>
  <c r="DV19" i="7"/>
  <c r="DV19" i="7" a="1"/>
  <c r="DU19" i="7" a="1"/>
  <c r="DU19" i="7" s="1"/>
  <c r="DT19" i="7" a="1"/>
  <c r="DT19" i="7" s="1"/>
  <c r="DS19" i="7" a="1"/>
  <c r="DS19" i="7" s="1"/>
  <c r="DR19" i="7"/>
  <c r="DR19" i="7" a="1"/>
  <c r="DQ19" i="7"/>
  <c r="DQ19" i="7" a="1"/>
  <c r="DP19" i="7"/>
  <c r="DP19" i="7" a="1"/>
  <c r="DO19" i="7"/>
  <c r="DO19" i="7" a="1"/>
  <c r="DN19" i="7"/>
  <c r="DN19" i="7" a="1"/>
  <c r="DM19" i="7" a="1"/>
  <c r="DM19" i="7" s="1"/>
  <c r="DL19" i="7" a="1"/>
  <c r="DL19" i="7" s="1"/>
  <c r="DK19" i="7" a="1"/>
  <c r="DK19" i="7" s="1"/>
  <c r="DJ19" i="7" a="1"/>
  <c r="DJ19" i="7" s="1"/>
  <c r="DI19" i="7"/>
  <c r="DI19" i="7" a="1"/>
  <c r="DH19" i="7"/>
  <c r="DH19" i="7" a="1"/>
  <c r="DG19" i="7"/>
  <c r="DG19" i="7" a="1"/>
  <c r="DF19" i="7"/>
  <c r="DF19" i="7" a="1"/>
  <c r="DE19" i="7" a="1"/>
  <c r="DE19" i="7" s="1"/>
  <c r="DD19" i="7"/>
  <c r="DD19" i="7" a="1"/>
  <c r="DC19" i="7" a="1"/>
  <c r="DC19" i="7" s="1"/>
  <c r="DB19" i="7" a="1"/>
  <c r="DB19" i="7" s="1"/>
  <c r="DA19" i="7"/>
  <c r="DA19" i="7" a="1"/>
  <c r="CZ19" i="7"/>
  <c r="CZ19" i="7" a="1"/>
  <c r="CY19" i="7"/>
  <c r="CY19" i="7" a="1"/>
  <c r="CX19" i="7"/>
  <c r="CX19" i="7" a="1"/>
  <c r="CW19" i="7" a="1"/>
  <c r="CW19" i="7" s="1"/>
  <c r="CV19" i="7" a="1"/>
  <c r="CV19" i="7" s="1"/>
  <c r="CU19" i="7" a="1"/>
  <c r="CU19" i="7" s="1"/>
  <c r="CT19" i="7" a="1"/>
  <c r="CT19" i="7" s="1"/>
  <c r="CS19" i="7"/>
  <c r="CS19" i="7" a="1"/>
  <c r="CR19" i="7"/>
  <c r="CR19" i="7" a="1"/>
  <c r="CQ19" i="7"/>
  <c r="CQ19" i="7" a="1"/>
  <c r="CP19" i="7"/>
  <c r="CP19" i="7" a="1"/>
  <c r="CO19" i="7" a="1"/>
  <c r="CO19" i="7" s="1"/>
  <c r="CN19" i="7" a="1"/>
  <c r="CN19" i="7" s="1"/>
  <c r="CM19" i="7"/>
  <c r="CM19" i="7" a="1"/>
  <c r="CL19" i="7" a="1"/>
  <c r="CL19" i="7" s="1"/>
  <c r="CK19" i="7" a="1"/>
  <c r="CK19" i="7" s="1"/>
  <c r="CJ19" i="7"/>
  <c r="CJ19" i="7" a="1"/>
  <c r="CI19" i="7"/>
  <c r="CI19" i="7" a="1"/>
  <c r="CH19" i="7"/>
  <c r="CH19" i="7" a="1"/>
  <c r="CG19" i="7" a="1"/>
  <c r="CG19" i="7" s="1"/>
  <c r="CF19" i="7"/>
  <c r="CF19" i="7" a="1"/>
  <c r="CE19" i="7" a="1"/>
  <c r="CE19" i="7" s="1"/>
  <c r="CD19" i="7" a="1"/>
  <c r="CD19" i="7" s="1"/>
  <c r="CC19" i="7" a="1"/>
  <c r="CC19" i="7" s="1"/>
  <c r="CB19" i="7"/>
  <c r="CB19" i="7" a="1"/>
  <c r="CA19" i="7"/>
  <c r="CA19" i="7" a="1"/>
  <c r="BZ19" i="7"/>
  <c r="BZ19" i="7" a="1"/>
  <c r="BY19" i="7" a="1"/>
  <c r="BY19" i="7" s="1"/>
  <c r="BX19" i="7"/>
  <c r="BX19" i="7" a="1"/>
  <c r="BW19" i="7" a="1"/>
  <c r="BW19" i="7" s="1"/>
  <c r="BV19" i="7"/>
  <c r="BV19" i="7" a="1"/>
  <c r="BU19" i="7" a="1"/>
  <c r="BU19" i="7" s="1"/>
  <c r="BT19" i="7"/>
  <c r="BT19" i="7" a="1"/>
  <c r="BS19" i="7"/>
  <c r="BS19" i="7" a="1"/>
  <c r="BR19" i="7"/>
  <c r="BR19" i="7" a="1"/>
  <c r="BQ19" i="7" a="1"/>
  <c r="BQ19" i="7" s="1"/>
  <c r="BP19" i="7"/>
  <c r="BP19" i="7" a="1"/>
  <c r="BO19" i="7"/>
  <c r="BO19" i="7" a="1"/>
  <c r="BN19" i="7" a="1"/>
  <c r="BN19" i="7" s="1"/>
  <c r="BM19" i="7" a="1"/>
  <c r="BM19" i="7" s="1"/>
  <c r="BL19" i="7"/>
  <c r="BL19" i="7" a="1"/>
  <c r="BK19" i="7"/>
  <c r="BK19" i="7" a="1"/>
  <c r="BJ19" i="7"/>
  <c r="BJ19" i="7" a="1"/>
  <c r="BI19" i="7" a="1"/>
  <c r="BI19" i="7" s="1"/>
  <c r="BH19" i="7" a="1"/>
  <c r="BH19" i="7" s="1"/>
  <c r="BG19" i="7"/>
  <c r="BG19" i="7" a="1"/>
  <c r="BF19" i="7" a="1"/>
  <c r="BF19" i="7" s="1"/>
  <c r="BE19" i="7"/>
  <c r="BE19" i="7" a="1"/>
  <c r="BD19" i="7"/>
  <c r="BD19" i="7" a="1"/>
  <c r="BC19" i="7"/>
  <c r="BC19" i="7" a="1"/>
  <c r="BB19" i="7"/>
  <c r="BB19" i="7" a="1"/>
  <c r="BA19" i="7" a="1"/>
  <c r="BA19" i="7" s="1"/>
  <c r="AZ19" i="7"/>
  <c r="AZ19" i="7" a="1"/>
  <c r="AY19" i="7"/>
  <c r="AY19" i="7" a="1"/>
  <c r="AX19" i="7"/>
  <c r="AX19" i="7" a="1"/>
  <c r="AW19" i="7" a="1"/>
  <c r="AW19" i="7" s="1"/>
  <c r="AV19" i="7"/>
  <c r="AV19" i="7" a="1"/>
  <c r="AU19" i="7"/>
  <c r="AU19" i="7" a="1"/>
  <c r="AT19" i="7"/>
  <c r="AT19" i="7" a="1"/>
  <c r="AS19" i="7" a="1"/>
  <c r="AS19" i="7" s="1"/>
  <c r="AR19" i="7"/>
  <c r="AR19" i="7" a="1"/>
  <c r="AQ19" i="7" a="1"/>
  <c r="AQ19" i="7" s="1"/>
  <c r="AP19" i="7"/>
  <c r="AP19" i="7" a="1"/>
  <c r="AO19" i="7" a="1"/>
  <c r="AO19" i="7" s="1"/>
  <c r="AN19" i="7"/>
  <c r="AN19" i="7" a="1"/>
  <c r="AM19" i="7"/>
  <c r="AM19" i="7" a="1"/>
  <c r="AL19" i="7"/>
  <c r="AL19" i="7" a="1"/>
  <c r="AK19" i="7" a="1"/>
  <c r="AK19" i="7" s="1"/>
  <c r="AJ19" i="7" a="1"/>
  <c r="AJ19" i="7" s="1"/>
  <c r="AI19" i="7"/>
  <c r="AI19" i="7" a="1"/>
  <c r="AH19" i="7"/>
  <c r="AH19" i="7" a="1"/>
  <c r="AG19" i="7"/>
  <c r="AG19" i="7" a="1"/>
  <c r="AF19" i="7"/>
  <c r="AF19" i="7" a="1"/>
  <c r="AE19" i="7" a="1"/>
  <c r="AE19" i="7" s="1"/>
  <c r="AD19" i="7"/>
  <c r="AD19" i="7" a="1"/>
  <c r="AC19" i="7" a="1"/>
  <c r="AC19" i="7" s="1"/>
  <c r="AB19" i="7" a="1"/>
  <c r="AB19" i="7" s="1"/>
  <c r="AA19" i="7" a="1"/>
  <c r="AA19" i="7" s="1"/>
  <c r="Z19" i="7" a="1"/>
  <c r="Z19" i="7" s="1"/>
  <c r="Y19" i="7"/>
  <c r="Y19" i="7" a="1"/>
  <c r="X19" i="7"/>
  <c r="X19" i="7" a="1"/>
  <c r="W19" i="7"/>
  <c r="W19" i="7" a="1"/>
  <c r="V19" i="7" a="1"/>
  <c r="V19" i="7" s="1"/>
  <c r="U19" i="7" a="1"/>
  <c r="U19" i="7" s="1"/>
  <c r="T19" i="7" a="1"/>
  <c r="T19" i="7" s="1"/>
  <c r="S19" i="7"/>
  <c r="S19" i="7" a="1"/>
  <c r="R19" i="7"/>
  <c r="R19" i="7" a="1"/>
  <c r="Q19" i="7"/>
  <c r="Q19" i="7" a="1"/>
  <c r="P19" i="7"/>
  <c r="P19" i="7" a="1"/>
  <c r="O19" i="7" a="1"/>
  <c r="O19" i="7" s="1"/>
  <c r="N19" i="7" a="1"/>
  <c r="N19" i="7" s="1"/>
  <c r="M19" i="7" a="1"/>
  <c r="M19" i="7" s="1"/>
  <c r="L19" i="7" a="1"/>
  <c r="L19" i="7" s="1"/>
  <c r="K19" i="7" a="1"/>
  <c r="K19" i="7" s="1"/>
  <c r="J19" i="7" a="1"/>
  <c r="J19" i="7" s="1"/>
  <c r="I19" i="7" a="1"/>
  <c r="I19" i="7" s="1"/>
  <c r="H19" i="7"/>
  <c r="H19" i="7" a="1"/>
  <c r="G19" i="7" a="1"/>
  <c r="G19" i="7" s="1"/>
  <c r="F19" i="7"/>
  <c r="F19" i="7" a="1"/>
  <c r="E19" i="7" a="1"/>
  <c r="E19" i="7" s="1"/>
  <c r="D19" i="7" a="1"/>
  <c r="D19" i="7" s="1"/>
  <c r="C19" i="7" a="1"/>
  <c r="C19" i="7" s="1"/>
  <c r="EF18" i="7" a="1"/>
  <c r="EF18" i="7" s="1"/>
  <c r="EE18" i="7"/>
  <c r="EE18" i="7" a="1"/>
  <c r="ED18" i="7"/>
  <c r="ED18" i="7" a="1"/>
  <c r="EC18" i="7"/>
  <c r="EC18" i="7" a="1"/>
  <c r="EB18" i="7" a="1"/>
  <c r="EB18" i="7" s="1"/>
  <c r="EA18" i="7" a="1"/>
  <c r="EA18" i="7" s="1"/>
  <c r="DZ18" i="7" a="1"/>
  <c r="DZ18" i="7" s="1"/>
  <c r="DY18" i="7" a="1"/>
  <c r="DY18" i="7" s="1"/>
  <c r="DX18" i="7" a="1"/>
  <c r="DX18" i="7" s="1"/>
  <c r="DW18" i="7"/>
  <c r="DW18" i="7" a="1"/>
  <c r="DV18" i="7"/>
  <c r="DV18" i="7" a="1"/>
  <c r="DU18" i="7"/>
  <c r="DU18" i="7" a="1"/>
  <c r="DT18" i="7" a="1"/>
  <c r="DT18" i="7" s="1"/>
  <c r="DS18" i="7" a="1"/>
  <c r="DS18" i="7" s="1"/>
  <c r="DR18" i="7" a="1"/>
  <c r="DR18" i="7" s="1"/>
  <c r="DQ18" i="7" a="1"/>
  <c r="DQ18" i="7" s="1"/>
  <c r="DP18" i="7" a="1"/>
  <c r="DP18" i="7" s="1"/>
  <c r="DO18" i="7" a="1"/>
  <c r="DO18" i="7" s="1"/>
  <c r="DN18" i="7"/>
  <c r="DN18" i="7" a="1"/>
  <c r="DM18" i="7"/>
  <c r="DM18" i="7" a="1"/>
  <c r="DL18" i="7"/>
  <c r="DL18" i="7" a="1"/>
  <c r="DK18" i="7" a="1"/>
  <c r="DK18" i="7" s="1"/>
  <c r="DJ18" i="7"/>
  <c r="DJ18" i="7" a="1"/>
  <c r="DI18" i="7" a="1"/>
  <c r="DI18" i="7" s="1"/>
  <c r="DH18" i="7" a="1"/>
  <c r="DH18" i="7" s="1"/>
  <c r="DG18" i="7" a="1"/>
  <c r="DG18" i="7" s="1"/>
  <c r="DF18" i="7"/>
  <c r="DF18" i="7" a="1"/>
  <c r="DE18" i="7" a="1"/>
  <c r="DE18" i="7" s="1"/>
  <c r="DD18" i="7"/>
  <c r="DD18" i="7" a="1"/>
  <c r="DC18" i="7" a="1"/>
  <c r="DC18" i="7" s="1"/>
  <c r="DB18" i="7" a="1"/>
  <c r="DB18" i="7" s="1"/>
  <c r="DA18" i="7" a="1"/>
  <c r="DA18" i="7" s="1"/>
  <c r="CZ18" i="7" a="1"/>
  <c r="CZ18" i="7" s="1"/>
  <c r="CY18" i="7" a="1"/>
  <c r="CY18" i="7" s="1"/>
  <c r="CX18" i="7"/>
  <c r="CX18" i="7" a="1"/>
  <c r="CW18" i="7"/>
  <c r="CW18" i="7" a="1"/>
  <c r="CV18" i="7"/>
  <c r="CV18" i="7" a="1"/>
  <c r="CU18" i="7" a="1"/>
  <c r="CU18" i="7" s="1"/>
  <c r="CT18" i="7" a="1"/>
  <c r="CT18" i="7" s="1"/>
  <c r="CS18" i="7"/>
  <c r="CS18" i="7" a="1"/>
  <c r="CR18" i="7" a="1"/>
  <c r="CR18" i="7" s="1"/>
  <c r="CQ18" i="7" a="1"/>
  <c r="CQ18" i="7" s="1"/>
  <c r="CP18" i="7"/>
  <c r="CP18" i="7" a="1"/>
  <c r="CO18" i="7" a="1"/>
  <c r="CO18" i="7" s="1"/>
  <c r="CN18" i="7" a="1"/>
  <c r="CN18" i="7" s="1"/>
  <c r="CM18" i="7" a="1"/>
  <c r="CM18" i="7" s="1"/>
  <c r="CL18" i="7"/>
  <c r="CL18" i="7" a="1"/>
  <c r="CK18" i="7" a="1"/>
  <c r="CK18" i="7" s="1"/>
  <c r="CJ18" i="7" a="1"/>
  <c r="CJ18" i="7" s="1"/>
  <c r="CI18" i="7" a="1"/>
  <c r="CI18" i="7" s="1"/>
  <c r="CH18" i="7"/>
  <c r="CH18" i="7" a="1"/>
  <c r="CG18" i="7" a="1"/>
  <c r="CG18" i="7" s="1"/>
  <c r="CF18" i="7"/>
  <c r="CF18" i="7" a="1"/>
  <c r="CE18" i="7" a="1"/>
  <c r="CE18" i="7" s="1"/>
  <c r="CD18" i="7"/>
  <c r="CD18" i="7" a="1"/>
  <c r="CC18" i="7" a="1"/>
  <c r="CC18" i="7" s="1"/>
  <c r="CB18" i="7"/>
  <c r="CB18" i="7" a="1"/>
  <c r="CA18" i="7" a="1"/>
  <c r="CA18" i="7" s="1"/>
  <c r="BZ18" i="7"/>
  <c r="BZ18" i="7" a="1"/>
  <c r="BY18" i="7" a="1"/>
  <c r="BY18" i="7" s="1"/>
  <c r="BX18" i="7" a="1"/>
  <c r="BX18" i="7" s="1"/>
  <c r="BW18" i="7" a="1"/>
  <c r="BW18" i="7" s="1"/>
  <c r="BV18" i="7"/>
  <c r="BV18" i="7" a="1"/>
  <c r="BU18" i="7"/>
  <c r="BU18" i="7" a="1"/>
  <c r="BT18" i="7" a="1"/>
  <c r="BT18" i="7" s="1"/>
  <c r="BS18" i="7" a="1"/>
  <c r="BS18" i="7" s="1"/>
  <c r="BR18" i="7"/>
  <c r="BR18" i="7" a="1"/>
  <c r="BQ18" i="7" a="1"/>
  <c r="BQ18" i="7" s="1"/>
  <c r="BP18" i="7" a="1"/>
  <c r="BP18" i="7" s="1"/>
  <c r="BO18" i="7" a="1"/>
  <c r="BO18" i="7" s="1"/>
  <c r="BN18" i="7" a="1"/>
  <c r="BN18" i="7" s="1"/>
  <c r="BM18" i="7"/>
  <c r="BM18" i="7" a="1"/>
  <c r="BL18" i="7" a="1"/>
  <c r="BL18" i="7" s="1"/>
  <c r="BK18" i="7"/>
  <c r="BK18" i="7" a="1"/>
  <c r="BJ18" i="7"/>
  <c r="BJ18" i="7" a="1"/>
  <c r="BI18" i="7" a="1"/>
  <c r="BI18" i="7" s="1"/>
  <c r="BH18" i="7"/>
  <c r="BH18" i="7" a="1"/>
  <c r="BG18" i="7" a="1"/>
  <c r="BG18" i="7" s="1"/>
  <c r="BF18" i="7"/>
  <c r="BF18" i="7" a="1"/>
  <c r="BE18" i="7"/>
  <c r="BE18" i="7" a="1"/>
  <c r="BD18" i="7"/>
  <c r="BD18" i="7" a="1"/>
  <c r="BC18" i="7" a="1"/>
  <c r="BC18" i="7" s="1"/>
  <c r="BB18" i="7"/>
  <c r="BB18" i="7" a="1"/>
  <c r="BA18" i="7" a="1"/>
  <c r="BA18" i="7" s="1"/>
  <c r="AZ18" i="7" a="1"/>
  <c r="AZ18" i="7" s="1"/>
  <c r="AY18" i="7" a="1"/>
  <c r="AY18" i="7" s="1"/>
  <c r="AX18" i="7"/>
  <c r="AX18" i="7" a="1"/>
  <c r="AW18" i="7" a="1"/>
  <c r="AW18" i="7" s="1"/>
  <c r="AV18" i="7"/>
  <c r="AV18" i="7" a="1"/>
  <c r="AU18" i="7" a="1"/>
  <c r="AU18" i="7" s="1"/>
  <c r="AT18" i="7"/>
  <c r="AT18" i="7" a="1"/>
  <c r="AS18" i="7" a="1"/>
  <c r="AS18" i="7" s="1"/>
  <c r="AR18" i="7" a="1"/>
  <c r="AR18" i="7" s="1"/>
  <c r="AQ18" i="7" a="1"/>
  <c r="AQ18" i="7" s="1"/>
  <c r="AP18" i="7" a="1"/>
  <c r="AP18" i="7" s="1"/>
  <c r="AO18" i="7"/>
  <c r="AO18" i="7" a="1"/>
  <c r="AN18" i="7"/>
  <c r="AN18" i="7" a="1"/>
  <c r="AM18" i="7"/>
  <c r="AM18" i="7" a="1"/>
  <c r="AL18" i="7"/>
  <c r="AL18" i="7" a="1"/>
  <c r="AK18" i="7" a="1"/>
  <c r="AK18" i="7" s="1"/>
  <c r="AJ18" i="7" a="1"/>
  <c r="AJ18" i="7" s="1"/>
  <c r="AI18" i="7" a="1"/>
  <c r="AI18" i="7" s="1"/>
  <c r="AH18" i="7" a="1"/>
  <c r="AH18" i="7" s="1"/>
  <c r="AG18" i="7" a="1"/>
  <c r="AG18" i="7" s="1"/>
  <c r="AF18" i="7" a="1"/>
  <c r="AF18" i="7" s="1"/>
  <c r="AE18" i="7"/>
  <c r="AE18" i="7" a="1"/>
  <c r="AD18" i="7"/>
  <c r="AD18" i="7" a="1"/>
  <c r="AC18" i="7"/>
  <c r="AC18" i="7" a="1"/>
  <c r="AB18" i="7" a="1"/>
  <c r="AB18" i="7" s="1"/>
  <c r="AA18" i="7" a="1"/>
  <c r="AA18" i="7" s="1"/>
  <c r="Z18" i="7" a="1"/>
  <c r="Z18" i="7" s="1"/>
  <c r="Y18" i="7"/>
  <c r="Y18" i="7" a="1"/>
  <c r="X18" i="7"/>
  <c r="X18" i="7" a="1"/>
  <c r="W18" i="7"/>
  <c r="W18" i="7" a="1"/>
  <c r="V18" i="7"/>
  <c r="V18" i="7" a="1"/>
  <c r="U18" i="7" a="1"/>
  <c r="U18" i="7" s="1"/>
  <c r="T18" i="7" a="1"/>
  <c r="T18" i="7" s="1"/>
  <c r="S18" i="7" a="1"/>
  <c r="S18" i="7" s="1"/>
  <c r="R18" i="7" a="1"/>
  <c r="R18" i="7" s="1"/>
  <c r="Q18" i="7" a="1"/>
  <c r="Q18" i="7" s="1"/>
  <c r="P18" i="7" a="1"/>
  <c r="P18" i="7" s="1"/>
  <c r="O18" i="7" a="1"/>
  <c r="O18" i="7" s="1"/>
  <c r="N18" i="7"/>
  <c r="N18" i="7" a="1"/>
  <c r="M18" i="7" a="1"/>
  <c r="M18" i="7" s="1"/>
  <c r="L18" i="7"/>
  <c r="L18" i="7" a="1"/>
  <c r="K18" i="7" a="1"/>
  <c r="K18" i="7" s="1"/>
  <c r="J18" i="7" a="1"/>
  <c r="J18" i="7" s="1"/>
  <c r="I18" i="7" a="1"/>
  <c r="I18" i="7" s="1"/>
  <c r="H18" i="7" a="1"/>
  <c r="H18" i="7" s="1"/>
  <c r="G18" i="7"/>
  <c r="G18" i="7" a="1"/>
  <c r="F18" i="7"/>
  <c r="F18" i="7" a="1"/>
  <c r="E18" i="7"/>
  <c r="E18" i="7" a="1"/>
  <c r="D18" i="7" a="1"/>
  <c r="D18" i="7" s="1"/>
  <c r="C18" i="7" a="1"/>
  <c r="C18" i="7" s="1"/>
  <c r="EF17" i="7" a="1"/>
  <c r="EF17" i="7" s="1"/>
  <c r="EE17" i="7" a="1"/>
  <c r="EE17" i="7" s="1"/>
  <c r="ED17" i="7" a="1"/>
  <c r="ED17" i="7" s="1"/>
  <c r="EC17" i="7"/>
  <c r="EC17" i="7" a="1"/>
  <c r="EB17" i="7"/>
  <c r="EB17" i="7" a="1"/>
  <c r="EA17" i="7"/>
  <c r="EA17" i="7" a="1"/>
  <c r="DZ17" i="7" a="1"/>
  <c r="DZ17" i="7" s="1"/>
  <c r="DY17" i="7" a="1"/>
  <c r="DY17" i="7" s="1"/>
  <c r="DX17" i="7" a="1"/>
  <c r="DX17" i="7" s="1"/>
  <c r="DW17" i="7" a="1"/>
  <c r="DW17" i="7" s="1"/>
  <c r="DV17" i="7" a="1"/>
  <c r="DV17" i="7" s="1"/>
  <c r="DU17" i="7" a="1"/>
  <c r="DU17" i="7" s="1"/>
  <c r="DT17" i="7"/>
  <c r="DT17" i="7" a="1"/>
  <c r="DS17" i="7"/>
  <c r="DS17" i="7" a="1"/>
  <c r="DR17" i="7"/>
  <c r="DR17" i="7" a="1"/>
  <c r="DQ17" i="7" a="1"/>
  <c r="DQ17" i="7" s="1"/>
  <c r="DP17" i="7"/>
  <c r="DP17" i="7" a="1"/>
  <c r="DO17" i="7" a="1"/>
  <c r="DO17" i="7" s="1"/>
  <c r="DN17" i="7" a="1"/>
  <c r="DN17" i="7" s="1"/>
  <c r="DM17" i="7" a="1"/>
  <c r="DM17" i="7" s="1"/>
  <c r="DL17" i="7"/>
  <c r="DL17" i="7" a="1"/>
  <c r="DK17" i="7" a="1"/>
  <c r="DK17" i="7" s="1"/>
  <c r="DJ17" i="7"/>
  <c r="DJ17" i="7" a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/>
  <c r="DD17" i="7" a="1"/>
  <c r="DC17" i="7"/>
  <c r="DC17" i="7" a="1"/>
  <c r="DB17" i="7"/>
  <c r="DB17" i="7" a="1"/>
  <c r="DA17" i="7" a="1"/>
  <c r="DA17" i="7" s="1"/>
  <c r="CZ17" i="7" a="1"/>
  <c r="CZ17" i="7" s="1"/>
  <c r="CY17" i="7"/>
  <c r="CY17" i="7" a="1"/>
  <c r="CX17" i="7" a="1"/>
  <c r="CX17" i="7" s="1"/>
  <c r="CW17" i="7" a="1"/>
  <c r="CW17" i="7" s="1"/>
  <c r="CV17" i="7"/>
  <c r="CV17" i="7" a="1"/>
  <c r="CU17" i="7" a="1"/>
  <c r="CU17" i="7" s="1"/>
  <c r="CT17" i="7" a="1"/>
  <c r="CT17" i="7" s="1"/>
  <c r="CS17" i="7" a="1"/>
  <c r="CS17" i="7" s="1"/>
  <c r="CR17" i="7"/>
  <c r="CR17" i="7" a="1"/>
  <c r="CQ17" i="7" a="1"/>
  <c r="CQ17" i="7" s="1"/>
  <c r="CP17" i="7" a="1"/>
  <c r="CP17" i="7" s="1"/>
  <c r="CO17" i="7" a="1"/>
  <c r="CO17" i="7" s="1"/>
  <c r="CN17" i="7"/>
  <c r="CN17" i="7" a="1"/>
  <c r="CM17" i="7" a="1"/>
  <c r="CM17" i="7" s="1"/>
  <c r="CL17" i="7"/>
  <c r="CL17" i="7" a="1"/>
  <c r="CK17" i="7" a="1"/>
  <c r="CK17" i="7" s="1"/>
  <c r="CJ17" i="7"/>
  <c r="CJ17" i="7" a="1"/>
  <c r="CI17" i="7" a="1"/>
  <c r="CI17" i="7" s="1"/>
  <c r="CH17" i="7"/>
  <c r="CH17" i="7" a="1"/>
  <c r="CG17" i="7" a="1"/>
  <c r="CG17" i="7" s="1"/>
  <c r="CF17" i="7"/>
  <c r="CF17" i="7" a="1"/>
  <c r="CE17" i="7" a="1"/>
  <c r="CE17" i="7" s="1"/>
  <c r="CD17" i="7" a="1"/>
  <c r="CD17" i="7" s="1"/>
  <c r="CC17" i="7" a="1"/>
  <c r="CC17" i="7" s="1"/>
  <c r="CB17" i="7"/>
  <c r="CB17" i="7" a="1"/>
  <c r="CA17" i="7"/>
  <c r="CA17" i="7" a="1"/>
  <c r="BZ17" i="7" a="1"/>
  <c r="BZ17" i="7" s="1"/>
  <c r="BY17" i="7" a="1"/>
  <c r="BY17" i="7" s="1"/>
  <c r="BX17" i="7"/>
  <c r="BX17" i="7" a="1"/>
  <c r="BW17" i="7" a="1"/>
  <c r="BW17" i="7" s="1"/>
  <c r="BV17" i="7" a="1"/>
  <c r="BV17" i="7" s="1"/>
  <c r="BU17" i="7" a="1"/>
  <c r="BU17" i="7" s="1"/>
  <c r="BT17" i="7" a="1"/>
  <c r="BT17" i="7" s="1"/>
  <c r="BS17" i="7"/>
  <c r="BS17" i="7" a="1"/>
  <c r="BR17" i="7" a="1"/>
  <c r="BR17" i="7" s="1"/>
  <c r="BQ17" i="7"/>
  <c r="BQ17" i="7" a="1"/>
  <c r="BP17" i="7"/>
  <c r="BP17" i="7" a="1"/>
  <c r="BO17" i="7" a="1"/>
  <c r="BO17" i="7" s="1"/>
  <c r="BN17" i="7"/>
  <c r="BN17" i="7" a="1"/>
  <c r="BM17" i="7" a="1"/>
  <c r="BM17" i="7" s="1"/>
  <c r="BL17" i="7"/>
  <c r="BL17" i="7" a="1"/>
  <c r="BK17" i="7"/>
  <c r="BK17" i="7" a="1"/>
  <c r="BJ17" i="7"/>
  <c r="BJ17" i="7" a="1"/>
  <c r="BI17" i="7" a="1"/>
  <c r="BI17" i="7" s="1"/>
  <c r="BH17" i="7"/>
  <c r="BH17" i="7" a="1"/>
  <c r="BG17" i="7" a="1"/>
  <c r="BG17" i="7" s="1"/>
  <c r="BF17" i="7" a="1"/>
  <c r="BF17" i="7" s="1"/>
  <c r="BE17" i="7" a="1"/>
  <c r="BE17" i="7" s="1"/>
  <c r="BD17" i="7"/>
  <c r="BD17" i="7" a="1"/>
  <c r="BC17" i="7" a="1"/>
  <c r="BC17" i="7" s="1"/>
  <c r="BB17" i="7"/>
  <c r="BB17" i="7" a="1"/>
  <c r="BA17" i="7" a="1"/>
  <c r="BA17" i="7" s="1"/>
  <c r="AZ17" i="7"/>
  <c r="AZ17" i="7" a="1"/>
  <c r="AY17" i="7" a="1"/>
  <c r="AY17" i="7" s="1"/>
  <c r="AX17" i="7" a="1"/>
  <c r="AX17" i="7" s="1"/>
  <c r="AW17" i="7" a="1"/>
  <c r="AW17" i="7" s="1"/>
  <c r="AV17" i="7" a="1"/>
  <c r="AV17" i="7" s="1"/>
  <c r="AU17" i="7"/>
  <c r="AU17" i="7" a="1"/>
  <c r="AT17" i="7"/>
  <c r="AT17" i="7" a="1"/>
  <c r="AS17" i="7"/>
  <c r="AS17" i="7" a="1"/>
  <c r="AR17" i="7"/>
  <c r="AR17" i="7" a="1"/>
  <c r="AQ17" i="7" a="1"/>
  <c r="AQ17" i="7" s="1"/>
  <c r="AP17" i="7" a="1"/>
  <c r="AP17" i="7" s="1"/>
  <c r="AO17" i="7" a="1"/>
  <c r="AO17" i="7" s="1"/>
  <c r="AN17" i="7" a="1"/>
  <c r="AN17" i="7" s="1"/>
  <c r="AM17" i="7" a="1"/>
  <c r="AM17" i="7" s="1"/>
  <c r="AL17" i="7" a="1"/>
  <c r="AL17" i="7" s="1"/>
  <c r="AK17" i="7"/>
  <c r="AK17" i="7" a="1"/>
  <c r="AJ17" i="7"/>
  <c r="AJ17" i="7" a="1"/>
  <c r="AI17" i="7"/>
  <c r="AI17" i="7" a="1"/>
  <c r="AH17" i="7" a="1"/>
  <c r="AH17" i="7" s="1"/>
  <c r="AG17" i="7" a="1"/>
  <c r="AG17" i="7" s="1"/>
  <c r="AF17" i="7" a="1"/>
  <c r="AF17" i="7" s="1"/>
  <c r="AE17" i="7"/>
  <c r="AE17" i="7" a="1"/>
  <c r="AD17" i="7"/>
  <c r="AD17" i="7" a="1"/>
  <c r="AC17" i="7"/>
  <c r="AC17" i="7" a="1"/>
  <c r="AB17" i="7"/>
  <c r="AB17" i="7" a="1"/>
  <c r="AA17" i="7" a="1"/>
  <c r="AA17" i="7" s="1"/>
  <c r="Z17" i="7" a="1"/>
  <c r="Z17" i="7" s="1"/>
  <c r="Y17" i="7" a="1"/>
  <c r="Y17" i="7" s="1"/>
  <c r="X17" i="7" a="1"/>
  <c r="X17" i="7" s="1"/>
  <c r="W17" i="7" a="1"/>
  <c r="W17" i="7" s="1"/>
  <c r="V17" i="7" a="1"/>
  <c r="V17" i="7" s="1"/>
  <c r="U17" i="7" a="1"/>
  <c r="U17" i="7" s="1"/>
  <c r="T17" i="7"/>
  <c r="T17" i="7" a="1"/>
  <c r="S17" i="7" a="1"/>
  <c r="S17" i="7" s="1"/>
  <c r="R17" i="7"/>
  <c r="R17" i="7" a="1"/>
  <c r="Q17" i="7" a="1"/>
  <c r="Q17" i="7" s="1"/>
  <c r="P17" i="7" a="1"/>
  <c r="P17" i="7" s="1"/>
  <c r="O17" i="7" a="1"/>
  <c r="O17" i="7" s="1"/>
  <c r="N17" i="7" a="1"/>
  <c r="N17" i="7" s="1"/>
  <c r="M17" i="7"/>
  <c r="M17" i="7" a="1"/>
  <c r="L17" i="7"/>
  <c r="L17" i="7" a="1"/>
  <c r="K17" i="7"/>
  <c r="K17" i="7" a="1"/>
  <c r="J17" i="7" a="1"/>
  <c r="J17" i="7" s="1"/>
  <c r="I17" i="7" a="1"/>
  <c r="I17" i="7" s="1"/>
  <c r="H17" i="7" a="1"/>
  <c r="H17" i="7" s="1"/>
  <c r="G17" i="7" a="1"/>
  <c r="G17" i="7" s="1"/>
  <c r="F17" i="7" a="1"/>
  <c r="F17" i="7" s="1"/>
  <c r="E17" i="7"/>
  <c r="E17" i="7" a="1"/>
  <c r="D17" i="7" a="1"/>
  <c r="D17" i="7" s="1"/>
  <c r="C17" i="7"/>
  <c r="C17" i="7" a="1"/>
  <c r="EF16" i="7" a="1"/>
  <c r="EF16" i="7" s="1"/>
  <c r="EE16" i="7" a="1"/>
  <c r="EE16" i="7" s="1"/>
  <c r="ED16" i="7" a="1"/>
  <c r="ED16" i="7" s="1"/>
  <c r="EC16" i="7" a="1"/>
  <c r="EC16" i="7" s="1"/>
  <c r="EB16" i="7" a="1"/>
  <c r="EB16" i="7" s="1"/>
  <c r="EA16" i="7" a="1"/>
  <c r="EA16" i="7" s="1"/>
  <c r="DZ16" i="7"/>
  <c r="DZ16" i="7" a="1"/>
  <c r="DY16" i="7"/>
  <c r="DY16" i="7" a="1"/>
  <c r="DX16" i="7"/>
  <c r="DX16" i="7" a="1"/>
  <c r="DW16" i="7" a="1"/>
  <c r="DW16" i="7" s="1"/>
  <c r="DV16" i="7"/>
  <c r="DV16" i="7" a="1"/>
  <c r="DU16" i="7" a="1"/>
  <c r="DU16" i="7" s="1"/>
  <c r="DT16" i="7" a="1"/>
  <c r="DT16" i="7" s="1"/>
  <c r="DS16" i="7" a="1"/>
  <c r="DS16" i="7" s="1"/>
  <c r="DR16" i="7"/>
  <c r="DR16" i="7" a="1"/>
  <c r="DQ16" i="7" a="1"/>
  <c r="DQ16" i="7" s="1"/>
  <c r="DP16" i="7"/>
  <c r="DP16" i="7" a="1"/>
  <c r="DO16" i="7" a="1"/>
  <c r="DO16" i="7" s="1"/>
  <c r="DN16" i="7" a="1"/>
  <c r="DN16" i="7" s="1"/>
  <c r="DM16" i="7" a="1"/>
  <c r="DM16" i="7" s="1"/>
  <c r="DL16" i="7" a="1"/>
  <c r="DL16" i="7" s="1"/>
  <c r="DK16" i="7" a="1"/>
  <c r="DK16" i="7" s="1"/>
  <c r="DJ16" i="7"/>
  <c r="DJ16" i="7" a="1"/>
  <c r="DI16" i="7"/>
  <c r="DI16" i="7" a="1"/>
  <c r="DH16" i="7"/>
  <c r="DH16" i="7" a="1"/>
  <c r="DG16" i="7" a="1"/>
  <c r="DG16" i="7" s="1"/>
  <c r="DF16" i="7" a="1"/>
  <c r="DF16" i="7" s="1"/>
  <c r="DE16" i="7"/>
  <c r="DE16" i="7" a="1"/>
  <c r="DD16" i="7" a="1"/>
  <c r="DD16" i="7" s="1"/>
  <c r="DC16" i="7" a="1"/>
  <c r="DC16" i="7" s="1"/>
  <c r="DB16" i="7" a="1"/>
  <c r="DB16" i="7" s="1"/>
  <c r="DA16" i="7"/>
  <c r="DA16" i="7" a="1"/>
  <c r="CZ16" i="7" a="1"/>
  <c r="CZ16" i="7" s="1"/>
  <c r="CY16" i="7" a="1"/>
  <c r="CY16" i="7" s="1"/>
  <c r="CX16" i="7"/>
  <c r="CX16" i="7" a="1"/>
  <c r="CW16" i="7" a="1"/>
  <c r="CW16" i="7" s="1"/>
  <c r="CV16" i="7" a="1"/>
  <c r="CV16" i="7" s="1"/>
  <c r="CU16" i="7" a="1"/>
  <c r="CU16" i="7" s="1"/>
  <c r="CT16" i="7" a="1"/>
  <c r="CT16" i="7" s="1"/>
  <c r="CS16" i="7" a="1"/>
  <c r="CS16" i="7" s="1"/>
  <c r="CR16" i="7"/>
  <c r="CR16" i="7" a="1"/>
  <c r="CQ16" i="7" a="1"/>
  <c r="CQ16" i="7" s="1"/>
  <c r="CP16" i="7"/>
  <c r="CP16" i="7" a="1"/>
  <c r="CO16" i="7" a="1"/>
  <c r="CO16" i="7" s="1"/>
  <c r="CN16" i="7"/>
  <c r="CN16" i="7" a="1"/>
  <c r="CM16" i="7" a="1"/>
  <c r="CM16" i="7" s="1"/>
  <c r="CL16" i="7" a="1"/>
  <c r="CL16" i="7" s="1"/>
  <c r="CK16" i="7" a="1"/>
  <c r="CK16" i="7" s="1"/>
  <c r="CJ16" i="7"/>
  <c r="CJ16" i="7" a="1"/>
  <c r="CI16" i="7" a="1"/>
  <c r="CI16" i="7" s="1"/>
  <c r="CH16" i="7"/>
  <c r="CH16" i="7" a="1"/>
  <c r="CG16" i="7"/>
  <c r="CG16" i="7" a="1"/>
  <c r="CF16" i="7" a="1"/>
  <c r="CF16" i="7" s="1"/>
  <c r="CE16" i="7" a="1"/>
  <c r="CE16" i="7" s="1"/>
  <c r="CD16" i="7" a="1"/>
  <c r="CD16" i="7" s="1"/>
  <c r="CC16" i="7" a="1"/>
  <c r="CC16" i="7" s="1"/>
  <c r="CB16" i="7"/>
  <c r="CB16" i="7" a="1"/>
  <c r="CA16" i="7" a="1"/>
  <c r="CA16" i="7" s="1"/>
  <c r="BZ16" i="7" a="1"/>
  <c r="BZ16" i="7" s="1"/>
  <c r="BY16" i="7"/>
  <c r="BY16" i="7" a="1"/>
  <c r="BX16" i="7" a="1"/>
  <c r="BX16" i="7" s="1"/>
  <c r="BW16" i="7"/>
  <c r="BW16" i="7" a="1"/>
  <c r="BV16" i="7" a="1"/>
  <c r="BV16" i="7" s="1"/>
  <c r="BU16" i="7" a="1"/>
  <c r="BU16" i="7" s="1"/>
  <c r="BT16" i="7" a="1"/>
  <c r="BT16" i="7" s="1"/>
  <c r="BS16" i="7" a="1"/>
  <c r="BS16" i="7" s="1"/>
  <c r="BR16" i="7"/>
  <c r="BR16" i="7" a="1"/>
  <c r="BQ16" i="7"/>
  <c r="BQ16" i="7" a="1"/>
  <c r="BP16" i="7"/>
  <c r="BP16" i="7" a="1"/>
  <c r="BO16" i="7" a="1"/>
  <c r="BO16" i="7" s="1"/>
  <c r="BN16" i="7" a="1"/>
  <c r="BN16" i="7" s="1"/>
  <c r="BM16" i="7" a="1"/>
  <c r="BM16" i="7" s="1"/>
  <c r="BL16" i="7" a="1"/>
  <c r="BL16" i="7" s="1"/>
  <c r="BK16" i="7" a="1"/>
  <c r="BK16" i="7" s="1"/>
  <c r="BJ16" i="7" a="1"/>
  <c r="BJ16" i="7" s="1"/>
  <c r="BI16" i="7" a="1"/>
  <c r="BI16" i="7" s="1"/>
  <c r="BH16" i="7"/>
  <c r="BH16" i="7" a="1"/>
  <c r="BG16" i="7" a="1"/>
  <c r="BG16" i="7" s="1"/>
  <c r="BF16" i="7"/>
  <c r="BF16" i="7" a="1"/>
  <c r="BE16" i="7" a="1"/>
  <c r="BE16" i="7" s="1"/>
  <c r="BD16" i="7" a="1"/>
  <c r="BD16" i="7" s="1"/>
  <c r="BC16" i="7" a="1"/>
  <c r="BC16" i="7" s="1"/>
  <c r="BB16" i="7" a="1"/>
  <c r="BB16" i="7" s="1"/>
  <c r="BA16" i="7"/>
  <c r="BA16" i="7" a="1"/>
  <c r="AZ16" i="7"/>
  <c r="AZ16" i="7" a="1"/>
  <c r="AY16" i="7"/>
  <c r="AY16" i="7" a="1"/>
  <c r="AX16" i="7" a="1"/>
  <c r="AX16" i="7" s="1"/>
  <c r="AW16" i="7" a="1"/>
  <c r="AW16" i="7" s="1"/>
  <c r="AV16" i="7" a="1"/>
  <c r="AV16" i="7" s="1"/>
  <c r="AU16" i="7" a="1"/>
  <c r="AU16" i="7" s="1"/>
  <c r="AT16" i="7"/>
  <c r="AT16" i="7" a="1"/>
  <c r="AS16" i="7" a="1"/>
  <c r="AS16" i="7" s="1"/>
  <c r="AR16" i="7" a="1"/>
  <c r="AR16" i="7" s="1"/>
  <c r="AQ16" i="7"/>
  <c r="AQ16" i="7" a="1"/>
  <c r="AP16" i="7" a="1"/>
  <c r="AP16" i="7" s="1"/>
  <c r="AO16" i="7"/>
  <c r="AO16" i="7" a="1"/>
  <c r="AN16" i="7" a="1"/>
  <c r="AN16" i="7" s="1"/>
  <c r="AM16" i="7" a="1"/>
  <c r="AM16" i="7" s="1"/>
  <c r="AL16" i="7" a="1"/>
  <c r="AL16" i="7" s="1"/>
  <c r="AK16" i="7"/>
  <c r="AK16" i="7" a="1"/>
  <c r="AJ16" i="7"/>
  <c r="AJ16" i="7" a="1"/>
  <c r="AI16" i="7"/>
  <c r="AI16" i="7" a="1"/>
  <c r="AH16" i="7"/>
  <c r="AH16" i="7" a="1"/>
  <c r="AG16" i="7" a="1"/>
  <c r="AG16" i="7" s="1"/>
  <c r="AF16" i="7" a="1"/>
  <c r="AF16" i="7" s="1"/>
  <c r="AE16" i="7" a="1"/>
  <c r="AE16" i="7" s="1"/>
  <c r="AD16" i="7" a="1"/>
  <c r="AD16" i="7" s="1"/>
  <c r="AC16" i="7" a="1"/>
  <c r="AC16" i="7" s="1"/>
  <c r="AB16" i="7" a="1"/>
  <c r="AB16" i="7" s="1"/>
  <c r="AA16" i="7" a="1"/>
  <c r="AA16" i="7" s="1"/>
  <c r="Z16" i="7"/>
  <c r="Z16" i="7" a="1"/>
  <c r="Y16" i="7" a="1"/>
  <c r="Y16" i="7" s="1"/>
  <c r="X16" i="7"/>
  <c r="X16" i="7" a="1"/>
  <c r="W16" i="7" a="1"/>
  <c r="W16" i="7" s="1"/>
  <c r="V16" i="7" a="1"/>
  <c r="V16" i="7" s="1"/>
  <c r="U16" i="7" a="1"/>
  <c r="U16" i="7" s="1"/>
  <c r="T16" i="7" a="1"/>
  <c r="T16" i="7" s="1"/>
  <c r="S16" i="7"/>
  <c r="S16" i="7" a="1"/>
  <c r="R16" i="7"/>
  <c r="R16" i="7" a="1"/>
  <c r="Q16" i="7"/>
  <c r="Q16" i="7" a="1"/>
  <c r="P16" i="7" a="1"/>
  <c r="P16" i="7" s="1"/>
  <c r="O16" i="7" a="1"/>
  <c r="O16" i="7" s="1"/>
  <c r="N16" i="7" a="1"/>
  <c r="N16" i="7" s="1"/>
  <c r="M16" i="7" a="1"/>
  <c r="M16" i="7" s="1"/>
  <c r="L16" i="7" a="1"/>
  <c r="L16" i="7" s="1"/>
  <c r="K16" i="7" a="1"/>
  <c r="K16" i="7" s="1"/>
  <c r="J16" i="7" a="1"/>
  <c r="J16" i="7" s="1"/>
  <c r="I16" i="7"/>
  <c r="I16" i="7" a="1"/>
  <c r="H16" i="7" a="1"/>
  <c r="H16" i="7" s="1"/>
  <c r="G16" i="7" a="1"/>
  <c r="G16" i="7" s="1"/>
  <c r="F16" i="7" a="1"/>
  <c r="F16" i="7" s="1"/>
  <c r="E16" i="7" a="1"/>
  <c r="E16" i="7" s="1"/>
  <c r="D16" i="7" a="1"/>
  <c r="D16" i="7" s="1"/>
  <c r="C16" i="7" a="1"/>
  <c r="C16" i="7" s="1"/>
  <c r="EF15" i="7"/>
  <c r="EF15" i="7" a="1"/>
  <c r="EE15" i="7"/>
  <c r="EE15" i="7" a="1"/>
  <c r="ED15" i="7"/>
  <c r="ED15" i="7" a="1"/>
  <c r="EC15" i="7" a="1"/>
  <c r="EC15" i="7" s="1"/>
  <c r="EB15" i="7"/>
  <c r="EB15" i="7" a="1"/>
  <c r="EA15" i="7" a="1"/>
  <c r="EA15" i="7" s="1"/>
  <c r="DZ15" i="7" a="1"/>
  <c r="DZ15" i="7" s="1"/>
  <c r="DY15" i="7" a="1"/>
  <c r="DY15" i="7" s="1"/>
  <c r="DX15" i="7" a="1"/>
  <c r="DX15" i="7" s="1"/>
  <c r="DW15" i="7" a="1"/>
  <c r="DW15" i="7" s="1"/>
  <c r="DV15" i="7"/>
  <c r="DV15" i="7" a="1"/>
  <c r="DU15" i="7" a="1"/>
  <c r="DU15" i="7" s="1"/>
  <c r="DT15" i="7" a="1"/>
  <c r="DT15" i="7" s="1"/>
  <c r="DS15" i="7" a="1"/>
  <c r="DS15" i="7" s="1"/>
  <c r="DR15" i="7" a="1"/>
  <c r="DR15" i="7" s="1"/>
  <c r="DQ15" i="7" a="1"/>
  <c r="DQ15" i="7" s="1"/>
  <c r="DP15" i="7" a="1"/>
  <c r="DP15" i="7" s="1"/>
  <c r="DO15" i="7"/>
  <c r="DO15" i="7" a="1"/>
  <c r="DN15" i="7"/>
  <c r="DN15" i="7" a="1"/>
  <c r="DM15" i="7"/>
  <c r="DM15" i="7" a="1"/>
  <c r="DL15" i="7" a="1"/>
  <c r="DL15" i="7" s="1"/>
  <c r="DK15" i="7" a="1"/>
  <c r="DK15" i="7" s="1"/>
  <c r="DJ15" i="7" a="1"/>
  <c r="DJ15" i="7" s="1"/>
  <c r="DI15" i="7" a="1"/>
  <c r="DI15" i="7" s="1"/>
  <c r="DH15" i="7" a="1"/>
  <c r="DH15" i="7" s="1"/>
  <c r="DG15" i="7"/>
  <c r="DG15" i="7" a="1"/>
  <c r="DF15" i="7"/>
  <c r="DF15" i="7" a="1"/>
  <c r="DE15" i="7"/>
  <c r="DE15" i="7" a="1"/>
  <c r="DD15" i="7" a="1"/>
  <c r="DD15" i="7" s="1"/>
  <c r="DC15" i="7" a="1"/>
  <c r="DC15" i="7" s="1"/>
  <c r="DB15" i="7" a="1"/>
  <c r="DB15" i="7" s="1"/>
  <c r="DA15" i="7" a="1"/>
  <c r="DA15" i="7" s="1"/>
  <c r="CZ15" i="7"/>
  <c r="CZ15" i="7" a="1"/>
  <c r="CY15" i="7"/>
  <c r="CY15" i="7" a="1"/>
  <c r="CX15" i="7"/>
  <c r="CX15" i="7" a="1"/>
  <c r="CW15" i="7"/>
  <c r="CW15" i="7" a="1"/>
  <c r="CV15" i="7" a="1"/>
  <c r="CV15" i="7" s="1"/>
  <c r="CU15" i="7" a="1"/>
  <c r="CU15" i="7" s="1"/>
  <c r="CT15" i="7" a="1"/>
  <c r="CT15" i="7" s="1"/>
  <c r="CS15" i="7" a="1"/>
  <c r="CS15" i="7" s="1"/>
  <c r="CR15" i="7" a="1"/>
  <c r="CR15" i="7" s="1"/>
  <c r="CQ15" i="7"/>
  <c r="CQ15" i="7" a="1"/>
  <c r="CP15" i="7"/>
  <c r="CP15" i="7" a="1"/>
  <c r="CO15" i="7"/>
  <c r="CO15" i="7" a="1"/>
  <c r="CN15" i="7" a="1"/>
  <c r="CN15" i="7" s="1"/>
  <c r="CM15" i="7" a="1"/>
  <c r="CM15" i="7" s="1"/>
  <c r="CL15" i="7" a="1"/>
  <c r="CL15" i="7" s="1"/>
  <c r="CK15" i="7" a="1"/>
  <c r="CK15" i="7" s="1"/>
  <c r="CJ15" i="7" a="1"/>
  <c r="CJ15" i="7" s="1"/>
  <c r="CI15" i="7"/>
  <c r="CI15" i="7" a="1"/>
  <c r="CH15" i="7"/>
  <c r="CH15" i="7" a="1"/>
  <c r="CG15" i="7" a="1"/>
  <c r="CG15" i="7" s="1"/>
  <c r="CF15" i="7" a="1"/>
  <c r="CF15" i="7" s="1"/>
  <c r="CE15" i="7" a="1"/>
  <c r="CE15" i="7" s="1"/>
  <c r="CD15" i="7" a="1"/>
  <c r="CD15" i="7" s="1"/>
  <c r="CC15" i="7" a="1"/>
  <c r="CC15" i="7" s="1"/>
  <c r="CB15" i="7" a="1"/>
  <c r="CB15" i="7" s="1"/>
  <c r="CA15" i="7"/>
  <c r="CA15" i="7" a="1"/>
  <c r="BZ15" i="7"/>
  <c r="BZ15" i="7" a="1"/>
  <c r="BY15" i="7" a="1"/>
  <c r="BY15" i="7" s="1"/>
  <c r="BX15" i="7" a="1"/>
  <c r="BX15" i="7" s="1"/>
  <c r="BW15" i="7" a="1"/>
  <c r="BW15" i="7" s="1"/>
  <c r="BV15" i="7" a="1"/>
  <c r="BV15" i="7" s="1"/>
  <c r="BU15" i="7" a="1"/>
  <c r="BU15" i="7" s="1"/>
  <c r="BT15" i="7" a="1"/>
  <c r="BT15" i="7" s="1"/>
  <c r="BS15" i="7"/>
  <c r="BS15" i="7" a="1"/>
  <c r="BR15" i="7"/>
  <c r="BR15" i="7" a="1"/>
  <c r="BQ15" i="7" a="1"/>
  <c r="BQ15" i="7" s="1"/>
  <c r="BP15" i="7" a="1"/>
  <c r="BP15" i="7" s="1"/>
  <c r="BO15" i="7" a="1"/>
  <c r="BO15" i="7" s="1"/>
  <c r="BN15" i="7" a="1"/>
  <c r="BN15" i="7" s="1"/>
  <c r="BM15" i="7" a="1"/>
  <c r="BM15" i="7" s="1"/>
  <c r="BL15" i="7" a="1"/>
  <c r="BL15" i="7" s="1"/>
  <c r="BK15" i="7"/>
  <c r="BK15" i="7" a="1"/>
  <c r="BJ15" i="7"/>
  <c r="BJ15" i="7" a="1"/>
  <c r="BI15" i="7" a="1"/>
  <c r="BI15" i="7" s="1"/>
  <c r="BH15" i="7" a="1"/>
  <c r="BH15" i="7" s="1"/>
  <c r="BG15" i="7" a="1"/>
  <c r="BG15" i="7" s="1"/>
  <c r="BF15" i="7" a="1"/>
  <c r="BF15" i="7" s="1"/>
  <c r="BE15" i="7" a="1"/>
  <c r="BE15" i="7" s="1"/>
  <c r="BD15" i="7" a="1"/>
  <c r="BD15" i="7" s="1"/>
  <c r="BC15" i="7"/>
  <c r="BC15" i="7" a="1"/>
  <c r="BB15" i="7"/>
  <c r="BB15" i="7" a="1"/>
  <c r="BA15" i="7" a="1"/>
  <c r="BA15" i="7" s="1"/>
  <c r="AZ15" i="7" a="1"/>
  <c r="AZ15" i="7" s="1"/>
  <c r="AY15" i="7" a="1"/>
  <c r="AY15" i="7" s="1"/>
  <c r="AX15" i="7" a="1"/>
  <c r="AX15" i="7" s="1"/>
  <c r="AW15" i="7" a="1"/>
  <c r="AW15" i="7" s="1"/>
  <c r="AV15" i="7" a="1"/>
  <c r="AV15" i="7" s="1"/>
  <c r="AU15" i="7"/>
  <c r="AU15" i="7" a="1"/>
  <c r="AT15" i="7"/>
  <c r="AT15" i="7" a="1"/>
  <c r="AS15" i="7" a="1"/>
  <c r="AS15" i="7" s="1"/>
  <c r="AR15" i="7" a="1"/>
  <c r="AR15" i="7" s="1"/>
  <c r="AQ15" i="7" a="1"/>
  <c r="AQ15" i="7" s="1"/>
  <c r="AP15" i="7" a="1"/>
  <c r="AP15" i="7" s="1"/>
  <c r="AO15" i="7" a="1"/>
  <c r="AO15" i="7" s="1"/>
  <c r="AN15" i="7" a="1"/>
  <c r="AN15" i="7" s="1"/>
  <c r="AM15" i="7"/>
  <c r="AM15" i="7" a="1"/>
  <c r="AL15" i="7"/>
  <c r="AL15" i="7" a="1"/>
  <c r="AK15" i="7" a="1"/>
  <c r="AK15" i="7" s="1"/>
  <c r="AJ15" i="7" a="1"/>
  <c r="AJ15" i="7" s="1"/>
  <c r="AI15" i="7" a="1"/>
  <c r="AI15" i="7" s="1"/>
  <c r="AH15" i="7" a="1"/>
  <c r="AH15" i="7" s="1"/>
  <c r="AG15" i="7" a="1"/>
  <c r="AG15" i="7" s="1"/>
  <c r="AF15" i="7" a="1"/>
  <c r="AF15" i="7" s="1"/>
  <c r="AE15" i="7"/>
  <c r="AE15" i="7" a="1"/>
  <c r="AD15" i="7"/>
  <c r="AD15" i="7" a="1"/>
  <c r="AC15" i="7" a="1"/>
  <c r="AC15" i="7" s="1"/>
  <c r="AB15" i="7" a="1"/>
  <c r="AB15" i="7" s="1"/>
  <c r="AA15" i="7" a="1"/>
  <c r="AA15" i="7" s="1"/>
  <c r="Z15" i="7" a="1"/>
  <c r="Z15" i="7" s="1"/>
  <c r="Y15" i="7" a="1"/>
  <c r="Y15" i="7" s="1"/>
  <c r="X15" i="7"/>
  <c r="X15" i="7" a="1"/>
  <c r="W15" i="7"/>
  <c r="W15" i="7" a="1"/>
  <c r="V15" i="7"/>
  <c r="V15" i="7" a="1"/>
  <c r="U15" i="7" a="1"/>
  <c r="U15" i="7" s="1"/>
  <c r="T15" i="7" a="1"/>
  <c r="T15" i="7" s="1"/>
  <c r="S15" i="7" a="1"/>
  <c r="S15" i="7" s="1"/>
  <c r="R15" i="7" a="1"/>
  <c r="R15" i="7" s="1"/>
  <c r="Q15" i="7" a="1"/>
  <c r="Q15" i="7" s="1"/>
  <c r="P15" i="7" a="1"/>
  <c r="P15" i="7" s="1"/>
  <c r="O15" i="7"/>
  <c r="O15" i="7" a="1"/>
  <c r="N15" i="7"/>
  <c r="N15" i="7" a="1"/>
  <c r="M15" i="7" a="1"/>
  <c r="M15" i="7" s="1"/>
  <c r="L15" i="7" a="1"/>
  <c r="L15" i="7" s="1"/>
  <c r="K15" i="7" a="1"/>
  <c r="K15" i="7" s="1"/>
  <c r="J15" i="7" a="1"/>
  <c r="J15" i="7" s="1"/>
  <c r="I15" i="7" a="1"/>
  <c r="I15" i="7" s="1"/>
  <c r="H15" i="7"/>
  <c r="H15" i="7" a="1"/>
  <c r="G15" i="7"/>
  <c r="G15" i="7" a="1"/>
  <c r="F15" i="7"/>
  <c r="F15" i="7" a="1"/>
  <c r="E15" i="7" a="1"/>
  <c r="E15" i="7" s="1"/>
  <c r="D15" i="7" a="1"/>
  <c r="D15" i="7" s="1"/>
  <c r="C15" i="7" a="1"/>
  <c r="C15" i="7" s="1"/>
  <c r="EF14" i="7" a="1"/>
  <c r="EF14" i="7" s="1"/>
  <c r="EE14" i="7" a="1"/>
  <c r="EE14" i="7" s="1"/>
  <c r="ED14" i="7"/>
  <c r="ED14" i="7" a="1"/>
  <c r="EC14" i="7"/>
  <c r="EC14" i="7" a="1"/>
  <c r="EB14" i="7"/>
  <c r="EB14" i="7" a="1"/>
  <c r="EA14" i="7" a="1"/>
  <c r="EA14" i="7" s="1"/>
  <c r="DZ14" i="7" a="1"/>
  <c r="DZ14" i="7" s="1"/>
  <c r="DY14" i="7" a="1"/>
  <c r="DY14" i="7" s="1"/>
  <c r="DX14" i="7" a="1"/>
  <c r="DX14" i="7" s="1"/>
  <c r="DW14" i="7" a="1"/>
  <c r="DW14" i="7" s="1"/>
  <c r="DV14" i="7" a="1"/>
  <c r="DV14" i="7" s="1"/>
  <c r="DU14" i="7"/>
  <c r="DU14" i="7" a="1"/>
  <c r="DT14" i="7"/>
  <c r="DT14" i="7" a="1"/>
  <c r="DS14" i="7" a="1"/>
  <c r="DS14" i="7" s="1"/>
  <c r="DR14" i="7" a="1"/>
  <c r="DR14" i="7" s="1"/>
  <c r="DQ14" i="7" a="1"/>
  <c r="DQ14" i="7" s="1"/>
  <c r="DP14" i="7" a="1"/>
  <c r="DP14" i="7" s="1"/>
  <c r="DO14" i="7" a="1"/>
  <c r="DO14" i="7" s="1"/>
  <c r="DN14" i="7" a="1"/>
  <c r="DN14" i="7" s="1"/>
  <c r="DM14" i="7"/>
  <c r="DM14" i="7" a="1"/>
  <c r="DL14" i="7"/>
  <c r="DL14" i="7" a="1"/>
  <c r="DK14" i="7" a="1"/>
  <c r="DK14" i="7" s="1"/>
  <c r="DJ14" i="7" a="1"/>
  <c r="DJ14" i="7" s="1"/>
  <c r="DI14" i="7" a="1"/>
  <c r="DI14" i="7" s="1"/>
  <c r="DH14" i="7" a="1"/>
  <c r="DH14" i="7" s="1"/>
  <c r="DG14" i="7" a="1"/>
  <c r="DG14" i="7" s="1"/>
  <c r="DF14" i="7" a="1"/>
  <c r="DF14" i="7" s="1"/>
  <c r="DE14" i="7"/>
  <c r="DE14" i="7" a="1"/>
  <c r="DD14" i="7"/>
  <c r="DD14" i="7" a="1"/>
  <c r="DC14" i="7" a="1"/>
  <c r="DC14" i="7" s="1"/>
  <c r="DB14" i="7" a="1"/>
  <c r="DB14" i="7" s="1"/>
  <c r="DA14" i="7" a="1"/>
  <c r="DA14" i="7" s="1"/>
  <c r="CZ14" i="7" a="1"/>
  <c r="CZ14" i="7" s="1"/>
  <c r="CY14" i="7" a="1"/>
  <c r="CY14" i="7" s="1"/>
  <c r="CX14" i="7"/>
  <c r="CX14" i="7" a="1"/>
  <c r="CW14" i="7"/>
  <c r="CW14" i="7" a="1"/>
  <c r="CV14" i="7"/>
  <c r="CV14" i="7" a="1"/>
  <c r="CU14" i="7" a="1"/>
  <c r="CU14" i="7" s="1"/>
  <c r="CT14" i="7" a="1"/>
  <c r="CT14" i="7" s="1"/>
  <c r="CS14" i="7" a="1"/>
  <c r="CS14" i="7" s="1"/>
  <c r="CR14" i="7" a="1"/>
  <c r="CR14" i="7" s="1"/>
  <c r="CQ14" i="7" a="1"/>
  <c r="CQ14" i="7" s="1"/>
  <c r="CP14" i="7" a="1"/>
  <c r="CP14" i="7" s="1"/>
  <c r="CO14" i="7"/>
  <c r="CO14" i="7" a="1"/>
  <c r="CN14" i="7"/>
  <c r="CN14" i="7" a="1"/>
  <c r="CM14" i="7" a="1"/>
  <c r="CM14" i="7" s="1"/>
  <c r="CL14" i="7" a="1"/>
  <c r="CL14" i="7" s="1"/>
  <c r="CK14" i="7" a="1"/>
  <c r="CK14" i="7" s="1"/>
  <c r="CJ14" i="7" a="1"/>
  <c r="CJ14" i="7" s="1"/>
  <c r="CI14" i="7" a="1"/>
  <c r="CI14" i="7" s="1"/>
  <c r="CH14" i="7" a="1"/>
  <c r="CH14" i="7" s="1"/>
  <c r="CG14" i="7"/>
  <c r="CG14" i="7" a="1"/>
  <c r="CF14" i="7"/>
  <c r="CF14" i="7" a="1"/>
  <c r="CE14" i="7" a="1"/>
  <c r="CE14" i="7" s="1"/>
  <c r="CD14" i="7" a="1"/>
  <c r="CD14" i="7" s="1"/>
  <c r="CC14" i="7" a="1"/>
  <c r="CC14" i="7" s="1"/>
  <c r="CB14" i="7" a="1"/>
  <c r="CB14" i="7" s="1"/>
  <c r="CA14" i="7" a="1"/>
  <c r="CA14" i="7" s="1"/>
  <c r="BZ14" i="7" a="1"/>
  <c r="BZ14" i="7" s="1"/>
  <c r="BY14" i="7"/>
  <c r="BY14" i="7" a="1"/>
  <c r="BX14" i="7"/>
  <c r="BX14" i="7" a="1"/>
  <c r="BW14" i="7" a="1"/>
  <c r="BW14" i="7" s="1"/>
  <c r="BV14" i="7" a="1"/>
  <c r="BV14" i="7" s="1"/>
  <c r="BU14" i="7" a="1"/>
  <c r="BU14" i="7" s="1"/>
  <c r="BT14" i="7" a="1"/>
  <c r="BT14" i="7" s="1"/>
  <c r="BS14" i="7" a="1"/>
  <c r="BS14" i="7" s="1"/>
  <c r="BR14" i="7" a="1"/>
  <c r="BR14" i="7" s="1"/>
  <c r="BQ14" i="7"/>
  <c r="BQ14" i="7" a="1"/>
  <c r="BP14" i="7"/>
  <c r="BP14" i="7" a="1"/>
  <c r="BO14" i="7" a="1"/>
  <c r="BO14" i="7" s="1"/>
  <c r="BN14" i="7" a="1"/>
  <c r="BN14" i="7" s="1"/>
  <c r="BM14" i="7" a="1"/>
  <c r="BM14" i="7" s="1"/>
  <c r="BL14" i="7" a="1"/>
  <c r="BL14" i="7" s="1"/>
  <c r="BK14" i="7" a="1"/>
  <c r="BK14" i="7" s="1"/>
  <c r="BJ14" i="7" a="1"/>
  <c r="BJ14" i="7" s="1"/>
  <c r="BI14" i="7"/>
  <c r="BI14" i="7" a="1"/>
  <c r="BH14" i="7"/>
  <c r="BH14" i="7" a="1"/>
  <c r="BG14" i="7" a="1"/>
  <c r="BG14" i="7" s="1"/>
  <c r="BF14" i="7" a="1"/>
  <c r="BF14" i="7" s="1"/>
  <c r="BE14" i="7" a="1"/>
  <c r="BE14" i="7" s="1"/>
  <c r="BD14" i="7" a="1"/>
  <c r="BD14" i="7" s="1"/>
  <c r="BC14" i="7" a="1"/>
  <c r="BC14" i="7" s="1"/>
  <c r="BB14" i="7" a="1"/>
  <c r="BB14" i="7" s="1"/>
  <c r="BA14" i="7"/>
  <c r="BA14" i="7" a="1"/>
  <c r="AZ14" i="7"/>
  <c r="AZ14" i="7" a="1"/>
  <c r="AY14" i="7" a="1"/>
  <c r="AY14" i="7" s="1"/>
  <c r="AX14" i="7" a="1"/>
  <c r="AX14" i="7" s="1"/>
  <c r="AW14" i="7" a="1"/>
  <c r="AW14" i="7" s="1"/>
  <c r="AV14" i="7" a="1"/>
  <c r="AV14" i="7" s="1"/>
  <c r="AU14" i="7" a="1"/>
  <c r="AU14" i="7" s="1"/>
  <c r="AT14" i="7" a="1"/>
  <c r="AT14" i="7" s="1"/>
  <c r="AS14" i="7"/>
  <c r="AS14" i="7" a="1"/>
  <c r="AR14" i="7" a="1"/>
  <c r="AR14" i="7" s="1"/>
  <c r="AQ14" i="7" a="1"/>
  <c r="AQ14" i="7" s="1"/>
  <c r="AP14" i="7" a="1"/>
  <c r="AP14" i="7" s="1"/>
  <c r="AO14" i="7" a="1"/>
  <c r="AO14" i="7" s="1"/>
  <c r="AN14" i="7" a="1"/>
  <c r="AN14" i="7" s="1"/>
  <c r="AM14" i="7" a="1"/>
  <c r="AM14" i="7" s="1"/>
  <c r="AL14" i="7" a="1"/>
  <c r="AL14" i="7" s="1"/>
  <c r="AK14" i="7"/>
  <c r="AK14" i="7" a="1"/>
  <c r="AJ14" i="7" a="1"/>
  <c r="AJ14" i="7" s="1"/>
  <c r="AI14" i="7" a="1"/>
  <c r="AI14" i="7" s="1"/>
  <c r="AH14" i="7" a="1"/>
  <c r="AH14" i="7" s="1"/>
  <c r="AG14" i="7" a="1"/>
  <c r="AG14" i="7" s="1"/>
  <c r="AF14" i="7" a="1"/>
  <c r="AF14" i="7" s="1"/>
  <c r="AE14" i="7" a="1"/>
  <c r="AE14" i="7" s="1"/>
  <c r="AD14" i="7" a="1"/>
  <c r="AD14" i="7" s="1"/>
  <c r="AC14" i="7"/>
  <c r="AC14" i="7" a="1"/>
  <c r="AB14" i="7" a="1"/>
  <c r="AB14" i="7" s="1"/>
  <c r="AA14" i="7" a="1"/>
  <c r="AA14" i="7" s="1"/>
  <c r="Z14" i="7" a="1"/>
  <c r="Z14" i="7" s="1"/>
  <c r="Y14" i="7" a="1"/>
  <c r="Y14" i="7" s="1"/>
  <c r="X14" i="7" a="1"/>
  <c r="X14" i="7" s="1"/>
  <c r="W14" i="7" a="1"/>
  <c r="W14" i="7" s="1"/>
  <c r="V14" i="7" a="1"/>
  <c r="V14" i="7" s="1"/>
  <c r="U14" i="7"/>
  <c r="U14" i="7" a="1"/>
  <c r="T14" i="7" a="1"/>
  <c r="T14" i="7" s="1"/>
  <c r="S14" i="7" a="1"/>
  <c r="S14" i="7" s="1"/>
  <c r="R14" i="7" a="1"/>
  <c r="R14" i="7" s="1"/>
  <c r="Q14" i="7" a="1"/>
  <c r="Q14" i="7" s="1"/>
  <c r="P14" i="7" a="1"/>
  <c r="P14" i="7" s="1"/>
  <c r="O14" i="7" a="1"/>
  <c r="O14" i="7" s="1"/>
  <c r="N14" i="7" a="1"/>
  <c r="N14" i="7" s="1"/>
  <c r="M14" i="7"/>
  <c r="M14" i="7" a="1"/>
  <c r="L14" i="7" a="1"/>
  <c r="L14" i="7" s="1"/>
  <c r="K14" i="7" a="1"/>
  <c r="K14" i="7" s="1"/>
  <c r="J14" i="7" a="1"/>
  <c r="J14" i="7" s="1"/>
  <c r="I14" i="7" a="1"/>
  <c r="I14" i="7" s="1"/>
  <c r="H14" i="7" a="1"/>
  <c r="H14" i="7" s="1"/>
  <c r="G14" i="7" a="1"/>
  <c r="G14" i="7" s="1"/>
  <c r="F14" i="7" a="1"/>
  <c r="F14" i="7" s="1"/>
  <c r="E14" i="7"/>
  <c r="E14" i="7" a="1"/>
  <c r="D14" i="7" a="1"/>
  <c r="D14" i="7" s="1"/>
  <c r="C14" i="7" a="1"/>
  <c r="C14" i="7" s="1"/>
  <c r="EF13" i="7" a="1"/>
  <c r="EF13" i="7" s="1"/>
  <c r="EE13" i="7" a="1"/>
  <c r="EE13" i="7" s="1"/>
  <c r="ED13" i="7" a="1"/>
  <c r="ED13" i="7" s="1"/>
  <c r="EC13" i="7" a="1"/>
  <c r="EC13" i="7" s="1"/>
  <c r="EB13" i="7"/>
  <c r="EB13" i="7" a="1"/>
  <c r="EA13" i="7"/>
  <c r="EA13" i="7" a="1"/>
  <c r="DZ13" i="7" a="1"/>
  <c r="DZ13" i="7" s="1"/>
  <c r="DY13" i="7" a="1"/>
  <c r="DY13" i="7" s="1"/>
  <c r="DX13" i="7" a="1"/>
  <c r="DX13" i="7" s="1"/>
  <c r="DW13" i="7" a="1"/>
  <c r="DW13" i="7" s="1"/>
  <c r="DV13" i="7" a="1"/>
  <c r="DV13" i="7" s="1"/>
  <c r="DU13" i="7" a="1"/>
  <c r="DU13" i="7" s="1"/>
  <c r="DT13" i="7"/>
  <c r="DT13" i="7" a="1"/>
  <c r="DS13" i="7"/>
  <c r="DS13" i="7" a="1"/>
  <c r="DR13" i="7" a="1"/>
  <c r="DR13" i="7" s="1"/>
  <c r="DQ13" i="7" a="1"/>
  <c r="DQ13" i="7" s="1"/>
  <c r="DP13" i="7" a="1"/>
  <c r="DP13" i="7" s="1"/>
  <c r="DO13" i="7" a="1"/>
  <c r="DO13" i="7" s="1"/>
  <c r="DN13" i="7" a="1"/>
  <c r="DN13" i="7" s="1"/>
  <c r="DM13" i="7" a="1"/>
  <c r="DM13" i="7" s="1"/>
  <c r="DL13" i="7" a="1"/>
  <c r="DL13" i="7" s="1"/>
  <c r="DK13" i="7"/>
  <c r="DK13" i="7" a="1"/>
  <c r="DJ13" i="7" a="1"/>
  <c r="DJ13" i="7" s="1"/>
  <c r="DI13" i="7" a="1"/>
  <c r="DI13" i="7" s="1"/>
  <c r="DH13" i="7" a="1"/>
  <c r="DH13" i="7" s="1"/>
  <c r="DG13" i="7" a="1"/>
  <c r="DG13" i="7" s="1"/>
  <c r="DF13" i="7" a="1"/>
  <c r="DF13" i="7" s="1"/>
  <c r="DE13" i="7" a="1"/>
  <c r="DE13" i="7" s="1"/>
  <c r="DD13" i="7" a="1"/>
  <c r="DD13" i="7" s="1"/>
  <c r="DC13" i="7"/>
  <c r="DC13" i="7" a="1"/>
  <c r="DB13" i="7" a="1"/>
  <c r="DB13" i="7" s="1"/>
  <c r="DA13" i="7" a="1"/>
  <c r="DA13" i="7" s="1"/>
  <c r="CZ13" i="7" a="1"/>
  <c r="CZ13" i="7" s="1"/>
  <c r="CY13" i="7" a="1"/>
  <c r="CY13" i="7" s="1"/>
  <c r="CX13" i="7" a="1"/>
  <c r="CX13" i="7" s="1"/>
  <c r="CW13" i="7" a="1"/>
  <c r="CW13" i="7" s="1"/>
  <c r="CV13" i="7" a="1"/>
  <c r="CV13" i="7" s="1"/>
  <c r="CU13" i="7"/>
  <c r="CU13" i="7" a="1"/>
  <c r="CT13" i="7" a="1"/>
  <c r="CT13" i="7" s="1"/>
  <c r="CS13" i="7" a="1"/>
  <c r="CS13" i="7" s="1"/>
  <c r="CR13" i="7" a="1"/>
  <c r="CR13" i="7" s="1"/>
  <c r="CQ13" i="7" a="1"/>
  <c r="CQ13" i="7" s="1"/>
  <c r="CP13" i="7" a="1"/>
  <c r="CP13" i="7" s="1"/>
  <c r="CO13" i="7" a="1"/>
  <c r="CO13" i="7" s="1"/>
  <c r="CN13" i="7" a="1"/>
  <c r="CN13" i="7" s="1"/>
  <c r="CM13" i="7"/>
  <c r="CM13" i="7" a="1"/>
  <c r="CL13" i="7" a="1"/>
  <c r="CL13" i="7" s="1"/>
  <c r="CK13" i="7" a="1"/>
  <c r="CK13" i="7" s="1"/>
  <c r="CJ13" i="7" a="1"/>
  <c r="CJ13" i="7" s="1"/>
  <c r="CI13" i="7" a="1"/>
  <c r="CI13" i="7" s="1"/>
  <c r="CH13" i="7" a="1"/>
  <c r="CH13" i="7" s="1"/>
  <c r="CG13" i="7" a="1"/>
  <c r="CG13" i="7" s="1"/>
  <c r="CF13" i="7" a="1"/>
  <c r="CF13" i="7" s="1"/>
  <c r="CE13" i="7"/>
  <c r="CE13" i="7" a="1"/>
  <c r="CD13" i="7" a="1"/>
  <c r="CD13" i="7" s="1"/>
  <c r="CC13" i="7" a="1"/>
  <c r="CC13" i="7" s="1"/>
  <c r="CB13" i="7" a="1"/>
  <c r="CB13" i="7" s="1"/>
  <c r="CA13" i="7" a="1"/>
  <c r="CA13" i="7" s="1"/>
  <c r="BZ13" i="7" a="1"/>
  <c r="BZ13" i="7" s="1"/>
  <c r="BY13" i="7" a="1"/>
  <c r="BY13" i="7" s="1"/>
  <c r="BX13" i="7" a="1"/>
  <c r="BX13" i="7" s="1"/>
  <c r="BW13" i="7"/>
  <c r="BW13" i="7" a="1"/>
  <c r="BV13" i="7" a="1"/>
  <c r="BV13" i="7" s="1"/>
  <c r="BU13" i="7" a="1"/>
  <c r="BU13" i="7" s="1"/>
  <c r="BT13" i="7" a="1"/>
  <c r="BT13" i="7" s="1"/>
  <c r="BS13" i="7" a="1"/>
  <c r="BS13" i="7" s="1"/>
  <c r="BR13" i="7" a="1"/>
  <c r="BR13" i="7" s="1"/>
  <c r="BQ13" i="7" a="1"/>
  <c r="BQ13" i="7" s="1"/>
  <c r="BP13" i="7"/>
  <c r="BP13" i="7" a="1"/>
  <c r="BO13" i="7"/>
  <c r="BO13" i="7" a="1"/>
  <c r="BN13" i="7" a="1"/>
  <c r="BN13" i="7" s="1"/>
  <c r="BM13" i="7" a="1"/>
  <c r="BM13" i="7" s="1"/>
  <c r="BL13" i="7" a="1"/>
  <c r="BL13" i="7" s="1"/>
  <c r="BK13" i="7" a="1"/>
  <c r="BK13" i="7" s="1"/>
  <c r="BJ13" i="7" a="1"/>
  <c r="BJ13" i="7" s="1"/>
  <c r="BI13" i="7" a="1"/>
  <c r="BI13" i="7" s="1"/>
  <c r="BH13" i="7"/>
  <c r="BH13" i="7" a="1"/>
  <c r="BG13" i="7"/>
  <c r="BG13" i="7" a="1"/>
  <c r="BF13" i="7" a="1"/>
  <c r="BF13" i="7" s="1"/>
  <c r="BE13" i="7" a="1"/>
  <c r="BE13" i="7" s="1"/>
  <c r="BD13" i="7" a="1"/>
  <c r="BD13" i="7" s="1"/>
  <c r="BC13" i="7" a="1"/>
  <c r="BC13" i="7" s="1"/>
  <c r="BB13" i="7" a="1"/>
  <c r="BB13" i="7" s="1"/>
  <c r="BA13" i="7" a="1"/>
  <c r="BA13" i="7" s="1"/>
  <c r="AZ13" i="7" a="1"/>
  <c r="AZ13" i="7" s="1"/>
  <c r="AY13" i="7"/>
  <c r="AY13" i="7" a="1"/>
  <c r="AX13" i="7" a="1"/>
  <c r="AX13" i="7" s="1"/>
  <c r="AW13" i="7" a="1"/>
  <c r="AW13" i="7" s="1"/>
  <c r="AV13" i="7" a="1"/>
  <c r="AV13" i="7" s="1"/>
  <c r="AU13" i="7" a="1"/>
  <c r="AU13" i="7" s="1"/>
  <c r="AT13" i="7" a="1"/>
  <c r="AT13" i="7" s="1"/>
  <c r="AS13" i="7" a="1"/>
  <c r="AS13" i="7" s="1"/>
  <c r="AR13" i="7" a="1"/>
  <c r="AR13" i="7" s="1"/>
  <c r="AQ13" i="7"/>
  <c r="AQ13" i="7" a="1"/>
  <c r="AP13" i="7" a="1"/>
  <c r="AP13" i="7" s="1"/>
  <c r="AO13" i="7" a="1"/>
  <c r="AO13" i="7" s="1"/>
  <c r="AN13" i="7" a="1"/>
  <c r="AN13" i="7" s="1"/>
  <c r="AM13" i="7" a="1"/>
  <c r="AM13" i="7" s="1"/>
  <c r="AL13" i="7" a="1"/>
  <c r="AL13" i="7" s="1"/>
  <c r="AK13" i="7"/>
  <c r="AK13" i="7" a="1"/>
  <c r="AJ13" i="7" a="1"/>
  <c r="AJ13" i="7" s="1"/>
  <c r="AI13" i="7"/>
  <c r="AI13" i="7" a="1"/>
  <c r="AH13" i="7" a="1"/>
  <c r="AH13" i="7" s="1"/>
  <c r="AG13" i="7" a="1"/>
  <c r="AG13" i="7" s="1"/>
  <c r="AF13" i="7" a="1"/>
  <c r="AF13" i="7" s="1"/>
  <c r="AE13" i="7" a="1"/>
  <c r="AE13" i="7" s="1"/>
  <c r="AD13" i="7" a="1"/>
  <c r="AD13" i="7" s="1"/>
  <c r="AC13" i="7" a="1"/>
  <c r="AC13" i="7" s="1"/>
  <c r="AB13" i="7" a="1"/>
  <c r="AB13" i="7" s="1"/>
  <c r="AA13" i="7"/>
  <c r="AA13" i="7" a="1"/>
  <c r="Z13" i="7" a="1"/>
  <c r="Z13" i="7" s="1"/>
  <c r="Y13" i="7" a="1"/>
  <c r="Y13" i="7" s="1"/>
  <c r="X13" i="7" a="1"/>
  <c r="X13" i="7" s="1"/>
  <c r="W13" i="7" a="1"/>
  <c r="W13" i="7" s="1"/>
  <c r="V13" i="7" a="1"/>
  <c r="V13" i="7" s="1"/>
  <c r="U13" i="7" a="1"/>
  <c r="U13" i="7" s="1"/>
  <c r="T13" i="7" a="1"/>
  <c r="T13" i="7" s="1"/>
  <c r="S13" i="7"/>
  <c r="S13" i="7" a="1"/>
  <c r="R13" i="7" a="1"/>
  <c r="R13" i="7" s="1"/>
  <c r="Q13" i="7" a="1"/>
  <c r="Q13" i="7" s="1"/>
  <c r="P13" i="7" a="1"/>
  <c r="P13" i="7" s="1"/>
  <c r="O13" i="7" a="1"/>
  <c r="O13" i="7" s="1"/>
  <c r="N13" i="7" a="1"/>
  <c r="N13" i="7" s="1"/>
  <c r="M13" i="7" a="1"/>
  <c r="M13" i="7" s="1"/>
  <c r="L13" i="7" a="1"/>
  <c r="L13" i="7" s="1"/>
  <c r="K13" i="7"/>
  <c r="K13" i="7" a="1"/>
  <c r="J13" i="7" a="1"/>
  <c r="J13" i="7" s="1"/>
  <c r="I13" i="7" a="1"/>
  <c r="I13" i="7" s="1"/>
  <c r="H13" i="7" a="1"/>
  <c r="H13" i="7" s="1"/>
  <c r="G13" i="7" a="1"/>
  <c r="G13" i="7" s="1"/>
  <c r="F13" i="7" a="1"/>
  <c r="F13" i="7" s="1"/>
  <c r="E13" i="7" a="1"/>
  <c r="E13" i="7" s="1"/>
  <c r="D13" i="7" a="1"/>
  <c r="D13" i="7" s="1"/>
  <c r="C13" i="7"/>
  <c r="C13" i="7" a="1"/>
  <c r="EF12" i="7" a="1"/>
  <c r="EF12" i="7" s="1"/>
  <c r="EE12" i="7" a="1"/>
  <c r="EE12" i="7" s="1"/>
  <c r="ED12" i="7" a="1"/>
  <c r="ED12" i="7" s="1"/>
  <c r="EC12" i="7" a="1"/>
  <c r="EC12" i="7" s="1"/>
  <c r="EB12" i="7" a="1"/>
  <c r="EB12" i="7" s="1"/>
  <c r="EA12" i="7" a="1"/>
  <c r="EA12" i="7" s="1"/>
  <c r="DZ12" i="7" a="1"/>
  <c r="DZ12" i="7" s="1"/>
  <c r="DY12" i="7"/>
  <c r="DY12" i="7" a="1"/>
  <c r="DX12" i="7" a="1"/>
  <c r="DX12" i="7" s="1"/>
  <c r="DW12" i="7" a="1"/>
  <c r="DW12" i="7" s="1"/>
  <c r="DV12" i="7" a="1"/>
  <c r="DV12" i="7" s="1"/>
  <c r="DU12" i="7" a="1"/>
  <c r="DU12" i="7" s="1"/>
  <c r="DT12" i="7" a="1"/>
  <c r="DT12" i="7" s="1"/>
  <c r="DS12" i="7" a="1"/>
  <c r="DS12" i="7" s="1"/>
  <c r="DR12" i="7"/>
  <c r="DR12" i="7" a="1"/>
  <c r="DQ12" i="7"/>
  <c r="DQ12" i="7" a="1"/>
  <c r="DP12" i="7" a="1"/>
  <c r="DP12" i="7" s="1"/>
  <c r="DO12" i="7" a="1"/>
  <c r="DO12" i="7" s="1"/>
  <c r="DN12" i="7" a="1"/>
  <c r="DN12" i="7" s="1"/>
  <c r="DM12" i="7" a="1"/>
  <c r="DM12" i="7" s="1"/>
  <c r="DL12" i="7" a="1"/>
  <c r="DL12" i="7" s="1"/>
  <c r="DK12" i="7" a="1"/>
  <c r="DK12" i="7" s="1"/>
  <c r="DJ12" i="7" a="1"/>
  <c r="DJ12" i="7" s="1"/>
  <c r="DI12" i="7"/>
  <c r="DI12" i="7" a="1"/>
  <c r="DH12" i="7" a="1"/>
  <c r="DH12" i="7" s="1"/>
  <c r="DG12" i="7" a="1"/>
  <c r="DG12" i="7" s="1"/>
  <c r="DF12" i="7" a="1"/>
  <c r="DF12" i="7" s="1"/>
  <c r="DE12" i="7" a="1"/>
  <c r="DE12" i="7" s="1"/>
  <c r="DD12" i="7" a="1"/>
  <c r="DD12" i="7" s="1"/>
  <c r="DC12" i="7" a="1"/>
  <c r="DC12" i="7" s="1"/>
  <c r="DB12" i="7"/>
  <c r="DB12" i="7" a="1"/>
  <c r="DA12" i="7"/>
  <c r="DA12" i="7" a="1"/>
  <c r="CZ12" i="7" a="1"/>
  <c r="CZ12" i="7" s="1"/>
  <c r="CY12" i="7" a="1"/>
  <c r="CY12" i="7" s="1"/>
  <c r="CX12" i="7" a="1"/>
  <c r="CX12" i="7" s="1"/>
  <c r="CW12" i="7" a="1"/>
  <c r="CW12" i="7" s="1"/>
  <c r="CV12" i="7" a="1"/>
  <c r="CV12" i="7" s="1"/>
  <c r="CU12" i="7" a="1"/>
  <c r="CU12" i="7" s="1"/>
  <c r="CT12" i="7" a="1"/>
  <c r="CT12" i="7" s="1"/>
  <c r="CS12" i="7"/>
  <c r="CS12" i="7" a="1"/>
  <c r="CR12" i="7" a="1"/>
  <c r="CR12" i="7" s="1"/>
  <c r="CQ12" i="7" a="1"/>
  <c r="CQ12" i="7" s="1"/>
  <c r="CP12" i="7" a="1"/>
  <c r="CP12" i="7" s="1"/>
  <c r="CO12" i="7" a="1"/>
  <c r="CO12" i="7" s="1"/>
  <c r="CN12" i="7" a="1"/>
  <c r="CN12" i="7" s="1"/>
  <c r="CM12" i="7" a="1"/>
  <c r="CM12" i="7" s="1"/>
  <c r="CL12" i="7" a="1"/>
  <c r="CL12" i="7" s="1"/>
  <c r="CK12" i="7"/>
  <c r="CK12" i="7" a="1"/>
  <c r="CJ12" i="7" a="1"/>
  <c r="CJ12" i="7" s="1"/>
  <c r="CI12" i="7" a="1"/>
  <c r="CI12" i="7" s="1"/>
  <c r="CH12" i="7" a="1"/>
  <c r="CH12" i="7" s="1"/>
  <c r="CG12" i="7" a="1"/>
  <c r="CG12" i="7" s="1"/>
  <c r="CF12" i="7" a="1"/>
  <c r="CF12" i="7" s="1"/>
  <c r="CE12" i="7" a="1"/>
  <c r="CE12" i="7" s="1"/>
  <c r="CD12" i="7" a="1"/>
  <c r="CD12" i="7" s="1"/>
  <c r="CC12" i="7"/>
  <c r="CC12" i="7" a="1"/>
  <c r="CB12" i="7" a="1"/>
  <c r="CB12" i="7" s="1"/>
  <c r="CA12" i="7" a="1"/>
  <c r="CA12" i="7" s="1"/>
  <c r="BZ12" i="7" a="1"/>
  <c r="BZ12" i="7" s="1"/>
  <c r="BY12" i="7" a="1"/>
  <c r="BY12" i="7" s="1"/>
  <c r="BX12" i="7" a="1"/>
  <c r="BX12" i="7" s="1"/>
  <c r="BW12" i="7" a="1"/>
  <c r="BW12" i="7" s="1"/>
  <c r="BV12" i="7" a="1"/>
  <c r="BV12" i="7" s="1"/>
  <c r="BU12" i="7"/>
  <c r="BU12" i="7" a="1"/>
  <c r="BT12" i="7" a="1"/>
  <c r="BT12" i="7" s="1"/>
  <c r="BS12" i="7" a="1"/>
  <c r="BS12" i="7" s="1"/>
  <c r="BR12" i="7" a="1"/>
  <c r="BR12" i="7" s="1"/>
  <c r="BQ12" i="7" a="1"/>
  <c r="BQ12" i="7" s="1"/>
  <c r="BP12" i="7" a="1"/>
  <c r="BP12" i="7" s="1"/>
  <c r="BO12" i="7" a="1"/>
  <c r="BO12" i="7" s="1"/>
  <c r="BN12" i="7" a="1"/>
  <c r="BN12" i="7" s="1"/>
  <c r="BM12" i="7"/>
  <c r="BM12" i="7" a="1"/>
  <c r="BL12" i="7" a="1"/>
  <c r="BL12" i="7" s="1"/>
  <c r="BK12" i="7" a="1"/>
  <c r="BK12" i="7" s="1"/>
  <c r="BJ12" i="7" a="1"/>
  <c r="BJ12" i="7" s="1"/>
  <c r="BI12" i="7" a="1"/>
  <c r="BI12" i="7" s="1"/>
  <c r="BH12" i="7" a="1"/>
  <c r="BH12" i="7" s="1"/>
  <c r="BG12" i="7" a="1"/>
  <c r="BG12" i="7" s="1"/>
  <c r="BF12" i="7" a="1"/>
  <c r="BF12" i="7" s="1"/>
  <c r="BE12" i="7"/>
  <c r="BE12" i="7" a="1"/>
  <c r="BD12" i="7" a="1"/>
  <c r="BD12" i="7" s="1"/>
  <c r="BC12" i="7" a="1"/>
  <c r="BC12" i="7" s="1"/>
  <c r="BB12" i="7" a="1"/>
  <c r="BB12" i="7" s="1"/>
  <c r="BA12" i="7" a="1"/>
  <c r="BA12" i="7" s="1"/>
  <c r="AZ12" i="7" a="1"/>
  <c r="AZ12" i="7" s="1"/>
  <c r="AY12" i="7" a="1"/>
  <c r="AY12" i="7" s="1"/>
  <c r="AX12" i="7" a="1"/>
  <c r="AX12" i="7" s="1"/>
  <c r="AW12" i="7"/>
  <c r="AW12" i="7" a="1"/>
  <c r="AV12" i="7" a="1"/>
  <c r="AV12" i="7" s="1"/>
  <c r="AU12" i="7" a="1"/>
  <c r="AU12" i="7" s="1"/>
  <c r="AT12" i="7" a="1"/>
  <c r="AT12" i="7" s="1"/>
  <c r="AS12" i="7" a="1"/>
  <c r="AS12" i="7" s="1"/>
  <c r="AR12" i="7" a="1"/>
  <c r="AR12" i="7" s="1"/>
  <c r="AQ12" i="7" a="1"/>
  <c r="AQ12" i="7" s="1"/>
  <c r="AP12" i="7" a="1"/>
  <c r="AP12" i="7" s="1"/>
  <c r="AO12" i="7"/>
  <c r="AO12" i="7" a="1"/>
  <c r="AN12" i="7" a="1"/>
  <c r="AN12" i="7" s="1"/>
  <c r="AM12" i="7" a="1"/>
  <c r="AM12" i="7" s="1"/>
  <c r="AL12" i="7" a="1"/>
  <c r="AL12" i="7" s="1"/>
  <c r="AK12" i="7" a="1"/>
  <c r="AK12" i="7" s="1"/>
  <c r="AJ12" i="7" a="1"/>
  <c r="AJ12" i="7" s="1"/>
  <c r="AI12" i="7" a="1"/>
  <c r="AI12" i="7" s="1"/>
  <c r="AH12" i="7" a="1"/>
  <c r="AH12" i="7" s="1"/>
  <c r="AG12" i="7"/>
  <c r="AG12" i="7" a="1"/>
  <c r="AF12" i="7" a="1"/>
  <c r="AF12" i="7" s="1"/>
  <c r="AE12" i="7" a="1"/>
  <c r="AE12" i="7" s="1"/>
  <c r="AD12" i="7" a="1"/>
  <c r="AD12" i="7" s="1"/>
  <c r="AC12" i="7" a="1"/>
  <c r="AC12" i="7" s="1"/>
  <c r="AB12" i="7" a="1"/>
  <c r="AB12" i="7" s="1"/>
  <c r="AA12" i="7" a="1"/>
  <c r="AA12" i="7" s="1"/>
  <c r="Z12" i="7" a="1"/>
  <c r="Z12" i="7" s="1"/>
  <c r="Y12" i="7"/>
  <c r="Y12" i="7" a="1"/>
  <c r="X12" i="7" a="1"/>
  <c r="X12" i="7" s="1"/>
  <c r="W12" i="7" a="1"/>
  <c r="W12" i="7" s="1"/>
  <c r="V12" i="7" a="1"/>
  <c r="V12" i="7" s="1"/>
  <c r="U12" i="7" a="1"/>
  <c r="U12" i="7" s="1"/>
  <c r="T12" i="7" a="1"/>
  <c r="T12" i="7" s="1"/>
  <c r="S12" i="7" a="1"/>
  <c r="S12" i="7" s="1"/>
  <c r="R12" i="7"/>
  <c r="R12" i="7" a="1"/>
  <c r="Q12" i="7"/>
  <c r="Q12" i="7" a="1"/>
  <c r="P12" i="7" a="1"/>
  <c r="P12" i="7" s="1"/>
  <c r="O12" i="7" a="1"/>
  <c r="O12" i="7" s="1"/>
  <c r="N12" i="7" a="1"/>
  <c r="N12" i="7" s="1"/>
  <c r="M12" i="7" a="1"/>
  <c r="M12" i="7" s="1"/>
  <c r="L12" i="7" a="1"/>
  <c r="L12" i="7" s="1"/>
  <c r="K12" i="7" a="1"/>
  <c r="K12" i="7" s="1"/>
  <c r="J12" i="7" a="1"/>
  <c r="J12" i="7" s="1"/>
  <c r="I12" i="7"/>
  <c r="I12" i="7" a="1"/>
  <c r="H12" i="7" a="1"/>
  <c r="H12" i="7" s="1"/>
  <c r="G12" i="7" a="1"/>
  <c r="G12" i="7" s="1"/>
  <c r="F12" i="7" a="1"/>
  <c r="F12" i="7" s="1"/>
  <c r="E12" i="7" a="1"/>
  <c r="E12" i="7" s="1"/>
  <c r="D12" i="7" a="1"/>
  <c r="D12" i="7" s="1"/>
  <c r="C12" i="7" a="1"/>
  <c r="C12" i="7" s="1"/>
  <c r="EG6" i="7" a="1"/>
  <c r="EG6" i="7" s="1"/>
  <c r="EF6" i="7" a="1"/>
  <c r="EF6" i="7" s="1"/>
  <c r="EE6" i="7" a="1"/>
  <c r="EE6" i="7" s="1"/>
  <c r="ED6" i="7" a="1"/>
  <c r="ED6" i="7" s="1"/>
  <c r="EC6" i="7" a="1"/>
  <c r="EC6" i="7" s="1"/>
  <c r="EB6" i="7" a="1"/>
  <c r="EB6" i="7" s="1"/>
  <c r="EA6" i="7" a="1"/>
  <c r="EA6" i="7" s="1"/>
  <c r="DZ6" i="7" a="1"/>
  <c r="DZ6" i="7" s="1"/>
  <c r="DY6" i="7" a="1"/>
  <c r="DY6" i="7" s="1"/>
  <c r="DX6" i="7" a="1"/>
  <c r="DX6" i="7" s="1"/>
  <c r="DW6" i="7" a="1"/>
  <c r="DW6" i="7" s="1"/>
  <c r="DV6" i="7" a="1"/>
  <c r="DV6" i="7" s="1"/>
  <c r="DU6" i="7" a="1"/>
  <c r="DU6" i="7" s="1"/>
  <c r="DT6" i="7" a="1"/>
  <c r="DT6" i="7" s="1"/>
  <c r="DS6" i="7" a="1"/>
  <c r="DS6" i="7" s="1"/>
  <c r="DR6" i="7" a="1"/>
  <c r="DR6" i="7" s="1"/>
  <c r="DQ6" i="7" a="1"/>
  <c r="DQ6" i="7" s="1"/>
  <c r="DP6" i="7" a="1"/>
  <c r="DP6" i="7" s="1"/>
  <c r="DO6" i="7" a="1"/>
  <c r="DO6" i="7" s="1"/>
  <c r="DN6" i="7" a="1"/>
  <c r="DN6" i="7" s="1"/>
  <c r="DM6" i="7" a="1"/>
  <c r="DM6" i="7" s="1"/>
  <c r="DL6" i="7" a="1"/>
  <c r="DL6" i="7" s="1"/>
  <c r="DK6" i="7" a="1"/>
  <c r="DK6" i="7" s="1"/>
  <c r="DJ6" i="7" a="1"/>
  <c r="DJ6" i="7" s="1"/>
  <c r="DI6" i="7" a="1"/>
  <c r="DI6" i="7" s="1"/>
  <c r="DH6" i="7" a="1"/>
  <c r="DH6" i="7" s="1"/>
  <c r="DG6" i="7" a="1"/>
  <c r="DG6" i="7" s="1"/>
  <c r="DF6" i="7" a="1"/>
  <c r="DF6" i="7" s="1"/>
  <c r="DE6" i="7" a="1"/>
  <c r="DE6" i="7" s="1"/>
  <c r="DD6" i="7" a="1"/>
  <c r="DD6" i="7" s="1"/>
  <c r="DC6" i="7" a="1"/>
  <c r="DC6" i="7" s="1"/>
  <c r="DB6" i="7" a="1"/>
  <c r="DB6" i="7" s="1"/>
  <c r="DA6" i="7" a="1"/>
  <c r="DA6" i="7" s="1"/>
  <c r="CZ6" i="7" a="1"/>
  <c r="CZ6" i="7" s="1"/>
  <c r="CY6" i="7" a="1"/>
  <c r="CY6" i="7" s="1"/>
  <c r="CX6" i="7" a="1"/>
  <c r="CX6" i="7" s="1"/>
  <c r="CW6" i="7" a="1"/>
  <c r="CW6" i="7" s="1"/>
  <c r="CV6" i="7" a="1"/>
  <c r="CV6" i="7" s="1"/>
  <c r="CU6" i="7" a="1"/>
  <c r="CU6" i="7" s="1"/>
  <c r="CT6" i="7" a="1"/>
  <c r="CT6" i="7" s="1"/>
  <c r="CS6" i="7" a="1"/>
  <c r="CS6" i="7" s="1"/>
  <c r="CR6" i="7" a="1"/>
  <c r="CR6" i="7" s="1"/>
  <c r="CQ6" i="7" a="1"/>
  <c r="CQ6" i="7" s="1"/>
  <c r="CP6" i="7" a="1"/>
  <c r="CP6" i="7" s="1"/>
  <c r="CO6" i="7" a="1"/>
  <c r="CO6" i="7" s="1"/>
  <c r="CN6" i="7" a="1"/>
  <c r="CN6" i="7" s="1"/>
  <c r="CM6" i="7" a="1"/>
  <c r="CM6" i="7" s="1"/>
  <c r="CL6" i="7" a="1"/>
  <c r="CL6" i="7" s="1"/>
  <c r="CK6" i="7" a="1"/>
  <c r="CK6" i="7" s="1"/>
  <c r="CJ6" i="7" a="1"/>
  <c r="CJ6" i="7" s="1"/>
  <c r="CI6" i="7" a="1"/>
  <c r="CI6" i="7" s="1"/>
  <c r="CH6" i="7" a="1"/>
  <c r="CH6" i="7" s="1"/>
  <c r="CG6" i="7" a="1"/>
  <c r="CG6" i="7" s="1"/>
  <c r="CF6" i="7" a="1"/>
  <c r="CF6" i="7" s="1"/>
  <c r="CE6" i="7" a="1"/>
  <c r="CE6" i="7" s="1"/>
  <c r="CD6" i="7" a="1"/>
  <c r="CD6" i="7" s="1"/>
  <c r="CC6" i="7" a="1"/>
  <c r="CC6" i="7" s="1"/>
  <c r="CB6" i="7" a="1"/>
  <c r="CB6" i="7" s="1"/>
  <c r="CA6" i="7" a="1"/>
  <c r="CA6" i="7" s="1"/>
  <c r="BZ6" i="7" a="1"/>
  <c r="BZ6" i="7" s="1"/>
  <c r="BY6" i="7" a="1"/>
  <c r="BY6" i="7" s="1"/>
  <c r="BX6" i="7" a="1"/>
  <c r="BX6" i="7" s="1"/>
  <c r="BW6" i="7" a="1"/>
  <c r="BW6" i="7" s="1"/>
  <c r="BV6" i="7" a="1"/>
  <c r="BV6" i="7" s="1"/>
  <c r="BU6" i="7" a="1"/>
  <c r="BU6" i="7" s="1"/>
  <c r="BT6" i="7" a="1"/>
  <c r="BT6" i="7" s="1"/>
  <c r="BS6" i="7" a="1"/>
  <c r="BS6" i="7" s="1"/>
  <c r="BR6" i="7" a="1"/>
  <c r="BR6" i="7" s="1"/>
  <c r="BQ6" i="7" a="1"/>
  <c r="BQ6" i="7" s="1"/>
  <c r="BP6" i="7" a="1"/>
  <c r="BP6" i="7" s="1"/>
  <c r="BO6" i="7" a="1"/>
  <c r="BO6" i="7" s="1"/>
  <c r="BN6" i="7" a="1"/>
  <c r="BN6" i="7" s="1"/>
  <c r="BM6" i="7" a="1"/>
  <c r="BM6" i="7" s="1"/>
  <c r="BL6" i="7" a="1"/>
  <c r="BL6" i="7" s="1"/>
  <c r="BK6" i="7" a="1"/>
  <c r="BK6" i="7" s="1"/>
  <c r="BJ6" i="7" a="1"/>
  <c r="BJ6" i="7" s="1"/>
  <c r="BI6" i="7" a="1"/>
  <c r="BI6" i="7" s="1"/>
  <c r="BH6" i="7" a="1"/>
  <c r="BH6" i="7" s="1"/>
  <c r="BG6" i="7" a="1"/>
  <c r="BG6" i="7" s="1"/>
  <c r="BF6" i="7" a="1"/>
  <c r="BF6" i="7" s="1"/>
  <c r="BE6" i="7" a="1"/>
  <c r="BE6" i="7" s="1"/>
  <c r="BD6" i="7" a="1"/>
  <c r="BD6" i="7" s="1"/>
  <c r="BC6" i="7" a="1"/>
  <c r="BC6" i="7" s="1"/>
  <c r="BB6" i="7" a="1"/>
  <c r="BB6" i="7" s="1"/>
  <c r="BA6" i="7" a="1"/>
  <c r="BA6" i="7" s="1"/>
  <c r="AZ6" i="7" a="1"/>
  <c r="AZ6" i="7" s="1"/>
  <c r="AY6" i="7" a="1"/>
  <c r="AY6" i="7" s="1"/>
  <c r="AX6" i="7" a="1"/>
  <c r="AX6" i="7" s="1"/>
  <c r="AW6" i="7" a="1"/>
  <c r="AW6" i="7" s="1"/>
  <c r="AV6" i="7" a="1"/>
  <c r="AV6" i="7" s="1"/>
  <c r="AU6" i="7" a="1"/>
  <c r="AU6" i="7" s="1"/>
  <c r="AT6" i="7" a="1"/>
  <c r="AT6" i="7" s="1"/>
  <c r="AS6" i="7" a="1"/>
  <c r="AS6" i="7" s="1"/>
  <c r="AR6" i="7" a="1"/>
  <c r="AR6" i="7" s="1"/>
  <c r="AQ6" i="7" a="1"/>
  <c r="AQ6" i="7" s="1"/>
  <c r="AP6" i="7" a="1"/>
  <c r="AP6" i="7" s="1"/>
  <c r="AO6" i="7" a="1"/>
  <c r="AO6" i="7" s="1"/>
  <c r="AN6" i="7" a="1"/>
  <c r="AN6" i="7" s="1"/>
  <c r="AM6" i="7" a="1"/>
  <c r="AM6" i="7" s="1"/>
  <c r="AL6" i="7" a="1"/>
  <c r="AL6" i="7" s="1"/>
  <c r="AK6" i="7" a="1"/>
  <c r="AK6" i="7" s="1"/>
  <c r="AJ6" i="7" a="1"/>
  <c r="AJ6" i="7" s="1"/>
  <c r="AI6" i="7" a="1"/>
  <c r="AI6" i="7" s="1"/>
  <c r="AH6" i="7" a="1"/>
  <c r="AH6" i="7" s="1"/>
  <c r="AG6" i="7" a="1"/>
  <c r="AG6" i="7" s="1"/>
  <c r="AF6" i="7" a="1"/>
  <c r="AF6" i="7" s="1"/>
  <c r="AE6" i="7" a="1"/>
  <c r="AE6" i="7" s="1"/>
  <c r="AD6" i="7" a="1"/>
  <c r="AD6" i="7" s="1"/>
  <c r="AC6" i="7" a="1"/>
  <c r="AC6" i="7" s="1"/>
  <c r="AB6" i="7" a="1"/>
  <c r="AB6" i="7" s="1"/>
  <c r="AA6" i="7" a="1"/>
  <c r="AA6" i="7" s="1"/>
  <c r="Z6" i="7" a="1"/>
  <c r="Z6" i="7" s="1"/>
  <c r="Y6" i="7" a="1"/>
  <c r="Y6" i="7" s="1"/>
  <c r="X6" i="7" a="1"/>
  <c r="X6" i="7" s="1"/>
  <c r="W6" i="7" a="1"/>
  <c r="W6" i="7" s="1"/>
  <c r="V6" i="7" a="1"/>
  <c r="V6" i="7" s="1"/>
  <c r="U6" i="7" a="1"/>
  <c r="U6" i="7" s="1"/>
  <c r="T6" i="7" a="1"/>
  <c r="T6" i="7" s="1"/>
  <c r="S6" i="7" a="1"/>
  <c r="S6" i="7" s="1"/>
  <c r="R6" i="7" a="1"/>
  <c r="R6" i="7" s="1"/>
  <c r="Q6" i="7" a="1"/>
  <c r="Q6" i="7" s="1"/>
  <c r="P6" i="7" a="1"/>
  <c r="P6" i="7" s="1"/>
  <c r="O6" i="7" a="1"/>
  <c r="O6" i="7" s="1"/>
  <c r="N6" i="7" a="1"/>
  <c r="N6" i="7" s="1"/>
  <c r="M6" i="7" a="1"/>
  <c r="M6" i="7" s="1"/>
  <c r="L6" i="7" a="1"/>
  <c r="L6" i="7" s="1"/>
  <c r="K6" i="7" a="1"/>
  <c r="K6" i="7" s="1"/>
  <c r="J6" i="7" a="1"/>
  <c r="J6" i="7" s="1"/>
  <c r="I6" i="7" a="1"/>
  <c r="I6" i="7" s="1"/>
  <c r="H6" i="7" a="1"/>
  <c r="H6" i="7" s="1"/>
  <c r="G6" i="7" a="1"/>
  <c r="G6" i="7" s="1"/>
  <c r="F6" i="7" a="1"/>
  <c r="F6" i="7" s="1"/>
  <c r="E6" i="7" a="1"/>
  <c r="E6" i="7" s="1"/>
  <c r="D6" i="7" a="1"/>
  <c r="D6" i="7" s="1"/>
  <c r="C6" i="7" a="1"/>
  <c r="C6" i="7" s="1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EG10" i="6"/>
  <c r="EG18" i="6" s="1"/>
  <c r="EG9" i="6"/>
  <c r="EG13" i="6" s="1"/>
  <c r="A1" i="6"/>
  <c r="AC25" i="5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J24" i="5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E24" i="5"/>
  <c r="F24" i="5" s="1"/>
  <c r="G24" i="5" s="1"/>
  <c r="H24" i="5" s="1"/>
  <c r="I24" i="5" s="1"/>
  <c r="D24" i="5"/>
  <c r="CZ23" i="5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CP23" i="5"/>
  <c r="CQ23" i="5" s="1"/>
  <c r="CR23" i="5" s="1"/>
  <c r="CS23" i="5" s="1"/>
  <c r="CT23" i="5" s="1"/>
  <c r="CU23" i="5" s="1"/>
  <c r="CV23" i="5" s="1"/>
  <c r="CW23" i="5" s="1"/>
  <c r="CX23" i="5" s="1"/>
  <c r="CY23" i="5" s="1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D23" i="5"/>
  <c r="DW22" i="5"/>
  <c r="DX22" i="5" s="1"/>
  <c r="DY22" i="5" s="1"/>
  <c r="DZ22" i="5" s="1"/>
  <c r="EA22" i="5" s="1"/>
  <c r="EB22" i="5" s="1"/>
  <c r="EC22" i="5" s="1"/>
  <c r="ED22" i="5" s="1"/>
  <c r="EE22" i="5" s="1"/>
  <c r="EF22" i="5" s="1"/>
  <c r="I22" i="5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H22" i="5"/>
  <c r="G22" i="5"/>
  <c r="F22" i="5"/>
  <c r="D22" i="5"/>
  <c r="E22" i="5" s="1"/>
  <c r="CT21" i="5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CJ21" i="5"/>
  <c r="CK21" i="5" s="1"/>
  <c r="CL21" i="5" s="1"/>
  <c r="CM21" i="5" s="1"/>
  <c r="CN21" i="5" s="1"/>
  <c r="CO21" i="5" s="1"/>
  <c r="CP21" i="5" s="1"/>
  <c r="CQ21" i="5" s="1"/>
  <c r="CR21" i="5" s="1"/>
  <c r="CS21" i="5" s="1"/>
  <c r="K21" i="5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D21" i="5"/>
  <c r="E21" i="5" s="1"/>
  <c r="F21" i="5" s="1"/>
  <c r="G21" i="5" s="1"/>
  <c r="H21" i="5" s="1"/>
  <c r="I21" i="5" s="1"/>
  <c r="J21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E19" i="5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9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8" i="5"/>
  <c r="CF17" i="5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CB17" i="5"/>
  <c r="CC17" i="5" s="1"/>
  <c r="CD17" i="5" s="1"/>
  <c r="CE17" i="5" s="1"/>
  <c r="R17" i="5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K17" i="5"/>
  <c r="L17" i="5" s="1"/>
  <c r="M17" i="5" s="1"/>
  <c r="N17" i="5" s="1"/>
  <c r="O17" i="5" s="1"/>
  <c r="P17" i="5" s="1"/>
  <c r="Q17" i="5" s="1"/>
  <c r="I17" i="5"/>
  <c r="D17" i="5"/>
  <c r="E17" i="5" s="1"/>
  <c r="F17" i="5" s="1"/>
  <c r="G17" i="5" s="1"/>
  <c r="H17" i="5" s="1"/>
  <c r="H16" i="5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16" i="5"/>
  <c r="F16" i="5" s="1"/>
  <c r="G16" i="5" s="1"/>
  <c r="D16" i="5"/>
  <c r="DL15" i="5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BW15" i="5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15" i="5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AA14" i="5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I14" i="5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H14" i="5"/>
  <c r="E14" i="5"/>
  <c r="F14" i="5" s="1"/>
  <c r="G14" i="5" s="1"/>
  <c r="D14" i="5"/>
  <c r="E13" i="5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3" i="5"/>
  <c r="AK12" i="5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I12" i="5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D12" i="5"/>
  <c r="E12" i="5" s="1"/>
  <c r="F12" i="5" s="1"/>
  <c r="G12" i="5" s="1"/>
  <c r="H12" i="5" s="1"/>
  <c r="EG8" i="5"/>
  <c r="EF8" i="5"/>
  <c r="EC8" i="5"/>
  <c r="DW8" i="5"/>
  <c r="DT8" i="5"/>
  <c r="DO8" i="5"/>
  <c r="DN8" i="5"/>
  <c r="DM8" i="5"/>
  <c r="DE8" i="5"/>
  <c r="DB8" i="5"/>
  <c r="CV8" i="5"/>
  <c r="CS8" i="5"/>
  <c r="CM8" i="5"/>
  <c r="CL8" i="5"/>
  <c r="CI8" i="5"/>
  <c r="CA8" i="5"/>
  <c r="BT8" i="5"/>
  <c r="BS8" i="5"/>
  <c r="BQ8" i="5"/>
  <c r="BP8" i="5"/>
  <c r="BK8" i="5"/>
  <c r="BG8" i="5"/>
  <c r="BE8" i="5"/>
  <c r="BB8" i="5"/>
  <c r="BA8" i="5"/>
  <c r="AU8" i="5"/>
  <c r="AS8" i="5"/>
  <c r="AM8" i="5"/>
  <c r="AG8" i="5"/>
  <c r="AF8" i="5"/>
  <c r="AE8" i="5"/>
  <c r="AC8" i="5"/>
  <c r="AB8" i="5"/>
  <c r="Z8" i="5"/>
  <c r="T8" i="5"/>
  <c r="Q8" i="5"/>
  <c r="L8" i="5"/>
  <c r="K8" i="5"/>
  <c r="H8" i="5"/>
  <c r="G8" i="5"/>
  <c r="E8" i="5"/>
  <c r="EE7" i="5"/>
  <c r="DX7" i="5"/>
  <c r="DW7" i="5"/>
  <c r="DT7" i="5"/>
  <c r="DJ7" i="5"/>
  <c r="DE7" i="5"/>
  <c r="CU7" i="5"/>
  <c r="CR7" i="5"/>
  <c r="CJ7" i="5"/>
  <c r="CI7" i="5"/>
  <c r="CC7" i="5"/>
  <c r="BY7" i="5"/>
  <c r="BO7" i="5"/>
  <c r="BN7" i="5"/>
  <c r="BK7" i="5"/>
  <c r="BI7" i="5"/>
  <c r="BB7" i="5"/>
  <c r="AV7" i="5"/>
  <c r="AS7" i="5"/>
  <c r="AQ7" i="5"/>
  <c r="AI7" i="5"/>
  <c r="AE7" i="5"/>
  <c r="AD7" i="5"/>
  <c r="W7" i="5"/>
  <c r="Q7" i="5"/>
  <c r="K7" i="5"/>
  <c r="H7" i="5"/>
  <c r="EG6" i="5" a="1"/>
  <c r="EG6" i="5" s="1"/>
  <c r="EG7" i="5" s="1"/>
  <c r="EF6" i="5" a="1"/>
  <c r="EF6" i="5"/>
  <c r="EF7" i="5" s="1"/>
  <c r="EE6" i="5" a="1"/>
  <c r="EE6" i="5"/>
  <c r="EE8" i="5" s="1"/>
  <c r="ED6" i="5" a="1"/>
  <c r="ED6" i="5" s="1"/>
  <c r="EC6" i="5" a="1"/>
  <c r="EC6" i="5" s="1"/>
  <c r="EC7" i="5" s="1"/>
  <c r="EB6" i="5" a="1"/>
  <c r="EB6" i="5" s="1"/>
  <c r="EA6" i="5" a="1"/>
  <c r="EA6" i="5" s="1"/>
  <c r="DZ6" i="5" a="1"/>
  <c r="DZ6" i="5" s="1"/>
  <c r="DY6" i="5" a="1"/>
  <c r="DY6" i="5"/>
  <c r="DX6" i="5" a="1"/>
  <c r="DX6" i="5"/>
  <c r="DX8" i="5" s="1"/>
  <c r="DW6" i="5" a="1"/>
  <c r="DW6" i="5"/>
  <c r="DV6" i="5" a="1"/>
  <c r="DV6" i="5" s="1"/>
  <c r="DU6" i="5" a="1"/>
  <c r="DU6" i="5" s="1"/>
  <c r="DT6" i="5" a="1"/>
  <c r="DT6" i="5" s="1"/>
  <c r="DS6" i="5" a="1"/>
  <c r="DS6" i="5" s="1"/>
  <c r="DR6" i="5" a="1"/>
  <c r="DR6" i="5" s="1"/>
  <c r="DQ6" i="5" a="1"/>
  <c r="DQ6" i="5" s="1"/>
  <c r="DP6" i="5" a="1"/>
  <c r="DP6" i="5" s="1"/>
  <c r="DO6" i="5" a="1"/>
  <c r="DO6" i="5" s="1"/>
  <c r="DO7" i="5" s="1"/>
  <c r="DN6" i="5" a="1"/>
  <c r="DN6" i="5"/>
  <c r="DN7" i="5" s="1"/>
  <c r="DM6" i="5" a="1"/>
  <c r="DM6" i="5" s="1"/>
  <c r="DM7" i="5" s="1"/>
  <c r="DL6" i="5" a="1"/>
  <c r="DL6" i="5" s="1"/>
  <c r="DK6" i="5" a="1"/>
  <c r="DK6" i="5" s="1"/>
  <c r="DJ6" i="5" a="1"/>
  <c r="DJ6" i="5"/>
  <c r="DJ8" i="5" s="1"/>
  <c r="DI6" i="5" a="1"/>
  <c r="DI6" i="5" s="1"/>
  <c r="DH6" i="5" a="1"/>
  <c r="DH6" i="5" s="1"/>
  <c r="DG6" i="5" a="1"/>
  <c r="DG6" i="5" s="1"/>
  <c r="DF6" i="5" a="1"/>
  <c r="DF6" i="5" s="1"/>
  <c r="DF8" i="5" s="1"/>
  <c r="DE6" i="5" a="1"/>
  <c r="DE6" i="5" s="1"/>
  <c r="DD6" i="5" a="1"/>
  <c r="DD6" i="5"/>
  <c r="DD7" i="5" s="1"/>
  <c r="DC6" i="5" a="1"/>
  <c r="DC6" i="5" s="1"/>
  <c r="DC7" i="5" s="1"/>
  <c r="DB6" i="5" a="1"/>
  <c r="DB6" i="5"/>
  <c r="DB7" i="5" s="1"/>
  <c r="DA6" i="5" a="1"/>
  <c r="DA6" i="5"/>
  <c r="CZ6" i="5" a="1"/>
  <c r="CZ6" i="5"/>
  <c r="CY6" i="5" a="1"/>
  <c r="CY6" i="5"/>
  <c r="CX6" i="5" a="1"/>
  <c r="CX6" i="5" s="1"/>
  <c r="CW6" i="5" a="1"/>
  <c r="CW6" i="5" s="1"/>
  <c r="CV6" i="5" a="1"/>
  <c r="CV6" i="5" s="1"/>
  <c r="CV7" i="5" s="1"/>
  <c r="CU6" i="5" a="1"/>
  <c r="CU6" i="5" s="1"/>
  <c r="CU8" i="5" s="1"/>
  <c r="CT6" i="5" a="1"/>
  <c r="CT6" i="5"/>
  <c r="CS6" i="5" a="1"/>
  <c r="CS6" i="5" s="1"/>
  <c r="CS7" i="5" s="1"/>
  <c r="CR6" i="5" a="1"/>
  <c r="CR6" i="5"/>
  <c r="CR8" i="5" s="1"/>
  <c r="CQ6" i="5" a="1"/>
  <c r="CQ6" i="5" s="1"/>
  <c r="CP6" i="5" a="1"/>
  <c r="CP6" i="5"/>
  <c r="CO6" i="5" a="1"/>
  <c r="CO6" i="5" s="1"/>
  <c r="CN6" i="5" a="1"/>
  <c r="CN6" i="5"/>
  <c r="CM6" i="5" a="1"/>
  <c r="CM6" i="5" s="1"/>
  <c r="CM7" i="5" s="1"/>
  <c r="CL6" i="5" a="1"/>
  <c r="CL6" i="5"/>
  <c r="CL7" i="5" s="1"/>
  <c r="CK6" i="5" a="1"/>
  <c r="CK6" i="5"/>
  <c r="CK7" i="5" s="1"/>
  <c r="CJ6" i="5" a="1"/>
  <c r="CJ6" i="5" s="1"/>
  <c r="CJ8" i="5" s="1"/>
  <c r="CI6" i="5" a="1"/>
  <c r="CI6" i="5"/>
  <c r="CH6" i="5" a="1"/>
  <c r="CH6" i="5"/>
  <c r="CH7" i="5" s="1"/>
  <c r="CG6" i="5" a="1"/>
  <c r="CG6" i="5" s="1"/>
  <c r="CF6" i="5" a="1"/>
  <c r="CF6" i="5"/>
  <c r="CE6" i="5" a="1"/>
  <c r="CE6" i="5" s="1"/>
  <c r="CD6" i="5" a="1"/>
  <c r="CD6" i="5"/>
  <c r="CC6" i="5" a="1"/>
  <c r="CC6" i="5"/>
  <c r="CC8" i="5" s="1"/>
  <c r="CB6" i="5" a="1"/>
  <c r="CB6" i="5"/>
  <c r="CA6" i="5" a="1"/>
  <c r="CA6" i="5" s="1"/>
  <c r="CA7" i="5" s="1"/>
  <c r="BZ6" i="5" a="1"/>
  <c r="BZ6" i="5"/>
  <c r="BY6" i="5" a="1"/>
  <c r="BY6" i="5" s="1"/>
  <c r="BY8" i="5" s="1"/>
  <c r="BX6" i="5" a="1"/>
  <c r="BX6" i="5"/>
  <c r="BW6" i="5" a="1"/>
  <c r="BW6" i="5" s="1"/>
  <c r="BV6" i="5" a="1"/>
  <c r="BV6" i="5" s="1"/>
  <c r="BU6" i="5" a="1"/>
  <c r="BU6" i="5"/>
  <c r="BT6" i="5" a="1"/>
  <c r="BT6" i="5"/>
  <c r="BT7" i="5" s="1"/>
  <c r="BS6" i="5" a="1"/>
  <c r="BS6" i="5"/>
  <c r="BS7" i="5" s="1"/>
  <c r="BR6" i="5" a="1"/>
  <c r="BR6" i="5" s="1"/>
  <c r="BQ6" i="5" a="1"/>
  <c r="BQ6" i="5" s="1"/>
  <c r="BQ7" i="5" s="1"/>
  <c r="BP6" i="5" a="1"/>
  <c r="BP6" i="5"/>
  <c r="BP7" i="5" s="1"/>
  <c r="BO6" i="5" a="1"/>
  <c r="BO6" i="5" s="1"/>
  <c r="BO8" i="5" s="1"/>
  <c r="BN6" i="5" a="1"/>
  <c r="BN6" i="5"/>
  <c r="BN8" i="5" s="1"/>
  <c r="BM6" i="5" a="1"/>
  <c r="BM6" i="5" s="1"/>
  <c r="BL6" i="5" a="1"/>
  <c r="BL6" i="5" s="1"/>
  <c r="BK6" i="5" a="1"/>
  <c r="BK6" i="5"/>
  <c r="BJ6" i="5" a="1"/>
  <c r="BJ6" i="5"/>
  <c r="BI6" i="5" a="1"/>
  <c r="BI6" i="5" s="1"/>
  <c r="BI8" i="5" s="1"/>
  <c r="BH6" i="5" a="1"/>
  <c r="BH6" i="5" s="1"/>
  <c r="BG6" i="5" a="1"/>
  <c r="BG6" i="5" s="1"/>
  <c r="BG7" i="5" s="1"/>
  <c r="BF6" i="5" a="1"/>
  <c r="BF6" i="5"/>
  <c r="BE6" i="5" a="1"/>
  <c r="BE6" i="5"/>
  <c r="BE7" i="5" s="1"/>
  <c r="BD6" i="5" a="1"/>
  <c r="BD6" i="5" s="1"/>
  <c r="BC6" i="5" a="1"/>
  <c r="BC6" i="5" s="1"/>
  <c r="BB6" i="5" a="1"/>
  <c r="BB6" i="5"/>
  <c r="BA6" i="5" a="1"/>
  <c r="BA6" i="5" s="1"/>
  <c r="BA7" i="5" s="1"/>
  <c r="AZ6" i="5" a="1"/>
  <c r="AZ6" i="5"/>
  <c r="AY6" i="5" a="1"/>
  <c r="AY6" i="5" s="1"/>
  <c r="AX6" i="5" a="1"/>
  <c r="AX6" i="5"/>
  <c r="AW6" i="5" a="1"/>
  <c r="AW6" i="5"/>
  <c r="AV6" i="5" a="1"/>
  <c r="AV6" i="5"/>
  <c r="AV8" i="5" s="1"/>
  <c r="AU6" i="5" a="1"/>
  <c r="AU6" i="5" s="1"/>
  <c r="AU7" i="5" s="1"/>
  <c r="AT6" i="5" a="1"/>
  <c r="AT6" i="5" s="1"/>
  <c r="AS6" i="5" a="1"/>
  <c r="AS6" i="5" s="1"/>
  <c r="AR6" i="5" a="1"/>
  <c r="AR6" i="5"/>
  <c r="AQ6" i="5" a="1"/>
  <c r="AQ6" i="5" s="1"/>
  <c r="AQ8" i="5" s="1"/>
  <c r="AP6" i="5" a="1"/>
  <c r="AP6" i="5" s="1"/>
  <c r="AO6" i="5" a="1"/>
  <c r="AO6" i="5"/>
  <c r="AN6" i="5" a="1"/>
  <c r="AN6" i="5"/>
  <c r="AM6" i="5" a="1"/>
  <c r="AM6" i="5"/>
  <c r="AM7" i="5" s="1"/>
  <c r="AL6" i="5" a="1"/>
  <c r="AL6" i="5"/>
  <c r="AL7" i="5" s="1"/>
  <c r="AK6" i="5" a="1"/>
  <c r="AK6" i="5" s="1"/>
  <c r="AJ6" i="5" a="1"/>
  <c r="AJ6" i="5" s="1"/>
  <c r="AI6" i="5" a="1"/>
  <c r="AI6" i="5" s="1"/>
  <c r="AI8" i="5" s="1"/>
  <c r="AH6" i="5" a="1"/>
  <c r="AH6" i="5"/>
  <c r="AG6" i="5" a="1"/>
  <c r="AG6" i="5"/>
  <c r="AG7" i="5" s="1"/>
  <c r="AF6" i="5" a="1"/>
  <c r="AF6" i="5"/>
  <c r="AF7" i="5" s="1"/>
  <c r="AE6" i="5" a="1"/>
  <c r="AE6" i="5"/>
  <c r="AD6" i="5" a="1"/>
  <c r="AD6" i="5" s="1"/>
  <c r="AD8" i="5" s="1"/>
  <c r="AC6" i="5" a="1"/>
  <c r="AC6" i="5" s="1"/>
  <c r="AC7" i="5" s="1"/>
  <c r="AB6" i="5" a="1"/>
  <c r="AB6" i="5"/>
  <c r="AB7" i="5" s="1"/>
  <c r="AA6" i="5" a="1"/>
  <c r="AA6" i="5" s="1"/>
  <c r="Z6" i="5" a="1"/>
  <c r="Z6" i="5"/>
  <c r="Z7" i="5" s="1"/>
  <c r="Y6" i="5" a="1"/>
  <c r="Y6" i="5" s="1"/>
  <c r="X6" i="5" a="1"/>
  <c r="X6" i="5" s="1"/>
  <c r="W6" i="5" a="1"/>
  <c r="W6" i="5"/>
  <c r="W8" i="5" s="1"/>
  <c r="V6" i="5" a="1"/>
  <c r="V6" i="5"/>
  <c r="U6" i="5" a="1"/>
  <c r="U6" i="5" s="1"/>
  <c r="T6" i="5" a="1"/>
  <c r="T6" i="5"/>
  <c r="T7" i="5" s="1"/>
  <c r="S6" i="5" a="1"/>
  <c r="S6" i="5" s="1"/>
  <c r="R6" i="5" a="1"/>
  <c r="R6" i="5"/>
  <c r="Q6" i="5" a="1"/>
  <c r="Q6" i="5"/>
  <c r="P6" i="5" a="1"/>
  <c r="P6" i="5" s="1"/>
  <c r="O6" i="5" a="1"/>
  <c r="O6" i="5" s="1"/>
  <c r="N6" i="5" a="1"/>
  <c r="N6" i="5"/>
  <c r="M6" i="5" a="1"/>
  <c r="M6" i="5" s="1"/>
  <c r="L6" i="5" a="1"/>
  <c r="L6" i="5"/>
  <c r="L7" i="5" s="1"/>
  <c r="K6" i="5" a="1"/>
  <c r="K6" i="5" s="1"/>
  <c r="J6" i="5" a="1"/>
  <c r="J6" i="5"/>
  <c r="I6" i="5" a="1"/>
  <c r="I6" i="5"/>
  <c r="H6" i="5" a="1"/>
  <c r="H6" i="5"/>
  <c r="G6" i="5" a="1"/>
  <c r="G6" i="5" s="1"/>
  <c r="G7" i="5" s="1"/>
  <c r="F6" i="5" a="1"/>
  <c r="F6" i="5" s="1"/>
  <c r="E6" i="5" a="1"/>
  <c r="E6" i="5" s="1"/>
  <c r="E7" i="5" s="1"/>
  <c r="D6" i="5" a="1"/>
  <c r="D6" i="5"/>
  <c r="D8" i="5" s="1"/>
  <c r="C6" i="5" a="1"/>
  <c r="C6" i="5" s="1"/>
  <c r="A1" i="5"/>
  <c r="H25" i="4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F25" i="4"/>
  <c r="G25" i="4" s="1"/>
  <c r="E25" i="4"/>
  <c r="D25" i="4"/>
  <c r="S24" i="4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G24" i="4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D24" i="4"/>
  <c r="E24" i="4" s="1"/>
  <c r="F24" i="4" s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F23" i="4"/>
  <c r="G23" i="4" s="1"/>
  <c r="E23" i="4"/>
  <c r="D23" i="4"/>
  <c r="AM22" i="4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Z22" i="4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X22" i="4"/>
  <c r="Y22" i="4" s="1"/>
  <c r="J22" i="4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E22" i="4"/>
  <c r="F22" i="4" s="1"/>
  <c r="G22" i="4" s="1"/>
  <c r="H22" i="4" s="1"/>
  <c r="I22" i="4" s="1"/>
  <c r="D22" i="4"/>
  <c r="F21" i="4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D21" i="4"/>
  <c r="E21" i="4" s="1"/>
  <c r="E20" i="4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D20" i="4"/>
  <c r="BF19" i="4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H19" i="4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E19" i="4"/>
  <c r="F19" i="4" s="1"/>
  <c r="G19" i="4" s="1"/>
  <c r="D19" i="4"/>
  <c r="V18" i="4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G18" i="4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D18" i="4"/>
  <c r="E18" i="4" s="1"/>
  <c r="F18" i="4" s="1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AW16" i="4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AV16" i="4"/>
  <c r="Q16" i="4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G16" i="4"/>
  <c r="H16" i="4" s="1"/>
  <c r="I16" i="4" s="1"/>
  <c r="J16" i="4" s="1"/>
  <c r="K16" i="4" s="1"/>
  <c r="L16" i="4" s="1"/>
  <c r="M16" i="4" s="1"/>
  <c r="N16" i="4" s="1"/>
  <c r="O16" i="4" s="1"/>
  <c r="P16" i="4" s="1"/>
  <c r="D16" i="4"/>
  <c r="E16" i="4" s="1"/>
  <c r="F16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D13" i="4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D12" i="4"/>
  <c r="ED8" i="4"/>
  <c r="EC8" i="4"/>
  <c r="DZ8" i="4"/>
  <c r="DY8" i="4"/>
  <c r="DV8" i="4"/>
  <c r="DU8" i="4"/>
  <c r="DR8" i="4"/>
  <c r="DN8" i="4"/>
  <c r="DJ8" i="4"/>
  <c r="DI8" i="4"/>
  <c r="DE8" i="4"/>
  <c r="DC8" i="4"/>
  <c r="DB8" i="4"/>
  <c r="CX8" i="4"/>
  <c r="CW8" i="4"/>
  <c r="CL8" i="4"/>
  <c r="CH8" i="4"/>
  <c r="CD8" i="4"/>
  <c r="CC8" i="4"/>
  <c r="BZ8" i="4"/>
  <c r="BW8" i="4"/>
  <c r="BV8" i="4"/>
  <c r="BO8" i="4"/>
  <c r="BN8" i="4"/>
  <c r="BM8" i="4"/>
  <c r="BJ8" i="4"/>
  <c r="BB8" i="4"/>
  <c r="AW8" i="4"/>
  <c r="AN8" i="4"/>
  <c r="AI8" i="4"/>
  <c r="AH8" i="4"/>
  <c r="AG8" i="4"/>
  <c r="AF8" i="4"/>
  <c r="AD8" i="4"/>
  <c r="W8" i="4"/>
  <c r="V8" i="4"/>
  <c r="O8" i="4"/>
  <c r="N8" i="4"/>
  <c r="F8" i="4"/>
  <c r="E8" i="4"/>
  <c r="D8" i="4"/>
  <c r="ED7" i="4"/>
  <c r="EA7" i="4"/>
  <c r="DZ7" i="4"/>
  <c r="DY7" i="4"/>
  <c r="DW7" i="4"/>
  <c r="DT7" i="4"/>
  <c r="DR7" i="4"/>
  <c r="DN7" i="4"/>
  <c r="DJ7" i="4"/>
  <c r="DF7" i="4"/>
  <c r="DB7" i="4"/>
  <c r="DA7" i="4"/>
  <c r="CZ7" i="4"/>
  <c r="CX7" i="4"/>
  <c r="CW7" i="4"/>
  <c r="CU7" i="4"/>
  <c r="CP7" i="4"/>
  <c r="CO7" i="4"/>
  <c r="CL7" i="4"/>
  <c r="CH7" i="4"/>
  <c r="CD7" i="4"/>
  <c r="BZ7" i="4"/>
  <c r="BV7" i="4"/>
  <c r="BS7" i="4"/>
  <c r="BN7" i="4"/>
  <c r="BL7" i="4"/>
  <c r="BK7" i="4"/>
  <c r="BJ7" i="4"/>
  <c r="BC7" i="4"/>
  <c r="BB7" i="4"/>
  <c r="AW7" i="4"/>
  <c r="AG7" i="4"/>
  <c r="AF7" i="4"/>
  <c r="P7" i="4"/>
  <c r="O7" i="4"/>
  <c r="N7" i="4"/>
  <c r="H7" i="4"/>
  <c r="G7" i="4"/>
  <c r="F7" i="4"/>
  <c r="EG6" i="4" a="1"/>
  <c r="EG6" i="4" s="1"/>
  <c r="EF6" i="4" a="1"/>
  <c r="EF6" i="4" s="1"/>
  <c r="EE6" i="4" a="1"/>
  <c r="EE6" i="4" s="1"/>
  <c r="ED6" i="4" a="1"/>
  <c r="ED6" i="4"/>
  <c r="EC6" i="4" a="1"/>
  <c r="EC6" i="4" s="1"/>
  <c r="EC7" i="4" s="1"/>
  <c r="EB6" i="4" a="1"/>
  <c r="EB6" i="4"/>
  <c r="EB7" i="4" s="1"/>
  <c r="EA6" i="4" a="1"/>
  <c r="EA6" i="4" s="1"/>
  <c r="EA8" i="4" s="1"/>
  <c r="DZ6" i="4" a="1"/>
  <c r="DZ6" i="4"/>
  <c r="DY6" i="4" a="1"/>
  <c r="DY6" i="4"/>
  <c r="DX6" i="4" a="1"/>
  <c r="DX6" i="4" s="1"/>
  <c r="DW6" i="4" a="1"/>
  <c r="DW6" i="4"/>
  <c r="DW8" i="4" s="1"/>
  <c r="DV6" i="4" a="1"/>
  <c r="DV6" i="4"/>
  <c r="DV7" i="4" s="1"/>
  <c r="DU6" i="4" a="1"/>
  <c r="DU6" i="4"/>
  <c r="DU7" i="4" s="1"/>
  <c r="DT6" i="4" a="1"/>
  <c r="DT6" i="4"/>
  <c r="DT8" i="4" s="1"/>
  <c r="DS6" i="4" a="1"/>
  <c r="DS6" i="4" s="1"/>
  <c r="DS8" i="4" s="1"/>
  <c r="DR6" i="4" a="1"/>
  <c r="DR6" i="4"/>
  <c r="DQ6" i="4" a="1"/>
  <c r="DQ6" i="4"/>
  <c r="DQ8" i="4" s="1"/>
  <c r="DP6" i="4" a="1"/>
  <c r="DP6" i="4" s="1"/>
  <c r="DO6" i="4" a="1"/>
  <c r="DO6" i="4" s="1"/>
  <c r="DO8" i="4" s="1"/>
  <c r="DN6" i="4" a="1"/>
  <c r="DN6" i="4"/>
  <c r="DM6" i="4" a="1"/>
  <c r="DM6" i="4" s="1"/>
  <c r="DL6" i="4" a="1"/>
  <c r="DL6" i="4" s="1"/>
  <c r="DK6" i="4" a="1"/>
  <c r="DK6" i="4" s="1"/>
  <c r="DJ6" i="4" a="1"/>
  <c r="DJ6" i="4"/>
  <c r="DI6" i="4" a="1"/>
  <c r="DI6" i="4" s="1"/>
  <c r="DI7" i="4" s="1"/>
  <c r="DH6" i="4" a="1"/>
  <c r="DH6" i="4"/>
  <c r="DH7" i="4" s="1"/>
  <c r="DG6" i="4" a="1"/>
  <c r="DG6" i="4" s="1"/>
  <c r="DF6" i="4" a="1"/>
  <c r="DF6" i="4"/>
  <c r="DF8" i="4" s="1"/>
  <c r="DE6" i="4" a="1"/>
  <c r="DE6" i="4"/>
  <c r="DE7" i="4" s="1"/>
  <c r="DD6" i="4" a="1"/>
  <c r="DD6" i="4"/>
  <c r="DC6" i="4" a="1"/>
  <c r="DC6" i="4" s="1"/>
  <c r="DC7" i="4" s="1"/>
  <c r="DB6" i="4" a="1"/>
  <c r="DB6" i="4"/>
  <c r="DA6" i="4" a="1"/>
  <c r="DA6" i="4"/>
  <c r="DA8" i="4" s="1"/>
  <c r="CZ6" i="4" a="1"/>
  <c r="CZ6" i="4"/>
  <c r="CZ8" i="4" s="1"/>
  <c r="CY6" i="4" a="1"/>
  <c r="CY6" i="4" s="1"/>
  <c r="CY7" i="4" s="1"/>
  <c r="CX6" i="4" a="1"/>
  <c r="CX6" i="4"/>
  <c r="CW6" i="4" a="1"/>
  <c r="CW6" i="4" s="1"/>
  <c r="CV6" i="4" a="1"/>
  <c r="CV6" i="4" s="1"/>
  <c r="CV8" i="4" s="1"/>
  <c r="CU6" i="4" a="1"/>
  <c r="CU6" i="4" s="1"/>
  <c r="CU8" i="4" s="1"/>
  <c r="CT6" i="4" a="1"/>
  <c r="CT6" i="4"/>
  <c r="CT7" i="4" s="1"/>
  <c r="CS6" i="4" a="1"/>
  <c r="CS6" i="4" s="1"/>
  <c r="CR6" i="4" a="1"/>
  <c r="CR6" i="4" s="1"/>
  <c r="CQ6" i="4" a="1"/>
  <c r="CQ6" i="4" s="1"/>
  <c r="CP6" i="4" a="1"/>
  <c r="CP6" i="4"/>
  <c r="CP8" i="4" s="1"/>
  <c r="CO6" i="4" a="1"/>
  <c r="CO6" i="4"/>
  <c r="CO8" i="4" s="1"/>
  <c r="CN6" i="4" a="1"/>
  <c r="CN6" i="4"/>
  <c r="CM6" i="4" a="1"/>
  <c r="CM6" i="4" s="1"/>
  <c r="CL6" i="4" a="1"/>
  <c r="CL6" i="4"/>
  <c r="CK6" i="4" a="1"/>
  <c r="CK6" i="4"/>
  <c r="CJ6" i="4" a="1"/>
  <c r="CJ6" i="4"/>
  <c r="CJ7" i="4" s="1"/>
  <c r="CI6" i="4" a="1"/>
  <c r="CI6" i="4"/>
  <c r="CH6" i="4" a="1"/>
  <c r="CH6" i="4"/>
  <c r="CG6" i="4" a="1"/>
  <c r="CG6" i="4" s="1"/>
  <c r="CF6" i="4" a="1"/>
  <c r="CF6" i="4" s="1"/>
  <c r="CE6" i="4" a="1"/>
  <c r="CE6" i="4" s="1"/>
  <c r="CD6" i="4" a="1"/>
  <c r="CD6" i="4"/>
  <c r="CC6" i="4" a="1"/>
  <c r="CC6" i="4"/>
  <c r="CC7" i="4" s="1"/>
  <c r="CB6" i="4" a="1"/>
  <c r="CB6" i="4"/>
  <c r="CA6" i="4" a="1"/>
  <c r="CA6" i="4"/>
  <c r="BZ6" i="4" a="1"/>
  <c r="BZ6" i="4"/>
  <c r="BY6" i="4" a="1"/>
  <c r="BY6" i="4" s="1"/>
  <c r="BX6" i="4" a="1"/>
  <c r="BX6" i="4"/>
  <c r="BW6" i="4" a="1"/>
  <c r="BW6" i="4" s="1"/>
  <c r="BW7" i="4" s="1"/>
  <c r="BV6" i="4" a="1"/>
  <c r="BV6" i="4"/>
  <c r="BU6" i="4" a="1"/>
  <c r="BU6" i="4" s="1"/>
  <c r="BU8" i="4" s="1"/>
  <c r="BT6" i="4" a="1"/>
  <c r="BT6" i="4" s="1"/>
  <c r="BS6" i="4" a="1"/>
  <c r="BS6" i="4"/>
  <c r="BS8" i="4" s="1"/>
  <c r="BR6" i="4" a="1"/>
  <c r="BR6" i="4" s="1"/>
  <c r="BQ6" i="4" a="1"/>
  <c r="BQ6" i="4"/>
  <c r="BP6" i="4" a="1"/>
  <c r="BP6" i="4" s="1"/>
  <c r="BO6" i="4" a="1"/>
  <c r="BO6" i="4"/>
  <c r="BO7" i="4" s="1"/>
  <c r="BN6" i="4" a="1"/>
  <c r="BN6" i="4"/>
  <c r="BM6" i="4" a="1"/>
  <c r="BM6" i="4"/>
  <c r="BM7" i="4" s="1"/>
  <c r="BL6" i="4" a="1"/>
  <c r="BL6" i="4"/>
  <c r="BL8" i="4" s="1"/>
  <c r="BK6" i="4" a="1"/>
  <c r="BK6" i="4" s="1"/>
  <c r="BK8" i="4" s="1"/>
  <c r="BJ6" i="4" a="1"/>
  <c r="BJ6" i="4" s="1"/>
  <c r="BI6" i="4" a="1"/>
  <c r="BI6" i="4"/>
  <c r="BH6" i="4" a="1"/>
  <c r="BH6" i="4" s="1"/>
  <c r="BG6" i="4" a="1"/>
  <c r="BG6" i="4" s="1"/>
  <c r="BF6" i="4" a="1"/>
  <c r="BF6" i="4" s="1"/>
  <c r="BE6" i="4" a="1"/>
  <c r="BE6" i="4"/>
  <c r="BE8" i="4" s="1"/>
  <c r="BD6" i="4" a="1"/>
  <c r="BD6" i="4"/>
  <c r="BC6" i="4" a="1"/>
  <c r="BC6" i="4"/>
  <c r="BC8" i="4" s="1"/>
  <c r="BB6" i="4" a="1"/>
  <c r="BB6" i="4" s="1"/>
  <c r="BA6" i="4" a="1"/>
  <c r="BA6" i="4" s="1"/>
  <c r="AZ6" i="4" a="1"/>
  <c r="AZ6" i="4" s="1"/>
  <c r="AY6" i="4" a="1"/>
  <c r="AY6" i="4" s="1"/>
  <c r="AY7" i="4" s="1"/>
  <c r="AX6" i="4" a="1"/>
  <c r="AX6" i="4" s="1"/>
  <c r="AW6" i="4" a="1"/>
  <c r="AW6" i="4"/>
  <c r="AV6" i="4" a="1"/>
  <c r="AV6" i="4"/>
  <c r="AU6" i="4" a="1"/>
  <c r="AU6" i="4" s="1"/>
  <c r="AT6" i="4" a="1"/>
  <c r="AT6" i="4" s="1"/>
  <c r="AS6" i="4" a="1"/>
  <c r="AS6" i="4" s="1"/>
  <c r="AR6" i="4" a="1"/>
  <c r="AR6" i="4" s="1"/>
  <c r="AQ6" i="4" a="1"/>
  <c r="AQ6" i="4" s="1"/>
  <c r="AP6" i="4" a="1"/>
  <c r="AP6" i="4" s="1"/>
  <c r="AO6" i="4" a="1"/>
  <c r="AO6" i="4" s="1"/>
  <c r="AN6" i="4" a="1"/>
  <c r="AN6" i="4"/>
  <c r="AN7" i="4" s="1"/>
  <c r="AM6" i="4" a="1"/>
  <c r="AM6" i="4"/>
  <c r="AL6" i="4" a="1"/>
  <c r="AL6" i="4" s="1"/>
  <c r="AK6" i="4" a="1"/>
  <c r="AK6" i="4"/>
  <c r="AJ6" i="4" a="1"/>
  <c r="AJ6" i="4"/>
  <c r="AI6" i="4" a="1"/>
  <c r="AI6" i="4" s="1"/>
  <c r="AI7" i="4" s="1"/>
  <c r="AH6" i="4" a="1"/>
  <c r="AH6" i="4" s="1"/>
  <c r="AH7" i="4" s="1"/>
  <c r="AG6" i="4" a="1"/>
  <c r="AG6" i="4" s="1"/>
  <c r="AF6" i="4" a="1"/>
  <c r="AF6" i="4"/>
  <c r="AE6" i="4" a="1"/>
  <c r="AE6" i="4"/>
  <c r="AE8" i="4" s="1"/>
  <c r="AD6" i="4" a="1"/>
  <c r="AD6" i="4" s="1"/>
  <c r="AD7" i="4" s="1"/>
  <c r="AC6" i="4" a="1"/>
  <c r="AC6" i="4" s="1"/>
  <c r="AC8" i="4" s="1"/>
  <c r="AB6" i="4" a="1"/>
  <c r="AB6" i="4" s="1"/>
  <c r="AA6" i="4" a="1"/>
  <c r="AA6" i="4" s="1"/>
  <c r="Z6" i="4" a="1"/>
  <c r="Z6" i="4"/>
  <c r="Y6" i="4" a="1"/>
  <c r="Y6" i="4" s="1"/>
  <c r="X6" i="4" a="1"/>
  <c r="X6" i="4" s="1"/>
  <c r="X8" i="4" s="1"/>
  <c r="W6" i="4" a="1"/>
  <c r="W6" i="4"/>
  <c r="W7" i="4" s="1"/>
  <c r="V6" i="4" a="1"/>
  <c r="V6" i="4" s="1"/>
  <c r="V7" i="4" s="1"/>
  <c r="U6" i="4" a="1"/>
  <c r="U6" i="4"/>
  <c r="T6" i="4" a="1"/>
  <c r="T6" i="4"/>
  <c r="S6" i="4" a="1"/>
  <c r="S6" i="4"/>
  <c r="R6" i="4" a="1"/>
  <c r="R6" i="4"/>
  <c r="Q6" i="4" a="1"/>
  <c r="Q6" i="4"/>
  <c r="P6" i="4" a="1"/>
  <c r="P6" i="4" s="1"/>
  <c r="P8" i="4" s="1"/>
  <c r="O6" i="4" a="1"/>
  <c r="O6" i="4"/>
  <c r="N6" i="4" a="1"/>
  <c r="N6" i="4" s="1"/>
  <c r="M6" i="4" a="1"/>
  <c r="M6" i="4"/>
  <c r="M7" i="4" s="1"/>
  <c r="L6" i="4" a="1"/>
  <c r="L6" i="4"/>
  <c r="L7" i="4" s="1"/>
  <c r="K6" i="4" a="1"/>
  <c r="K6" i="4"/>
  <c r="K7" i="4" s="1"/>
  <c r="J6" i="4" a="1"/>
  <c r="J6" i="4"/>
  <c r="I6" i="4" a="1"/>
  <c r="I6" i="4"/>
  <c r="H6" i="4" a="1"/>
  <c r="H6" i="4"/>
  <c r="H8" i="4" s="1"/>
  <c r="G6" i="4" a="1"/>
  <c r="G6" i="4" s="1"/>
  <c r="G8" i="4" s="1"/>
  <c r="F6" i="4" a="1"/>
  <c r="F6" i="4" s="1"/>
  <c r="E6" i="4" a="1"/>
  <c r="E6" i="4"/>
  <c r="E7" i="4" s="1"/>
  <c r="D6" i="4" a="1"/>
  <c r="D6" i="4"/>
  <c r="D7" i="4" s="1"/>
  <c r="C6" i="4" a="1"/>
  <c r="C6" i="4"/>
  <c r="A1" i="4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G16" i="3" s="1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H14" i="3" s="1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EH12" i="3" s="1"/>
  <c r="I12" i="3"/>
  <c r="EG12" i="3" s="1"/>
  <c r="H12" i="3"/>
  <c r="G12" i="3"/>
  <c r="F12" i="3"/>
  <c r="E12" i="3"/>
  <c r="D12" i="3"/>
  <c r="C12" i="3"/>
  <c r="DY8" i="3"/>
  <c r="DW8" i="3"/>
  <c r="DU8" i="3"/>
  <c r="DT8" i="3"/>
  <c r="DN8" i="3"/>
  <c r="DG8" i="3"/>
  <c r="DA8" i="3"/>
  <c r="CU8" i="3"/>
  <c r="CQ8" i="3"/>
  <c r="CN8" i="3"/>
  <c r="CL8" i="3"/>
  <c r="CJ8" i="3"/>
  <c r="BR8" i="3"/>
  <c r="BQ8" i="3"/>
  <c r="BB8" i="3"/>
  <c r="BA8" i="3"/>
  <c r="AV8" i="3"/>
  <c r="AR8" i="3"/>
  <c r="AQ8" i="3"/>
  <c r="AK8" i="3"/>
  <c r="AA8" i="3"/>
  <c r="U8" i="3"/>
  <c r="T8" i="3"/>
  <c r="S8" i="3"/>
  <c r="J8" i="3"/>
  <c r="I8" i="3"/>
  <c r="C8" i="3"/>
  <c r="DU7" i="3"/>
  <c r="DT7" i="3"/>
  <c r="DR7" i="3"/>
  <c r="DQ7" i="3"/>
  <c r="DP7" i="3"/>
  <c r="DO7" i="3"/>
  <c r="DM7" i="3"/>
  <c r="DG7" i="3"/>
  <c r="DA7" i="3"/>
  <c r="CX7" i="3"/>
  <c r="CW7" i="3"/>
  <c r="CV7" i="3"/>
  <c r="CU7" i="3"/>
  <c r="CT7" i="3"/>
  <c r="CN7" i="3"/>
  <c r="CM7" i="3"/>
  <c r="BT7" i="3"/>
  <c r="BS7" i="3"/>
  <c r="BR7" i="3"/>
  <c r="BM7" i="3"/>
  <c r="BL7" i="3"/>
  <c r="BB7" i="3"/>
  <c r="BA7" i="3"/>
  <c r="AM7" i="3"/>
  <c r="AL7" i="3"/>
  <c r="AK7" i="3"/>
  <c r="AJ7" i="3"/>
  <c r="AI7" i="3"/>
  <c r="T7" i="3"/>
  <c r="R7" i="3"/>
  <c r="Q7" i="3"/>
  <c r="P7" i="3"/>
  <c r="K7" i="3"/>
  <c r="H7" i="3"/>
  <c r="C7" i="3"/>
  <c r="EG6" i="3" a="1"/>
  <c r="EG6" i="3"/>
  <c r="EG8" i="3" s="1"/>
  <c r="EF6" i="3" a="1"/>
  <c r="EF6" i="3"/>
  <c r="EF8" i="3" s="1"/>
  <c r="EE6" i="3" a="1"/>
  <c r="EE6" i="3"/>
  <c r="EE8" i="3" s="1"/>
  <c r="ED6" i="3" a="1"/>
  <c r="ED6" i="3"/>
  <c r="ED7" i="3" s="1"/>
  <c r="EC6" i="3" a="1"/>
  <c r="EC6" i="3" s="1"/>
  <c r="EB6" i="3" a="1"/>
  <c r="EB6" i="3" s="1"/>
  <c r="EA6" i="3" a="1"/>
  <c r="EA6" i="3" s="1"/>
  <c r="DZ6" i="3" a="1"/>
  <c r="DZ6" i="3" s="1"/>
  <c r="DY6" i="3" a="1"/>
  <c r="DY6" i="3"/>
  <c r="DY7" i="3" s="1"/>
  <c r="DX6" i="3" a="1"/>
  <c r="DX6" i="3" s="1"/>
  <c r="DX7" i="3" s="1"/>
  <c r="DW6" i="3" a="1"/>
  <c r="DW6" i="3"/>
  <c r="DW7" i="3" s="1"/>
  <c r="DV6" i="3" a="1"/>
  <c r="DV6" i="3" s="1"/>
  <c r="DV7" i="3" s="1"/>
  <c r="DU6" i="3" a="1"/>
  <c r="DU6" i="3" s="1"/>
  <c r="DT6" i="3" a="1"/>
  <c r="DT6" i="3"/>
  <c r="DS6" i="3" a="1"/>
  <c r="DS6" i="3" s="1"/>
  <c r="DR6" i="3" a="1"/>
  <c r="DR6" i="3"/>
  <c r="DR8" i="3" s="1"/>
  <c r="DQ6" i="3" a="1"/>
  <c r="DQ6" i="3"/>
  <c r="DQ8" i="3" s="1"/>
  <c r="DP6" i="3" a="1"/>
  <c r="DP6" i="3"/>
  <c r="DP8" i="3" s="1"/>
  <c r="DO6" i="3" a="1"/>
  <c r="DO6" i="3"/>
  <c r="DO8" i="3" s="1"/>
  <c r="DN6" i="3" a="1"/>
  <c r="DN6" i="3"/>
  <c r="DN7" i="3" s="1"/>
  <c r="DM6" i="3" a="1"/>
  <c r="DM6" i="3" s="1"/>
  <c r="DM8" i="3" s="1"/>
  <c r="DL6" i="3" a="1"/>
  <c r="DL6" i="3"/>
  <c r="DL8" i="3" s="1"/>
  <c r="DK6" i="3" a="1"/>
  <c r="DK6" i="3"/>
  <c r="DJ6" i="3" a="1"/>
  <c r="DJ6" i="3" s="1"/>
  <c r="DI6" i="3" a="1"/>
  <c r="DI6" i="3" s="1"/>
  <c r="DH6" i="3" a="1"/>
  <c r="DH6" i="3" s="1"/>
  <c r="DG6" i="3" a="1"/>
  <c r="DG6" i="3"/>
  <c r="DF6" i="3" a="1"/>
  <c r="DF6" i="3" s="1"/>
  <c r="DE6" i="3" a="1"/>
  <c r="DE6" i="3" s="1"/>
  <c r="DE7" i="3" s="1"/>
  <c r="DD6" i="3" a="1"/>
  <c r="DD6" i="3"/>
  <c r="DD7" i="3" s="1"/>
  <c r="DC6" i="3" a="1"/>
  <c r="DC6" i="3"/>
  <c r="DC7" i="3" s="1"/>
  <c r="DB6" i="3" a="1"/>
  <c r="DB6" i="3"/>
  <c r="DB7" i="3" s="1"/>
  <c r="DA6" i="3" a="1"/>
  <c r="DA6" i="3"/>
  <c r="CZ6" i="3" a="1"/>
  <c r="CZ6" i="3"/>
  <c r="CZ7" i="3" s="1"/>
  <c r="CY6" i="3" a="1"/>
  <c r="CY6" i="3"/>
  <c r="CX6" i="3" a="1"/>
  <c r="CX6" i="3"/>
  <c r="CX8" i="3" s="1"/>
  <c r="CW6" i="3" a="1"/>
  <c r="CW6" i="3" s="1"/>
  <c r="CW8" i="3" s="1"/>
  <c r="CV6" i="3" a="1"/>
  <c r="CV6" i="3" s="1"/>
  <c r="CV8" i="3" s="1"/>
  <c r="CU6" i="3" a="1"/>
  <c r="CU6" i="3" s="1"/>
  <c r="CT6" i="3" a="1"/>
  <c r="CT6" i="3"/>
  <c r="CT8" i="3" s="1"/>
  <c r="CS6" i="3" a="1"/>
  <c r="CS6" i="3" s="1"/>
  <c r="CR6" i="3" a="1"/>
  <c r="CR6" i="3" s="1"/>
  <c r="CQ6" i="3" a="1"/>
  <c r="CQ6" i="3"/>
  <c r="CQ7" i="3" s="1"/>
  <c r="CP6" i="3" a="1"/>
  <c r="CP6" i="3" s="1"/>
  <c r="CO6" i="3" a="1"/>
  <c r="CO6" i="3" s="1"/>
  <c r="CO8" i="3" s="1"/>
  <c r="CN6" i="3" a="1"/>
  <c r="CN6" i="3"/>
  <c r="CM6" i="3" a="1"/>
  <c r="CM6" i="3"/>
  <c r="CM8" i="3" s="1"/>
  <c r="CL6" i="3" a="1"/>
  <c r="CL6" i="3"/>
  <c r="CL7" i="3" s="1"/>
  <c r="CK6" i="3" a="1"/>
  <c r="CK6" i="3"/>
  <c r="CK7" i="3" s="1"/>
  <c r="CJ6" i="3" a="1"/>
  <c r="CJ6" i="3"/>
  <c r="CJ7" i="3" s="1"/>
  <c r="CI6" i="3" a="1"/>
  <c r="CI6" i="3"/>
  <c r="CH6" i="3" a="1"/>
  <c r="CH6" i="3"/>
  <c r="CG6" i="3" a="1"/>
  <c r="CG6" i="3" s="1"/>
  <c r="CF6" i="3" a="1"/>
  <c r="CF6" i="3" s="1"/>
  <c r="CE6" i="3" a="1"/>
  <c r="CE6" i="3" s="1"/>
  <c r="CD6" i="3" a="1"/>
  <c r="CD6" i="3" s="1"/>
  <c r="CC6" i="3" a="1"/>
  <c r="CC6" i="3" s="1"/>
  <c r="CB6" i="3" a="1"/>
  <c r="CB6" i="3" s="1"/>
  <c r="CA6" i="3" a="1"/>
  <c r="CA6" i="3"/>
  <c r="BZ6" i="3" a="1"/>
  <c r="BZ6" i="3" s="1"/>
  <c r="BY6" i="3" a="1"/>
  <c r="BY6" i="3" s="1"/>
  <c r="BX6" i="3" a="1"/>
  <c r="BX6" i="3"/>
  <c r="BW6" i="3" a="1"/>
  <c r="BW6" i="3" s="1"/>
  <c r="BV6" i="3" a="1"/>
  <c r="BV6" i="3" s="1"/>
  <c r="BU6" i="3" a="1"/>
  <c r="BU6" i="3" s="1"/>
  <c r="BU7" i="3" s="1"/>
  <c r="BT6" i="3" a="1"/>
  <c r="BT6" i="3" s="1"/>
  <c r="BT8" i="3" s="1"/>
  <c r="BS6" i="3" a="1"/>
  <c r="BS6" i="3"/>
  <c r="BS8" i="3" s="1"/>
  <c r="BR6" i="3" a="1"/>
  <c r="BR6" i="3"/>
  <c r="BQ6" i="3" a="1"/>
  <c r="BQ6" i="3" s="1"/>
  <c r="BQ7" i="3" s="1"/>
  <c r="BP6" i="3" a="1"/>
  <c r="BP6" i="3" s="1"/>
  <c r="BO6" i="3" a="1"/>
  <c r="BO6" i="3" s="1"/>
  <c r="BN6" i="3" a="1"/>
  <c r="BN6" i="3"/>
  <c r="BN7" i="3" s="1"/>
  <c r="BM6" i="3" a="1"/>
  <c r="BM6" i="3"/>
  <c r="BM8" i="3" s="1"/>
  <c r="BL6" i="3" a="1"/>
  <c r="BL6" i="3"/>
  <c r="BL8" i="3" s="1"/>
  <c r="BK6" i="3" a="1"/>
  <c r="BK6" i="3" s="1"/>
  <c r="BJ6" i="3" a="1"/>
  <c r="BJ6" i="3" s="1"/>
  <c r="BI6" i="3" a="1"/>
  <c r="BI6" i="3" s="1"/>
  <c r="BI7" i="3" s="1"/>
  <c r="BH6" i="3" a="1"/>
  <c r="BH6" i="3"/>
  <c r="BG6" i="3" a="1"/>
  <c r="BG6" i="3"/>
  <c r="BG8" i="3" s="1"/>
  <c r="BF6" i="3" a="1"/>
  <c r="BF6" i="3" s="1"/>
  <c r="BE6" i="3" a="1"/>
  <c r="BE6" i="3" s="1"/>
  <c r="BD6" i="3" a="1"/>
  <c r="BD6" i="3" s="1"/>
  <c r="BC6" i="3" a="1"/>
  <c r="BC6" i="3" s="1"/>
  <c r="BB6" i="3" a="1"/>
  <c r="BB6" i="3"/>
  <c r="BA6" i="3" a="1"/>
  <c r="BA6" i="3" s="1"/>
  <c r="AZ6" i="3" a="1"/>
  <c r="AZ6" i="3"/>
  <c r="AZ8" i="3" s="1"/>
  <c r="AY6" i="3" a="1"/>
  <c r="AY6" i="3"/>
  <c r="AX6" i="3" a="1"/>
  <c r="AX6" i="3" s="1"/>
  <c r="AW6" i="3" a="1"/>
  <c r="AW6" i="3"/>
  <c r="AV6" i="3" a="1"/>
  <c r="AV6" i="3"/>
  <c r="AV7" i="3" s="1"/>
  <c r="AU6" i="3" a="1"/>
  <c r="AU6" i="3"/>
  <c r="AT6" i="3" a="1"/>
  <c r="AT6" i="3" s="1"/>
  <c r="AS6" i="3" a="1"/>
  <c r="AS6" i="3" s="1"/>
  <c r="AR6" i="3" a="1"/>
  <c r="AR6" i="3"/>
  <c r="AR7" i="3" s="1"/>
  <c r="AQ6" i="3" a="1"/>
  <c r="AQ6" i="3"/>
  <c r="AQ7" i="3" s="1"/>
  <c r="AP6" i="3" a="1"/>
  <c r="AP6" i="3"/>
  <c r="AP7" i="3" s="1"/>
  <c r="AO6" i="3" a="1"/>
  <c r="AO6" i="3" s="1"/>
  <c r="AN6" i="3" a="1"/>
  <c r="AN6" i="3"/>
  <c r="AN8" i="3" s="1"/>
  <c r="AM6" i="3" a="1"/>
  <c r="AM6" i="3"/>
  <c r="AM8" i="3" s="1"/>
  <c r="AL6" i="3" a="1"/>
  <c r="AL6" i="3"/>
  <c r="AL8" i="3" s="1"/>
  <c r="AK6" i="3" a="1"/>
  <c r="AK6" i="3" s="1"/>
  <c r="AJ6" i="3" a="1"/>
  <c r="AJ6" i="3" s="1"/>
  <c r="AJ8" i="3" s="1"/>
  <c r="AI6" i="3" a="1"/>
  <c r="AI6" i="3"/>
  <c r="AI8" i="3" s="1"/>
  <c r="AH6" i="3" a="1"/>
  <c r="AH6" i="3"/>
  <c r="AH7" i="3" s="1"/>
  <c r="AG6" i="3" a="1"/>
  <c r="AG6" i="3"/>
  <c r="AF6" i="3" a="1"/>
  <c r="AF6" i="3" s="1"/>
  <c r="AE6" i="3" a="1"/>
  <c r="AE6" i="3"/>
  <c r="AD6" i="3" a="1"/>
  <c r="AD6" i="3"/>
  <c r="AC6" i="3" a="1"/>
  <c r="AC6" i="3" s="1"/>
  <c r="AC8" i="3" s="1"/>
  <c r="AB6" i="3" a="1"/>
  <c r="AB6" i="3"/>
  <c r="AA6" i="3" a="1"/>
  <c r="AA6" i="3"/>
  <c r="AA7" i="3" s="1"/>
  <c r="Z6" i="3" a="1"/>
  <c r="Z6" i="3"/>
  <c r="Z7" i="3" s="1"/>
  <c r="Y6" i="3" a="1"/>
  <c r="Y6" i="3"/>
  <c r="X6" i="3" a="1"/>
  <c r="X6" i="3" s="1"/>
  <c r="W6" i="3" a="1"/>
  <c r="W6" i="3"/>
  <c r="V6" i="3" a="1"/>
  <c r="V6" i="3" s="1"/>
  <c r="U6" i="3" a="1"/>
  <c r="U6" i="3" s="1"/>
  <c r="U7" i="3" s="1"/>
  <c r="T6" i="3" a="1"/>
  <c r="T6" i="3" s="1"/>
  <c r="S6" i="3" a="1"/>
  <c r="S6" i="3" s="1"/>
  <c r="S7" i="3" s="1"/>
  <c r="R6" i="3" a="1"/>
  <c r="R6" i="3"/>
  <c r="R8" i="3" s="1"/>
  <c r="Q6" i="3" a="1"/>
  <c r="Q6" i="3"/>
  <c r="Q8" i="3" s="1"/>
  <c r="P6" i="3" a="1"/>
  <c r="P6" i="3"/>
  <c r="P8" i="3" s="1"/>
  <c r="O6" i="3" a="1"/>
  <c r="O6" i="3"/>
  <c r="O8" i="3" s="1"/>
  <c r="N6" i="3" a="1"/>
  <c r="N6" i="3" s="1"/>
  <c r="M6" i="3" a="1"/>
  <c r="M6" i="3" s="1"/>
  <c r="M8" i="3" s="1"/>
  <c r="L6" i="3" a="1"/>
  <c r="L6" i="3" s="1"/>
  <c r="L8" i="3" s="1"/>
  <c r="K6" i="3" a="1"/>
  <c r="K6" i="3"/>
  <c r="K8" i="3" s="1"/>
  <c r="J6" i="3" a="1"/>
  <c r="J6" i="3"/>
  <c r="J7" i="3" s="1"/>
  <c r="I6" i="3" a="1"/>
  <c r="I6" i="3" s="1"/>
  <c r="I7" i="3" s="1"/>
  <c r="H6" i="3" a="1"/>
  <c r="H6" i="3"/>
  <c r="H8" i="3" s="1"/>
  <c r="G6" i="3" a="1"/>
  <c r="G6" i="3"/>
  <c r="F6" i="3" a="1"/>
  <c r="F6" i="3" s="1"/>
  <c r="E6" i="3" a="1"/>
  <c r="E6" i="3" s="1"/>
  <c r="D6" i="3" a="1"/>
  <c r="D6" i="3" s="1"/>
  <c r="C6" i="3" a="1"/>
  <c r="C6" i="3" s="1"/>
  <c r="A1" i="3"/>
  <c r="EH25" i="2"/>
  <c r="EG25" i="2"/>
  <c r="EI25" i="2" s="1"/>
  <c r="EH24" i="2"/>
  <c r="EG24" i="2"/>
  <c r="EI24" i="2" s="1"/>
  <c r="EH23" i="2"/>
  <c r="EG23" i="2"/>
  <c r="EI23" i="2" s="1"/>
  <c r="EH22" i="2"/>
  <c r="EG22" i="2"/>
  <c r="EI22" i="2" s="1"/>
  <c r="EH21" i="2"/>
  <c r="EG21" i="2"/>
  <c r="EI21" i="2" s="1"/>
  <c r="EH20" i="2"/>
  <c r="EI20" i="2" s="1"/>
  <c r="EG20" i="2"/>
  <c r="EH19" i="2"/>
  <c r="EG19" i="2"/>
  <c r="EI19" i="2" s="1"/>
  <c r="EH18" i="2"/>
  <c r="EG18" i="2"/>
  <c r="EI18" i="2" s="1"/>
  <c r="EI17" i="2"/>
  <c r="EH17" i="2"/>
  <c r="EG17" i="2"/>
  <c r="EH16" i="2"/>
  <c r="EG16" i="2"/>
  <c r="EI16" i="2" s="1"/>
  <c r="EI15" i="2"/>
  <c r="EH15" i="2"/>
  <c r="EG15" i="2"/>
  <c r="EH14" i="2"/>
  <c r="EG14" i="2"/>
  <c r="EI14" i="2" s="1"/>
  <c r="EH13" i="2"/>
  <c r="EG13" i="2"/>
  <c r="EI13" i="2" s="1"/>
  <c r="EI12" i="2"/>
  <c r="EH12" i="2"/>
  <c r="EG12" i="2"/>
  <c r="EC8" i="2"/>
  <c r="EB8" i="2"/>
  <c r="DX8" i="2"/>
  <c r="DT8" i="2"/>
  <c r="DP8" i="2"/>
  <c r="DJ8" i="2"/>
  <c r="DF8" i="2"/>
  <c r="DE8" i="2"/>
  <c r="DD8" i="2"/>
  <c r="DC8" i="2"/>
  <c r="CZ8" i="2"/>
  <c r="CY8" i="2"/>
  <c r="CR8" i="2"/>
  <c r="CI8" i="2"/>
  <c r="CH8" i="2"/>
  <c r="CG8" i="2"/>
  <c r="CF8" i="2"/>
  <c r="CE8" i="2"/>
  <c r="CC8" i="2"/>
  <c r="BZ8" i="2"/>
  <c r="BT8" i="2"/>
  <c r="BN8" i="2"/>
  <c r="BM8" i="2"/>
  <c r="BL8" i="2"/>
  <c r="BI8" i="2"/>
  <c r="BD8" i="2"/>
  <c r="AW8" i="2"/>
  <c r="AU8" i="2"/>
  <c r="AN8" i="2"/>
  <c r="AF8" i="2"/>
  <c r="AD8" i="2"/>
  <c r="X8" i="2"/>
  <c r="W8" i="2"/>
  <c r="V8" i="2"/>
  <c r="P8" i="2"/>
  <c r="M8" i="2"/>
  <c r="E8" i="2"/>
  <c r="D8" i="2"/>
  <c r="ED7" i="2"/>
  <c r="EC7" i="2"/>
  <c r="EB7" i="2"/>
  <c r="EA7" i="2"/>
  <c r="DZ7" i="2"/>
  <c r="DT7" i="2"/>
  <c r="DS7" i="2"/>
  <c r="DJ7" i="2"/>
  <c r="DF7" i="2"/>
  <c r="DC7" i="2"/>
  <c r="DB7" i="2"/>
  <c r="CL7" i="2"/>
  <c r="CK7" i="2"/>
  <c r="CI7" i="2"/>
  <c r="CH7" i="2"/>
  <c r="CG7" i="2"/>
  <c r="BX7" i="2"/>
  <c r="BU7" i="2"/>
  <c r="BT7" i="2"/>
  <c r="BI7" i="2"/>
  <c r="BH7" i="2"/>
  <c r="BG7" i="2"/>
  <c r="BD7" i="2"/>
  <c r="AX7" i="2"/>
  <c r="AU7" i="2"/>
  <c r="AO7" i="2"/>
  <c r="AN7" i="2"/>
  <c r="AM7" i="2"/>
  <c r="AL7" i="2"/>
  <c r="AH7" i="2"/>
  <c r="AD7" i="2"/>
  <c r="Y7" i="2"/>
  <c r="X7" i="2"/>
  <c r="W7" i="2"/>
  <c r="V7" i="2"/>
  <c r="U7" i="2"/>
  <c r="T7" i="2"/>
  <c r="R7" i="2"/>
  <c r="O7" i="2"/>
  <c r="M7" i="2"/>
  <c r="D7" i="2"/>
  <c r="C7" i="2"/>
  <c r="EG6" i="2" a="1"/>
  <c r="EG6" i="2" s="1"/>
  <c r="EF6" i="2" a="1"/>
  <c r="EF6" i="2"/>
  <c r="EE6" i="2" a="1"/>
  <c r="EE6" i="2" s="1"/>
  <c r="ED6" i="2" a="1"/>
  <c r="ED6" i="2"/>
  <c r="ED8" i="2" s="1"/>
  <c r="EC6" i="2" a="1"/>
  <c r="EC6" i="2" s="1"/>
  <c r="EB6" i="2" a="1"/>
  <c r="EB6" i="2" s="1"/>
  <c r="EA6" i="2" a="1"/>
  <c r="EA6" i="2"/>
  <c r="EA8" i="2" s="1"/>
  <c r="DZ6" i="2" a="1"/>
  <c r="DZ6" i="2"/>
  <c r="DZ8" i="2" s="1"/>
  <c r="DY6" i="2" a="1"/>
  <c r="DY6" i="2" s="1"/>
  <c r="DX6" i="2" a="1"/>
  <c r="DX6" i="2"/>
  <c r="DX7" i="2" s="1"/>
  <c r="DW6" i="2" a="1"/>
  <c r="DW6" i="2"/>
  <c r="DW8" i="2" s="1"/>
  <c r="DV6" i="2" a="1"/>
  <c r="DV6" i="2" s="1"/>
  <c r="DU6" i="2" a="1"/>
  <c r="DU6" i="2"/>
  <c r="DT6" i="2" a="1"/>
  <c r="DT6" i="2"/>
  <c r="DS6" i="2" a="1"/>
  <c r="DS6" i="2"/>
  <c r="DS8" i="2" s="1"/>
  <c r="DR6" i="2" a="1"/>
  <c r="DR6" i="2" s="1"/>
  <c r="DQ6" i="2" a="1"/>
  <c r="DQ6" i="2" s="1"/>
  <c r="DQ8" i="2" s="1"/>
  <c r="DP6" i="2" a="1"/>
  <c r="DP6" i="2"/>
  <c r="DP7" i="2" s="1"/>
  <c r="DO6" i="2" a="1"/>
  <c r="DO6" i="2"/>
  <c r="DO7" i="2" s="1"/>
  <c r="DN6" i="2" a="1"/>
  <c r="DN6" i="2"/>
  <c r="DM6" i="2" a="1"/>
  <c r="DM6" i="2" s="1"/>
  <c r="DL6" i="2" a="1"/>
  <c r="DL6" i="2" s="1"/>
  <c r="DK6" i="2" a="1"/>
  <c r="DK6" i="2" s="1"/>
  <c r="DJ6" i="2" a="1"/>
  <c r="DJ6" i="2"/>
  <c r="DI6" i="2" a="1"/>
  <c r="DI6" i="2" s="1"/>
  <c r="DH6" i="2" a="1"/>
  <c r="DH6" i="2"/>
  <c r="DG6" i="2" a="1"/>
  <c r="DG6" i="2" s="1"/>
  <c r="DG8" i="2" s="1"/>
  <c r="DF6" i="2" a="1"/>
  <c r="DF6" i="2"/>
  <c r="DE6" i="2" a="1"/>
  <c r="DE6" i="2"/>
  <c r="DE7" i="2" s="1"/>
  <c r="DD6" i="2" a="1"/>
  <c r="DD6" i="2"/>
  <c r="DD7" i="2" s="1"/>
  <c r="DC6" i="2" a="1"/>
  <c r="DC6" i="2"/>
  <c r="DB6" i="2" a="1"/>
  <c r="DB6" i="2"/>
  <c r="DB8" i="2" s="1"/>
  <c r="DA6" i="2" a="1"/>
  <c r="DA6" i="2" s="1"/>
  <c r="DA8" i="2" s="1"/>
  <c r="CZ6" i="2" a="1"/>
  <c r="CZ6" i="2"/>
  <c r="CZ7" i="2" s="1"/>
  <c r="CY6" i="2" a="1"/>
  <c r="CY6" i="2"/>
  <c r="CY7" i="2" s="1"/>
  <c r="CX6" i="2" a="1"/>
  <c r="CX6" i="2"/>
  <c r="CX7" i="2" s="1"/>
  <c r="CW6" i="2" a="1"/>
  <c r="CW6" i="2"/>
  <c r="CW7" i="2" s="1"/>
  <c r="CV6" i="2" a="1"/>
  <c r="CV6" i="2" s="1"/>
  <c r="CU6" i="2" a="1"/>
  <c r="CU6" i="2" s="1"/>
  <c r="CT6" i="2" a="1"/>
  <c r="CT6" i="2" s="1"/>
  <c r="CS6" i="2" a="1"/>
  <c r="CS6" i="2" s="1"/>
  <c r="CR6" i="2" a="1"/>
  <c r="CR6" i="2"/>
  <c r="CR7" i="2" s="1"/>
  <c r="CQ6" i="2" a="1"/>
  <c r="CQ6" i="2" s="1"/>
  <c r="CP6" i="2" a="1"/>
  <c r="CP6" i="2" s="1"/>
  <c r="CO6" i="2" a="1"/>
  <c r="CO6" i="2" s="1"/>
  <c r="CN6" i="2" a="1"/>
  <c r="CN6" i="2"/>
  <c r="CN8" i="2" s="1"/>
  <c r="CM6" i="2" a="1"/>
  <c r="CM6" i="2"/>
  <c r="CL6" i="2" a="1"/>
  <c r="CL6" i="2"/>
  <c r="CL8" i="2" s="1"/>
  <c r="CK6" i="2" a="1"/>
  <c r="CK6" i="2" s="1"/>
  <c r="CK8" i="2" s="1"/>
  <c r="CJ6" i="2" a="1"/>
  <c r="CJ6" i="2"/>
  <c r="CJ8" i="2" s="1"/>
  <c r="CI6" i="2" a="1"/>
  <c r="CI6" i="2"/>
  <c r="CH6" i="2" a="1"/>
  <c r="CH6" i="2"/>
  <c r="CG6" i="2" a="1"/>
  <c r="CG6" i="2"/>
  <c r="CF6" i="2" a="1"/>
  <c r="CF6" i="2"/>
  <c r="CF7" i="2" s="1"/>
  <c r="CE6" i="2" a="1"/>
  <c r="CE6" i="2"/>
  <c r="CE7" i="2" s="1"/>
  <c r="CD6" i="2" a="1"/>
  <c r="CD6" i="2" s="1"/>
  <c r="CD7" i="2" s="1"/>
  <c r="CC6" i="2" a="1"/>
  <c r="CC6" i="2" s="1"/>
  <c r="CC7" i="2" s="1"/>
  <c r="CB6" i="2" a="1"/>
  <c r="CB6" i="2"/>
  <c r="CA6" i="2" a="1"/>
  <c r="CA6" i="2"/>
  <c r="BZ6" i="2" a="1"/>
  <c r="BZ6" i="2"/>
  <c r="BZ7" i="2" s="1"/>
  <c r="BY6" i="2" a="1"/>
  <c r="BY6" i="2"/>
  <c r="BY8" i="2" s="1"/>
  <c r="BX6" i="2" a="1"/>
  <c r="BX6" i="2"/>
  <c r="BX8" i="2" s="1"/>
  <c r="BW6" i="2" a="1"/>
  <c r="BW6" i="2"/>
  <c r="BW8" i="2" s="1"/>
  <c r="BV6" i="2" a="1"/>
  <c r="BV6" i="2"/>
  <c r="BV8" i="2" s="1"/>
  <c r="BU6" i="2" a="1"/>
  <c r="BU6" i="2" s="1"/>
  <c r="BU8" i="2" s="1"/>
  <c r="BT6" i="2" a="1"/>
  <c r="BT6" i="2"/>
  <c r="BS6" i="2" a="1"/>
  <c r="BS6" i="2" s="1"/>
  <c r="BR6" i="2" a="1"/>
  <c r="BR6" i="2" s="1"/>
  <c r="BQ6" i="2" a="1"/>
  <c r="BQ6" i="2" s="1"/>
  <c r="BQ8" i="2" s="1"/>
  <c r="BP6" i="2" a="1"/>
  <c r="BP6" i="2" s="1"/>
  <c r="BP8" i="2" s="1"/>
  <c r="BO6" i="2" a="1"/>
  <c r="BO6" i="2" s="1"/>
  <c r="BO8" i="2" s="1"/>
  <c r="BN6" i="2" a="1"/>
  <c r="BN6" i="2"/>
  <c r="BN7" i="2" s="1"/>
  <c r="BM6" i="2" a="1"/>
  <c r="BM6" i="2" s="1"/>
  <c r="BM7" i="2" s="1"/>
  <c r="BL6" i="2" a="1"/>
  <c r="BL6" i="2"/>
  <c r="BL7" i="2" s="1"/>
  <c r="BK6" i="2" a="1"/>
  <c r="BK6" i="2"/>
  <c r="BK7" i="2" s="1"/>
  <c r="BJ6" i="2" a="1"/>
  <c r="BJ6" i="2"/>
  <c r="BJ7" i="2" s="1"/>
  <c r="BI6" i="2" a="1"/>
  <c r="BI6" i="2"/>
  <c r="BH6" i="2" a="1"/>
  <c r="BH6" i="2"/>
  <c r="BH8" i="2" s="1"/>
  <c r="BG6" i="2" a="1"/>
  <c r="BG6" i="2"/>
  <c r="BG8" i="2" s="1"/>
  <c r="BF6" i="2" a="1"/>
  <c r="BF6" i="2"/>
  <c r="BF8" i="2" s="1"/>
  <c r="BE6" i="2" a="1"/>
  <c r="BE6" i="2" s="1"/>
  <c r="BE8" i="2" s="1"/>
  <c r="BD6" i="2" a="1"/>
  <c r="BD6" i="2"/>
  <c r="BC6" i="2" a="1"/>
  <c r="BC6" i="2" s="1"/>
  <c r="BB6" i="2" a="1"/>
  <c r="BB6" i="2"/>
  <c r="BA6" i="2" a="1"/>
  <c r="BA6" i="2"/>
  <c r="AZ6" i="2" a="1"/>
  <c r="AZ6" i="2"/>
  <c r="AZ8" i="2" s="1"/>
  <c r="AY6" i="2" a="1"/>
  <c r="AY6" i="2"/>
  <c r="AY8" i="2" s="1"/>
  <c r="AX6" i="2" a="1"/>
  <c r="AX6" i="2"/>
  <c r="AX8" i="2" s="1"/>
  <c r="AW6" i="2" a="1"/>
  <c r="AW6" i="2" s="1"/>
  <c r="AW7" i="2" s="1"/>
  <c r="AV6" i="2" a="1"/>
  <c r="AV6" i="2"/>
  <c r="AV7" i="2" s="1"/>
  <c r="AU6" i="2" a="1"/>
  <c r="AU6" i="2"/>
  <c r="AT6" i="2" a="1"/>
  <c r="AT6" i="2"/>
  <c r="AT7" i="2" s="1"/>
  <c r="AS6" i="2" a="1"/>
  <c r="AS6" i="2"/>
  <c r="AS7" i="2" s="1"/>
  <c r="AR6" i="2" a="1"/>
  <c r="AR6" i="2" s="1"/>
  <c r="AR7" i="2" s="1"/>
  <c r="AQ6" i="2" a="1"/>
  <c r="AQ6" i="2" s="1"/>
  <c r="AQ7" i="2" s="1"/>
  <c r="AP6" i="2" a="1"/>
  <c r="AP6" i="2" s="1"/>
  <c r="AP8" i="2" s="1"/>
  <c r="AO6" i="2" a="1"/>
  <c r="AO6" i="2" s="1"/>
  <c r="AO8" i="2" s="1"/>
  <c r="AN6" i="2" a="1"/>
  <c r="AN6" i="2"/>
  <c r="AM6" i="2" a="1"/>
  <c r="AM6" i="2" s="1"/>
  <c r="AM8" i="2" s="1"/>
  <c r="AL6" i="2" a="1"/>
  <c r="AL6" i="2" s="1"/>
  <c r="AL8" i="2" s="1"/>
  <c r="AK6" i="2" a="1"/>
  <c r="AK6" i="2"/>
  <c r="AJ6" i="2" a="1"/>
  <c r="AJ6" i="2" s="1"/>
  <c r="AI6" i="2" a="1"/>
  <c r="AI6" i="2"/>
  <c r="AH6" i="2" a="1"/>
  <c r="AH6" i="2"/>
  <c r="AH8" i="2" s="1"/>
  <c r="AG6" i="2" a="1"/>
  <c r="AG6" i="2" s="1"/>
  <c r="AG7" i="2" s="1"/>
  <c r="AF6" i="2" a="1"/>
  <c r="AF6" i="2"/>
  <c r="AF7" i="2" s="1"/>
  <c r="AE6" i="2" a="1"/>
  <c r="AE6" i="2" s="1"/>
  <c r="AD6" i="2" a="1"/>
  <c r="AD6" i="2"/>
  <c r="AC6" i="2" a="1"/>
  <c r="AC6" i="2"/>
  <c r="AB6" i="2" a="1"/>
  <c r="AB6" i="2"/>
  <c r="AA6" i="2" a="1"/>
  <c r="AA6" i="2" s="1"/>
  <c r="Z6" i="2" a="1"/>
  <c r="Z6" i="2" s="1"/>
  <c r="Y6" i="2" a="1"/>
  <c r="Y6" i="2" s="1"/>
  <c r="Y8" i="2" s="1"/>
  <c r="X6" i="2" a="1"/>
  <c r="X6" i="2"/>
  <c r="W6" i="2" a="1"/>
  <c r="W6" i="2"/>
  <c r="V6" i="2" a="1"/>
  <c r="V6" i="2" s="1"/>
  <c r="U6" i="2" a="1"/>
  <c r="U6" i="2" s="1"/>
  <c r="U8" i="2" s="1"/>
  <c r="T6" i="2" a="1"/>
  <c r="T6" i="2"/>
  <c r="T8" i="2" s="1"/>
  <c r="S6" i="2" a="1"/>
  <c r="S6" i="2" s="1"/>
  <c r="R6" i="2" a="1"/>
  <c r="R6" i="2"/>
  <c r="R8" i="2" s="1"/>
  <c r="Q6" i="2" a="1"/>
  <c r="Q6" i="2" s="1"/>
  <c r="Q7" i="2" s="1"/>
  <c r="P6" i="2" a="1"/>
  <c r="P6" i="2"/>
  <c r="P7" i="2" s="1"/>
  <c r="O6" i="2" a="1"/>
  <c r="O6" i="2" s="1"/>
  <c r="O8" i="2" s="1"/>
  <c r="N6" i="2" a="1"/>
  <c r="N6" i="2" s="1"/>
  <c r="M6" i="2" a="1"/>
  <c r="M6" i="2"/>
  <c r="L6" i="2" a="1"/>
  <c r="L6" i="2"/>
  <c r="L8" i="2" s="1"/>
  <c r="K6" i="2" a="1"/>
  <c r="K6" i="2"/>
  <c r="J6" i="2" a="1"/>
  <c r="J6" i="2" s="1"/>
  <c r="I6" i="2" a="1"/>
  <c r="I6" i="2" s="1"/>
  <c r="H6" i="2" a="1"/>
  <c r="H6" i="2"/>
  <c r="G6" i="2" a="1"/>
  <c r="G6" i="2"/>
  <c r="G7" i="2" s="1"/>
  <c r="F6" i="2" a="1"/>
  <c r="F6" i="2"/>
  <c r="F7" i="2" s="1"/>
  <c r="E6" i="2" a="1"/>
  <c r="E6" i="2" s="1"/>
  <c r="E7" i="2" s="1"/>
  <c r="D6" i="2" a="1"/>
  <c r="D6" i="2" s="1"/>
  <c r="C6" i="2" a="1"/>
  <c r="C6" i="2"/>
  <c r="C8" i="2" s="1"/>
  <c r="A1" i="2"/>
  <c r="EF8" i="1"/>
  <c r="EC8" i="1"/>
  <c r="EB8" i="1"/>
  <c r="EA8" i="1"/>
  <c r="DZ8" i="1"/>
  <c r="DL8" i="1"/>
  <c r="DK8" i="1"/>
  <c r="DH8" i="1"/>
  <c r="DG8" i="1"/>
  <c r="DF8" i="1"/>
  <c r="CM8" i="1"/>
  <c r="CF8" i="1"/>
  <c r="CE8" i="1"/>
  <c r="BN8" i="1"/>
  <c r="BG8" i="1"/>
  <c r="AR8" i="1"/>
  <c r="AQ8" i="1"/>
  <c r="AP8" i="1"/>
  <c r="AO8" i="1"/>
  <c r="AN8" i="1"/>
  <c r="X8" i="1"/>
  <c r="U8" i="1"/>
  <c r="T8" i="1"/>
  <c r="Q8" i="1"/>
  <c r="C8" i="1"/>
  <c r="ED7" i="1"/>
  <c r="EC7" i="1"/>
  <c r="DL7" i="1"/>
  <c r="DK7" i="1"/>
  <c r="DG7" i="1"/>
  <c r="DD7" i="1"/>
  <c r="DC7" i="1"/>
  <c r="CJ7" i="1"/>
  <c r="CI7" i="1"/>
  <c r="CG7" i="1"/>
  <c r="CF7" i="1"/>
  <c r="BP7" i="1"/>
  <c r="BO7" i="1"/>
  <c r="BN7" i="1"/>
  <c r="BM7" i="1"/>
  <c r="BK7" i="1"/>
  <c r="BG7" i="1"/>
  <c r="AY7" i="1"/>
  <c r="AV7" i="1"/>
  <c r="AQ7" i="1"/>
  <c r="T7" i="1"/>
  <c r="S7" i="1"/>
  <c r="Q7" i="1"/>
  <c r="D7" i="1"/>
  <c r="C7" i="1"/>
  <c r="EG6" i="1" a="1"/>
  <c r="EG6" i="1" s="1"/>
  <c r="EF6" i="1" a="1"/>
  <c r="EF6" i="1"/>
  <c r="EF7" i="1" s="1"/>
  <c r="EE6" i="1" a="1"/>
  <c r="EE6" i="1" s="1"/>
  <c r="EE8" i="1" s="1"/>
  <c r="ED6" i="1" a="1"/>
  <c r="ED6" i="1" s="1"/>
  <c r="ED8" i="1" s="1"/>
  <c r="EC6" i="1" a="1"/>
  <c r="EC6" i="1" s="1"/>
  <c r="EB6" i="1" a="1"/>
  <c r="EB6" i="1" s="1"/>
  <c r="EB7" i="1" s="1"/>
  <c r="EA6" i="1" a="1"/>
  <c r="EA6" i="1" s="1"/>
  <c r="EA7" i="1" s="1"/>
  <c r="DZ6" i="1" a="1"/>
  <c r="DZ6" i="1"/>
  <c r="DZ7" i="1" s="1"/>
  <c r="DY6" i="1" a="1"/>
  <c r="DY6" i="1"/>
  <c r="DY8" i="1" s="1"/>
  <c r="DX6" i="1" a="1"/>
  <c r="DX6" i="1" s="1"/>
  <c r="DW6" i="1" a="1"/>
  <c r="DW6" i="1"/>
  <c r="DV6" i="1" a="1"/>
  <c r="DV6" i="1" s="1"/>
  <c r="DU6" i="1" a="1"/>
  <c r="DU6" i="1" s="1"/>
  <c r="DT6" i="1" a="1"/>
  <c r="DT6" i="1" s="1"/>
  <c r="DT8" i="1" s="1"/>
  <c r="DS6" i="1" a="1"/>
  <c r="DS6" i="1" s="1"/>
  <c r="DS8" i="1" s="1"/>
  <c r="DR6" i="1" a="1"/>
  <c r="DR6" i="1" s="1"/>
  <c r="DQ6" i="1" a="1"/>
  <c r="DQ6" i="1"/>
  <c r="DQ8" i="1" s="1"/>
  <c r="DP6" i="1" a="1"/>
  <c r="DP6" i="1"/>
  <c r="DO6" i="1" a="1"/>
  <c r="DO6" i="1"/>
  <c r="DN6" i="1" a="1"/>
  <c r="DN6" i="1"/>
  <c r="DM6" i="1" a="1"/>
  <c r="DM6" i="1" s="1"/>
  <c r="DL6" i="1" a="1"/>
  <c r="DL6" i="1" s="1"/>
  <c r="DK6" i="1" a="1"/>
  <c r="DK6" i="1" s="1"/>
  <c r="DJ6" i="1" a="1"/>
  <c r="DJ6" i="1" s="1"/>
  <c r="DI6" i="1" a="1"/>
  <c r="DI6" i="1" s="1"/>
  <c r="DI7" i="1" s="1"/>
  <c r="DH6" i="1" a="1"/>
  <c r="DH6" i="1"/>
  <c r="DH7" i="1" s="1"/>
  <c r="DG6" i="1" a="1"/>
  <c r="DG6" i="1"/>
  <c r="DF6" i="1" a="1"/>
  <c r="DF6" i="1"/>
  <c r="DF7" i="1" s="1"/>
  <c r="DE6" i="1" a="1"/>
  <c r="DE6" i="1"/>
  <c r="DE7" i="1" s="1"/>
  <c r="DD6" i="1" a="1"/>
  <c r="DD6" i="1" s="1"/>
  <c r="DD8" i="1" s="1"/>
  <c r="DC6" i="1" a="1"/>
  <c r="DC6" i="1" s="1"/>
  <c r="DC8" i="1" s="1"/>
  <c r="DB6" i="1" a="1"/>
  <c r="DB6" i="1" s="1"/>
  <c r="DB8" i="1" s="1"/>
  <c r="DA6" i="1" a="1"/>
  <c r="DA6" i="1" s="1"/>
  <c r="DA8" i="1" s="1"/>
  <c r="CZ6" i="1" a="1"/>
  <c r="CZ6" i="1" s="1"/>
  <c r="CY6" i="1" a="1"/>
  <c r="CY6" i="1"/>
  <c r="CY8" i="1" s="1"/>
  <c r="CX6" i="1" a="1"/>
  <c r="CX6" i="1"/>
  <c r="CW6" i="1" a="1"/>
  <c r="CW6" i="1" s="1"/>
  <c r="CV6" i="1" a="1"/>
  <c r="CV6" i="1" s="1"/>
  <c r="CU6" i="1" a="1"/>
  <c r="CU6" i="1" s="1"/>
  <c r="CT6" i="1" a="1"/>
  <c r="CT6" i="1" s="1"/>
  <c r="CS6" i="1" a="1"/>
  <c r="CS6" i="1" s="1"/>
  <c r="CR6" i="1" a="1"/>
  <c r="CR6" i="1" s="1"/>
  <c r="CQ6" i="1" a="1"/>
  <c r="CQ6" i="1" s="1"/>
  <c r="CP6" i="1" a="1"/>
  <c r="CP6" i="1"/>
  <c r="CP7" i="1" s="1"/>
  <c r="CO6" i="1" a="1"/>
  <c r="CO6" i="1"/>
  <c r="CN6" i="1" a="1"/>
  <c r="CN6" i="1" s="1"/>
  <c r="CN7" i="1" s="1"/>
  <c r="CM6" i="1" a="1"/>
  <c r="CM6" i="1" s="1"/>
  <c r="CM7" i="1" s="1"/>
  <c r="CL6" i="1" a="1"/>
  <c r="CL6" i="1" s="1"/>
  <c r="CK6" i="1" a="1"/>
  <c r="CK6" i="1" s="1"/>
  <c r="CK8" i="1" s="1"/>
  <c r="CJ6" i="1" a="1"/>
  <c r="CJ6" i="1" s="1"/>
  <c r="CJ8" i="1" s="1"/>
  <c r="CI6" i="1" a="1"/>
  <c r="CI6" i="1" s="1"/>
  <c r="CI8" i="1" s="1"/>
  <c r="CH6" i="1" a="1"/>
  <c r="CH6" i="1" s="1"/>
  <c r="CH8" i="1" s="1"/>
  <c r="CG6" i="1" a="1"/>
  <c r="CG6" i="1"/>
  <c r="CG8" i="1" s="1"/>
  <c r="CF6" i="1" a="1"/>
  <c r="CF6" i="1" s="1"/>
  <c r="CE6" i="1" a="1"/>
  <c r="CE6" i="1" s="1"/>
  <c r="CE7" i="1" s="1"/>
  <c r="CD6" i="1" a="1"/>
  <c r="CD6" i="1"/>
  <c r="CD7" i="1" s="1"/>
  <c r="CC6" i="1" a="1"/>
  <c r="CC6" i="1"/>
  <c r="CB6" i="1" a="1"/>
  <c r="CB6" i="1" s="1"/>
  <c r="CA6" i="1" a="1"/>
  <c r="CA6" i="1" s="1"/>
  <c r="BZ6" i="1" a="1"/>
  <c r="BZ6" i="1" s="1"/>
  <c r="BY6" i="1" a="1"/>
  <c r="BY6" i="1" s="1"/>
  <c r="BX6" i="1" a="1"/>
  <c r="BX6" i="1" s="1"/>
  <c r="BX7" i="1" s="1"/>
  <c r="BW6" i="1" a="1"/>
  <c r="BW6" i="1" s="1"/>
  <c r="BW7" i="1" s="1"/>
  <c r="BV6" i="1" a="1"/>
  <c r="BV6" i="1"/>
  <c r="BU6" i="1" a="1"/>
  <c r="BU6" i="1"/>
  <c r="BT6" i="1" a="1"/>
  <c r="BT6" i="1"/>
  <c r="BS6" i="1" a="1"/>
  <c r="BS6" i="1" s="1"/>
  <c r="BR6" i="1" a="1"/>
  <c r="BR6" i="1" s="1"/>
  <c r="BQ6" i="1" a="1"/>
  <c r="BQ6" i="1" s="1"/>
  <c r="BP6" i="1" a="1"/>
  <c r="BP6" i="1" s="1"/>
  <c r="BP8" i="1" s="1"/>
  <c r="BO6" i="1" a="1"/>
  <c r="BO6" i="1" s="1"/>
  <c r="BO8" i="1" s="1"/>
  <c r="BN6" i="1" a="1"/>
  <c r="BN6" i="1"/>
  <c r="BM6" i="1" a="1"/>
  <c r="BM6" i="1"/>
  <c r="BM8" i="1" s="1"/>
  <c r="BL6" i="1" a="1"/>
  <c r="BL6" i="1" s="1"/>
  <c r="BK6" i="1" a="1"/>
  <c r="BK6" i="1"/>
  <c r="BK8" i="1" s="1"/>
  <c r="BJ6" i="1" a="1"/>
  <c r="BJ6" i="1" s="1"/>
  <c r="BJ7" i="1" s="1"/>
  <c r="BI6" i="1" a="1"/>
  <c r="BI6" i="1" s="1"/>
  <c r="BI7" i="1" s="1"/>
  <c r="BH6" i="1" a="1"/>
  <c r="BH6" i="1" s="1"/>
  <c r="BH8" i="1" s="1"/>
  <c r="BG6" i="1" a="1"/>
  <c r="BG6" i="1" s="1"/>
  <c r="BF6" i="1" a="1"/>
  <c r="BF6" i="1" s="1"/>
  <c r="BE6" i="1" a="1"/>
  <c r="BE6" i="1"/>
  <c r="BE7" i="1" s="1"/>
  <c r="BD6" i="1" a="1"/>
  <c r="BD6" i="1"/>
  <c r="BC6" i="1" a="1"/>
  <c r="BC6" i="1" s="1"/>
  <c r="BB6" i="1" a="1"/>
  <c r="BB6" i="1" s="1"/>
  <c r="BA6" i="1" a="1"/>
  <c r="BA6" i="1" s="1"/>
  <c r="AZ6" i="1" a="1"/>
  <c r="AZ6" i="1" s="1"/>
  <c r="AZ7" i="1" s="1"/>
  <c r="AY6" i="1" a="1"/>
  <c r="AY6" i="1" s="1"/>
  <c r="AY8" i="1" s="1"/>
  <c r="AX6" i="1" a="1"/>
  <c r="AX6" i="1" s="1"/>
  <c r="AW6" i="1" a="1"/>
  <c r="AW6" i="1" s="1"/>
  <c r="AV6" i="1" a="1"/>
  <c r="AV6" i="1"/>
  <c r="AV8" i="1" s="1"/>
  <c r="AU6" i="1" a="1"/>
  <c r="AU6" i="1"/>
  <c r="AU8" i="1" s="1"/>
  <c r="AT6" i="1" a="1"/>
  <c r="AT6" i="1"/>
  <c r="AS6" i="1" a="1"/>
  <c r="AS6" i="1" s="1"/>
  <c r="AR6" i="1" a="1"/>
  <c r="AR6" i="1" s="1"/>
  <c r="AR7" i="1" s="1"/>
  <c r="AQ6" i="1" a="1"/>
  <c r="AQ6" i="1" s="1"/>
  <c r="AP6" i="1" a="1"/>
  <c r="AP6" i="1" s="1"/>
  <c r="AP7" i="1" s="1"/>
  <c r="AO6" i="1" a="1"/>
  <c r="AO6" i="1" s="1"/>
  <c r="AO7" i="1" s="1"/>
  <c r="AN6" i="1" a="1"/>
  <c r="AN6" i="1" s="1"/>
  <c r="AN7" i="1" s="1"/>
  <c r="AM6" i="1" a="1"/>
  <c r="AM6" i="1"/>
  <c r="AL6" i="1" a="1"/>
  <c r="AL6" i="1"/>
  <c r="AK6" i="1" a="1"/>
  <c r="AK6" i="1"/>
  <c r="AK8" i="1" s="1"/>
  <c r="AJ6" i="1" a="1"/>
  <c r="AJ6" i="1" s="1"/>
  <c r="AI6" i="1" a="1"/>
  <c r="AI6" i="1" s="1"/>
  <c r="AH6" i="1" a="1"/>
  <c r="AH6" i="1" s="1"/>
  <c r="AG6" i="1" a="1"/>
  <c r="AG6" i="1" s="1"/>
  <c r="AF6" i="1" a="1"/>
  <c r="AF6" i="1" s="1"/>
  <c r="AE6" i="1" a="1"/>
  <c r="AE6" i="1" s="1"/>
  <c r="AD6" i="1" a="1"/>
  <c r="AD6" i="1"/>
  <c r="AD8" i="1" s="1"/>
  <c r="AC6" i="1" a="1"/>
  <c r="AC6" i="1"/>
  <c r="AB6" i="1" a="1"/>
  <c r="AB6" i="1" s="1"/>
  <c r="AA6" i="1" a="1"/>
  <c r="AA6" i="1" s="1"/>
  <c r="Z6" i="1" a="1"/>
  <c r="Z6" i="1"/>
  <c r="Y6" i="1" a="1"/>
  <c r="Y6" i="1" s="1"/>
  <c r="Y8" i="1" s="1"/>
  <c r="X6" i="1" a="1"/>
  <c r="X6" i="1" s="1"/>
  <c r="X7" i="1" s="1"/>
  <c r="W6" i="1" a="1"/>
  <c r="W6" i="1" s="1"/>
  <c r="V6" i="1" a="1"/>
  <c r="V6" i="1" s="1"/>
  <c r="U6" i="1" a="1"/>
  <c r="U6" i="1"/>
  <c r="U7" i="1" s="1"/>
  <c r="T6" i="1" a="1"/>
  <c r="T6" i="1" s="1"/>
  <c r="S6" i="1" a="1"/>
  <c r="S6" i="1" s="1"/>
  <c r="S8" i="1" s="1"/>
  <c r="R6" i="1" a="1"/>
  <c r="R6" i="1" s="1"/>
  <c r="Q6" i="1" a="1"/>
  <c r="Q6" i="1"/>
  <c r="P6" i="1" a="1"/>
  <c r="P6" i="1" s="1"/>
  <c r="O6" i="1" a="1"/>
  <c r="O6" i="1" s="1"/>
  <c r="N6" i="1" a="1"/>
  <c r="N6" i="1" s="1"/>
  <c r="M6" i="1" a="1"/>
  <c r="M6" i="1" s="1"/>
  <c r="L6" i="1" a="1"/>
  <c r="L6" i="1" s="1"/>
  <c r="L8" i="1" s="1"/>
  <c r="K6" i="1" a="1"/>
  <c r="K6" i="1" s="1"/>
  <c r="K8" i="1" s="1"/>
  <c r="J6" i="1" a="1"/>
  <c r="J6" i="1"/>
  <c r="I6" i="1" a="1"/>
  <c r="I6" i="1" s="1"/>
  <c r="H6" i="1" a="1"/>
  <c r="H6" i="1" s="1"/>
  <c r="G6" i="1" a="1"/>
  <c r="G6" i="1" s="1"/>
  <c r="F6" i="1" a="1"/>
  <c r="F6" i="1" s="1"/>
  <c r="E6" i="1" a="1"/>
  <c r="E6" i="1" s="1"/>
  <c r="D6" i="1" a="1"/>
  <c r="D6" i="1" s="1"/>
  <c r="D8" i="1" s="1"/>
  <c r="C6" i="1" a="1"/>
  <c r="C6" i="1" s="1"/>
  <c r="M8" i="7" l="1"/>
  <c r="M7" i="7"/>
  <c r="N8" i="7"/>
  <c r="N7" i="7"/>
  <c r="J8" i="7"/>
  <c r="J7" i="7"/>
  <c r="Z8" i="7"/>
  <c r="Z7" i="7"/>
  <c r="AP7" i="7"/>
  <c r="AP8" i="7"/>
  <c r="BF8" i="7"/>
  <c r="BF7" i="7"/>
  <c r="BV8" i="7"/>
  <c r="BV7" i="7"/>
  <c r="CL8" i="7"/>
  <c r="CL7" i="7"/>
  <c r="DB8" i="7"/>
  <c r="DB7" i="7"/>
  <c r="DR8" i="7"/>
  <c r="DR7" i="7"/>
  <c r="K8" i="7"/>
  <c r="K7" i="7"/>
  <c r="AA8" i="7"/>
  <c r="AA7" i="7"/>
  <c r="AQ7" i="7"/>
  <c r="AQ8" i="7"/>
  <c r="BG7" i="7"/>
  <c r="BG8" i="7"/>
  <c r="BW8" i="7"/>
  <c r="BW7" i="7"/>
  <c r="CM8" i="7"/>
  <c r="CM7" i="7"/>
  <c r="DC8" i="7"/>
  <c r="DC7" i="7"/>
  <c r="DS8" i="7"/>
  <c r="DS7" i="7"/>
  <c r="O7" i="7"/>
  <c r="O8" i="7"/>
  <c r="P7" i="7"/>
  <c r="P8" i="7"/>
  <c r="L8" i="7"/>
  <c r="L7" i="7"/>
  <c r="AB7" i="7"/>
  <c r="AB8" i="7"/>
  <c r="AR7" i="7"/>
  <c r="AR8" i="7"/>
  <c r="BH7" i="7"/>
  <c r="BH8" i="7"/>
  <c r="BX8" i="7"/>
  <c r="BX7" i="7"/>
  <c r="CN8" i="7"/>
  <c r="CN7" i="7"/>
  <c r="DD7" i="7"/>
  <c r="DD8" i="7"/>
  <c r="DT8" i="7"/>
  <c r="DT7" i="7"/>
  <c r="BI7" i="7"/>
  <c r="BI8" i="7"/>
  <c r="AD7" i="7"/>
  <c r="AD8" i="7"/>
  <c r="BK7" i="7"/>
  <c r="BK8" i="7"/>
  <c r="BL7" i="7"/>
  <c r="BL8" i="7"/>
  <c r="Q7" i="7"/>
  <c r="Q8" i="7"/>
  <c r="AG7" i="7"/>
  <c r="AG8" i="7"/>
  <c r="AW7" i="7"/>
  <c r="AW8" i="7"/>
  <c r="BM8" i="7"/>
  <c r="BM7" i="7"/>
  <c r="CC8" i="7"/>
  <c r="CC7" i="7"/>
  <c r="CS8" i="7"/>
  <c r="CS7" i="7"/>
  <c r="DI7" i="7"/>
  <c r="DI8" i="7"/>
  <c r="DY7" i="7"/>
  <c r="DY8" i="7"/>
  <c r="DU8" i="7"/>
  <c r="DU7" i="7"/>
  <c r="DV8" i="7"/>
  <c r="DV7" i="7"/>
  <c r="DW8" i="7"/>
  <c r="DW7" i="7"/>
  <c r="DX7" i="7"/>
  <c r="DX8" i="7"/>
  <c r="R7" i="7"/>
  <c r="R8" i="7"/>
  <c r="AH7" i="7"/>
  <c r="AH8" i="7"/>
  <c r="AX7" i="7"/>
  <c r="AX8" i="7"/>
  <c r="BN7" i="7"/>
  <c r="BN8" i="7"/>
  <c r="CD7" i="7"/>
  <c r="CD8" i="7"/>
  <c r="CT7" i="7"/>
  <c r="CT8" i="7"/>
  <c r="DJ7" i="7"/>
  <c r="DJ8" i="7"/>
  <c r="DZ7" i="7"/>
  <c r="DZ8" i="7"/>
  <c r="C7" i="7"/>
  <c r="C8" i="7"/>
  <c r="S7" i="7"/>
  <c r="S8" i="7"/>
  <c r="AI7" i="7"/>
  <c r="AI8" i="7"/>
  <c r="AY7" i="7"/>
  <c r="AY8" i="7"/>
  <c r="BO7" i="7"/>
  <c r="BO8" i="7"/>
  <c r="CE7" i="7"/>
  <c r="CE8" i="7"/>
  <c r="CU7" i="7"/>
  <c r="CU8" i="7"/>
  <c r="DK7" i="7"/>
  <c r="DK8" i="7"/>
  <c r="EA7" i="7"/>
  <c r="EA8" i="7"/>
  <c r="D7" i="7"/>
  <c r="D8" i="7"/>
  <c r="T7" i="7"/>
  <c r="T8" i="7"/>
  <c r="AJ7" i="7"/>
  <c r="AJ8" i="7"/>
  <c r="AZ7" i="7"/>
  <c r="AZ8" i="7"/>
  <c r="BP7" i="7"/>
  <c r="BP8" i="7"/>
  <c r="CF7" i="7"/>
  <c r="CF8" i="7"/>
  <c r="CV7" i="7"/>
  <c r="CV8" i="7"/>
  <c r="DL7" i="7"/>
  <c r="DL8" i="7"/>
  <c r="EB7" i="7"/>
  <c r="EB8" i="7"/>
  <c r="AC7" i="7"/>
  <c r="AC8" i="7"/>
  <c r="AT7" i="7"/>
  <c r="AT8" i="7"/>
  <c r="AU7" i="7"/>
  <c r="AU8" i="7"/>
  <c r="AV7" i="7"/>
  <c r="AV8" i="7"/>
  <c r="BY7" i="7"/>
  <c r="BY8" i="7"/>
  <c r="BJ7" i="7"/>
  <c r="BJ8" i="7"/>
  <c r="AE7" i="7"/>
  <c r="AE8" i="7"/>
  <c r="AF7" i="7"/>
  <c r="AF8" i="7"/>
  <c r="E8" i="7"/>
  <c r="E7" i="7"/>
  <c r="U7" i="7"/>
  <c r="U8" i="7"/>
  <c r="AK7" i="7"/>
  <c r="AK8" i="7"/>
  <c r="BA7" i="7"/>
  <c r="BA8" i="7"/>
  <c r="BQ8" i="7"/>
  <c r="BQ7" i="7"/>
  <c r="EC7" i="7"/>
  <c r="EC8" i="7"/>
  <c r="F7" i="7"/>
  <c r="F8" i="7"/>
  <c r="V7" i="7"/>
  <c r="V8" i="7"/>
  <c r="AL8" i="7"/>
  <c r="AL7" i="7"/>
  <c r="BB7" i="7"/>
  <c r="BB8" i="7"/>
  <c r="BR7" i="7"/>
  <c r="BR8" i="7"/>
  <c r="CH7" i="7"/>
  <c r="CH8" i="7"/>
  <c r="AS7" i="7"/>
  <c r="AS8" i="7"/>
  <c r="BZ7" i="7"/>
  <c r="BZ8" i="7"/>
  <c r="CQ7" i="7"/>
  <c r="CQ8" i="7"/>
  <c r="CR7" i="7"/>
  <c r="CR8" i="7"/>
  <c r="CG7" i="7"/>
  <c r="CG8" i="7"/>
  <c r="DN7" i="7"/>
  <c r="DN8" i="7"/>
  <c r="G8" i="7"/>
  <c r="G7" i="7"/>
  <c r="W8" i="7"/>
  <c r="W7" i="7"/>
  <c r="AM8" i="7"/>
  <c r="AM7" i="7"/>
  <c r="BC8" i="7"/>
  <c r="BC7" i="7"/>
  <c r="BS7" i="7"/>
  <c r="BS8" i="7"/>
  <c r="CI7" i="7"/>
  <c r="CI8" i="7"/>
  <c r="CY8" i="7"/>
  <c r="CY7" i="7"/>
  <c r="DO8" i="7"/>
  <c r="DO7" i="7"/>
  <c r="EE8" i="7"/>
  <c r="EE7" i="7"/>
  <c r="CO8" i="7"/>
  <c r="CO7" i="7"/>
  <c r="CP8" i="7"/>
  <c r="CP7" i="7"/>
  <c r="CA7" i="7"/>
  <c r="CA8" i="7"/>
  <c r="DH7" i="7"/>
  <c r="DH8" i="7"/>
  <c r="CW7" i="7"/>
  <c r="CW8" i="7"/>
  <c r="CX8" i="7"/>
  <c r="CX7" i="7"/>
  <c r="H8" i="7"/>
  <c r="H7" i="7"/>
  <c r="X8" i="7"/>
  <c r="X7" i="7"/>
  <c r="AN8" i="7"/>
  <c r="AN7" i="7"/>
  <c r="BD8" i="7"/>
  <c r="BD7" i="7"/>
  <c r="BT8" i="7"/>
  <c r="BT7" i="7"/>
  <c r="CJ8" i="7"/>
  <c r="CJ7" i="7"/>
  <c r="CZ8" i="7"/>
  <c r="CZ7" i="7"/>
  <c r="DP8" i="7"/>
  <c r="DP7" i="7"/>
  <c r="EF8" i="7"/>
  <c r="EF7" i="7"/>
  <c r="DE7" i="7"/>
  <c r="DE8" i="7"/>
  <c r="DF7" i="7"/>
  <c r="DF8" i="7"/>
  <c r="DG7" i="7"/>
  <c r="DG8" i="7"/>
  <c r="CB7" i="7"/>
  <c r="CB8" i="7"/>
  <c r="DM8" i="7"/>
  <c r="DM7" i="7"/>
  <c r="ED7" i="7"/>
  <c r="ED8" i="7"/>
  <c r="I8" i="7"/>
  <c r="I7" i="7"/>
  <c r="Y8" i="7"/>
  <c r="Y7" i="7"/>
  <c r="AO8" i="7"/>
  <c r="AO7" i="7"/>
  <c r="BE8" i="7"/>
  <c r="BE7" i="7"/>
  <c r="BU8" i="7"/>
  <c r="BU7" i="7"/>
  <c r="CK8" i="7"/>
  <c r="CK7" i="7"/>
  <c r="DA8" i="7"/>
  <c r="DA7" i="7"/>
  <c r="DQ8" i="7"/>
  <c r="DQ7" i="7"/>
  <c r="EG8" i="7"/>
  <c r="EG7" i="7"/>
  <c r="S8" i="2"/>
  <c r="S7" i="2"/>
  <c r="CV7" i="2"/>
  <c r="CV8" i="2"/>
  <c r="F7" i="3"/>
  <c r="F8" i="3"/>
  <c r="BO7" i="3"/>
  <c r="BO8" i="3"/>
  <c r="EB8" i="3"/>
  <c r="EB7" i="3"/>
  <c r="AA7" i="4"/>
  <c r="AA8" i="4"/>
  <c r="CW8" i="1"/>
  <c r="CW7" i="1"/>
  <c r="BS8" i="2"/>
  <c r="BS7" i="2"/>
  <c r="BP7" i="3"/>
  <c r="BP8" i="3"/>
  <c r="AB7" i="4"/>
  <c r="AB8" i="4"/>
  <c r="DH7" i="5"/>
  <c r="DH8" i="5"/>
  <c r="DS8" i="3"/>
  <c r="DS7" i="3"/>
  <c r="BB8" i="1"/>
  <c r="BB7" i="1"/>
  <c r="BC8" i="1"/>
  <c r="BC7" i="1"/>
  <c r="CP7" i="3"/>
  <c r="CP8" i="3"/>
  <c r="R8" i="1"/>
  <c r="R7" i="1"/>
  <c r="DX8" i="1"/>
  <c r="DX7" i="1"/>
  <c r="CS7" i="4"/>
  <c r="CS8" i="4"/>
  <c r="AS7" i="1"/>
  <c r="AS8" i="1"/>
  <c r="EE8" i="2"/>
  <c r="EE7" i="2"/>
  <c r="AF7" i="3"/>
  <c r="AF8" i="3"/>
  <c r="AX7" i="3"/>
  <c r="AX8" i="3"/>
  <c r="AA7" i="2"/>
  <c r="AA8" i="2"/>
  <c r="I8" i="1"/>
  <c r="I7" i="1"/>
  <c r="N7" i="3"/>
  <c r="N8" i="3"/>
  <c r="EG8" i="1"/>
  <c r="EG7" i="1"/>
  <c r="H8" i="1"/>
  <c r="H7" i="1"/>
  <c r="X7" i="3"/>
  <c r="X8" i="3"/>
  <c r="DM8" i="2"/>
  <c r="DM7" i="2"/>
  <c r="BL8" i="1"/>
  <c r="BL7" i="1"/>
  <c r="J8" i="2"/>
  <c r="J7" i="2"/>
  <c r="BF8" i="3"/>
  <c r="BF7" i="3"/>
  <c r="DH7" i="3"/>
  <c r="DH8" i="3"/>
  <c r="CL7" i="1"/>
  <c r="CL8" i="1"/>
  <c r="AO7" i="3"/>
  <c r="AO8" i="3"/>
  <c r="AJ7" i="2"/>
  <c r="AJ8" i="2"/>
  <c r="DV7" i="2"/>
  <c r="DV8" i="2"/>
  <c r="D7" i="3"/>
  <c r="D8" i="3"/>
  <c r="BZ7" i="3"/>
  <c r="BZ8" i="3"/>
  <c r="CT8" i="2"/>
  <c r="CT7" i="2"/>
  <c r="W8" i="1"/>
  <c r="W7" i="1"/>
  <c r="AJ7" i="1"/>
  <c r="AJ8" i="1"/>
  <c r="BQ8" i="1"/>
  <c r="BQ7" i="1"/>
  <c r="DM8" i="1"/>
  <c r="DM7" i="1"/>
  <c r="AE8" i="2"/>
  <c r="AE7" i="2"/>
  <c r="DW7" i="2"/>
  <c r="CG7" i="3"/>
  <c r="CG8" i="3"/>
  <c r="DJ7" i="3"/>
  <c r="DJ8" i="3"/>
  <c r="CZ8" i="3"/>
  <c r="EH15" i="3"/>
  <c r="EG15" i="3"/>
  <c r="AR7" i="4"/>
  <c r="AR8" i="4"/>
  <c r="CJ8" i="4"/>
  <c r="AG7" i="3"/>
  <c r="AG8" i="3"/>
  <c r="BV8" i="3"/>
  <c r="BV7" i="3"/>
  <c r="ED8" i="5"/>
  <c r="ED7" i="5"/>
  <c r="EG14" i="3"/>
  <c r="J8" i="1"/>
  <c r="J7" i="1"/>
  <c r="AI7" i="1"/>
  <c r="AI8" i="1"/>
  <c r="CC8" i="1"/>
  <c r="CC7" i="1"/>
  <c r="CO7" i="1"/>
  <c r="CO8" i="1"/>
  <c r="K7" i="2"/>
  <c r="K8" i="2"/>
  <c r="CA7" i="2"/>
  <c r="CA8" i="2"/>
  <c r="CU7" i="2"/>
  <c r="CU8" i="2"/>
  <c r="E7" i="3"/>
  <c r="E8" i="3"/>
  <c r="CF7" i="3"/>
  <c r="CF8" i="3"/>
  <c r="DI7" i="3"/>
  <c r="DI8" i="3"/>
  <c r="DM7" i="4"/>
  <c r="DM8" i="4"/>
  <c r="DK8" i="3"/>
  <c r="DK7" i="3"/>
  <c r="AS7" i="4"/>
  <c r="AS8" i="4"/>
  <c r="DD7" i="4"/>
  <c r="DD8" i="4"/>
  <c r="DX7" i="4"/>
  <c r="DX8" i="4"/>
  <c r="CQ8" i="5"/>
  <c r="CQ7" i="5"/>
  <c r="CO7" i="3"/>
  <c r="BM8" i="5"/>
  <c r="BM7" i="5"/>
  <c r="M8" i="1"/>
  <c r="M7" i="1"/>
  <c r="Z7" i="1"/>
  <c r="Z8" i="1"/>
  <c r="CQ7" i="1"/>
  <c r="CQ8" i="1"/>
  <c r="BA8" i="2"/>
  <c r="BA7" i="2"/>
  <c r="BW7" i="3"/>
  <c r="BW8" i="3"/>
  <c r="AU7" i="4"/>
  <c r="AU8" i="4"/>
  <c r="BQ7" i="4"/>
  <c r="BQ8" i="4"/>
  <c r="N8" i="1"/>
  <c r="N7" i="1"/>
  <c r="CR7" i="3"/>
  <c r="CR8" i="3"/>
  <c r="CB8" i="4"/>
  <c r="CB7" i="4"/>
  <c r="DP8" i="1"/>
  <c r="DP7" i="1"/>
  <c r="N8" i="2"/>
  <c r="N7" i="2"/>
  <c r="BB8" i="2"/>
  <c r="BB7" i="2"/>
  <c r="AR8" i="2"/>
  <c r="BD8" i="5"/>
  <c r="BD7" i="5"/>
  <c r="AB8" i="1"/>
  <c r="AB7" i="1"/>
  <c r="BD8" i="3"/>
  <c r="BD7" i="3"/>
  <c r="BY7" i="3"/>
  <c r="BY8" i="3"/>
  <c r="DV8" i="3"/>
  <c r="Q8" i="4"/>
  <c r="Q7" i="4"/>
  <c r="BI8" i="4"/>
  <c r="BI7" i="4"/>
  <c r="AC7" i="1"/>
  <c r="AC8" i="1"/>
  <c r="BV7" i="1"/>
  <c r="BV8" i="1"/>
  <c r="CU8" i="1"/>
  <c r="CU7" i="1"/>
  <c r="AK7" i="1"/>
  <c r="EE7" i="1"/>
  <c r="BI8" i="1"/>
  <c r="Z8" i="2"/>
  <c r="Z7" i="2"/>
  <c r="BC8" i="2"/>
  <c r="BC7" i="2"/>
  <c r="AT8" i="2"/>
  <c r="BE8" i="3"/>
  <c r="BE7" i="3"/>
  <c r="AN7" i="3"/>
  <c r="CV7" i="4"/>
  <c r="DS8" i="5"/>
  <c r="DS7" i="5"/>
  <c r="AH8" i="1"/>
  <c r="AH7" i="1"/>
  <c r="AT7" i="1"/>
  <c r="AT8" i="1"/>
  <c r="CB8" i="1"/>
  <c r="CB7" i="1"/>
  <c r="DW7" i="1"/>
  <c r="DW8" i="1"/>
  <c r="EF7" i="2"/>
  <c r="EF8" i="2"/>
  <c r="AY8" i="3"/>
  <c r="AY7" i="3"/>
  <c r="CE7" i="3"/>
  <c r="CE8" i="3"/>
  <c r="V8" i="1"/>
  <c r="V7" i="1"/>
  <c r="BR7" i="2"/>
  <c r="BR8" i="2"/>
  <c r="DN7" i="2"/>
  <c r="DN8" i="2"/>
  <c r="Y7" i="3"/>
  <c r="Y8" i="3"/>
  <c r="BR8" i="1"/>
  <c r="BR7" i="1"/>
  <c r="DN8" i="1"/>
  <c r="DN7" i="1"/>
  <c r="CH7" i="3"/>
  <c r="CH8" i="3"/>
  <c r="CN8" i="1"/>
  <c r="G8" i="3"/>
  <c r="G7" i="3"/>
  <c r="EH13" i="3"/>
  <c r="EG13" i="3"/>
  <c r="AT7" i="4"/>
  <c r="AT8" i="4"/>
  <c r="BP7" i="4"/>
  <c r="BP8" i="4"/>
  <c r="AL8" i="1"/>
  <c r="AL7" i="1"/>
  <c r="BT8" i="1"/>
  <c r="BT7" i="1"/>
  <c r="DO8" i="1"/>
  <c r="DO7" i="1"/>
  <c r="AP7" i="2"/>
  <c r="CI8" i="3"/>
  <c r="CI7" i="3"/>
  <c r="CK8" i="4"/>
  <c r="CK7" i="4"/>
  <c r="AW8" i="1"/>
  <c r="AW7" i="1"/>
  <c r="CR7" i="1"/>
  <c r="CR8" i="1"/>
  <c r="DE8" i="1"/>
  <c r="CM7" i="2"/>
  <c r="CM8" i="2"/>
  <c r="CJ7" i="2"/>
  <c r="AQ8" i="2"/>
  <c r="CD8" i="2"/>
  <c r="BX8" i="3"/>
  <c r="BX7" i="3"/>
  <c r="BG8" i="4"/>
  <c r="BG7" i="4"/>
  <c r="BC8" i="5"/>
  <c r="BC7" i="5"/>
  <c r="AA8" i="1"/>
  <c r="AA7" i="1"/>
  <c r="BU7" i="1"/>
  <c r="BU8" i="1"/>
  <c r="CS8" i="1"/>
  <c r="CS7" i="1"/>
  <c r="BC8" i="3"/>
  <c r="BC7" i="3"/>
  <c r="Z8" i="4"/>
  <c r="Z7" i="4"/>
  <c r="BH8" i="4"/>
  <c r="BH7" i="4"/>
  <c r="BR8" i="4"/>
  <c r="BR7" i="4"/>
  <c r="DQ7" i="5"/>
  <c r="DQ8" i="5"/>
  <c r="P8" i="1"/>
  <c r="P7" i="1"/>
  <c r="CT8" i="1"/>
  <c r="CT7" i="1"/>
  <c r="Y7" i="1"/>
  <c r="AI8" i="2"/>
  <c r="AI7" i="2"/>
  <c r="DR8" i="2"/>
  <c r="DR7" i="2"/>
  <c r="AK8" i="4"/>
  <c r="AK7" i="4"/>
  <c r="AT8" i="5"/>
  <c r="AT7" i="5"/>
  <c r="DR7" i="5"/>
  <c r="DR8" i="5"/>
  <c r="E7" i="1"/>
  <c r="E8" i="1"/>
  <c r="BA7" i="1"/>
  <c r="BA8" i="1"/>
  <c r="CV8" i="1"/>
  <c r="CV7" i="1"/>
  <c r="CH7" i="1"/>
  <c r="BJ8" i="1"/>
  <c r="DI8" i="1"/>
  <c r="CO8" i="2"/>
  <c r="CO7" i="2"/>
  <c r="BU8" i="3"/>
  <c r="DX8" i="3"/>
  <c r="EG24" i="3"/>
  <c r="EH24" i="3"/>
  <c r="I8" i="4"/>
  <c r="I7" i="4"/>
  <c r="R8" i="4"/>
  <c r="R7" i="4"/>
  <c r="AL8" i="4"/>
  <c r="AL7" i="4"/>
  <c r="DG7" i="5"/>
  <c r="DG8" i="5"/>
  <c r="AS8" i="2"/>
  <c r="F8" i="1"/>
  <c r="F7" i="1"/>
  <c r="DR8" i="1"/>
  <c r="DR7" i="1"/>
  <c r="CP8" i="2"/>
  <c r="CP7" i="2"/>
  <c r="EH19" i="3"/>
  <c r="EG19" i="3"/>
  <c r="F8" i="5"/>
  <c r="F7" i="5"/>
  <c r="DU7" i="5"/>
  <c r="DU8" i="5"/>
  <c r="CQ7" i="4"/>
  <c r="CQ8" i="4"/>
  <c r="DY7" i="1"/>
  <c r="BF7" i="1"/>
  <c r="BF8" i="1"/>
  <c r="AV7" i="4"/>
  <c r="AV8" i="4"/>
  <c r="DF7" i="3"/>
  <c r="DF8" i="3"/>
  <c r="BG7" i="3"/>
  <c r="CX8" i="5"/>
  <c r="CX7" i="5"/>
  <c r="AE8" i="1"/>
  <c r="AE7" i="1"/>
  <c r="BY7" i="1"/>
  <c r="BY8" i="1"/>
  <c r="CX8" i="1"/>
  <c r="CX7" i="1"/>
  <c r="CK7" i="1"/>
  <c r="DK8" i="2"/>
  <c r="DK7" i="2"/>
  <c r="DU8" i="2"/>
  <c r="DU7" i="2"/>
  <c r="BO7" i="2"/>
  <c r="Q8" i="2"/>
  <c r="W8" i="3"/>
  <c r="W7" i="3"/>
  <c r="DZ7" i="3"/>
  <c r="DZ8" i="3"/>
  <c r="L7" i="3"/>
  <c r="R8" i="5"/>
  <c r="R7" i="5"/>
  <c r="CZ8" i="1"/>
  <c r="CZ7" i="1"/>
  <c r="CB7" i="2"/>
  <c r="CB8" i="2"/>
  <c r="AX8" i="1"/>
  <c r="AX7" i="1"/>
  <c r="G8" i="1"/>
  <c r="G7" i="1"/>
  <c r="H7" i="2"/>
  <c r="H8" i="2"/>
  <c r="AB7" i="2"/>
  <c r="AB8" i="2"/>
  <c r="AK8" i="2"/>
  <c r="AK7" i="2"/>
  <c r="CQ8" i="2"/>
  <c r="CQ7" i="2"/>
  <c r="AE7" i="3"/>
  <c r="AE8" i="3"/>
  <c r="AW7" i="3"/>
  <c r="AW8" i="3"/>
  <c r="J7" i="4"/>
  <c r="J8" i="4"/>
  <c r="S8" i="4"/>
  <c r="S7" i="4"/>
  <c r="AF8" i="1"/>
  <c r="AF7" i="1"/>
  <c r="BZ7" i="1"/>
  <c r="BZ8" i="1"/>
  <c r="DU7" i="1"/>
  <c r="DU8" i="1"/>
  <c r="AU7" i="1"/>
  <c r="DA7" i="1"/>
  <c r="I8" i="2"/>
  <c r="I7" i="2"/>
  <c r="AC8" i="2"/>
  <c r="AC7" i="2"/>
  <c r="DL8" i="2"/>
  <c r="DL7" i="2"/>
  <c r="BP7" i="2"/>
  <c r="DG7" i="2"/>
  <c r="BJ8" i="2"/>
  <c r="BH7" i="3"/>
  <c r="BH8" i="3"/>
  <c r="CC8" i="3"/>
  <c r="CC7" i="3"/>
  <c r="EA7" i="3"/>
  <c r="EA8" i="3"/>
  <c r="M7" i="3"/>
  <c r="EH22" i="3"/>
  <c r="EG22" i="3"/>
  <c r="EC7" i="3"/>
  <c r="EC8" i="3"/>
  <c r="BS8" i="1"/>
  <c r="BS7" i="1"/>
  <c r="CA7" i="4"/>
  <c r="CA8" i="4"/>
  <c r="AJ8" i="4"/>
  <c r="AJ7" i="4"/>
  <c r="O8" i="1"/>
  <c r="O7" i="1"/>
  <c r="V7" i="3"/>
  <c r="V8" i="3"/>
  <c r="AG8" i="1"/>
  <c r="AG7" i="1"/>
  <c r="BD7" i="1"/>
  <c r="BD8" i="1"/>
  <c r="CA8" i="1"/>
  <c r="CA7" i="1"/>
  <c r="DJ7" i="1"/>
  <c r="DJ8" i="1"/>
  <c r="DV7" i="1"/>
  <c r="DV8" i="1"/>
  <c r="DB7" i="1"/>
  <c r="CD8" i="1"/>
  <c r="CS7" i="2"/>
  <c r="CS8" i="2"/>
  <c r="BQ7" i="2"/>
  <c r="BK8" i="2"/>
  <c r="CD8" i="3"/>
  <c r="CD7" i="3"/>
  <c r="CY8" i="3"/>
  <c r="CY7" i="3"/>
  <c r="O7" i="3"/>
  <c r="AP8" i="3"/>
  <c r="EH17" i="3"/>
  <c r="EG17" i="3"/>
  <c r="I7" i="5"/>
  <c r="I8" i="5"/>
  <c r="AM8" i="1"/>
  <c r="AM7" i="1"/>
  <c r="CN7" i="2"/>
  <c r="AV8" i="2"/>
  <c r="T8" i="4"/>
  <c r="T7" i="4"/>
  <c r="AX8" i="4"/>
  <c r="AX7" i="4"/>
  <c r="BT8" i="4"/>
  <c r="BT7" i="4"/>
  <c r="DG8" i="4"/>
  <c r="DG7" i="4"/>
  <c r="AY7" i="2"/>
  <c r="BJ7" i="3"/>
  <c r="BJ8" i="3"/>
  <c r="CB7" i="3"/>
  <c r="CB8" i="3"/>
  <c r="EE7" i="3"/>
  <c r="DC8" i="3"/>
  <c r="ED8" i="3"/>
  <c r="EH20" i="3"/>
  <c r="EG20" i="3"/>
  <c r="AC7" i="4"/>
  <c r="K8" i="4"/>
  <c r="EB8" i="4"/>
  <c r="AD7" i="1"/>
  <c r="AZ8" i="1"/>
  <c r="BW8" i="1"/>
  <c r="DY7" i="2"/>
  <c r="DY8" i="2"/>
  <c r="AZ7" i="2"/>
  <c r="F8" i="2"/>
  <c r="BK7" i="3"/>
  <c r="BK8" i="3"/>
  <c r="AZ7" i="3"/>
  <c r="EF7" i="3"/>
  <c r="Z8" i="3"/>
  <c r="DD8" i="3"/>
  <c r="AZ8" i="4"/>
  <c r="AZ7" i="4"/>
  <c r="CE7" i="4"/>
  <c r="CE8" i="4"/>
  <c r="AE7" i="4"/>
  <c r="BU7" i="4"/>
  <c r="EH18" i="3"/>
  <c r="EG18" i="3"/>
  <c r="BA8" i="4"/>
  <c r="BA7" i="4"/>
  <c r="CF7" i="4"/>
  <c r="CF8" i="4"/>
  <c r="CY8" i="4"/>
  <c r="X8" i="5"/>
  <c r="X7" i="5"/>
  <c r="BV7" i="5"/>
  <c r="BV8" i="5"/>
  <c r="DA7" i="5"/>
  <c r="DA8" i="5"/>
  <c r="AM8" i="4"/>
  <c r="AM7" i="4"/>
  <c r="CP8" i="1"/>
  <c r="DB8" i="3"/>
  <c r="K7" i="1"/>
  <c r="BX8" i="1"/>
  <c r="BV7" i="2"/>
  <c r="DQ7" i="2"/>
  <c r="G8" i="2"/>
  <c r="EG7" i="3"/>
  <c r="DE8" i="3"/>
  <c r="L7" i="1"/>
  <c r="DQ7" i="1"/>
  <c r="DH7" i="2"/>
  <c r="DH8" i="2"/>
  <c r="BW7" i="2"/>
  <c r="DO8" i="2"/>
  <c r="AT7" i="3"/>
  <c r="AT8" i="3"/>
  <c r="AC7" i="3"/>
  <c r="EH16" i="3"/>
  <c r="CG7" i="4"/>
  <c r="CG8" i="4"/>
  <c r="Y7" i="5"/>
  <c r="Y8" i="5"/>
  <c r="BW8" i="5"/>
  <c r="BW7" i="5"/>
  <c r="CG7" i="5"/>
  <c r="CG8" i="5"/>
  <c r="AU8" i="3"/>
  <c r="AU7" i="3"/>
  <c r="AQ8" i="4"/>
  <c r="AQ7" i="4"/>
  <c r="O8" i="5"/>
  <c r="O7" i="5"/>
  <c r="AJ8" i="5"/>
  <c r="AJ7" i="5"/>
  <c r="BX8" i="5"/>
  <c r="BX7" i="5"/>
  <c r="DS7" i="1"/>
  <c r="DI7" i="2"/>
  <c r="DI8" i="2"/>
  <c r="L7" i="2"/>
  <c r="BY7" i="2"/>
  <c r="AG8" i="2"/>
  <c r="DL7" i="3"/>
  <c r="BI8" i="3"/>
  <c r="CK8" i="3"/>
  <c r="DK7" i="4"/>
  <c r="DK8" i="4"/>
  <c r="EE7" i="4"/>
  <c r="EE8" i="4"/>
  <c r="DS7" i="4"/>
  <c r="P8" i="5"/>
  <c r="P7" i="5"/>
  <c r="AK7" i="5"/>
  <c r="AK8" i="5"/>
  <c r="CH8" i="5"/>
  <c r="EG8" i="2"/>
  <c r="EG7" i="2"/>
  <c r="BE8" i="1"/>
  <c r="DT7" i="1"/>
  <c r="CW8" i="2"/>
  <c r="AD7" i="3"/>
  <c r="AD8" i="3"/>
  <c r="DL7" i="4"/>
  <c r="DL8" i="4"/>
  <c r="EF7" i="4"/>
  <c r="EF8" i="4"/>
  <c r="CS7" i="3"/>
  <c r="CS8" i="3"/>
  <c r="CY7" i="1"/>
  <c r="BE7" i="2"/>
  <c r="AH8" i="3"/>
  <c r="BD8" i="4"/>
  <c r="BD7" i="4"/>
  <c r="BY8" i="4"/>
  <c r="BY7" i="4"/>
  <c r="CI7" i="4"/>
  <c r="CI8" i="4"/>
  <c r="AA7" i="5"/>
  <c r="AA8" i="5"/>
  <c r="EB7" i="5"/>
  <c r="EB8" i="5"/>
  <c r="BH7" i="1"/>
  <c r="BF7" i="2"/>
  <c r="DA7" i="2"/>
  <c r="CX8" i="2"/>
  <c r="BN8" i="3"/>
  <c r="Y8" i="4"/>
  <c r="Y7" i="4"/>
  <c r="CR7" i="4"/>
  <c r="CR8" i="4"/>
  <c r="EG8" i="4"/>
  <c r="EG7" i="4"/>
  <c r="DH8" i="4"/>
  <c r="AL8" i="5"/>
  <c r="C7" i="4"/>
  <c r="C8" i="4"/>
  <c r="U7" i="4"/>
  <c r="U8" i="4"/>
  <c r="L8" i="4"/>
  <c r="CD8" i="5"/>
  <c r="CD7" i="5"/>
  <c r="CN7" i="5"/>
  <c r="CN8" i="5"/>
  <c r="CY8" i="5"/>
  <c r="CY7" i="5"/>
  <c r="DI8" i="5"/>
  <c r="DI7" i="5"/>
  <c r="CA7" i="3"/>
  <c r="CA8" i="3"/>
  <c r="EH23" i="3"/>
  <c r="EG23" i="3"/>
  <c r="DP8" i="4"/>
  <c r="DP7" i="4"/>
  <c r="DO7" i="4"/>
  <c r="M8" i="4"/>
  <c r="AR8" i="5"/>
  <c r="AR7" i="5"/>
  <c r="BU7" i="5"/>
  <c r="BU8" i="5"/>
  <c r="AB7" i="3"/>
  <c r="AB8" i="3"/>
  <c r="AP8" i="4"/>
  <c r="AP7" i="4"/>
  <c r="CM7" i="4"/>
  <c r="CM8" i="4"/>
  <c r="DQ7" i="4"/>
  <c r="AY8" i="4"/>
  <c r="AH8" i="5"/>
  <c r="AH7" i="5"/>
  <c r="CZ8" i="5"/>
  <c r="CZ7" i="5"/>
  <c r="AS7" i="3"/>
  <c r="AS8" i="3"/>
  <c r="CN7" i="4"/>
  <c r="CN8" i="4"/>
  <c r="BL7" i="5"/>
  <c r="BL8" i="5"/>
  <c r="CF7" i="5"/>
  <c r="CF8" i="5"/>
  <c r="CP8" i="5"/>
  <c r="CP7" i="5"/>
  <c r="DK8" i="5"/>
  <c r="DK7" i="5"/>
  <c r="CE8" i="5"/>
  <c r="CE7" i="5"/>
  <c r="CO7" i="5"/>
  <c r="CO8" i="5"/>
  <c r="B21" i="6"/>
  <c r="EH21" i="3"/>
  <c r="EG21" i="3"/>
  <c r="BF8" i="4"/>
  <c r="BF7" i="4"/>
  <c r="BX7" i="4"/>
  <c r="BX8" i="4"/>
  <c r="AO8" i="4"/>
  <c r="AO7" i="4"/>
  <c r="X7" i="4"/>
  <c r="AP7" i="5"/>
  <c r="AP8" i="5"/>
  <c r="AZ7" i="5"/>
  <c r="AZ8" i="5"/>
  <c r="BJ8" i="5"/>
  <c r="BJ7" i="5"/>
  <c r="CW7" i="5"/>
  <c r="CW8" i="5"/>
  <c r="DV8" i="5"/>
  <c r="DV7" i="5"/>
  <c r="J7" i="5"/>
  <c r="J8" i="5"/>
  <c r="S8" i="5"/>
  <c r="S7" i="5"/>
  <c r="AW8" i="5"/>
  <c r="AW7" i="5"/>
  <c r="BF7" i="5"/>
  <c r="BF8" i="5"/>
  <c r="BZ8" i="5"/>
  <c r="BZ7" i="5"/>
  <c r="DY8" i="5"/>
  <c r="DY7" i="5"/>
  <c r="DC8" i="5"/>
  <c r="BE7" i="4"/>
  <c r="AN7" i="5"/>
  <c r="AN8" i="5"/>
  <c r="CT8" i="5"/>
  <c r="CT7" i="5"/>
  <c r="DD8" i="5"/>
  <c r="CT8" i="4"/>
  <c r="U7" i="5"/>
  <c r="U8" i="5"/>
  <c r="DZ8" i="5"/>
  <c r="DZ7" i="5"/>
  <c r="C8" i="5"/>
  <c r="C7" i="5"/>
  <c r="V8" i="5"/>
  <c r="V7" i="5"/>
  <c r="DP8" i="5"/>
  <c r="DP7" i="5"/>
  <c r="EA8" i="5"/>
  <c r="EA7" i="5"/>
  <c r="DL7" i="5"/>
  <c r="DL8" i="5"/>
  <c r="D7" i="5"/>
  <c r="DF7" i="5"/>
  <c r="M7" i="5"/>
  <c r="M8" i="5"/>
  <c r="AO7" i="5"/>
  <c r="AO8" i="5"/>
  <c r="AX8" i="5"/>
  <c r="AX7" i="5"/>
  <c r="BR8" i="5"/>
  <c r="BR7" i="5"/>
  <c r="CB8" i="5"/>
  <c r="CB7" i="5"/>
  <c r="CK8" i="5"/>
  <c r="AY8" i="5"/>
  <c r="AY7" i="5"/>
  <c r="N8" i="5"/>
  <c r="N7" i="5"/>
  <c r="BH7" i="5"/>
  <c r="BH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<sst xmlns="http://schemas.openxmlformats.org/spreadsheetml/2006/main" count="1999" uniqueCount="183">
  <si>
    <t>NN4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</si>
  <si>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</si>
  <si>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</si>
  <si>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</si>
  <si>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</si>
  <si>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</si>
  <si>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</si>
  <si>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</si>
  <si>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</si>
  <si>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</si>
  <si>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</si>
  <si>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</si>
  <si>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</si>
  <si>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</si>
  <si>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</si>
  <si>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</si>
  <si>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</si>
  <si>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</si>
  <si>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</si>
  <si>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</si>
  <si>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</si>
  <si>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</si>
  <si>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</si>
  <si>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</si>
  <si>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</si>
  <si>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</si>
  <si>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</si>
  <si>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</si>
  <si>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</si>
  <si>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</si>
  <si>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</si>
  <si>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</si>
  <si>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</si>
  <si>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</si>
  <si>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</si>
  <si>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</si>
  <si>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</si>
  <si>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</si>
  <si>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</si>
  <si>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</si>
  <si>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</si>
  <si>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</si>
  <si>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</si>
  <si>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</si>
  <si>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</si>
  <si>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</si>
  <si>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</si>
  <si>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</si>
  <si>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</si>
  <si>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</si>
  <si>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</si>
  <si>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</si>
  <si>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</si>
  <si>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</si>
  <si>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</si>
  <si>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</si>
  <si>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</si>
  <si>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</si>
  <si>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</si>
  <si>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</si>
  <si>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</si>
  <si>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</si>
  <si>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</si>
  <si>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</si>
  <si>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</si>
  <si>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</si>
  <si>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</si>
  <si>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</si>
  <si>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</si>
  <si>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</si>
  <si>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</si>
  <si>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</si>
  <si>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</si>
  <si>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</si>
  <si>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</si>
  <si>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</si>
  <si>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</si>
  <si>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</si>
  <si>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</si>
  <si>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</si>
  <si>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</si>
  <si>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</si>
  <si>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</si>
  <si>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</si>
  <si>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</si>
  <si>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</si>
  <si>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</si>
  <si>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</si>
  <si>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</si>
  <si>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</si>
  <si>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</si>
  <si>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</si>
  <si>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</si>
  <si>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</si>
  <si>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</si>
  <si>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</si>
  <si>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</si>
  <si>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</si>
  <si>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</si>
  <si>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</si>
  <si>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</si>
  <si>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</si>
  <si>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</si>
  <si>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</si>
  <si>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</si>
  <si>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</si>
  <si>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</si>
  <si>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</si>
  <si>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</si>
  <si>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</si>
  <si>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</si>
  <si>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</si>
  <si>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</si>
  <si>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</si>
  <si>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</si>
  <si>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</si>
  <si>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</si>
  <si>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</si>
  <si>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</si>
  <si>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</si>
  <si>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</si>
  <si>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</si>
  <si>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</si>
  <si>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</si>
  <si>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</si>
  <si>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</si>
  <si>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</si>
  <si>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</si>
  <si>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</si>
  <si>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</si>
  <si>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</si>
  <si>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</si>
  <si>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</si>
  <si>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</si>
  <si>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</si>
  <si>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</si>
  <si>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</si>
  <si>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</si>
  <si>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</si>
  <si>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</si>
  <si>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</si>
  <si>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</si>
  <si>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</si>
  <si>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</si>
  <si>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</si>
  <si>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大盤</t>
  </si>
  <si>
    <t>TWII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</si>
  <si>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</si>
  <si>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</si>
  <si>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</si>
  <si>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</si>
  <si>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</si>
  <si>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</si>
  <si>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</si>
  <si>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</si>
  <si>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</si>
  <si>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</si>
  <si>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</si>
  <si>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</si>
  <si>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</si>
  <si>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</si>
  <si>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</si>
  <si>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</si>
  <si>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</si>
  <si>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</si>
  <si>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REAL</t>
  </si>
  <si>
    <t>(預測-真實)**2</t>
  </si>
  <si>
    <t>真實**2</t>
  </si>
  <si>
    <t>R**2</t>
  </si>
  <si>
    <t>家數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</si>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</sst>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"/>
    <numFmt numFmtId="177" formatCode="0.000"/>
    <numFmt numFmtId="178" formatCode="0.0000"/>
    <numFmt numFmtId="179" formatCode="0.00000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177" fontId="0" fillId="6" borderId="0" xfId="0" applyNumberFormat="1" applyFill="1"/>
    <xf numFmtId="0" fontId="2" fillId="3" borderId="0" xfId="0" applyFont="1" applyFill="1"/>
    <xf numFmtId="177" fontId="0" fillId="3" borderId="0" xfId="0" applyNumberFormat="1" applyFill="1"/>
    <xf numFmtId="0" fontId="2" fillId="7" borderId="1" xfId="0" applyFont="1" applyFill="1" applyBorder="1"/>
    <xf numFmtId="176" fontId="2" fillId="7" borderId="0" xfId="0" applyNumberFormat="1" applyFont="1" applyFill="1" applyAlignment="1">
      <alignment horizontal="center" vertical="center"/>
    </xf>
    <xf numFmtId="178" fontId="0" fillId="7" borderId="1" xfId="0" applyNumberFormat="1" applyFill="1" applyBorder="1"/>
    <xf numFmtId="0" fontId="0" fillId="0" borderId="4" xfId="0" applyBorder="1"/>
    <xf numFmtId="17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altLang="zh-TW" sz="1400" b="0" i="0" u="none" strike="noStrike" baseline="0"/>
              <a:t>NN4</a:t>
            </a:r>
            <a:r>
              <a:rPr lang="zh-TW" altLang="en-US" sz="1400" b="0" i="0" u="none" strike="noStrike" baseline="0"/>
              <a:t>再投資累積報酬</a:t>
            </a:r>
            <a:endParaRPr lang="en-US" altLang="zh-TW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NN4再投資累積報酬!$B$12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NN4再投資累積報酬!$C$12:$EF$12</c:f>
              <c:numCache>
                <c:formatCode>General</c:formatCode>
                <c:ptCount val="134"/>
                <c:pt idx="0">
                  <c:v>-8.4653346747999514E-2</c:v>
                </c:pt>
                <c:pt idx="1">
                  <c:v>2.0326506014606061E-2</c:v>
                </c:pt>
                <c:pt idx="2">
                  <c:v>1.3435191858199191E-2</c:v>
                </c:pt>
                <c:pt idx="3">
                  <c:v>2.7036611360180318E-2</c:v>
                </c:pt>
                <c:pt idx="4">
                  <c:v>3.9078274422192694E-2</c:v>
                </c:pt>
                <c:pt idx="5">
                  <c:v>7.9114492603409525E-2</c:v>
                </c:pt>
                <c:pt idx="6">
                  <c:v>0.11829059699578059</c:v>
                </c:pt>
                <c:pt idx="7">
                  <c:v>8.5403769749641478E-2</c:v>
                </c:pt>
                <c:pt idx="8">
                  <c:v>0.10578155272541356</c:v>
                </c:pt>
                <c:pt idx="9">
                  <c:v>5.9459322886044941E-2</c:v>
                </c:pt>
                <c:pt idx="10">
                  <c:v>5.9039271623690937E-2</c:v>
                </c:pt>
                <c:pt idx="11">
                  <c:v>0.13245927320530293</c:v>
                </c:pt>
                <c:pt idx="12">
                  <c:v>0.15355686336122409</c:v>
                </c:pt>
                <c:pt idx="13">
                  <c:v>0.15382214831879693</c:v>
                </c:pt>
                <c:pt idx="14">
                  <c:v>0.19451732332253346</c:v>
                </c:pt>
                <c:pt idx="15">
                  <c:v>0.20247625343922904</c:v>
                </c:pt>
                <c:pt idx="16">
                  <c:v>0.18266858992477841</c:v>
                </c:pt>
                <c:pt idx="17">
                  <c:v>0.17351497149085904</c:v>
                </c:pt>
                <c:pt idx="18">
                  <c:v>0.15452914348405544</c:v>
                </c:pt>
                <c:pt idx="19">
                  <c:v>0.16169238499898819</c:v>
                </c:pt>
                <c:pt idx="20">
                  <c:v>0.23608648572729529</c:v>
                </c:pt>
                <c:pt idx="21">
                  <c:v>0.26955215579713965</c:v>
                </c:pt>
                <c:pt idx="22">
                  <c:v>0.28915450880287774</c:v>
                </c:pt>
                <c:pt idx="23">
                  <c:v>0.29581416189011511</c:v>
                </c:pt>
                <c:pt idx="24">
                  <c:v>0.2447543394162317</c:v>
                </c:pt>
                <c:pt idx="25">
                  <c:v>0.24013453523835615</c:v>
                </c:pt>
                <c:pt idx="26">
                  <c:v>0.24654278133598995</c:v>
                </c:pt>
                <c:pt idx="27">
                  <c:v>0.25825061446164654</c:v>
                </c:pt>
                <c:pt idx="28">
                  <c:v>0.18487325984389913</c:v>
                </c:pt>
                <c:pt idx="29">
                  <c:v>0.23959249486225254</c:v>
                </c:pt>
                <c:pt idx="30">
                  <c:v>0.20242685302377494</c:v>
                </c:pt>
                <c:pt idx="31">
                  <c:v>0.21854635252088506</c:v>
                </c:pt>
                <c:pt idx="32">
                  <c:v>0.24231538003858621</c:v>
                </c:pt>
                <c:pt idx="33">
                  <c:v>0.25844528930558797</c:v>
                </c:pt>
                <c:pt idx="34">
                  <c:v>0.31900633809977741</c:v>
                </c:pt>
                <c:pt idx="35">
                  <c:v>0.34256247627783565</c:v>
                </c:pt>
                <c:pt idx="36">
                  <c:v>0.38295496615626656</c:v>
                </c:pt>
                <c:pt idx="37">
                  <c:v>0.47870141137308297</c:v>
                </c:pt>
                <c:pt idx="38">
                  <c:v>0.48199713078650608</c:v>
                </c:pt>
                <c:pt idx="39">
                  <c:v>0.43202664056493534</c:v>
                </c:pt>
                <c:pt idx="40">
                  <c:v>0.42111182460379215</c:v>
                </c:pt>
                <c:pt idx="41">
                  <c:v>0.41044719310996647</c:v>
                </c:pt>
                <c:pt idx="42">
                  <c:v>0.43738633739358956</c:v>
                </c:pt>
                <c:pt idx="43">
                  <c:v>0.40533742221946167</c:v>
                </c:pt>
                <c:pt idx="44">
                  <c:v>0.43444007522766581</c:v>
                </c:pt>
                <c:pt idx="45">
                  <c:v>0.40318377628273638</c:v>
                </c:pt>
                <c:pt idx="46">
                  <c:v>0.40405582275174923</c:v>
                </c:pt>
                <c:pt idx="47">
                  <c:v>0.46527050456196917</c:v>
                </c:pt>
                <c:pt idx="48">
                  <c:v>0.45396718916248568</c:v>
                </c:pt>
                <c:pt idx="49">
                  <c:v>0.55074877497104557</c:v>
                </c:pt>
                <c:pt idx="50">
                  <c:v>0.66128018700835023</c:v>
                </c:pt>
                <c:pt idx="51">
                  <c:v>0.67089134895345448</c:v>
                </c:pt>
                <c:pt idx="52">
                  <c:v>0.67686523815807087</c:v>
                </c:pt>
                <c:pt idx="53">
                  <c:v>0.75942338680290478</c:v>
                </c:pt>
                <c:pt idx="54">
                  <c:v>0.67919624035199333</c:v>
                </c:pt>
                <c:pt idx="55">
                  <c:v>0.6395654292179771</c:v>
                </c:pt>
                <c:pt idx="56">
                  <c:v>0.65596773793886509</c:v>
                </c:pt>
                <c:pt idx="57">
                  <c:v>0.63241431263502612</c:v>
                </c:pt>
                <c:pt idx="58">
                  <c:v>0.66643017248304326</c:v>
                </c:pt>
                <c:pt idx="59">
                  <c:v>0.73879073516068661</c:v>
                </c:pt>
                <c:pt idx="60">
                  <c:v>0.70388337745507656</c:v>
                </c:pt>
                <c:pt idx="61">
                  <c:v>0.72272895585034069</c:v>
                </c:pt>
                <c:pt idx="62">
                  <c:v>0.67075093536040087</c:v>
                </c:pt>
                <c:pt idx="63">
                  <c:v>0.63816705140394148</c:v>
                </c:pt>
                <c:pt idx="64">
                  <c:v>0.66587463049370266</c:v>
                </c:pt>
                <c:pt idx="65">
                  <c:v>0.6218589620827264</c:v>
                </c:pt>
                <c:pt idx="66">
                  <c:v>0.64439752999571054</c:v>
                </c:pt>
                <c:pt idx="67">
                  <c:v>0.640679533279642</c:v>
                </c:pt>
                <c:pt idx="68">
                  <c:v>0.67162815266566978</c:v>
                </c:pt>
                <c:pt idx="69">
                  <c:v>0.63604237001580954</c:v>
                </c:pt>
                <c:pt idx="70">
                  <c:v>0.55737594009605695</c:v>
                </c:pt>
                <c:pt idx="71">
                  <c:v>0.60729486333628668</c:v>
                </c:pt>
                <c:pt idx="72">
                  <c:v>0.69647973271519037</c:v>
                </c:pt>
                <c:pt idx="73">
                  <c:v>0.72359652201833513</c:v>
                </c:pt>
                <c:pt idx="74">
                  <c:v>0.6446282474945888</c:v>
                </c:pt>
                <c:pt idx="75">
                  <c:v>0.71922356159853429</c:v>
                </c:pt>
                <c:pt idx="76">
                  <c:v>0.74429079968558787</c:v>
                </c:pt>
                <c:pt idx="77">
                  <c:v>0.87070980351744298</c:v>
                </c:pt>
                <c:pt idx="78">
                  <c:v>0.99336590854349316</c:v>
                </c:pt>
                <c:pt idx="79">
                  <c:v>1.2144972318415963</c:v>
                </c:pt>
                <c:pt idx="80">
                  <c:v>1.5555453355701228</c:v>
                </c:pt>
                <c:pt idx="81">
                  <c:v>1.5659665818415167</c:v>
                </c:pt>
                <c:pt idx="82">
                  <c:v>1.5667585635712578</c:v>
                </c:pt>
                <c:pt idx="83">
                  <c:v>1.7292276361739454</c:v>
                </c:pt>
                <c:pt idx="84">
                  <c:v>1.6627941469856067</c:v>
                </c:pt>
                <c:pt idx="85">
                  <c:v>1.6722962751010013</c:v>
                </c:pt>
                <c:pt idx="86">
                  <c:v>1.7645299258887364</c:v>
                </c:pt>
                <c:pt idx="87">
                  <c:v>1.8561298892912603</c:v>
                </c:pt>
                <c:pt idx="88">
                  <c:v>1.651321418962405</c:v>
                </c:pt>
                <c:pt idx="89">
                  <c:v>1.5895256362011327</c:v>
                </c:pt>
                <c:pt idx="90">
                  <c:v>1.7741387267845763</c:v>
                </c:pt>
                <c:pt idx="91">
                  <c:v>1.7386404087889673</c:v>
                </c:pt>
                <c:pt idx="92">
                  <c:v>1.9302815550431931</c:v>
                </c:pt>
                <c:pt idx="93">
                  <c:v>2.0713647230601495</c:v>
                </c:pt>
                <c:pt idx="94">
                  <c:v>2.0268002945595001</c:v>
                </c:pt>
                <c:pt idx="95">
                  <c:v>2.1240029913274308</c:v>
                </c:pt>
                <c:pt idx="96">
                  <c:v>2.2352915856183264</c:v>
                </c:pt>
                <c:pt idx="97">
                  <c:v>2.2615382974683671</c:v>
                </c:pt>
                <c:pt idx="98">
                  <c:v>2.3585941411831572</c:v>
                </c:pt>
                <c:pt idx="99">
                  <c:v>2.5149281624688884</c:v>
                </c:pt>
                <c:pt idx="100">
                  <c:v>2.676871369193996</c:v>
                </c:pt>
                <c:pt idx="101">
                  <c:v>2.9629037503315736</c:v>
                </c:pt>
                <c:pt idx="102">
                  <c:v>2.9851110072400533</c:v>
                </c:pt>
                <c:pt idx="103">
                  <c:v>2.8935256804082363</c:v>
                </c:pt>
                <c:pt idx="104">
                  <c:v>2.9381959965492905</c:v>
                </c:pt>
                <c:pt idx="105">
                  <c:v>2.7842440491612335</c:v>
                </c:pt>
                <c:pt idx="106">
                  <c:v>2.6433356602313802</c:v>
                </c:pt>
                <c:pt idx="107">
                  <c:v>2.6184351888964952</c:v>
                </c:pt>
                <c:pt idx="108">
                  <c:v>2.6150059655216391</c:v>
                </c:pt>
                <c:pt idx="109">
                  <c:v>2.836226815142425</c:v>
                </c:pt>
                <c:pt idx="110">
                  <c:v>3.0654377911388595</c:v>
                </c:pt>
                <c:pt idx="111">
                  <c:v>3.0982157827785732</c:v>
                </c:pt>
                <c:pt idx="112">
                  <c:v>2.9673671323580297</c:v>
                </c:pt>
                <c:pt idx="113">
                  <c:v>2.9796227718307127</c:v>
                </c:pt>
                <c:pt idx="114">
                  <c:v>2.903064008380011</c:v>
                </c:pt>
                <c:pt idx="115">
                  <c:v>2.9886064146488529</c:v>
                </c:pt>
                <c:pt idx="116">
                  <c:v>3.1104860299269133</c:v>
                </c:pt>
                <c:pt idx="117">
                  <c:v>3.2993774470678092</c:v>
                </c:pt>
                <c:pt idx="118">
                  <c:v>3.1537914105120164</c:v>
                </c:pt>
                <c:pt idx="119">
                  <c:v>3.2246757755724813</c:v>
                </c:pt>
                <c:pt idx="120">
                  <c:v>3.0737443520813574</c:v>
                </c:pt>
                <c:pt idx="121">
                  <c:v>3.1760670985247241</c:v>
                </c:pt>
                <c:pt idx="122">
                  <c:v>2.9370695960465225</c:v>
                </c:pt>
                <c:pt idx="123">
                  <c:v>3.0533708712915386</c:v>
                </c:pt>
                <c:pt idx="124">
                  <c:v>3.2356421806336568</c:v>
                </c:pt>
                <c:pt idx="125">
                  <c:v>3.0232159128418941</c:v>
                </c:pt>
                <c:pt idx="126">
                  <c:v>3.0850015263604345</c:v>
                </c:pt>
                <c:pt idx="127">
                  <c:v>3.1104394409538836</c:v>
                </c:pt>
                <c:pt idx="128">
                  <c:v>3.3735237657452508</c:v>
                </c:pt>
                <c:pt idx="129">
                  <c:v>3.3988288454989783</c:v>
                </c:pt>
                <c:pt idx="130">
                  <c:v>3.5160642746141022</c:v>
                </c:pt>
                <c:pt idx="131">
                  <c:v>3.4846438408454592</c:v>
                </c:pt>
                <c:pt idx="132">
                  <c:v>3.3657698701750132</c:v>
                </c:pt>
                <c:pt idx="133">
                  <c:v>3.5370536389488771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B-418E-A5CD-236C9294BC90}"/>
            </c:ext>
          </c:extLst>
        </c:ser>
        <c:ser>
          <c:idx val="1"/>
          <c:order val="1"/>
          <c:tx>
            <c:strRef>
              <c:f>NN4再投資累積報酬!$B$13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NN4再投資累積報酬!$C$13:$EF$13</c:f>
              <c:numCache>
                <c:formatCode>General</c:formatCode>
                <c:ptCount val="134"/>
                <c:pt idx="0">
                  <c:v>-0.10411275025276201</c:v>
                </c:pt>
                <c:pt idx="1">
                  <c:v>6.7488432622875294E-3</c:v>
                </c:pt>
                <c:pt idx="2">
                  <c:v>-2.7980588507091508E-2</c:v>
                </c:pt>
                <c:pt idx="3">
                  <c:v>-3.911530402926533E-2</c:v>
                </c:pt>
                <c:pt idx="4">
                  <c:v>-2.3986725986700819E-2</c:v>
                </c:pt>
                <c:pt idx="5">
                  <c:v>5.2835526603736138E-3</c:v>
                </c:pt>
                <c:pt idx="6">
                  <c:v>3.8139097272767319E-2</c:v>
                </c:pt>
                <c:pt idx="7">
                  <c:v>-7.4344066963495381E-3</c:v>
                </c:pt>
                <c:pt idx="8">
                  <c:v>-8.7915484077705219E-3</c:v>
                </c:pt>
                <c:pt idx="9">
                  <c:v>-1.476373920424634E-2</c:v>
                </c:pt>
                <c:pt idx="10">
                  <c:v>1.0544125264989157E-2</c:v>
                </c:pt>
                <c:pt idx="11">
                  <c:v>0.11140341885636329</c:v>
                </c:pt>
                <c:pt idx="12">
                  <c:v>0.15171766150460453</c:v>
                </c:pt>
                <c:pt idx="13">
                  <c:v>0.17105687573597406</c:v>
                </c:pt>
                <c:pt idx="14">
                  <c:v>0.25680677592475298</c:v>
                </c:pt>
                <c:pt idx="15">
                  <c:v>0.27460309010152195</c:v>
                </c:pt>
                <c:pt idx="16">
                  <c:v>0.25899726894445441</c:v>
                </c:pt>
                <c:pt idx="17">
                  <c:v>0.23116836760402415</c:v>
                </c:pt>
                <c:pt idx="18">
                  <c:v>0.23313456347287254</c:v>
                </c:pt>
                <c:pt idx="19">
                  <c:v>0.20835555306920273</c:v>
                </c:pt>
                <c:pt idx="20">
                  <c:v>0.29955807571948645</c:v>
                </c:pt>
                <c:pt idx="21">
                  <c:v>0.36879449450984336</c:v>
                </c:pt>
                <c:pt idx="22">
                  <c:v>0.38784947248086543</c:v>
                </c:pt>
                <c:pt idx="23">
                  <c:v>0.41641663456111222</c:v>
                </c:pt>
                <c:pt idx="24">
                  <c:v>0.37092202582374378</c:v>
                </c:pt>
                <c:pt idx="25">
                  <c:v>0.34893778492789118</c:v>
                </c:pt>
                <c:pt idx="26">
                  <c:v>0.35977169753602234</c:v>
                </c:pt>
                <c:pt idx="27">
                  <c:v>0.38906619716653568</c:v>
                </c:pt>
                <c:pt idx="28">
                  <c:v>0.29777762509330796</c:v>
                </c:pt>
                <c:pt idx="29">
                  <c:v>0.36517842998291461</c:v>
                </c:pt>
                <c:pt idx="30">
                  <c:v>0.32192714313282633</c:v>
                </c:pt>
                <c:pt idx="31">
                  <c:v>0.33467229116969488</c:v>
                </c:pt>
                <c:pt idx="32">
                  <c:v>0.35077851587586273</c:v>
                </c:pt>
                <c:pt idx="33">
                  <c:v>0.32878720678733808</c:v>
                </c:pt>
                <c:pt idx="34">
                  <c:v>0.416471101132736</c:v>
                </c:pt>
                <c:pt idx="35">
                  <c:v>0.44926443068773381</c:v>
                </c:pt>
                <c:pt idx="36">
                  <c:v>0.51633992987097344</c:v>
                </c:pt>
                <c:pt idx="37">
                  <c:v>0.67605637577946043</c:v>
                </c:pt>
                <c:pt idx="38">
                  <c:v>0.69166245162435547</c:v>
                </c:pt>
                <c:pt idx="39">
                  <c:v>0.59092253102128778</c:v>
                </c:pt>
                <c:pt idx="40">
                  <c:v>0.58129858122219136</c:v>
                </c:pt>
                <c:pt idx="41">
                  <c:v>0.59592675137326201</c:v>
                </c:pt>
                <c:pt idx="42">
                  <c:v>0.66185946234490456</c:v>
                </c:pt>
                <c:pt idx="43">
                  <c:v>0.66466794324911627</c:v>
                </c:pt>
                <c:pt idx="44">
                  <c:v>0.73287958743219983</c:v>
                </c:pt>
                <c:pt idx="45">
                  <c:v>0.71388911559361024</c:v>
                </c:pt>
                <c:pt idx="46">
                  <c:v>0.72088180646509681</c:v>
                </c:pt>
                <c:pt idx="47">
                  <c:v>0.83644553809626943</c:v>
                </c:pt>
                <c:pt idx="48">
                  <c:v>0.79297208143114251</c:v>
                </c:pt>
                <c:pt idx="49">
                  <c:v>0.89239198164108235</c:v>
                </c:pt>
                <c:pt idx="50">
                  <c:v>1.0434599688811286</c:v>
                </c:pt>
                <c:pt idx="51">
                  <c:v>1.0966846333132474</c:v>
                </c:pt>
                <c:pt idx="52">
                  <c:v>1.0997953554283626</c:v>
                </c:pt>
                <c:pt idx="53">
                  <c:v>1.1873070854649952</c:v>
                </c:pt>
                <c:pt idx="54">
                  <c:v>1.0865854075578936</c:v>
                </c:pt>
                <c:pt idx="55">
                  <c:v>1.0317021669389246</c:v>
                </c:pt>
                <c:pt idx="56">
                  <c:v>1.0486284110035529</c:v>
                </c:pt>
                <c:pt idx="57">
                  <c:v>1.0312647901074805</c:v>
                </c:pt>
                <c:pt idx="58">
                  <c:v>1.0837371734900603</c:v>
                </c:pt>
                <c:pt idx="59">
                  <c:v>1.1909494496742483</c:v>
                </c:pt>
                <c:pt idx="60">
                  <c:v>1.1359001503515231</c:v>
                </c:pt>
                <c:pt idx="61">
                  <c:v>1.1649893554574899</c:v>
                </c:pt>
                <c:pt idx="62">
                  <c:v>1.1060932721425307</c:v>
                </c:pt>
                <c:pt idx="63">
                  <c:v>1.1163238372625939</c:v>
                </c:pt>
                <c:pt idx="64">
                  <c:v>1.1235335483831905</c:v>
                </c:pt>
                <c:pt idx="65">
                  <c:v>1.1066490222169394</c:v>
                </c:pt>
                <c:pt idx="66">
                  <c:v>1.1943974083212727</c:v>
                </c:pt>
                <c:pt idx="67">
                  <c:v>1.1797357231114418</c:v>
                </c:pt>
                <c:pt idx="68">
                  <c:v>1.195908210928188</c:v>
                </c:pt>
                <c:pt idx="69">
                  <c:v>1.1219768788731335</c:v>
                </c:pt>
                <c:pt idx="70">
                  <c:v>0.96355397253736741</c:v>
                </c:pt>
                <c:pt idx="71">
                  <c:v>1.0252895593921232</c:v>
                </c:pt>
                <c:pt idx="72">
                  <c:v>1.1999305913121536</c:v>
                </c:pt>
                <c:pt idx="73">
                  <c:v>1.203180845273077</c:v>
                </c:pt>
                <c:pt idx="74">
                  <c:v>1.1352617156778479</c:v>
                </c:pt>
                <c:pt idx="75">
                  <c:v>1.2978365349494068</c:v>
                </c:pt>
                <c:pt idx="76">
                  <c:v>1.3530137340907729</c:v>
                </c:pt>
                <c:pt idx="77">
                  <c:v>1.6363800525312131</c:v>
                </c:pt>
                <c:pt idx="78">
                  <c:v>1.95305720972117</c:v>
                </c:pt>
                <c:pt idx="79">
                  <c:v>2.2633816861834117</c:v>
                </c:pt>
                <c:pt idx="80">
                  <c:v>2.8632820810833648</c:v>
                </c:pt>
                <c:pt idx="81">
                  <c:v>2.9337056215746364</c:v>
                </c:pt>
                <c:pt idx="82">
                  <c:v>2.9634454929675047</c:v>
                </c:pt>
                <c:pt idx="83">
                  <c:v>3.1946515472980579</c:v>
                </c:pt>
                <c:pt idx="84">
                  <c:v>3.1615325315597307</c:v>
                </c:pt>
                <c:pt idx="85">
                  <c:v>3.2484308536547974</c:v>
                </c:pt>
                <c:pt idx="86">
                  <c:v>3.3837841486835636</c:v>
                </c:pt>
                <c:pt idx="87">
                  <c:v>3.5766723663697402</c:v>
                </c:pt>
                <c:pt idx="88">
                  <c:v>3.1123588004743921</c:v>
                </c:pt>
                <c:pt idx="89">
                  <c:v>2.9884492152845485</c:v>
                </c:pt>
                <c:pt idx="90">
                  <c:v>3.3297258153076958</c:v>
                </c:pt>
                <c:pt idx="91">
                  <c:v>3.1808804964705724</c:v>
                </c:pt>
                <c:pt idx="92">
                  <c:v>3.4614715324401635</c:v>
                </c:pt>
                <c:pt idx="93">
                  <c:v>3.748703964022158</c:v>
                </c:pt>
                <c:pt idx="94">
                  <c:v>3.7674501883739335</c:v>
                </c:pt>
                <c:pt idx="95">
                  <c:v>3.9746543859901493</c:v>
                </c:pt>
                <c:pt idx="96">
                  <c:v>4.1595195188433935</c:v>
                </c:pt>
                <c:pt idx="97">
                  <c:v>4.1442818470402321</c:v>
                </c:pt>
                <c:pt idx="98">
                  <c:v>4.1980754116229875</c:v>
                </c:pt>
                <c:pt idx="99">
                  <c:v>4.2239997499977262</c:v>
                </c:pt>
                <c:pt idx="100">
                  <c:v>4.5494389855793615</c:v>
                </c:pt>
                <c:pt idx="101">
                  <c:v>4.867001304928376</c:v>
                </c:pt>
                <c:pt idx="102">
                  <c:v>4.8342418651182832</c:v>
                </c:pt>
                <c:pt idx="103">
                  <c:v>4.5905947667235631</c:v>
                </c:pt>
                <c:pt idx="104">
                  <c:v>4.7222029506827816</c:v>
                </c:pt>
                <c:pt idx="105">
                  <c:v>4.4280436457520063</c:v>
                </c:pt>
                <c:pt idx="106">
                  <c:v>4.1970034247675789</c:v>
                </c:pt>
                <c:pt idx="107">
                  <c:v>4.0487911401608079</c:v>
                </c:pt>
                <c:pt idx="108">
                  <c:v>4.0405582926736816</c:v>
                </c:pt>
                <c:pt idx="109">
                  <c:v>4.4877596535045825</c:v>
                </c:pt>
                <c:pt idx="110">
                  <c:v>4.9802781995005132</c:v>
                </c:pt>
                <c:pt idx="111">
                  <c:v>4.9603533706541336</c:v>
                </c:pt>
                <c:pt idx="112">
                  <c:v>4.8448021821580438</c:v>
                </c:pt>
                <c:pt idx="113">
                  <c:v>5.0033245529318702</c:v>
                </c:pt>
                <c:pt idx="114">
                  <c:v>5.0065160560022166</c:v>
                </c:pt>
                <c:pt idx="115">
                  <c:v>5.1082378163448654</c:v>
                </c:pt>
                <c:pt idx="116">
                  <c:v>5.3395168656336507</c:v>
                </c:pt>
                <c:pt idx="117">
                  <c:v>5.6247770611611703</c:v>
                </c:pt>
                <c:pt idx="118">
                  <c:v>5.3997568211855711</c:v>
                </c:pt>
                <c:pt idx="119">
                  <c:v>5.4968318534496809</c:v>
                </c:pt>
                <c:pt idx="120">
                  <c:v>5.2441854741958176</c:v>
                </c:pt>
                <c:pt idx="121">
                  <c:v>5.5615852888391837</c:v>
                </c:pt>
                <c:pt idx="122">
                  <c:v>5.3450125585994179</c:v>
                </c:pt>
                <c:pt idx="123">
                  <c:v>5.6194646732134199</c:v>
                </c:pt>
                <c:pt idx="124">
                  <c:v>5.8976720735469206</c:v>
                </c:pt>
                <c:pt idx="125">
                  <c:v>5.4526109601374602</c:v>
                </c:pt>
                <c:pt idx="126">
                  <c:v>5.6809433397066993</c:v>
                </c:pt>
                <c:pt idx="127">
                  <c:v>5.8032187941244189</c:v>
                </c:pt>
                <c:pt idx="128">
                  <c:v>6.3015060573311867</c:v>
                </c:pt>
                <c:pt idx="129">
                  <c:v>6.3029751657574415</c:v>
                </c:pt>
                <c:pt idx="130">
                  <c:v>6.607215310506497</c:v>
                </c:pt>
                <c:pt idx="131">
                  <c:v>6.6611103010615134</c:v>
                </c:pt>
                <c:pt idx="132">
                  <c:v>6.3452091370725086</c:v>
                </c:pt>
                <c:pt idx="133">
                  <c:v>6.8342327076817462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B-418E-A5CD-236C9294BC90}"/>
            </c:ext>
          </c:extLst>
        </c:ser>
        <c:ser>
          <c:idx val="2"/>
          <c:order val="2"/>
          <c:tx>
            <c:strRef>
              <c:f>NN4再投資累積報酬!$B$14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NN4再投資累積報酬!$C$14:$EF$14</c:f>
              <c:numCache>
                <c:formatCode>General</c:formatCode>
                <c:ptCount val="134"/>
                <c:pt idx="0">
                  <c:v>-0.11994148975270613</c:v>
                </c:pt>
                <c:pt idx="1">
                  <c:v>7.5702952285344294E-2</c:v>
                </c:pt>
                <c:pt idx="2">
                  <c:v>2.4579154802611303E-2</c:v>
                </c:pt>
                <c:pt idx="3">
                  <c:v>5.9970643542303526E-2</c:v>
                </c:pt>
                <c:pt idx="4">
                  <c:v>0.15022583136703838</c:v>
                </c:pt>
                <c:pt idx="5">
                  <c:v>0.21876526556358056</c:v>
                </c:pt>
                <c:pt idx="6">
                  <c:v>0.27213177878676076</c:v>
                </c:pt>
                <c:pt idx="7">
                  <c:v>0.13843786958837034</c:v>
                </c:pt>
                <c:pt idx="8">
                  <c:v>0.15261274337830955</c:v>
                </c:pt>
                <c:pt idx="9">
                  <c:v>0.14283807144470662</c:v>
                </c:pt>
                <c:pt idx="10">
                  <c:v>5.6037756537571148E-2</c:v>
                </c:pt>
                <c:pt idx="11">
                  <c:v>0.27234868965552472</c:v>
                </c:pt>
                <c:pt idx="12">
                  <c:v>0.32003095815533311</c:v>
                </c:pt>
                <c:pt idx="13">
                  <c:v>0.38310172618200311</c:v>
                </c:pt>
                <c:pt idx="14">
                  <c:v>0.46365073003777324</c:v>
                </c:pt>
                <c:pt idx="15">
                  <c:v>0.44293744304384619</c:v>
                </c:pt>
                <c:pt idx="16">
                  <c:v>0.49853973808391538</c:v>
                </c:pt>
                <c:pt idx="17">
                  <c:v>0.47252399244673304</c:v>
                </c:pt>
                <c:pt idx="18">
                  <c:v>0.5263876382873105</c:v>
                </c:pt>
                <c:pt idx="19">
                  <c:v>0.46781167885664798</c:v>
                </c:pt>
                <c:pt idx="20">
                  <c:v>0.6383211828829809</c:v>
                </c:pt>
                <c:pt idx="21">
                  <c:v>0.72610523095682855</c:v>
                </c:pt>
                <c:pt idx="22">
                  <c:v>0.69717111005207855</c:v>
                </c:pt>
                <c:pt idx="23">
                  <c:v>0.73323973178987223</c:v>
                </c:pt>
                <c:pt idx="24">
                  <c:v>0.66486311186402935</c:v>
                </c:pt>
                <c:pt idx="25">
                  <c:v>0.54002682636960819</c:v>
                </c:pt>
                <c:pt idx="26">
                  <c:v>0.49491623157037434</c:v>
                </c:pt>
                <c:pt idx="27">
                  <c:v>0.55370813595869994</c:v>
                </c:pt>
                <c:pt idx="28">
                  <c:v>0.54746392773033059</c:v>
                </c:pt>
                <c:pt idx="29">
                  <c:v>0.67794145792534088</c:v>
                </c:pt>
                <c:pt idx="30">
                  <c:v>0.6435085980441555</c:v>
                </c:pt>
                <c:pt idx="31">
                  <c:v>0.65213747496506347</c:v>
                </c:pt>
                <c:pt idx="32">
                  <c:v>0.771211898123078</c:v>
                </c:pt>
                <c:pt idx="33">
                  <c:v>0.79788464200781983</c:v>
                </c:pt>
                <c:pt idx="34">
                  <c:v>0.93616252234280739</c:v>
                </c:pt>
                <c:pt idx="35">
                  <c:v>1.0096770444871597</c:v>
                </c:pt>
                <c:pt idx="36">
                  <c:v>1.1327540204129463</c:v>
                </c:pt>
                <c:pt idx="37">
                  <c:v>1.343032192356965</c:v>
                </c:pt>
                <c:pt idx="38">
                  <c:v>1.4857362209606317</c:v>
                </c:pt>
                <c:pt idx="39">
                  <c:v>1.3117930377731333</c:v>
                </c:pt>
                <c:pt idx="40">
                  <c:v>1.3109423725188547</c:v>
                </c:pt>
                <c:pt idx="41">
                  <c:v>1.3529340973767376</c:v>
                </c:pt>
                <c:pt idx="42">
                  <c:v>1.5538205187569165</c:v>
                </c:pt>
                <c:pt idx="43">
                  <c:v>1.5068112561084024</c:v>
                </c:pt>
                <c:pt idx="44">
                  <c:v>1.6070627719802211</c:v>
                </c:pt>
                <c:pt idx="45">
                  <c:v>1.6290310646914468</c:v>
                </c:pt>
                <c:pt idx="46">
                  <c:v>1.5807543473234831</c:v>
                </c:pt>
                <c:pt idx="47">
                  <c:v>1.9341913089646581</c:v>
                </c:pt>
                <c:pt idx="48">
                  <c:v>1.7615453224085131</c:v>
                </c:pt>
                <c:pt idx="49">
                  <c:v>1.8323207672906219</c:v>
                </c:pt>
                <c:pt idx="50">
                  <c:v>2.1051789745615808</c:v>
                </c:pt>
                <c:pt idx="51">
                  <c:v>2.4215915582748662</c:v>
                </c:pt>
                <c:pt idx="52">
                  <c:v>2.4629049555546958</c:v>
                </c:pt>
                <c:pt idx="53">
                  <c:v>2.5197572316368873</c:v>
                </c:pt>
                <c:pt idx="54">
                  <c:v>2.4348711813779516</c:v>
                </c:pt>
                <c:pt idx="55">
                  <c:v>2.4168625368165784</c:v>
                </c:pt>
                <c:pt idx="56">
                  <c:v>2.4527280031176484</c:v>
                </c:pt>
                <c:pt idx="57">
                  <c:v>2.4342809213521281</c:v>
                </c:pt>
                <c:pt idx="58">
                  <c:v>2.5451056162334829</c:v>
                </c:pt>
                <c:pt idx="59">
                  <c:v>2.6302481827271387</c:v>
                </c:pt>
                <c:pt idx="60">
                  <c:v>2.7509081282525822</c:v>
                </c:pt>
                <c:pt idx="61">
                  <c:v>2.7905621082461649</c:v>
                </c:pt>
                <c:pt idx="62">
                  <c:v>2.7095386663069725</c:v>
                </c:pt>
                <c:pt idx="63">
                  <c:v>2.8823165289003989</c:v>
                </c:pt>
                <c:pt idx="64">
                  <c:v>2.9401769398880151</c:v>
                </c:pt>
                <c:pt idx="65">
                  <c:v>3.1384950419879072</c:v>
                </c:pt>
                <c:pt idx="66">
                  <c:v>3.204063386971316</c:v>
                </c:pt>
                <c:pt idx="67">
                  <c:v>3.0866462948542415</c:v>
                </c:pt>
                <c:pt idx="68">
                  <c:v>2.9170751768038041</c:v>
                </c:pt>
                <c:pt idx="69">
                  <c:v>2.9769591396988724</c:v>
                </c:pt>
                <c:pt idx="70">
                  <c:v>2.5348825319018866</c:v>
                </c:pt>
                <c:pt idx="71">
                  <c:v>2.680811280639106</c:v>
                </c:pt>
                <c:pt idx="72">
                  <c:v>3.1166489372749204</c:v>
                </c:pt>
                <c:pt idx="73">
                  <c:v>3.1153845734953469</c:v>
                </c:pt>
                <c:pt idx="74">
                  <c:v>2.7845086061531403</c:v>
                </c:pt>
                <c:pt idx="75">
                  <c:v>3.0117080108839538</c:v>
                </c:pt>
                <c:pt idx="76">
                  <c:v>3.1459203371933535</c:v>
                </c:pt>
                <c:pt idx="77">
                  <c:v>3.827781203890547</c:v>
                </c:pt>
                <c:pt idx="78">
                  <c:v>4.409993071588806</c:v>
                </c:pt>
                <c:pt idx="79">
                  <c:v>4.9402627932219261</c:v>
                </c:pt>
                <c:pt idx="80">
                  <c:v>5.9534061107813736</c:v>
                </c:pt>
                <c:pt idx="81">
                  <c:v>5.812180924321031</c:v>
                </c:pt>
                <c:pt idx="82">
                  <c:v>6.7585745799758605</c:v>
                </c:pt>
                <c:pt idx="83">
                  <c:v>7.2602548144114838</c:v>
                </c:pt>
                <c:pt idx="84">
                  <c:v>7.2286233569638547</c:v>
                </c:pt>
                <c:pt idx="85">
                  <c:v>7.3937457001812081</c:v>
                </c:pt>
                <c:pt idx="86">
                  <c:v>7.3898521809127136</c:v>
                </c:pt>
                <c:pt idx="87">
                  <c:v>8.4808087144215971</c:v>
                </c:pt>
                <c:pt idx="88">
                  <c:v>7.4372658362744968</c:v>
                </c:pt>
                <c:pt idx="89">
                  <c:v>7.2735698232805319</c:v>
                </c:pt>
                <c:pt idx="90">
                  <c:v>8.7069587953428513</c:v>
                </c:pt>
                <c:pt idx="91">
                  <c:v>7.683071460174105</c:v>
                </c:pt>
                <c:pt idx="92">
                  <c:v>8.3736946685518063</c:v>
                </c:pt>
                <c:pt idx="93">
                  <c:v>8.9608690458886091</c:v>
                </c:pt>
                <c:pt idx="94">
                  <c:v>8.9228572406095381</c:v>
                </c:pt>
                <c:pt idx="95">
                  <c:v>9.5368077605320867</c:v>
                </c:pt>
                <c:pt idx="96">
                  <c:v>9.0740616920119912</c:v>
                </c:pt>
                <c:pt idx="97">
                  <c:v>9.3032034295437054</c:v>
                </c:pt>
                <c:pt idx="98">
                  <c:v>9.3880400259564638</c:v>
                </c:pt>
                <c:pt idx="99">
                  <c:v>9.6398903327481253</c:v>
                </c:pt>
                <c:pt idx="100">
                  <c:v>10.1733504248424</c:v>
                </c:pt>
                <c:pt idx="101">
                  <c:v>10.889155067620326</c:v>
                </c:pt>
                <c:pt idx="102">
                  <c:v>10.600197604862961</c:v>
                </c:pt>
                <c:pt idx="103">
                  <c:v>10.326884500097309</c:v>
                </c:pt>
                <c:pt idx="104">
                  <c:v>10.493998652516124</c:v>
                </c:pt>
                <c:pt idx="105">
                  <c:v>9.8744725073348256</c:v>
                </c:pt>
                <c:pt idx="106">
                  <c:v>9.5367367605599416</c:v>
                </c:pt>
                <c:pt idx="107">
                  <c:v>9.1589248832595231</c:v>
                </c:pt>
                <c:pt idx="108">
                  <c:v>9.2752095898312277</c:v>
                </c:pt>
                <c:pt idx="109">
                  <c:v>9.8787876714476877</c:v>
                </c:pt>
                <c:pt idx="110">
                  <c:v>10.821395984971979</c:v>
                </c:pt>
                <c:pt idx="111">
                  <c:v>10.833497834915127</c:v>
                </c:pt>
                <c:pt idx="112">
                  <c:v>9.8676294055787963</c:v>
                </c:pt>
                <c:pt idx="113">
                  <c:v>9.7668410286805418</c:v>
                </c:pt>
                <c:pt idx="114">
                  <c:v>9.7547697876847277</c:v>
                </c:pt>
                <c:pt idx="115">
                  <c:v>10.080626764127329</c:v>
                </c:pt>
                <c:pt idx="116">
                  <c:v>11.217412523375996</c:v>
                </c:pt>
                <c:pt idx="117">
                  <c:v>11.261613390332791</c:v>
                </c:pt>
                <c:pt idx="118">
                  <c:v>10.574726563167635</c:v>
                </c:pt>
                <c:pt idx="119">
                  <c:v>10.664944864325788</c:v>
                </c:pt>
                <c:pt idx="120">
                  <c:v>10.256147964900078</c:v>
                </c:pt>
                <c:pt idx="121">
                  <c:v>11.580687186364006</c:v>
                </c:pt>
                <c:pt idx="122">
                  <c:v>10.715195374432932</c:v>
                </c:pt>
                <c:pt idx="123">
                  <c:v>10.942856108788753</c:v>
                </c:pt>
                <c:pt idx="124">
                  <c:v>10.964464431905224</c:v>
                </c:pt>
                <c:pt idx="125">
                  <c:v>9.7449085592327318</c:v>
                </c:pt>
                <c:pt idx="126">
                  <c:v>10.153183708779475</c:v>
                </c:pt>
                <c:pt idx="127">
                  <c:v>10.543890885762442</c:v>
                </c:pt>
                <c:pt idx="128">
                  <c:v>11.445529552776241</c:v>
                </c:pt>
                <c:pt idx="129">
                  <c:v>11.133028271865586</c:v>
                </c:pt>
                <c:pt idx="130">
                  <c:v>11.206789587344359</c:v>
                </c:pt>
                <c:pt idx="131">
                  <c:v>10.796674564440702</c:v>
                </c:pt>
                <c:pt idx="132">
                  <c:v>10.836774451955433</c:v>
                </c:pt>
                <c:pt idx="133">
                  <c:v>11.664832822863017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B-418E-A5CD-236C9294BC90}"/>
            </c:ext>
          </c:extLst>
        </c:ser>
        <c:ser>
          <c:idx val="3"/>
          <c:order val="3"/>
          <c:tx>
            <c:strRef>
              <c:f>NN4再投資累積報酬!$B$15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NN4再投資累積報酬!$C$15:$EF$15</c:f>
              <c:numCache>
                <c:formatCode>General</c:formatCode>
                <c:ptCount val="134"/>
                <c:pt idx="0">
                  <c:v>-0.22764465877785844</c:v>
                </c:pt>
                <c:pt idx="1">
                  <c:v>6.0219294621182362E-2</c:v>
                </c:pt>
                <c:pt idx="2">
                  <c:v>4.9406726312747784E-2</c:v>
                </c:pt>
                <c:pt idx="3">
                  <c:v>0.14417205015620227</c:v>
                </c:pt>
                <c:pt idx="4">
                  <c:v>0.25470546675264583</c:v>
                </c:pt>
                <c:pt idx="5">
                  <c:v>0.40381931148340122</c:v>
                </c:pt>
                <c:pt idx="6">
                  <c:v>0.48584650136134266</c:v>
                </c:pt>
                <c:pt idx="7">
                  <c:v>0.3899727163103377</c:v>
                </c:pt>
                <c:pt idx="8">
                  <c:v>0.38412042190904394</c:v>
                </c:pt>
                <c:pt idx="9">
                  <c:v>0.40206842901624951</c:v>
                </c:pt>
                <c:pt idx="10">
                  <c:v>0.13778967699623634</c:v>
                </c:pt>
                <c:pt idx="11">
                  <c:v>0.51361223069648609</c:v>
                </c:pt>
                <c:pt idx="12">
                  <c:v>0.62525224905139898</c:v>
                </c:pt>
                <c:pt idx="13">
                  <c:v>0.71136344922190209</c:v>
                </c:pt>
                <c:pt idx="14">
                  <c:v>0.88314215370264382</c:v>
                </c:pt>
                <c:pt idx="15">
                  <c:v>0.91469502208518594</c:v>
                </c:pt>
                <c:pt idx="16">
                  <c:v>0.83229816330864481</c:v>
                </c:pt>
                <c:pt idx="17">
                  <c:v>0.74189500401269659</c:v>
                </c:pt>
                <c:pt idx="18">
                  <c:v>0.82339869480725647</c:v>
                </c:pt>
                <c:pt idx="19">
                  <c:v>0.66716828661938399</c:v>
                </c:pt>
                <c:pt idx="20">
                  <c:v>0.84544618572244157</c:v>
                </c:pt>
                <c:pt idx="21">
                  <c:v>0.99019636389190313</c:v>
                </c:pt>
                <c:pt idx="22">
                  <c:v>0.94205626321178704</c:v>
                </c:pt>
                <c:pt idx="23">
                  <c:v>0.89611416713811964</c:v>
                </c:pt>
                <c:pt idx="24">
                  <c:v>0.79357013808318544</c:v>
                </c:pt>
                <c:pt idx="25">
                  <c:v>0.66085320862403041</c:v>
                </c:pt>
                <c:pt idx="26">
                  <c:v>0.59432751815565177</c:v>
                </c:pt>
                <c:pt idx="27">
                  <c:v>0.65760714442639467</c:v>
                </c:pt>
                <c:pt idx="28">
                  <c:v>0.73598954528602167</c:v>
                </c:pt>
                <c:pt idx="29">
                  <c:v>0.82239326011693592</c:v>
                </c:pt>
                <c:pt idx="30">
                  <c:v>0.80394430156395447</c:v>
                </c:pt>
                <c:pt idx="31">
                  <c:v>0.74332388373774627</c:v>
                </c:pt>
                <c:pt idx="32">
                  <c:v>0.89225623631295625</c:v>
                </c:pt>
                <c:pt idx="33">
                  <c:v>0.91016617661224131</c:v>
                </c:pt>
                <c:pt idx="34">
                  <c:v>1.0281373131642391</c:v>
                </c:pt>
                <c:pt idx="35">
                  <c:v>1.1182508257579205</c:v>
                </c:pt>
                <c:pt idx="36">
                  <c:v>1.2350143656125359</c:v>
                </c:pt>
                <c:pt idx="37">
                  <c:v>1.4622900841472615</c:v>
                </c:pt>
                <c:pt idx="38">
                  <c:v>1.6183249450103281</c:v>
                </c:pt>
                <c:pt idx="39">
                  <c:v>1.413347559853487</c:v>
                </c:pt>
                <c:pt idx="40">
                  <c:v>1.323167695581331</c:v>
                </c:pt>
                <c:pt idx="41">
                  <c:v>1.3802033668044138</c:v>
                </c:pt>
                <c:pt idx="42">
                  <c:v>1.5083087183539354</c:v>
                </c:pt>
                <c:pt idx="43">
                  <c:v>1.5255069828625984</c:v>
                </c:pt>
                <c:pt idx="44">
                  <c:v>1.6263839676623495</c:v>
                </c:pt>
                <c:pt idx="45">
                  <c:v>1.7136463687294352</c:v>
                </c:pt>
                <c:pt idx="46">
                  <c:v>1.7561419060221519</c:v>
                </c:pt>
                <c:pt idx="47">
                  <c:v>2.1013045185712613</c:v>
                </c:pt>
                <c:pt idx="48">
                  <c:v>1.9675033937396278</c:v>
                </c:pt>
                <c:pt idx="49">
                  <c:v>2.0768480351157939</c:v>
                </c:pt>
                <c:pt idx="50">
                  <c:v>2.5620298893374311</c:v>
                </c:pt>
                <c:pt idx="51">
                  <c:v>2.9495399145165737</c:v>
                </c:pt>
                <c:pt idx="52">
                  <c:v>2.7975173077870163</c:v>
                </c:pt>
                <c:pt idx="53">
                  <c:v>2.8254781085911729</c:v>
                </c:pt>
                <c:pt idx="54">
                  <c:v>2.6486755508068582</c:v>
                </c:pt>
                <c:pt idx="55">
                  <c:v>2.4407812268987366</c:v>
                </c:pt>
                <c:pt idx="56">
                  <c:v>2.4881819465823192</c:v>
                </c:pt>
                <c:pt idx="57">
                  <c:v>2.3680425229661122</c:v>
                </c:pt>
                <c:pt idx="58">
                  <c:v>2.4567938904117712</c:v>
                </c:pt>
                <c:pt idx="59">
                  <c:v>2.7165854262517541</c:v>
                </c:pt>
                <c:pt idx="60">
                  <c:v>2.9874108464902185</c:v>
                </c:pt>
                <c:pt idx="61">
                  <c:v>2.9877214713924727</c:v>
                </c:pt>
                <c:pt idx="62">
                  <c:v>2.7380965092808376</c:v>
                </c:pt>
                <c:pt idx="63">
                  <c:v>2.9850128677814984</c:v>
                </c:pt>
                <c:pt idx="64">
                  <c:v>3.0511220137025763</c:v>
                </c:pt>
                <c:pt idx="65">
                  <c:v>3.2602281891324392</c:v>
                </c:pt>
                <c:pt idx="66">
                  <c:v>3.3147715979190187</c:v>
                </c:pt>
                <c:pt idx="67">
                  <c:v>3.0983537473185194</c:v>
                </c:pt>
                <c:pt idx="68">
                  <c:v>3.0294039559610857</c:v>
                </c:pt>
                <c:pt idx="69">
                  <c:v>2.8817921164713383</c:v>
                </c:pt>
                <c:pt idx="70">
                  <c:v>2.5497213617136953</c:v>
                </c:pt>
                <c:pt idx="71">
                  <c:v>2.8556368339696037</c:v>
                </c:pt>
                <c:pt idx="72">
                  <c:v>3.6427490516786856</c:v>
                </c:pt>
                <c:pt idx="73">
                  <c:v>3.7539402517726463</c:v>
                </c:pt>
                <c:pt idx="74">
                  <c:v>3.3102151108030595</c:v>
                </c:pt>
                <c:pt idx="75">
                  <c:v>3.7537641283886085</c:v>
                </c:pt>
                <c:pt idx="76">
                  <c:v>3.8962059605854868</c:v>
                </c:pt>
                <c:pt idx="77">
                  <c:v>4.5380564682783202</c:v>
                </c:pt>
                <c:pt idx="78">
                  <c:v>5.4997494203802697</c:v>
                </c:pt>
                <c:pt idx="79">
                  <c:v>6.2807078584768083</c:v>
                </c:pt>
                <c:pt idx="80">
                  <c:v>6.8148797066752325</c:v>
                </c:pt>
                <c:pt idx="81">
                  <c:v>6.7865365686466292</c:v>
                </c:pt>
                <c:pt idx="82">
                  <c:v>8.5442010244320254</c:v>
                </c:pt>
                <c:pt idx="83">
                  <c:v>9.1443972519057173</c:v>
                </c:pt>
                <c:pt idx="84">
                  <c:v>8.4410167547177668</c:v>
                </c:pt>
                <c:pt idx="85">
                  <c:v>8.510716291993571</c:v>
                </c:pt>
                <c:pt idx="86">
                  <c:v>8.8367456578385593</c:v>
                </c:pt>
                <c:pt idx="87">
                  <c:v>10.929522026720953</c:v>
                </c:pt>
                <c:pt idx="88">
                  <c:v>9.6397050194199529</c:v>
                </c:pt>
                <c:pt idx="89">
                  <c:v>9.6420152708128501</c:v>
                </c:pt>
                <c:pt idx="90">
                  <c:v>11.486914923642765</c:v>
                </c:pt>
                <c:pt idx="91">
                  <c:v>11.057449776548163</c:v>
                </c:pt>
                <c:pt idx="92">
                  <c:v>12.740713404387776</c:v>
                </c:pt>
                <c:pt idx="93">
                  <c:v>13.075633932040844</c:v>
                </c:pt>
                <c:pt idx="94">
                  <c:v>13.313666790319557</c:v>
                </c:pt>
                <c:pt idx="95">
                  <c:v>13.774803844405554</c:v>
                </c:pt>
                <c:pt idx="96">
                  <c:v>12.841351537012377</c:v>
                </c:pt>
                <c:pt idx="97">
                  <c:v>12.756340074916405</c:v>
                </c:pt>
                <c:pt idx="98">
                  <c:v>12.381377439444435</c:v>
                </c:pt>
                <c:pt idx="99">
                  <c:v>12.620487825269363</c:v>
                </c:pt>
                <c:pt idx="100">
                  <c:v>13.379594534528191</c:v>
                </c:pt>
                <c:pt idx="101">
                  <c:v>14.528336454568793</c:v>
                </c:pt>
                <c:pt idx="102">
                  <c:v>14.118763607556994</c:v>
                </c:pt>
                <c:pt idx="103">
                  <c:v>13.661774512121783</c:v>
                </c:pt>
                <c:pt idx="104">
                  <c:v>14.786728841877858</c:v>
                </c:pt>
                <c:pt idx="105">
                  <c:v>13.7207077322598</c:v>
                </c:pt>
                <c:pt idx="106">
                  <c:v>12.754910031952486</c:v>
                </c:pt>
                <c:pt idx="107">
                  <c:v>12.171821426291878</c:v>
                </c:pt>
                <c:pt idx="108">
                  <c:v>12.385161882856927</c:v>
                </c:pt>
                <c:pt idx="109">
                  <c:v>14.120172475340459</c:v>
                </c:pt>
                <c:pt idx="110">
                  <c:v>14.76749377957686</c:v>
                </c:pt>
                <c:pt idx="111">
                  <c:v>13.949888473463707</c:v>
                </c:pt>
                <c:pt idx="112">
                  <c:v>12.44998220612357</c:v>
                </c:pt>
                <c:pt idx="113">
                  <c:v>12.554055932753904</c:v>
                </c:pt>
                <c:pt idx="114">
                  <c:v>12.578090862185608</c:v>
                </c:pt>
                <c:pt idx="115">
                  <c:v>11.668052327383325</c:v>
                </c:pt>
                <c:pt idx="116">
                  <c:v>13.689181947076484</c:v>
                </c:pt>
                <c:pt idx="117">
                  <c:v>13.096764407205383</c:v>
                </c:pt>
                <c:pt idx="118">
                  <c:v>12.06857347848276</c:v>
                </c:pt>
                <c:pt idx="119">
                  <c:v>11.78060399877941</c:v>
                </c:pt>
                <c:pt idx="120">
                  <c:v>10.806186359257023</c:v>
                </c:pt>
                <c:pt idx="121">
                  <c:v>11.211096036253684</c:v>
                </c:pt>
                <c:pt idx="122">
                  <c:v>9.7808390107341161</c:v>
                </c:pt>
                <c:pt idx="123">
                  <c:v>10.332030969475362</c:v>
                </c:pt>
                <c:pt idx="124">
                  <c:v>9.642745155660748</c:v>
                </c:pt>
                <c:pt idx="125">
                  <c:v>8.380342628672965</c:v>
                </c:pt>
                <c:pt idx="126">
                  <c:v>9.3797165147637056</c:v>
                </c:pt>
                <c:pt idx="127">
                  <c:v>9.7996347274788853</c:v>
                </c:pt>
                <c:pt idx="128">
                  <c:v>10.094882984459707</c:v>
                </c:pt>
                <c:pt idx="129">
                  <c:v>9.4721662535641524</c:v>
                </c:pt>
                <c:pt idx="130">
                  <c:v>10.164186436442341</c:v>
                </c:pt>
                <c:pt idx="131">
                  <c:v>9.3560855649675485</c:v>
                </c:pt>
                <c:pt idx="132">
                  <c:v>9.3230421904398408</c:v>
                </c:pt>
                <c:pt idx="133">
                  <c:v>10.001276293919823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5B-418E-A5CD-236C9294BC90}"/>
            </c:ext>
          </c:extLst>
        </c:ser>
        <c:ser>
          <c:idx val="4"/>
          <c:order val="4"/>
          <c:tx>
            <c:strRef>
              <c:f>NN4再投資累積報酬!$B$16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NN4再投資累積報酬!$C$16:$EF$16</c:f>
              <c:numCache>
                <c:formatCode>General</c:formatCode>
                <c:ptCount val="134"/>
                <c:pt idx="0">
                  <c:v>-0.20787477708292912</c:v>
                </c:pt>
                <c:pt idx="1">
                  <c:v>0.11546676143924528</c:v>
                </c:pt>
                <c:pt idx="2">
                  <c:v>0.11230979350169235</c:v>
                </c:pt>
                <c:pt idx="3">
                  <c:v>0.25052517252986939</c:v>
                </c:pt>
                <c:pt idx="4">
                  <c:v>0.38684806377791436</c:v>
                </c:pt>
                <c:pt idx="5">
                  <c:v>0.48787724959042267</c:v>
                </c:pt>
                <c:pt idx="6">
                  <c:v>0.57347574825786296</c:v>
                </c:pt>
                <c:pt idx="7">
                  <c:v>0.4653873528838901</c:v>
                </c:pt>
                <c:pt idx="8">
                  <c:v>0.49165457434407478</c:v>
                </c:pt>
                <c:pt idx="9">
                  <c:v>0.53793636601058692</c:v>
                </c:pt>
                <c:pt idx="10">
                  <c:v>0.23822885597227472</c:v>
                </c:pt>
                <c:pt idx="11">
                  <c:v>0.69264350337213521</c:v>
                </c:pt>
                <c:pt idx="12">
                  <c:v>0.82776192031242957</c:v>
                </c:pt>
                <c:pt idx="13">
                  <c:v>0.94104612028991785</c:v>
                </c:pt>
                <c:pt idx="14">
                  <c:v>1.1285864504805758</c:v>
                </c:pt>
                <c:pt idx="15">
                  <c:v>1.1694186183007109</c:v>
                </c:pt>
                <c:pt idx="16">
                  <c:v>1.0774023301442313</c:v>
                </c:pt>
                <c:pt idx="17">
                  <c:v>1.0291509529795166</c:v>
                </c:pt>
                <c:pt idx="18">
                  <c:v>1.1278722226143785</c:v>
                </c:pt>
                <c:pt idx="19">
                  <c:v>0.90590073018270689</c:v>
                </c:pt>
                <c:pt idx="20">
                  <c:v>1.0552728182415474</c:v>
                </c:pt>
                <c:pt idx="21">
                  <c:v>1.2067017796057931</c:v>
                </c:pt>
                <c:pt idx="22">
                  <c:v>1.1972406624784924</c:v>
                </c:pt>
                <c:pt idx="23">
                  <c:v>1.1531293096400401</c:v>
                </c:pt>
                <c:pt idx="24">
                  <c:v>1.0594948063146128</c:v>
                </c:pt>
                <c:pt idx="25">
                  <c:v>0.91323746279352491</c:v>
                </c:pt>
                <c:pt idx="26">
                  <c:v>0.83471719725387872</c:v>
                </c:pt>
                <c:pt idx="27">
                  <c:v>0.89858585291693815</c:v>
                </c:pt>
                <c:pt idx="28">
                  <c:v>0.99642945943410632</c:v>
                </c:pt>
                <c:pt idx="29">
                  <c:v>1.0263931165614886</c:v>
                </c:pt>
                <c:pt idx="30">
                  <c:v>0.99946082609433451</c:v>
                </c:pt>
                <c:pt idx="31">
                  <c:v>0.93594715227047875</c:v>
                </c:pt>
                <c:pt idx="32">
                  <c:v>1.0309596501971634</c:v>
                </c:pt>
                <c:pt idx="33">
                  <c:v>1.0166901966015289</c:v>
                </c:pt>
                <c:pt idx="34">
                  <c:v>1.1466082041115113</c:v>
                </c:pt>
                <c:pt idx="35">
                  <c:v>1.2511242673631173</c:v>
                </c:pt>
                <c:pt idx="36">
                  <c:v>1.3998711991288397</c:v>
                </c:pt>
                <c:pt idx="37">
                  <c:v>1.6553523676927493</c:v>
                </c:pt>
                <c:pt idx="38">
                  <c:v>1.818456515460436</c:v>
                </c:pt>
                <c:pt idx="39">
                  <c:v>1.5991851978683123</c:v>
                </c:pt>
                <c:pt idx="40">
                  <c:v>1.4992044198304106</c:v>
                </c:pt>
                <c:pt idx="41">
                  <c:v>1.5804104685352813</c:v>
                </c:pt>
                <c:pt idx="42">
                  <c:v>1.7483131987173262</c:v>
                </c:pt>
                <c:pt idx="43">
                  <c:v>1.7591400944106437</c:v>
                </c:pt>
                <c:pt idx="44">
                  <c:v>1.8745462008621541</c:v>
                </c:pt>
                <c:pt idx="45">
                  <c:v>1.942411006675091</c:v>
                </c:pt>
                <c:pt idx="46">
                  <c:v>2.057909260170991</c:v>
                </c:pt>
                <c:pt idx="47">
                  <c:v>2.366237557474677</c:v>
                </c:pt>
                <c:pt idx="48">
                  <c:v>2.2495176052674291</c:v>
                </c:pt>
                <c:pt idx="49">
                  <c:v>2.4016823632400768</c:v>
                </c:pt>
                <c:pt idx="50">
                  <c:v>2.9459199063065156</c:v>
                </c:pt>
                <c:pt idx="51">
                  <c:v>3.4686546104715603</c:v>
                </c:pt>
                <c:pt idx="52">
                  <c:v>3.2915313696581752</c:v>
                </c:pt>
                <c:pt idx="53">
                  <c:v>3.3184915611875407</c:v>
                </c:pt>
                <c:pt idx="54">
                  <c:v>3.1278770720892997</c:v>
                </c:pt>
                <c:pt idx="55">
                  <c:v>2.9025570539912962</c:v>
                </c:pt>
                <c:pt idx="56">
                  <c:v>2.9779981921208791</c:v>
                </c:pt>
                <c:pt idx="57">
                  <c:v>3.0327975616334335</c:v>
                </c:pt>
                <c:pt idx="58">
                  <c:v>3.1361182139371753</c:v>
                </c:pt>
                <c:pt idx="59">
                  <c:v>3.4729145391331206</c:v>
                </c:pt>
                <c:pt idx="60">
                  <c:v>3.9415561217880777</c:v>
                </c:pt>
                <c:pt idx="61">
                  <c:v>3.8999765966537874</c:v>
                </c:pt>
                <c:pt idx="62">
                  <c:v>3.557929686604961</c:v>
                </c:pt>
                <c:pt idx="63">
                  <c:v>3.8642133107920946</c:v>
                </c:pt>
                <c:pt idx="64">
                  <c:v>3.9418477068907771</c:v>
                </c:pt>
                <c:pt idx="65">
                  <c:v>4.2272397118372904</c:v>
                </c:pt>
                <c:pt idx="66">
                  <c:v>4.3133742527773533</c:v>
                </c:pt>
                <c:pt idx="67">
                  <c:v>4.1736492575710118</c:v>
                </c:pt>
                <c:pt idx="68">
                  <c:v>4.1054006849504399</c:v>
                </c:pt>
                <c:pt idx="69">
                  <c:v>3.9110581031722651</c:v>
                </c:pt>
                <c:pt idx="70">
                  <c:v>3.4124060875399964</c:v>
                </c:pt>
                <c:pt idx="71">
                  <c:v>3.8294246539397143</c:v>
                </c:pt>
                <c:pt idx="72">
                  <c:v>4.9109497427437319</c:v>
                </c:pt>
                <c:pt idx="73">
                  <c:v>5.0532751974191257</c:v>
                </c:pt>
                <c:pt idx="74">
                  <c:v>4.3329674825360849</c:v>
                </c:pt>
                <c:pt idx="75">
                  <c:v>4.9277312060576257</c:v>
                </c:pt>
                <c:pt idx="76">
                  <c:v>5.0903417341518384</c:v>
                </c:pt>
                <c:pt idx="77">
                  <c:v>5.938779542538561</c:v>
                </c:pt>
                <c:pt idx="78">
                  <c:v>6.2467791516870523</c:v>
                </c:pt>
                <c:pt idx="79">
                  <c:v>7.3705464099345708</c:v>
                </c:pt>
                <c:pt idx="80">
                  <c:v>8.1541486706965696</c:v>
                </c:pt>
                <c:pt idx="81">
                  <c:v>8.0196187254279572</c:v>
                </c:pt>
                <c:pt idx="82">
                  <c:v>9.3382512656311594</c:v>
                </c:pt>
                <c:pt idx="83">
                  <c:v>9.7693296159582772</c:v>
                </c:pt>
                <c:pt idx="84">
                  <c:v>9.1409957735221408</c:v>
                </c:pt>
                <c:pt idx="85">
                  <c:v>9.4229197489425172</c:v>
                </c:pt>
                <c:pt idx="86">
                  <c:v>10.160152463259706</c:v>
                </c:pt>
                <c:pt idx="87">
                  <c:v>12.882539482136332</c:v>
                </c:pt>
                <c:pt idx="88">
                  <c:v>11.313037341982051</c:v>
                </c:pt>
                <c:pt idx="89">
                  <c:v>11.431353906167606</c:v>
                </c:pt>
                <c:pt idx="90">
                  <c:v>14.036313268299972</c:v>
                </c:pt>
                <c:pt idx="91">
                  <c:v>13.574932432809693</c:v>
                </c:pt>
                <c:pt idx="92">
                  <c:v>16.030076661733261</c:v>
                </c:pt>
                <c:pt idx="93">
                  <c:v>16.459722616207873</c:v>
                </c:pt>
                <c:pt idx="94">
                  <c:v>16.840466942859049</c:v>
                </c:pt>
                <c:pt idx="95">
                  <c:v>17.712928678843909</c:v>
                </c:pt>
                <c:pt idx="96">
                  <c:v>16.525880516057303</c:v>
                </c:pt>
                <c:pt idx="97">
                  <c:v>16.232303017944158</c:v>
                </c:pt>
                <c:pt idx="98">
                  <c:v>15.68650231701578</c:v>
                </c:pt>
                <c:pt idx="99">
                  <c:v>15.798081248236905</c:v>
                </c:pt>
                <c:pt idx="100">
                  <c:v>16.78168124073575</c:v>
                </c:pt>
                <c:pt idx="101">
                  <c:v>18.606673140139119</c:v>
                </c:pt>
                <c:pt idx="102">
                  <c:v>18.022300286814342</c:v>
                </c:pt>
                <c:pt idx="103">
                  <c:v>17.209816567353485</c:v>
                </c:pt>
                <c:pt idx="104">
                  <c:v>18.370522266667301</c:v>
                </c:pt>
                <c:pt idx="105">
                  <c:v>16.929914927512616</c:v>
                </c:pt>
                <c:pt idx="106">
                  <c:v>15.919996097818398</c:v>
                </c:pt>
                <c:pt idx="107">
                  <c:v>15.528358537963523</c:v>
                </c:pt>
                <c:pt idx="108">
                  <c:v>15.76724203834635</c:v>
                </c:pt>
                <c:pt idx="109">
                  <c:v>18.066831732200011</c:v>
                </c:pt>
                <c:pt idx="110">
                  <c:v>18.978790814356948</c:v>
                </c:pt>
                <c:pt idx="111">
                  <c:v>18.396580758235817</c:v>
                </c:pt>
                <c:pt idx="112">
                  <c:v>16.529570154964496</c:v>
                </c:pt>
                <c:pt idx="113">
                  <c:v>16.553515058509461</c:v>
                </c:pt>
                <c:pt idx="114">
                  <c:v>17.222918277337797</c:v>
                </c:pt>
                <c:pt idx="115">
                  <c:v>16.189540737085007</c:v>
                </c:pt>
                <c:pt idx="116">
                  <c:v>19.104731218663609</c:v>
                </c:pt>
                <c:pt idx="117">
                  <c:v>18.607810953210549</c:v>
                </c:pt>
                <c:pt idx="118">
                  <c:v>17.283097050215908</c:v>
                </c:pt>
                <c:pt idx="119">
                  <c:v>17.078725526243804</c:v>
                </c:pt>
                <c:pt idx="120">
                  <c:v>15.383807675775465</c:v>
                </c:pt>
                <c:pt idx="121">
                  <c:v>15.909064229397178</c:v>
                </c:pt>
                <c:pt idx="122">
                  <c:v>13.833103809165836</c:v>
                </c:pt>
                <c:pt idx="123">
                  <c:v>14.502803381788688</c:v>
                </c:pt>
                <c:pt idx="124">
                  <c:v>13.397413594538881</c:v>
                </c:pt>
                <c:pt idx="125">
                  <c:v>11.593637860522238</c:v>
                </c:pt>
                <c:pt idx="126">
                  <c:v>13.058962217885021</c:v>
                </c:pt>
                <c:pt idx="127">
                  <c:v>13.885780304708488</c:v>
                </c:pt>
                <c:pt idx="128">
                  <c:v>14.580371230403413</c:v>
                </c:pt>
                <c:pt idx="129">
                  <c:v>13.47610550519842</c:v>
                </c:pt>
                <c:pt idx="130">
                  <c:v>14.395802404763749</c:v>
                </c:pt>
                <c:pt idx="131">
                  <c:v>13.159751753384635</c:v>
                </c:pt>
                <c:pt idx="132">
                  <c:v>13.097495922500681</c:v>
                </c:pt>
                <c:pt idx="133">
                  <c:v>13.696278624371693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5B-418E-A5CD-236C9294BC90}"/>
            </c:ext>
          </c:extLst>
        </c:ser>
        <c:ser>
          <c:idx val="5"/>
          <c:order val="5"/>
          <c:tx>
            <c:strRef>
              <c:f>NN4再投資累積報酬!$B$17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NN4再投資累積報酬!$C$17:$EF$17</c:f>
              <c:numCache>
                <c:formatCode>General</c:formatCode>
                <c:ptCount val="134"/>
                <c:pt idx="0">
                  <c:v>-0.20609218837920595</c:v>
                </c:pt>
                <c:pt idx="1">
                  <c:v>0.14290054663845941</c:v>
                </c:pt>
                <c:pt idx="2">
                  <c:v>0.15133401148108527</c:v>
                </c:pt>
                <c:pt idx="3">
                  <c:v>0.32031739322586694</c:v>
                </c:pt>
                <c:pt idx="4">
                  <c:v>0.47496812382179443</c:v>
                </c:pt>
                <c:pt idx="5">
                  <c:v>0.62983100611354836</c:v>
                </c:pt>
                <c:pt idx="6">
                  <c:v>0.81518358259667889</c:v>
                </c:pt>
                <c:pt idx="7">
                  <c:v>0.60589459775927934</c:v>
                </c:pt>
                <c:pt idx="8">
                  <c:v>0.66923909718862684</c:v>
                </c:pt>
                <c:pt idx="9">
                  <c:v>0.72561919931840979</c:v>
                </c:pt>
                <c:pt idx="10">
                  <c:v>0.33400607850122199</c:v>
                </c:pt>
                <c:pt idx="11">
                  <c:v>0.87442262487599209</c:v>
                </c:pt>
                <c:pt idx="12">
                  <c:v>1.0641643714431601</c:v>
                </c:pt>
                <c:pt idx="13">
                  <c:v>1.2229308198018973</c:v>
                </c:pt>
                <c:pt idx="14">
                  <c:v>1.4595179099917286</c:v>
                </c:pt>
                <c:pt idx="15">
                  <c:v>1.4643760758932691</c:v>
                </c:pt>
                <c:pt idx="16">
                  <c:v>1.328510030649078</c:v>
                </c:pt>
                <c:pt idx="17">
                  <c:v>1.273772374677546</c:v>
                </c:pt>
                <c:pt idx="18">
                  <c:v>1.3926684640912423</c:v>
                </c:pt>
                <c:pt idx="19">
                  <c:v>1.1142664096367914</c:v>
                </c:pt>
                <c:pt idx="20">
                  <c:v>1.2815936581527474</c:v>
                </c:pt>
                <c:pt idx="21">
                  <c:v>1.5101773251049471</c:v>
                </c:pt>
                <c:pt idx="22">
                  <c:v>1.5139438495111106</c:v>
                </c:pt>
                <c:pt idx="23">
                  <c:v>1.4596213194955912</c:v>
                </c:pt>
                <c:pt idx="24">
                  <c:v>1.3730185703842603</c:v>
                </c:pt>
                <c:pt idx="25">
                  <c:v>1.2345905237772645</c:v>
                </c:pt>
                <c:pt idx="26">
                  <c:v>1.1434214404447056</c:v>
                </c:pt>
                <c:pt idx="27">
                  <c:v>1.2905026408100886</c:v>
                </c:pt>
                <c:pt idx="28">
                  <c:v>1.4266581338420656</c:v>
                </c:pt>
                <c:pt idx="29">
                  <c:v>1.4470693456863053</c:v>
                </c:pt>
                <c:pt idx="30">
                  <c:v>1.3914205887096629</c:v>
                </c:pt>
                <c:pt idx="31">
                  <c:v>1.3065906368841591</c:v>
                </c:pt>
                <c:pt idx="32">
                  <c:v>1.3771439592404149</c:v>
                </c:pt>
                <c:pt idx="33">
                  <c:v>1.2758713734545251</c:v>
                </c:pt>
                <c:pt idx="34">
                  <c:v>1.4436401328908071</c:v>
                </c:pt>
                <c:pt idx="35">
                  <c:v>1.5675923264950171</c:v>
                </c:pt>
                <c:pt idx="36">
                  <c:v>1.7611101363658674</c:v>
                </c:pt>
                <c:pt idx="37">
                  <c:v>2.0739083526726811</c:v>
                </c:pt>
                <c:pt idx="38">
                  <c:v>2.1127389915002337</c:v>
                </c:pt>
                <c:pt idx="39">
                  <c:v>1.8723022712431736</c:v>
                </c:pt>
                <c:pt idx="40">
                  <c:v>1.698450037013</c:v>
                </c:pt>
                <c:pt idx="41">
                  <c:v>1.7928884513174048</c:v>
                </c:pt>
                <c:pt idx="42">
                  <c:v>1.9501938772605514</c:v>
                </c:pt>
                <c:pt idx="43">
                  <c:v>1.9544205668248109</c:v>
                </c:pt>
                <c:pt idx="44">
                  <c:v>2.1156004795861625</c:v>
                </c:pt>
                <c:pt idx="45">
                  <c:v>2.201475944081956</c:v>
                </c:pt>
                <c:pt idx="46">
                  <c:v>2.2284384160516479</c:v>
                </c:pt>
                <c:pt idx="47">
                  <c:v>2.5391451323237213</c:v>
                </c:pt>
                <c:pt idx="48">
                  <c:v>2.3734707362867802</c:v>
                </c:pt>
                <c:pt idx="49">
                  <c:v>2.5353313256563701</c:v>
                </c:pt>
                <c:pt idx="50">
                  <c:v>3.1109059262744729</c:v>
                </c:pt>
                <c:pt idx="51">
                  <c:v>3.7409897571421844</c:v>
                </c:pt>
                <c:pt idx="52">
                  <c:v>3.4671279404806699</c:v>
                </c:pt>
                <c:pt idx="53">
                  <c:v>3.5538432557903716</c:v>
                </c:pt>
                <c:pt idx="54">
                  <c:v>3.4796275018506355</c:v>
                </c:pt>
                <c:pt idx="55">
                  <c:v>3.1328254735981487</c:v>
                </c:pt>
                <c:pt idx="56">
                  <c:v>3.0784651357205561</c:v>
                </c:pt>
                <c:pt idx="57">
                  <c:v>3.0233264859829427</c:v>
                </c:pt>
                <c:pt idx="58">
                  <c:v>3.2544650787795444</c:v>
                </c:pt>
                <c:pt idx="59">
                  <c:v>3.6339271053691</c:v>
                </c:pt>
                <c:pt idx="60">
                  <c:v>4.1659751160400855</c:v>
                </c:pt>
                <c:pt idx="61">
                  <c:v>4.2051001715612903</c:v>
                </c:pt>
                <c:pt idx="62">
                  <c:v>3.799272430758041</c:v>
                </c:pt>
                <c:pt idx="63">
                  <c:v>4.1527713264537853</c:v>
                </c:pt>
                <c:pt idx="64">
                  <c:v>4.3143122465852768</c:v>
                </c:pt>
                <c:pt idx="65">
                  <c:v>4.6365622933188861</c:v>
                </c:pt>
                <c:pt idx="66">
                  <c:v>4.7006867031309039</c:v>
                </c:pt>
                <c:pt idx="67">
                  <c:v>4.6456957407238297</c:v>
                </c:pt>
                <c:pt idx="68">
                  <c:v>4.6225288026438864</c:v>
                </c:pt>
                <c:pt idx="69">
                  <c:v>4.4333443529271666</c:v>
                </c:pt>
                <c:pt idx="70">
                  <c:v>3.86542784031663</c:v>
                </c:pt>
                <c:pt idx="71">
                  <c:v>4.3842961261705691</c:v>
                </c:pt>
                <c:pt idx="72">
                  <c:v>5.6077917755847606</c:v>
                </c:pt>
                <c:pt idx="73">
                  <c:v>5.6546792773404837</c:v>
                </c:pt>
                <c:pt idx="74">
                  <c:v>5.0167559194667293</c:v>
                </c:pt>
                <c:pt idx="75">
                  <c:v>5.7422452526226309</c:v>
                </c:pt>
                <c:pt idx="76">
                  <c:v>5.9256126429812266</c:v>
                </c:pt>
                <c:pt idx="77">
                  <c:v>6.9619139317083061</c:v>
                </c:pt>
                <c:pt idx="78">
                  <c:v>7.2944054676745775</c:v>
                </c:pt>
                <c:pt idx="79">
                  <c:v>8.7290036909302628</c:v>
                </c:pt>
                <c:pt idx="80">
                  <c:v>9.6601478928347735</c:v>
                </c:pt>
                <c:pt idx="81">
                  <c:v>8.6461189250917911</c:v>
                </c:pt>
                <c:pt idx="82">
                  <c:v>10.353815801189766</c:v>
                </c:pt>
                <c:pt idx="83">
                  <c:v>11.01956321520251</c:v>
                </c:pt>
                <c:pt idx="84">
                  <c:v>10.028515199254906</c:v>
                </c:pt>
                <c:pt idx="85">
                  <c:v>10.451149313466775</c:v>
                </c:pt>
                <c:pt idx="86">
                  <c:v>11.318493278560224</c:v>
                </c:pt>
                <c:pt idx="87">
                  <c:v>14.856107066786516</c:v>
                </c:pt>
                <c:pt idx="88">
                  <c:v>13.341946026897361</c:v>
                </c:pt>
                <c:pt idx="89">
                  <c:v>13.537435696516507</c:v>
                </c:pt>
                <c:pt idx="90">
                  <c:v>16.417017063403296</c:v>
                </c:pt>
                <c:pt idx="91">
                  <c:v>16.040643529511424</c:v>
                </c:pt>
                <c:pt idx="92">
                  <c:v>18.990875801218102</c:v>
                </c:pt>
                <c:pt idx="93">
                  <c:v>19.450782482216219</c:v>
                </c:pt>
                <c:pt idx="94">
                  <c:v>19.686897312789704</c:v>
                </c:pt>
                <c:pt idx="95">
                  <c:v>20.900262380113237</c:v>
                </c:pt>
                <c:pt idx="96">
                  <c:v>19.270700920779806</c:v>
                </c:pt>
                <c:pt idx="97">
                  <c:v>19.34934329301996</c:v>
                </c:pt>
                <c:pt idx="98">
                  <c:v>18.878137057642725</c:v>
                </c:pt>
                <c:pt idx="99">
                  <c:v>19.374940388356258</c:v>
                </c:pt>
                <c:pt idx="100">
                  <c:v>20.587207610729436</c:v>
                </c:pt>
                <c:pt idx="101">
                  <c:v>23.269393068737877</c:v>
                </c:pt>
                <c:pt idx="102">
                  <c:v>22.204067209054664</c:v>
                </c:pt>
                <c:pt idx="103">
                  <c:v>21.39463948217206</c:v>
                </c:pt>
                <c:pt idx="104">
                  <c:v>22.601449024516505</c:v>
                </c:pt>
                <c:pt idx="105">
                  <c:v>21.465497373723686</c:v>
                </c:pt>
                <c:pt idx="106">
                  <c:v>20.304789076480347</c:v>
                </c:pt>
                <c:pt idx="107">
                  <c:v>20.065507100631031</c:v>
                </c:pt>
                <c:pt idx="108">
                  <c:v>20.026761694097548</c:v>
                </c:pt>
                <c:pt idx="109">
                  <c:v>23.463203231419165</c:v>
                </c:pt>
                <c:pt idx="110">
                  <c:v>25.180089302986122</c:v>
                </c:pt>
                <c:pt idx="111">
                  <c:v>23.993184649913207</c:v>
                </c:pt>
                <c:pt idx="112">
                  <c:v>21.42435342153443</c:v>
                </c:pt>
                <c:pt idx="113">
                  <c:v>21.294508662104612</c:v>
                </c:pt>
                <c:pt idx="114">
                  <c:v>22.243443405219203</c:v>
                </c:pt>
                <c:pt idx="115">
                  <c:v>20.834212426275911</c:v>
                </c:pt>
                <c:pt idx="116">
                  <c:v>24.759194341084495</c:v>
                </c:pt>
                <c:pt idx="117">
                  <c:v>24.112704764045247</c:v>
                </c:pt>
                <c:pt idx="118">
                  <c:v>22.474242711839491</c:v>
                </c:pt>
                <c:pt idx="119">
                  <c:v>21.870334027696739</c:v>
                </c:pt>
                <c:pt idx="120">
                  <c:v>19.027181927920186</c:v>
                </c:pt>
                <c:pt idx="121">
                  <c:v>19.362500838485577</c:v>
                </c:pt>
                <c:pt idx="122">
                  <c:v>16.725700406841813</c:v>
                </c:pt>
                <c:pt idx="123">
                  <c:v>17.82947607533271</c:v>
                </c:pt>
                <c:pt idx="124">
                  <c:v>16.387158674924926</c:v>
                </c:pt>
                <c:pt idx="125">
                  <c:v>14.134843829931693</c:v>
                </c:pt>
                <c:pt idx="126">
                  <c:v>15.832041830751475</c:v>
                </c:pt>
                <c:pt idx="127">
                  <c:v>16.660390863538947</c:v>
                </c:pt>
                <c:pt idx="128">
                  <c:v>16.869100018202975</c:v>
                </c:pt>
                <c:pt idx="129">
                  <c:v>15.550700490878231</c:v>
                </c:pt>
                <c:pt idx="130">
                  <c:v>15.822549341518869</c:v>
                </c:pt>
                <c:pt idx="131">
                  <c:v>14.428706545413988</c:v>
                </c:pt>
                <c:pt idx="132">
                  <c:v>14.43169232638718</c:v>
                </c:pt>
                <c:pt idx="133">
                  <c:v>15.167934771846831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5B-418E-A5CD-236C9294BC90}"/>
            </c:ext>
          </c:extLst>
        </c:ser>
        <c:ser>
          <c:idx val="6"/>
          <c:order val="6"/>
          <c:tx>
            <c:strRef>
              <c:f>NN4再投資累積報酬!$B$18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NN4再投資累積報酬!$C$18:$EF$18</c:f>
              <c:numCache>
                <c:formatCode>General</c:formatCode>
                <c:ptCount val="134"/>
                <c:pt idx="0">
                  <c:v>-0.18975112249235826</c:v>
                </c:pt>
                <c:pt idx="1">
                  <c:v>0.13587467926851082</c:v>
                </c:pt>
                <c:pt idx="2">
                  <c:v>6.8857326810452646E-2</c:v>
                </c:pt>
                <c:pt idx="3">
                  <c:v>0.29555197324872617</c:v>
                </c:pt>
                <c:pt idx="4">
                  <c:v>0.46793560196578987</c:v>
                </c:pt>
                <c:pt idx="5">
                  <c:v>0.65662340095576388</c:v>
                </c:pt>
                <c:pt idx="6">
                  <c:v>0.88109617034730858</c:v>
                </c:pt>
                <c:pt idx="7">
                  <c:v>0.64565480069465031</c:v>
                </c:pt>
                <c:pt idx="8">
                  <c:v>0.69763519428570864</c:v>
                </c:pt>
                <c:pt idx="9">
                  <c:v>0.77686844694908985</c:v>
                </c:pt>
                <c:pt idx="10">
                  <c:v>0.32640885162271061</c:v>
                </c:pt>
                <c:pt idx="11">
                  <c:v>0.938971011448132</c:v>
                </c:pt>
                <c:pt idx="12">
                  <c:v>1.1399850855825977</c:v>
                </c:pt>
                <c:pt idx="13">
                  <c:v>1.256763243766116</c:v>
                </c:pt>
                <c:pt idx="14">
                  <c:v>1.5314934127683153</c:v>
                </c:pt>
                <c:pt idx="15">
                  <c:v>1.580417558045502</c:v>
                </c:pt>
                <c:pt idx="16">
                  <c:v>1.4023343227542053</c:v>
                </c:pt>
                <c:pt idx="17">
                  <c:v>1.3902550490363521</c:v>
                </c:pt>
                <c:pt idx="18">
                  <c:v>1.4575061360174542</c:v>
                </c:pt>
                <c:pt idx="19">
                  <c:v>1.1349488051873911</c:v>
                </c:pt>
                <c:pt idx="20">
                  <c:v>1.29997240594636</c:v>
                </c:pt>
                <c:pt idx="21">
                  <c:v>1.5923513579513875</c:v>
                </c:pt>
                <c:pt idx="22">
                  <c:v>1.6551220552770092</c:v>
                </c:pt>
                <c:pt idx="23">
                  <c:v>1.6102353153676328</c:v>
                </c:pt>
                <c:pt idx="24">
                  <c:v>1.5013748115556202</c:v>
                </c:pt>
                <c:pt idx="25">
                  <c:v>1.3470053399562634</c:v>
                </c:pt>
                <c:pt idx="26">
                  <c:v>1.1716375154845355</c:v>
                </c:pt>
                <c:pt idx="27">
                  <c:v>1.3807354690993283</c:v>
                </c:pt>
                <c:pt idx="28">
                  <c:v>1.5645320365373165</c:v>
                </c:pt>
                <c:pt idx="29">
                  <c:v>1.560040279323597</c:v>
                </c:pt>
                <c:pt idx="30">
                  <c:v>1.4768565933122964</c:v>
                </c:pt>
                <c:pt idx="31">
                  <c:v>1.377293247078017</c:v>
                </c:pt>
                <c:pt idx="32">
                  <c:v>1.4886826091264855</c:v>
                </c:pt>
                <c:pt idx="33">
                  <c:v>1.3707345923738625</c:v>
                </c:pt>
                <c:pt idx="34">
                  <c:v>1.4422181211725364</c:v>
                </c:pt>
                <c:pt idx="35">
                  <c:v>1.5582912867740415</c:v>
                </c:pt>
                <c:pt idx="36">
                  <c:v>1.7287845301931832</c:v>
                </c:pt>
                <c:pt idx="37">
                  <c:v>1.9451625170301758</c:v>
                </c:pt>
                <c:pt idx="38">
                  <c:v>1.9611474895768954</c:v>
                </c:pt>
                <c:pt idx="39">
                  <c:v>1.7293530335844887</c:v>
                </c:pt>
                <c:pt idx="40">
                  <c:v>1.5212921446400327</c:v>
                </c:pt>
                <c:pt idx="41">
                  <c:v>1.6768420623619922</c:v>
                </c:pt>
                <c:pt idx="42">
                  <c:v>1.9065861856291368</c:v>
                </c:pt>
                <c:pt idx="43">
                  <c:v>1.9927790386662232</c:v>
                </c:pt>
                <c:pt idx="44">
                  <c:v>2.186039672675995</c:v>
                </c:pt>
                <c:pt idx="45">
                  <c:v>2.2977348561250173</c:v>
                </c:pt>
                <c:pt idx="46">
                  <c:v>2.3786547869427066</c:v>
                </c:pt>
                <c:pt idx="47">
                  <c:v>2.7420658293630007</c:v>
                </c:pt>
                <c:pt idx="48">
                  <c:v>2.5819892045491133</c:v>
                </c:pt>
                <c:pt idx="49">
                  <c:v>2.819622938056574</c:v>
                </c:pt>
                <c:pt idx="50">
                  <c:v>3.5089875870434257</c:v>
                </c:pt>
                <c:pt idx="51">
                  <c:v>4.263151916206799</c:v>
                </c:pt>
                <c:pt idx="52">
                  <c:v>3.9870824044453652</c:v>
                </c:pt>
                <c:pt idx="53">
                  <c:v>4.0881961966765976</c:v>
                </c:pt>
                <c:pt idx="54">
                  <c:v>3.9750828411930827</c:v>
                </c:pt>
                <c:pt idx="55">
                  <c:v>3.7853175047053211</c:v>
                </c:pt>
                <c:pt idx="56">
                  <c:v>3.7742718583129644</c:v>
                </c:pt>
                <c:pt idx="57">
                  <c:v>3.676380889643454</c:v>
                </c:pt>
                <c:pt idx="58">
                  <c:v>3.8329815669430412</c:v>
                </c:pt>
                <c:pt idx="59">
                  <c:v>4.3140155649199983</c:v>
                </c:pt>
                <c:pt idx="60">
                  <c:v>4.7043599091937196</c:v>
                </c:pt>
                <c:pt idx="61">
                  <c:v>4.8546856479716194</c:v>
                </c:pt>
                <c:pt idx="62">
                  <c:v>4.4461320260583399</c:v>
                </c:pt>
                <c:pt idx="63">
                  <c:v>4.8720669290256771</c:v>
                </c:pt>
                <c:pt idx="64">
                  <c:v>4.9214318176879024</c:v>
                </c:pt>
                <c:pt idx="65">
                  <c:v>5.291304771590533</c:v>
                </c:pt>
                <c:pt idx="66">
                  <c:v>5.3033638446069356</c:v>
                </c:pt>
                <c:pt idx="67">
                  <c:v>5.2671308889980342</c:v>
                </c:pt>
                <c:pt idx="68">
                  <c:v>5.2421649891016902</c:v>
                </c:pt>
                <c:pt idx="69">
                  <c:v>5.1591494957324855</c:v>
                </c:pt>
                <c:pt idx="70">
                  <c:v>4.4726411737933498</c:v>
                </c:pt>
                <c:pt idx="71">
                  <c:v>5.1047614313005258</c:v>
                </c:pt>
                <c:pt idx="72">
                  <c:v>6.6983479298165216</c:v>
                </c:pt>
                <c:pt idx="73">
                  <c:v>6.5766222378420141</c:v>
                </c:pt>
                <c:pt idx="74">
                  <c:v>6.1016684558235808</c:v>
                </c:pt>
                <c:pt idx="75">
                  <c:v>7.1904961768485478</c:v>
                </c:pt>
                <c:pt idx="76">
                  <c:v>7.4631263832082819</c:v>
                </c:pt>
                <c:pt idx="77">
                  <c:v>8.3673780965144253</c:v>
                </c:pt>
                <c:pt idx="78">
                  <c:v>9.3477737318561864</c:v>
                </c:pt>
                <c:pt idx="79">
                  <c:v>11.35231153926861</c:v>
                </c:pt>
                <c:pt idx="80">
                  <c:v>12.30665600645133</c:v>
                </c:pt>
                <c:pt idx="81">
                  <c:v>10.951258448260399</c:v>
                </c:pt>
                <c:pt idx="82">
                  <c:v>13.659908465267749</c:v>
                </c:pt>
                <c:pt idx="83">
                  <c:v>16.04444588093337</c:v>
                </c:pt>
                <c:pt idx="84">
                  <c:v>14.037881502531862</c:v>
                </c:pt>
                <c:pt idx="85">
                  <c:v>14.469243233802388</c:v>
                </c:pt>
                <c:pt idx="86">
                  <c:v>15.601901751026865</c:v>
                </c:pt>
                <c:pt idx="87">
                  <c:v>20.866507787103576</c:v>
                </c:pt>
                <c:pt idx="88">
                  <c:v>18.619295274163377</c:v>
                </c:pt>
                <c:pt idx="89">
                  <c:v>18.057838330539276</c:v>
                </c:pt>
                <c:pt idx="90">
                  <c:v>22.408401416912103</c:v>
                </c:pt>
                <c:pt idx="91">
                  <c:v>22.045625690403519</c:v>
                </c:pt>
                <c:pt idx="92">
                  <c:v>26.879243048519395</c:v>
                </c:pt>
                <c:pt idx="93">
                  <c:v>27.819980773797631</c:v>
                </c:pt>
                <c:pt idx="94">
                  <c:v>28.630645344126272</c:v>
                </c:pt>
                <c:pt idx="95">
                  <c:v>30.908359771136571</c:v>
                </c:pt>
                <c:pt idx="96">
                  <c:v>28.622167555032853</c:v>
                </c:pt>
                <c:pt idx="97">
                  <c:v>31.318978049515948</c:v>
                </c:pt>
                <c:pt idx="98">
                  <c:v>30.403437746770425</c:v>
                </c:pt>
                <c:pt idx="99">
                  <c:v>29.961316673580537</c:v>
                </c:pt>
                <c:pt idx="100">
                  <c:v>32.172959654739081</c:v>
                </c:pt>
                <c:pt idx="101">
                  <c:v>36.57975059946876</c:v>
                </c:pt>
                <c:pt idx="102">
                  <c:v>34.799186709187744</c:v>
                </c:pt>
                <c:pt idx="103">
                  <c:v>33.161903434513171</c:v>
                </c:pt>
                <c:pt idx="104">
                  <c:v>34.842972011577459</c:v>
                </c:pt>
                <c:pt idx="105">
                  <c:v>32.295565398164243</c:v>
                </c:pt>
                <c:pt idx="106">
                  <c:v>30.986814110342941</c:v>
                </c:pt>
                <c:pt idx="107">
                  <c:v>29.865907259521393</c:v>
                </c:pt>
                <c:pt idx="108">
                  <c:v>29.630725307671643</c:v>
                </c:pt>
                <c:pt idx="109">
                  <c:v>35.524119187278508</c:v>
                </c:pt>
                <c:pt idx="110">
                  <c:v>39.102136131278435</c:v>
                </c:pt>
                <c:pt idx="111">
                  <c:v>37.289357574125027</c:v>
                </c:pt>
                <c:pt idx="112">
                  <c:v>33.210497147921338</c:v>
                </c:pt>
                <c:pt idx="113">
                  <c:v>32.409611341899513</c:v>
                </c:pt>
                <c:pt idx="114">
                  <c:v>34.362642480983858</c:v>
                </c:pt>
                <c:pt idx="115">
                  <c:v>32.351382983502688</c:v>
                </c:pt>
                <c:pt idx="116">
                  <c:v>39.69936674596071</c:v>
                </c:pt>
                <c:pt idx="117">
                  <c:v>38.82390974275566</c:v>
                </c:pt>
                <c:pt idx="118">
                  <c:v>36.356598349094533</c:v>
                </c:pt>
                <c:pt idx="119">
                  <c:v>35.966175244697403</c:v>
                </c:pt>
                <c:pt idx="120">
                  <c:v>30.505457962433734</c:v>
                </c:pt>
                <c:pt idx="121">
                  <c:v>30.272084749453512</c:v>
                </c:pt>
                <c:pt idx="122">
                  <c:v>25.308741362463081</c:v>
                </c:pt>
                <c:pt idx="123">
                  <c:v>27.5555942810219</c:v>
                </c:pt>
                <c:pt idx="124">
                  <c:v>25.595625385502434</c:v>
                </c:pt>
                <c:pt idx="125">
                  <c:v>21.510458138812492</c:v>
                </c:pt>
                <c:pt idx="126">
                  <c:v>23.703607886706283</c:v>
                </c:pt>
                <c:pt idx="127">
                  <c:v>25.053175228574542</c:v>
                </c:pt>
                <c:pt idx="128">
                  <c:v>24.887436319678013</c:v>
                </c:pt>
                <c:pt idx="129">
                  <c:v>22.375249873861986</c:v>
                </c:pt>
                <c:pt idx="130">
                  <c:v>22.439861762610239</c:v>
                </c:pt>
                <c:pt idx="131">
                  <c:v>20.558362901585248</c:v>
                </c:pt>
                <c:pt idx="132">
                  <c:v>20.534405358656507</c:v>
                </c:pt>
                <c:pt idx="133">
                  <c:v>21.588622541452182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5B-418E-A5CD-236C9294BC90}"/>
            </c:ext>
          </c:extLst>
        </c:ser>
        <c:ser>
          <c:idx val="7"/>
          <c:order val="7"/>
          <c:tx>
            <c:strRef>
              <c:f>NN4再投資累積報酬!$B$19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NN4再投資累積報酬!$C$19:$EF$19</c:f>
              <c:numCache>
                <c:formatCode>General</c:formatCode>
                <c:ptCount val="134"/>
                <c:pt idx="0">
                  <c:v>-0.19660026531165431</c:v>
                </c:pt>
                <c:pt idx="1">
                  <c:v>0.13080176505423169</c:v>
                </c:pt>
                <c:pt idx="2">
                  <c:v>6.8722903723929196E-2</c:v>
                </c:pt>
                <c:pt idx="3">
                  <c:v>0.32112368925411583</c:v>
                </c:pt>
                <c:pt idx="4">
                  <c:v>0.52307639256323557</c:v>
                </c:pt>
                <c:pt idx="5">
                  <c:v>0.79359047623764623</c:v>
                </c:pt>
                <c:pt idx="6">
                  <c:v>1.0351052052959142</c:v>
                </c:pt>
                <c:pt idx="7">
                  <c:v>0.71716000050496209</c:v>
                </c:pt>
                <c:pt idx="8">
                  <c:v>0.8142498918258505</c:v>
                </c:pt>
                <c:pt idx="9">
                  <c:v>0.86933565841327787</c:v>
                </c:pt>
                <c:pt idx="10">
                  <c:v>0.38042616640677029</c:v>
                </c:pt>
                <c:pt idx="11">
                  <c:v>1.1153292183472425</c:v>
                </c:pt>
                <c:pt idx="12">
                  <c:v>1.3104078044046923</c:v>
                </c:pt>
                <c:pt idx="13">
                  <c:v>1.3630509386038967</c:v>
                </c:pt>
                <c:pt idx="14">
                  <c:v>1.765862017900155</c:v>
                </c:pt>
                <c:pt idx="15">
                  <c:v>1.8818695436246018</c:v>
                </c:pt>
                <c:pt idx="16">
                  <c:v>1.6550771849490808</c:v>
                </c:pt>
                <c:pt idx="17">
                  <c:v>1.3642775688231628</c:v>
                </c:pt>
                <c:pt idx="18">
                  <c:v>1.4687475660253768</c:v>
                </c:pt>
                <c:pt idx="19">
                  <c:v>1.1757455979317508</c:v>
                </c:pt>
                <c:pt idx="20">
                  <c:v>1.3333034541003723</c:v>
                </c:pt>
                <c:pt idx="21">
                  <c:v>1.6201204558243889</c:v>
                </c:pt>
                <c:pt idx="22">
                  <c:v>1.6831718345141788</c:v>
                </c:pt>
                <c:pt idx="23">
                  <c:v>1.6235430647556952</c:v>
                </c:pt>
                <c:pt idx="24">
                  <c:v>1.5144818954100021</c:v>
                </c:pt>
                <c:pt idx="25">
                  <c:v>1.3616960627248131</c:v>
                </c:pt>
                <c:pt idx="26">
                  <c:v>1.1644640537970403</c:v>
                </c:pt>
                <c:pt idx="27">
                  <c:v>1.3722382694435176</c:v>
                </c:pt>
                <c:pt idx="28">
                  <c:v>1.6455957212294434</c:v>
                </c:pt>
                <c:pt idx="29">
                  <c:v>1.646290371907257</c:v>
                </c:pt>
                <c:pt idx="30">
                  <c:v>1.5877115085051439</c:v>
                </c:pt>
                <c:pt idx="31">
                  <c:v>1.4413564579311848</c:v>
                </c:pt>
                <c:pt idx="32">
                  <c:v>1.6409864801518608</c:v>
                </c:pt>
                <c:pt idx="33">
                  <c:v>1.5048560652820586</c:v>
                </c:pt>
                <c:pt idx="34">
                  <c:v>1.5237728447583625</c:v>
                </c:pt>
                <c:pt idx="35">
                  <c:v>1.7011207492178317</c:v>
                </c:pt>
                <c:pt idx="36">
                  <c:v>1.817555292137647</c:v>
                </c:pt>
                <c:pt idx="37">
                  <c:v>2.0530135821825914</c:v>
                </c:pt>
                <c:pt idx="38">
                  <c:v>2.1320649668623788</c:v>
                </c:pt>
                <c:pt idx="39">
                  <c:v>1.8577771327519863</c:v>
                </c:pt>
                <c:pt idx="40">
                  <c:v>1.6055704217217426</c:v>
                </c:pt>
                <c:pt idx="41">
                  <c:v>1.7999900031592486</c:v>
                </c:pt>
                <c:pt idx="42">
                  <c:v>2.0738205002499415</c:v>
                </c:pt>
                <c:pt idx="43">
                  <c:v>2.1081999313641968</c:v>
                </c:pt>
                <c:pt idx="44">
                  <c:v>2.3457556602996301</c:v>
                </c:pt>
                <c:pt idx="45">
                  <c:v>2.488543464035613</c:v>
                </c:pt>
                <c:pt idx="46">
                  <c:v>2.5665339283306068</c:v>
                </c:pt>
                <c:pt idx="47">
                  <c:v>2.8525928262384359</c:v>
                </c:pt>
                <c:pt idx="48">
                  <c:v>2.6181500882318192</c:v>
                </c:pt>
                <c:pt idx="49">
                  <c:v>2.9221921852030261</c:v>
                </c:pt>
                <c:pt idx="50">
                  <c:v>3.6556294847865356</c:v>
                </c:pt>
                <c:pt idx="51">
                  <c:v>4.5951444101564247</c:v>
                </c:pt>
                <c:pt idx="52">
                  <c:v>4.2534392573267299</c:v>
                </c:pt>
                <c:pt idx="53">
                  <c:v>4.2530520422480915</c:v>
                </c:pt>
                <c:pt idx="54">
                  <c:v>4.0934082655274509</c:v>
                </c:pt>
                <c:pt idx="55">
                  <c:v>3.8416079001061094</c:v>
                </c:pt>
                <c:pt idx="56">
                  <c:v>3.8462714341921957</c:v>
                </c:pt>
                <c:pt idx="57">
                  <c:v>3.8364906809381125</c:v>
                </c:pt>
                <c:pt idx="58">
                  <c:v>3.9619337482802228</c:v>
                </c:pt>
                <c:pt idx="59">
                  <c:v>4.2190577235849815</c:v>
                </c:pt>
                <c:pt idx="60">
                  <c:v>4.7255068543426031</c:v>
                </c:pt>
                <c:pt idx="61">
                  <c:v>4.8743497916899878</c:v>
                </c:pt>
                <c:pt idx="62">
                  <c:v>4.3564859312900763</c:v>
                </c:pt>
                <c:pt idx="63">
                  <c:v>4.7925749141727332</c:v>
                </c:pt>
                <c:pt idx="64">
                  <c:v>4.6850513171965522</c:v>
                </c:pt>
                <c:pt idx="65">
                  <c:v>4.7556047442236355</c:v>
                </c:pt>
                <c:pt idx="66">
                  <c:v>4.8127811776142657</c:v>
                </c:pt>
                <c:pt idx="67">
                  <c:v>4.8515829220557274</c:v>
                </c:pt>
                <c:pt idx="68">
                  <c:v>4.7096449445069171</c:v>
                </c:pt>
                <c:pt idx="69">
                  <c:v>4.7849761111721065</c:v>
                </c:pt>
                <c:pt idx="70">
                  <c:v>4.0290496098937352</c:v>
                </c:pt>
                <c:pt idx="71">
                  <c:v>4.5323833757230689</c:v>
                </c:pt>
                <c:pt idx="72">
                  <c:v>6.1698377143978247</c:v>
                </c:pt>
                <c:pt idx="73">
                  <c:v>5.9088635832769851</c:v>
                </c:pt>
                <c:pt idx="74">
                  <c:v>5.7176573816048055</c:v>
                </c:pt>
                <c:pt idx="75">
                  <c:v>6.1791747175476104</c:v>
                </c:pt>
                <c:pt idx="76">
                  <c:v>6.4348236595863062</c:v>
                </c:pt>
                <c:pt idx="77">
                  <c:v>7.3852782012087985</c:v>
                </c:pt>
                <c:pt idx="78">
                  <c:v>7.5739992253240658</c:v>
                </c:pt>
                <c:pt idx="79">
                  <c:v>9.4227180627445986</c:v>
                </c:pt>
                <c:pt idx="80">
                  <c:v>10.344866573093009</c:v>
                </c:pt>
                <c:pt idx="81">
                  <c:v>9.0776621363860919</c:v>
                </c:pt>
                <c:pt idx="82">
                  <c:v>11.737087976571795</c:v>
                </c:pt>
                <c:pt idx="83">
                  <c:v>13.684459663913072</c:v>
                </c:pt>
                <c:pt idx="84">
                  <c:v>11.258551504539721</c:v>
                </c:pt>
                <c:pt idx="85">
                  <c:v>11.245824834272563</c:v>
                </c:pt>
                <c:pt idx="86">
                  <c:v>12.159191786642655</c:v>
                </c:pt>
                <c:pt idx="87">
                  <c:v>16.253696729111311</c:v>
                </c:pt>
                <c:pt idx="88">
                  <c:v>14.351720308709679</c:v>
                </c:pt>
                <c:pt idx="89">
                  <c:v>14.106957230753697</c:v>
                </c:pt>
                <c:pt idx="90">
                  <c:v>17.902363166440399</c:v>
                </c:pt>
                <c:pt idx="91">
                  <c:v>17.353504289121386</c:v>
                </c:pt>
                <c:pt idx="92">
                  <c:v>21.428231322988857</c:v>
                </c:pt>
                <c:pt idx="93">
                  <c:v>21.97321945680946</c:v>
                </c:pt>
                <c:pt idx="94">
                  <c:v>22.978871839381018</c:v>
                </c:pt>
                <c:pt idx="95">
                  <c:v>23.612422438914667</c:v>
                </c:pt>
                <c:pt idx="96">
                  <c:v>21.558850586366493</c:v>
                </c:pt>
                <c:pt idx="97">
                  <c:v>23.859399045133387</c:v>
                </c:pt>
                <c:pt idx="98">
                  <c:v>23.059121955131516</c:v>
                </c:pt>
                <c:pt idx="99">
                  <c:v>23.086250891547355</c:v>
                </c:pt>
                <c:pt idx="100">
                  <c:v>24.848192354999156</c:v>
                </c:pt>
                <c:pt idx="101">
                  <c:v>27.765208129337118</c:v>
                </c:pt>
                <c:pt idx="102">
                  <c:v>26.090386197871648</c:v>
                </c:pt>
                <c:pt idx="103">
                  <c:v>25.122693247943378</c:v>
                </c:pt>
                <c:pt idx="104">
                  <c:v>25.913595851442771</c:v>
                </c:pt>
                <c:pt idx="105">
                  <c:v>24.203305083858272</c:v>
                </c:pt>
                <c:pt idx="106">
                  <c:v>24.051941336193092</c:v>
                </c:pt>
                <c:pt idx="107">
                  <c:v>22.305995213888533</c:v>
                </c:pt>
                <c:pt idx="108">
                  <c:v>22.008925930626997</c:v>
                </c:pt>
                <c:pt idx="109">
                  <c:v>27.176495559977457</c:v>
                </c:pt>
                <c:pt idx="110">
                  <c:v>30.232558809733845</c:v>
                </c:pt>
                <c:pt idx="111">
                  <c:v>28.717331497662425</c:v>
                </c:pt>
                <c:pt idx="112">
                  <c:v>25.108390128098637</c:v>
                </c:pt>
                <c:pt idx="113">
                  <c:v>24.499710999066643</c:v>
                </c:pt>
                <c:pt idx="114">
                  <c:v>25.960855435765961</c:v>
                </c:pt>
                <c:pt idx="115">
                  <c:v>24.227423564772103</c:v>
                </c:pt>
                <c:pt idx="116">
                  <c:v>30.515660399135591</c:v>
                </c:pt>
                <c:pt idx="117">
                  <c:v>30.389520199664187</c:v>
                </c:pt>
                <c:pt idx="118">
                  <c:v>28.800483136871733</c:v>
                </c:pt>
                <c:pt idx="119">
                  <c:v>28.277639641913211</c:v>
                </c:pt>
                <c:pt idx="120">
                  <c:v>23.066350160329627</c:v>
                </c:pt>
                <c:pt idx="121">
                  <c:v>22.992319006183735</c:v>
                </c:pt>
                <c:pt idx="122">
                  <c:v>19.379509498043621</c:v>
                </c:pt>
                <c:pt idx="123">
                  <c:v>20.156460589512378</c:v>
                </c:pt>
                <c:pt idx="124">
                  <c:v>18.013396414573482</c:v>
                </c:pt>
                <c:pt idx="125">
                  <c:v>15.382605267347333</c:v>
                </c:pt>
                <c:pt idx="126">
                  <c:v>16.531182804068997</c:v>
                </c:pt>
                <c:pt idx="127">
                  <c:v>17.908045920896022</c:v>
                </c:pt>
                <c:pt idx="128">
                  <c:v>17.377120215949031</c:v>
                </c:pt>
                <c:pt idx="129">
                  <c:v>15.424627310568781</c:v>
                </c:pt>
                <c:pt idx="130">
                  <c:v>15.224410393719747</c:v>
                </c:pt>
                <c:pt idx="131">
                  <c:v>13.826522482231622</c:v>
                </c:pt>
                <c:pt idx="132">
                  <c:v>13.934852864277081</c:v>
                </c:pt>
                <c:pt idx="133">
                  <c:v>14.188416122268093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5B-418E-A5CD-236C9294BC90}"/>
            </c:ext>
          </c:extLst>
        </c:ser>
        <c:ser>
          <c:idx val="8"/>
          <c:order val="8"/>
          <c:tx>
            <c:strRef>
              <c:f>NN4再投資累積報酬!$B$20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NN4再投資累積報酬!$C$20:$EF$20</c:f>
              <c:numCache>
                <c:formatCode>General</c:formatCode>
                <c:ptCount val="134"/>
                <c:pt idx="0">
                  <c:v>-0.20155104786391576</c:v>
                </c:pt>
                <c:pt idx="1">
                  <c:v>0.10347642908265731</c:v>
                </c:pt>
                <c:pt idx="2">
                  <c:v>0.12058030065099068</c:v>
                </c:pt>
                <c:pt idx="3">
                  <c:v>0.32499613181078968</c:v>
                </c:pt>
                <c:pt idx="4">
                  <c:v>0.53438177726405778</c:v>
                </c:pt>
                <c:pt idx="5">
                  <c:v>0.75522884831719317</c:v>
                </c:pt>
                <c:pt idx="6">
                  <c:v>1.0328175229433927</c:v>
                </c:pt>
                <c:pt idx="7">
                  <c:v>0.76203140339255571</c:v>
                </c:pt>
                <c:pt idx="8">
                  <c:v>0.82793963273597826</c:v>
                </c:pt>
                <c:pt idx="9">
                  <c:v>0.8840491226596543</c:v>
                </c:pt>
                <c:pt idx="10">
                  <c:v>0.37781675714438356</c:v>
                </c:pt>
                <c:pt idx="11">
                  <c:v>1.0667409503103671</c:v>
                </c:pt>
                <c:pt idx="12">
                  <c:v>1.2715580458282845</c:v>
                </c:pt>
                <c:pt idx="13">
                  <c:v>1.3624850951440632</c:v>
                </c:pt>
                <c:pt idx="14">
                  <c:v>1.8936303601321778</c:v>
                </c:pt>
                <c:pt idx="15">
                  <c:v>2.0859689084649395</c:v>
                </c:pt>
                <c:pt idx="16">
                  <c:v>1.909016110467554</c:v>
                </c:pt>
                <c:pt idx="17">
                  <c:v>1.6156548301754041</c:v>
                </c:pt>
                <c:pt idx="18">
                  <c:v>1.6999774171339328</c:v>
                </c:pt>
                <c:pt idx="19">
                  <c:v>1.3320027238165575</c:v>
                </c:pt>
                <c:pt idx="20">
                  <c:v>1.5444128874317276</c:v>
                </c:pt>
                <c:pt idx="21">
                  <c:v>1.9261824787968842</c:v>
                </c:pt>
                <c:pt idx="22">
                  <c:v>1.9119736452247484</c:v>
                </c:pt>
                <c:pt idx="23">
                  <c:v>1.9968790801475977</c:v>
                </c:pt>
                <c:pt idx="24">
                  <c:v>1.9321628148560768</c:v>
                </c:pt>
                <c:pt idx="25">
                  <c:v>1.7549909105798811</c:v>
                </c:pt>
                <c:pt idx="26">
                  <c:v>1.4896603729895341</c:v>
                </c:pt>
                <c:pt idx="27">
                  <c:v>1.8129263872544321</c:v>
                </c:pt>
                <c:pt idx="28">
                  <c:v>1.8616213768340351</c:v>
                </c:pt>
                <c:pt idx="29">
                  <c:v>1.8431087426486812</c:v>
                </c:pt>
                <c:pt idx="30">
                  <c:v>1.7644705766030828</c:v>
                </c:pt>
                <c:pt idx="31">
                  <c:v>1.5151755940760592</c:v>
                </c:pt>
                <c:pt idx="32">
                  <c:v>1.7117479980279033</c:v>
                </c:pt>
                <c:pt idx="33">
                  <c:v>1.5436466459459104</c:v>
                </c:pt>
                <c:pt idx="34">
                  <c:v>1.5090654760132551</c:v>
                </c:pt>
                <c:pt idx="35">
                  <c:v>1.6919599199466617</c:v>
                </c:pt>
                <c:pt idx="36">
                  <c:v>1.781052973633765</c:v>
                </c:pt>
                <c:pt idx="37">
                  <c:v>1.9909395797404912</c:v>
                </c:pt>
                <c:pt idx="38">
                  <c:v>2.1263845237604699</c:v>
                </c:pt>
                <c:pt idx="39">
                  <c:v>1.7145444483837973</c:v>
                </c:pt>
                <c:pt idx="40">
                  <c:v>1.7890654400386969</c:v>
                </c:pt>
                <c:pt idx="41">
                  <c:v>1.8261300923367898</c:v>
                </c:pt>
                <c:pt idx="42">
                  <c:v>2.1429274333062569</c:v>
                </c:pt>
                <c:pt idx="43">
                  <c:v>2.1339715386469624</c:v>
                </c:pt>
                <c:pt idx="44">
                  <c:v>2.3711893248685412</c:v>
                </c:pt>
                <c:pt idx="45">
                  <c:v>2.6121389653594291</c:v>
                </c:pt>
                <c:pt idx="46">
                  <c:v>2.6369372680569825</c:v>
                </c:pt>
                <c:pt idx="47">
                  <c:v>3.0396645986603685</c:v>
                </c:pt>
                <c:pt idx="48">
                  <c:v>2.7880516903675634</c:v>
                </c:pt>
                <c:pt idx="49">
                  <c:v>3.1661155500842453</c:v>
                </c:pt>
                <c:pt idx="50">
                  <c:v>3.7966060016288097</c:v>
                </c:pt>
                <c:pt idx="51">
                  <c:v>4.9056466686608982</c:v>
                </c:pt>
                <c:pt idx="52">
                  <c:v>4.4929291769899766</c:v>
                </c:pt>
                <c:pt idx="53">
                  <c:v>4.5388510171996277</c:v>
                </c:pt>
                <c:pt idx="54">
                  <c:v>4.3257889631807735</c:v>
                </c:pt>
                <c:pt idx="55">
                  <c:v>4.031715405651596</c:v>
                </c:pt>
                <c:pt idx="56">
                  <c:v>3.7714388901415994</c:v>
                </c:pt>
                <c:pt idx="57">
                  <c:v>4.1131046766867358</c:v>
                </c:pt>
                <c:pt idx="58">
                  <c:v>4.2315834247038611</c:v>
                </c:pt>
                <c:pt idx="59">
                  <c:v>4.5201362247877537</c:v>
                </c:pt>
                <c:pt idx="60">
                  <c:v>5.1695823073604847</c:v>
                </c:pt>
                <c:pt idx="61">
                  <c:v>5.2916372610854161</c:v>
                </c:pt>
                <c:pt idx="62">
                  <c:v>4.948391262850679</c:v>
                </c:pt>
                <c:pt idx="63">
                  <c:v>4.8375249843811714</c:v>
                </c:pt>
                <c:pt idx="64">
                  <c:v>4.7930982381154079</c:v>
                </c:pt>
                <c:pt idx="65">
                  <c:v>4.7509114629169984</c:v>
                </c:pt>
                <c:pt idx="66">
                  <c:v>4.8397728615997453</c:v>
                </c:pt>
                <c:pt idx="67">
                  <c:v>4.9102801285203084</c:v>
                </c:pt>
                <c:pt idx="68">
                  <c:v>4.9422400049069557</c:v>
                </c:pt>
                <c:pt idx="69">
                  <c:v>5.2540152149350829</c:v>
                </c:pt>
                <c:pt idx="70">
                  <c:v>4.319408901900462</c:v>
                </c:pt>
                <c:pt idx="71">
                  <c:v>5.0306666644358895</c:v>
                </c:pt>
                <c:pt idx="72">
                  <c:v>7.0934120457675416</c:v>
                </c:pt>
                <c:pt idx="73">
                  <c:v>6.6655827783773098</c:v>
                </c:pt>
                <c:pt idx="74">
                  <c:v>6.334556217179677</c:v>
                </c:pt>
                <c:pt idx="75">
                  <c:v>6.9966569065304807</c:v>
                </c:pt>
                <c:pt idx="76">
                  <c:v>7.3982236357157056</c:v>
                </c:pt>
                <c:pt idx="77">
                  <c:v>8.4605573189024206</c:v>
                </c:pt>
                <c:pt idx="78">
                  <c:v>8.5827418119008811</c:v>
                </c:pt>
                <c:pt idx="79">
                  <c:v>10.317481581207806</c:v>
                </c:pt>
                <c:pt idx="80">
                  <c:v>11.288274469705591</c:v>
                </c:pt>
                <c:pt idx="81">
                  <c:v>9.6759477236938753</c:v>
                </c:pt>
                <c:pt idx="82">
                  <c:v>13.112946558005358</c:v>
                </c:pt>
                <c:pt idx="83">
                  <c:v>14.127159710700901</c:v>
                </c:pt>
                <c:pt idx="84">
                  <c:v>12.138154006577112</c:v>
                </c:pt>
                <c:pt idx="85">
                  <c:v>11.976241526305316</c:v>
                </c:pt>
                <c:pt idx="86">
                  <c:v>12.784359695783534</c:v>
                </c:pt>
                <c:pt idx="87">
                  <c:v>16.891201666174112</c:v>
                </c:pt>
                <c:pt idx="88">
                  <c:v>15.159766207318885</c:v>
                </c:pt>
                <c:pt idx="89">
                  <c:v>14.847107412857815</c:v>
                </c:pt>
                <c:pt idx="90">
                  <c:v>19.546936434643467</c:v>
                </c:pt>
                <c:pt idx="91">
                  <c:v>19.69948391488899</c:v>
                </c:pt>
                <c:pt idx="92">
                  <c:v>21.407601319615313</c:v>
                </c:pt>
                <c:pt idx="93">
                  <c:v>21.975915290623124</c:v>
                </c:pt>
                <c:pt idx="94">
                  <c:v>22.488118246943198</c:v>
                </c:pt>
                <c:pt idx="95">
                  <c:v>23.155519207791073</c:v>
                </c:pt>
                <c:pt idx="96">
                  <c:v>20.863941666336171</c:v>
                </c:pt>
                <c:pt idx="97">
                  <c:v>22.886598428830979</c:v>
                </c:pt>
                <c:pt idx="98">
                  <c:v>22.269932387729074</c:v>
                </c:pt>
                <c:pt idx="99">
                  <c:v>22.488347318249925</c:v>
                </c:pt>
                <c:pt idx="100">
                  <c:v>25.042301991536938</c:v>
                </c:pt>
                <c:pt idx="101">
                  <c:v>29.083068412016054</c:v>
                </c:pt>
                <c:pt idx="102">
                  <c:v>27.654968202580932</c:v>
                </c:pt>
                <c:pt idx="103">
                  <c:v>26.024422863849562</c:v>
                </c:pt>
                <c:pt idx="104">
                  <c:v>26.805460051932791</c:v>
                </c:pt>
                <c:pt idx="105">
                  <c:v>24.910156136022458</c:v>
                </c:pt>
                <c:pt idx="106">
                  <c:v>24.12076257303157</c:v>
                </c:pt>
                <c:pt idx="107">
                  <c:v>24.142344361068883</c:v>
                </c:pt>
                <c:pt idx="108">
                  <c:v>24.03669093457378</c:v>
                </c:pt>
                <c:pt idx="109">
                  <c:v>31.004373308810919</c:v>
                </c:pt>
                <c:pt idx="110">
                  <c:v>35.408039355563012</c:v>
                </c:pt>
                <c:pt idx="111">
                  <c:v>33.971380078836944</c:v>
                </c:pt>
                <c:pt idx="112">
                  <c:v>30.992254238798779</c:v>
                </c:pt>
                <c:pt idx="113">
                  <c:v>31.318158330837733</c:v>
                </c:pt>
                <c:pt idx="114">
                  <c:v>33.558973604408017</c:v>
                </c:pt>
                <c:pt idx="115">
                  <c:v>31.331260611520172</c:v>
                </c:pt>
                <c:pt idx="116">
                  <c:v>39.672769931641007</c:v>
                </c:pt>
                <c:pt idx="117">
                  <c:v>38.791339687740546</c:v>
                </c:pt>
                <c:pt idx="118">
                  <c:v>37.257769077711245</c:v>
                </c:pt>
                <c:pt idx="119">
                  <c:v>35.132244240679682</c:v>
                </c:pt>
                <c:pt idx="120">
                  <c:v>27.686071689591227</c:v>
                </c:pt>
                <c:pt idx="121">
                  <c:v>27.824606603066655</c:v>
                </c:pt>
                <c:pt idx="122">
                  <c:v>22.740661744098553</c:v>
                </c:pt>
                <c:pt idx="123">
                  <c:v>22.023862404075746</c:v>
                </c:pt>
                <c:pt idx="124">
                  <c:v>19.639829676355578</c:v>
                </c:pt>
                <c:pt idx="125">
                  <c:v>16.464054840355253</c:v>
                </c:pt>
                <c:pt idx="126">
                  <c:v>17.400453174536032</c:v>
                </c:pt>
                <c:pt idx="127">
                  <c:v>19.06016754004396</c:v>
                </c:pt>
                <c:pt idx="128">
                  <c:v>19.35940556932119</c:v>
                </c:pt>
                <c:pt idx="129">
                  <c:v>17.194951011522296</c:v>
                </c:pt>
                <c:pt idx="130">
                  <c:v>17.814481477311809</c:v>
                </c:pt>
                <c:pt idx="131">
                  <c:v>16.410438417188882</c:v>
                </c:pt>
                <c:pt idx="132">
                  <c:v>16.440749637944119</c:v>
                </c:pt>
                <c:pt idx="133">
                  <c:v>16.794472747444999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65B-418E-A5CD-236C9294BC90}"/>
            </c:ext>
          </c:extLst>
        </c:ser>
        <c:ser>
          <c:idx val="9"/>
          <c:order val="9"/>
          <c:tx>
            <c:strRef>
              <c:f>NN4再投資累積報酬!$B$21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NN4再投資累積報酬!$C$21:$EF$21</c:f>
              <c:numCache>
                <c:formatCode>General</c:formatCode>
                <c:ptCount val="134"/>
                <c:pt idx="0">
                  <c:v>-0.21462957980695319</c:v>
                </c:pt>
                <c:pt idx="1">
                  <c:v>-0.11536824850846916</c:v>
                </c:pt>
                <c:pt idx="2">
                  <c:v>-0.11561537239706288</c:v>
                </c:pt>
                <c:pt idx="3">
                  <c:v>6.4280397891353758E-2</c:v>
                </c:pt>
                <c:pt idx="4">
                  <c:v>0.21895424640875816</c:v>
                </c:pt>
                <c:pt idx="5">
                  <c:v>0.41662484984005954</c:v>
                </c:pt>
                <c:pt idx="6">
                  <c:v>0.62523080359174754</c:v>
                </c:pt>
                <c:pt idx="7">
                  <c:v>0.40299200540847413</c:v>
                </c:pt>
                <c:pt idx="8">
                  <c:v>0.40505481888612915</c:v>
                </c:pt>
                <c:pt idx="9">
                  <c:v>0.39798858279853144</c:v>
                </c:pt>
                <c:pt idx="10">
                  <c:v>0.11855167030821723</c:v>
                </c:pt>
                <c:pt idx="11">
                  <c:v>0.77278277129841477</c:v>
                </c:pt>
                <c:pt idx="12">
                  <c:v>1.0028588777977765</c:v>
                </c:pt>
                <c:pt idx="13">
                  <c:v>1.0938431346263155</c:v>
                </c:pt>
                <c:pt idx="14">
                  <c:v>1.6677308748210766</c:v>
                </c:pt>
                <c:pt idx="15">
                  <c:v>1.8942351815093725</c:v>
                </c:pt>
                <c:pt idx="16">
                  <c:v>1.7884124164447721</c:v>
                </c:pt>
                <c:pt idx="17">
                  <c:v>1.4227947739553417</c:v>
                </c:pt>
                <c:pt idx="18">
                  <c:v>1.3989916857280562</c:v>
                </c:pt>
                <c:pt idx="19">
                  <c:v>1.0829233588600942</c:v>
                </c:pt>
                <c:pt idx="20">
                  <c:v>1.3422444401638125</c:v>
                </c:pt>
                <c:pt idx="21">
                  <c:v>1.8289658032811618</c:v>
                </c:pt>
                <c:pt idx="22">
                  <c:v>1.8002697349652736</c:v>
                </c:pt>
                <c:pt idx="23">
                  <c:v>1.9107619819947224</c:v>
                </c:pt>
                <c:pt idx="24">
                  <c:v>1.9674957705206313</c:v>
                </c:pt>
                <c:pt idx="25">
                  <c:v>1.7737551083990732</c:v>
                </c:pt>
                <c:pt idx="26">
                  <c:v>1.3312239151458969</c:v>
                </c:pt>
                <c:pt idx="27">
                  <c:v>1.6315430565641575</c:v>
                </c:pt>
                <c:pt idx="28">
                  <c:v>1.6586785040881038</c:v>
                </c:pt>
                <c:pt idx="29">
                  <c:v>1.5694351069892356</c:v>
                </c:pt>
                <c:pt idx="30">
                  <c:v>1.4556019943989957</c:v>
                </c:pt>
                <c:pt idx="31">
                  <c:v>1.1914249859247157</c:v>
                </c:pt>
                <c:pt idx="32">
                  <c:v>1.365849724992612</c:v>
                </c:pt>
                <c:pt idx="33">
                  <c:v>1.1992812661105483</c:v>
                </c:pt>
                <c:pt idx="34">
                  <c:v>1.120540030300623</c:v>
                </c:pt>
                <c:pt idx="35">
                  <c:v>1.2591805615801426</c:v>
                </c:pt>
                <c:pt idx="36">
                  <c:v>1.414015325538029</c:v>
                </c:pt>
                <c:pt idx="37">
                  <c:v>1.6842789606611337</c:v>
                </c:pt>
                <c:pt idx="38">
                  <c:v>1.8123899203557783</c:v>
                </c:pt>
                <c:pt idx="39">
                  <c:v>1.6083928137078973</c:v>
                </c:pt>
                <c:pt idx="40">
                  <c:v>1.8088882498162242</c:v>
                </c:pt>
                <c:pt idx="41">
                  <c:v>1.6740949232979472</c:v>
                </c:pt>
                <c:pt idx="42">
                  <c:v>1.8464560344226584</c:v>
                </c:pt>
                <c:pt idx="43">
                  <c:v>1.665865339972227</c:v>
                </c:pt>
                <c:pt idx="44">
                  <c:v>1.7933193795287998</c:v>
                </c:pt>
                <c:pt idx="45">
                  <c:v>1.9354925425143139</c:v>
                </c:pt>
                <c:pt idx="46">
                  <c:v>1.9642340379281009</c:v>
                </c:pt>
                <c:pt idx="47">
                  <c:v>2.3885572855766473</c:v>
                </c:pt>
                <c:pt idx="48">
                  <c:v>1.9857384895207857</c:v>
                </c:pt>
                <c:pt idx="49">
                  <c:v>2.3096981572430546</c:v>
                </c:pt>
                <c:pt idx="50">
                  <c:v>2.7717078001570128</c:v>
                </c:pt>
                <c:pt idx="51">
                  <c:v>3.8825234102891875</c:v>
                </c:pt>
                <c:pt idx="52">
                  <c:v>3.4916926050754293</c:v>
                </c:pt>
                <c:pt idx="53">
                  <c:v>3.6633612662310071</c:v>
                </c:pt>
                <c:pt idx="54">
                  <c:v>3.4740832085718258</c:v>
                </c:pt>
                <c:pt idx="55">
                  <c:v>3.1953927920095069</c:v>
                </c:pt>
                <c:pt idx="56">
                  <c:v>2.8659493235507045</c:v>
                </c:pt>
                <c:pt idx="57">
                  <c:v>3.1610038457494438</c:v>
                </c:pt>
                <c:pt idx="58">
                  <c:v>3.3535491749832262</c:v>
                </c:pt>
                <c:pt idx="59">
                  <c:v>3.4510428267130182</c:v>
                </c:pt>
                <c:pt idx="60">
                  <c:v>3.7747365249515088</c:v>
                </c:pt>
                <c:pt idx="61">
                  <c:v>3.792655149058656</c:v>
                </c:pt>
                <c:pt idx="62">
                  <c:v>3.3374949881920779</c:v>
                </c:pt>
                <c:pt idx="63">
                  <c:v>3.2256276679803069</c:v>
                </c:pt>
                <c:pt idx="64">
                  <c:v>3.2890294195244207</c:v>
                </c:pt>
                <c:pt idx="65">
                  <c:v>3.3069610037218391</c:v>
                </c:pt>
                <c:pt idx="66">
                  <c:v>3.5418722649820467</c:v>
                </c:pt>
                <c:pt idx="67">
                  <c:v>3.5978456728324018</c:v>
                </c:pt>
                <c:pt idx="68">
                  <c:v>3.6247898427768384</c:v>
                </c:pt>
                <c:pt idx="69">
                  <c:v>3.9060729951176523</c:v>
                </c:pt>
                <c:pt idx="70">
                  <c:v>3.0684173992796371</c:v>
                </c:pt>
                <c:pt idx="71">
                  <c:v>3.1466957360488408</c:v>
                </c:pt>
                <c:pt idx="72">
                  <c:v>4.8142102900920838</c:v>
                </c:pt>
                <c:pt idx="73">
                  <c:v>4.3655567384018479</c:v>
                </c:pt>
                <c:pt idx="74">
                  <c:v>4.2855220609920579</c:v>
                </c:pt>
                <c:pt idx="75">
                  <c:v>4.5374455222368919</c:v>
                </c:pt>
                <c:pt idx="76">
                  <c:v>5.0638319585424343</c:v>
                </c:pt>
                <c:pt idx="77">
                  <c:v>6.3243197854654367</c:v>
                </c:pt>
                <c:pt idx="78">
                  <c:v>6.2655864000398553</c:v>
                </c:pt>
                <c:pt idx="79">
                  <c:v>8.358482623720846</c:v>
                </c:pt>
                <c:pt idx="80">
                  <c:v>8.9341685813324307</c:v>
                </c:pt>
                <c:pt idx="81">
                  <c:v>7.6708356332700909</c:v>
                </c:pt>
                <c:pt idx="82">
                  <c:v>10.446949187194992</c:v>
                </c:pt>
                <c:pt idx="83">
                  <c:v>11.363853492432391</c:v>
                </c:pt>
                <c:pt idx="84">
                  <c:v>9.8394726208083085</c:v>
                </c:pt>
                <c:pt idx="85">
                  <c:v>9.7098708258445807</c:v>
                </c:pt>
                <c:pt idx="86">
                  <c:v>9.8015862003311742</c:v>
                </c:pt>
                <c:pt idx="87">
                  <c:v>13.712665047397284</c:v>
                </c:pt>
                <c:pt idx="88">
                  <c:v>12.00258522394407</c:v>
                </c:pt>
                <c:pt idx="89">
                  <c:v>11.855891108180474</c:v>
                </c:pt>
                <c:pt idx="90">
                  <c:v>16.168833772096995</c:v>
                </c:pt>
                <c:pt idx="91">
                  <c:v>14.516277063481441</c:v>
                </c:pt>
                <c:pt idx="92">
                  <c:v>13.594554083256673</c:v>
                </c:pt>
                <c:pt idx="93">
                  <c:v>13.764081341995135</c:v>
                </c:pt>
                <c:pt idx="94">
                  <c:v>14.220405813349231</c:v>
                </c:pt>
                <c:pt idx="95">
                  <c:v>14.950880333582655</c:v>
                </c:pt>
                <c:pt idx="96">
                  <c:v>13.951181875239506</c:v>
                </c:pt>
                <c:pt idx="97">
                  <c:v>15.419771164401613</c:v>
                </c:pt>
                <c:pt idx="98">
                  <c:v>14.914822458586078</c:v>
                </c:pt>
                <c:pt idx="99">
                  <c:v>15.128009844166069</c:v>
                </c:pt>
                <c:pt idx="100">
                  <c:v>16.781214091167346</c:v>
                </c:pt>
                <c:pt idx="101">
                  <c:v>21.003387752062601</c:v>
                </c:pt>
                <c:pt idx="102">
                  <c:v>21.029621433179969</c:v>
                </c:pt>
                <c:pt idx="103">
                  <c:v>19.892354702591977</c:v>
                </c:pt>
                <c:pt idx="104">
                  <c:v>20.901646544731928</c:v>
                </c:pt>
                <c:pt idx="105">
                  <c:v>19.433634014164923</c:v>
                </c:pt>
                <c:pt idx="106">
                  <c:v>18.315520518444099</c:v>
                </c:pt>
                <c:pt idx="107">
                  <c:v>18.731980151959625</c:v>
                </c:pt>
                <c:pt idx="108">
                  <c:v>18.886804729456617</c:v>
                </c:pt>
                <c:pt idx="109">
                  <c:v>20.506310303692786</c:v>
                </c:pt>
                <c:pt idx="110">
                  <c:v>24.374001388704826</c:v>
                </c:pt>
                <c:pt idx="111">
                  <c:v>23.412039675159932</c:v>
                </c:pt>
                <c:pt idx="112">
                  <c:v>21.193092903642462</c:v>
                </c:pt>
                <c:pt idx="113">
                  <c:v>21.907892550619358</c:v>
                </c:pt>
                <c:pt idx="114">
                  <c:v>22.480333351932686</c:v>
                </c:pt>
                <c:pt idx="115">
                  <c:v>21.379696591707127</c:v>
                </c:pt>
                <c:pt idx="116">
                  <c:v>28.801403866568485</c:v>
                </c:pt>
                <c:pt idx="117">
                  <c:v>27.695514504671728</c:v>
                </c:pt>
                <c:pt idx="118">
                  <c:v>26.885840373737601</c:v>
                </c:pt>
                <c:pt idx="119">
                  <c:v>25.392358705090235</c:v>
                </c:pt>
                <c:pt idx="120">
                  <c:v>20.091731269434742</c:v>
                </c:pt>
                <c:pt idx="121">
                  <c:v>19.886959181505631</c:v>
                </c:pt>
                <c:pt idx="122">
                  <c:v>16.782849661308063</c:v>
                </c:pt>
                <c:pt idx="123">
                  <c:v>15.899675028801443</c:v>
                </c:pt>
                <c:pt idx="124">
                  <c:v>14.149975749652077</c:v>
                </c:pt>
                <c:pt idx="125">
                  <c:v>11.33259211682504</c:v>
                </c:pt>
                <c:pt idx="126">
                  <c:v>11.635924497502639</c:v>
                </c:pt>
                <c:pt idx="127">
                  <c:v>12.886003756763825</c:v>
                </c:pt>
                <c:pt idx="128">
                  <c:v>12.540721018631057</c:v>
                </c:pt>
                <c:pt idx="129">
                  <c:v>11.142024671423432</c:v>
                </c:pt>
                <c:pt idx="130">
                  <c:v>11.312462940737987</c:v>
                </c:pt>
                <c:pt idx="131">
                  <c:v>10.293852296769202</c:v>
                </c:pt>
                <c:pt idx="132">
                  <c:v>10.053173614887482</c:v>
                </c:pt>
                <c:pt idx="133">
                  <c:v>9.8456915744590461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65B-418E-A5CD-236C9294BC90}"/>
            </c:ext>
          </c:extLst>
        </c:ser>
        <c:ser>
          <c:idx val="10"/>
          <c:order val="10"/>
          <c:tx>
            <c:strRef>
              <c:f>NN4再投資累積報酬!$B$22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NN4再投資累積報酬!$C$22:$EF$22</c:f>
              <c:numCache>
                <c:formatCode>General</c:formatCode>
                <c:ptCount val="134"/>
                <c:pt idx="0">
                  <c:v>-0.20528030103697537</c:v>
                </c:pt>
                <c:pt idx="1">
                  <c:v>-9.2090081310075012E-2</c:v>
                </c:pt>
                <c:pt idx="2">
                  <c:v>-0.12933938455280536</c:v>
                </c:pt>
                <c:pt idx="3">
                  <c:v>-0.25111646492020612</c:v>
                </c:pt>
                <c:pt idx="4">
                  <c:v>-7.6667471868597348E-2</c:v>
                </c:pt>
                <c:pt idx="5">
                  <c:v>3.7990172943316747E-2</c:v>
                </c:pt>
                <c:pt idx="6">
                  <c:v>0.16617486914185808</c:v>
                </c:pt>
                <c:pt idx="7">
                  <c:v>4.4597054230388844E-2</c:v>
                </c:pt>
                <c:pt idx="8">
                  <c:v>7.4531842323702024E-2</c:v>
                </c:pt>
                <c:pt idx="9">
                  <c:v>8.9868859547846514E-2</c:v>
                </c:pt>
                <c:pt idx="10">
                  <c:v>-0.11138936189454096</c:v>
                </c:pt>
                <c:pt idx="11">
                  <c:v>0.5605277455932165</c:v>
                </c:pt>
                <c:pt idx="12">
                  <c:v>0.78443280648019842</c:v>
                </c:pt>
                <c:pt idx="13">
                  <c:v>0.94615751208707177</c:v>
                </c:pt>
                <c:pt idx="14">
                  <c:v>1.193846711180901</c:v>
                </c:pt>
                <c:pt idx="15">
                  <c:v>1.3401725410566829</c:v>
                </c:pt>
                <c:pt idx="16">
                  <c:v>1.2483578756790998</c:v>
                </c:pt>
                <c:pt idx="17">
                  <c:v>1.0126198746156718</c:v>
                </c:pt>
                <c:pt idx="18">
                  <c:v>1.1182600910256038</c:v>
                </c:pt>
                <c:pt idx="19">
                  <c:v>0.74624086913226528</c:v>
                </c:pt>
                <c:pt idx="20">
                  <c:v>1.0222303149816843</c:v>
                </c:pt>
                <c:pt idx="21">
                  <c:v>1.5423527066901839</c:v>
                </c:pt>
                <c:pt idx="22">
                  <c:v>1.3647608997642409</c:v>
                </c:pt>
                <c:pt idx="23">
                  <c:v>1.421198571403087</c:v>
                </c:pt>
                <c:pt idx="24">
                  <c:v>1.4382632198207692</c:v>
                </c:pt>
                <c:pt idx="25">
                  <c:v>1.3449410006512337</c:v>
                </c:pt>
                <c:pt idx="26">
                  <c:v>0.92938678784835438</c:v>
                </c:pt>
                <c:pt idx="27">
                  <c:v>0.95557394718000488</c:v>
                </c:pt>
                <c:pt idx="28">
                  <c:v>0.78906135085844809</c:v>
                </c:pt>
                <c:pt idx="29">
                  <c:v>0.63447886623731353</c:v>
                </c:pt>
                <c:pt idx="30">
                  <c:v>0.54811048556064668</c:v>
                </c:pt>
                <c:pt idx="31">
                  <c:v>0.38421828371787492</c:v>
                </c:pt>
                <c:pt idx="32">
                  <c:v>0.5145303379720787</c:v>
                </c:pt>
                <c:pt idx="33">
                  <c:v>0.46651995445808958</c:v>
                </c:pt>
                <c:pt idx="34">
                  <c:v>0.61506164994222012</c:v>
                </c:pt>
                <c:pt idx="35">
                  <c:v>0.68021479835363685</c:v>
                </c:pt>
                <c:pt idx="36">
                  <c:v>0.82150221833740278</c:v>
                </c:pt>
                <c:pt idx="37">
                  <c:v>1.0239308776696445</c:v>
                </c:pt>
                <c:pt idx="38">
                  <c:v>1.1751536767795376</c:v>
                </c:pt>
                <c:pt idx="39">
                  <c:v>1.039127496687684</c:v>
                </c:pt>
                <c:pt idx="40">
                  <c:v>1.2010874767934294</c:v>
                </c:pt>
                <c:pt idx="41">
                  <c:v>1.0515797375414189</c:v>
                </c:pt>
                <c:pt idx="42">
                  <c:v>1.221471956042596</c:v>
                </c:pt>
                <c:pt idx="43">
                  <c:v>1.2238571387752253</c:v>
                </c:pt>
                <c:pt idx="44">
                  <c:v>1.2983573579094094</c:v>
                </c:pt>
                <c:pt idx="45">
                  <c:v>1.4354455030484492</c:v>
                </c:pt>
                <c:pt idx="46">
                  <c:v>1.3620183086845818</c:v>
                </c:pt>
                <c:pt idx="47">
                  <c:v>1.7724506408166816</c:v>
                </c:pt>
                <c:pt idx="48">
                  <c:v>1.3185330134603817</c:v>
                </c:pt>
                <c:pt idx="49">
                  <c:v>1.678342451541543</c:v>
                </c:pt>
                <c:pt idx="50">
                  <c:v>1.8116568334629508</c:v>
                </c:pt>
                <c:pt idx="51">
                  <c:v>2.8507062562987402</c:v>
                </c:pt>
                <c:pt idx="52">
                  <c:v>2.5144110554160042</c:v>
                </c:pt>
                <c:pt idx="53">
                  <c:v>2.7929616763281131</c:v>
                </c:pt>
                <c:pt idx="54">
                  <c:v>2.5332081420088417</c:v>
                </c:pt>
                <c:pt idx="55">
                  <c:v>2.3392844313279508</c:v>
                </c:pt>
                <c:pt idx="56">
                  <c:v>2.0181169663773293</c:v>
                </c:pt>
                <c:pt idx="57">
                  <c:v>2.4043168502348893</c:v>
                </c:pt>
                <c:pt idx="58">
                  <c:v>2.6846469126925832</c:v>
                </c:pt>
                <c:pt idx="59">
                  <c:v>2.8353133470745178</c:v>
                </c:pt>
                <c:pt idx="60">
                  <c:v>3.0206174359470888</c:v>
                </c:pt>
                <c:pt idx="61">
                  <c:v>3.0924412719298839</c:v>
                </c:pt>
                <c:pt idx="62">
                  <c:v>2.597502916903164</c:v>
                </c:pt>
                <c:pt idx="63">
                  <c:v>2.2991335826081833</c:v>
                </c:pt>
                <c:pt idx="64">
                  <c:v>2.4256555632273358</c:v>
                </c:pt>
                <c:pt idx="65">
                  <c:v>2.4275088433136442</c:v>
                </c:pt>
                <c:pt idx="66">
                  <c:v>2.5228967482566405</c:v>
                </c:pt>
                <c:pt idx="67">
                  <c:v>2.596220945365491</c:v>
                </c:pt>
                <c:pt idx="68">
                  <c:v>2.537340802448135</c:v>
                </c:pt>
                <c:pt idx="69">
                  <c:v>2.2234860149888376</c:v>
                </c:pt>
                <c:pt idx="70">
                  <c:v>1.8871133697669036</c:v>
                </c:pt>
                <c:pt idx="71">
                  <c:v>1.8890816886616326</c:v>
                </c:pt>
                <c:pt idx="72">
                  <c:v>3.1247895865353703</c:v>
                </c:pt>
                <c:pt idx="73">
                  <c:v>2.6585691613570859</c:v>
                </c:pt>
                <c:pt idx="74">
                  <c:v>2.7769343940176094</c:v>
                </c:pt>
                <c:pt idx="75">
                  <c:v>2.955423761981566</c:v>
                </c:pt>
                <c:pt idx="76">
                  <c:v>3.5253162180877293</c:v>
                </c:pt>
                <c:pt idx="77">
                  <c:v>4.6780919033577879</c:v>
                </c:pt>
                <c:pt idx="78">
                  <c:v>3.9677399204533987</c:v>
                </c:pt>
                <c:pt idx="79">
                  <c:v>5.6263591719937978</c:v>
                </c:pt>
                <c:pt idx="80">
                  <c:v>6.069265984091726</c:v>
                </c:pt>
                <c:pt idx="81">
                  <c:v>4.969482118084998</c:v>
                </c:pt>
                <c:pt idx="82">
                  <c:v>7.6187431475438476</c:v>
                </c:pt>
                <c:pt idx="83">
                  <c:v>8.6178172631802958</c:v>
                </c:pt>
                <c:pt idx="84">
                  <c:v>6.4013992861549287</c:v>
                </c:pt>
                <c:pt idx="85">
                  <c:v>6.2811794837237223</c:v>
                </c:pt>
                <c:pt idx="86">
                  <c:v>6.0834772827595334</c:v>
                </c:pt>
                <c:pt idx="87">
                  <c:v>10.007400445773744</c:v>
                </c:pt>
                <c:pt idx="88">
                  <c:v>7.5876162502156355</c:v>
                </c:pt>
                <c:pt idx="89">
                  <c:v>7.7752582998397433</c:v>
                </c:pt>
                <c:pt idx="90">
                  <c:v>10.162650669003343</c:v>
                </c:pt>
                <c:pt idx="91">
                  <c:v>9.2548692451682761</c:v>
                </c:pt>
                <c:pt idx="92">
                  <c:v>8.4912197917295167</c:v>
                </c:pt>
                <c:pt idx="93">
                  <c:v>8.2214583963575905</c:v>
                </c:pt>
                <c:pt idx="94">
                  <c:v>8.446827029553349</c:v>
                </c:pt>
                <c:pt idx="95">
                  <c:v>8.8082873311444416</c:v>
                </c:pt>
                <c:pt idx="96">
                  <c:v>7.6290201538851736</c:v>
                </c:pt>
                <c:pt idx="97">
                  <c:v>8.5974869717718505</c:v>
                </c:pt>
                <c:pt idx="98">
                  <c:v>8.467922831201415</c:v>
                </c:pt>
                <c:pt idx="99">
                  <c:v>8.9156178536940232</c:v>
                </c:pt>
                <c:pt idx="100">
                  <c:v>9.9519072665588055</c:v>
                </c:pt>
                <c:pt idx="101">
                  <c:v>12.831388032368377</c:v>
                </c:pt>
                <c:pt idx="102">
                  <c:v>12.776176535497772</c:v>
                </c:pt>
                <c:pt idx="103">
                  <c:v>11.971875038667024</c:v>
                </c:pt>
                <c:pt idx="104">
                  <c:v>12.910286860293811</c:v>
                </c:pt>
                <c:pt idx="105">
                  <c:v>12.688242823849571</c:v>
                </c:pt>
                <c:pt idx="106">
                  <c:v>10.862831553054066</c:v>
                </c:pt>
                <c:pt idx="107">
                  <c:v>11.064876634173698</c:v>
                </c:pt>
                <c:pt idx="108">
                  <c:v>11.45077223308334</c:v>
                </c:pt>
                <c:pt idx="109">
                  <c:v>12.464942185969669</c:v>
                </c:pt>
                <c:pt idx="110">
                  <c:v>13.274482938326591</c:v>
                </c:pt>
                <c:pt idx="111">
                  <c:v>12.557247185343005</c:v>
                </c:pt>
                <c:pt idx="112">
                  <c:v>11.317729698189547</c:v>
                </c:pt>
                <c:pt idx="113">
                  <c:v>11.584782095571033</c:v>
                </c:pt>
                <c:pt idx="114">
                  <c:v>11.986044214162924</c:v>
                </c:pt>
                <c:pt idx="115">
                  <c:v>10.905946776597908</c:v>
                </c:pt>
                <c:pt idx="116">
                  <c:v>11.807415252694296</c:v>
                </c:pt>
                <c:pt idx="117">
                  <c:v>10.461367951161815</c:v>
                </c:pt>
                <c:pt idx="118">
                  <c:v>9.86709370955883</c:v>
                </c:pt>
                <c:pt idx="119">
                  <c:v>9.0929621654886503</c:v>
                </c:pt>
                <c:pt idx="120">
                  <c:v>7.1041346694850862</c:v>
                </c:pt>
                <c:pt idx="121">
                  <c:v>6.7501343459167913</c:v>
                </c:pt>
                <c:pt idx="122">
                  <c:v>5.4981240834077862</c:v>
                </c:pt>
                <c:pt idx="123">
                  <c:v>5.8449300498098768</c:v>
                </c:pt>
                <c:pt idx="124">
                  <c:v>5.2876472402479457</c:v>
                </c:pt>
                <c:pt idx="125">
                  <c:v>3.889006587124471</c:v>
                </c:pt>
                <c:pt idx="126">
                  <c:v>3.8491752802761345</c:v>
                </c:pt>
                <c:pt idx="127">
                  <c:v>4.3866312210943521</c:v>
                </c:pt>
                <c:pt idx="128">
                  <c:v>4.0066116666502403</c:v>
                </c:pt>
                <c:pt idx="129">
                  <c:v>3.2910313002064511</c:v>
                </c:pt>
                <c:pt idx="130">
                  <c:v>3.3832674538686316</c:v>
                </c:pt>
                <c:pt idx="131">
                  <c:v>3.1312330003177564</c:v>
                </c:pt>
                <c:pt idx="132">
                  <c:v>2.9344348610427922</c:v>
                </c:pt>
                <c:pt idx="133">
                  <c:v>2.79755490289185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5B-418E-A5CD-236C9294BC90}"/>
            </c:ext>
          </c:extLst>
        </c:ser>
        <c:ser>
          <c:idx val="11"/>
          <c:order val="11"/>
          <c:tx>
            <c:strRef>
              <c:f>NN4再投資累積報酬!$B$23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NN4再投資累積報酬!$C$23:$EF$23</c:f>
              <c:numCache>
                <c:formatCode>General</c:formatCode>
                <c:ptCount val="134"/>
                <c:pt idx="0">
                  <c:v>-0.28298926569632887</c:v>
                </c:pt>
                <c:pt idx="1">
                  <c:v>-0.1008021243062075</c:v>
                </c:pt>
                <c:pt idx="2">
                  <c:v>-0.17358425473792061</c:v>
                </c:pt>
                <c:pt idx="3">
                  <c:v>-0.17667524213206354</c:v>
                </c:pt>
                <c:pt idx="4">
                  <c:v>0.12106543614510801</c:v>
                </c:pt>
                <c:pt idx="5">
                  <c:v>0.10067497014838644</c:v>
                </c:pt>
                <c:pt idx="6">
                  <c:v>0.26374219980543789</c:v>
                </c:pt>
                <c:pt idx="7">
                  <c:v>0.11856664775273495</c:v>
                </c:pt>
                <c:pt idx="8">
                  <c:v>5.1544500538115434E-2</c:v>
                </c:pt>
                <c:pt idx="9">
                  <c:v>0.10493229150853578</c:v>
                </c:pt>
                <c:pt idx="10">
                  <c:v>-5.780983558343078E-2</c:v>
                </c:pt>
                <c:pt idx="11">
                  <c:v>0.86167490570670369</c:v>
                </c:pt>
                <c:pt idx="12">
                  <c:v>1.242507274780543</c:v>
                </c:pt>
                <c:pt idx="13">
                  <c:v>1.3651309947091184</c:v>
                </c:pt>
                <c:pt idx="14">
                  <c:v>2.053794448944954</c:v>
                </c:pt>
                <c:pt idx="15">
                  <c:v>2.2456398565407545</c:v>
                </c:pt>
                <c:pt idx="16">
                  <c:v>2.0100951243062739</c:v>
                </c:pt>
                <c:pt idx="17">
                  <c:v>1.7552117804799225</c:v>
                </c:pt>
                <c:pt idx="18">
                  <c:v>1.9184354567549651</c:v>
                </c:pt>
                <c:pt idx="19">
                  <c:v>1.2399657435500235</c:v>
                </c:pt>
                <c:pt idx="20">
                  <c:v>1.8213428574167261</c:v>
                </c:pt>
                <c:pt idx="21">
                  <c:v>2.3702533403145232</c:v>
                </c:pt>
                <c:pt idx="22">
                  <c:v>2.141244890097163</c:v>
                </c:pt>
                <c:pt idx="23">
                  <c:v>2.2701991701573423</c:v>
                </c:pt>
                <c:pt idx="24">
                  <c:v>2.291803060673721</c:v>
                </c:pt>
                <c:pt idx="25">
                  <c:v>2.134622936657363</c:v>
                </c:pt>
                <c:pt idx="26">
                  <c:v>1.4010941460630786</c:v>
                </c:pt>
                <c:pt idx="27">
                  <c:v>1.5730818019127151</c:v>
                </c:pt>
                <c:pt idx="28">
                  <c:v>1.0025955095768473</c:v>
                </c:pt>
                <c:pt idx="29">
                  <c:v>0.95192885717351627</c:v>
                </c:pt>
                <c:pt idx="30">
                  <c:v>0.77259801359950542</c:v>
                </c:pt>
                <c:pt idx="31">
                  <c:v>0.62339563007218812</c:v>
                </c:pt>
                <c:pt idx="32">
                  <c:v>0.66110429660127701</c:v>
                </c:pt>
                <c:pt idx="33">
                  <c:v>0.67047813712715931</c:v>
                </c:pt>
                <c:pt idx="34">
                  <c:v>0.86109823379018713</c:v>
                </c:pt>
                <c:pt idx="35">
                  <c:v>1.1057055630768335</c:v>
                </c:pt>
                <c:pt idx="36">
                  <c:v>1.1220658192966426</c:v>
                </c:pt>
                <c:pt idx="37">
                  <c:v>1.6362735603159124</c:v>
                </c:pt>
                <c:pt idx="38">
                  <c:v>1.6222038943609913</c:v>
                </c:pt>
                <c:pt idx="39">
                  <c:v>1.630388053237295</c:v>
                </c:pt>
                <c:pt idx="40">
                  <c:v>1.8656104845378123</c:v>
                </c:pt>
                <c:pt idx="41">
                  <c:v>1.4468411598367812</c:v>
                </c:pt>
                <c:pt idx="42">
                  <c:v>1.4108557409516882</c:v>
                </c:pt>
                <c:pt idx="43">
                  <c:v>1.4517227130799903</c:v>
                </c:pt>
                <c:pt idx="44">
                  <c:v>1.5329863523262306</c:v>
                </c:pt>
                <c:pt idx="45">
                  <c:v>1.2879015575740809</c:v>
                </c:pt>
                <c:pt idx="46">
                  <c:v>1.1688691095190329</c:v>
                </c:pt>
                <c:pt idx="47">
                  <c:v>1.3203389240203474</c:v>
                </c:pt>
                <c:pt idx="48">
                  <c:v>0.9417804755671646</c:v>
                </c:pt>
                <c:pt idx="49">
                  <c:v>1.093378338552792</c:v>
                </c:pt>
                <c:pt idx="50">
                  <c:v>1.2064172909583739</c:v>
                </c:pt>
                <c:pt idx="51">
                  <c:v>2.4570731390033131</c:v>
                </c:pt>
                <c:pt idx="52">
                  <c:v>1.8589992772366859</c:v>
                </c:pt>
                <c:pt idx="53">
                  <c:v>2.2191553770007619</c:v>
                </c:pt>
                <c:pt idx="54">
                  <c:v>1.9405941530277713</c:v>
                </c:pt>
                <c:pt idx="55">
                  <c:v>1.7641204419074468</c:v>
                </c:pt>
                <c:pt idx="56">
                  <c:v>1.6399874561660526</c:v>
                </c:pt>
                <c:pt idx="57">
                  <c:v>2.1771826144747375</c:v>
                </c:pt>
                <c:pt idx="58">
                  <c:v>2.5622746969474695</c:v>
                </c:pt>
                <c:pt idx="59">
                  <c:v>2.7670836225246904</c:v>
                </c:pt>
                <c:pt idx="60">
                  <c:v>2.9473360246814853</c:v>
                </c:pt>
                <c:pt idx="61">
                  <c:v>2.7364210980151733</c:v>
                </c:pt>
                <c:pt idx="62">
                  <c:v>2.0483673458236415</c:v>
                </c:pt>
                <c:pt idx="63">
                  <c:v>1.9311477530791832</c:v>
                </c:pt>
                <c:pt idx="64">
                  <c:v>2.1123380582925062</c:v>
                </c:pt>
                <c:pt idx="65">
                  <c:v>2.1822901013705289</c:v>
                </c:pt>
                <c:pt idx="66">
                  <c:v>2.4115674249324961</c:v>
                </c:pt>
                <c:pt idx="67">
                  <c:v>2.4724445307589753</c:v>
                </c:pt>
                <c:pt idx="68">
                  <c:v>2.2179998081745711</c:v>
                </c:pt>
                <c:pt idx="69">
                  <c:v>1.5158751262326384</c:v>
                </c:pt>
                <c:pt idx="70">
                  <c:v>1.2499841746867291</c:v>
                </c:pt>
                <c:pt idx="71">
                  <c:v>1.2116918045461205</c:v>
                </c:pt>
                <c:pt idx="72">
                  <c:v>2.5409131083114747</c:v>
                </c:pt>
                <c:pt idx="73">
                  <c:v>2.2975281294990921</c:v>
                </c:pt>
                <c:pt idx="74">
                  <c:v>2.4292295856448232</c:v>
                </c:pt>
                <c:pt idx="75">
                  <c:v>2.4555309618909731</c:v>
                </c:pt>
                <c:pt idx="76">
                  <c:v>3.1686582937906644</c:v>
                </c:pt>
                <c:pt idx="77">
                  <c:v>4.4866494874172149</c:v>
                </c:pt>
                <c:pt idx="78">
                  <c:v>4.0227828204230205</c:v>
                </c:pt>
                <c:pt idx="79">
                  <c:v>4.9855320257508691</c:v>
                </c:pt>
                <c:pt idx="80">
                  <c:v>5.3422835122089962</c:v>
                </c:pt>
                <c:pt idx="81">
                  <c:v>4.1788979221239559</c:v>
                </c:pt>
                <c:pt idx="82">
                  <c:v>5.6958175186238291</c:v>
                </c:pt>
                <c:pt idx="83">
                  <c:v>6.9023800581057344</c:v>
                </c:pt>
                <c:pt idx="84">
                  <c:v>6.4351717992656265</c:v>
                </c:pt>
                <c:pt idx="85">
                  <c:v>6.7196061473305173</c:v>
                </c:pt>
                <c:pt idx="86">
                  <c:v>6.282720245226864</c:v>
                </c:pt>
                <c:pt idx="87">
                  <c:v>12.262917430256488</c:v>
                </c:pt>
                <c:pt idx="88">
                  <c:v>9.1500447579785575</c:v>
                </c:pt>
                <c:pt idx="89">
                  <c:v>9.6572329084695383</c:v>
                </c:pt>
                <c:pt idx="90">
                  <c:v>12.493746435604935</c:v>
                </c:pt>
                <c:pt idx="91">
                  <c:v>10.87829786712105</c:v>
                </c:pt>
                <c:pt idx="92">
                  <c:v>10.078709080360195</c:v>
                </c:pt>
                <c:pt idx="93">
                  <c:v>9.6551385778660492</c:v>
                </c:pt>
                <c:pt idx="94">
                  <c:v>10.390506918349192</c:v>
                </c:pt>
                <c:pt idx="95">
                  <c:v>11.135334619026857</c:v>
                </c:pt>
                <c:pt idx="96">
                  <c:v>10.879805784108553</c:v>
                </c:pt>
                <c:pt idx="97">
                  <c:v>10.61553787110075</c:v>
                </c:pt>
                <c:pt idx="98">
                  <c:v>11.360850160885731</c:v>
                </c:pt>
                <c:pt idx="99">
                  <c:v>10.813832114566011</c:v>
                </c:pt>
                <c:pt idx="100">
                  <c:v>12.630212744120078</c:v>
                </c:pt>
                <c:pt idx="101">
                  <c:v>15.110895023569029</c:v>
                </c:pt>
                <c:pt idx="102">
                  <c:v>14.611745079227472</c:v>
                </c:pt>
                <c:pt idx="103">
                  <c:v>14.362657237520837</c:v>
                </c:pt>
                <c:pt idx="104">
                  <c:v>15.47515994108528</c:v>
                </c:pt>
                <c:pt idx="105">
                  <c:v>15.171888059069875</c:v>
                </c:pt>
                <c:pt idx="106">
                  <c:v>12.884450503259515</c:v>
                </c:pt>
                <c:pt idx="107">
                  <c:v>13.744482900281117</c:v>
                </c:pt>
                <c:pt idx="108">
                  <c:v>14.308754435961438</c:v>
                </c:pt>
                <c:pt idx="109">
                  <c:v>16.440144759620058</c:v>
                </c:pt>
                <c:pt idx="110">
                  <c:v>18.115105869602132</c:v>
                </c:pt>
                <c:pt idx="111">
                  <c:v>16.450982826591016</c:v>
                </c:pt>
                <c:pt idx="112">
                  <c:v>14.858668095062358</c:v>
                </c:pt>
                <c:pt idx="113">
                  <c:v>13.960951168159601</c:v>
                </c:pt>
                <c:pt idx="114">
                  <c:v>14.656296023101774</c:v>
                </c:pt>
                <c:pt idx="115">
                  <c:v>12.805647396448826</c:v>
                </c:pt>
                <c:pt idx="116">
                  <c:v>14.518492559558178</c:v>
                </c:pt>
                <c:pt idx="117">
                  <c:v>13.922514228491872</c:v>
                </c:pt>
                <c:pt idx="118">
                  <c:v>12.114919619301197</c:v>
                </c:pt>
                <c:pt idx="119">
                  <c:v>10.771613547851153</c:v>
                </c:pt>
                <c:pt idx="120">
                  <c:v>7.3802519799013666</c:v>
                </c:pt>
                <c:pt idx="121">
                  <c:v>6.9256194494726637</c:v>
                </c:pt>
                <c:pt idx="122">
                  <c:v>6.4846421148637807</c:v>
                </c:pt>
                <c:pt idx="123">
                  <c:v>6.5455166074035311</c:v>
                </c:pt>
                <c:pt idx="124">
                  <c:v>6.7194545037417397</c:v>
                </c:pt>
                <c:pt idx="125">
                  <c:v>4.2994579598671905</c:v>
                </c:pt>
                <c:pt idx="126">
                  <c:v>5.1997130716653732</c:v>
                </c:pt>
                <c:pt idx="127">
                  <c:v>3.8532966609708659</c:v>
                </c:pt>
                <c:pt idx="128">
                  <c:v>3.7394921559486987</c:v>
                </c:pt>
                <c:pt idx="129">
                  <c:v>3.0843735060601576</c:v>
                </c:pt>
                <c:pt idx="130">
                  <c:v>2.9349494937216813</c:v>
                </c:pt>
                <c:pt idx="131">
                  <c:v>3.0880206918179756</c:v>
                </c:pt>
                <c:pt idx="132">
                  <c:v>2.8050802930676473</c:v>
                </c:pt>
                <c:pt idx="133">
                  <c:v>2.6232648864406545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65B-418E-A5CD-236C9294BC90}"/>
            </c:ext>
          </c:extLst>
        </c:ser>
        <c:ser>
          <c:idx val="12"/>
          <c:order val="12"/>
          <c:tx>
            <c:strRef>
              <c:f>NN4再投資累積報酬!$B$24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NN4再投資累積報酬!$C$24:$EF$24</c:f>
              <c:numCache>
                <c:formatCode>General</c:formatCode>
                <c:ptCount val="134"/>
                <c:pt idx="0">
                  <c:v>-9.911336420688277E-2</c:v>
                </c:pt>
                <c:pt idx="1">
                  <c:v>-8.4752382476581678E-3</c:v>
                </c:pt>
                <c:pt idx="2">
                  <c:v>6.2319957112492608E-2</c:v>
                </c:pt>
                <c:pt idx="3">
                  <c:v>0.14234079480922568</c:v>
                </c:pt>
                <c:pt idx="4">
                  <c:v>0.4046302969226836</c:v>
                </c:pt>
                <c:pt idx="5">
                  <c:v>0.45499443522453475</c:v>
                </c:pt>
                <c:pt idx="6">
                  <c:v>0.45192158416639505</c:v>
                </c:pt>
                <c:pt idx="7">
                  <c:v>0.28427865527120666</c:v>
                </c:pt>
                <c:pt idx="8">
                  <c:v>0.35328679597597845</c:v>
                </c:pt>
                <c:pt idx="9">
                  <c:v>0.48022468232693583</c:v>
                </c:pt>
                <c:pt idx="10">
                  <c:v>0.1578529536392872</c:v>
                </c:pt>
                <c:pt idx="11">
                  <c:v>2.2061311494468274</c:v>
                </c:pt>
                <c:pt idx="12">
                  <c:v>2.9605632841751621</c:v>
                </c:pt>
                <c:pt idx="13">
                  <c:v>2.9674399661020181</c:v>
                </c:pt>
                <c:pt idx="14">
                  <c:v>2.9561441265241553</c:v>
                </c:pt>
                <c:pt idx="15">
                  <c:v>2.8460730252278479</c:v>
                </c:pt>
                <c:pt idx="16">
                  <c:v>2.803556764015525</c:v>
                </c:pt>
                <c:pt idx="17">
                  <c:v>1.7088299749030025</c:v>
                </c:pt>
                <c:pt idx="18">
                  <c:v>2.483166061719186</c:v>
                </c:pt>
                <c:pt idx="19">
                  <c:v>2.1394524202797136</c:v>
                </c:pt>
                <c:pt idx="20">
                  <c:v>1.6228099472494195</c:v>
                </c:pt>
                <c:pt idx="21">
                  <c:v>1.6204523651156242</c:v>
                </c:pt>
                <c:pt idx="22">
                  <c:v>1.3051661058498922</c:v>
                </c:pt>
                <c:pt idx="23">
                  <c:v>1.2489326189048664</c:v>
                </c:pt>
                <c:pt idx="24">
                  <c:v>1.2794006368077171</c:v>
                </c:pt>
                <c:pt idx="25">
                  <c:v>0.85941782664377575</c:v>
                </c:pt>
                <c:pt idx="26">
                  <c:v>0.40168687631316824</c:v>
                </c:pt>
                <c:pt idx="27">
                  <c:v>0.54350296548837429</c:v>
                </c:pt>
                <c:pt idx="28">
                  <c:v>0.27297502976690868</c:v>
                </c:pt>
                <c:pt idx="29">
                  <c:v>6.2038255938862363E-2</c:v>
                </c:pt>
                <c:pt idx="30">
                  <c:v>-8.5304383645758319E-2</c:v>
                </c:pt>
                <c:pt idx="31">
                  <c:v>-0.1371652103586235</c:v>
                </c:pt>
                <c:pt idx="32">
                  <c:v>-0.14476534486902659</c:v>
                </c:pt>
                <c:pt idx="33">
                  <c:v>-0.21394634003394786</c:v>
                </c:pt>
                <c:pt idx="34">
                  <c:v>-0.14722299805230865</c:v>
                </c:pt>
                <c:pt idx="35">
                  <c:v>-0.19385023117569999</c:v>
                </c:pt>
                <c:pt idx="36">
                  <c:v>-0.20910200551917946</c:v>
                </c:pt>
                <c:pt idx="37">
                  <c:v>-3.4163701135372482E-2</c:v>
                </c:pt>
                <c:pt idx="38">
                  <c:v>2.9668527865088556E-2</c:v>
                </c:pt>
                <c:pt idx="39">
                  <c:v>6.1388356182388026E-3</c:v>
                </c:pt>
                <c:pt idx="40">
                  <c:v>5.350480625011822E-2</c:v>
                </c:pt>
                <c:pt idx="41">
                  <c:v>-0.12646900821892526</c:v>
                </c:pt>
                <c:pt idx="42">
                  <c:v>-0.15088950811991808</c:v>
                </c:pt>
                <c:pt idx="43">
                  <c:v>-0.14585546351558987</c:v>
                </c:pt>
                <c:pt idx="44">
                  <c:v>-0.10819168696817605</c:v>
                </c:pt>
                <c:pt idx="45">
                  <c:v>-0.12560176007897272</c:v>
                </c:pt>
                <c:pt idx="46">
                  <c:v>-0.12124066256018695</c:v>
                </c:pt>
                <c:pt idx="47">
                  <c:v>-9.6366336788295426E-2</c:v>
                </c:pt>
                <c:pt idx="48">
                  <c:v>-0.49710386748175062</c:v>
                </c:pt>
                <c:pt idx="49">
                  <c:v>-0.43744845491854778</c:v>
                </c:pt>
                <c:pt idx="50">
                  <c:v>-0.40904449304584078</c:v>
                </c:pt>
                <c:pt idx="51">
                  <c:v>-8.2629775174014597E-4</c:v>
                </c:pt>
                <c:pt idx="52">
                  <c:v>-0.20640588775579993</c:v>
                </c:pt>
                <c:pt idx="53">
                  <c:v>-0.19162040879944398</c:v>
                </c:pt>
                <c:pt idx="54">
                  <c:v>-0.27579788332073529</c:v>
                </c:pt>
                <c:pt idx="55">
                  <c:v>-0.34838589651632224</c:v>
                </c:pt>
                <c:pt idx="56">
                  <c:v>-0.46347628337211766</c:v>
                </c:pt>
                <c:pt idx="57">
                  <c:v>-0.25624113444391294</c:v>
                </c:pt>
                <c:pt idx="58">
                  <c:v>-0.13034587081742988</c:v>
                </c:pt>
                <c:pt idx="59">
                  <c:v>4.3271908379398205E-2</c:v>
                </c:pt>
                <c:pt idx="60">
                  <c:v>7.9606614309702506E-2</c:v>
                </c:pt>
                <c:pt idx="61">
                  <c:v>4.624826894061651E-2</c:v>
                </c:pt>
                <c:pt idx="62">
                  <c:v>-0.34809981769156362</c:v>
                </c:pt>
                <c:pt idx="63">
                  <c:v>-0.41910039194772708</c:v>
                </c:pt>
                <c:pt idx="64">
                  <c:v>-0.42236761622656105</c:v>
                </c:pt>
                <c:pt idx="65">
                  <c:v>-0.44073292050057677</c:v>
                </c:pt>
                <c:pt idx="66">
                  <c:v>-0.47662088392565904</c:v>
                </c:pt>
                <c:pt idx="67">
                  <c:v>-0.45445252121286883</c:v>
                </c:pt>
                <c:pt idx="68">
                  <c:v>-0.45515339559746804</c:v>
                </c:pt>
                <c:pt idx="69">
                  <c:v>-0.60592281191507003</c:v>
                </c:pt>
                <c:pt idx="70">
                  <c:v>-0.60937039316648689</c:v>
                </c:pt>
                <c:pt idx="71">
                  <c:v>-0.68878701406363663</c:v>
                </c:pt>
                <c:pt idx="72">
                  <c:v>-0.3436480563078419</c:v>
                </c:pt>
                <c:pt idx="73">
                  <c:v>-0.41187914496254752</c:v>
                </c:pt>
                <c:pt idx="74">
                  <c:v>-0.58263231610434807</c:v>
                </c:pt>
                <c:pt idx="75">
                  <c:v>-0.47457878653429342</c:v>
                </c:pt>
                <c:pt idx="76">
                  <c:v>-0.42202357395619994</c:v>
                </c:pt>
                <c:pt idx="77">
                  <c:v>-5.2293132931233721E-2</c:v>
                </c:pt>
                <c:pt idx="78">
                  <c:v>-0.22522109113388877</c:v>
                </c:pt>
                <c:pt idx="79">
                  <c:v>-0.11341560515455706</c:v>
                </c:pt>
                <c:pt idx="80">
                  <c:v>3.3371628460517222E-2</c:v>
                </c:pt>
                <c:pt idx="81">
                  <c:v>-0.13727042670869072</c:v>
                </c:pt>
                <c:pt idx="82">
                  <c:v>6.7436178511498301E-2</c:v>
                </c:pt>
                <c:pt idx="83">
                  <c:v>0.4456045823864434</c:v>
                </c:pt>
                <c:pt idx="84">
                  <c:v>0.3610249221833759</c:v>
                </c:pt>
                <c:pt idx="85">
                  <c:v>0.43884033743739903</c:v>
                </c:pt>
                <c:pt idx="86">
                  <c:v>0.48467483558103774</c:v>
                </c:pt>
                <c:pt idx="87">
                  <c:v>2.1900020969972545</c:v>
                </c:pt>
                <c:pt idx="88">
                  <c:v>0.15977864909160755</c:v>
                </c:pt>
                <c:pt idx="89">
                  <c:v>0.1770785223918232</c:v>
                </c:pt>
                <c:pt idx="90">
                  <c:v>0.70968000099016204</c:v>
                </c:pt>
                <c:pt idx="91">
                  <c:v>0.28339058262822925</c:v>
                </c:pt>
                <c:pt idx="92">
                  <c:v>5.5453455928037521E-2</c:v>
                </c:pt>
                <c:pt idx="93">
                  <c:v>-4.6733338812780634E-2</c:v>
                </c:pt>
                <c:pt idx="94">
                  <c:v>-7.2333241140919213E-2</c:v>
                </c:pt>
                <c:pt idx="95">
                  <c:v>-0.18323059640821893</c:v>
                </c:pt>
                <c:pt idx="96">
                  <c:v>-0.24265167124428833</c:v>
                </c:pt>
                <c:pt idx="97">
                  <c:v>-0.23124294001604584</c:v>
                </c:pt>
                <c:pt idx="98">
                  <c:v>-0.2324638355505565</c:v>
                </c:pt>
                <c:pt idx="99">
                  <c:v>-0.1919645911618133</c:v>
                </c:pt>
                <c:pt idx="100">
                  <c:v>6.7534164090025106E-2</c:v>
                </c:pt>
                <c:pt idx="101">
                  <c:v>0.18731857339195623</c:v>
                </c:pt>
                <c:pt idx="102">
                  <c:v>0.2164211813505974</c:v>
                </c:pt>
                <c:pt idx="103">
                  <c:v>-2.1341320814827758E-2</c:v>
                </c:pt>
                <c:pt idx="104">
                  <c:v>0.15437989378889561</c:v>
                </c:pt>
                <c:pt idx="105">
                  <c:v>0.21129056012840164</c:v>
                </c:pt>
                <c:pt idx="106">
                  <c:v>-0.16013482937670975</c:v>
                </c:pt>
                <c:pt idx="107">
                  <c:v>-0.24803929732050112</c:v>
                </c:pt>
                <c:pt idx="108">
                  <c:v>-0.20359403275990151</c:v>
                </c:pt>
                <c:pt idx="109">
                  <c:v>8.0928045089216916E-3</c:v>
                </c:pt>
                <c:pt idx="110">
                  <c:v>4.5578642976649375E-2</c:v>
                </c:pt>
                <c:pt idx="111">
                  <c:v>-9.2948618609463352E-2</c:v>
                </c:pt>
                <c:pt idx="112">
                  <c:v>-0.20150469229942169</c:v>
                </c:pt>
                <c:pt idx="113">
                  <c:v>-0.22685587892921533</c:v>
                </c:pt>
                <c:pt idx="114">
                  <c:v>-0.22653622616860658</c:v>
                </c:pt>
                <c:pt idx="115">
                  <c:v>-0.34180805064885711</c:v>
                </c:pt>
                <c:pt idx="116">
                  <c:v>-0.26571319260365589</c:v>
                </c:pt>
                <c:pt idx="117">
                  <c:v>-0.37169327920659101</c:v>
                </c:pt>
                <c:pt idx="118">
                  <c:v>-0.40341409199175582</c:v>
                </c:pt>
                <c:pt idx="119">
                  <c:v>-0.41736926923345896</c:v>
                </c:pt>
                <c:pt idx="120">
                  <c:v>-0.54336988892212412</c:v>
                </c:pt>
                <c:pt idx="121">
                  <c:v>-0.57749538467216111</c:v>
                </c:pt>
                <c:pt idx="122">
                  <c:v>-0.56829264460376105</c:v>
                </c:pt>
                <c:pt idx="123">
                  <c:v>-0.52596510484614756</c:v>
                </c:pt>
                <c:pt idx="124">
                  <c:v>-0.47800107065277386</c:v>
                </c:pt>
                <c:pt idx="125">
                  <c:v>-0.64065234975241436</c:v>
                </c:pt>
                <c:pt idx="126">
                  <c:v>-0.51710708714643105</c:v>
                </c:pt>
                <c:pt idx="127">
                  <c:v>-0.72644434169377714</c:v>
                </c:pt>
                <c:pt idx="128">
                  <c:v>-0.70528455924328481</c:v>
                </c:pt>
                <c:pt idx="129">
                  <c:v>-0.7374759650364513</c:v>
                </c:pt>
                <c:pt idx="130">
                  <c:v>-0.74123266265213061</c:v>
                </c:pt>
                <c:pt idx="131">
                  <c:v>-0.7593037194197203</c:v>
                </c:pt>
                <c:pt idx="132">
                  <c:v>-0.78517391385036861</c:v>
                </c:pt>
                <c:pt idx="133">
                  <c:v>-0.77072112863186015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5B-418E-A5CD-236C9294BC90}"/>
            </c:ext>
          </c:extLst>
        </c:ser>
        <c:ser>
          <c:idx val="13"/>
          <c:order val="13"/>
          <c:tx>
            <c:strRef>
              <c:f>NN4再投資累積報酬!$B$25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5B-418E-A5CD-236C9294B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55247"/>
        <c:axId val="127256207"/>
      </c:lineChart>
      <c:catAx>
        <c:axId val="1272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7256207"/>
        <c:crosses val="autoZero"/>
        <c:auto val="1"/>
        <c:lblAlgn val="ctr"/>
        <c:lblOffset val="100"/>
        <c:noMultiLvlLbl val="0"/>
      </c:catAx>
      <c:valAx>
        <c:axId val="1272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725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RF</a:t>
            </a:r>
            <a:r>
              <a: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畫圖!$B$12:$B$12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畫圖!$C$12:$EF$12</c:f>
              <c:numCache>
                <c:formatCode>General</c:formatCode>
                <c:ptCount val="134"/>
                <c:pt idx="0">
                  <c:v>8.4653346747999555E-2</c:v>
                </c:pt>
                <c:pt idx="1">
                  <c:v>0.19934197579322305</c:v>
                </c:pt>
                <c:pt idx="2">
                  <c:v>0.19258794743486513</c:v>
                </c:pt>
                <c:pt idx="3">
                  <c:v>0.20600905182442358</c:v>
                </c:pt>
                <c:pt idx="4">
                  <c:v>0.21773371960044829</c:v>
                </c:pt>
                <c:pt idx="5">
                  <c:v>0.2562642318503362</c:v>
                </c:pt>
                <c:pt idx="6">
                  <c:v>0.29256816869938823</c:v>
                </c:pt>
                <c:pt idx="7">
                  <c:v>0.26316004586039837</c:v>
                </c:pt>
                <c:pt idx="8">
                  <c:v>0.28193442599772955</c:v>
                </c:pt>
                <c:pt idx="9">
                  <c:v>0.24004348494775588</c:v>
                </c:pt>
                <c:pt idx="10">
                  <c:v>0.23964700793983282</c:v>
                </c:pt>
                <c:pt idx="11">
                  <c:v>0.30897399471818565</c:v>
                </c:pt>
                <c:pt idx="12">
                  <c:v>0.32760388336416463</c:v>
                </c:pt>
                <c:pt idx="13">
                  <c:v>0.32783385465209919</c:v>
                </c:pt>
                <c:pt idx="14">
                  <c:v>0.36310374010457758</c:v>
                </c:pt>
                <c:pt idx="15">
                  <c:v>0.36976662389981446</c:v>
                </c:pt>
                <c:pt idx="16">
                  <c:v>0.35329422915788244</c:v>
                </c:pt>
                <c:pt idx="17">
                  <c:v>0.34555442908886946</c:v>
                </c:pt>
                <c:pt idx="18">
                  <c:v>0.32937583020599059</c:v>
                </c:pt>
                <c:pt idx="19">
                  <c:v>0.33558030027533503</c:v>
                </c:pt>
                <c:pt idx="20">
                  <c:v>0.39961971526071605</c:v>
                </c:pt>
                <c:pt idx="21">
                  <c:v>0.42669360568526316</c:v>
                </c:pt>
                <c:pt idx="22">
                  <c:v>0.44213397409882393</c:v>
                </c:pt>
                <c:pt idx="23">
                  <c:v>0.44729988170862744</c:v>
                </c:pt>
                <c:pt idx="24">
                  <c:v>0.40789622030751566</c:v>
                </c:pt>
                <c:pt idx="25">
                  <c:v>0.40418480189218225</c:v>
                </c:pt>
                <c:pt idx="26">
                  <c:v>0.40935218165263881</c:v>
                </c:pt>
                <c:pt idx="27">
                  <c:v>0.41874442498431858</c:v>
                </c:pt>
                <c:pt idx="28">
                  <c:v>0.36042746191321973</c:v>
                </c:pt>
                <c:pt idx="29">
                  <c:v>0.40660897083305325</c:v>
                </c:pt>
                <c:pt idx="30">
                  <c:v>0.37662682590032887</c:v>
                </c:pt>
                <c:pt idx="31">
                  <c:v>0.39003263054996207</c:v>
                </c:pt>
                <c:pt idx="32">
                  <c:v>0.40953868173014801</c:v>
                </c:pt>
                <c:pt idx="33">
                  <c:v>0.42252242927620259</c:v>
                </c:pt>
                <c:pt idx="34">
                  <c:v>0.470646133428337</c:v>
                </c:pt>
                <c:pt idx="35">
                  <c:v>0.48850513645025906</c:v>
                </c:pt>
                <c:pt idx="36">
                  <c:v>0.51859125206285694</c:v>
                </c:pt>
                <c:pt idx="37">
                  <c:v>0.58782448637628548</c:v>
                </c:pt>
                <c:pt idx="38">
                  <c:v>0.59005327941595853</c:v>
                </c:pt>
                <c:pt idx="39">
                  <c:v>0.55633493463410932</c:v>
                </c:pt>
                <c:pt idx="40">
                  <c:v>0.54871299824552555</c:v>
                </c:pt>
                <c:pt idx="41">
                  <c:v>0.54120857015676549</c:v>
                </c:pt>
                <c:pt idx="42">
                  <c:v>0.56030828861146609</c:v>
                </c:pt>
                <c:pt idx="43">
                  <c:v>0.53801162811012715</c:v>
                </c:pt>
                <c:pt idx="44">
                  <c:v>0.55872028679100261</c:v>
                </c:pt>
                <c:pt idx="45">
                  <c:v>0.53693039156657607</c:v>
                </c:pt>
                <c:pt idx="46">
                  <c:v>0.53755186858459214</c:v>
                </c:pt>
                <c:pt idx="47">
                  <c:v>0.58115033583801501</c:v>
                </c:pt>
                <c:pt idx="48">
                  <c:v>0.57343618656367168</c:v>
                </c:pt>
                <c:pt idx="49">
                  <c:v>0.63999998974296357</c:v>
                </c:pt>
                <c:pt idx="50">
                  <c:v>0.71127614602389855</c:v>
                </c:pt>
                <c:pt idx="51">
                  <c:v>0.71706154093817376</c:v>
                </c:pt>
                <c:pt idx="52">
                  <c:v>0.72063681183077732</c:v>
                </c:pt>
                <c:pt idx="53">
                  <c:v>0.76987043345174822</c:v>
                </c:pt>
                <c:pt idx="54">
                  <c:v>0.72427188846668111</c:v>
                </c:pt>
                <c:pt idx="55">
                  <c:v>0.70067082851807805</c:v>
                </c:pt>
                <c:pt idx="56">
                  <c:v>0.71067488717202976</c:v>
                </c:pt>
                <c:pt idx="57">
                  <c:v>0.6964515271607078</c:v>
                </c:pt>
                <c:pt idx="58">
                  <c:v>0.71728928849662066</c:v>
                </c:pt>
                <c:pt idx="59">
                  <c:v>0.76071178760429303</c:v>
                </c:pt>
                <c:pt idx="60">
                  <c:v>0.74063613560101493</c:v>
                </c:pt>
                <c:pt idx="61">
                  <c:v>0.75169650431205426</c:v>
                </c:pt>
                <c:pt idx="62">
                  <c:v>0.72152459577506478</c:v>
                </c:pt>
                <c:pt idx="63">
                  <c:v>0.70202205756494507</c:v>
                </c:pt>
                <c:pt idx="64">
                  <c:v>0.7189358265642759</c:v>
                </c:pt>
                <c:pt idx="65">
                  <c:v>0.6925138692301086</c:v>
                </c:pt>
                <c:pt idx="66">
                  <c:v>0.70641061884885525</c:v>
                </c:pt>
                <c:pt idx="67">
                  <c:v>0.70414961039545643</c:v>
                </c:pt>
                <c:pt idx="68">
                  <c:v>0.72301290377985239</c:v>
                </c:pt>
                <c:pt idx="69">
                  <c:v>0.70172480654775371</c:v>
                </c:pt>
                <c:pt idx="70">
                  <c:v>0.65364143697157806</c:v>
                </c:pt>
                <c:pt idx="71">
                  <c:v>0.68569466314197258</c:v>
                </c:pt>
                <c:pt idx="72">
                  <c:v>0.74118222265160816</c:v>
                </c:pt>
                <c:pt idx="73">
                  <c:v>0.75716637429233813</c:v>
                </c:pt>
                <c:pt idx="74">
                  <c:v>0.71135038805950779</c:v>
                </c:pt>
                <c:pt idx="75">
                  <c:v>0.75670733375078081</c:v>
                </c:pt>
                <c:pt idx="76">
                  <c:v>0.77128789130418363</c:v>
                </c:pt>
                <c:pt idx="77">
                  <c:v>0.84376376737636294</c:v>
                </c:pt>
                <c:pt idx="78">
                  <c:v>0.90933038000405286</c:v>
                </c:pt>
                <c:pt idx="79">
                  <c:v>1.0202640135885053</c:v>
                </c:pt>
                <c:pt idx="80">
                  <c:v>1.1742710264782472</c:v>
                </c:pt>
                <c:pt idx="81">
                  <c:v>1.178348921762022</c:v>
                </c:pt>
                <c:pt idx="82">
                  <c:v>1.178657570259374</c:v>
                </c:pt>
                <c:pt idx="83">
                  <c:v>1.241954942637334</c:v>
                </c:pt>
                <c:pt idx="84">
                  <c:v>1.2176134445857201</c:v>
                </c:pt>
                <c:pt idx="85">
                  <c:v>1.2211819247576294</c:v>
                </c:pt>
                <c:pt idx="86">
                  <c:v>1.2556966795949271</c:v>
                </c:pt>
                <c:pt idx="87">
                  <c:v>1.2888306900264028</c:v>
                </c:pt>
                <c:pt idx="88">
                  <c:v>1.2171223020091906</c:v>
                </c:pt>
                <c:pt idx="89">
                  <c:v>1.1938147609772716</c:v>
                </c:pt>
                <c:pt idx="90">
                  <c:v>1.2651070038508634</c:v>
                </c:pt>
                <c:pt idx="91">
                  <c:v>1.2523108456584597</c:v>
                </c:pt>
                <c:pt idx="92">
                  <c:v>1.322287592382565</c:v>
                </c:pt>
                <c:pt idx="93">
                  <c:v>1.3704342176698667</c:v>
                </c:pt>
                <c:pt idx="94">
                  <c:v>1.3559245672313971</c:v>
                </c:pt>
                <c:pt idx="95">
                  <c:v>1.3880385778394464</c:v>
                </c:pt>
                <c:pt idx="96">
                  <c:v>1.4236622935016416</c:v>
                </c:pt>
                <c:pt idx="97">
                  <c:v>1.4317749198771788</c:v>
                </c:pt>
                <c:pt idx="98">
                  <c:v>1.4615326093055463</c:v>
                </c:pt>
                <c:pt idx="99">
                  <c:v>1.508080067770015</c:v>
                </c:pt>
                <c:pt idx="100">
                  <c:v>1.5541530454354699</c:v>
                </c:pt>
                <c:pt idx="101">
                  <c:v>1.6319453727749706</c:v>
                </c:pt>
                <c:pt idx="102">
                  <c:v>1.6375491568453311</c:v>
                </c:pt>
                <c:pt idx="103">
                  <c:v>1.6145672808912042</c:v>
                </c:pt>
                <c:pt idx="104">
                  <c:v>1.6260402541826942</c:v>
                </c:pt>
                <c:pt idx="105">
                  <c:v>1.586948256851187</c:v>
                </c:pt>
                <c:pt idx="106">
                  <c:v>1.5497127120239222</c:v>
                </c:pt>
                <c:pt idx="107">
                  <c:v>1.5428781862878818</c:v>
                </c:pt>
                <c:pt idx="108">
                  <c:v>1.5419304773485649</c:v>
                </c:pt>
                <c:pt idx="109">
                  <c:v>1.6031256321368819</c:v>
                </c:pt>
                <c:pt idx="110">
                  <c:v>1.6628746999166306</c:v>
                </c:pt>
                <c:pt idx="111">
                  <c:v>1.670937298171401</c:v>
                </c:pt>
                <c:pt idx="112">
                  <c:v>1.6390090988388055</c:v>
                </c:pt>
                <c:pt idx="113">
                  <c:v>1.6420982103487349</c:v>
                </c:pt>
                <c:pt idx="114">
                  <c:v>1.622860516768174</c:v>
                </c:pt>
                <c:pt idx="115">
                  <c:v>1.6447772483629364</c:v>
                </c:pt>
                <c:pt idx="116">
                  <c:v>1.6753341904644272</c:v>
                </c:pt>
                <c:pt idx="117">
                  <c:v>1.7212877384793452</c:v>
                </c:pt>
                <c:pt idx="118">
                  <c:v>1.6874256181262968</c:v>
                </c:pt>
                <c:pt idx="119">
                  <c:v>1.7044905975764149</c:v>
                </c:pt>
                <c:pt idx="120">
                  <c:v>1.668764442124717</c:v>
                </c:pt>
                <c:pt idx="121">
                  <c:v>1.6938820581555531</c:v>
                </c:pt>
                <c:pt idx="122">
                  <c:v>1.6366517750112446</c:v>
                </c:pt>
                <c:pt idx="123">
                  <c:v>1.6661918358122529</c:v>
                </c:pt>
                <c:pt idx="124">
                  <c:v>1.7111596700247784</c:v>
                </c:pt>
                <c:pt idx="125">
                  <c:v>1.6610075894824168</c:v>
                </c:pt>
                <c:pt idx="126">
                  <c:v>1.6763648596009117</c:v>
                </c:pt>
                <c:pt idx="127">
                  <c:v>1.6825920089494</c:v>
                </c:pt>
                <c:pt idx="128">
                  <c:v>1.746595950272597</c:v>
                </c:pt>
                <c:pt idx="129">
                  <c:v>1.7523819208329776</c:v>
                </c:pt>
                <c:pt idx="130">
                  <c:v>1.7790334304126429</c:v>
                </c:pt>
                <c:pt idx="131">
                  <c:v>1.7720759488849187</c:v>
                </c:pt>
                <c:pt idx="132">
                  <c:v>1.7455690567237709</c:v>
                </c:pt>
                <c:pt idx="133">
                  <c:v>1.7848024047625666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0-468C-A625-7C9ADFC95DBA}"/>
            </c:ext>
          </c:extLst>
        </c:ser>
        <c:ser>
          <c:idx val="1"/>
          <c:order val="1"/>
          <c:tx>
            <c:strRef>
              <c:f>畫圖!$B$13:$B$13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畫圖!$C$13:$EF$13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0.22785777904553428</c:v>
                </c:pt>
                <c:pt idx="2">
                  <c:v>0.19336115955418123</c:v>
                </c:pt>
                <c:pt idx="3">
                  <c:v>0.18190591967880443</c:v>
                </c:pt>
                <c:pt idx="4">
                  <c:v>0.19765034573325496</c:v>
                </c:pt>
                <c:pt idx="5">
                  <c:v>0.22763997745897624</c:v>
                </c:pt>
                <c:pt idx="6">
                  <c:v>0.26032284044369858</c:v>
                </c:pt>
                <c:pt idx="7">
                  <c:v>0.21642361336628646</c:v>
                </c:pt>
                <c:pt idx="8">
                  <c:v>0.21505630653983898</c:v>
                </c:pt>
                <c:pt idx="9">
                  <c:v>0.20903114524618535</c:v>
                </c:pt>
                <c:pt idx="10">
                  <c:v>0.23471824739242067</c:v>
                </c:pt>
                <c:pt idx="11">
                  <c:v>0.33452516434909124</c:v>
                </c:pt>
                <c:pt idx="12">
                  <c:v>0.37079844006901375</c:v>
                </c:pt>
                <c:pt idx="13">
                  <c:v>0.38759006780710437</c:v>
                </c:pt>
                <c:pt idx="14">
                  <c:v>0.46081443629466179</c:v>
                </c:pt>
                <c:pt idx="15">
                  <c:v>0.47497438078069831</c:v>
                </c:pt>
                <c:pt idx="16">
                  <c:v>0.4627307095717853</c:v>
                </c:pt>
                <c:pt idx="17">
                  <c:v>0.44062668915261305</c:v>
                </c:pt>
                <c:pt idx="18">
                  <c:v>0.44222370538579886</c:v>
                </c:pt>
                <c:pt idx="19">
                  <c:v>0.42212937737192435</c:v>
                </c:pt>
                <c:pt idx="20">
                  <c:v>0.49760593923207458</c:v>
                </c:pt>
                <c:pt idx="21">
                  <c:v>0.55088283395801818</c:v>
                </c:pt>
                <c:pt idx="22">
                  <c:v>0.56480382651566685</c:v>
                </c:pt>
                <c:pt idx="23">
                  <c:v>0.58538758768479515</c:v>
                </c:pt>
                <c:pt idx="24">
                  <c:v>0.55326807734632388</c:v>
                </c:pt>
                <c:pt idx="25">
                  <c:v>0.53723197866110295</c:v>
                </c:pt>
                <c:pt idx="26">
                  <c:v>0.54526341845705339</c:v>
                </c:pt>
                <c:pt idx="27">
                  <c:v>0.56680710824232883</c:v>
                </c:pt>
                <c:pt idx="28">
                  <c:v>0.50108772621471831</c:v>
                </c:pt>
                <c:pt idx="29">
                  <c:v>0.55302328403785528</c:v>
                </c:pt>
                <c:pt idx="30">
                  <c:v>0.52134150098285237</c:v>
                </c:pt>
                <c:pt idx="31">
                  <c:v>0.53098284022236875</c:v>
                </c:pt>
                <c:pt idx="32">
                  <c:v>0.54305039029644153</c:v>
                </c:pt>
                <c:pt idx="33">
                  <c:v>0.52676992030816583</c:v>
                </c:pt>
                <c:pt idx="34">
                  <c:v>0.5927578331188218</c:v>
                </c:pt>
                <c:pt idx="35">
                  <c:v>0.61590926171399285</c:v>
                </c:pt>
                <c:pt idx="36">
                  <c:v>0.66219170525082183</c:v>
                </c:pt>
                <c:pt idx="37">
                  <c:v>0.76752194338685586</c:v>
                </c:pt>
                <c:pt idx="38">
                  <c:v>0.77683313128627085</c:v>
                </c:pt>
                <c:pt idx="39">
                  <c:v>0.71728229092427309</c:v>
                </c:pt>
                <c:pt idx="40">
                  <c:v>0.71123300215537344</c:v>
                </c:pt>
                <c:pt idx="41">
                  <c:v>0.72048373463864968</c:v>
                </c:pt>
                <c:pt idx="42">
                  <c:v>0.76179685312288381</c:v>
                </c:pt>
                <c:pt idx="43">
                  <c:v>0.7634868160637025</c:v>
                </c:pt>
                <c:pt idx="44">
                  <c:v>0.80446294253968131</c:v>
                </c:pt>
                <c:pt idx="45">
                  <c:v>0.79350403230938082</c:v>
                </c:pt>
                <c:pt idx="46">
                  <c:v>0.79758404589244425</c:v>
                </c:pt>
                <c:pt idx="47">
                  <c:v>0.86473783367555457</c:v>
                </c:pt>
                <c:pt idx="48">
                  <c:v>0.84106522495218716</c:v>
                </c:pt>
                <c:pt idx="49">
                  <c:v>0.89651500090775227</c:v>
                </c:pt>
                <c:pt idx="50">
                  <c:v>0.97634412125154058</c:v>
                </c:pt>
                <c:pt idx="51">
                  <c:v>1.0023904667844366</c:v>
                </c:pt>
                <c:pt idx="52">
                  <c:v>1.0038741053181914</c:v>
                </c:pt>
                <c:pt idx="53">
                  <c:v>1.0455504190648612</c:v>
                </c:pt>
                <c:pt idx="54">
                  <c:v>0.99950216247738277</c:v>
                </c:pt>
                <c:pt idx="55">
                  <c:v>0.9731992656871653</c:v>
                </c:pt>
                <c:pt idx="56">
                  <c:v>0.98153033130301304</c:v>
                </c:pt>
                <c:pt idx="57">
                  <c:v>0.973054601491394</c:v>
                </c:pt>
                <c:pt idx="58">
                  <c:v>0.99888697137154303</c:v>
                </c:pt>
                <c:pt idx="59">
                  <c:v>1.0503388903314652</c:v>
                </c:pt>
                <c:pt idx="60">
                  <c:v>1.0252131169682732</c:v>
                </c:pt>
                <c:pt idx="61">
                  <c:v>1.0388322953278886</c:v>
                </c:pt>
                <c:pt idx="62">
                  <c:v>1.0116284279432779</c:v>
                </c:pt>
                <c:pt idx="63">
                  <c:v>1.0164860310016912</c:v>
                </c:pt>
                <c:pt idx="64">
                  <c:v>1.0198927455099596</c:v>
                </c:pt>
                <c:pt idx="65">
                  <c:v>1.011941599092185</c:v>
                </c:pt>
                <c:pt idx="66">
                  <c:v>1.0535946628816106</c:v>
                </c:pt>
                <c:pt idx="67">
                  <c:v>1.0469132453980532</c:v>
                </c:pt>
                <c:pt idx="68">
                  <c:v>1.0543327172382728</c:v>
                </c:pt>
                <c:pt idx="69">
                  <c:v>1.0206649474803535</c:v>
                </c:pt>
                <c:pt idx="70">
                  <c:v>0.94600677947057965</c:v>
                </c:pt>
                <c:pt idx="71">
                  <c:v>0.97744751790619233</c:v>
                </c:pt>
                <c:pt idx="72">
                  <c:v>1.0636776725574846</c:v>
                </c:pt>
                <c:pt idx="73">
                  <c:v>1.0651551073337266</c:v>
                </c:pt>
                <c:pt idx="74">
                  <c:v>1.0343273476693535</c:v>
                </c:pt>
                <c:pt idx="75">
                  <c:v>1.1104654707284038</c:v>
                </c:pt>
                <c:pt idx="76">
                  <c:v>1.1344781445205285</c:v>
                </c:pt>
                <c:pt idx="77">
                  <c:v>1.2549051162525637</c:v>
                </c:pt>
                <c:pt idx="78">
                  <c:v>1.375023289990797</c:v>
                </c:pt>
                <c:pt idx="79">
                  <c:v>1.4801091228831245</c:v>
                </c:pt>
                <c:pt idx="80">
                  <c:v>1.6639369593387332</c:v>
                </c:pt>
                <c:pt idx="81">
                  <c:v>1.6821659001753606</c:v>
                </c:pt>
                <c:pt idx="82">
                  <c:v>1.6897261688517349</c:v>
                </c:pt>
                <c:pt idx="83">
                  <c:v>1.7480607806789421</c:v>
                </c:pt>
                <c:pt idx="84">
                  <c:v>1.7401652462430339</c:v>
                </c:pt>
                <c:pt idx="85">
                  <c:v>1.76104657335896</c:v>
                </c:pt>
                <c:pt idx="86">
                  <c:v>1.7929061703940219</c:v>
                </c:pt>
                <c:pt idx="87">
                  <c:v>1.8369065616414104</c:v>
                </c:pt>
                <c:pt idx="88">
                  <c:v>1.7354543429273919</c:v>
                </c:pt>
                <c:pt idx="89">
                  <c:v>1.7053233180821012</c:v>
                </c:pt>
                <c:pt idx="90">
                  <c:v>1.7908895573901777</c:v>
                </c:pt>
                <c:pt idx="91">
                  <c:v>1.7565120182141674</c:v>
                </c:pt>
                <c:pt idx="92">
                  <c:v>1.8236249233083124</c:v>
                </c:pt>
                <c:pt idx="93">
                  <c:v>1.8880055720457247</c:v>
                </c:pt>
                <c:pt idx="94">
                  <c:v>1.8919532227086853</c:v>
                </c:pt>
                <c:pt idx="95">
                  <c:v>1.9354154906777374</c:v>
                </c:pt>
                <c:pt idx="96">
                  <c:v>1.9725768929600487</c:v>
                </c:pt>
                <c:pt idx="97">
                  <c:v>1.9696235807867908</c:v>
                </c:pt>
                <c:pt idx="98">
                  <c:v>1.9800805437181095</c:v>
                </c:pt>
                <c:pt idx="99">
                  <c:v>1.9850678392692227</c:v>
                </c:pt>
                <c:pt idx="100">
                  <c:v>2.0473647862745854</c:v>
                </c:pt>
                <c:pt idx="101">
                  <c:v>2.1045890066280704</c:v>
                </c:pt>
                <c:pt idx="102">
                  <c:v>2.0990053297022491</c:v>
                </c:pt>
                <c:pt idx="103">
                  <c:v>2.0572437599854645</c:v>
                </c:pt>
                <c:pt idx="104">
                  <c:v>2.0807847586539028</c:v>
                </c:pt>
                <c:pt idx="105">
                  <c:v>2.0293781050510842</c:v>
                </c:pt>
                <c:pt idx="106">
                  <c:v>1.9868139261198334</c:v>
                </c:pt>
                <c:pt idx="107">
                  <c:v>1.9582951293261988</c:v>
                </c:pt>
                <c:pt idx="108">
                  <c:v>1.9566644721533089</c:v>
                </c:pt>
                <c:pt idx="109">
                  <c:v>2.0453850730996157</c:v>
                </c:pt>
                <c:pt idx="110">
                  <c:v>2.1351336366471099</c:v>
                </c:pt>
                <c:pt idx="111">
                  <c:v>2.1318018804675991</c:v>
                </c:pt>
                <c:pt idx="112">
                  <c:v>2.11241524660374</c:v>
                </c:pt>
                <c:pt idx="113">
                  <c:v>2.1395371860352808</c:v>
                </c:pt>
                <c:pt idx="114">
                  <c:v>2.1400688086457538</c:v>
                </c:pt>
                <c:pt idx="115">
                  <c:v>2.1570040435463582</c:v>
                </c:pt>
                <c:pt idx="116">
                  <c:v>2.1948675086311509</c:v>
                </c:pt>
                <c:pt idx="117">
                  <c:v>2.2398646592931999</c:v>
                </c:pt>
                <c:pt idx="118">
                  <c:v>2.205898197041237</c:v>
                </c:pt>
                <c:pt idx="119">
                  <c:v>2.2210667471871979</c:v>
                </c:pt>
                <c:pt idx="120">
                  <c:v>2.182179119347528</c:v>
                </c:pt>
                <c:pt idx="121">
                  <c:v>2.2330103792380331</c:v>
                </c:pt>
                <c:pt idx="122">
                  <c:v>2.2000042197954146</c:v>
                </c:pt>
                <c:pt idx="123">
                  <c:v>2.2432589985810036</c:v>
                </c:pt>
                <c:pt idx="124">
                  <c:v>2.2852876842932042</c:v>
                </c:pt>
                <c:pt idx="125">
                  <c:v>2.2207643047147081</c:v>
                </c:pt>
                <c:pt idx="126">
                  <c:v>2.2561503493685415</c:v>
                </c:pt>
                <c:pt idx="127">
                  <c:v>2.274452473514843</c:v>
                </c:pt>
                <c:pt idx="128">
                  <c:v>2.3476953425575253</c:v>
                </c:pt>
                <c:pt idx="129">
                  <c:v>2.3478965487764505</c:v>
                </c:pt>
                <c:pt idx="130">
                  <c:v>2.3895563022116795</c:v>
                </c:pt>
                <c:pt idx="131">
                  <c:v>2.3966410222248729</c:v>
                </c:pt>
                <c:pt idx="132">
                  <c:v>2.3554066382289611</c:v>
                </c:pt>
                <c:pt idx="133">
                  <c:v>2.4219838535925176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0-468C-A625-7C9ADFC95DBA}"/>
            </c:ext>
          </c:extLst>
        </c:ser>
        <c:ser>
          <c:idx val="2"/>
          <c:order val="2"/>
          <c:tx>
            <c:strRef>
              <c:f>畫圖!$B$14:$B$14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畫圖!$C$14:$EF$14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0.34224993829333211</c:v>
                </c:pt>
                <c:pt idx="2">
                  <c:v>0.2947239950260761</c:v>
                </c:pt>
                <c:pt idx="3">
                  <c:v>0.32926645919177572</c:v>
                </c:pt>
                <c:pt idx="4">
                  <c:v>0.41441522097550976</c:v>
                </c:pt>
                <c:pt idx="5">
                  <c:v>0.47400302741094985</c:v>
                </c:pt>
                <c:pt idx="6">
                  <c:v>0.5177903872340921</c:v>
                </c:pt>
                <c:pt idx="7">
                  <c:v>0.41269600045138388</c:v>
                </c:pt>
                <c:pt idx="8">
                  <c:v>0.42514716196717628</c:v>
                </c:pt>
                <c:pt idx="9">
                  <c:v>0.41666671440162778</c:v>
                </c:pt>
                <c:pt idx="10">
                  <c:v>0.34071517141758301</c:v>
                </c:pt>
                <c:pt idx="11">
                  <c:v>0.54554774655880889</c:v>
                </c:pt>
                <c:pt idx="12">
                  <c:v>0.58302353357181536</c:v>
                </c:pt>
                <c:pt idx="13">
                  <c:v>0.63080329785462264</c:v>
                </c:pt>
                <c:pt idx="14">
                  <c:v>0.68904124400925748</c:v>
                </c:pt>
                <c:pt idx="15">
                  <c:v>0.67488944770373283</c:v>
                </c:pt>
                <c:pt idx="16">
                  <c:v>0.71342354722975054</c:v>
                </c:pt>
                <c:pt idx="17">
                  <c:v>0.69606281599519082</c:v>
                </c:pt>
                <c:pt idx="18">
                  <c:v>0.7326419455148927</c:v>
                </c:pt>
                <c:pt idx="19">
                  <c:v>0.69426639925038813</c:v>
                </c:pt>
                <c:pt idx="20">
                  <c:v>0.81043218978228482</c:v>
                </c:pt>
                <c:pt idx="21">
                  <c:v>0.86401389829646802</c:v>
                </c:pt>
                <c:pt idx="22">
                  <c:v>0.84725123493977861</c:v>
                </c:pt>
                <c:pt idx="23">
                  <c:v>0.86850343604322955</c:v>
                </c:pt>
                <c:pt idx="24">
                  <c:v>0.82905325574114741</c:v>
                </c:pt>
                <c:pt idx="25">
                  <c:v>0.7540703429690272</c:v>
                </c:pt>
                <c:pt idx="26">
                  <c:v>0.7247782592034635</c:v>
                </c:pt>
                <c:pt idx="27">
                  <c:v>0.76410615139349336</c:v>
                </c:pt>
                <c:pt idx="28">
                  <c:v>0.76008724457061283</c:v>
                </c:pt>
                <c:pt idx="29">
                  <c:v>0.84440425374728689</c:v>
                </c:pt>
                <c:pt idx="30">
                  <c:v>0.82388335910072441</c:v>
                </c:pt>
                <c:pt idx="31">
                  <c:v>0.82913363703123044</c:v>
                </c:pt>
                <c:pt idx="32">
                  <c:v>0.90120658795835129</c:v>
                </c:pt>
                <c:pt idx="33">
                  <c:v>0.91626562404150225</c:v>
                </c:pt>
                <c:pt idx="34">
                  <c:v>0.99317705489980423</c:v>
                </c:pt>
                <c:pt idx="35">
                  <c:v>1.031146244622265</c:v>
                </c:pt>
                <c:pt idx="36">
                  <c:v>1.0923884110008903</c:v>
                </c:pt>
                <c:pt idx="37">
                  <c:v>1.190983077770434</c:v>
                </c:pt>
                <c:pt idx="38">
                  <c:v>1.2518887832358438</c:v>
                </c:pt>
                <c:pt idx="39">
                  <c:v>1.1819122580837595</c:v>
                </c:pt>
                <c:pt idx="40">
                  <c:v>1.1815442903459996</c:v>
                </c:pt>
                <c:pt idx="41">
                  <c:v>1.1997151133648849</c:v>
                </c:pt>
                <c:pt idx="42">
                  <c:v>1.2850920993179318</c:v>
                </c:pt>
                <c:pt idx="43">
                  <c:v>1.2666846731486894</c:v>
                </c:pt>
                <c:pt idx="44">
                  <c:v>1.3066763221519933</c:v>
                </c:pt>
                <c:pt idx="45">
                  <c:v>1.3151027754569666</c:v>
                </c:pt>
                <c:pt idx="46">
                  <c:v>1.2967398439510092</c:v>
                </c:pt>
                <c:pt idx="47">
                  <c:v>1.4336908722454018</c:v>
                </c:pt>
                <c:pt idx="48">
                  <c:v>1.3748514959482019</c:v>
                </c:pt>
                <c:pt idx="49">
                  <c:v>1.4004804234576664</c:v>
                </c:pt>
                <c:pt idx="50">
                  <c:v>1.4968177488136405</c:v>
                </c:pt>
                <c:pt idx="51">
                  <c:v>1.5987160890720984</c:v>
                </c:pt>
                <c:pt idx="52">
                  <c:v>1.6107904107952498</c:v>
                </c:pt>
                <c:pt idx="53">
                  <c:v>1.6272079206061953</c:v>
                </c:pt>
                <c:pt idx="54">
                  <c:v>1.6030909021095932</c:v>
                </c:pt>
                <c:pt idx="55">
                  <c:v>1.5978480142077101</c:v>
                </c:pt>
                <c:pt idx="56">
                  <c:v>1.6083446221088535</c:v>
                </c:pt>
                <c:pt idx="57">
                  <c:v>1.6030018665402528</c:v>
                </c:pt>
                <c:pt idx="58">
                  <c:v>1.6352719974408203</c:v>
                </c:pt>
                <c:pt idx="59">
                  <c:v>1.6592889311264565</c:v>
                </c:pt>
                <c:pt idx="60">
                  <c:v>1.6925263131047874</c:v>
                </c:pt>
                <c:pt idx="61">
                  <c:v>1.7030981476146494</c:v>
                </c:pt>
                <c:pt idx="62">
                  <c:v>1.6817231009525908</c:v>
                </c:pt>
                <c:pt idx="63">
                  <c:v>1.7282997451490065</c:v>
                </c:pt>
                <c:pt idx="64">
                  <c:v>1.7432033241222553</c:v>
                </c:pt>
                <c:pt idx="65">
                  <c:v>1.7935356074500006</c:v>
                </c:pt>
                <c:pt idx="66">
                  <c:v>1.8093791313199514</c:v>
                </c:pt>
                <c:pt idx="67">
                  <c:v>1.7814497017873334</c:v>
                </c:pt>
                <c:pt idx="68">
                  <c:v>1.7399557466427555</c:v>
                </c:pt>
                <c:pt idx="69">
                  <c:v>1.7552436745461284</c:v>
                </c:pt>
                <c:pt idx="70">
                  <c:v>1.6440842202323838</c:v>
                </c:pt>
                <c:pt idx="71">
                  <c:v>1.6853667090902822</c:v>
                </c:pt>
                <c:pt idx="72">
                  <c:v>1.8037747510695872</c:v>
                </c:pt>
                <c:pt idx="73">
                  <c:v>1.8034676168449209</c:v>
                </c:pt>
                <c:pt idx="74">
                  <c:v>1.7230678482611597</c:v>
                </c:pt>
                <c:pt idx="75">
                  <c:v>1.7831019050899419</c:v>
                </c:pt>
                <c:pt idx="76">
                  <c:v>1.8165570633280976</c:v>
                </c:pt>
                <c:pt idx="77">
                  <c:v>1.9810225646500044</c:v>
                </c:pt>
                <c:pt idx="78">
                  <c:v>2.101618723239187</c:v>
                </c:pt>
                <c:pt idx="79">
                  <c:v>2.1996354331713848</c:v>
                </c:pt>
                <c:pt idx="80">
                  <c:v>2.3701907356599352</c:v>
                </c:pt>
                <c:pt idx="81">
                  <c:v>2.3498805187374154</c:v>
                </c:pt>
                <c:pt idx="82">
                  <c:v>2.4888071952553554</c:v>
                </c:pt>
                <c:pt idx="83">
                  <c:v>2.5534685875335725</c:v>
                </c:pt>
                <c:pt idx="84">
                  <c:v>2.5496392313988876</c:v>
                </c:pt>
                <c:pt idx="85">
                  <c:v>2.5697060561949954</c:v>
                </c:pt>
                <c:pt idx="86">
                  <c:v>2.5692421966253147</c:v>
                </c:pt>
                <c:pt idx="87">
                  <c:v>2.6992750637109659</c:v>
                </c:pt>
                <c:pt idx="88">
                  <c:v>2.5892060907382564</c:v>
                </c:pt>
                <c:pt idx="89">
                  <c:v>2.5698045433447652</c:v>
                </c:pt>
                <c:pt idx="90">
                  <c:v>2.7430536972987194</c:v>
                </c:pt>
                <c:pt idx="91">
                  <c:v>2.6375739732413779</c:v>
                </c:pt>
                <c:pt idx="92">
                  <c:v>2.7171107145368194</c:v>
                </c:pt>
                <c:pt idx="93">
                  <c:v>2.7797513699132672</c:v>
                </c:pt>
                <c:pt idx="94">
                  <c:v>2.7759352565697473</c:v>
                </c:pt>
                <c:pt idx="95">
                  <c:v>2.8378076089613486</c:v>
                </c:pt>
                <c:pt idx="96">
                  <c:v>2.7938905062641339</c:v>
                </c:pt>
                <c:pt idx="97">
                  <c:v>2.8166362214023892</c:v>
                </c:pt>
                <c:pt idx="98">
                  <c:v>2.8248702232827654</c:v>
                </c:pt>
                <c:pt idx="99">
                  <c:v>2.849114479770261</c:v>
                </c:pt>
                <c:pt idx="100">
                  <c:v>2.8992522232442099</c:v>
                </c:pt>
                <c:pt idx="101">
                  <c:v>2.9633157865945932</c:v>
                </c:pt>
                <c:pt idx="102">
                  <c:v>2.9390114974240085</c:v>
                </c:pt>
                <c:pt idx="103">
                  <c:v>2.9154504242358175</c:v>
                </c:pt>
                <c:pt idx="104">
                  <c:v>2.9302041857328449</c:v>
                </c:pt>
                <c:pt idx="105">
                  <c:v>2.8763042189840511</c:v>
                </c:pt>
                <c:pt idx="106">
                  <c:v>2.845246551906675</c:v>
                </c:pt>
                <c:pt idx="107">
                  <c:v>2.8093899213496125</c:v>
                </c:pt>
                <c:pt idx="108">
                  <c:v>2.8208364777429296</c:v>
                </c:pt>
                <c:pt idx="109">
                  <c:v>2.8795776719093031</c:v>
                </c:pt>
                <c:pt idx="110">
                  <c:v>2.9662241202077886</c:v>
                </c:pt>
                <c:pt idx="111">
                  <c:v>2.9672478444750858</c:v>
                </c:pt>
                <c:pt idx="112">
                  <c:v>2.8856262949712272</c:v>
                </c:pt>
                <c:pt idx="113">
                  <c:v>2.8763521126139859</c:v>
                </c:pt>
                <c:pt idx="114">
                  <c:v>2.8752309628762256</c:v>
                </c:pt>
                <c:pt idx="115">
                  <c:v>2.9055297961265421</c:v>
                </c:pt>
                <c:pt idx="116">
                  <c:v>3.0081219854897761</c:v>
                </c:pt>
                <c:pt idx="117">
                  <c:v>3.0117398437615028</c:v>
                </c:pt>
                <c:pt idx="118">
                  <c:v>2.9557205577753125</c:v>
                </c:pt>
                <c:pt idx="119">
                  <c:v>2.963514979584398</c:v>
                </c:pt>
                <c:pt idx="120">
                  <c:v>2.9284700733134814</c:v>
                </c:pt>
                <c:pt idx="121">
                  <c:v>3.0461425866452378</c:v>
                </c:pt>
                <c:pt idx="122">
                  <c:v>2.9773473134530737</c:v>
                </c:pt>
                <c:pt idx="123">
                  <c:v>2.9967802573417148</c:v>
                </c:pt>
                <c:pt idx="124">
                  <c:v>2.9985895668502307</c:v>
                </c:pt>
                <c:pt idx="125">
                  <c:v>2.8966580612978094</c:v>
                </c:pt>
                <c:pt idx="126">
                  <c:v>2.934655141244658</c:v>
                </c:pt>
                <c:pt idx="127">
                  <c:v>2.9696861411084381</c:v>
                </c:pt>
                <c:pt idx="128">
                  <c:v>3.0477914069963745</c:v>
                </c:pt>
                <c:pt idx="129">
                  <c:v>3.02268188637811</c:v>
                </c:pt>
                <c:pt idx="130">
                  <c:v>3.0287612685262428</c:v>
                </c:pt>
                <c:pt idx="131">
                  <c:v>2.9951639807243091</c:v>
                </c:pt>
                <c:pt idx="132">
                  <c:v>2.9985632342423818</c:v>
                </c:pt>
                <c:pt idx="133">
                  <c:v>3.0685196547409399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10-468C-A625-7C9ADFC95DBA}"/>
            </c:ext>
          </c:extLst>
        </c:ser>
        <c:ser>
          <c:idx val="3"/>
          <c:order val="3"/>
          <c:tx>
            <c:strRef>
              <c:f>畫圖!$B$15:$B$15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畫圖!$C$15:$EF$15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0.60035387438778398</c:v>
                </c:pt>
                <c:pt idx="2">
                  <c:v>0.59015544811570042</c:v>
                </c:pt>
                <c:pt idx="3">
                  <c:v>0.68045916112545712</c:v>
                </c:pt>
                <c:pt idx="4">
                  <c:v>0.77706475167571876</c:v>
                </c:pt>
                <c:pt idx="5">
                  <c:v>0.89590845538307806</c:v>
                </c:pt>
                <c:pt idx="6">
                  <c:v>0.95433989966294364</c:v>
                </c:pt>
                <c:pt idx="7">
                  <c:v>0.88981520955318816</c:v>
                </c:pt>
                <c:pt idx="8">
                  <c:v>0.88560484316784738</c:v>
                </c:pt>
                <c:pt idx="9">
                  <c:v>0.89857192812888775</c:v>
                </c:pt>
                <c:pt idx="10">
                  <c:v>0.71007987841813125</c:v>
                </c:pt>
                <c:pt idx="11">
                  <c:v>1.0403892152829384</c:v>
                </c:pt>
                <c:pt idx="12">
                  <c:v>1.114146559529253</c:v>
                </c:pt>
                <c:pt idx="13">
                  <c:v>1.1671298427216086</c:v>
                </c:pt>
                <c:pt idx="14">
                  <c:v>1.2675051923054994</c:v>
                </c:pt>
                <c:pt idx="15">
                  <c:v>1.2842606285961176</c:v>
                </c:pt>
                <c:pt idx="16">
                  <c:v>1.2412266948227861</c:v>
                </c:pt>
                <c:pt idx="17">
                  <c:v>1.1918880221622712</c:v>
                </c:pt>
                <c:pt idx="18">
                  <c:v>1.238678265320903</c:v>
                </c:pt>
                <c:pt idx="19">
                  <c:v>1.1529973834420295</c:v>
                </c:pt>
                <c:pt idx="20">
                  <c:v>1.2599319385999628</c:v>
                </c:pt>
                <c:pt idx="21">
                  <c:v>1.3383683510455502</c:v>
                </c:pt>
                <c:pt idx="22">
                  <c:v>1.3141797324983953</c:v>
                </c:pt>
                <c:pt idx="23">
                  <c:v>1.2905233138127246</c:v>
                </c:pt>
                <c:pt idx="24">
                  <c:v>1.236442166784691</c:v>
                </c:pt>
                <c:pt idx="25">
                  <c:v>1.1624462150005073</c:v>
                </c:pt>
                <c:pt idx="26">
                  <c:v>1.1223910854303911</c:v>
                </c:pt>
                <c:pt idx="27">
                  <c:v>1.1620815665580995</c:v>
                </c:pt>
                <c:pt idx="28">
                  <c:v>1.2093680428038029</c:v>
                </c:pt>
                <c:pt idx="29">
                  <c:v>1.2591400676789173</c:v>
                </c:pt>
                <c:pt idx="30">
                  <c:v>1.2490165894172618</c:v>
                </c:pt>
                <c:pt idx="31">
                  <c:v>1.2154122160595853</c:v>
                </c:pt>
                <c:pt idx="32">
                  <c:v>1.3008423268751923</c:v>
                </c:pt>
                <c:pt idx="33">
                  <c:v>1.3103071868426681</c:v>
                </c:pt>
                <c:pt idx="34">
                  <c:v>1.372066806501113</c:v>
                </c:pt>
                <c:pt idx="35">
                  <c:v>1.4164984689969276</c:v>
                </c:pt>
                <c:pt idx="36">
                  <c:v>1.4716210911315546</c:v>
                </c:pt>
                <c:pt idx="37">
                  <c:v>1.573309797043938</c:v>
                </c:pt>
                <c:pt idx="38">
                  <c:v>1.6366796095074052</c:v>
                </c:pt>
                <c:pt idx="39">
                  <c:v>1.5583939156146509</c:v>
                </c:pt>
                <c:pt idx="40">
                  <c:v>1.5210267888185292</c:v>
                </c:pt>
                <c:pt idx="41">
                  <c:v>1.5455776085168078</c:v>
                </c:pt>
                <c:pt idx="42">
                  <c:v>1.5993987875539217</c:v>
                </c:pt>
                <c:pt idx="43">
                  <c:v>1.6062553058057696</c:v>
                </c:pt>
                <c:pt idx="44">
                  <c:v>1.6461985668952359</c:v>
                </c:pt>
                <c:pt idx="45">
                  <c:v>1.6794238691136145</c:v>
                </c:pt>
                <c:pt idx="46">
                  <c:v>1.6950838083681954</c:v>
                </c:pt>
                <c:pt idx="47">
                  <c:v>1.8203177855429307</c:v>
                </c:pt>
                <c:pt idx="48">
                  <c:v>1.7771742876921377</c:v>
                </c:pt>
                <c:pt idx="49">
                  <c:v>1.8140216394447404</c:v>
                </c:pt>
                <c:pt idx="50">
                  <c:v>1.971709587853079</c:v>
                </c:pt>
                <c:pt idx="51">
                  <c:v>2.0804986876692015</c:v>
                </c:pt>
                <c:pt idx="52">
                  <c:v>2.0420074684335643</c:v>
                </c:pt>
                <c:pt idx="53">
                  <c:v>2.0493703843962701</c:v>
                </c:pt>
                <c:pt idx="54">
                  <c:v>2.003153270413248</c:v>
                </c:pt>
                <c:pt idx="55">
                  <c:v>1.9461752461923363</c:v>
                </c:pt>
                <c:pt idx="56">
                  <c:v>1.959951396594757</c:v>
                </c:pt>
                <c:pt idx="57">
                  <c:v>1.9255095511130675</c:v>
                </c:pt>
                <c:pt idx="58">
                  <c:v>1.9518605745459603</c:v>
                </c:pt>
                <c:pt idx="59">
                  <c:v>2.0270144726596357</c:v>
                </c:pt>
                <c:pt idx="60">
                  <c:v>2.0998838915422247</c:v>
                </c:pt>
                <c:pt idx="61">
                  <c:v>2.0999617929459711</c:v>
                </c:pt>
                <c:pt idx="62">
                  <c:v>2.0373633983734263</c:v>
                </c:pt>
                <c:pt idx="63">
                  <c:v>2.1034174335990081</c:v>
                </c:pt>
                <c:pt idx="64">
                  <c:v>2.1200068771251668</c:v>
                </c:pt>
                <c:pt idx="65">
                  <c:v>2.1716237315972315</c:v>
                </c:pt>
                <c:pt idx="66">
                  <c:v>2.1844266628875593</c:v>
                </c:pt>
                <c:pt idx="67">
                  <c:v>2.1342692337654996</c:v>
                </c:pt>
                <c:pt idx="68">
                  <c:v>2.1174454563152132</c:v>
                </c:pt>
                <c:pt idx="69">
                  <c:v>2.0808117901196534</c:v>
                </c:pt>
                <c:pt idx="70">
                  <c:v>1.9952660563982132</c:v>
                </c:pt>
                <c:pt idx="71">
                  <c:v>2.0814461931141333</c:v>
                </c:pt>
                <c:pt idx="72">
                  <c:v>2.2855920324666181</c:v>
                </c:pt>
                <c:pt idx="73">
                  <c:v>2.3095414639039595</c:v>
                </c:pt>
                <c:pt idx="74">
                  <c:v>2.2162030714401229</c:v>
                </c:pt>
                <c:pt idx="75">
                  <c:v>2.31910954041747</c:v>
                </c:pt>
                <c:pt idx="76">
                  <c:v>2.3490735496425472</c:v>
                </c:pt>
                <c:pt idx="77">
                  <c:v>2.4801649524266085</c:v>
                </c:pt>
                <c:pt idx="78">
                  <c:v>2.6538166581487284</c:v>
                </c:pt>
                <c:pt idx="79">
                  <c:v>2.7739687421118129</c:v>
                </c:pt>
                <c:pt idx="80">
                  <c:v>2.8473368621602635</c:v>
                </c:pt>
                <c:pt idx="81">
                  <c:v>2.8437100452299409</c:v>
                </c:pt>
                <c:pt idx="82">
                  <c:v>3.0694412724950682</c:v>
                </c:pt>
                <c:pt idx="83">
                  <c:v>3.1323272307787695</c:v>
                </c:pt>
                <c:pt idx="84">
                  <c:v>3.0629903860435324</c:v>
                </c:pt>
                <c:pt idx="85">
                  <c:v>3.0703730164409389</c:v>
                </c:pt>
                <c:pt idx="86">
                  <c:v>3.1046532279240053</c:v>
                </c:pt>
                <c:pt idx="87">
                  <c:v>3.3174041154306608</c:v>
                </c:pt>
                <c:pt idx="88">
                  <c:v>3.2092843597177381</c:v>
                </c:pt>
                <c:pt idx="89">
                  <c:v>3.2095014946278395</c:v>
                </c:pt>
                <c:pt idx="90">
                  <c:v>3.3828614838668889</c:v>
                </c:pt>
                <c:pt idx="91">
                  <c:v>3.3484682690719798</c:v>
                </c:pt>
                <c:pt idx="92">
                  <c:v>3.4880718883309689</c:v>
                </c:pt>
                <c:pt idx="93">
                  <c:v>3.5124462070287241</c:v>
                </c:pt>
                <c:pt idx="94">
                  <c:v>3.5293571937329795</c:v>
                </c:pt>
                <c:pt idx="95">
                  <c:v>3.5615737501780314</c:v>
                </c:pt>
                <c:pt idx="96">
                  <c:v>3.4983950902632586</c:v>
                </c:pt>
                <c:pt idx="97">
                  <c:v>3.4922532433584497</c:v>
                </c:pt>
                <c:pt idx="98">
                  <c:v>3.4649958018129556</c:v>
                </c:pt>
                <c:pt idx="99">
                  <c:v>3.4828646936297352</c:v>
                </c:pt>
                <c:pt idx="100">
                  <c:v>3.5385974044545629</c:v>
                </c:pt>
                <c:pt idx="101">
                  <c:v>3.6184843523989052</c:v>
                </c:pt>
                <c:pt idx="102">
                  <c:v>3.5921085169570288</c:v>
                </c:pt>
                <c:pt idx="103">
                  <c:v>3.5618818987429051</c:v>
                </c:pt>
                <c:pt idx="104">
                  <c:v>3.638608923075874</c:v>
                </c:pt>
                <c:pt idx="105">
                  <c:v>3.5710825140081388</c:v>
                </c:pt>
                <c:pt idx="106">
                  <c:v>3.5054744116075449</c:v>
                </c:pt>
                <c:pt idx="107">
                  <c:v>3.4630831052081503</c:v>
                </c:pt>
                <c:pt idx="108">
                  <c:v>3.4792798368263913</c:v>
                </c:pt>
                <c:pt idx="109">
                  <c:v>3.608901772494248</c:v>
                </c:pt>
                <c:pt idx="110">
                  <c:v>3.6517135397073615</c:v>
                </c:pt>
                <c:pt idx="111">
                  <c:v>3.5998596866129544</c:v>
                </c:pt>
                <c:pt idx="112">
                  <c:v>3.4995307597448715</c:v>
                </c:pt>
                <c:pt idx="113">
                  <c:v>3.5072685935230417</c:v>
                </c:pt>
                <c:pt idx="114">
                  <c:v>3.5090418582602503</c:v>
                </c:pt>
                <c:pt idx="115">
                  <c:v>3.4420192890317072</c:v>
                </c:pt>
                <c:pt idx="116">
                  <c:v>3.6015647003909792</c:v>
                </c:pt>
                <c:pt idx="117">
                  <c:v>3.5612345075997456</c:v>
                </c:pt>
                <c:pt idx="118">
                  <c:v>3.4882964276956026</c:v>
                </c:pt>
                <c:pt idx="119">
                  <c:v>3.4662611627007287</c:v>
                </c:pt>
                <c:pt idx="120">
                  <c:v>3.3900192542889314</c:v>
                </c:pt>
                <c:pt idx="121">
                  <c:v>3.4243156532000989</c:v>
                </c:pt>
                <c:pt idx="122">
                  <c:v>3.3071879996894511</c:v>
                </c:pt>
                <c:pt idx="123">
                  <c:v>3.3583149999342781</c:v>
                </c:pt>
                <c:pt idx="124">
                  <c:v>3.2974886735968973</c:v>
                </c:pt>
                <c:pt idx="125">
                  <c:v>3.178872422946911</c:v>
                </c:pt>
                <c:pt idx="126">
                  <c:v>3.2854115895479206</c:v>
                </c:pt>
                <c:pt idx="127">
                  <c:v>3.3258672428519298</c:v>
                </c:pt>
                <c:pt idx="128">
                  <c:v>3.3532059690617695</c:v>
                </c:pt>
                <c:pt idx="129">
                  <c:v>3.2970794887944446</c:v>
                </c:pt>
                <c:pt idx="130">
                  <c:v>3.3631613448423909</c:v>
                </c:pt>
                <c:pt idx="131">
                  <c:v>3.2907780255494621</c:v>
                </c:pt>
                <c:pt idx="132">
                  <c:v>3.2875873050479352</c:v>
                </c:pt>
                <c:pt idx="133">
                  <c:v>3.3532882961867774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0-468C-A625-7C9ADFC95DBA}"/>
            </c:ext>
          </c:extLst>
        </c:ser>
        <c:ser>
          <c:idx val="4"/>
          <c:order val="4"/>
          <c:tx>
            <c:strRef>
              <c:f>畫圖!$B$16:$B$16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畫圖!$C$16:$EF$16</c:f>
              <c:numCache>
                <c:formatCode>General</c:formatCode>
                <c:ptCount val="134"/>
                <c:pt idx="0">
                  <c:v>0.20787477708292909</c:v>
                </c:pt>
                <c:pt idx="1">
                  <c:v>0.61606975581550971</c:v>
                </c:pt>
                <c:pt idx="2">
                  <c:v>0.61323957920542438</c:v>
                </c:pt>
                <c:pt idx="3">
                  <c:v>0.73749936711312358</c:v>
                </c:pt>
                <c:pt idx="4">
                  <c:v>0.84651187980989517</c:v>
                </c:pt>
                <c:pt idx="5">
                  <c:v>0.91935993609754263</c:v>
                </c:pt>
                <c:pt idx="6">
                  <c:v>0.97689055476316411</c:v>
                </c:pt>
                <c:pt idx="7">
                  <c:v>0.90819652150993646</c:v>
                </c:pt>
                <c:pt idx="8">
                  <c:v>0.92612162602819958</c:v>
                </c:pt>
                <c:pt idx="9">
                  <c:v>0.95714877699367262</c:v>
                </c:pt>
                <c:pt idx="10">
                  <c:v>0.76227237205127918</c:v>
                </c:pt>
                <c:pt idx="11">
                  <c:v>1.1292599811738655</c:v>
                </c:pt>
                <c:pt idx="12">
                  <c:v>1.2090868417449825</c:v>
                </c:pt>
                <c:pt idx="13">
                  <c:v>1.2710665770258904</c:v>
                </c:pt>
                <c:pt idx="14">
                  <c:v>1.3676847502008003</c:v>
                </c:pt>
                <c:pt idx="15">
                  <c:v>1.3868675124564354</c:v>
                </c:pt>
                <c:pt idx="16">
                  <c:v>1.3444523292454813</c:v>
                </c:pt>
                <c:pt idx="17">
                  <c:v>1.3212255443013419</c:v>
                </c:pt>
                <c:pt idx="18">
                  <c:v>1.3698770600941437</c:v>
                </c:pt>
                <c:pt idx="19">
                  <c:v>1.265560884492702</c:v>
                </c:pt>
                <c:pt idx="20">
                  <c:v>1.3439343725203399</c:v>
                </c:pt>
                <c:pt idx="21">
                  <c:v>1.417612650177807</c:v>
                </c:pt>
                <c:pt idx="22">
                  <c:v>1.4133252030860706</c:v>
                </c:pt>
                <c:pt idx="23">
                  <c:v>1.3932494082076459</c:v>
                </c:pt>
                <c:pt idx="24">
                  <c:v>1.3497617723716537</c:v>
                </c:pt>
                <c:pt idx="25">
                  <c:v>1.2787456459543167</c:v>
                </c:pt>
                <c:pt idx="26">
                  <c:v>1.2377051232452336</c:v>
                </c:pt>
                <c:pt idx="27">
                  <c:v>1.2725162951024851</c:v>
                </c:pt>
                <c:pt idx="28">
                  <c:v>1.324051286984387</c:v>
                </c:pt>
                <c:pt idx="29">
                  <c:v>1.33905990999673</c:v>
                </c:pt>
                <c:pt idx="30">
                  <c:v>1.3257691569601946</c:v>
                </c:pt>
                <c:pt idx="31">
                  <c:v>1.2940037565107541</c:v>
                </c:pt>
                <c:pt idx="32">
                  <c:v>1.3430817996873221</c:v>
                </c:pt>
                <c:pt idx="33">
                  <c:v>1.336055833615446</c:v>
                </c:pt>
                <c:pt idx="34">
                  <c:v>1.400477234447818</c:v>
                </c:pt>
                <c:pt idx="35">
                  <c:v>1.4491661675523413</c:v>
                </c:pt>
                <c:pt idx="36">
                  <c:v>1.5152428981541393</c:v>
                </c:pt>
                <c:pt idx="37">
                  <c:v>1.6216990982438149</c:v>
                </c:pt>
                <c:pt idx="38">
                  <c:v>1.6831237700697272</c:v>
                </c:pt>
                <c:pt idx="39">
                  <c:v>1.6053254019241388</c:v>
                </c:pt>
                <c:pt idx="40">
                  <c:v>1.5668592017780703</c:v>
                </c:pt>
                <c:pt idx="41">
                  <c:v>1.599351961498134</c:v>
                </c:pt>
                <c:pt idx="42">
                  <c:v>1.6644201869721034</c:v>
                </c:pt>
                <c:pt idx="43">
                  <c:v>1.6683596563522201</c:v>
                </c:pt>
                <c:pt idx="44">
                  <c:v>1.7101864946071152</c:v>
                </c:pt>
                <c:pt idx="45">
                  <c:v>1.7337953709551741</c:v>
                </c:pt>
                <c:pt idx="46">
                  <c:v>1.7730483010298248</c:v>
                </c:pt>
                <c:pt idx="47">
                  <c:v>1.8738780742737977</c:v>
                </c:pt>
                <c:pt idx="48">
                  <c:v>1.8392043620908674</c:v>
                </c:pt>
                <c:pt idx="49">
                  <c:v>1.8860312380942441</c:v>
                </c:pt>
                <c:pt idx="50">
                  <c:v>2.0460219382688649</c:v>
                </c:pt>
                <c:pt idx="51">
                  <c:v>2.1784966758654365</c:v>
                </c:pt>
                <c:pt idx="52">
                  <c:v>2.1388598598093633</c:v>
                </c:pt>
                <c:pt idx="53">
                  <c:v>2.1451420442342468</c:v>
                </c:pt>
                <c:pt idx="54">
                  <c:v>2.1010029075941778</c:v>
                </c:pt>
                <c:pt idx="55">
                  <c:v>2.0464179443883914</c:v>
                </c:pt>
                <c:pt idx="56">
                  <c:v>2.0657491513600936</c:v>
                </c:pt>
                <c:pt idx="57">
                  <c:v>2.0795247658440554</c:v>
                </c:pt>
                <c:pt idx="58">
                  <c:v>2.1051448597676128</c:v>
                </c:pt>
                <c:pt idx="59">
                  <c:v>2.1865729785435866</c:v>
                </c:pt>
                <c:pt idx="60">
                  <c:v>2.2913461814641551</c:v>
                </c:pt>
                <c:pt idx="61">
                  <c:v>2.2829319240704242</c:v>
                </c:pt>
                <c:pt idx="62">
                  <c:v>2.2131260988176238</c:v>
                </c:pt>
                <c:pt idx="63">
                  <c:v>2.280324069222313</c:v>
                </c:pt>
                <c:pt idx="64">
                  <c:v>2.2962843882170487</c:v>
                </c:pt>
                <c:pt idx="65">
                  <c:v>2.3540344488975045</c:v>
                </c:pt>
                <c:pt idx="66">
                  <c:v>2.3705124651524332</c:v>
                </c:pt>
                <c:pt idx="67">
                  <c:v>2.3442156171309887</c:v>
                </c:pt>
                <c:pt idx="68">
                  <c:v>2.3310240439835246</c:v>
                </c:pt>
                <c:pt idx="69">
                  <c:v>2.2929579657712793</c:v>
                </c:pt>
                <c:pt idx="70">
                  <c:v>2.1914213915429746</c:v>
                </c:pt>
                <c:pt idx="71">
                  <c:v>2.2859318600098999</c:v>
                </c:pt>
                <c:pt idx="72">
                  <c:v>2.5098767740115582</c:v>
                </c:pt>
                <c:pt idx="73">
                  <c:v>2.5339550458409055</c:v>
                </c:pt>
                <c:pt idx="74">
                  <c:v>2.414960337787627</c:v>
                </c:pt>
                <c:pt idx="75">
                  <c:v>2.5264861862892762</c:v>
                </c:pt>
                <c:pt idx="76">
                  <c:v>2.5539183559409704</c:v>
                </c:pt>
                <c:pt idx="77">
                  <c:v>2.6932270918743044</c:v>
                </c:pt>
                <c:pt idx="78">
                  <c:v>2.7376152450445104</c:v>
                </c:pt>
                <c:pt idx="79">
                  <c:v>2.8926865166708722</c:v>
                </c:pt>
                <c:pt idx="80">
                  <c:v>2.9863007471387881</c:v>
                </c:pt>
                <c:pt idx="81">
                  <c:v>2.9716046841723589</c:v>
                </c:pt>
                <c:pt idx="82">
                  <c:v>3.1178007241985006</c:v>
                </c:pt>
                <c:pt idx="83">
                  <c:v>3.1594981389015278</c:v>
                </c:pt>
                <c:pt idx="84">
                  <c:v>3.10115338905702</c:v>
                </c:pt>
                <c:pt idx="85">
                  <c:v>3.1289538123799909</c:v>
                </c:pt>
                <c:pt idx="86">
                  <c:v>3.1996856928966748</c:v>
                </c:pt>
                <c:pt idx="87">
                  <c:v>3.4436238494620968</c:v>
                </c:pt>
                <c:pt idx="88">
                  <c:v>3.3305680110707221</c:v>
                </c:pt>
                <c:pt idx="89">
                  <c:v>3.3401770588547444</c:v>
                </c:pt>
                <c:pt idx="90">
                  <c:v>3.5497245773144961</c:v>
                </c:pt>
                <c:pt idx="91">
                  <c:v>3.5190401384325942</c:v>
                </c:pt>
                <c:pt idx="92">
                  <c:v>3.6874899230365203</c:v>
                </c:pt>
                <c:pt idx="93">
                  <c:v>3.7127185795486799</c:v>
                </c:pt>
                <c:pt idx="94">
                  <c:v>3.7345255884583022</c:v>
                </c:pt>
                <c:pt idx="95">
                  <c:v>3.7834291142897309</c:v>
                </c:pt>
                <c:pt idx="96">
                  <c:v>3.7199944599307564</c:v>
                </c:pt>
                <c:pt idx="97">
                  <c:v>3.7032433758500356</c:v>
                </c:pt>
                <c:pt idx="98">
                  <c:v>3.6715702616783528</c:v>
                </c:pt>
                <c:pt idx="99">
                  <c:v>3.678257039356581</c:v>
                </c:pt>
                <c:pt idx="100">
                  <c:v>3.7368113455278338</c:v>
                </c:pt>
                <c:pt idx="101">
                  <c:v>3.8394446047059665</c:v>
                </c:pt>
                <c:pt idx="102">
                  <c:v>3.809639810738731</c:v>
                </c:pt>
                <c:pt idx="103">
                  <c:v>3.7669276409585049</c:v>
                </c:pt>
                <c:pt idx="104">
                  <c:v>3.83066829946655</c:v>
                </c:pt>
                <c:pt idx="105">
                  <c:v>3.7562971844639526</c:v>
                </c:pt>
                <c:pt idx="106">
                  <c:v>3.6999712713864428</c:v>
                </c:pt>
                <c:pt idx="107">
                  <c:v>3.6768248381608837</c:v>
                </c:pt>
                <c:pt idx="108">
                  <c:v>3.6912777857923222</c:v>
                </c:pt>
                <c:pt idx="109">
                  <c:v>3.8284255462048304</c:v>
                </c:pt>
                <c:pt idx="110">
                  <c:v>3.876255153921818</c:v>
                </c:pt>
                <c:pt idx="111">
                  <c:v>3.8471137478411883</c:v>
                </c:pt>
                <c:pt idx="112">
                  <c:v>3.750859123041991</c:v>
                </c:pt>
                <c:pt idx="113">
                  <c:v>3.7522250951299139</c:v>
                </c:pt>
                <c:pt idx="114">
                  <c:v>3.7903600906904655</c:v>
                </c:pt>
                <c:pt idx="115">
                  <c:v>3.733652513752149</c:v>
                </c:pt>
                <c:pt idx="116">
                  <c:v>3.9032434601402235</c:v>
                </c:pt>
                <c:pt idx="117">
                  <c:v>3.8785268767624879</c:v>
                </c:pt>
                <c:pt idx="118">
                  <c:v>3.8109663568168517</c:v>
                </c:pt>
                <c:pt idx="119">
                  <c:v>3.7997881891677503</c:v>
                </c:pt>
                <c:pt idx="120">
                  <c:v>3.706036124177996</c:v>
                </c:pt>
                <c:pt idx="121">
                  <c:v>3.7380956163312358</c:v>
                </c:pt>
                <c:pt idx="122">
                  <c:v>3.6153235698082717</c:v>
                </c:pt>
                <c:pt idx="123">
                  <c:v>3.6604725542176588</c:v>
                </c:pt>
                <c:pt idx="124">
                  <c:v>3.5891699800943022</c:v>
                </c:pt>
                <c:pt idx="125">
                  <c:v>3.463885273770325</c:v>
                </c:pt>
                <c:pt idx="126">
                  <c:v>3.5802396086806683</c:v>
                </c:pt>
                <c:pt idx="127">
                  <c:v>3.6390503568717141</c:v>
                </c:pt>
                <c:pt idx="128">
                  <c:v>3.685711728427441</c:v>
                </c:pt>
                <c:pt idx="129">
                  <c:v>3.6148362846478901</c:v>
                </c:pt>
                <c:pt idx="130">
                  <c:v>3.6783683512824599</c:v>
                </c:pt>
                <c:pt idx="131">
                  <c:v>3.5980834386236262</c:v>
                </c:pt>
                <c:pt idx="132">
                  <c:v>3.5936867633168665</c:v>
                </c:pt>
                <c:pt idx="133">
                  <c:v>3.6361611648107739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10-468C-A625-7C9ADFC95DBA}"/>
            </c:ext>
          </c:extLst>
        </c:ser>
        <c:ser>
          <c:idx val="5"/>
          <c:order val="5"/>
          <c:tx>
            <c:strRef>
              <c:f>畫圖!$B$17:$B$17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畫圖!$C$17:$EF$17</c:f>
              <c:numCache>
                <c:formatCode>General</c:formatCode>
                <c:ptCount val="134"/>
                <c:pt idx="0">
                  <c:v>0.2060921883792059</c:v>
                </c:pt>
                <c:pt idx="1">
                  <c:v>0.64568067700382725</c:v>
                </c:pt>
                <c:pt idx="2">
                  <c:v>0.6530596784991286</c:v>
                </c:pt>
                <c:pt idx="3">
                  <c:v>0.7998314928116409</c:v>
                </c:pt>
                <c:pt idx="4">
                  <c:v>0.91696297300677554</c:v>
                </c:pt>
                <c:pt idx="5">
                  <c:v>1.0219570266345166</c:v>
                </c:pt>
                <c:pt idx="6">
                  <c:v>1.1356820544367041</c:v>
                </c:pt>
                <c:pt idx="8">
                  <c:v>3.9444991917733881E-2</c:v>
                </c:pt>
                <c:pt idx="9">
                  <c:v>7.3220921456372018E-2</c:v>
                </c:pt>
                <c:pt idx="10">
                  <c:v>-0.15371971583595079</c:v>
                </c:pt>
                <c:pt idx="11">
                  <c:v>0.25138829310351141</c:v>
                </c:pt>
                <c:pt idx="12">
                  <c:v>0.35261506237584711</c:v>
                </c:pt>
                <c:pt idx="13">
                  <c:v>0.42953066587874805</c:v>
                </c:pt>
                <c:pt idx="14">
                  <c:v>0.53596091916522481</c:v>
                </c:pt>
                <c:pt idx="15">
                  <c:v>0.53793617044589426</c:v>
                </c:pt>
                <c:pt idx="16">
                  <c:v>0.48280414470792188</c:v>
                </c:pt>
                <c:pt idx="17">
                  <c:v>0.45929655605636088</c:v>
                </c:pt>
                <c:pt idx="18">
                  <c:v>0.51158679000317708</c:v>
                </c:pt>
                <c:pt idx="19">
                  <c:v>0.39523048797777699</c:v>
                </c:pt>
                <c:pt idx="20">
                  <c:v>0.47437247677979427</c:v>
                </c:pt>
                <c:pt idx="21">
                  <c:v>0.57455844378378251</c:v>
                </c:pt>
                <c:pt idx="22">
                  <c:v>0.57605894511031974</c:v>
                </c:pt>
                <c:pt idx="23">
                  <c:v>0.55445045531605341</c:v>
                </c:pt>
                <c:pt idx="24">
                  <c:v>0.5192406657338543</c:v>
                </c:pt>
                <c:pt idx="25">
                  <c:v>0.46090650504307618</c:v>
                </c:pt>
                <c:pt idx="26">
                  <c:v>0.42010749405539399</c:v>
                </c:pt>
                <c:pt idx="27">
                  <c:v>0.48872731729224078</c:v>
                </c:pt>
                <c:pt idx="28">
                  <c:v>0.54817081698793313</c:v>
                </c:pt>
                <c:pt idx="29">
                  <c:v>0.55658206023624468</c:v>
                </c:pt>
                <c:pt idx="30">
                  <c:v>0.53384107944845449</c:v>
                </c:pt>
                <c:pt idx="31">
                  <c:v>0.49836846027556564</c:v>
                </c:pt>
                <c:pt idx="32">
                  <c:v>0.52895616891707919</c:v>
                </c:pt>
                <c:pt idx="33">
                  <c:v>0.48635353839812229</c:v>
                </c:pt>
                <c:pt idx="34">
                  <c:v>0.56006981313715876</c:v>
                </c:pt>
                <c:pt idx="35">
                  <c:v>0.61079421888571528</c:v>
                </c:pt>
                <c:pt idx="36">
                  <c:v>0.68616358647337228</c:v>
                </c:pt>
                <c:pt idx="37">
                  <c:v>0.79945070681928998</c:v>
                </c:pt>
                <c:pt idx="38">
                  <c:v>0.8120830414150142</c:v>
                </c:pt>
                <c:pt idx="39">
                  <c:v>0.73484022699542872</c:v>
                </c:pt>
                <c:pt idx="40">
                  <c:v>0.67431308959392966</c:v>
                </c:pt>
                <c:pt idx="41">
                  <c:v>0.70931037062898705</c:v>
                </c:pt>
                <c:pt idx="42">
                  <c:v>0.7656339326634628</c:v>
                </c:pt>
                <c:pt idx="43">
                  <c:v>0.76706661462949832</c:v>
                </c:pt>
                <c:pt idx="44">
                  <c:v>0.82162212191618611</c:v>
                </c:pt>
                <c:pt idx="45">
                  <c:v>0.84918517599146359</c:v>
                </c:pt>
                <c:pt idx="46">
                  <c:v>0.85760706403330034</c:v>
                </c:pt>
                <c:pt idx="47">
                  <c:v>0.95384762254209932</c:v>
                </c:pt>
                <c:pt idx="48">
                  <c:v>0.90703564116167956</c:v>
                </c:pt>
                <c:pt idx="49">
                  <c:v>0.9550160749708525</c:v>
                </c:pt>
                <c:pt idx="50">
                  <c:v>1.1178224847806153</c:v>
                </c:pt>
                <c:pt idx="51">
                  <c:v>1.2710937690590001</c:v>
                </c:pt>
                <c:pt idx="52">
                  <c:v>1.2133290763070388</c:v>
                </c:pt>
                <c:pt idx="53">
                  <c:v>1.2327409481999156</c:v>
                </c:pt>
                <c:pt idx="54">
                  <c:v>1.2164435594293714</c:v>
                </c:pt>
                <c:pt idx="55">
                  <c:v>1.1390259553742987</c:v>
                </c:pt>
                <c:pt idx="56">
                  <c:v>1.1258726445885265</c:v>
                </c:pt>
                <c:pt idx="57">
                  <c:v>1.1123531837367735</c:v>
                </c:pt>
                <c:pt idx="58">
                  <c:v>1.1698028074752089</c:v>
                </c:pt>
                <c:pt idx="59">
                  <c:v>1.2589942850318681</c:v>
                </c:pt>
                <c:pt idx="60">
                  <c:v>1.3738100770313857</c:v>
                </c:pt>
                <c:pt idx="61">
                  <c:v>1.3813836821383332</c:v>
                </c:pt>
                <c:pt idx="62">
                  <c:v>1.3034163563564896</c:v>
                </c:pt>
                <c:pt idx="63">
                  <c:v>1.3770731242928556</c:v>
                </c:pt>
                <c:pt idx="64">
                  <c:v>1.4084234229762373</c:v>
                </c:pt>
                <c:pt idx="65">
                  <c:v>1.4690615698861544</c:v>
                </c:pt>
                <c:pt idx="66">
                  <c:v>1.480438080332606</c:v>
                </c:pt>
                <c:pt idx="67">
                  <c:v>1.4707917052078561</c:v>
                </c:pt>
                <c:pt idx="68">
                  <c:v>1.4666882360972495</c:v>
                </c:pt>
                <c:pt idx="69">
                  <c:v>1.4330406628508912</c:v>
                </c:pt>
                <c:pt idx="70">
                  <c:v>1.3285163633180304</c:v>
                </c:pt>
                <c:pt idx="71">
                  <c:v>1.4351602809514223</c:v>
                </c:pt>
                <c:pt idx="72">
                  <c:v>1.6623943744603855</c:v>
                </c:pt>
                <c:pt idx="73">
                  <c:v>1.6694901643018525</c:v>
                </c:pt>
                <c:pt idx="74">
                  <c:v>1.5736292923818613</c:v>
                </c:pt>
                <c:pt idx="75">
                  <c:v>1.6942074482629466</c:v>
                </c:pt>
                <c:pt idx="76">
                  <c:v>1.7214042326408612</c:v>
                </c:pt>
                <c:pt idx="77">
                  <c:v>1.8710373903337507</c:v>
                </c:pt>
                <c:pt idx="78">
                  <c:v>1.9127976428079863</c:v>
                </c:pt>
                <c:pt idx="79">
                  <c:v>2.0857573840271346</c:v>
                </c:pt>
                <c:pt idx="80">
                  <c:v>2.1814654576886299</c:v>
                </c:pt>
                <c:pt idx="81">
                  <c:v>2.0863421087504261</c:v>
                </c:pt>
                <c:pt idx="82">
                  <c:v>2.2633767160737777</c:v>
                </c:pt>
                <c:pt idx="83">
                  <c:v>2.3220131626808276</c:v>
                </c:pt>
                <c:pt idx="84">
                  <c:v>2.2395602483607706</c:v>
                </c:pt>
                <c:pt idx="85">
                  <c:v>2.2778821898529875</c:v>
                </c:pt>
                <c:pt idx="86">
                  <c:v>2.3536251516597502</c:v>
                </c:pt>
                <c:pt idx="87">
                  <c:v>2.6408042496411035</c:v>
                </c:pt>
                <c:pt idx="88">
                  <c:v>2.5453103788245497</c:v>
                </c:pt>
                <c:pt idx="89">
                  <c:v>2.5589410025385506</c:v>
                </c:pt>
                <c:pt idx="90">
                  <c:v>2.7570214224283394</c:v>
                </c:pt>
                <c:pt idx="91">
                  <c:v>2.7354118935106286</c:v>
                </c:pt>
                <c:pt idx="92">
                  <c:v>2.9085410518430233</c:v>
                </c:pt>
                <c:pt idx="93">
                  <c:v>2.9315468813810215</c:v>
                </c:pt>
                <c:pt idx="94">
                  <c:v>2.9430923970980265</c:v>
                </c:pt>
                <c:pt idx="95">
                  <c:v>3.0017461937006407</c:v>
                </c:pt>
                <c:pt idx="96">
                  <c:v>2.9273378861173867</c:v>
                </c:pt>
                <c:pt idx="97">
                  <c:v>2.9312174940573139</c:v>
                </c:pt>
                <c:pt idx="98">
                  <c:v>2.908061649242466</c:v>
                </c:pt>
                <c:pt idx="99">
                  <c:v>2.9330540984479878</c:v>
                </c:pt>
                <c:pt idx="100">
                  <c:v>2.9925520503078107</c:v>
                </c:pt>
                <c:pt idx="101">
                  <c:v>3.116800888155431</c:v>
                </c:pt>
                <c:pt idx="102">
                  <c:v>3.0729050290102968</c:v>
                </c:pt>
                <c:pt idx="103">
                  <c:v>3.0380220182178288</c:v>
                </c:pt>
                <c:pt idx="104">
                  <c:v>3.0919103401667112</c:v>
                </c:pt>
                <c:pt idx="105">
                  <c:v>3.0437797508281994</c:v>
                </c:pt>
                <c:pt idx="106">
                  <c:v>2.9921134877611313</c:v>
                </c:pt>
                <c:pt idx="107">
                  <c:v>2.9808821174344722</c:v>
                </c:pt>
                <c:pt idx="108">
                  <c:v>2.9790428355055636</c:v>
                </c:pt>
                <c:pt idx="109">
                  <c:v>3.1424746367175524</c:v>
                </c:pt>
                <c:pt idx="110">
                  <c:v>3.2126570267882806</c:v>
                </c:pt>
                <c:pt idx="111">
                  <c:v>3.1673208692474608</c:v>
                </c:pt>
                <c:pt idx="112">
                  <c:v>3.0645396004991543</c:v>
                </c:pt>
                <c:pt idx="113">
                  <c:v>3.058749254753661</c:v>
                </c:pt>
                <c:pt idx="114">
                  <c:v>3.101312863465413</c:v>
                </c:pt>
                <c:pt idx="115">
                  <c:v>3.0406836806728648</c:v>
                </c:pt>
                <c:pt idx="116">
                  <c:v>3.2204466067715938</c:v>
                </c:pt>
                <c:pt idx="117">
                  <c:v>3.1953491767635391</c:v>
                </c:pt>
                <c:pt idx="118">
                  <c:v>3.130104828629777</c:v>
                </c:pt>
                <c:pt idx="119">
                  <c:v>3.1043783891635037</c:v>
                </c:pt>
                <c:pt idx="120">
                  <c:v>2.9800622293586927</c:v>
                </c:pt>
                <c:pt idx="121">
                  <c:v>2.9968054192778855</c:v>
                </c:pt>
                <c:pt idx="122">
                  <c:v>2.8673124629578957</c:v>
                </c:pt>
                <c:pt idx="123">
                  <c:v>2.9295822544559433</c:v>
                </c:pt>
                <c:pt idx="124">
                  <c:v>2.852983341419947</c:v>
                </c:pt>
                <c:pt idx="125">
                  <c:v>2.7234443588234729</c:v>
                </c:pt>
                <c:pt idx="126">
                  <c:v>2.8355828136295469</c:v>
                </c:pt>
                <c:pt idx="127">
                  <c:v>2.884795442799355</c:v>
                </c:pt>
                <c:pt idx="128">
                  <c:v>2.8966133666650675</c:v>
                </c:pt>
                <c:pt idx="129">
                  <c:v>2.8228323969474145</c:v>
                </c:pt>
                <c:pt idx="130">
                  <c:v>2.8392576141634751</c:v>
                </c:pt>
                <c:pt idx="131">
                  <c:v>2.7564019917599905</c:v>
                </c:pt>
                <c:pt idx="132">
                  <c:v>2.75659551290607</c:v>
                </c:pt>
                <c:pt idx="133">
                  <c:v>2.8043052799159218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10-468C-A625-7C9ADFC95DBA}"/>
            </c:ext>
          </c:extLst>
        </c:ser>
        <c:ser>
          <c:idx val="6"/>
          <c:order val="6"/>
          <c:tx>
            <c:strRef>
              <c:f>畫圖!$B$18:$B$18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畫圖!$C$18:$EF$18</c:f>
              <c:numCache>
                <c:formatCode>General</c:formatCode>
                <c:ptCount val="134"/>
                <c:pt idx="0">
                  <c:v>0.18975112249235829</c:v>
                </c:pt>
                <c:pt idx="1">
                  <c:v>0.59163480391442624</c:v>
                </c:pt>
                <c:pt idx="2">
                  <c:v>0.53263414681621846</c:v>
                </c:pt>
                <c:pt idx="3">
                  <c:v>0.74472479797426094</c:v>
                </c:pt>
                <c:pt idx="4">
                  <c:v>0.87778285529387179</c:v>
                </c:pt>
                <c:pt idx="5">
                  <c:v>1.0063224170684431</c:v>
                </c:pt>
                <c:pt idx="6">
                  <c:v>1.1418225972916842</c:v>
                </c:pt>
                <c:pt idx="7">
                  <c:v>1.0166608042031424</c:v>
                </c:pt>
                <c:pt idx="8">
                  <c:v>1.0482472545140562</c:v>
                </c:pt>
                <c:pt idx="9">
                  <c:v>1.0949199748547294</c:v>
                </c:pt>
                <c:pt idx="10">
                  <c:v>0.84140678084206888</c:v>
                </c:pt>
                <c:pt idx="11">
                  <c:v>1.303226798912682</c:v>
                </c:pt>
                <c:pt idx="12">
                  <c:v>1.4068972885423012</c:v>
                </c:pt>
                <c:pt idx="13">
                  <c:v>1.4614669016532853</c:v>
                </c:pt>
                <c:pt idx="14">
                  <c:v>1.5832032733179204</c:v>
                </c:pt>
                <c:pt idx="15">
                  <c:v>1.6025294722447767</c:v>
                </c:pt>
                <c:pt idx="16">
                  <c:v>1.5335161318510679</c:v>
                </c:pt>
                <c:pt idx="17">
                  <c:v>1.5284879916778031</c:v>
                </c:pt>
                <c:pt idx="18">
                  <c:v>1.5566235193103939</c:v>
                </c:pt>
                <c:pt idx="19">
                  <c:v>1.4253695923709528</c:v>
                </c:pt>
                <c:pt idx="20">
                  <c:v>1.5026658724306914</c:v>
                </c:pt>
                <c:pt idx="21">
                  <c:v>1.6297886810561817</c:v>
                </c:pt>
                <c:pt idx="22">
                  <c:v>1.6540024887767626</c:v>
                </c:pt>
                <c:pt idx="23">
                  <c:v>1.6370967725893788</c:v>
                </c:pt>
                <c:pt idx="24">
                  <c:v>1.5953915274066548</c:v>
                </c:pt>
                <c:pt idx="25">
                  <c:v>1.5336776767329314</c:v>
                </c:pt>
                <c:pt idx="26">
                  <c:v>1.4589578533536647</c:v>
                </c:pt>
                <c:pt idx="27">
                  <c:v>1.5552436985390841</c:v>
                </c:pt>
                <c:pt idx="28">
                  <c:v>1.6324452901579638</c:v>
                </c:pt>
                <c:pt idx="29">
                  <c:v>1.6306937982094427</c:v>
                </c:pt>
                <c:pt idx="30">
                  <c:v>1.5982006821115666</c:v>
                </c:pt>
                <c:pt idx="31">
                  <c:v>1.5580032211430519</c:v>
                </c:pt>
                <c:pt idx="32">
                  <c:v>1.6048587624968078</c:v>
                </c:pt>
                <c:pt idx="33">
                  <c:v>1.5574650063303588</c:v>
                </c:pt>
                <c:pt idx="34">
                  <c:v>1.5876174869279849</c:v>
                </c:pt>
                <c:pt idx="35">
                  <c:v>1.6351452505602426</c:v>
                </c:pt>
                <c:pt idx="36">
                  <c:v>1.7017886559850139</c:v>
                </c:pt>
                <c:pt idx="37">
                  <c:v>1.7810832959402156</c:v>
                </c:pt>
                <c:pt idx="38">
                  <c:v>1.7865108309079085</c:v>
                </c:pt>
                <c:pt idx="39">
                  <c:v>1.7082322389741016</c:v>
                </c:pt>
                <c:pt idx="40">
                  <c:v>1.6320013936476516</c:v>
                </c:pt>
                <c:pt idx="41">
                  <c:v>1.6936959172484332</c:v>
                </c:pt>
                <c:pt idx="42">
                  <c:v>1.7795224688024023</c:v>
                </c:pt>
                <c:pt idx="43">
                  <c:v>1.8091767943693662</c:v>
                </c:pt>
                <c:pt idx="44">
                  <c:v>1.8737524384489577</c:v>
                </c:pt>
                <c:pt idx="45">
                  <c:v>1.908810126024834</c:v>
                </c:pt>
                <c:pt idx="46">
                  <c:v>1.9333481602659415</c:v>
                </c:pt>
                <c:pt idx="47">
                  <c:v>2.0409090285217775</c:v>
                </c:pt>
                <c:pt idx="48">
                  <c:v>1.9981314206139185</c:v>
                </c:pt>
                <c:pt idx="49">
                  <c:v>2.06447269635134</c:v>
                </c:pt>
                <c:pt idx="50">
                  <c:v>2.2449524610208864</c:v>
                </c:pt>
                <c:pt idx="51">
                  <c:v>2.4122104795016792</c:v>
                </c:pt>
                <c:pt idx="52">
                  <c:v>2.3597572126842548</c:v>
                </c:pt>
                <c:pt idx="53">
                  <c:v>2.3800323523412819</c:v>
                </c:pt>
                <c:pt idx="54">
                  <c:v>2.3578018110823979</c:v>
                </c:pt>
                <c:pt idx="55">
                  <c:v>2.3196586599942335</c:v>
                </c:pt>
                <c:pt idx="56">
                  <c:v>2.3173504231047279</c:v>
                </c:pt>
                <c:pt idx="57">
                  <c:v>2.2968465700409224</c:v>
                </c:pt>
                <c:pt idx="58">
                  <c:v>2.3303341496447145</c:v>
                </c:pt>
                <c:pt idx="59">
                  <c:v>2.4298656689178619</c:v>
                </c:pt>
                <c:pt idx="60">
                  <c:v>2.5033212957418676</c:v>
                </c:pt>
                <c:pt idx="61">
                  <c:v>2.5296740752247362</c:v>
                </c:pt>
                <c:pt idx="62">
                  <c:v>2.459891742495254</c:v>
                </c:pt>
                <c:pt idx="63">
                  <c:v>2.5381004419776292</c:v>
                </c:pt>
                <c:pt idx="64">
                  <c:v>2.5465071732460034</c:v>
                </c:pt>
                <c:pt idx="65">
                  <c:v>2.6089706052824551</c:v>
                </c:pt>
                <c:pt idx="66">
                  <c:v>2.6108873893923041</c:v>
                </c:pt>
                <c:pt idx="67">
                  <c:v>2.6051391958083494</c:v>
                </c:pt>
                <c:pt idx="68">
                  <c:v>2.6011555707112302</c:v>
                </c:pt>
                <c:pt idx="69">
                  <c:v>2.5878564199335523</c:v>
                </c:pt>
                <c:pt idx="70">
                  <c:v>2.4763948744044497</c:v>
                </c:pt>
                <c:pt idx="71">
                  <c:v>2.5919003931170939</c:v>
                </c:pt>
                <c:pt idx="72">
                  <c:v>2.8529403234156487</c:v>
                </c:pt>
                <c:pt idx="73">
                  <c:v>2.8371283994698562</c:v>
                </c:pt>
                <c:pt idx="74">
                  <c:v>2.7744416550197712</c:v>
                </c:pt>
                <c:pt idx="75">
                  <c:v>2.9277616428223694</c:v>
                </c:pt>
                <c:pt idx="76">
                  <c:v>2.9610478077228986</c:v>
                </c:pt>
                <c:pt idx="77">
                  <c:v>3.0678938681929719</c:v>
                </c:pt>
                <c:pt idx="78">
                  <c:v>3.1725544920346169</c:v>
                </c:pt>
                <c:pt idx="79">
                  <c:v>3.3662713106814475</c:v>
                </c:pt>
                <c:pt idx="80">
                  <c:v>3.4435317055596704</c:v>
                </c:pt>
                <c:pt idx="81">
                  <c:v>3.3416730900266765</c:v>
                </c:pt>
                <c:pt idx="82">
                  <c:v>3.5683144959282962</c:v>
                </c:pt>
                <c:pt idx="83">
                  <c:v>3.7309715426155292</c:v>
                </c:pt>
                <c:pt idx="84">
                  <c:v>3.6132461326832455</c:v>
                </c:pt>
                <c:pt idx="85">
                  <c:v>3.6419311393577494</c:v>
                </c:pt>
                <c:pt idx="86">
                  <c:v>3.7151511734670759</c:v>
                </c:pt>
                <c:pt idx="87">
                  <c:v>4.0322597863855378</c:v>
                </c:pt>
                <c:pt idx="88">
                  <c:v>3.929490174757587</c:v>
                </c:pt>
                <c:pt idx="89">
                  <c:v>3.9008725849931127</c:v>
                </c:pt>
                <c:pt idx="90">
                  <c:v>4.1291546708685738</c:v>
                </c:pt>
                <c:pt idx="91">
                  <c:v>4.1136569988982661</c:v>
                </c:pt>
                <c:pt idx="92">
                  <c:v>4.3233982063209249</c:v>
                </c:pt>
                <c:pt idx="93">
                  <c:v>4.3571415085921172</c:v>
                </c:pt>
                <c:pt idx="94">
                  <c:v>4.3852700690062063</c:v>
                </c:pt>
                <c:pt idx="95">
                  <c:v>4.4621402957784291</c:v>
                </c:pt>
                <c:pt idx="96">
                  <c:v>4.3904916045733193</c:v>
                </c:pt>
                <c:pt idx="97">
                  <c:v>4.4815318868036078</c:v>
                </c:pt>
                <c:pt idx="98">
                  <c:v>4.4532036302187983</c:v>
                </c:pt>
                <c:pt idx="99">
                  <c:v>4.4391248826385157</c:v>
                </c:pt>
                <c:pt idx="100">
                  <c:v>4.5105573415508902</c:v>
                </c:pt>
                <c:pt idx="101">
                  <c:v>4.6434002048526617</c:v>
                </c:pt>
                <c:pt idx="102">
                  <c:v>4.5960192653339682</c:v>
                </c:pt>
                <c:pt idx="103">
                  <c:v>4.550284056655209</c:v>
                </c:pt>
                <c:pt idx="104">
                  <c:v>4.5994929240793212</c:v>
                </c:pt>
                <c:pt idx="105">
                  <c:v>4.5284216241717576</c:v>
                </c:pt>
                <c:pt idx="106">
                  <c:v>4.4891145491252571</c:v>
                </c:pt>
                <c:pt idx="107">
                  <c:v>4.4540717703428871</c:v>
                </c:pt>
                <c:pt idx="108">
                  <c:v>4.4464522971852594</c:v>
                </c:pt>
                <c:pt idx="109">
                  <c:v>4.6388536791444004</c:v>
                </c:pt>
                <c:pt idx="110">
                  <c:v>4.7368168066233558</c:v>
                </c:pt>
                <c:pt idx="111">
                  <c:v>4.6916127668380661</c:v>
                </c:pt>
                <c:pt idx="112">
                  <c:v>4.5850855048356323</c:v>
                </c:pt>
                <c:pt idx="113">
                  <c:v>4.5616749766998117</c:v>
                </c:pt>
                <c:pt idx="114">
                  <c:v>4.6201321409899876</c:v>
                </c:pt>
                <c:pt idx="115">
                  <c:v>4.5632568806481535</c:v>
                </c:pt>
                <c:pt idx="116">
                  <c:v>4.7835770924394518</c:v>
                </c:pt>
                <c:pt idx="117">
                  <c:v>4.7620667576799578</c:v>
                </c:pt>
                <c:pt idx="118">
                  <c:v>4.7001112287125908</c:v>
                </c:pt>
                <c:pt idx="119">
                  <c:v>4.689659979893074</c:v>
                </c:pt>
                <c:pt idx="120">
                  <c:v>4.5419379814413414</c:v>
                </c:pt>
                <c:pt idx="121">
                  <c:v>4.5345305914818468</c:v>
                </c:pt>
                <c:pt idx="122">
                  <c:v>4.3758157687651691</c:v>
                </c:pt>
                <c:pt idx="123">
                  <c:v>4.4612190530805718</c:v>
                </c:pt>
                <c:pt idx="124">
                  <c:v>4.3925821031284542</c:v>
                </c:pt>
                <c:pt idx="125">
                  <c:v>4.2389791256659723</c:v>
                </c:pt>
                <c:pt idx="126">
                  <c:v>4.3364071626419216</c:v>
                </c:pt>
                <c:pt idx="127">
                  <c:v>4.3910375367985033</c:v>
                </c:pt>
                <c:pt idx="128">
                  <c:v>4.3846759740545211</c:v>
                </c:pt>
                <c:pt idx="129">
                  <c:v>4.2876332845122418</c:v>
                </c:pt>
                <c:pt idx="130">
                  <c:v>4.2903973999376133</c:v>
                </c:pt>
                <c:pt idx="131">
                  <c:v>4.2101282038100898</c:v>
                </c:pt>
                <c:pt idx="132">
                  <c:v>4.209016916137732</c:v>
                </c:pt>
                <c:pt idx="133">
                  <c:v>4.2579719332481485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10-468C-A625-7C9ADFC95DBA}"/>
            </c:ext>
          </c:extLst>
        </c:ser>
        <c:ser>
          <c:idx val="7"/>
          <c:order val="7"/>
          <c:tx>
            <c:strRef>
              <c:f>畫圖!$B$19:$B$19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0.60412097540112364</c:v>
                </c:pt>
                <c:pt idx="2">
                  <c:v>0.54922288163371147</c:v>
                </c:pt>
                <c:pt idx="3">
                  <c:v>0.78539334700944574</c:v>
                </c:pt>
                <c:pt idx="4">
                  <c:v>0.93825768889641825</c:v>
                </c:pt>
                <c:pt idx="5">
                  <c:v>1.1158680077190701</c:v>
                </c:pt>
                <c:pt idx="6">
                  <c:v>1.2505223406105366</c:v>
                </c:pt>
                <c:pt idx="7">
                  <c:v>1.0942919875243327</c:v>
                </c:pt>
                <c:pt idx="8">
                  <c:v>1.1508329570858979</c:v>
                </c:pt>
                <c:pt idx="9">
                  <c:v>1.1811957901419272</c:v>
                </c:pt>
                <c:pt idx="10">
                  <c:v>0.91965394782694043</c:v>
                </c:pt>
                <c:pt idx="11">
                  <c:v>1.4520279855151816</c:v>
                </c:pt>
                <c:pt idx="12">
                  <c:v>1.5442493685346388</c:v>
                </c:pt>
                <c:pt idx="13">
                  <c:v>1.5670345816467321</c:v>
                </c:pt>
                <c:pt idx="14">
                  <c:v>1.7374968737267502</c:v>
                </c:pt>
                <c:pt idx="15">
                  <c:v>1.7794395031759662</c:v>
                </c:pt>
                <c:pt idx="16">
                  <c:v>1.7007432418628055</c:v>
                </c:pt>
                <c:pt idx="17">
                  <c:v>1.5912173803268836</c:v>
                </c:pt>
                <c:pt idx="18">
                  <c:v>1.6354042383252085</c:v>
                </c:pt>
                <c:pt idx="19">
                  <c:v>1.5167197798062875</c:v>
                </c:pt>
                <c:pt idx="20">
                  <c:v>1.5891353491257865</c:v>
                </c:pt>
                <c:pt idx="21">
                  <c:v>1.7120584953715035</c:v>
                </c:pt>
                <c:pt idx="22">
                  <c:v>1.7361228007165612</c:v>
                </c:pt>
                <c:pt idx="23">
                  <c:v>1.7138995614176589</c:v>
                </c:pt>
                <c:pt idx="24">
                  <c:v>1.6723293768795031</c:v>
                </c:pt>
                <c:pt idx="25">
                  <c:v>1.6115670254129493</c:v>
                </c:pt>
                <c:pt idx="26">
                  <c:v>1.5280541585200706</c:v>
                </c:pt>
                <c:pt idx="27">
                  <c:v>1.6240475363181388</c:v>
                </c:pt>
                <c:pt idx="28">
                  <c:v>1.7392794062812056</c:v>
                </c:pt>
                <c:pt idx="29">
                  <c:v>1.7395419749995624</c:v>
                </c:pt>
                <c:pt idx="30">
                  <c:v>1.7174057559270146</c:v>
                </c:pt>
                <c:pt idx="31">
                  <c:v>1.660848040705311</c:v>
                </c:pt>
                <c:pt idx="32">
                  <c:v>1.7426181654948074</c:v>
                </c:pt>
                <c:pt idx="33">
                  <c:v>1.6910728751675452</c:v>
                </c:pt>
                <c:pt idx="34">
                  <c:v>1.698624917673498</c:v>
                </c:pt>
                <c:pt idx="35">
                  <c:v>1.7688958633443035</c:v>
                </c:pt>
                <c:pt idx="36">
                  <c:v>1.8120018751557083</c:v>
                </c:pt>
                <c:pt idx="37">
                  <c:v>1.8955701695213905</c:v>
                </c:pt>
                <c:pt idx="38">
                  <c:v>1.9214630725668049</c:v>
                </c:pt>
                <c:pt idx="39">
                  <c:v>1.8338889522939528</c:v>
                </c:pt>
                <c:pt idx="40">
                  <c:v>1.7456361952333022</c:v>
                </c:pt>
                <c:pt idx="41">
                  <c:v>1.820253092867961</c:v>
                </c:pt>
                <c:pt idx="42">
                  <c:v>1.9180500481362754</c:v>
                </c:pt>
                <c:pt idx="43">
                  <c:v>1.9292346410919994</c:v>
                </c:pt>
                <c:pt idx="44">
                  <c:v>2.0056633568056537</c:v>
                </c:pt>
                <c:pt idx="45">
                  <c:v>2.048340652529991</c:v>
                </c:pt>
                <c:pt idx="46">
                  <c:v>2.0706968206841276</c:v>
                </c:pt>
                <c:pt idx="47">
                  <c:v>2.1509032349945407</c:v>
                </c:pt>
                <c:pt idx="48">
                  <c:v>2.0900499996331701</c:v>
                </c:pt>
                <c:pt idx="49">
                  <c:v>2.1740824719068095</c:v>
                </c:pt>
                <c:pt idx="50">
                  <c:v>2.3610792494615902</c:v>
                </c:pt>
                <c:pt idx="51">
                  <c:v>2.5628811601247978</c:v>
                </c:pt>
                <c:pt idx="52">
                  <c:v>2.5018094293917312</c:v>
                </c:pt>
                <c:pt idx="53">
                  <c:v>2.5017357224238439</c:v>
                </c:pt>
                <c:pt idx="54">
                  <c:v>2.4713450513555406</c:v>
                </c:pt>
                <c:pt idx="55">
                  <c:v>2.4219085341366982</c:v>
                </c:pt>
                <c:pt idx="56">
                  <c:v>2.4228717542450395</c:v>
                </c:pt>
                <c:pt idx="57">
                  <c:v>2.4208535525436083</c:v>
                </c:pt>
                <c:pt idx="58">
                  <c:v>2.4467903475500612</c:v>
                </c:pt>
                <c:pt idx="59">
                  <c:v>2.498609655978731</c:v>
                </c:pt>
                <c:pt idx="60">
                  <c:v>2.5956480789241168</c:v>
                </c:pt>
                <c:pt idx="61">
                  <c:v>2.6216445437147389</c:v>
                </c:pt>
                <c:pt idx="62">
                  <c:v>2.5334877470029573</c:v>
                </c:pt>
                <c:pt idx="63">
                  <c:v>2.6149010072031253</c:v>
                </c:pt>
                <c:pt idx="64">
                  <c:v>2.5963386927627714</c:v>
                </c:pt>
                <c:pt idx="65">
                  <c:v>2.6087490340403723</c:v>
                </c:pt>
                <c:pt idx="66">
                  <c:v>2.6186830784946955</c:v>
                </c:pt>
                <c:pt idx="67">
                  <c:v>2.6253583245182157</c:v>
                </c:pt>
                <c:pt idx="68">
                  <c:v>2.6011019857737336</c:v>
                </c:pt>
                <c:pt idx="69">
                  <c:v>2.6142956549768712</c:v>
                </c:pt>
                <c:pt idx="70">
                  <c:v>2.4836250200854835</c:v>
                </c:pt>
                <c:pt idx="71">
                  <c:v>2.5837102856670988</c:v>
                </c:pt>
                <c:pt idx="72">
                  <c:v>2.8796865815001302</c:v>
                </c:pt>
                <c:pt idx="73">
                  <c:v>2.8432876919413368</c:v>
                </c:pt>
                <c:pt idx="74">
                  <c:v>2.8156121995296761</c:v>
                </c:pt>
                <c:pt idx="75">
                  <c:v>2.8843143243517302</c:v>
                </c:pt>
                <c:pt idx="76">
                  <c:v>2.919924119641129</c:v>
                </c:pt>
                <c:pt idx="77">
                  <c:v>3.0477623287420261</c:v>
                </c:pt>
                <c:pt idx="78">
                  <c:v>3.0702685616405434</c:v>
                </c:pt>
                <c:pt idx="79">
                  <c:v>3.2858877597342615</c:v>
                </c:pt>
                <c:pt idx="80">
                  <c:v>3.3743626186719293</c:v>
                </c:pt>
                <c:pt idx="81">
                  <c:v>3.2626641312069125</c:v>
                </c:pt>
                <c:pt idx="82">
                  <c:v>3.526557264772451</c:v>
                </c:pt>
                <c:pt idx="83">
                  <c:v>3.6794471318223771</c:v>
                </c:pt>
                <c:pt idx="84">
                  <c:v>3.5142447195514648</c:v>
                </c:pt>
                <c:pt idx="85">
                  <c:v>3.5132065324326649</c:v>
                </c:pt>
                <c:pt idx="86">
                  <c:v>3.5877925211048072</c:v>
                </c:pt>
                <c:pt idx="87">
                  <c:v>3.8989442247090373</c:v>
                </c:pt>
                <c:pt idx="88">
                  <c:v>3.7887083459716697</c:v>
                </c:pt>
                <c:pt idx="89">
                  <c:v>3.7727646554253327</c:v>
                </c:pt>
                <c:pt idx="90">
                  <c:v>4.0240002866456477</c:v>
                </c:pt>
                <c:pt idx="91">
                  <c:v>3.9949637649956213</c:v>
                </c:pt>
                <c:pt idx="92">
                  <c:v>4.2169773363375622</c:v>
                </c:pt>
                <c:pt idx="93">
                  <c:v>4.241276538801289</c:v>
                </c:pt>
                <c:pt idx="94">
                  <c:v>4.2850515257795934</c:v>
                </c:pt>
                <c:pt idx="95">
                  <c:v>4.3114727270678523</c:v>
                </c:pt>
                <c:pt idx="96">
                  <c:v>4.2280363299539596</c:v>
                </c:pt>
                <c:pt idx="97">
                  <c:v>4.3300161914703637</c:v>
                </c:pt>
                <c:pt idx="98">
                  <c:v>4.297824058082548</c:v>
                </c:pt>
                <c:pt idx="99">
                  <c:v>4.2989516526999418</c:v>
                </c:pt>
                <c:pt idx="100">
                  <c:v>4.3721029900079049</c:v>
                </c:pt>
                <c:pt idx="101">
                  <c:v>4.4849548186493688</c:v>
                </c:pt>
                <c:pt idx="102">
                  <c:v>4.4267309419461318</c:v>
                </c:pt>
                <c:pt idx="103">
                  <c:v>4.3910100429209162</c:v>
                </c:pt>
                <c:pt idx="104">
                  <c:v>4.42128650009907</c:v>
                </c:pt>
                <c:pt idx="105">
                  <c:v>4.3577390359465671</c:v>
                </c:pt>
                <c:pt idx="106">
                  <c:v>4.3517333256969968</c:v>
                </c:pt>
                <c:pt idx="107">
                  <c:v>4.282040278803974</c:v>
                </c:pt>
                <c:pt idx="108">
                  <c:v>4.2692938038933246</c:v>
                </c:pt>
                <c:pt idx="109">
                  <c:v>4.4938835846128127</c:v>
                </c:pt>
                <c:pt idx="110">
                  <c:v>4.6023450234475725</c:v>
                </c:pt>
                <c:pt idx="111">
                  <c:v>4.5538306727245956</c:v>
                </c:pt>
                <c:pt idx="112">
                  <c:v>4.4323883632141445</c:v>
                </c:pt>
                <c:pt idx="113">
                  <c:v>4.4090748181795574</c:v>
                </c:pt>
                <c:pt idx="114">
                  <c:v>4.4663752494178874</c:v>
                </c:pt>
                <c:pt idx="115">
                  <c:v>4.4020808550829695</c:v>
                </c:pt>
                <c:pt idx="116">
                  <c:v>4.6513428067927141</c:v>
                </c:pt>
                <c:pt idx="117">
                  <c:v>4.647340345861422</c:v>
                </c:pt>
                <c:pt idx="118">
                  <c:v>4.5967171744116895</c:v>
                </c:pt>
                <c:pt idx="119">
                  <c:v>4.5791723751358813</c:v>
                </c:pt>
                <c:pt idx="120">
                  <c:v>4.401176828181911</c:v>
                </c:pt>
                <c:pt idx="121">
                  <c:v>4.3981007009896818</c:v>
                </c:pt>
                <c:pt idx="122">
                  <c:v>4.2475187790333688</c:v>
                </c:pt>
                <c:pt idx="123">
                  <c:v>4.285642910114313</c:v>
                </c:pt>
                <c:pt idx="124">
                  <c:v>4.1843469411656482</c:v>
                </c:pt>
                <c:pt idx="125">
                  <c:v>4.0459818069274709</c:v>
                </c:pt>
                <c:pt idx="126">
                  <c:v>4.1160913846153937</c:v>
                </c:pt>
                <c:pt idx="127">
                  <c:v>4.1946293322379269</c:v>
                </c:pt>
                <c:pt idx="128">
                  <c:v>4.1665499787622595</c:v>
                </c:pt>
                <c:pt idx="129">
                  <c:v>4.0603041207368147</c:v>
                </c:pt>
                <c:pt idx="130">
                  <c:v>4.0481140775131124</c:v>
                </c:pt>
                <c:pt idx="131">
                  <c:v>3.9619545267149379</c:v>
                </c:pt>
                <c:pt idx="132">
                  <c:v>3.9692610533920654</c:v>
                </c:pt>
                <c:pt idx="133">
                  <c:v>3.9862390082668346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10-468C-A625-7C9ADFC95DBA}"/>
            </c:ext>
          </c:extLst>
        </c:ser>
        <c:ser>
          <c:idx val="8"/>
          <c:order val="8"/>
          <c:tx>
            <c:strRef>
              <c:f>畫圖!$B$20:$B$20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畫圖!$C$20:$EF$20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0.59907605605559955</c:v>
                </c:pt>
                <c:pt idx="3">
                  <c:v>0.78149567474874071</c:v>
                </c:pt>
                <c:pt idx="4">
                  <c:v>0.93952303832082429</c:v>
                </c:pt>
                <c:pt idx="5">
                  <c:v>1.0834553205764996</c:v>
                </c:pt>
                <c:pt idx="6">
                  <c:v>1.2416048831776014</c:v>
                </c:pt>
                <c:pt idx="7">
                  <c:v>1.1083975901005743</c:v>
                </c:pt>
                <c:pt idx="8">
                  <c:v>1.1458022749526859</c:v>
                </c:pt>
                <c:pt idx="9">
                  <c:v>1.1764977579537814</c:v>
                </c:pt>
                <c:pt idx="10">
                  <c:v>0.90780393281580518</c:v>
                </c:pt>
                <c:pt idx="11">
                  <c:v>1.4078154108252794</c:v>
                </c:pt>
                <c:pt idx="12">
                  <c:v>1.5069168949697531</c:v>
                </c:pt>
                <c:pt idx="13">
                  <c:v>1.5469453897215233</c:v>
                </c:pt>
                <c:pt idx="14">
                  <c:v>1.7717702007139184</c:v>
                </c:pt>
                <c:pt idx="15">
                  <c:v>1.838239833802775</c:v>
                </c:pt>
                <c:pt idx="16">
                  <c:v>1.7808987512299739</c:v>
                </c:pt>
                <c:pt idx="17">
                  <c:v>1.6800532181865011</c:v>
                </c:pt>
                <c:pt idx="18">
                  <c:v>1.7122908766060083</c:v>
                </c:pt>
                <c:pt idx="19">
                  <c:v>1.5760028132384316</c:v>
                </c:pt>
                <c:pt idx="20">
                  <c:v>1.6670876826709764</c:v>
                </c:pt>
                <c:pt idx="21">
                  <c:v>1.8171299942985151</c:v>
                </c:pt>
                <c:pt idx="22">
                  <c:v>1.8122742364381994</c:v>
                </c:pt>
                <c:pt idx="23">
                  <c:v>1.8414315864925459</c:v>
                </c:pt>
                <c:pt idx="24">
                  <c:v>1.8198370331052487</c:v>
                </c:pt>
                <c:pt idx="25">
                  <c:v>1.7594134088172186</c:v>
                </c:pt>
                <c:pt idx="26">
                  <c:v>1.6631043659919196</c:v>
                </c:pt>
                <c:pt idx="27">
                  <c:v>1.7929477847055839</c:v>
                </c:pt>
                <c:pt idx="28">
                  <c:v>1.8102589343326212</c:v>
                </c:pt>
                <c:pt idx="29">
                  <c:v>1.803789652849326</c:v>
                </c:pt>
                <c:pt idx="30">
                  <c:v>1.7761304343094337</c:v>
                </c:pt>
                <c:pt idx="31">
                  <c:v>1.6859522335946511</c:v>
                </c:pt>
                <c:pt idx="32">
                  <c:v>1.7641067785158195</c:v>
                </c:pt>
                <c:pt idx="33">
                  <c:v>1.7021167439682718</c:v>
                </c:pt>
                <c:pt idx="34">
                  <c:v>1.6885216284722691</c:v>
                </c:pt>
                <c:pt idx="35">
                  <c:v>1.7614150805092459</c:v>
                </c:pt>
                <c:pt idx="36">
                  <c:v>1.7945110612580486</c:v>
                </c:pt>
                <c:pt idx="37">
                  <c:v>1.8699812547770469</c:v>
                </c:pt>
                <c:pt idx="38">
                  <c:v>1.9152663367417353</c:v>
                </c:pt>
                <c:pt idx="39">
                  <c:v>1.7835358754863475</c:v>
                </c:pt>
                <c:pt idx="40">
                  <c:v>1.8109883608192985</c:v>
                </c:pt>
                <c:pt idx="41">
                  <c:v>1.8242776339091327</c:v>
                </c:pt>
                <c:pt idx="42">
                  <c:v>1.9363734435919497</c:v>
                </c:pt>
                <c:pt idx="43">
                  <c:v>1.9335239044761601</c:v>
                </c:pt>
                <c:pt idx="44">
                  <c:v>2.0092162913712861</c:v>
                </c:pt>
                <c:pt idx="45">
                  <c:v>2.0806894770252193</c:v>
                </c:pt>
                <c:pt idx="46">
                  <c:v>2.0875547452043701</c:v>
                </c:pt>
                <c:pt idx="47">
                  <c:v>2.1982872932030717</c:v>
                </c:pt>
                <c:pt idx="48">
                  <c:v>2.1360016994000008</c:v>
                </c:pt>
                <c:pt idx="49">
                  <c:v>2.2358060026723243</c:v>
                </c:pt>
                <c:pt idx="50">
                  <c:v>2.3871437281782373</c:v>
                </c:pt>
                <c:pt idx="51">
                  <c:v>2.6183573543663141</c:v>
                </c:pt>
                <c:pt idx="52">
                  <c:v>2.5484721216684183</c:v>
                </c:pt>
                <c:pt idx="53">
                  <c:v>2.5568322950349383</c:v>
                </c:pt>
                <c:pt idx="54">
                  <c:v>2.5183654625895016</c:v>
                </c:pt>
                <c:pt idx="55">
                  <c:v>2.4631485624152325</c:v>
                </c:pt>
                <c:pt idx="56">
                  <c:v>2.411421369097094</c:v>
                </c:pt>
                <c:pt idx="57">
                  <c:v>2.4830278162112052</c:v>
                </c:pt>
                <c:pt idx="58">
                  <c:v>2.5061994028515748</c:v>
                </c:pt>
                <c:pt idx="59">
                  <c:v>2.5613553234704316</c:v>
                </c:pt>
                <c:pt idx="60">
                  <c:v>2.6790056958754533</c:v>
                </c:pt>
                <c:pt idx="61">
                  <c:v>2.6987890373796772</c:v>
                </c:pt>
                <c:pt idx="62">
                  <c:v>2.6442331270512547</c:v>
                </c:pt>
                <c:pt idx="63">
                  <c:v>2.6255950997980886</c:v>
                </c:pt>
                <c:pt idx="64">
                  <c:v>2.6179845548523057</c:v>
                </c:pt>
                <c:pt idx="65">
                  <c:v>2.610702307345981</c:v>
                </c:pt>
                <c:pt idx="66">
                  <c:v>2.6261540143068238</c:v>
                </c:pt>
                <c:pt idx="67">
                  <c:v>2.6382276460372962</c:v>
                </c:pt>
                <c:pt idx="68">
                  <c:v>2.6436351522284873</c:v>
                </c:pt>
                <c:pt idx="69">
                  <c:v>2.696102775510393</c:v>
                </c:pt>
                <c:pt idx="70">
                  <c:v>2.5466617714650708</c:v>
                </c:pt>
                <c:pt idx="71">
                  <c:v>2.6803716959420774</c:v>
                </c:pt>
                <c:pt idx="72">
                  <c:v>3.0224143748213623</c:v>
                </c:pt>
                <c:pt idx="73">
                  <c:v>2.9695529530908371</c:v>
                </c:pt>
                <c:pt idx="74">
                  <c:v>2.9263694704036007</c:v>
                </c:pt>
                <c:pt idx="75">
                  <c:v>3.0166408746638842</c:v>
                </c:pt>
                <c:pt idx="76">
                  <c:v>3.0668577007549582</c:v>
                </c:pt>
                <c:pt idx="77">
                  <c:v>3.1933527465249774</c:v>
                </c:pt>
                <c:pt idx="78">
                  <c:v>3.2062678940030578</c:v>
                </c:pt>
                <c:pt idx="79">
                  <c:v>3.3872953914936548</c:v>
                </c:pt>
                <c:pt idx="80">
                  <c:v>3.473073564096095</c:v>
                </c:pt>
                <c:pt idx="81">
                  <c:v>3.3418650083312804</c:v>
                </c:pt>
                <c:pt idx="82">
                  <c:v>3.6638035306306649</c:v>
                </c:pt>
                <c:pt idx="83">
                  <c:v>3.7356675562278032</c:v>
                </c:pt>
                <c:pt idx="84">
                  <c:v>3.6041818218161561</c:v>
                </c:pt>
                <c:pt idx="85">
                  <c:v>3.5918579839169547</c:v>
                </c:pt>
                <c:pt idx="86">
                  <c:v>3.6541347354586091</c:v>
                </c:pt>
                <c:pt idx="87">
                  <c:v>3.9520696458227671</c:v>
                </c:pt>
                <c:pt idx="88">
                  <c:v>3.8552938399735295</c:v>
                </c:pt>
                <c:pt idx="89">
                  <c:v>3.8359458623821543</c:v>
                </c:pt>
                <c:pt idx="90">
                  <c:v>4.1325191674871835</c:v>
                </c:pt>
                <c:pt idx="91">
                  <c:v>4.1399435093461632</c:v>
                </c:pt>
                <c:pt idx="92">
                  <c:v>4.2224633157215132</c:v>
                </c:pt>
                <c:pt idx="93">
                  <c:v>4.2478258684955268</c:v>
                </c:pt>
                <c:pt idx="94">
                  <c:v>4.2701189066548864</c:v>
                </c:pt>
                <c:pt idx="95">
                  <c:v>4.2985333140514745</c:v>
                </c:pt>
                <c:pt idx="96">
                  <c:v>4.2036656557849623</c:v>
                </c:pt>
                <c:pt idx="97">
                  <c:v>4.2961767314803883</c:v>
                </c:pt>
                <c:pt idx="98">
                  <c:v>4.2703603289089118</c:v>
                </c:pt>
                <c:pt idx="99">
                  <c:v>4.2797464726622136</c:v>
                </c:pt>
                <c:pt idx="100">
                  <c:v>4.3884793110642857</c:v>
                </c:pt>
                <c:pt idx="101">
                  <c:v>4.5436409562134843</c:v>
                </c:pt>
                <c:pt idx="102">
                  <c:v>4.4961690630583071</c:v>
                </c:pt>
                <c:pt idx="103">
                  <c:v>4.4392663533011731</c:v>
                </c:pt>
                <c:pt idx="104">
                  <c:v>4.4681675140037767</c:v>
                </c:pt>
                <c:pt idx="105">
                  <c:v>4.4000045016899927</c:v>
                </c:pt>
                <c:pt idx="106">
                  <c:v>4.3695379325637109</c:v>
                </c:pt>
                <c:pt idx="107">
                  <c:v>4.3703970540961317</c:v>
                </c:pt>
                <c:pt idx="108">
                  <c:v>4.3661948434757614</c:v>
                </c:pt>
                <c:pt idx="109">
                  <c:v>4.6444936966447035</c:v>
                </c:pt>
                <c:pt idx="110">
                  <c:v>4.7820894559573768</c:v>
                </c:pt>
                <c:pt idx="111">
                  <c:v>4.7426295096884887</c:v>
                </c:pt>
                <c:pt idx="112">
                  <c:v>4.6574419696679854</c:v>
                </c:pt>
                <c:pt idx="113">
                  <c:v>4.6676289383512897</c:v>
                </c:pt>
                <c:pt idx="114">
                  <c:v>4.7369650450264063</c:v>
                </c:pt>
                <c:pt idx="115">
                  <c:v>4.6725038426079495</c:v>
                </c:pt>
                <c:pt idx="116">
                  <c:v>4.930505206066961</c:v>
                </c:pt>
                <c:pt idx="117">
                  <c:v>4.9088339443018567</c:v>
                </c:pt>
                <c:pt idx="118">
                  <c:v>4.8702936332174884</c:v>
                </c:pt>
                <c:pt idx="119">
                  <c:v>4.8147356409907571</c:v>
                </c:pt>
                <c:pt idx="120">
                  <c:v>4.6086545434124027</c:v>
                </c:pt>
                <c:pt idx="121">
                  <c:v>4.6134838875963853</c:v>
                </c:pt>
                <c:pt idx="122">
                  <c:v>4.4371087186659892</c:v>
                </c:pt>
                <c:pt idx="123">
                  <c:v>4.4069158222863845</c:v>
                </c:pt>
                <c:pt idx="124">
                  <c:v>4.3033696541465796</c:v>
                </c:pt>
                <c:pt idx="125">
                  <c:v>4.149503324540265</c:v>
                </c:pt>
                <c:pt idx="126">
                  <c:v>4.2031219338919135</c:v>
                </c:pt>
                <c:pt idx="127">
                  <c:v>4.2933215800508879</c:v>
                </c:pt>
                <c:pt idx="128">
                  <c:v>4.308238605478512</c:v>
                </c:pt>
                <c:pt idx="129">
                  <c:v>4.2019263386282253</c:v>
                </c:pt>
                <c:pt idx="130">
                  <c:v>4.2359759200421667</c:v>
                </c:pt>
                <c:pt idx="131">
                  <c:v>4.1613502620448388</c:v>
                </c:pt>
                <c:pt idx="132">
                  <c:v>4.1630912417966934</c:v>
                </c:pt>
                <c:pt idx="133">
                  <c:v>4.1833726584126003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10-468C-A625-7C9ADFC95DBA}"/>
            </c:ext>
          </c:extLst>
        </c:ser>
        <c:ser>
          <c:idx val="9"/>
          <c:order val="9"/>
          <c:tx>
            <c:strRef>
              <c:f>畫圖!$B$21:$B$21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畫圖!$C$21:$EF$21</c:f>
              <c:numCache>
                <c:formatCode>General</c:formatCode>
                <c:ptCount val="134"/>
                <c:pt idx="0">
                  <c:v>0.21462957980695321</c:v>
                </c:pt>
                <c:pt idx="1">
                  <c:v>0.34101749657377678</c:v>
                </c:pt>
                <c:pt idx="2">
                  <c:v>0.34073814430298494</c:v>
                </c:pt>
                <c:pt idx="3">
                  <c:v>0.54415164186231235</c:v>
                </c:pt>
                <c:pt idx="4">
                  <c:v>0.68948350066931274</c:v>
                </c:pt>
                <c:pt idx="5">
                  <c:v>0.8516475884631507</c:v>
                </c:pt>
                <c:pt idx="6">
                  <c:v>0.99890319659062365</c:v>
                </c:pt>
                <c:pt idx="7">
                  <c:v>0.86216028125076705</c:v>
                </c:pt>
                <c:pt idx="8">
                  <c:v>0.86363057721090297</c:v>
                </c:pt>
                <c:pt idx="9">
                  <c:v>0.85860142390484229</c:v>
                </c:pt>
                <c:pt idx="10">
                  <c:v>0.6587164492143267</c:v>
                </c:pt>
                <c:pt idx="11">
                  <c:v>1.2436077138350519</c:v>
                </c:pt>
                <c:pt idx="12">
                  <c:v>1.3733901723654054</c:v>
                </c:pt>
                <c:pt idx="13">
                  <c:v>1.4188173653829086</c:v>
                </c:pt>
                <c:pt idx="14">
                  <c:v>1.6929008106535983</c:v>
                </c:pt>
                <c:pt idx="15">
                  <c:v>1.7778060418469388</c:v>
                </c:pt>
                <c:pt idx="16">
                  <c:v>1.7412427501902419</c:v>
                </c:pt>
                <c:pt idx="17">
                  <c:v>1.6101223892518146</c:v>
                </c:pt>
                <c:pt idx="18">
                  <c:v>1.6002977485174177</c:v>
                </c:pt>
                <c:pt idx="19">
                  <c:v>1.4685472598649152</c:v>
                </c:pt>
                <c:pt idx="20">
                  <c:v>1.5930458786934232</c:v>
                </c:pt>
                <c:pt idx="21">
                  <c:v>1.800847146046761</c:v>
                </c:pt>
                <c:pt idx="22">
                  <c:v>1.7907034856735584</c:v>
                </c:pt>
                <c:pt idx="23">
                  <c:v>1.8301612013535156</c:v>
                </c:pt>
                <c:pt idx="24">
                  <c:v>1.8496522448936095</c:v>
                </c:pt>
                <c:pt idx="25">
                  <c:v>1.7843646498627437</c:v>
                </c:pt>
                <c:pt idx="26">
                  <c:v>1.624822377398542</c:v>
                </c:pt>
                <c:pt idx="27">
                  <c:v>1.7536470430461</c:v>
                </c:pt>
                <c:pt idx="28">
                  <c:v>1.7639586537401599</c:v>
                </c:pt>
                <c:pt idx="29">
                  <c:v>1.7303918283561794</c:v>
                </c:pt>
                <c:pt idx="30">
                  <c:v>1.6860890505663853</c:v>
                </c:pt>
                <c:pt idx="31">
                  <c:v>1.5785076880015869</c:v>
                </c:pt>
                <c:pt idx="32">
                  <c:v>1.658101897334878</c:v>
                </c:pt>
                <c:pt idx="33">
                  <c:v>1.5876965553884093</c:v>
                </c:pt>
                <c:pt idx="34">
                  <c:v>1.5518933877702992</c:v>
                </c:pt>
                <c:pt idx="35">
                  <c:v>1.6172732105034098</c:v>
                </c:pt>
                <c:pt idx="36">
                  <c:v>1.6858090179510403</c:v>
                </c:pt>
                <c:pt idx="37">
                  <c:v>1.7977650740141347</c:v>
                </c:pt>
                <c:pt idx="38">
                  <c:v>1.8454914696578613</c:v>
                </c:pt>
                <c:pt idx="39">
                  <c:v>1.772956326087842</c:v>
                </c:pt>
                <c:pt idx="40">
                  <c:v>1.8498218330983898</c:v>
                </c:pt>
                <c:pt idx="41">
                  <c:v>1.8018336916950797</c:v>
                </c:pt>
                <c:pt idx="42">
                  <c:v>1.8662895603417091</c:v>
                </c:pt>
                <c:pt idx="43">
                  <c:v>1.8028455119297475</c:v>
                </c:pt>
                <c:pt idx="44">
                  <c:v>1.8506551434387046</c:v>
                </c:pt>
                <c:pt idx="45">
                  <c:v>1.9015527114101469</c:v>
                </c:pt>
                <c:pt idx="46">
                  <c:v>1.9113437413642442</c:v>
                </c:pt>
                <c:pt idx="47">
                  <c:v>2.0544914288340008</c:v>
                </c:pt>
                <c:pt idx="48">
                  <c:v>1.9356152340090069</c:v>
                </c:pt>
                <c:pt idx="49">
                  <c:v>2.0441175924236132</c:v>
                </c:pt>
                <c:pt idx="50">
                  <c:v>2.1837102745849402</c:v>
                </c:pt>
                <c:pt idx="51">
                  <c:v>2.4782229115622618</c:v>
                </c:pt>
                <c:pt idx="52">
                  <c:v>2.3981760234326237</c:v>
                </c:pt>
                <c:pt idx="53">
                  <c:v>2.4363951707005373</c:v>
                </c:pt>
                <c:pt idx="54">
                  <c:v>2.3958068381967257</c:v>
                </c:pt>
                <c:pt idx="55">
                  <c:v>2.3335168888215376</c:v>
                </c:pt>
                <c:pt idx="56">
                  <c:v>2.2549918293595832</c:v>
                </c:pt>
                <c:pt idx="57">
                  <c:v>2.3313131924983383</c:v>
                </c:pt>
                <c:pt idx="58">
                  <c:v>2.3775869611300284</c:v>
                </c:pt>
                <c:pt idx="59">
                  <c:v>2.3999810234941381</c:v>
                </c:pt>
                <c:pt idx="60">
                  <c:v>2.4727041382428521</c:v>
                </c:pt>
                <c:pt idx="61">
                  <c:v>2.4764569367508975</c:v>
                </c:pt>
                <c:pt idx="62">
                  <c:v>2.3814865817575956</c:v>
                </c:pt>
                <c:pt idx="63">
                  <c:v>2.3556958153091485</c:v>
                </c:pt>
                <c:pt idx="64">
                  <c:v>2.3706999180190351</c:v>
                </c:pt>
                <c:pt idx="65">
                  <c:v>2.3748807203506281</c:v>
                </c:pt>
                <c:pt idx="66">
                  <c:v>2.4294229511851331</c:v>
                </c:pt>
                <c:pt idx="67">
                  <c:v>2.4417468133689977</c:v>
                </c:pt>
                <c:pt idx="68">
                  <c:v>2.4476069861241738</c:v>
                </c:pt>
                <c:pt idx="69">
                  <c:v>2.5084277286666987</c:v>
                </c:pt>
                <c:pt idx="70">
                  <c:v>2.3376892181162807</c:v>
                </c:pt>
                <c:pt idx="71">
                  <c:v>2.3569297062685202</c:v>
                </c:pt>
                <c:pt idx="72">
                  <c:v>2.7590606221075795</c:v>
                </c:pt>
                <c:pt idx="73">
                  <c:v>2.6818956195869825</c:v>
                </c:pt>
                <c:pt idx="74">
                  <c:v>2.6669792406701456</c:v>
                </c:pt>
                <c:pt idx="75">
                  <c:v>2.7146421693908613</c:v>
                </c:pt>
                <c:pt idx="76">
                  <c:v>2.8097016032384206</c:v>
                </c:pt>
                <c:pt idx="77">
                  <c:v>3.0175714511400082</c:v>
                </c:pt>
                <c:pt idx="78">
                  <c:v>3.0095524968690421</c:v>
                </c:pt>
                <c:pt idx="79">
                  <c:v>3.2976085612315154</c:v>
                </c:pt>
                <c:pt idx="80">
                  <c:v>3.3591234435856694</c:v>
                </c:pt>
                <c:pt idx="81">
                  <c:v>3.231952967494061</c:v>
                </c:pt>
                <c:pt idx="82">
                  <c:v>3.5521197508745375</c:v>
                </c:pt>
                <c:pt idx="83">
                  <c:v>3.6322200719507491</c:v>
                </c:pt>
                <c:pt idx="84">
                  <c:v>3.5089267255392023</c:v>
                </c:pt>
                <c:pt idx="85">
                  <c:v>3.4969702586982847</c:v>
                </c:pt>
                <c:pt idx="86">
                  <c:v>3.5055338890144667</c:v>
                </c:pt>
                <c:pt idx="87">
                  <c:v>3.8676176399126629</c:v>
                </c:pt>
                <c:pt idx="88">
                  <c:v>3.751385820732104</c:v>
                </c:pt>
                <c:pt idx="89">
                  <c:v>3.7401039015416448</c:v>
                </c:pt>
                <c:pt idx="90">
                  <c:v>4.0755876597365246</c:v>
                </c:pt>
                <c:pt idx="91">
                  <c:v>3.9793343713331324</c:v>
                </c:pt>
                <c:pt idx="92">
                  <c:v>3.9199307543150974</c:v>
                </c:pt>
                <c:pt idx="93">
                  <c:v>3.9315465431752004</c:v>
                </c:pt>
                <c:pt idx="94">
                  <c:v>3.9624542888576979</c:v>
                </c:pt>
                <c:pt idx="95">
                  <c:v>4.0104473929307023</c:v>
                </c:pt>
                <c:pt idx="96">
                  <c:v>3.9477738327612109</c:v>
                </c:pt>
                <c:pt idx="97">
                  <c:v>4.0459994647825974</c:v>
                </c:pt>
                <c:pt idx="98">
                  <c:v>4.015246983474559</c:v>
                </c:pt>
                <c:pt idx="99">
                  <c:v>4.0286425074356185</c:v>
                </c:pt>
                <c:pt idx="100">
                  <c:v>4.1311476685171815</c:v>
                </c:pt>
                <c:pt idx="101">
                  <c:v>4.3685990393430121</c:v>
                </c:pt>
                <c:pt idx="102">
                  <c:v>4.369791295799744</c:v>
                </c:pt>
                <c:pt idx="103">
                  <c:v>4.3181668621235891</c:v>
                </c:pt>
                <c:pt idx="104">
                  <c:v>4.3664760094890962</c:v>
                </c:pt>
                <c:pt idx="105">
                  <c:v>4.2994485132883549</c:v>
                </c:pt>
                <c:pt idx="106">
                  <c:v>4.2447292452939429</c:v>
                </c:pt>
                <c:pt idx="107">
                  <c:v>4.2662901259918176</c:v>
                </c:pt>
                <c:pt idx="108">
                  <c:v>4.2741365041203512</c:v>
                </c:pt>
                <c:pt idx="109">
                  <c:v>4.3555726924003784</c:v>
                </c:pt>
                <c:pt idx="110">
                  <c:v>4.5354125175677815</c:v>
                </c:pt>
                <c:pt idx="111">
                  <c:v>4.4975012043772216</c:v>
                </c:pt>
                <c:pt idx="112">
                  <c:v>4.4066056134702754</c:v>
                </c:pt>
                <c:pt idx="113">
                  <c:v>4.4388138167198354</c:v>
                </c:pt>
                <c:pt idx="114">
                  <c:v>4.4638026191619815</c:v>
                </c:pt>
                <c:pt idx="115">
                  <c:v>4.4169277837953462</c:v>
                </c:pt>
                <c:pt idx="116">
                  <c:v>4.7485545886739926</c:v>
                </c:pt>
                <c:pt idx="117">
                  <c:v>4.7114459555757593</c:v>
                </c:pt>
                <c:pt idx="118">
                  <c:v>4.6832299035233627</c:v>
                </c:pt>
                <c:pt idx="119">
                  <c:v>4.6296729137166688</c:v>
                </c:pt>
                <c:pt idx="120">
                  <c:v>4.4288334398793729</c:v>
                </c:pt>
                <c:pt idx="121">
                  <c:v>4.4191247969371101</c:v>
                </c:pt>
                <c:pt idx="122">
                  <c:v>4.2705100802986964</c:v>
                </c:pt>
                <c:pt idx="123">
                  <c:v>4.22084567614933</c:v>
                </c:pt>
                <c:pt idx="124">
                  <c:v>4.1173111835530269</c:v>
                </c:pt>
                <c:pt idx="125">
                  <c:v>3.9313449695218434</c:v>
                </c:pt>
                <c:pt idx="126">
                  <c:v>3.9559409650598596</c:v>
                </c:pt>
                <c:pt idx="127">
                  <c:v>4.0548715387197651</c:v>
                </c:pt>
                <c:pt idx="128">
                  <c:v>4.0300060162713374</c:v>
                </c:pt>
                <c:pt idx="129">
                  <c:v>3.9267104572473297</c:v>
                </c:pt>
                <c:pt idx="130">
                  <c:v>3.9407475123453719</c:v>
                </c:pt>
                <c:pt idx="131">
                  <c:v>3.8580174648421606</c:v>
                </c:pt>
                <c:pt idx="132">
                  <c:v>3.8367068725342932</c:v>
                </c:pt>
                <c:pt idx="133">
                  <c:v>3.8179356084921743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10-468C-A625-7C9ADFC95DBA}"/>
            </c:ext>
          </c:extLst>
        </c:ser>
        <c:ser>
          <c:idx val="10"/>
          <c:order val="10"/>
          <c:tx>
            <c:strRef>
              <c:f>畫圖!$B$22:$B$22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畫圖!$C$22:$EF$22</c:f>
              <c:numCache>
                <c:formatCode>General</c:formatCode>
                <c:ptCount val="134"/>
                <c:pt idx="0">
                  <c:v>0.20528030103697539</c:v>
                </c:pt>
                <c:pt idx="1">
                  <c:v>0.34770815311437386</c:v>
                </c:pt>
                <c:pt idx="2">
                  <c:v>0.30668062111375483</c:v>
                </c:pt>
                <c:pt idx="3">
                  <c:v>0.16681317080436783</c:v>
                </c:pt>
                <c:pt idx="4">
                  <c:v>0.3997585953996905</c:v>
                </c:pt>
                <c:pt idx="5">
                  <c:v>0.52393665836033676</c:v>
                </c:pt>
                <c:pt idx="6">
                  <c:v>0.64742982769840651</c:v>
                </c:pt>
                <c:pt idx="7">
                  <c:v>0.54317632496177704</c:v>
                </c:pt>
                <c:pt idx="8">
                  <c:v>0.57183310507817109</c:v>
                </c:pt>
                <c:pt idx="9">
                  <c:v>0.58610631376315336</c:v>
                </c:pt>
                <c:pt idx="10">
                  <c:v>0.40144352642020326</c:v>
                </c:pt>
                <c:pt idx="11">
                  <c:v>1.1575869695375423</c:v>
                </c:pt>
                <c:pt idx="12">
                  <c:v>1.3010673155418147</c:v>
                </c:pt>
                <c:pt idx="13">
                  <c:v>1.3916981899684489</c:v>
                </c:pt>
                <c:pt idx="14">
                  <c:v>1.518969080199839</c:v>
                </c:pt>
                <c:pt idx="15">
                  <c:v>1.5856673728061705</c:v>
                </c:pt>
                <c:pt idx="16">
                  <c:v>1.5464332292689913</c:v>
                </c:pt>
                <c:pt idx="17">
                  <c:v>1.4415842621123613</c:v>
                </c:pt>
                <c:pt idx="18">
                  <c:v>1.4940731686079831</c:v>
                </c:pt>
                <c:pt idx="19">
                  <c:v>1.3184482661375707</c:v>
                </c:pt>
                <c:pt idx="20">
                  <c:v>1.4764960193015213</c:v>
                </c:pt>
                <c:pt idx="21">
                  <c:v>1.7336983705150182</c:v>
                </c:pt>
                <c:pt idx="22">
                  <c:v>1.6638450388122175</c:v>
                </c:pt>
                <c:pt idx="23">
                  <c:v>1.6877111606025739</c:v>
                </c:pt>
                <c:pt idx="24">
                  <c:v>1.6947591774894306</c:v>
                </c:pt>
                <c:pt idx="25">
                  <c:v>1.6564851230678594</c:v>
                </c:pt>
                <c:pt idx="26">
                  <c:v>1.4792720449189967</c:v>
                </c:pt>
                <c:pt idx="27">
                  <c:v>1.492844833691358</c:v>
                </c:pt>
                <c:pt idx="28">
                  <c:v>1.4076971477336508</c:v>
                </c:pt>
                <c:pt idx="29">
                  <c:v>1.3212929086912273</c:v>
                </c:pt>
                <c:pt idx="30">
                  <c:v>1.2684513685154934</c:v>
                </c:pt>
                <c:pt idx="31">
                  <c:v>1.1625854090950207</c:v>
                </c:pt>
                <c:pt idx="32">
                  <c:v>1.2567266697524069</c:v>
                </c:pt>
                <c:pt idx="33">
                  <c:v>1.2250268204259986</c:v>
                </c:pt>
                <c:pt idx="34">
                  <c:v>1.3263153811663944</c:v>
                </c:pt>
                <c:pt idx="35">
                  <c:v>1.3666563479732947</c:v>
                </c:pt>
                <c:pt idx="36">
                  <c:v>1.4507452514409982</c:v>
                </c:pt>
                <c:pt idx="37">
                  <c:v>1.5618780611045575</c:v>
                </c:pt>
                <c:pt idx="38">
                  <c:v>1.6365954344982632</c:v>
                </c:pt>
                <c:pt idx="39">
                  <c:v>1.5740590806102706</c:v>
                </c:pt>
                <c:pt idx="40">
                  <c:v>1.6534851980888636</c:v>
                </c:pt>
                <c:pt idx="41">
                  <c:v>1.5855607103852603</c:v>
                </c:pt>
                <c:pt idx="42">
                  <c:v>1.6683711492838103</c:v>
                </c:pt>
                <c:pt idx="43">
                  <c:v>1.669444844014073</c:v>
                </c:pt>
                <c:pt idx="44">
                  <c:v>1.7029452959249429</c:v>
                </c:pt>
                <c:pt idx="45">
                  <c:v>1.7625914360986084</c:v>
                </c:pt>
                <c:pt idx="46">
                  <c:v>1.7324420468915993</c:v>
                </c:pt>
                <c:pt idx="47">
                  <c:v>1.9062054468716236</c:v>
                </c:pt>
                <c:pt idx="48">
                  <c:v>1.7424811155260567</c:v>
                </c:pt>
                <c:pt idx="49">
                  <c:v>1.8976695195695903</c:v>
                </c:pt>
                <c:pt idx="50">
                  <c:v>1.9474444771537773</c:v>
                </c:pt>
                <c:pt idx="51">
                  <c:v>2.3169950604502652</c:v>
                </c:pt>
                <c:pt idx="52">
                  <c:v>2.2296616783381795</c:v>
                </c:pt>
                <c:pt idx="53">
                  <c:v>2.3089212232576157</c:v>
                </c:pt>
                <c:pt idx="54">
                  <c:v>2.2404381863895151</c:v>
                </c:pt>
                <c:pt idx="55">
                  <c:v>2.1855521726347087</c:v>
                </c:pt>
                <c:pt idx="56">
                  <c:v>2.0893736435050707</c:v>
                </c:pt>
                <c:pt idx="57">
                  <c:v>2.2173341858432027</c:v>
                </c:pt>
                <c:pt idx="58">
                  <c:v>2.2996796533158768</c:v>
                </c:pt>
                <c:pt idx="59">
                  <c:v>2.3405699849954011</c:v>
                </c:pt>
                <c:pt idx="60">
                  <c:v>2.3888852260470657</c:v>
                </c:pt>
                <c:pt idx="61">
                  <c:v>2.406749108181347</c:v>
                </c:pt>
                <c:pt idx="62">
                  <c:v>2.2858094728537712</c:v>
                </c:pt>
                <c:pt idx="63">
                  <c:v>2.2028715736534488</c:v>
                </c:pt>
                <c:pt idx="64">
                  <c:v>2.2412216366172917</c:v>
                </c:pt>
                <c:pt idx="65">
                  <c:v>2.2417626367418233</c:v>
                </c:pt>
                <c:pt idx="66">
                  <c:v>2.2695927341401361</c:v>
                </c:pt>
                <c:pt idx="67">
                  <c:v>2.2904063436065889</c:v>
                </c:pt>
                <c:pt idx="68">
                  <c:v>2.2740335612297899</c:v>
                </c:pt>
                <c:pt idx="69">
                  <c:v>2.1853073668970064</c:v>
                </c:pt>
                <c:pt idx="70">
                  <c:v>2.0809567838146417</c:v>
                </c:pt>
                <c:pt idx="71">
                  <c:v>2.0816385439821992</c:v>
                </c:pt>
                <c:pt idx="72">
                  <c:v>2.5093550404465756</c:v>
                </c:pt>
                <c:pt idx="73">
                  <c:v>2.3963261415422106</c:v>
                </c:pt>
                <c:pt idx="74">
                  <c:v>2.4286790170627102</c:v>
                </c:pt>
                <c:pt idx="75">
                  <c:v>2.4759367529256022</c:v>
                </c:pt>
                <c:pt idx="76">
                  <c:v>2.6200154889598575</c:v>
                </c:pt>
                <c:pt idx="77">
                  <c:v>2.8747547446747186</c:v>
                </c:pt>
                <c:pt idx="78">
                  <c:v>2.7496507493546858</c:v>
                </c:pt>
                <c:pt idx="79">
                  <c:v>3.0835287860674088</c:v>
                </c:pt>
                <c:pt idx="80">
                  <c:v>3.1503689317042265</c:v>
                </c:pt>
                <c:pt idx="81">
                  <c:v>2.9947963632817598</c:v>
                </c:pt>
                <c:pt idx="82">
                  <c:v>3.43859717833617</c:v>
                </c:pt>
                <c:pt idx="83">
                  <c:v>3.554515949615618</c:v>
                </c:pt>
                <c:pt idx="84">
                  <c:v>3.3240667825774337</c:v>
                </c:pt>
                <c:pt idx="85">
                  <c:v>3.3078239347343117</c:v>
                </c:pt>
                <c:pt idx="86">
                  <c:v>3.2806714381633744</c:v>
                </c:pt>
                <c:pt idx="87">
                  <c:v>3.8346258035658924</c:v>
                </c:pt>
                <c:pt idx="88">
                  <c:v>3.6147933183684291</c:v>
                </c:pt>
                <c:pt idx="89">
                  <c:v>3.6366436251540168</c:v>
                </c:pt>
                <c:pt idx="90">
                  <c:v>3.9087031233008918</c:v>
                </c:pt>
                <c:pt idx="91">
                  <c:v>3.8273800172795047</c:v>
                </c:pt>
                <c:pt idx="92">
                  <c:v>3.7529130070054766</c:v>
                </c:pt>
                <c:pt idx="93">
                  <c:v>3.7244908019263159</c:v>
                </c:pt>
                <c:pt idx="94">
                  <c:v>3.7489303887583487</c:v>
                </c:pt>
                <c:pt idx="95">
                  <c:v>3.7871930033336239</c:v>
                </c:pt>
                <c:pt idx="96">
                  <c:v>3.666961291369526</c:v>
                </c:pt>
                <c:pt idx="97">
                  <c:v>3.7791949865765804</c:v>
                </c:pt>
                <c:pt idx="98">
                  <c:v>3.7656951880406186</c:v>
                </c:pt>
                <c:pt idx="99">
                  <c:v>3.8129806412994092</c:v>
                </c:pt>
                <c:pt idx="100">
                  <c:v>3.9174914673674706</c:v>
                </c:pt>
                <c:pt idx="101">
                  <c:v>4.1804119519667093</c:v>
                </c:pt>
                <c:pt idx="102">
                  <c:v>4.1764201980847853</c:v>
                </c:pt>
                <c:pt idx="103">
                  <c:v>4.1180366912562931</c:v>
                </c:pt>
                <c:pt idx="104">
                  <c:v>4.1903787249892375</c:v>
                </c:pt>
                <c:pt idx="105">
                  <c:v>4.1744161471736749</c:v>
                </c:pt>
                <c:pt idx="106">
                  <c:v>4.0410600039282452</c:v>
                </c:pt>
                <c:pt idx="107">
                  <c:v>4.0580917792017983</c:v>
                </c:pt>
                <c:pt idx="108">
                  <c:v>4.0900768222826862</c:v>
                </c:pt>
                <c:pt idx="109">
                  <c:v>4.1715312038985948</c:v>
                </c:pt>
                <c:pt idx="110">
                  <c:v>4.2316533151691846</c:v>
                </c:pt>
                <c:pt idx="111">
                  <c:v>4.1814073093360884</c:v>
                </c:pt>
                <c:pt idx="112">
                  <c:v>4.0899789042765775</c:v>
                </c:pt>
                <c:pt idx="113">
                  <c:v>4.1116592304344683</c:v>
                </c:pt>
                <c:pt idx="114">
                  <c:v>4.1435439397241991</c:v>
                </c:pt>
                <c:pt idx="115">
                  <c:v>4.0603702326466404</c:v>
                </c:pt>
                <c:pt idx="116">
                  <c:v>4.1360860487015465</c:v>
                </c:pt>
                <c:pt idx="117">
                  <c:v>4.0309869889010681</c:v>
                </c:pt>
                <c:pt idx="118">
                  <c:v>3.9791367870634469</c:v>
                </c:pt>
                <c:pt idx="119">
                  <c:v>3.9079004873903114</c:v>
                </c:pt>
                <c:pt idx="120">
                  <c:v>3.7108495658279521</c:v>
                </c:pt>
                <c:pt idx="121">
                  <c:v>3.6671681195038639</c:v>
                </c:pt>
                <c:pt idx="122">
                  <c:v>3.5056212086211338</c:v>
                </c:pt>
                <c:pt idx="123">
                  <c:v>3.5589913754493758</c:v>
                </c:pt>
                <c:pt idx="124">
                  <c:v>3.4775759620694524</c:v>
                </c:pt>
                <c:pt idx="125">
                  <c:v>3.2551333536211575</c:v>
                </c:pt>
                <c:pt idx="126">
                  <c:v>3.2469862369956175</c:v>
                </c:pt>
                <c:pt idx="127">
                  <c:v>3.3578207417833288</c:v>
                </c:pt>
                <c:pt idx="128">
                  <c:v>3.28727209294397</c:v>
                </c:pt>
                <c:pt idx="129">
                  <c:v>3.1443450168916427</c:v>
                </c:pt>
                <c:pt idx="130">
                  <c:v>3.1658401184672811</c:v>
                </c:pt>
                <c:pt idx="131">
                  <c:v>3.108340899858471</c:v>
                </c:pt>
                <c:pt idx="132">
                  <c:v>3.0607042404737719</c:v>
                </c:pt>
                <c:pt idx="133">
                  <c:v>3.0259139941015993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10-468C-A625-7C9ADFC95DBA}"/>
            </c:ext>
          </c:extLst>
        </c:ser>
        <c:ser>
          <c:idx val="11"/>
          <c:order val="11"/>
          <c:tx>
            <c:strRef>
              <c:f>畫圖!$B$23:$B$23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0.53708189314779009</c:v>
                </c:pt>
                <c:pt idx="2">
                  <c:v>0.45614072057711785</c:v>
                </c:pt>
                <c:pt idx="3">
                  <c:v>0.45240048763520718</c:v>
                </c:pt>
                <c:pt idx="4">
                  <c:v>0.81403260841364</c:v>
                </c:pt>
                <c:pt idx="5">
                  <c:v>0.79584413757215533</c:v>
                </c:pt>
                <c:pt idx="6">
                  <c:v>0.9439961661724493</c:v>
                </c:pt>
                <c:pt idx="7">
                  <c:v>0.8291186602420042</c:v>
                </c:pt>
                <c:pt idx="8">
                  <c:v>0.7692007757339413</c:v>
                </c:pt>
                <c:pt idx="9">
                  <c:v>0.81997160943912428</c:v>
                </c:pt>
                <c:pt idx="10">
                  <c:v>0.67268464141162743</c:v>
                </c:pt>
                <c:pt idx="11">
                  <c:v>1.6485860846829075</c:v>
                </c:pt>
                <c:pt idx="12">
                  <c:v>1.8531504626559094</c:v>
                </c:pt>
                <c:pt idx="13">
                  <c:v>1.9078319886904573</c:v>
                </c:pt>
                <c:pt idx="14">
                  <c:v>2.1990054821571619</c:v>
                </c:pt>
                <c:pt idx="15">
                  <c:v>2.2618274601269235</c:v>
                </c:pt>
                <c:pt idx="16">
                  <c:v>2.1892547956768613</c:v>
                </c:pt>
                <c:pt idx="17">
                  <c:v>2.1045786199081329</c:v>
                </c:pt>
                <c:pt idx="18">
                  <c:v>2.1638204093892344</c:v>
                </c:pt>
                <c:pt idx="19">
                  <c:v>1.9313432060183096</c:v>
                </c:pt>
                <c:pt idx="20">
                  <c:v>2.1908905296953689</c:v>
                </c:pt>
                <c:pt idx="21">
                  <c:v>2.3854469911530134</c:v>
                </c:pt>
                <c:pt idx="22">
                  <c:v>2.3174970695616626</c:v>
                </c:pt>
                <c:pt idx="23">
                  <c:v>2.3585490360819139</c:v>
                </c:pt>
                <c:pt idx="24">
                  <c:v>2.365155328051384</c:v>
                </c:pt>
                <c:pt idx="25">
                  <c:v>2.3174063828322287</c:v>
                </c:pt>
                <c:pt idx="26">
                  <c:v>2.083397761885784</c:v>
                </c:pt>
                <c:pt idx="27">
                  <c:v>2.155026629971458</c:v>
                </c:pt>
                <c:pt idx="28">
                  <c:v>1.9333133941498089</c:v>
                </c:pt>
                <c:pt idx="29">
                  <c:v>1.9080129017832617</c:v>
                </c:pt>
                <c:pt idx="30">
                  <c:v>1.8161392441369015</c:v>
                </c:pt>
                <c:pt idx="31">
                  <c:v>1.7319676596137183</c:v>
                </c:pt>
                <c:pt idx="32">
                  <c:v>1.7551959262362002</c:v>
                </c:pt>
                <c:pt idx="33">
                  <c:v>1.7608390640843545</c:v>
                </c:pt>
                <c:pt idx="34">
                  <c:v>1.8749501634315455</c:v>
                </c:pt>
                <c:pt idx="35">
                  <c:v>2.0063818766240811</c:v>
                </c:pt>
                <c:pt idx="36">
                  <c:v>2.0141513656289463</c:v>
                </c:pt>
                <c:pt idx="37">
                  <c:v>2.2564660649862471</c:v>
                </c:pt>
                <c:pt idx="38">
                  <c:v>2.251129112794823</c:v>
                </c:pt>
                <c:pt idx="39">
                  <c:v>2.2542502121471286</c:v>
                </c:pt>
                <c:pt idx="40">
                  <c:v>2.3436752044067393</c:v>
                </c:pt>
                <c:pt idx="41">
                  <c:v>2.197539040067372</c:v>
                </c:pt>
                <c:pt idx="42">
                  <c:v>2.1828321520699943</c:v>
                </c:pt>
                <c:pt idx="43">
                  <c:v>2.1997833828857254</c:v>
                </c:pt>
                <c:pt idx="44">
                  <c:v>2.2329289090142299</c:v>
                </c:pt>
                <c:pt idx="45">
                  <c:v>2.1361716586140966</c:v>
                </c:pt>
                <c:pt idx="46">
                  <c:v>2.0841447487756937</c:v>
                </c:pt>
                <c:pt idx="47">
                  <c:v>2.1539829026027375</c:v>
                </c:pt>
                <c:pt idx="48">
                  <c:v>1.9908349915220271</c:v>
                </c:pt>
                <c:pt idx="49">
                  <c:v>2.0689065680432344</c:v>
                </c:pt>
                <c:pt idx="50">
                  <c:v>2.1229049066730918</c:v>
                </c:pt>
                <c:pt idx="51">
                  <c:v>2.6897314327205324</c:v>
                </c:pt>
                <c:pt idx="52">
                  <c:v>2.5167313723460349</c:v>
                </c:pt>
                <c:pt idx="53">
                  <c:v>2.6427041568205309</c:v>
                </c:pt>
                <c:pt idx="54">
                  <c:v>2.556171762030528</c:v>
                </c:pt>
                <c:pt idx="55">
                  <c:v>2.4961588184087029</c:v>
                </c:pt>
                <c:pt idx="56">
                  <c:v>2.4512501437144363</c:v>
                </c:pt>
                <c:pt idx="57">
                  <c:v>2.6547341250697234</c:v>
                </c:pt>
                <c:pt idx="58">
                  <c:v>2.7759396487051333</c:v>
                </c:pt>
                <c:pt idx="59">
                  <c:v>2.8334335095106242</c:v>
                </c:pt>
                <c:pt idx="60">
                  <c:v>2.8812828328118125</c:v>
                </c:pt>
                <c:pt idx="61">
                  <c:v>2.8278506128671395</c:v>
                </c:pt>
                <c:pt idx="62">
                  <c:v>2.6437028056092711</c:v>
                </c:pt>
                <c:pt idx="63">
                  <c:v>2.6052495683689978</c:v>
                </c:pt>
                <c:pt idx="64">
                  <c:v>2.6670650483368643</c:v>
                </c:pt>
                <c:pt idx="65">
                  <c:v>2.6895407697295464</c:v>
                </c:pt>
                <c:pt idx="66">
                  <c:v>2.7615886711648123</c:v>
                </c:pt>
                <c:pt idx="67">
                  <c:v>2.7794329926287751</c:v>
                </c:pt>
                <c:pt idx="68">
                  <c:v>2.7061576039708632</c:v>
                </c:pt>
                <c:pt idx="69">
                  <c:v>2.4879709278379591</c:v>
                </c:pt>
                <c:pt idx="70">
                  <c:v>2.3822856540445558</c:v>
                </c:pt>
                <c:pt idx="71">
                  <c:v>2.3652667031686279</c:v>
                </c:pt>
                <c:pt idx="72">
                  <c:v>2.9662642296020789</c:v>
                </c:pt>
                <c:pt idx="73">
                  <c:v>2.8975291402712808</c:v>
                </c:pt>
                <c:pt idx="74">
                  <c:v>2.9374685891474113</c:v>
                </c:pt>
                <c:pt idx="75">
                  <c:v>2.945138351579256</c:v>
                </c:pt>
                <c:pt idx="76">
                  <c:v>3.1515110739667427</c:v>
                </c:pt>
                <c:pt idx="77">
                  <c:v>3.4676778357254925</c:v>
                </c:pt>
                <c:pt idx="78">
                  <c:v>3.3831332210097171</c:v>
                </c:pt>
                <c:pt idx="79">
                  <c:v>3.5748096760245023</c:v>
                </c:pt>
                <c:pt idx="80">
                  <c:v>3.6344119778622197</c:v>
                </c:pt>
                <c:pt idx="81">
                  <c:v>3.4509787415766602</c:v>
                </c:pt>
                <c:pt idx="82">
                  <c:v>3.7438826796943974</c:v>
                </c:pt>
                <c:pt idx="83">
                  <c:v>3.9240791286158259</c:v>
                </c:pt>
                <c:pt idx="84">
                  <c:v>3.864956654702302</c:v>
                </c:pt>
                <c:pt idx="85">
                  <c:v>3.9032119036385788</c:v>
                </c:pt>
                <c:pt idx="86">
                  <c:v>3.8466175782590737</c:v>
                </c:pt>
                <c:pt idx="87">
                  <c:v>4.6677664050246053</c:v>
                </c:pt>
                <c:pt idx="88">
                  <c:v>4.4330614324085067</c:v>
                </c:pt>
                <c:pt idx="89">
                  <c:v>4.4830304879727496</c:v>
                </c:pt>
                <c:pt idx="90">
                  <c:v>4.7491890256998506</c:v>
                </c:pt>
                <c:pt idx="91">
                  <c:v>4.6294707120207583</c:v>
                </c:pt>
                <c:pt idx="92">
                  <c:v>4.5621556138723864</c:v>
                </c:pt>
                <c:pt idx="93">
                  <c:v>4.5239227747011661</c:v>
                </c:pt>
                <c:pt idx="94">
                  <c:v>4.5929381455580716</c:v>
                </c:pt>
                <c:pt idx="95">
                  <c:v>4.6583283609380217</c:v>
                </c:pt>
                <c:pt idx="96">
                  <c:v>4.6372717652247344</c:v>
                </c:pt>
                <c:pt idx="97">
                  <c:v>4.6150266277359284</c:v>
                </c:pt>
                <c:pt idx="98">
                  <c:v>4.6791917398517695</c:v>
                </c:pt>
                <c:pt idx="99">
                  <c:v>4.6349376603022341</c:v>
                </c:pt>
                <c:pt idx="100">
                  <c:v>4.788687993973773</c:v>
                </c:pt>
                <c:pt idx="101">
                  <c:v>4.9706867878311245</c:v>
                </c:pt>
                <c:pt idx="102">
                  <c:v>4.9397046516052141</c:v>
                </c:pt>
                <c:pt idx="103">
                  <c:v>4.9237494947382174</c:v>
                </c:pt>
                <c:pt idx="104">
                  <c:v>4.9961655283946431</c:v>
                </c:pt>
                <c:pt idx="105">
                  <c:v>4.9777577021216421</c:v>
                </c:pt>
                <c:pt idx="106">
                  <c:v>4.8363124022620827</c:v>
                </c:pt>
                <c:pt idx="107">
                  <c:v>4.8982545293069881</c:v>
                </c:pt>
                <c:pt idx="108">
                  <c:v>4.9365245411817051</c:v>
                </c:pt>
                <c:pt idx="109">
                  <c:v>5.0757514346938137</c:v>
                </c:pt>
                <c:pt idx="110">
                  <c:v>5.1717919855647096</c:v>
                </c:pt>
                <c:pt idx="111">
                  <c:v>5.0847339773923617</c:v>
                </c:pt>
                <c:pt idx="112">
                  <c:v>4.993488988651535</c:v>
                </c:pt>
                <c:pt idx="113">
                  <c:v>4.9368816543204597</c:v>
                </c:pt>
                <c:pt idx="114">
                  <c:v>4.9833589703097019</c:v>
                </c:pt>
                <c:pt idx="115">
                  <c:v>4.865154215882332</c:v>
                </c:pt>
                <c:pt idx="116">
                  <c:v>4.9892226578700614</c:v>
                </c:pt>
                <c:pt idx="117">
                  <c:v>4.9508182620320627</c:v>
                </c:pt>
                <c:pt idx="118">
                  <c:v>4.8296862207746054</c:v>
                </c:pt>
                <c:pt idx="119">
                  <c:v>4.7272604255396038</c:v>
                </c:pt>
                <c:pt idx="120">
                  <c:v>4.4391638486205576</c:v>
                </c:pt>
                <c:pt idx="121">
                  <c:v>4.3849133879519453</c:v>
                </c:pt>
                <c:pt idx="122">
                  <c:v>4.3292739092436632</c:v>
                </c:pt>
                <c:pt idx="123">
                  <c:v>4.3374071628589377</c:v>
                </c:pt>
                <c:pt idx="124">
                  <c:v>4.3604589836139995</c:v>
                </c:pt>
                <c:pt idx="125">
                  <c:v>4.0469657772350329</c:v>
                </c:pt>
                <c:pt idx="126">
                  <c:v>4.2168426058872868</c:v>
                </c:pt>
                <c:pt idx="127">
                  <c:v>3.9996686181348453</c:v>
                </c:pt>
                <c:pt idx="128">
                  <c:v>3.9762197105217258</c:v>
                </c:pt>
                <c:pt idx="129">
                  <c:v>3.8379942153985236</c:v>
                </c:pt>
                <c:pt idx="130">
                  <c:v>3.8014098990727101</c:v>
                </c:pt>
                <c:pt idx="131">
                  <c:v>3.8403103216424341</c:v>
                </c:pt>
                <c:pt idx="132">
                  <c:v>3.7710982456574413</c:v>
                </c:pt>
                <c:pt idx="133">
                  <c:v>3.7233159670657816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10-468C-A625-7C9ADFC95DBA}"/>
            </c:ext>
          </c:extLst>
        </c:ser>
        <c:ser>
          <c:idx val="12"/>
          <c:order val="12"/>
          <c:tx>
            <c:strRef>
              <c:f>畫圖!$B$24:$B$24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畫圖!$C$24:$EF$24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0.19972327710611135</c:v>
                </c:pt>
                <c:pt idx="2">
                  <c:v>0.27112360727540824</c:v>
                </c:pt>
                <c:pt idx="3">
                  <c:v>0.34645010110711494</c:v>
                </c:pt>
                <c:pt idx="4">
                  <c:v>0.57605715296527871</c:v>
                </c:pt>
                <c:pt idx="5">
                  <c:v>0.61191294962023535</c:v>
                </c:pt>
                <c:pt idx="6">
                  <c:v>0.60980101641709183</c:v>
                </c:pt>
                <c:pt idx="7">
                  <c:v>0.49433821820306934</c:v>
                </c:pt>
                <c:pt idx="8">
                  <c:v>0.54807121487130339</c:v>
                </c:pt>
                <c:pt idx="9">
                  <c:v>0.64187090812805381</c:v>
                </c:pt>
                <c:pt idx="10">
                  <c:v>0.42408523509031232</c:v>
                </c:pt>
                <c:pt idx="11">
                  <c:v>2.1931166042028813</c:v>
                </c:pt>
                <c:pt idx="12">
                  <c:v>2.4284257976083046</c:v>
                </c:pt>
                <c:pt idx="13">
                  <c:v>2.4301620864726519</c:v>
                </c:pt>
                <c:pt idx="14">
                  <c:v>2.4273149508702545</c:v>
                </c:pt>
                <c:pt idx="15">
                  <c:v>2.3994921269851663</c:v>
                </c:pt>
                <c:pt idx="16">
                  <c:v>2.3884376667777176</c:v>
                </c:pt>
                <c:pt idx="17">
                  <c:v>2.1006210632582301</c:v>
                </c:pt>
                <c:pt idx="18">
                  <c:v>2.3864773532396306</c:v>
                </c:pt>
                <c:pt idx="19">
                  <c:v>2.2877988419803006</c:v>
                </c:pt>
                <c:pt idx="20">
                  <c:v>2.1232343243934206</c:v>
                </c:pt>
                <c:pt idx="21">
                  <c:v>2.1223354479284033</c:v>
                </c:pt>
                <c:pt idx="22">
                  <c:v>2.0020179548638728</c:v>
                </c:pt>
                <c:pt idx="23">
                  <c:v>1.9776234061142965</c:v>
                </c:pt>
                <c:pt idx="24">
                  <c:v>1.9911711743518739</c:v>
                </c:pt>
                <c:pt idx="25">
                  <c:v>1.8069197516830955</c:v>
                </c:pt>
                <c:pt idx="26">
                  <c:v>1.5607507928983959</c:v>
                </c:pt>
                <c:pt idx="27">
                  <c:v>1.6619260921551189</c:v>
                </c:pt>
                <c:pt idx="28">
                  <c:v>1.4866572771477768</c:v>
                </c:pt>
                <c:pt idx="29">
                  <c:v>1.3209534975012345</c:v>
                </c:pt>
                <c:pt idx="30">
                  <c:v>1.182217779874597</c:v>
                </c:pt>
                <c:pt idx="31">
                  <c:v>1.1255204198068074</c:v>
                </c:pt>
                <c:pt idx="32">
                  <c:v>1.1167120887083801</c:v>
                </c:pt>
                <c:pt idx="33">
                  <c:v>1.0358208447090047</c:v>
                </c:pt>
                <c:pt idx="34">
                  <c:v>1.1207047977771971</c:v>
                </c:pt>
                <c:pt idx="35">
                  <c:v>1.0660278622865618</c:v>
                </c:pt>
                <c:pt idx="36">
                  <c:v>1.047108580866035</c:v>
                </c:pt>
                <c:pt idx="37">
                  <c:v>1.2682980460114663</c:v>
                </c:pt>
                <c:pt idx="38">
                  <c:v>1.3343881578404564</c:v>
                </c:pt>
                <c:pt idx="39">
                  <c:v>1.31153644235136</c:v>
                </c:pt>
                <c:pt idx="40">
                  <c:v>1.3586134151856057</c:v>
                </c:pt>
                <c:pt idx="41">
                  <c:v>1.1877800090147801</c:v>
                </c:pt>
                <c:pt idx="42">
                  <c:v>1.15982393174819</c:v>
                </c:pt>
                <c:pt idx="43">
                  <c:v>1.1657525413372458</c:v>
                </c:pt>
                <c:pt idx="44">
                  <c:v>1.2098478612024701</c:v>
                </c:pt>
                <c:pt idx="45">
                  <c:v>1.1903256467799461</c:v>
                </c:pt>
                <c:pt idx="46">
                  <c:v>1.1953131882909853</c:v>
                </c:pt>
                <c:pt idx="47">
                  <c:v>1.2236193748794097</c:v>
                </c:pt>
                <c:pt idx="48">
                  <c:v>0.78014593314291059</c:v>
                </c:pt>
                <c:pt idx="49">
                  <c:v>0.89876965821408705</c:v>
                </c:pt>
                <c:pt idx="50">
                  <c:v>0.94926096362609935</c:v>
                </c:pt>
                <c:pt idx="51">
                  <c:v>1.6400374950067711</c:v>
                </c:pt>
                <c:pt idx="52">
                  <c:v>1.4342878945704494</c:v>
                </c:pt>
                <c:pt idx="53">
                  <c:v>1.4529189286573132</c:v>
                </c:pt>
                <c:pt idx="54">
                  <c:v>1.3487878058066287</c:v>
                </c:pt>
                <c:pt idx="55">
                  <c:v>1.2485561004252224</c:v>
                </c:pt>
                <c:pt idx="56">
                  <c:v>1.0719325647459055</c:v>
                </c:pt>
                <c:pt idx="57">
                  <c:v>1.4581879016594406</c:v>
                </c:pt>
                <c:pt idx="58">
                  <c:v>1.6274568266521596</c:v>
                </c:pt>
                <c:pt idx="59">
                  <c:v>1.8270968598226107</c:v>
                </c:pt>
                <c:pt idx="60">
                  <c:v>1.8619245069953847</c:v>
                </c:pt>
                <c:pt idx="61">
                  <c:v>1.8310258954762109</c:v>
                </c:pt>
                <c:pt idx="62">
                  <c:v>1.4541095379165667</c:v>
                </c:pt>
                <c:pt idx="63">
                  <c:v>1.3451962776000193</c:v>
                </c:pt>
                <c:pt idx="64">
                  <c:v>1.3395718560415528</c:v>
                </c:pt>
                <c:pt idx="65">
                  <c:v>1.3077777517116631</c:v>
                </c:pt>
                <c:pt idx="66">
                  <c:v>1.2436081183815482</c:v>
                </c:pt>
                <c:pt idx="67">
                  <c:v>1.285964341684966</c:v>
                </c:pt>
                <c:pt idx="68">
                  <c:v>1.284679624200509</c:v>
                </c:pt>
                <c:pt idx="69">
                  <c:v>1.0079606080603005</c:v>
                </c:pt>
                <c:pt idx="70">
                  <c:v>0.9992121157454551</c:v>
                </c:pt>
                <c:pt idx="71">
                  <c:v>0.79590796391500473</c:v>
                </c:pt>
                <c:pt idx="72">
                  <c:v>1.9049200339523669</c:v>
                </c:pt>
                <c:pt idx="73">
                  <c:v>1.8009649999032755</c:v>
                </c:pt>
                <c:pt idx="74">
                  <c:v>1.5106281249578586</c:v>
                </c:pt>
                <c:pt idx="75">
                  <c:v>1.7695210238078554</c:v>
                </c:pt>
                <c:pt idx="76">
                  <c:v>1.8695459394968061</c:v>
                </c:pt>
                <c:pt idx="77">
                  <c:v>2.5092440731313213</c:v>
                </c:pt>
                <c:pt idx="78">
                  <c:v>2.3267741932437596</c:v>
                </c:pt>
                <c:pt idx="79">
                  <c:v>2.4710805039859545</c:v>
                </c:pt>
                <c:pt idx="80">
                  <c:v>2.6366453779770689</c:v>
                </c:pt>
                <c:pt idx="81">
                  <c:v>2.4715140249676728</c:v>
                </c:pt>
                <c:pt idx="82">
                  <c:v>2.7087918598275982</c:v>
                </c:pt>
                <c:pt idx="83">
                  <c:v>3.0630691566701014</c:v>
                </c:pt>
                <c:pt idx="84">
                  <c:v>3.0045609994370626</c:v>
                </c:pt>
                <c:pt idx="85">
                  <c:v>3.0617351290108186</c:v>
                </c:pt>
                <c:pt idx="86">
                  <c:v>3.0935902952520364</c:v>
                </c:pt>
                <c:pt idx="87">
                  <c:v>4.2422103301223828</c:v>
                </c:pt>
                <c:pt idx="88">
                  <c:v>3.6057770657628723</c:v>
                </c:pt>
                <c:pt idx="89">
                  <c:v>3.6206935960109208</c:v>
                </c:pt>
                <c:pt idx="90">
                  <c:v>4.0731710378013739</c:v>
                </c:pt>
                <c:pt idx="91">
                  <c:v>3.8238323205472402</c:v>
                </c:pt>
                <c:pt idx="92">
                  <c:v>3.6462268980160855</c:v>
                </c:pt>
                <c:pt idx="93">
                  <c:v>3.5494089908247468</c:v>
                </c:pt>
                <c:pt idx="94">
                  <c:v>3.5225540683036383</c:v>
                </c:pt>
                <c:pt idx="95">
                  <c:v>3.4030096799677985</c:v>
                </c:pt>
                <c:pt idx="96">
                  <c:v>3.3302583323110886</c:v>
                </c:pt>
                <c:pt idx="97">
                  <c:v>3.3453223798504639</c:v>
                </c:pt>
                <c:pt idx="98">
                  <c:v>3.3437342376426562</c:v>
                </c:pt>
                <c:pt idx="99">
                  <c:v>3.3964994964859234</c:v>
                </c:pt>
                <c:pt idx="100">
                  <c:v>3.7176472486926642</c:v>
                </c:pt>
                <c:pt idx="101">
                  <c:v>3.8298538771372312</c:v>
                </c:pt>
                <c:pt idx="102">
                  <c:v>3.8543650812999859</c:v>
                </c:pt>
                <c:pt idx="103">
                  <c:v>3.6589044087873317</c:v>
                </c:pt>
                <c:pt idx="104">
                  <c:v>3.8384575240266798</c:v>
                </c:pt>
                <c:pt idx="105">
                  <c:v>3.8877572966974552</c:v>
                </c:pt>
                <c:pt idx="106">
                  <c:v>3.5811212163619999</c:v>
                </c:pt>
                <c:pt idx="107">
                  <c:v>3.4764562403414385</c:v>
                </c:pt>
                <c:pt idx="108">
                  <c:v>3.5355620744657825</c:v>
                </c:pt>
                <c:pt idx="109">
                  <c:v>3.8013647504582946</c:v>
                </c:pt>
                <c:pt idx="110">
                  <c:v>3.8385496587326755</c:v>
                </c:pt>
                <c:pt idx="111">
                  <c:v>3.706061048223436</c:v>
                </c:pt>
                <c:pt idx="112">
                  <c:v>3.5863808670152464</c:v>
                </c:pt>
                <c:pt idx="113">
                  <c:v>3.5546321687006661</c:v>
                </c:pt>
                <c:pt idx="114">
                  <c:v>3.5550456139457336</c:v>
                </c:pt>
                <c:pt idx="115">
                  <c:v>3.4060123581162518</c:v>
                </c:pt>
                <c:pt idx="116">
                  <c:v>3.521624313139732</c:v>
                </c:pt>
                <c:pt idx="117">
                  <c:v>3.3772936707593759</c:v>
                </c:pt>
                <c:pt idx="118">
                  <c:v>3.3268074802804506</c:v>
                </c:pt>
                <c:pt idx="119">
                  <c:v>3.3034157490069216</c:v>
                </c:pt>
                <c:pt idx="120">
                  <c:v>3.0871542079740761</c:v>
                </c:pt>
                <c:pt idx="121">
                  <c:v>3.0124208627080713</c:v>
                </c:pt>
                <c:pt idx="122">
                  <c:v>3.0342022580693015</c:v>
                </c:pt>
                <c:pt idx="123">
                  <c:v>3.1322490928719273</c:v>
                </c:pt>
                <c:pt idx="124">
                  <c:v>3.2334315895271715</c:v>
                </c:pt>
                <c:pt idx="125">
                  <c:v>2.9218384617346675</c:v>
                </c:pt>
                <c:pt idx="126">
                  <c:v>3.2656427485328763</c:v>
                </c:pt>
                <c:pt idx="127">
                  <c:v>2.8321361697961844</c:v>
                </c:pt>
                <c:pt idx="128">
                  <c:v>2.9094870920235203</c:v>
                </c:pt>
                <c:pt idx="129">
                  <c:v>2.8002583196507138</c:v>
                </c:pt>
                <c:pt idx="130">
                  <c:v>2.7859484008800348</c:v>
                </c:pt>
                <c:pt idx="131">
                  <c:v>2.7161132472134182</c:v>
                </c:pt>
                <c:pt idx="132">
                  <c:v>2.6086325899790004</c:v>
                </c:pt>
                <c:pt idx="133">
                  <c:v>2.6759092670229689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10-468C-A625-7C9ADFC95DBA}"/>
            </c:ext>
          </c:extLst>
        </c:ser>
        <c:ser>
          <c:idx val="13"/>
          <c:order val="13"/>
          <c:tx>
            <c:strRef>
              <c:f>畫圖!$A$25:$B$25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F10-468C-A625-7C9ADFC95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617423"/>
        <c:axId val="732617903"/>
      </c:lineChart>
      <c:catAx>
        <c:axId val="7326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903"/>
        <c:crosses val="autoZero"/>
        <c:auto val="1"/>
        <c:lblAlgn val="ctr"/>
        <c:lblOffset val="100"/>
        <c:noMultiLvlLbl val="0"/>
      </c:catAx>
      <c:valAx>
        <c:axId val="7326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83820</xdr:colOff>
      <xdr:row>26</xdr:row>
      <xdr:rowOff>121920</xdr:rowOff>
    </xdr:from>
    <xdr:to>
      <xdr:col>20</xdr:col>
      <xdr:colOff>377190</xdr:colOff>
      <xdr:row>52</xdr:row>
      <xdr:rowOff>60960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5507AF3-164C-E591-0A60-8E167FFE3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540310</xdr:colOff>
      <xdr:row>26</xdr:row>
      <xdr:rowOff>104485</xdr:rowOff>
    </xdr:from>
    <xdr:to>
      <xdr:col>127</xdr:col>
      <xdr:colOff>174550</xdr:colOff>
      <xdr:row>40</xdr:row>
      <xdr:rowOff>180684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股價淨值比"/>
      <sheetName val="bm(函數)"/>
      <sheetName val="bm"/>
      <sheetName val="下個月月報酬"/>
      <sheetName val="bm補值"/>
      <sheetName val="下個月月報酬補值"/>
      <sheetName val="bmIC"/>
    </sheetNames>
    <sheetDataSet>
      <sheetData sheetId="0"/>
      <sheetData sheetId="1"/>
      <sheetData sheetId="2"/>
      <sheetData sheetId="3"/>
      <sheetData sheetId="4">
        <row r="2">
          <cell r="C2">
            <v>0.77519379844961234</v>
          </cell>
          <cell r="EG2">
            <v>0.78125</v>
          </cell>
        </row>
        <row r="3">
          <cell r="EG3">
            <v>0.77519379844961234</v>
          </cell>
        </row>
        <row r="4">
          <cell r="EG4">
            <v>1.4925373134328357</v>
          </cell>
        </row>
        <row r="5">
          <cell r="EG5">
            <v>1.2345679012345678</v>
          </cell>
        </row>
        <row r="6">
          <cell r="EG6">
            <v>1.2987012987012987</v>
          </cell>
        </row>
        <row r="7">
          <cell r="EG7">
            <v>1.4285714285714286</v>
          </cell>
        </row>
        <row r="8">
          <cell r="EG8">
            <v>1.2820512820512819</v>
          </cell>
        </row>
        <row r="9">
          <cell r="EG9">
            <v>0.28735632183908044</v>
          </cell>
        </row>
        <row r="10">
          <cell r="EG10">
            <v>0.72992700729927007</v>
          </cell>
        </row>
        <row r="11">
          <cell r="EG11">
            <v>0.61349693251533743</v>
          </cell>
        </row>
        <row r="12">
          <cell r="EG12">
            <v>0.96153846153846145</v>
          </cell>
        </row>
        <row r="13">
          <cell r="EG13">
            <v>0.85470085470085477</v>
          </cell>
        </row>
        <row r="14">
          <cell r="EG14">
            <v>0.45248868778280543</v>
          </cell>
        </row>
        <row r="15">
          <cell r="EG15">
            <v>0.81967213114754101</v>
          </cell>
        </row>
        <row r="16">
          <cell r="EG16">
            <v>0.89285714285714279</v>
          </cell>
        </row>
        <row r="17">
          <cell r="EG17">
            <v>1.0309278350515465</v>
          </cell>
        </row>
        <row r="18">
          <cell r="EG18">
            <v>0.83333333333333337</v>
          </cell>
        </row>
        <row r="19">
          <cell r="EG19">
            <v>0.76923076923076916</v>
          </cell>
        </row>
        <row r="20">
          <cell r="EG20">
            <v>0.29069767441860467</v>
          </cell>
        </row>
        <row r="21">
          <cell r="EG21">
            <v>1.2195121951219512</v>
          </cell>
        </row>
        <row r="22">
          <cell r="EG22">
            <v>1.0416666666666667</v>
          </cell>
        </row>
        <row r="23">
          <cell r="EG23">
            <v>0.4081632653061224</v>
          </cell>
        </row>
        <row r="24">
          <cell r="EG24">
            <v>0.31847133757961782</v>
          </cell>
        </row>
        <row r="25">
          <cell r="EG25">
            <v>0.67114093959731547</v>
          </cell>
        </row>
        <row r="26">
          <cell r="EG26">
            <v>0.4329004329004329</v>
          </cell>
        </row>
        <row r="27">
          <cell r="EG27">
            <v>0.63291139240506322</v>
          </cell>
        </row>
        <row r="28">
          <cell r="EG28">
            <v>0.49019607843137253</v>
          </cell>
        </row>
        <row r="29">
          <cell r="EG29">
            <v>0.47169811320754712</v>
          </cell>
        </row>
        <row r="30">
          <cell r="EG30">
            <v>0.74626865671641784</v>
          </cell>
        </row>
        <row r="31">
          <cell r="EG31">
            <v>0.9174311926605504</v>
          </cell>
        </row>
        <row r="32">
          <cell r="EG32">
            <v>0.4504504504504504</v>
          </cell>
        </row>
        <row r="33">
          <cell r="EG33">
            <v>0.79365079365079361</v>
          </cell>
        </row>
        <row r="34">
          <cell r="EG34">
            <v>0.88495575221238942</v>
          </cell>
        </row>
        <row r="35">
          <cell r="EG35">
            <v>0.61728395061728392</v>
          </cell>
        </row>
        <row r="36">
          <cell r="EG36">
            <v>0.76335877862595414</v>
          </cell>
        </row>
        <row r="37">
          <cell r="EG37">
            <v>0.81967213114754101</v>
          </cell>
        </row>
        <row r="38">
          <cell r="EG38">
            <v>0.88495575221238942</v>
          </cell>
        </row>
        <row r="39">
          <cell r="EG39">
            <v>1.0989010989010988</v>
          </cell>
        </row>
        <row r="40">
          <cell r="EG40">
            <v>1.1494252873563218</v>
          </cell>
        </row>
        <row r="41">
          <cell r="EG41">
            <v>0.3623188405797102</v>
          </cell>
        </row>
        <row r="42">
          <cell r="EG42">
            <v>0.47619047619047616</v>
          </cell>
        </row>
        <row r="43">
          <cell r="EG43">
            <v>0.75757575757575757</v>
          </cell>
        </row>
        <row r="44">
          <cell r="EG44">
            <v>0.56497175141242939</v>
          </cell>
        </row>
        <row r="45">
          <cell r="EG45">
            <v>0.625</v>
          </cell>
        </row>
        <row r="46">
          <cell r="EG46">
            <v>0.51546391752577325</v>
          </cell>
        </row>
        <row r="47">
          <cell r="EG47">
            <v>0.54347826086956519</v>
          </cell>
        </row>
        <row r="48">
          <cell r="EG48">
            <v>1</v>
          </cell>
        </row>
        <row r="49">
          <cell r="EG49">
            <v>0.78125</v>
          </cell>
        </row>
        <row r="50">
          <cell r="EG50">
            <v>1.3888888888888888</v>
          </cell>
        </row>
        <row r="51">
          <cell r="EG51">
            <v>1.3888888888888888</v>
          </cell>
        </row>
        <row r="52">
          <cell r="EG52">
            <v>0.87719298245614041</v>
          </cell>
        </row>
        <row r="53">
          <cell r="EG53">
            <v>1.2658227848101264</v>
          </cell>
        </row>
        <row r="54">
          <cell r="EG54">
            <v>0.65359477124183007</v>
          </cell>
        </row>
        <row r="55">
          <cell r="EG55">
            <v>0.43103448275862072</v>
          </cell>
        </row>
        <row r="56">
          <cell r="EG56">
            <v>1.6949152542372883</v>
          </cell>
        </row>
        <row r="57">
          <cell r="EG57">
            <v>0.52631578947368418</v>
          </cell>
        </row>
        <row r="58">
          <cell r="EG58">
            <v>1.1764705882352942</v>
          </cell>
        </row>
        <row r="59">
          <cell r="EG59">
            <v>1.0416666666666667</v>
          </cell>
        </row>
        <row r="60">
          <cell r="EG60">
            <v>1.25</v>
          </cell>
        </row>
        <row r="61">
          <cell r="EG61">
            <v>0.77519379844961234</v>
          </cell>
        </row>
        <row r="62">
          <cell r="EG62">
            <v>6.4350064350064351E-2</v>
          </cell>
        </row>
        <row r="63">
          <cell r="EG63">
            <v>0.36764705882352938</v>
          </cell>
        </row>
        <row r="64">
          <cell r="EG64">
            <v>1.1494252873563218</v>
          </cell>
        </row>
        <row r="65">
          <cell r="EG65">
            <v>0.83333333333333337</v>
          </cell>
        </row>
        <row r="66">
          <cell r="EG66">
            <v>0.64102564102564097</v>
          </cell>
        </row>
        <row r="67">
          <cell r="EG67">
            <v>2.1276595744680851</v>
          </cell>
        </row>
        <row r="68">
          <cell r="EG68">
            <v>0.96153846153846145</v>
          </cell>
        </row>
        <row r="69">
          <cell r="EG69">
            <v>1.5384615384615383</v>
          </cell>
        </row>
        <row r="70">
          <cell r="EG70">
            <v>1.0101010101010102</v>
          </cell>
        </row>
        <row r="71">
          <cell r="EG71">
            <v>0.63291139240506322</v>
          </cell>
        </row>
        <row r="72">
          <cell r="EG72">
            <v>1.5151515151515151</v>
          </cell>
        </row>
        <row r="73">
          <cell r="EG73">
            <v>1.0869565217391304</v>
          </cell>
        </row>
        <row r="74">
          <cell r="EG74">
            <v>1.3888888888888888</v>
          </cell>
        </row>
        <row r="75">
          <cell r="EG75">
            <v>1.2820512820512819</v>
          </cell>
        </row>
        <row r="76">
          <cell r="EG76">
            <v>1.5151515151515151</v>
          </cell>
        </row>
        <row r="77">
          <cell r="EG77">
            <v>0.85470085470085477</v>
          </cell>
        </row>
        <row r="78">
          <cell r="EG78">
            <v>2.2222222222222223</v>
          </cell>
        </row>
        <row r="79">
          <cell r="EG79">
            <v>1.4084507042253522</v>
          </cell>
        </row>
        <row r="80">
          <cell r="EG80">
            <v>1.0101010101010102</v>
          </cell>
        </row>
        <row r="81">
          <cell r="EG81">
            <v>1.7543859649122808</v>
          </cell>
        </row>
        <row r="82">
          <cell r="EG82">
            <v>0.970873786407767</v>
          </cell>
        </row>
        <row r="83">
          <cell r="EG83">
            <v>1.6129032258064517</v>
          </cell>
        </row>
        <row r="84">
          <cell r="EG84">
            <v>1.5384615384615383</v>
          </cell>
        </row>
        <row r="85">
          <cell r="EG85">
            <v>0.89285714285714279</v>
          </cell>
        </row>
        <row r="86">
          <cell r="EG86">
            <v>0.9009009009009008</v>
          </cell>
        </row>
        <row r="87">
          <cell r="EG87">
            <v>0.89285714285714279</v>
          </cell>
        </row>
        <row r="88">
          <cell r="EG88">
            <v>1.0416666666666667</v>
          </cell>
        </row>
        <row r="89">
          <cell r="EG89">
            <v>0.34843205574912889</v>
          </cell>
        </row>
        <row r="90">
          <cell r="EG90">
            <v>1.4925373134328357</v>
          </cell>
        </row>
        <row r="91">
          <cell r="EG91">
            <v>0.80645161290322587</v>
          </cell>
        </row>
        <row r="92">
          <cell r="EG92">
            <v>1.5625</v>
          </cell>
        </row>
        <row r="93">
          <cell r="EG93">
            <v>0.54945054945054939</v>
          </cell>
        </row>
        <row r="94">
          <cell r="EG94">
            <v>0.76335877862595414</v>
          </cell>
        </row>
        <row r="95">
          <cell r="EG95">
            <v>0.303951367781155</v>
          </cell>
        </row>
        <row r="96">
          <cell r="EG96">
            <v>0.77519379844961234</v>
          </cell>
        </row>
        <row r="97">
          <cell r="EG97">
            <v>1.3698630136986301</v>
          </cell>
        </row>
        <row r="98">
          <cell r="EG98">
            <v>0.43103448275862072</v>
          </cell>
        </row>
        <row r="99">
          <cell r="EG99">
            <v>1.2195121951219512</v>
          </cell>
        </row>
        <row r="100">
          <cell r="EG100">
            <v>0.82644628099173556</v>
          </cell>
        </row>
        <row r="101">
          <cell r="EG101">
            <v>0.80645161290322587</v>
          </cell>
        </row>
        <row r="102">
          <cell r="EG102">
            <v>0.76923076923076916</v>
          </cell>
        </row>
        <row r="103">
          <cell r="EG103">
            <v>0.44843049327354262</v>
          </cell>
        </row>
        <row r="104">
          <cell r="EG104">
            <v>1.0309278350515465</v>
          </cell>
        </row>
        <row r="105">
          <cell r="EG105">
            <v>0.46296296296296291</v>
          </cell>
        </row>
        <row r="106">
          <cell r="EG106">
            <v>0.36101083032490977</v>
          </cell>
        </row>
        <row r="107">
          <cell r="EG107">
            <v>0.70921985815602839</v>
          </cell>
        </row>
        <row r="108">
          <cell r="EG108">
            <v>0.96153846153846145</v>
          </cell>
        </row>
        <row r="109">
          <cell r="EG109">
            <v>0.57471264367816088</v>
          </cell>
        </row>
        <row r="110">
          <cell r="EG110">
            <v>0.96153846153846145</v>
          </cell>
        </row>
        <row r="111">
          <cell r="EG111">
            <v>0.51546391752577325</v>
          </cell>
        </row>
        <row r="112">
          <cell r="EG112">
            <v>1.0638297872340425</v>
          </cell>
        </row>
        <row r="113">
          <cell r="EG113">
            <v>1.2345679012345678</v>
          </cell>
        </row>
        <row r="114">
          <cell r="EG114">
            <v>0.5524861878453039</v>
          </cell>
        </row>
        <row r="115">
          <cell r="EG115">
            <v>0.87719298245614041</v>
          </cell>
        </row>
        <row r="116">
          <cell r="EG116">
            <v>0.73529411764705876</v>
          </cell>
        </row>
        <row r="117">
          <cell r="EG117">
            <v>0.70422535211267612</v>
          </cell>
        </row>
        <row r="118">
          <cell r="EG118">
            <v>0.35714285714285715</v>
          </cell>
        </row>
        <row r="119">
          <cell r="EG119">
            <v>0.5714285714285714</v>
          </cell>
        </row>
        <row r="120">
          <cell r="EG120">
            <v>0.49261083743842371</v>
          </cell>
        </row>
        <row r="121">
          <cell r="EG121">
            <v>0.27932960893854747</v>
          </cell>
        </row>
        <row r="122">
          <cell r="EG122">
            <v>1.2195121951219512</v>
          </cell>
        </row>
        <row r="123">
          <cell r="EG123">
            <v>0.51282051282051289</v>
          </cell>
        </row>
        <row r="124">
          <cell r="EG124">
            <v>0.5714285714285714</v>
          </cell>
        </row>
        <row r="125">
          <cell r="EG125">
            <v>0.5181347150259068</v>
          </cell>
        </row>
        <row r="126">
          <cell r="EG126">
            <v>0.16666666666666666</v>
          </cell>
        </row>
        <row r="127">
          <cell r="EG127">
            <v>0.93457943925233644</v>
          </cell>
        </row>
        <row r="128">
          <cell r="EG128">
            <v>1.639344262295082</v>
          </cell>
        </row>
        <row r="129">
          <cell r="EG129">
            <v>1.4285714285714286</v>
          </cell>
        </row>
        <row r="130">
          <cell r="EG130">
            <v>0.93457943925233644</v>
          </cell>
        </row>
        <row r="131">
          <cell r="EG131">
            <v>1.4084507042253522</v>
          </cell>
        </row>
        <row r="132">
          <cell r="EG132">
            <v>0.46511627906976744</v>
          </cell>
        </row>
        <row r="133">
          <cell r="EG133">
            <v>1.0869565217391304</v>
          </cell>
        </row>
        <row r="134">
          <cell r="EG134">
            <v>0.52083333333333337</v>
          </cell>
        </row>
        <row r="135">
          <cell r="EG135">
            <v>0.94339622641509424</v>
          </cell>
        </row>
        <row r="136">
          <cell r="EG136">
            <v>1.5151515151515151</v>
          </cell>
        </row>
        <row r="137">
          <cell r="EG137">
            <v>1.4705882352941175</v>
          </cell>
        </row>
        <row r="138">
          <cell r="EG138">
            <v>1.9230769230769229</v>
          </cell>
        </row>
        <row r="139">
          <cell r="EG139">
            <v>0.26954177897574122</v>
          </cell>
        </row>
        <row r="140">
          <cell r="EG140">
            <v>0.29154518950437314</v>
          </cell>
        </row>
        <row r="141">
          <cell r="EG141">
            <v>0.625</v>
          </cell>
        </row>
        <row r="142">
          <cell r="EG142">
            <v>0.970873786407767</v>
          </cell>
        </row>
        <row r="143">
          <cell r="EG143">
            <v>0.6097560975609756</v>
          </cell>
        </row>
        <row r="144">
          <cell r="EG144">
            <v>0.41152263374485593</v>
          </cell>
        </row>
        <row r="145">
          <cell r="EG145">
            <v>0.9174311926605504</v>
          </cell>
        </row>
        <row r="146">
          <cell r="EG146">
            <v>1.1627906976744187</v>
          </cell>
        </row>
        <row r="147">
          <cell r="EG147">
            <v>0.66666666666666663</v>
          </cell>
        </row>
        <row r="148">
          <cell r="EG148">
            <v>0.60606060606060608</v>
          </cell>
        </row>
        <row r="149">
          <cell r="EG149">
            <v>1.2195121951219512</v>
          </cell>
        </row>
        <row r="150">
          <cell r="EG150">
            <v>0.6097560975609756</v>
          </cell>
        </row>
        <row r="151">
          <cell r="EG151">
            <v>0.6097560975609756</v>
          </cell>
        </row>
        <row r="152">
          <cell r="EG152">
            <v>0.49751243781094534</v>
          </cell>
        </row>
        <row r="153">
          <cell r="EG153">
            <v>0.22172949002217296</v>
          </cell>
        </row>
        <row r="154">
          <cell r="EG154">
            <v>0.5780346820809249</v>
          </cell>
        </row>
        <row r="155">
          <cell r="EG155">
            <v>0.78740157480314954</v>
          </cell>
        </row>
        <row r="156">
          <cell r="EG156">
            <v>0.44247787610619471</v>
          </cell>
        </row>
        <row r="157">
          <cell r="EG157">
            <v>0.75757575757575757</v>
          </cell>
        </row>
        <row r="158">
          <cell r="EG158">
            <v>0.66225165562913912</v>
          </cell>
        </row>
        <row r="159">
          <cell r="EG159">
            <v>0.73529411764705876</v>
          </cell>
        </row>
        <row r="160">
          <cell r="EG160">
            <v>0.2293577981651376</v>
          </cell>
        </row>
        <row r="161">
          <cell r="EG161">
            <v>0.5181347150259068</v>
          </cell>
        </row>
        <row r="162">
          <cell r="EG162">
            <v>0.81967213114754101</v>
          </cell>
        </row>
        <row r="163">
          <cell r="EG163">
            <v>0.54054054054054046</v>
          </cell>
        </row>
        <row r="164">
          <cell r="EG164">
            <v>1.1494252873563218</v>
          </cell>
        </row>
        <row r="165">
          <cell r="EG165">
            <v>0.31645569620253161</v>
          </cell>
        </row>
        <row r="166">
          <cell r="EG166">
            <v>0.31446540880503143</v>
          </cell>
        </row>
        <row r="167">
          <cell r="EG167">
            <v>0.37174721189591081</v>
          </cell>
        </row>
        <row r="168">
          <cell r="EG168">
            <v>0.58479532163742687</v>
          </cell>
        </row>
        <row r="169">
          <cell r="EG169">
            <v>0.37735849056603776</v>
          </cell>
        </row>
        <row r="170">
          <cell r="EG170">
            <v>0.60240963855421692</v>
          </cell>
        </row>
        <row r="171">
          <cell r="EG171">
            <v>0.61349693251533743</v>
          </cell>
        </row>
        <row r="172">
          <cell r="EG172">
            <v>0.61349693251533743</v>
          </cell>
        </row>
        <row r="173">
          <cell r="EG173">
            <v>1.2820512820512819</v>
          </cell>
        </row>
        <row r="174">
          <cell r="EG174">
            <v>0.2386634844868735</v>
          </cell>
        </row>
        <row r="175">
          <cell r="EG175">
            <v>1.2658227848101264</v>
          </cell>
        </row>
        <row r="176">
          <cell r="EG176">
            <v>0.76923076923076916</v>
          </cell>
        </row>
        <row r="177">
          <cell r="EG177">
            <v>1.2658227848101264</v>
          </cell>
        </row>
        <row r="178">
          <cell r="EG178">
            <v>1.0204081632653061</v>
          </cell>
        </row>
        <row r="179">
          <cell r="EG179">
            <v>1.1363636363636365</v>
          </cell>
        </row>
        <row r="180">
          <cell r="EG180">
            <v>0.52356020942408377</v>
          </cell>
        </row>
        <row r="181">
          <cell r="EG181">
            <v>0.5524861878453039</v>
          </cell>
        </row>
        <row r="182">
          <cell r="EG182">
            <v>1.1363636363636365</v>
          </cell>
        </row>
        <row r="183">
          <cell r="EG183">
            <v>0.59171597633136097</v>
          </cell>
        </row>
        <row r="184">
          <cell r="EG184">
            <v>0.7142857142857143</v>
          </cell>
        </row>
        <row r="185">
          <cell r="EG185">
            <v>1.1764705882352942</v>
          </cell>
        </row>
        <row r="186">
          <cell r="EG186">
            <v>1.0416666666666667</v>
          </cell>
        </row>
        <row r="187">
          <cell r="EG187">
            <v>0.82644628099173556</v>
          </cell>
        </row>
        <row r="188">
          <cell r="EG188">
            <v>0.49261083743842371</v>
          </cell>
        </row>
        <row r="189">
          <cell r="EG189">
            <v>0.4366812227074236</v>
          </cell>
        </row>
        <row r="190">
          <cell r="EG190">
            <v>1.0204081632653061</v>
          </cell>
        </row>
        <row r="191">
          <cell r="EG191">
            <v>0.5617977528089888</v>
          </cell>
        </row>
        <row r="192">
          <cell r="EG192">
            <v>1.0638297872340425</v>
          </cell>
        </row>
        <row r="193">
          <cell r="EG193">
            <v>1.3888888888888888</v>
          </cell>
        </row>
        <row r="194">
          <cell r="EG194">
            <v>1.2345679012345678</v>
          </cell>
        </row>
        <row r="195">
          <cell r="EG195">
            <v>1.0869565217391304</v>
          </cell>
        </row>
        <row r="196">
          <cell r="EG196">
            <v>0.7246376811594204</v>
          </cell>
        </row>
        <row r="197">
          <cell r="EG197">
            <v>0.67114093959731547</v>
          </cell>
        </row>
        <row r="198">
          <cell r="EG198">
            <v>0.96153846153846145</v>
          </cell>
        </row>
        <row r="199">
          <cell r="EG199">
            <v>0.67567567567567566</v>
          </cell>
        </row>
        <row r="200">
          <cell r="EG200">
            <v>0.58823529411764708</v>
          </cell>
        </row>
        <row r="201">
          <cell r="EG201">
            <v>0.53475935828876997</v>
          </cell>
        </row>
        <row r="202">
          <cell r="EG202">
            <v>0.51282051282051289</v>
          </cell>
        </row>
        <row r="203">
          <cell r="EG203">
            <v>0.59523809523809523</v>
          </cell>
        </row>
        <row r="204">
          <cell r="EG204">
            <v>0.3236245954692557</v>
          </cell>
        </row>
        <row r="205">
          <cell r="EG205">
            <v>0.86206896551724144</v>
          </cell>
        </row>
        <row r="206">
          <cell r="EG206">
            <v>0.41841004184100417</v>
          </cell>
        </row>
        <row r="207">
          <cell r="EG207">
            <v>0.7246376811594204</v>
          </cell>
        </row>
        <row r="208">
          <cell r="EG208">
            <v>0.32786885245901642</v>
          </cell>
        </row>
        <row r="209">
          <cell r="EG209">
            <v>0.5</v>
          </cell>
        </row>
        <row r="210">
          <cell r="EG210">
            <v>0.58823529411764708</v>
          </cell>
        </row>
        <row r="211">
          <cell r="EG211">
            <v>0.64516129032258063</v>
          </cell>
        </row>
        <row r="212">
          <cell r="EG212">
            <v>0.94339622641509424</v>
          </cell>
        </row>
        <row r="213">
          <cell r="EG213">
            <v>1.0638297872340425</v>
          </cell>
        </row>
        <row r="214">
          <cell r="EG214">
            <v>1.3157894736842106</v>
          </cell>
        </row>
        <row r="215">
          <cell r="EG215">
            <v>1.25</v>
          </cell>
        </row>
        <row r="216">
          <cell r="EG216">
            <v>0.53475935828876997</v>
          </cell>
        </row>
        <row r="217">
          <cell r="EG217">
            <v>0.69930069930069938</v>
          </cell>
        </row>
        <row r="218">
          <cell r="EG218">
            <v>0.64102564102564097</v>
          </cell>
        </row>
        <row r="219">
          <cell r="EG219">
            <v>1.7857142857142856</v>
          </cell>
        </row>
        <row r="220">
          <cell r="EG220">
            <v>0.93457943925233644</v>
          </cell>
        </row>
        <row r="221">
          <cell r="EG221">
            <v>1.2195121951219512</v>
          </cell>
        </row>
        <row r="222">
          <cell r="EG222">
            <v>0.25188916876574308</v>
          </cell>
        </row>
        <row r="223">
          <cell r="EG223">
            <v>1.5384615384615383</v>
          </cell>
        </row>
        <row r="224">
          <cell r="EG224">
            <v>1.4705882352941175</v>
          </cell>
        </row>
        <row r="225">
          <cell r="EG225">
            <v>0.5617977528089888</v>
          </cell>
        </row>
        <row r="226">
          <cell r="EG226">
            <v>1.0526315789473684</v>
          </cell>
        </row>
        <row r="227">
          <cell r="EG227">
            <v>0.34965034965034969</v>
          </cell>
        </row>
        <row r="228">
          <cell r="EG228">
            <v>0.625</v>
          </cell>
        </row>
        <row r="229">
          <cell r="EG229">
            <v>1.6949152542372883</v>
          </cell>
        </row>
        <row r="230">
          <cell r="EG230">
            <v>0.49019607843137253</v>
          </cell>
        </row>
        <row r="231">
          <cell r="EG231">
            <v>1.0638297872340425</v>
          </cell>
        </row>
        <row r="232">
          <cell r="EG232">
            <v>0.4854368932038835</v>
          </cell>
        </row>
        <row r="233">
          <cell r="EG233">
            <v>0.69444444444444442</v>
          </cell>
        </row>
        <row r="234">
          <cell r="EG234">
            <v>0.29069767441860467</v>
          </cell>
        </row>
        <row r="235">
          <cell r="EG235">
            <v>1.3513513513513513</v>
          </cell>
        </row>
        <row r="236">
          <cell r="EG236">
            <v>0.66666666666666663</v>
          </cell>
        </row>
        <row r="237">
          <cell r="EG237">
            <v>0.56497175141242939</v>
          </cell>
        </row>
        <row r="238">
          <cell r="EG238">
            <v>0.96153846153846145</v>
          </cell>
        </row>
        <row r="239">
          <cell r="EG239">
            <v>0.4366812227074236</v>
          </cell>
        </row>
        <row r="240">
          <cell r="EG240">
            <v>0.58823529411764708</v>
          </cell>
        </row>
        <row r="241">
          <cell r="EG241">
            <v>1</v>
          </cell>
        </row>
        <row r="242">
          <cell r="EG242">
            <v>0.970873786407767</v>
          </cell>
        </row>
        <row r="243">
          <cell r="EG243">
            <v>0.32894736842105265</v>
          </cell>
        </row>
        <row r="244">
          <cell r="EG244">
            <v>0.16778523489932887</v>
          </cell>
        </row>
        <row r="245">
          <cell r="EG245">
            <v>1.3513513513513513</v>
          </cell>
        </row>
        <row r="246">
          <cell r="EG246">
            <v>0.41152263374485593</v>
          </cell>
        </row>
        <row r="247">
          <cell r="EG247">
            <v>0.64935064935064934</v>
          </cell>
        </row>
        <row r="248">
          <cell r="EG248">
            <v>0.35587188612099646</v>
          </cell>
        </row>
        <row r="249">
          <cell r="EG249">
            <v>0.38910505836575876</v>
          </cell>
        </row>
        <row r="250">
          <cell r="EG250">
            <v>0.96153846153846145</v>
          </cell>
        </row>
        <row r="251">
          <cell r="EG251">
            <v>0.76923076923076916</v>
          </cell>
        </row>
        <row r="252">
          <cell r="EG252">
            <v>0.70422535211267612</v>
          </cell>
        </row>
        <row r="253">
          <cell r="EG253">
            <v>1.3333333333333333</v>
          </cell>
        </row>
        <row r="254">
          <cell r="EG254">
            <v>0.25125628140703515</v>
          </cell>
        </row>
        <row r="255">
          <cell r="EG255">
            <v>0.2061855670103093</v>
          </cell>
        </row>
        <row r="256">
          <cell r="EG256">
            <v>0.81300813008130079</v>
          </cell>
        </row>
        <row r="257">
          <cell r="EG257">
            <v>0.970873786407767</v>
          </cell>
        </row>
        <row r="258">
          <cell r="EG258">
            <v>0.49504950495049505</v>
          </cell>
        </row>
        <row r="259">
          <cell r="EG259">
            <v>1.2658227848101264</v>
          </cell>
        </row>
        <row r="260">
          <cell r="EG260">
            <v>1.3333333333333333</v>
          </cell>
        </row>
        <row r="261">
          <cell r="EG261">
            <v>0.84745762711864414</v>
          </cell>
        </row>
        <row r="262">
          <cell r="EG262">
            <v>0.75187969924812026</v>
          </cell>
        </row>
        <row r="263">
          <cell r="EG263">
            <v>0.37878787878787878</v>
          </cell>
        </row>
        <row r="264">
          <cell r="EG264">
            <v>0.37735849056603776</v>
          </cell>
        </row>
        <row r="265">
          <cell r="EG265">
            <v>1.4705882352941175</v>
          </cell>
        </row>
        <row r="266">
          <cell r="EG266">
            <v>1.0101010101010102</v>
          </cell>
        </row>
        <row r="267">
          <cell r="EG267">
            <v>1.1904761904761905</v>
          </cell>
        </row>
        <row r="268">
          <cell r="EG268">
            <v>0.4065040650406504</v>
          </cell>
        </row>
        <row r="269">
          <cell r="EG269">
            <v>1.2345679012345678</v>
          </cell>
        </row>
        <row r="270">
          <cell r="EG270">
            <v>0.40485829959514169</v>
          </cell>
        </row>
        <row r="271">
          <cell r="EG271">
            <v>0.4587155963302752</v>
          </cell>
        </row>
        <row r="272">
          <cell r="EG272">
            <v>0.21551724137931036</v>
          </cell>
        </row>
        <row r="273">
          <cell r="EG273">
            <v>0.43859649122807021</v>
          </cell>
        </row>
        <row r="274">
          <cell r="EG274">
            <v>0.32786885245901642</v>
          </cell>
        </row>
        <row r="275">
          <cell r="EG275">
            <v>1.0638297872340425</v>
          </cell>
        </row>
        <row r="276">
          <cell r="EG276">
            <v>0.62893081761006286</v>
          </cell>
        </row>
        <row r="277">
          <cell r="EG277">
            <v>0.23529411764705882</v>
          </cell>
        </row>
        <row r="278">
          <cell r="EG278">
            <v>0.34965034965034969</v>
          </cell>
        </row>
        <row r="279">
          <cell r="EG279">
            <v>0.6211180124223602</v>
          </cell>
        </row>
        <row r="280">
          <cell r="EG280">
            <v>0.64516129032258063</v>
          </cell>
        </row>
        <row r="281">
          <cell r="EG281">
            <v>0.67114093959731547</v>
          </cell>
        </row>
        <row r="282">
          <cell r="EG282">
            <v>0.970873786407767</v>
          </cell>
        </row>
        <row r="283">
          <cell r="EG283">
            <v>0.51282051282051289</v>
          </cell>
        </row>
        <row r="284">
          <cell r="EG284">
            <v>0.28653295128939826</v>
          </cell>
        </row>
        <row r="285">
          <cell r="EG285">
            <v>0.2040816326530612</v>
          </cell>
        </row>
        <row r="286">
          <cell r="EG286">
            <v>0.1972386587771203</v>
          </cell>
        </row>
        <row r="287">
          <cell r="EG287">
            <v>0.84745762711864414</v>
          </cell>
        </row>
        <row r="288">
          <cell r="EG288">
            <v>0.6211180124223602</v>
          </cell>
        </row>
        <row r="289">
          <cell r="EG289">
            <v>0.75187969924812026</v>
          </cell>
        </row>
        <row r="290">
          <cell r="EG290">
            <v>0.69444444444444442</v>
          </cell>
        </row>
        <row r="291">
          <cell r="EG291">
            <v>1.075268817204301</v>
          </cell>
        </row>
        <row r="292">
          <cell r="EG292">
            <v>0.4065040650406504</v>
          </cell>
        </row>
        <row r="293">
          <cell r="EG293">
            <v>0.5988023952095809</v>
          </cell>
        </row>
        <row r="294">
          <cell r="EG294">
            <v>0.48780487804878053</v>
          </cell>
        </row>
        <row r="295">
          <cell r="EG295">
            <v>0.46082949308755761</v>
          </cell>
        </row>
        <row r="296">
          <cell r="EG296">
            <v>0.52356020942408377</v>
          </cell>
        </row>
        <row r="297">
          <cell r="EG297">
            <v>0.51546391752577325</v>
          </cell>
        </row>
        <row r="298">
          <cell r="EG298">
            <v>0.40485829959514169</v>
          </cell>
        </row>
        <row r="299">
          <cell r="EG299">
            <v>0.38167938931297707</v>
          </cell>
        </row>
        <row r="300">
          <cell r="EG300">
            <v>1.1627906976744187</v>
          </cell>
        </row>
        <row r="301">
          <cell r="EG301">
            <v>0.36101083032490977</v>
          </cell>
        </row>
        <row r="302">
          <cell r="EG302">
            <v>2.6925148088314484E-2</v>
          </cell>
        </row>
        <row r="303">
          <cell r="EG303">
            <v>0.9009009009009008</v>
          </cell>
        </row>
        <row r="304">
          <cell r="EG304">
            <v>0.64516129032258063</v>
          </cell>
        </row>
        <row r="305">
          <cell r="EG305">
            <v>0.79365079365079361</v>
          </cell>
        </row>
        <row r="306">
          <cell r="EG306">
            <v>0.4504504504504504</v>
          </cell>
        </row>
        <row r="307">
          <cell r="EG307">
            <v>0.42735042735042739</v>
          </cell>
        </row>
        <row r="308">
          <cell r="EG308">
            <v>1.8518518518518516</v>
          </cell>
        </row>
        <row r="309">
          <cell r="EG309">
            <v>0.43103448275862072</v>
          </cell>
        </row>
        <row r="310">
          <cell r="EG310">
            <v>0.90909090909090906</v>
          </cell>
        </row>
        <row r="311">
          <cell r="EG311">
            <v>0.5524861878453039</v>
          </cell>
        </row>
        <row r="312">
          <cell r="EG312">
            <v>0.5714285714285714</v>
          </cell>
        </row>
        <row r="313">
          <cell r="EG313">
            <v>0.7142857142857143</v>
          </cell>
        </row>
        <row r="314">
          <cell r="EG314">
            <v>1.0416666666666667</v>
          </cell>
        </row>
        <row r="315">
          <cell r="EG315">
            <v>0.32894736842105265</v>
          </cell>
        </row>
        <row r="316">
          <cell r="EG316">
            <v>0.34246575342465752</v>
          </cell>
        </row>
        <row r="317">
          <cell r="EG317">
            <v>0.86206896551724144</v>
          </cell>
        </row>
        <row r="318">
          <cell r="EG318">
            <v>0.1669449081803005</v>
          </cell>
        </row>
        <row r="319">
          <cell r="EG319">
            <v>0.16339869281045752</v>
          </cell>
        </row>
        <row r="320">
          <cell r="EG320">
            <v>0.56497175141242939</v>
          </cell>
        </row>
        <row r="321">
          <cell r="EG321">
            <v>0.27173913043478259</v>
          </cell>
        </row>
        <row r="322">
          <cell r="EG322">
            <v>1.0989010989010988</v>
          </cell>
        </row>
        <row r="323">
          <cell r="EG323">
            <v>0.59523809523809523</v>
          </cell>
        </row>
        <row r="324">
          <cell r="EG324">
            <v>0.56818181818181823</v>
          </cell>
        </row>
        <row r="325">
          <cell r="EG325">
            <v>0.29940119760479045</v>
          </cell>
        </row>
        <row r="326">
          <cell r="EG326">
            <v>0.49751243781094534</v>
          </cell>
        </row>
        <row r="327">
          <cell r="EG327">
            <v>0.4366812227074236</v>
          </cell>
        </row>
        <row r="328">
          <cell r="EG328">
            <v>0.36101083032490977</v>
          </cell>
        </row>
        <row r="329">
          <cell r="EG329">
            <v>0.70422535211267612</v>
          </cell>
        </row>
        <row r="330">
          <cell r="EG330">
            <v>0.96153846153846145</v>
          </cell>
        </row>
        <row r="331">
          <cell r="EG331">
            <v>0.47846889952153115</v>
          </cell>
        </row>
        <row r="332">
          <cell r="EG332">
            <v>0.63694267515923564</v>
          </cell>
        </row>
        <row r="333">
          <cell r="EG333">
            <v>0.59523809523809523</v>
          </cell>
        </row>
        <row r="334">
          <cell r="EG334">
            <v>0.67567567567567566</v>
          </cell>
        </row>
        <row r="335">
          <cell r="EG335">
            <v>0.93457943925233644</v>
          </cell>
        </row>
        <row r="336">
          <cell r="EG336">
            <v>0.44247787610619471</v>
          </cell>
        </row>
        <row r="337">
          <cell r="EG337">
            <v>0.5617977528089888</v>
          </cell>
        </row>
        <row r="338">
          <cell r="EG338">
            <v>0.51282051282051289</v>
          </cell>
        </row>
        <row r="339">
          <cell r="EG339">
            <v>0.53475935828876997</v>
          </cell>
        </row>
        <row r="340">
          <cell r="EG340">
            <v>1.0526315789473684</v>
          </cell>
        </row>
        <row r="341">
          <cell r="EG341">
            <v>1.2658227848101264</v>
          </cell>
        </row>
        <row r="342">
          <cell r="EG342">
            <v>0.32573289902280134</v>
          </cell>
        </row>
        <row r="343">
          <cell r="EG343">
            <v>0.390625</v>
          </cell>
        </row>
        <row r="344">
          <cell r="EG344">
            <v>1.0101010101010102</v>
          </cell>
        </row>
        <row r="345">
          <cell r="EG345">
            <v>0.41493775933609955</v>
          </cell>
        </row>
        <row r="346">
          <cell r="EG346">
            <v>2.1739130434782608</v>
          </cell>
        </row>
        <row r="347">
          <cell r="EG347">
            <v>1.1363636363636365</v>
          </cell>
        </row>
        <row r="348">
          <cell r="EG348">
            <v>0.7142857142857143</v>
          </cell>
        </row>
        <row r="349">
          <cell r="EG349">
            <v>0.29850746268656714</v>
          </cell>
        </row>
        <row r="350">
          <cell r="EG350">
            <v>0.23640661938534277</v>
          </cell>
        </row>
        <row r="351">
          <cell r="EG351">
            <v>0.36900369003690037</v>
          </cell>
        </row>
        <row r="352">
          <cell r="EG352">
            <v>0.2061855670103093</v>
          </cell>
        </row>
        <row r="353">
          <cell r="EG353">
            <v>0.88495575221238942</v>
          </cell>
        </row>
        <row r="354">
          <cell r="EG354">
            <v>0.95238095238095233</v>
          </cell>
        </row>
        <row r="355">
          <cell r="EG355">
            <v>0.50251256281407031</v>
          </cell>
        </row>
        <row r="356">
          <cell r="EG356">
            <v>0.80645161290322587</v>
          </cell>
        </row>
        <row r="357">
          <cell r="EG357">
            <v>0.7246376811594204</v>
          </cell>
        </row>
        <row r="358">
          <cell r="EG358">
            <v>0.76335877862595414</v>
          </cell>
        </row>
        <row r="359">
          <cell r="EG359">
            <v>0.52083333333333337</v>
          </cell>
        </row>
        <row r="360">
          <cell r="EG360">
            <v>1.5873015873015872</v>
          </cell>
        </row>
        <row r="361">
          <cell r="EG361">
            <v>1.2048192771084338</v>
          </cell>
        </row>
        <row r="362">
          <cell r="EG362">
            <v>0.65359477124183007</v>
          </cell>
        </row>
        <row r="363">
          <cell r="EG363">
            <v>0.53475935828876997</v>
          </cell>
        </row>
        <row r="364">
          <cell r="EG364">
            <v>0.85470085470085477</v>
          </cell>
        </row>
        <row r="365">
          <cell r="EG365">
            <v>0.42553191489361702</v>
          </cell>
        </row>
        <row r="366">
          <cell r="EG366">
            <v>0.85470085470085477</v>
          </cell>
        </row>
        <row r="367">
          <cell r="EG367">
            <v>0.94339622641509424</v>
          </cell>
        </row>
        <row r="368">
          <cell r="EG368">
            <v>0.7407407407407407</v>
          </cell>
        </row>
        <row r="369">
          <cell r="EG369">
            <v>0.76923076923076916</v>
          </cell>
        </row>
        <row r="370">
          <cell r="EG370">
            <v>0.34722222222222221</v>
          </cell>
        </row>
        <row r="371">
          <cell r="EG371">
            <v>0.81967213114754101</v>
          </cell>
        </row>
        <row r="372">
          <cell r="EG372">
            <v>0.44843049327354262</v>
          </cell>
        </row>
        <row r="373">
          <cell r="EG373">
            <v>1.2987012987012987</v>
          </cell>
        </row>
        <row r="374">
          <cell r="EG374">
            <v>0.29498525073746312</v>
          </cell>
        </row>
        <row r="375">
          <cell r="EG375">
            <v>1.5873015873015872</v>
          </cell>
        </row>
        <row r="376">
          <cell r="EG376">
            <v>0.40160642570281119</v>
          </cell>
        </row>
        <row r="377">
          <cell r="EG377">
            <v>0.5617977528089888</v>
          </cell>
        </row>
        <row r="378">
          <cell r="EG378">
            <v>0.5524861878453039</v>
          </cell>
        </row>
        <row r="379">
          <cell r="EG379">
            <v>0.39370078740157477</v>
          </cell>
        </row>
        <row r="380">
          <cell r="EG380">
            <v>0.42553191489361702</v>
          </cell>
        </row>
        <row r="381">
          <cell r="EG381">
            <v>0.99009900990099009</v>
          </cell>
        </row>
        <row r="382">
          <cell r="EG382">
            <v>0.59523809523809523</v>
          </cell>
        </row>
        <row r="383">
          <cell r="EG383">
            <v>0.48076923076923073</v>
          </cell>
        </row>
        <row r="384">
          <cell r="EG384">
            <v>0.69930069930069938</v>
          </cell>
        </row>
        <row r="385">
          <cell r="EG385">
            <v>0.5</v>
          </cell>
        </row>
        <row r="386">
          <cell r="EG386">
            <v>1.2195121951219512</v>
          </cell>
        </row>
        <row r="387">
          <cell r="EG387">
            <v>0.75757575757575757</v>
          </cell>
        </row>
        <row r="388">
          <cell r="EG388">
            <v>0.71942446043165476</v>
          </cell>
        </row>
        <row r="389">
          <cell r="EG389">
            <v>0.44843049327354262</v>
          </cell>
        </row>
        <row r="390">
          <cell r="EG390">
            <v>0.93457943925233644</v>
          </cell>
        </row>
        <row r="391">
          <cell r="EG391">
            <v>1.2987012987012987</v>
          </cell>
        </row>
        <row r="392">
          <cell r="EG392">
            <v>0.67567567567567566</v>
          </cell>
        </row>
        <row r="393">
          <cell r="EG393">
            <v>1.075268817204301</v>
          </cell>
        </row>
        <row r="394">
          <cell r="EG394">
            <v>0.52631578947368418</v>
          </cell>
        </row>
        <row r="395">
          <cell r="EG395">
            <v>0.68493150684931503</v>
          </cell>
        </row>
        <row r="396">
          <cell r="EG396">
            <v>1.0204081632653061</v>
          </cell>
        </row>
        <row r="397">
          <cell r="EG397">
            <v>0.43103448275862072</v>
          </cell>
        </row>
        <row r="398">
          <cell r="EG398">
            <v>0.65359477124183007</v>
          </cell>
        </row>
        <row r="399">
          <cell r="EG399">
            <v>0.72992700729927007</v>
          </cell>
        </row>
        <row r="400">
          <cell r="EG400">
            <v>0.73529411764705876</v>
          </cell>
        </row>
        <row r="401">
          <cell r="EG401">
            <v>9.9206349206349201E-2</v>
          </cell>
        </row>
        <row r="402">
          <cell r="EG402">
            <v>0.88495575221238942</v>
          </cell>
        </row>
        <row r="403">
          <cell r="EG403">
            <v>1.1627906976744187</v>
          </cell>
        </row>
        <row r="404">
          <cell r="EG404">
            <v>1.2987012987012987</v>
          </cell>
        </row>
        <row r="405">
          <cell r="EG405">
            <v>0.26455026455026459</v>
          </cell>
        </row>
        <row r="406">
          <cell r="EG406">
            <v>1.3698630136986301</v>
          </cell>
        </row>
        <row r="407">
          <cell r="EG407">
            <v>0.53475935828876997</v>
          </cell>
        </row>
        <row r="408">
          <cell r="EG408">
            <v>1.2658227848101264</v>
          </cell>
        </row>
        <row r="409">
          <cell r="EG409">
            <v>1.6129032258064517</v>
          </cell>
        </row>
        <row r="410">
          <cell r="EG410">
            <v>1.4705882352941175</v>
          </cell>
        </row>
        <row r="411">
          <cell r="EG411">
            <v>1.0309278350515465</v>
          </cell>
        </row>
        <row r="412">
          <cell r="EG412">
            <v>1.2195121951219512</v>
          </cell>
        </row>
        <row r="413">
          <cell r="EG413">
            <v>0.54644808743169393</v>
          </cell>
        </row>
        <row r="414">
          <cell r="EG414">
            <v>0.82644628099173556</v>
          </cell>
        </row>
        <row r="415">
          <cell r="EG415">
            <v>0.88495575221238942</v>
          </cell>
        </row>
        <row r="416">
          <cell r="EG416">
            <v>0.86206896551724144</v>
          </cell>
        </row>
        <row r="417">
          <cell r="EG417">
            <v>0.75187969924812026</v>
          </cell>
        </row>
        <row r="418">
          <cell r="EG418">
            <v>0.64516129032258063</v>
          </cell>
        </row>
        <row r="419">
          <cell r="EG419">
            <v>0.3968253968253968</v>
          </cell>
        </row>
        <row r="420">
          <cell r="EG420">
            <v>1.25</v>
          </cell>
        </row>
        <row r="421">
          <cell r="EG421">
            <v>1.0869565217391304</v>
          </cell>
        </row>
        <row r="422">
          <cell r="EG422">
            <v>0.73529411764705876</v>
          </cell>
        </row>
        <row r="423">
          <cell r="EG423">
            <v>0.94339622641509424</v>
          </cell>
        </row>
        <row r="424">
          <cell r="EG424">
            <v>1.2345679012345678</v>
          </cell>
        </row>
        <row r="425">
          <cell r="EG425">
            <v>0.7246376811594204</v>
          </cell>
        </row>
        <row r="426">
          <cell r="EG426">
            <v>1.075268817204301</v>
          </cell>
        </row>
        <row r="427">
          <cell r="EG427">
            <v>1.0526315789473684</v>
          </cell>
        </row>
        <row r="428">
          <cell r="EG428">
            <v>0.89285714285714279</v>
          </cell>
        </row>
        <row r="429">
          <cell r="EG429">
            <v>0.93457943925233644</v>
          </cell>
        </row>
        <row r="430">
          <cell r="EG430">
            <v>0.4464285714285714</v>
          </cell>
        </row>
        <row r="431">
          <cell r="EG431">
            <v>0.73529411764705876</v>
          </cell>
        </row>
        <row r="432">
          <cell r="EG432">
            <v>0.78125</v>
          </cell>
        </row>
        <row r="433">
          <cell r="EG433">
            <v>0.81967213114754101</v>
          </cell>
        </row>
        <row r="434">
          <cell r="EG434">
            <v>1.0638297872340425</v>
          </cell>
        </row>
        <row r="435">
          <cell r="EG435">
            <v>0.6097560975609756</v>
          </cell>
        </row>
        <row r="436">
          <cell r="EG436">
            <v>0.38314176245210729</v>
          </cell>
        </row>
        <row r="437">
          <cell r="EG437">
            <v>0.44843049327354262</v>
          </cell>
        </row>
        <row r="438">
          <cell r="EG438">
            <v>0.22075055187637968</v>
          </cell>
        </row>
        <row r="439">
          <cell r="EG439">
            <v>0.80645161290322587</v>
          </cell>
        </row>
        <row r="440">
          <cell r="EG440">
            <v>0.17152658662092624</v>
          </cell>
        </row>
        <row r="441">
          <cell r="EG441">
            <v>0.51546391752577325</v>
          </cell>
        </row>
        <row r="442">
          <cell r="EG442">
            <v>0.46948356807511737</v>
          </cell>
        </row>
        <row r="443">
          <cell r="EG443">
            <v>0.33444816053511706</v>
          </cell>
        </row>
        <row r="444">
          <cell r="EG444">
            <v>0.74626865671641784</v>
          </cell>
        </row>
        <row r="445">
          <cell r="EG445">
            <v>0.44843049327354262</v>
          </cell>
        </row>
        <row r="446">
          <cell r="EG446">
            <v>0.19960079840319361</v>
          </cell>
        </row>
        <row r="447">
          <cell r="EG447">
            <v>0.65789473684210531</v>
          </cell>
        </row>
        <row r="448">
          <cell r="EG448">
            <v>1.0638297872340425</v>
          </cell>
        </row>
        <row r="449">
          <cell r="EG449">
            <v>0.45662100456621008</v>
          </cell>
        </row>
        <row r="450">
          <cell r="EG450">
            <v>0.5</v>
          </cell>
        </row>
        <row r="451">
          <cell r="EG451">
            <v>0.5376344086021505</v>
          </cell>
        </row>
        <row r="452">
          <cell r="EG452">
            <v>0.3058103975535168</v>
          </cell>
        </row>
        <row r="453">
          <cell r="EG453">
            <v>0.52910052910052918</v>
          </cell>
        </row>
        <row r="454">
          <cell r="EG454">
            <v>0.4329004329004329</v>
          </cell>
        </row>
        <row r="455">
          <cell r="EG455">
            <v>0.85470085470085477</v>
          </cell>
        </row>
        <row r="456">
          <cell r="EG456">
            <v>0.46296296296296291</v>
          </cell>
        </row>
        <row r="457">
          <cell r="EG457">
            <v>0.7407407407407407</v>
          </cell>
        </row>
        <row r="458">
          <cell r="EG458">
            <v>1.0416666666666667</v>
          </cell>
        </row>
        <row r="459">
          <cell r="EG459">
            <v>0.6211180124223602</v>
          </cell>
        </row>
        <row r="460">
          <cell r="EG460">
            <v>0.54054054054054046</v>
          </cell>
        </row>
        <row r="461">
          <cell r="EG461">
            <v>0.6211180124223602</v>
          </cell>
        </row>
        <row r="462">
          <cell r="EG462">
            <v>0.82644628099173556</v>
          </cell>
        </row>
        <row r="463">
          <cell r="EG463">
            <v>0.34965034965034969</v>
          </cell>
        </row>
        <row r="464">
          <cell r="EG464">
            <v>0.34722222222222221</v>
          </cell>
        </row>
        <row r="465">
          <cell r="EG465">
            <v>0.3401360544217687</v>
          </cell>
        </row>
        <row r="466">
          <cell r="EG466">
            <v>0.89285714285714279</v>
          </cell>
        </row>
        <row r="467">
          <cell r="EG467">
            <v>0.69444444444444442</v>
          </cell>
        </row>
        <row r="468">
          <cell r="EG468">
            <v>0.33222591362126247</v>
          </cell>
        </row>
        <row r="469">
          <cell r="EG469">
            <v>0.27777777777777779</v>
          </cell>
        </row>
        <row r="470">
          <cell r="EG470">
            <v>0.84745762711864414</v>
          </cell>
        </row>
        <row r="471">
          <cell r="EG471">
            <v>0.47846889952153115</v>
          </cell>
        </row>
        <row r="472">
          <cell r="EG472">
            <v>0.7407407407407407</v>
          </cell>
        </row>
        <row r="473">
          <cell r="EG473">
            <v>1.1764705882352942</v>
          </cell>
        </row>
        <row r="474">
          <cell r="EG474">
            <v>0.24449877750611249</v>
          </cell>
        </row>
        <row r="475">
          <cell r="EG475">
            <v>0.34602076124567471</v>
          </cell>
        </row>
        <row r="476">
          <cell r="EG476">
            <v>0.60606060606060608</v>
          </cell>
        </row>
        <row r="477">
          <cell r="EG477">
            <v>0.32679738562091504</v>
          </cell>
        </row>
        <row r="478">
          <cell r="EG478">
            <v>0.21367521367521369</v>
          </cell>
        </row>
        <row r="479">
          <cell r="EG479">
            <v>0.51546391752577325</v>
          </cell>
        </row>
        <row r="480">
          <cell r="EG480">
            <v>0.3115264797507788</v>
          </cell>
        </row>
        <row r="481">
          <cell r="EG481">
            <v>0.68965517241379315</v>
          </cell>
        </row>
        <row r="482">
          <cell r="EG482">
            <v>0.26595744680851063</v>
          </cell>
        </row>
        <row r="483">
          <cell r="EG483">
            <v>0.7246376811594204</v>
          </cell>
        </row>
        <row r="484">
          <cell r="EG484">
            <v>1.3698630136986301</v>
          </cell>
        </row>
        <row r="485">
          <cell r="EG485">
            <v>0.54945054945054939</v>
          </cell>
        </row>
        <row r="486">
          <cell r="EG486">
            <v>0.53475935828876997</v>
          </cell>
        </row>
        <row r="487">
          <cell r="EG487">
            <v>0.74626865671641784</v>
          </cell>
        </row>
        <row r="488">
          <cell r="EG488">
            <v>0.32051282051282048</v>
          </cell>
        </row>
        <row r="489">
          <cell r="EG489">
            <v>0.46082949308755761</v>
          </cell>
        </row>
        <row r="490">
          <cell r="EG490">
            <v>0.49504950495049505</v>
          </cell>
        </row>
        <row r="491">
          <cell r="EG491">
            <v>0.49751243781094534</v>
          </cell>
        </row>
        <row r="492">
          <cell r="EG492">
            <v>0.29850746268656714</v>
          </cell>
        </row>
        <row r="493">
          <cell r="EG493">
            <v>0.34246575342465752</v>
          </cell>
        </row>
        <row r="494">
          <cell r="EG494">
            <v>0.27027027027027023</v>
          </cell>
        </row>
        <row r="495">
          <cell r="EG495">
            <v>0.63694267515923564</v>
          </cell>
        </row>
        <row r="496">
          <cell r="EG496">
            <v>0.303951367781155</v>
          </cell>
        </row>
        <row r="497">
          <cell r="EG497">
            <v>0.42735042735042739</v>
          </cell>
        </row>
        <row r="498">
          <cell r="EG498">
            <v>0.38759689922480617</v>
          </cell>
        </row>
        <row r="499">
          <cell r="EG499">
            <v>7.3637702503681887E-2</v>
          </cell>
        </row>
        <row r="500">
          <cell r="EG500">
            <v>0.39370078740157477</v>
          </cell>
        </row>
        <row r="501">
          <cell r="EG501">
            <v>0.38167938931297707</v>
          </cell>
        </row>
        <row r="502">
          <cell r="EG502">
            <v>0.46511627906976744</v>
          </cell>
        </row>
        <row r="503">
          <cell r="EG503">
            <v>1.0416666666666667</v>
          </cell>
        </row>
        <row r="504">
          <cell r="EG504">
            <v>0.67567567567567566</v>
          </cell>
        </row>
        <row r="505">
          <cell r="EG505">
            <v>0.52083333333333337</v>
          </cell>
        </row>
        <row r="506">
          <cell r="EG506">
            <v>0.49261083743842371</v>
          </cell>
        </row>
        <row r="507">
          <cell r="EG507">
            <v>0.76335877862595414</v>
          </cell>
        </row>
        <row r="508">
          <cell r="EG508">
            <v>0.58479532163742687</v>
          </cell>
        </row>
        <row r="509">
          <cell r="EG509">
            <v>0.32679738562091504</v>
          </cell>
        </row>
        <row r="510">
          <cell r="EG510">
            <v>0.2304147465437788</v>
          </cell>
        </row>
        <row r="511">
          <cell r="EG511">
            <v>0.53191489361702127</v>
          </cell>
        </row>
        <row r="512">
          <cell r="EG512">
            <v>0.47169811320754712</v>
          </cell>
        </row>
        <row r="513">
          <cell r="EG513">
            <v>0.54054054054054046</v>
          </cell>
        </row>
        <row r="514">
          <cell r="EG514">
            <v>0.90909090909090906</v>
          </cell>
        </row>
        <row r="515">
          <cell r="EG515">
            <v>0.35211267605633806</v>
          </cell>
        </row>
        <row r="516">
          <cell r="EG516">
            <v>0.4587155963302752</v>
          </cell>
        </row>
        <row r="517">
          <cell r="EG517">
            <v>0.625</v>
          </cell>
        </row>
        <row r="518">
          <cell r="EG518">
            <v>0.7407407407407407</v>
          </cell>
        </row>
        <row r="519">
          <cell r="EG519">
            <v>1.0104071940992221E-2</v>
          </cell>
        </row>
        <row r="520">
          <cell r="EG520">
            <v>0.32573289902280134</v>
          </cell>
        </row>
        <row r="521">
          <cell r="EG521">
            <v>0.59523809523809523</v>
          </cell>
        </row>
        <row r="522">
          <cell r="EG522">
            <v>0.6097560975609756</v>
          </cell>
        </row>
        <row r="523">
          <cell r="EG523">
            <v>0.34722222222222221</v>
          </cell>
        </row>
        <row r="524">
          <cell r="EG524">
            <v>0.9174311926605504</v>
          </cell>
        </row>
        <row r="525">
          <cell r="EG525">
            <v>0.64935064935064934</v>
          </cell>
        </row>
        <row r="526">
          <cell r="EG526">
            <v>0.23923444976076558</v>
          </cell>
        </row>
        <row r="527">
          <cell r="EG527">
            <v>0.59523809523809523</v>
          </cell>
        </row>
        <row r="528">
          <cell r="EG528">
            <v>0.38759689922480617</v>
          </cell>
        </row>
        <row r="529">
          <cell r="EG529">
            <v>0.37735849056603776</v>
          </cell>
        </row>
        <row r="530">
          <cell r="EG530">
            <v>0.55865921787709494</v>
          </cell>
        </row>
        <row r="531">
          <cell r="EG531">
            <v>0.16750418760469013</v>
          </cell>
        </row>
        <row r="532">
          <cell r="EG532">
            <v>0.53475935828876997</v>
          </cell>
        </row>
        <row r="533">
          <cell r="EG533">
            <v>0.34246575342465752</v>
          </cell>
        </row>
        <row r="534">
          <cell r="EG534">
            <v>0.38610038610038611</v>
          </cell>
        </row>
        <row r="535">
          <cell r="EG535">
            <v>0.69930069930069938</v>
          </cell>
        </row>
        <row r="536">
          <cell r="EG536">
            <v>0.87719298245614041</v>
          </cell>
        </row>
        <row r="537">
          <cell r="EG537">
            <v>0.49261083743842371</v>
          </cell>
        </row>
        <row r="538">
          <cell r="EG538">
            <v>0.37878787878787878</v>
          </cell>
        </row>
        <row r="539">
          <cell r="EG539">
            <v>0.36630036630036628</v>
          </cell>
        </row>
        <row r="540">
          <cell r="EG540">
            <v>0.4098360655737705</v>
          </cell>
        </row>
        <row r="541">
          <cell r="EG541">
            <v>0.81967213114754101</v>
          </cell>
        </row>
        <row r="542">
          <cell r="EG542">
            <v>0.30864197530864196</v>
          </cell>
        </row>
        <row r="543">
          <cell r="EG543">
            <v>0.18691588785046731</v>
          </cell>
        </row>
        <row r="544">
          <cell r="EG544">
            <v>0.36900369003690037</v>
          </cell>
        </row>
        <row r="545">
          <cell r="EG545">
            <v>0.13245033112582782</v>
          </cell>
        </row>
        <row r="546">
          <cell r="EG546">
            <v>0.58139534883720934</v>
          </cell>
        </row>
        <row r="547">
          <cell r="EG547">
            <v>0.94339622641509424</v>
          </cell>
        </row>
        <row r="548">
          <cell r="EG548">
            <v>1.5625</v>
          </cell>
        </row>
        <row r="549">
          <cell r="EG549">
            <v>0.75757575757575757</v>
          </cell>
        </row>
        <row r="550">
          <cell r="EG550">
            <v>0.58823529411764708</v>
          </cell>
        </row>
        <row r="551">
          <cell r="EG551">
            <v>0.66666666666666663</v>
          </cell>
        </row>
        <row r="552">
          <cell r="EG552">
            <v>1.2658227848101264</v>
          </cell>
        </row>
        <row r="553">
          <cell r="EG553">
            <v>1.2345679012345678</v>
          </cell>
        </row>
        <row r="554">
          <cell r="EG554">
            <v>1.2345679012345678</v>
          </cell>
        </row>
        <row r="555">
          <cell r="EG555">
            <v>4.7096500729995761E-3</v>
          </cell>
        </row>
        <row r="556">
          <cell r="EG556">
            <v>1.5384615384615383</v>
          </cell>
        </row>
        <row r="557">
          <cell r="EG557">
            <v>0.28409090909090912</v>
          </cell>
        </row>
        <row r="558">
          <cell r="EG558">
            <v>0.58479532163742687</v>
          </cell>
        </row>
        <row r="559">
          <cell r="EG559">
            <v>0.49019607843137253</v>
          </cell>
        </row>
        <row r="560">
          <cell r="EG560">
            <v>0.970873786407767</v>
          </cell>
        </row>
        <row r="561">
          <cell r="EG561">
            <v>1.0869565217391304</v>
          </cell>
        </row>
        <row r="562">
          <cell r="EG562">
            <v>0.95238095238095233</v>
          </cell>
        </row>
        <row r="563">
          <cell r="EG563">
            <v>1.3513513513513513</v>
          </cell>
        </row>
        <row r="564">
          <cell r="EG564">
            <v>0.87719298245614041</v>
          </cell>
        </row>
        <row r="565">
          <cell r="EG565">
            <v>0.75757575757575757</v>
          </cell>
        </row>
        <row r="566">
          <cell r="EG566">
            <v>0.78125</v>
          </cell>
        </row>
        <row r="567">
          <cell r="EG567">
            <v>0.68493150684931503</v>
          </cell>
        </row>
        <row r="568">
          <cell r="EG568">
            <v>0.80645161290322587</v>
          </cell>
        </row>
        <row r="569">
          <cell r="EG569">
            <v>0.81967213114754101</v>
          </cell>
        </row>
        <row r="570">
          <cell r="EG570">
            <v>0.73529411764705876</v>
          </cell>
        </row>
        <row r="571">
          <cell r="EG571">
            <v>0.69444444444444442</v>
          </cell>
        </row>
        <row r="572">
          <cell r="EG572">
            <v>0.84745762711864414</v>
          </cell>
        </row>
        <row r="573">
          <cell r="EG573">
            <v>0.85470085470085477</v>
          </cell>
        </row>
        <row r="574">
          <cell r="EG574">
            <v>0.83333333333333337</v>
          </cell>
        </row>
        <row r="575">
          <cell r="EG575">
            <v>0.5376344086021505</v>
          </cell>
        </row>
        <row r="576">
          <cell r="EG576">
            <v>0.41493775933609955</v>
          </cell>
        </row>
        <row r="577">
          <cell r="EG577">
            <v>1.0526315789473684</v>
          </cell>
        </row>
        <row r="578">
          <cell r="EG578">
            <v>1.0416666666666667</v>
          </cell>
        </row>
        <row r="579">
          <cell r="EG579">
            <v>0.99009900990099009</v>
          </cell>
        </row>
        <row r="580">
          <cell r="EG580">
            <v>0.73529411764705876</v>
          </cell>
        </row>
        <row r="581">
          <cell r="EG581">
            <v>0.970873786407767</v>
          </cell>
        </row>
        <row r="582">
          <cell r="EG582">
            <v>0.4</v>
          </cell>
        </row>
        <row r="583">
          <cell r="EG583">
            <v>0.67567567567567566</v>
          </cell>
        </row>
        <row r="584">
          <cell r="EG584">
            <v>0.35211267605633806</v>
          </cell>
        </row>
        <row r="585">
          <cell r="EG585">
            <v>0.69444444444444442</v>
          </cell>
        </row>
        <row r="586">
          <cell r="EG586">
            <v>0.86956521739130443</v>
          </cell>
        </row>
        <row r="587">
          <cell r="EG587">
            <v>0.55865921787709494</v>
          </cell>
        </row>
        <row r="588">
          <cell r="EG588">
            <v>0.72992700729927007</v>
          </cell>
        </row>
        <row r="589">
          <cell r="EG589">
            <v>0.51020408163265307</v>
          </cell>
        </row>
        <row r="590">
          <cell r="EG590">
            <v>0.42194092827004215</v>
          </cell>
        </row>
        <row r="591">
          <cell r="EG591">
            <v>0.22222222222222221</v>
          </cell>
        </row>
        <row r="592">
          <cell r="EG592">
            <v>0.41666666666666669</v>
          </cell>
        </row>
        <row r="593">
          <cell r="EG593">
            <v>0.47393364928909953</v>
          </cell>
        </row>
        <row r="594">
          <cell r="EG594">
            <v>0.62893081761006286</v>
          </cell>
        </row>
        <row r="595">
          <cell r="EG595">
            <v>0.2824858757062147</v>
          </cell>
        </row>
        <row r="596">
          <cell r="EG596">
            <v>0.87719298245614041</v>
          </cell>
        </row>
        <row r="597">
          <cell r="EG597">
            <v>1</v>
          </cell>
        </row>
        <row r="598">
          <cell r="EG598">
            <v>0.9009009009009008</v>
          </cell>
        </row>
        <row r="599">
          <cell r="EG599">
            <v>0.92592592592592582</v>
          </cell>
        </row>
        <row r="600">
          <cell r="EG600">
            <v>0.32894736842105265</v>
          </cell>
        </row>
        <row r="601">
          <cell r="EG601">
            <v>1.0638297872340425</v>
          </cell>
        </row>
        <row r="602">
          <cell r="EG602">
            <v>0.27548209366391185</v>
          </cell>
        </row>
        <row r="603">
          <cell r="EG603">
            <v>0.125</v>
          </cell>
        </row>
        <row r="604">
          <cell r="EG604">
            <v>1.4705882352941175</v>
          </cell>
        </row>
        <row r="605">
          <cell r="EG605">
            <v>0.23923444976076558</v>
          </cell>
        </row>
        <row r="606">
          <cell r="EG606">
            <v>1.0869565217391304</v>
          </cell>
        </row>
        <row r="607">
          <cell r="EG607">
            <v>0.2610966057441253</v>
          </cell>
        </row>
        <row r="608">
          <cell r="EG608">
            <v>0.36764705882352938</v>
          </cell>
        </row>
        <row r="609">
          <cell r="EG609">
            <v>0.32679738562091504</v>
          </cell>
        </row>
        <row r="610">
          <cell r="EG610">
            <v>1</v>
          </cell>
        </row>
        <row r="611">
          <cell r="EG611">
            <v>0.52910052910052918</v>
          </cell>
        </row>
        <row r="612">
          <cell r="EG612">
            <v>1</v>
          </cell>
        </row>
        <row r="613">
          <cell r="EG613">
            <v>0.5714285714285714</v>
          </cell>
        </row>
        <row r="614">
          <cell r="EG614">
            <v>0.22831050228310504</v>
          </cell>
        </row>
        <row r="615">
          <cell r="EG615">
            <v>0.20746887966804978</v>
          </cell>
        </row>
        <row r="616">
          <cell r="EG616">
            <v>0.75187969924812026</v>
          </cell>
        </row>
        <row r="617">
          <cell r="EG617">
            <v>1.0526315789473684</v>
          </cell>
        </row>
        <row r="618">
          <cell r="EG618">
            <v>1.1494252873563218</v>
          </cell>
        </row>
        <row r="619">
          <cell r="EG619">
            <v>0.28011204481792717</v>
          </cell>
        </row>
        <row r="620">
          <cell r="EG620">
            <v>0.83333333333333337</v>
          </cell>
        </row>
        <row r="621">
          <cell r="EG621">
            <v>0.98039215686274506</v>
          </cell>
        </row>
        <row r="622">
          <cell r="EG622">
            <v>0.49751243781094534</v>
          </cell>
        </row>
        <row r="623">
          <cell r="EG623">
            <v>0.83333333333333337</v>
          </cell>
        </row>
        <row r="624">
          <cell r="EG624">
            <v>0.7246376811594204</v>
          </cell>
        </row>
        <row r="625">
          <cell r="EG625">
            <v>0.58139534883720934</v>
          </cell>
        </row>
        <row r="626">
          <cell r="EG626">
            <v>0.49261083743842371</v>
          </cell>
        </row>
        <row r="627">
          <cell r="EG627">
            <v>1.0526315789473684</v>
          </cell>
        </row>
        <row r="628">
          <cell r="EG628">
            <v>0.29154518950437314</v>
          </cell>
        </row>
        <row r="629">
          <cell r="EG629">
            <v>1.0526315789473684</v>
          </cell>
        </row>
        <row r="630">
          <cell r="EG630">
            <v>0.48076923076923073</v>
          </cell>
        </row>
        <row r="631">
          <cell r="EG631">
            <v>0.5714285714285714</v>
          </cell>
        </row>
        <row r="632">
          <cell r="EG632">
            <v>1.2987012987012987</v>
          </cell>
        </row>
        <row r="633">
          <cell r="EG633">
            <v>4.8239266763145196E-2</v>
          </cell>
        </row>
        <row r="634">
          <cell r="EG634">
            <v>0.5617977528089888</v>
          </cell>
        </row>
        <row r="635">
          <cell r="EG635">
            <v>0.21881838074398249</v>
          </cell>
        </row>
        <row r="636">
          <cell r="EG636">
            <v>0.82644628099173556</v>
          </cell>
        </row>
        <row r="637">
          <cell r="EG637">
            <v>0.40322580645161293</v>
          </cell>
        </row>
        <row r="638">
          <cell r="EG638">
            <v>0.24570024570024568</v>
          </cell>
        </row>
        <row r="639">
          <cell r="EG639">
            <v>0.54945054945054939</v>
          </cell>
        </row>
        <row r="640">
          <cell r="EG640">
            <v>0.75187969924812026</v>
          </cell>
        </row>
        <row r="641">
          <cell r="EG641">
            <v>2.9205607476635514E-2</v>
          </cell>
        </row>
        <row r="642">
          <cell r="EG642">
            <v>0.59523809523809523</v>
          </cell>
        </row>
        <row r="643">
          <cell r="EG643">
            <v>0.54644808743169393</v>
          </cell>
        </row>
        <row r="644">
          <cell r="EG644">
            <v>0.5181347150259068</v>
          </cell>
        </row>
        <row r="645">
          <cell r="EG645">
            <v>0.6211180124223602</v>
          </cell>
        </row>
        <row r="646">
          <cell r="EG646">
            <v>0.34129692832764502</v>
          </cell>
        </row>
        <row r="647">
          <cell r="EG647">
            <v>0.56497175141242939</v>
          </cell>
        </row>
        <row r="648">
          <cell r="EG648">
            <v>0.53475935828876997</v>
          </cell>
        </row>
        <row r="649">
          <cell r="EG649">
            <v>0.66666666666666663</v>
          </cell>
        </row>
        <row r="650">
          <cell r="EG650">
            <v>0.64102564102564097</v>
          </cell>
        </row>
        <row r="651">
          <cell r="EG651">
            <v>0.44444444444444442</v>
          </cell>
        </row>
        <row r="652">
          <cell r="EG652">
            <v>0.84033613445378152</v>
          </cell>
        </row>
        <row r="653">
          <cell r="EG653">
            <v>0.51546391752577325</v>
          </cell>
        </row>
        <row r="654">
          <cell r="EG654">
            <v>0.79365079365079361</v>
          </cell>
        </row>
        <row r="655">
          <cell r="EG655">
            <v>0.22831050228310504</v>
          </cell>
        </row>
        <row r="656">
          <cell r="EG656">
            <v>0.49751243781094534</v>
          </cell>
        </row>
        <row r="657">
          <cell r="EG657">
            <v>0.66225165562913912</v>
          </cell>
        </row>
        <row r="658">
          <cell r="EG658">
            <v>0.23255813953488372</v>
          </cell>
        </row>
        <row r="659">
          <cell r="EG659">
            <v>1.1363636363636365</v>
          </cell>
        </row>
        <row r="660">
          <cell r="EG660">
            <v>0.3968253968253968</v>
          </cell>
        </row>
        <row r="661">
          <cell r="EG661">
            <v>0.4587155963302752</v>
          </cell>
        </row>
        <row r="662">
          <cell r="EG662">
            <v>0.72992700729927007</v>
          </cell>
        </row>
        <row r="663">
          <cell r="EG663">
            <v>0.75187969924812026</v>
          </cell>
        </row>
        <row r="664">
          <cell r="EG664">
            <v>0.34246575342465752</v>
          </cell>
        </row>
        <row r="665">
          <cell r="EG665">
            <v>0.52356020942408377</v>
          </cell>
        </row>
        <row r="666">
          <cell r="EG666">
            <v>0.53475935828876997</v>
          </cell>
        </row>
        <row r="667">
          <cell r="EG667">
            <v>1.0204081632653061</v>
          </cell>
        </row>
        <row r="668">
          <cell r="EG668">
            <v>0.41152263374485593</v>
          </cell>
        </row>
        <row r="669">
          <cell r="EG669">
            <v>0.96153846153846145</v>
          </cell>
        </row>
        <row r="670">
          <cell r="EG670">
            <v>0.96153846153846145</v>
          </cell>
        </row>
        <row r="671">
          <cell r="EG671">
            <v>0.69930069930069938</v>
          </cell>
        </row>
        <row r="672">
          <cell r="EG672">
            <v>0.77519379844961234</v>
          </cell>
        </row>
        <row r="673">
          <cell r="EG673">
            <v>0.86956521739130443</v>
          </cell>
        </row>
        <row r="674">
          <cell r="EG674">
            <v>0.49261083743842371</v>
          </cell>
        </row>
        <row r="675">
          <cell r="EG675">
            <v>0.95238095238095233</v>
          </cell>
        </row>
        <row r="676">
          <cell r="EG676">
            <v>0.92592592592592582</v>
          </cell>
        </row>
        <row r="677">
          <cell r="EG677">
            <v>0.42553191489361702</v>
          </cell>
        </row>
        <row r="678">
          <cell r="EG678">
            <v>1.0101010101010102</v>
          </cell>
        </row>
        <row r="679">
          <cell r="EG679">
            <v>0.8</v>
          </cell>
        </row>
        <row r="680">
          <cell r="EG680">
            <v>1.4084507042253522</v>
          </cell>
        </row>
        <row r="681">
          <cell r="EG681">
            <v>0.117096018735363</v>
          </cell>
        </row>
        <row r="682">
          <cell r="EG682">
            <v>0.40160642570281119</v>
          </cell>
        </row>
        <row r="683">
          <cell r="EG683">
            <v>0.7407407407407407</v>
          </cell>
        </row>
        <row r="684">
          <cell r="EG684">
            <v>0.43478260869565222</v>
          </cell>
        </row>
        <row r="685">
          <cell r="EG685">
            <v>1.2345679012345678</v>
          </cell>
        </row>
        <row r="686">
          <cell r="EG686">
            <v>0.99009900990099009</v>
          </cell>
        </row>
        <row r="687">
          <cell r="EG687">
            <v>0.81967213114754101</v>
          </cell>
        </row>
        <row r="688">
          <cell r="EG688">
            <v>0.50505050505050508</v>
          </cell>
        </row>
        <row r="689">
          <cell r="EG689">
            <v>0.5524861878453039</v>
          </cell>
        </row>
        <row r="690">
          <cell r="EG690">
            <v>0.35971223021582738</v>
          </cell>
        </row>
        <row r="691">
          <cell r="EG691">
            <v>0.86206896551724144</v>
          </cell>
        </row>
        <row r="692">
          <cell r="EG692">
            <v>0.4366812227074236</v>
          </cell>
        </row>
        <row r="693">
          <cell r="EG693">
            <v>0.60606060606060608</v>
          </cell>
        </row>
        <row r="694">
          <cell r="EG694">
            <v>0.26737967914438499</v>
          </cell>
        </row>
        <row r="695">
          <cell r="EG695">
            <v>0.68027210884353739</v>
          </cell>
        </row>
        <row r="696">
          <cell r="EG696">
            <v>0.26246719160104987</v>
          </cell>
        </row>
        <row r="697">
          <cell r="EG697">
            <v>0.55555555555555558</v>
          </cell>
        </row>
        <row r="698">
          <cell r="EG698">
            <v>0.45454545454545453</v>
          </cell>
        </row>
        <row r="699">
          <cell r="EG699">
            <v>0.61349693251533743</v>
          </cell>
        </row>
        <row r="700">
          <cell r="EG700">
            <v>0.92592592592592582</v>
          </cell>
        </row>
        <row r="701">
          <cell r="EG701">
            <v>1.0989010989010988</v>
          </cell>
        </row>
        <row r="702">
          <cell r="EG702">
            <v>0.87719298245614041</v>
          </cell>
        </row>
        <row r="703">
          <cell r="EG703">
            <v>0.75757575757575757</v>
          </cell>
        </row>
        <row r="704">
          <cell r="EG704">
            <v>0.43478260869565222</v>
          </cell>
        </row>
        <row r="705">
          <cell r="EG705">
            <v>0.93457943925233644</v>
          </cell>
        </row>
        <row r="706">
          <cell r="EG706">
            <v>0.390625</v>
          </cell>
        </row>
        <row r="707">
          <cell r="EG707">
            <v>0.42194092827004215</v>
          </cell>
        </row>
        <row r="708">
          <cell r="EG708">
            <v>0.42918454935622319</v>
          </cell>
        </row>
        <row r="709">
          <cell r="EG709">
            <v>8.5106382978723402E-2</v>
          </cell>
        </row>
        <row r="710">
          <cell r="EG710">
            <v>0.9174311926605504</v>
          </cell>
        </row>
        <row r="711">
          <cell r="EG711">
            <v>0.72992700729927007</v>
          </cell>
        </row>
        <row r="712">
          <cell r="EG712">
            <v>0.7246376811594204</v>
          </cell>
        </row>
        <row r="713">
          <cell r="EG713">
            <v>0.4081632653061224</v>
          </cell>
        </row>
        <row r="714">
          <cell r="EG714">
            <v>1.3333333333333333</v>
          </cell>
        </row>
        <row r="715">
          <cell r="EG715">
            <v>0.92592592592592582</v>
          </cell>
        </row>
        <row r="716">
          <cell r="EG716">
            <v>0.41493775933609955</v>
          </cell>
        </row>
        <row r="717">
          <cell r="EG717">
            <v>0.54644808743169393</v>
          </cell>
        </row>
        <row r="718">
          <cell r="EG718">
            <v>0.25575447570332482</v>
          </cell>
        </row>
        <row r="719">
          <cell r="EG719">
            <v>0.66666666666666663</v>
          </cell>
        </row>
        <row r="720">
          <cell r="EG720">
            <v>0.41841004184100417</v>
          </cell>
        </row>
        <row r="721">
          <cell r="EG721">
            <v>0.36764705882352938</v>
          </cell>
        </row>
        <row r="722">
          <cell r="EG722">
            <v>0.68027210884353739</v>
          </cell>
        </row>
        <row r="723">
          <cell r="EG723">
            <v>0.35087719298245612</v>
          </cell>
        </row>
        <row r="724">
          <cell r="EG724">
            <v>0.52631578947368418</v>
          </cell>
        </row>
        <row r="725">
          <cell r="EG725">
            <v>0.38610038610038611</v>
          </cell>
        </row>
        <row r="726">
          <cell r="EG726">
            <v>0.4854368932038835</v>
          </cell>
        </row>
        <row r="727">
          <cell r="EG727">
            <v>0.61349693251533743</v>
          </cell>
        </row>
        <row r="728">
          <cell r="EG728">
            <v>0.96153846153846145</v>
          </cell>
        </row>
        <row r="729">
          <cell r="EG729">
            <v>0.33112582781456956</v>
          </cell>
        </row>
        <row r="730">
          <cell r="EG730">
            <v>1.0101010101010102</v>
          </cell>
        </row>
        <row r="731">
          <cell r="EG731">
            <v>0.3623188405797102</v>
          </cell>
        </row>
        <row r="732">
          <cell r="EG732">
            <v>0.88495575221238942</v>
          </cell>
        </row>
        <row r="733">
          <cell r="EG733">
            <v>0.76335877862595414</v>
          </cell>
        </row>
        <row r="734">
          <cell r="EG734">
            <v>0.7142857142857143</v>
          </cell>
        </row>
        <row r="735">
          <cell r="EG735">
            <v>0.84745762711864414</v>
          </cell>
        </row>
        <row r="736">
          <cell r="EG736">
            <v>0.15797788309636651</v>
          </cell>
        </row>
        <row r="737">
          <cell r="EG737">
            <v>0.58823529411764708</v>
          </cell>
        </row>
        <row r="738">
          <cell r="EG738">
            <v>0.30211480362537763</v>
          </cell>
        </row>
        <row r="739">
          <cell r="EG739">
            <v>0.44843049327354262</v>
          </cell>
        </row>
        <row r="740">
          <cell r="EG740">
            <v>1.0989010989010988</v>
          </cell>
        </row>
        <row r="741">
          <cell r="EG741">
            <v>0.20661157024793389</v>
          </cell>
        </row>
        <row r="742">
          <cell r="EG742">
            <v>0.3546099290780142</v>
          </cell>
        </row>
        <row r="743">
          <cell r="EG743">
            <v>0.46082949308755761</v>
          </cell>
        </row>
        <row r="744">
          <cell r="EG744">
            <v>0.64516129032258063</v>
          </cell>
        </row>
        <row r="745">
          <cell r="EG745">
            <v>0.49019607843137253</v>
          </cell>
        </row>
        <row r="746">
          <cell r="EG746">
            <v>0.49504950495049505</v>
          </cell>
        </row>
        <row r="747">
          <cell r="EG747">
            <v>1.0309278350515465</v>
          </cell>
        </row>
        <row r="748">
          <cell r="EG748">
            <v>0.42016806722689076</v>
          </cell>
        </row>
        <row r="749">
          <cell r="EG749">
            <v>0.29069767441860467</v>
          </cell>
        </row>
        <row r="750">
          <cell r="EG750">
            <v>0.61728395061728392</v>
          </cell>
        </row>
        <row r="751">
          <cell r="EG751">
            <v>0.5780346820809249</v>
          </cell>
        </row>
        <row r="752">
          <cell r="EG752">
            <v>0.38759689922480617</v>
          </cell>
        </row>
        <row r="753">
          <cell r="EG753">
            <v>0.85470085470085477</v>
          </cell>
        </row>
        <row r="754">
          <cell r="EG754">
            <v>0.43478260869565222</v>
          </cell>
        </row>
        <row r="755">
          <cell r="EG755">
            <v>0.9009009009009008</v>
          </cell>
        </row>
        <row r="756">
          <cell r="EG756">
            <v>0.38759689922480617</v>
          </cell>
        </row>
        <row r="757">
          <cell r="EG757">
            <v>0.20576131687242796</v>
          </cell>
        </row>
        <row r="758">
          <cell r="EG758">
            <v>0.44247787610619471</v>
          </cell>
        </row>
        <row r="759">
          <cell r="EG759">
            <v>0.9009009009009008</v>
          </cell>
        </row>
        <row r="760">
          <cell r="EG760">
            <v>0.49019607843137253</v>
          </cell>
        </row>
        <row r="761">
          <cell r="EG761">
            <v>0.5</v>
          </cell>
        </row>
        <row r="762">
          <cell r="EG762">
            <v>0.71942446043165476</v>
          </cell>
        </row>
        <row r="763">
          <cell r="EG763">
            <v>0.73529411764705876</v>
          </cell>
        </row>
        <row r="764">
          <cell r="EG764">
            <v>0.3546099290780142</v>
          </cell>
        </row>
        <row r="765">
          <cell r="EG765">
            <v>0.4854368932038835</v>
          </cell>
        </row>
        <row r="766">
          <cell r="EG766">
            <v>0.3115264797507788</v>
          </cell>
        </row>
        <row r="767">
          <cell r="EG767">
            <v>0.4366812227074236</v>
          </cell>
        </row>
        <row r="768">
          <cell r="EG768">
            <v>0.58479532163742687</v>
          </cell>
        </row>
        <row r="769">
          <cell r="EG769">
            <v>0.41322314049586778</v>
          </cell>
        </row>
        <row r="770">
          <cell r="EG770">
            <v>0.52631578947368418</v>
          </cell>
        </row>
        <row r="771">
          <cell r="EG771">
            <v>0.42372881355932207</v>
          </cell>
        </row>
        <row r="772">
          <cell r="EG772">
            <v>0.39525691699604748</v>
          </cell>
        </row>
        <row r="773">
          <cell r="EG773">
            <v>0.51282051282051289</v>
          </cell>
        </row>
        <row r="774">
          <cell r="EG774">
            <v>0.63291139240506322</v>
          </cell>
        </row>
        <row r="775">
          <cell r="EG775">
            <v>0.64935064935064934</v>
          </cell>
        </row>
        <row r="776">
          <cell r="EG776">
            <v>0.92592592592592582</v>
          </cell>
        </row>
        <row r="777">
          <cell r="EG777">
            <v>0.42735042735042739</v>
          </cell>
        </row>
        <row r="778">
          <cell r="EG778">
            <v>0.67567567567567566</v>
          </cell>
        </row>
        <row r="779">
          <cell r="EG779">
            <v>0.1801801801801802</v>
          </cell>
        </row>
        <row r="780">
          <cell r="EG780">
            <v>1.3888888888888888</v>
          </cell>
        </row>
        <row r="781">
          <cell r="EG781">
            <v>0.15174506828528073</v>
          </cell>
        </row>
        <row r="782">
          <cell r="EG782">
            <v>0.63694267515923564</v>
          </cell>
        </row>
        <row r="783">
          <cell r="EG783">
            <v>0.71942446043165476</v>
          </cell>
        </row>
        <row r="784">
          <cell r="EG784">
            <v>0.82644628099173556</v>
          </cell>
        </row>
        <row r="785">
          <cell r="EG785">
            <v>0.33112582781456956</v>
          </cell>
        </row>
        <row r="786">
          <cell r="EG786">
            <v>0.20449897750511248</v>
          </cell>
        </row>
        <row r="787">
          <cell r="EG787">
            <v>0.5988023952095809</v>
          </cell>
        </row>
        <row r="788">
          <cell r="EG788">
            <v>0.42194092827004215</v>
          </cell>
        </row>
        <row r="789">
          <cell r="EG789">
            <v>0.2824858757062147</v>
          </cell>
        </row>
        <row r="790">
          <cell r="EG790">
            <v>0.42553191489361702</v>
          </cell>
        </row>
        <row r="791">
          <cell r="EG791">
            <v>0.8</v>
          </cell>
        </row>
        <row r="792">
          <cell r="EG792">
            <v>0.76335877862595414</v>
          </cell>
        </row>
        <row r="793">
          <cell r="EG793">
            <v>0.38314176245210729</v>
          </cell>
        </row>
        <row r="794">
          <cell r="EG794">
            <v>0.57471264367816088</v>
          </cell>
        </row>
        <row r="795">
          <cell r="EG795">
            <v>0.39840637450199207</v>
          </cell>
        </row>
        <row r="796">
          <cell r="EG796">
            <v>0.96153846153846145</v>
          </cell>
        </row>
        <row r="797">
          <cell r="EG797">
            <v>0.35087719298245612</v>
          </cell>
        </row>
        <row r="798">
          <cell r="EG798">
            <v>0.55555555555555558</v>
          </cell>
        </row>
        <row r="799">
          <cell r="EG799">
            <v>0.19493177387914232</v>
          </cell>
        </row>
        <row r="800">
          <cell r="EG800">
            <v>0.68965517241379315</v>
          </cell>
        </row>
        <row r="801">
          <cell r="EG801">
            <v>0.15974440894568689</v>
          </cell>
        </row>
        <row r="802">
          <cell r="EG802">
            <v>0.61349693251533743</v>
          </cell>
        </row>
        <row r="803">
          <cell r="EG803">
            <v>1</v>
          </cell>
        </row>
        <row r="804">
          <cell r="EG804">
            <v>0.42735042735042739</v>
          </cell>
        </row>
        <row r="805">
          <cell r="EG805">
            <v>0.21459227467811159</v>
          </cell>
        </row>
        <row r="806">
          <cell r="EG806">
            <v>0.22123893805309736</v>
          </cell>
        </row>
        <row r="807">
          <cell r="EG807">
            <v>0.26041666666666669</v>
          </cell>
        </row>
        <row r="808">
          <cell r="EG808">
            <v>0.65789473684210531</v>
          </cell>
        </row>
        <row r="809">
          <cell r="EG809">
            <v>0.87719298245614041</v>
          </cell>
        </row>
        <row r="810">
          <cell r="EG810">
            <v>0.86206896551724144</v>
          </cell>
        </row>
        <row r="811">
          <cell r="EG811">
            <v>0.66666666666666663</v>
          </cell>
        </row>
        <row r="812">
          <cell r="EG812">
            <v>0.45662100456621008</v>
          </cell>
        </row>
        <row r="813">
          <cell r="EG813">
            <v>0.13333333333333333</v>
          </cell>
        </row>
        <row r="814">
          <cell r="EG814">
            <v>0.3236245954692557</v>
          </cell>
        </row>
        <row r="815">
          <cell r="EG815">
            <v>1.2345679012345678</v>
          </cell>
        </row>
        <row r="816">
          <cell r="EG816">
            <v>0.75757575757575757</v>
          </cell>
        </row>
        <row r="817">
          <cell r="EG817">
            <v>0.16920473773265651</v>
          </cell>
        </row>
        <row r="818">
          <cell r="EG818">
            <v>0.23310023310023309</v>
          </cell>
        </row>
        <row r="819">
          <cell r="EG819">
            <v>0.30959752321981426</v>
          </cell>
        </row>
        <row r="820">
          <cell r="EG820">
            <v>0.2824858757062147</v>
          </cell>
        </row>
        <row r="821">
          <cell r="EG821">
            <v>0.33112582781456956</v>
          </cell>
        </row>
        <row r="822">
          <cell r="EG822">
            <v>1.2658227848101264</v>
          </cell>
        </row>
        <row r="823">
          <cell r="EG823">
            <v>0.29325513196480935</v>
          </cell>
        </row>
        <row r="824">
          <cell r="EG824">
            <v>0.24213075060532688</v>
          </cell>
        </row>
        <row r="825">
          <cell r="EG825">
            <v>0.50251256281407031</v>
          </cell>
        </row>
        <row r="826">
          <cell r="EG826">
            <v>0.31446540880503143</v>
          </cell>
        </row>
        <row r="827">
          <cell r="EG827">
            <v>0.43103448275862072</v>
          </cell>
        </row>
        <row r="828">
          <cell r="EG828">
            <v>0.77519379844961234</v>
          </cell>
        </row>
        <row r="829">
          <cell r="EG829">
            <v>0.38759689922480617</v>
          </cell>
        </row>
        <row r="830">
          <cell r="EG830">
            <v>0.40485829959514169</v>
          </cell>
        </row>
        <row r="831">
          <cell r="EG831">
            <v>0.40322580645161293</v>
          </cell>
        </row>
        <row r="832">
          <cell r="EG832">
            <v>0.4854368932038835</v>
          </cell>
        </row>
        <row r="833">
          <cell r="EG833">
            <v>0.88495575221238942</v>
          </cell>
        </row>
        <row r="834">
          <cell r="EG834">
            <v>1.1904761904761905</v>
          </cell>
        </row>
        <row r="835">
          <cell r="EG835">
            <v>0.27472527472527469</v>
          </cell>
        </row>
        <row r="836">
          <cell r="EG836">
            <v>0.98039215686274506</v>
          </cell>
        </row>
        <row r="837">
          <cell r="EG837">
            <v>1.0869565217391304</v>
          </cell>
        </row>
        <row r="838">
          <cell r="EG838">
            <v>0.36900369003690037</v>
          </cell>
        </row>
        <row r="839">
          <cell r="EG839">
            <v>1.0869565217391304</v>
          </cell>
        </row>
        <row r="840">
          <cell r="EG840">
            <v>0.35211267605633806</v>
          </cell>
        </row>
        <row r="841">
          <cell r="EG841">
            <v>0.40322580645161293</v>
          </cell>
        </row>
        <row r="842">
          <cell r="EG842">
            <v>0.20746887966804978</v>
          </cell>
        </row>
        <row r="843">
          <cell r="EG843">
            <v>0.51282051282051289</v>
          </cell>
        </row>
        <row r="844">
          <cell r="EG844">
            <v>1.0526315789473684</v>
          </cell>
        </row>
        <row r="845">
          <cell r="EG845">
            <v>1.0204081632653061</v>
          </cell>
        </row>
        <row r="846">
          <cell r="EG846">
            <v>0.4329004329004329</v>
          </cell>
        </row>
        <row r="847">
          <cell r="EG847">
            <v>0.5780346820809249</v>
          </cell>
        </row>
        <row r="848">
          <cell r="EG848">
            <v>0.49751243781094534</v>
          </cell>
        </row>
        <row r="849">
          <cell r="EG849">
            <v>0.58479532163742687</v>
          </cell>
        </row>
        <row r="850">
          <cell r="EG850">
            <v>0.12690355329949238</v>
          </cell>
        </row>
        <row r="851">
          <cell r="EG851">
            <v>0.27548209366391185</v>
          </cell>
        </row>
        <row r="852">
          <cell r="EG852">
            <v>0.64102564102564097</v>
          </cell>
        </row>
        <row r="853">
          <cell r="EG853">
            <v>0.52910052910052918</v>
          </cell>
        </row>
        <row r="854">
          <cell r="EG854">
            <v>1.1627906976744187</v>
          </cell>
        </row>
        <row r="855">
          <cell r="EG855">
            <v>0.5988023952095809</v>
          </cell>
        </row>
        <row r="856">
          <cell r="EG856">
            <v>0.9174311926605504</v>
          </cell>
        </row>
        <row r="857">
          <cell r="EG857">
            <v>0.4329004329004329</v>
          </cell>
        </row>
        <row r="858">
          <cell r="EG858">
            <v>0.67567567567567566</v>
          </cell>
        </row>
        <row r="859">
          <cell r="EG859">
            <v>0.75187969924812026</v>
          </cell>
        </row>
        <row r="860">
          <cell r="EG860">
            <v>0.86956521739130443</v>
          </cell>
        </row>
        <row r="861">
          <cell r="EG861">
            <v>1.0204081632653061</v>
          </cell>
        </row>
        <row r="862">
          <cell r="EG862">
            <v>0.3401360544217687</v>
          </cell>
        </row>
        <row r="863">
          <cell r="EG863">
            <v>0.390625</v>
          </cell>
        </row>
        <row r="864">
          <cell r="EG864">
            <v>0.86956521739130443</v>
          </cell>
        </row>
        <row r="865">
          <cell r="EG865">
            <v>0.17667844522968199</v>
          </cell>
        </row>
        <row r="866">
          <cell r="EG866">
            <v>0.83333333333333337</v>
          </cell>
        </row>
        <row r="867">
          <cell r="EG867">
            <v>0.33112582781456956</v>
          </cell>
        </row>
        <row r="868">
          <cell r="EG868">
            <v>0.32894736842105265</v>
          </cell>
        </row>
        <row r="869">
          <cell r="EG869">
            <v>0.3546099290780142</v>
          </cell>
        </row>
        <row r="870">
          <cell r="EG870">
            <v>1.2048192771084338</v>
          </cell>
        </row>
        <row r="871">
          <cell r="EG871">
            <v>0.67114093959731547</v>
          </cell>
        </row>
        <row r="872">
          <cell r="EG872">
            <v>0.117096018735363</v>
          </cell>
        </row>
        <row r="873">
          <cell r="EG873">
            <v>0.15552099533437014</v>
          </cell>
        </row>
        <row r="874">
          <cell r="EG874">
            <v>0.24509803921568626</v>
          </cell>
        </row>
        <row r="875">
          <cell r="EG875">
            <v>0.21186440677966104</v>
          </cell>
        </row>
        <row r="876">
          <cell r="EG876">
            <v>0.34722222222222221</v>
          </cell>
        </row>
        <row r="877">
          <cell r="EG877">
            <v>0.65789473684210531</v>
          </cell>
        </row>
        <row r="878">
          <cell r="EG878">
            <v>0.24154589371980678</v>
          </cell>
        </row>
        <row r="879">
          <cell r="EG879">
            <v>1.4492753623188408</v>
          </cell>
        </row>
        <row r="880">
          <cell r="EG880">
            <v>0.70921985815602839</v>
          </cell>
        </row>
        <row r="881">
          <cell r="EG881">
            <v>0.23584905660377356</v>
          </cell>
        </row>
        <row r="882">
          <cell r="EG882">
            <v>0.4854368932038835</v>
          </cell>
        </row>
        <row r="883">
          <cell r="EG883">
            <v>0.64935064935064934</v>
          </cell>
        </row>
        <row r="884">
          <cell r="EG884">
            <v>1.3513513513513513</v>
          </cell>
        </row>
        <row r="885">
          <cell r="EG885">
            <v>0.88495575221238942</v>
          </cell>
        </row>
        <row r="886">
          <cell r="EG886">
            <v>0.47846889952153115</v>
          </cell>
        </row>
        <row r="887">
          <cell r="EG887">
            <v>0.31645569620253161</v>
          </cell>
        </row>
        <row r="888">
          <cell r="EG888">
            <v>0.84033613445378152</v>
          </cell>
        </row>
        <row r="889">
          <cell r="EG889">
            <v>0.7246376811594204</v>
          </cell>
        </row>
        <row r="890">
          <cell r="EG890">
            <v>0.54054054054054046</v>
          </cell>
        </row>
        <row r="891">
          <cell r="EG891">
            <v>0.86956521739130443</v>
          </cell>
        </row>
        <row r="892">
          <cell r="EG892">
            <v>0.39215686274509809</v>
          </cell>
        </row>
        <row r="893">
          <cell r="EG893">
            <v>0.70422535211267612</v>
          </cell>
        </row>
        <row r="894">
          <cell r="EG894">
            <v>0.41666666666666669</v>
          </cell>
        </row>
        <row r="895">
          <cell r="EG895">
            <v>1.1235955056179776</v>
          </cell>
        </row>
        <row r="896">
          <cell r="EG896">
            <v>0.33444816053511706</v>
          </cell>
        </row>
        <row r="897">
          <cell r="EG897">
            <v>0.58823529411764708</v>
          </cell>
        </row>
        <row r="898">
          <cell r="EG898">
            <v>0.3623188405797102</v>
          </cell>
        </row>
        <row r="899">
          <cell r="EG899">
            <v>0.13477088948787061</v>
          </cell>
        </row>
        <row r="900">
          <cell r="EG900">
            <v>0.19047619047619047</v>
          </cell>
        </row>
        <row r="901">
          <cell r="EG901">
            <v>1.1363636363636365</v>
          </cell>
        </row>
        <row r="902">
          <cell r="EG902">
            <v>0.46296296296296291</v>
          </cell>
        </row>
        <row r="903">
          <cell r="EG903">
            <v>0.5714285714285714</v>
          </cell>
        </row>
        <row r="904">
          <cell r="EG904">
            <v>0.78125</v>
          </cell>
        </row>
        <row r="905">
          <cell r="EG905">
            <v>1.2195121951219512</v>
          </cell>
        </row>
        <row r="906">
          <cell r="EG906">
            <v>0.54945054945054939</v>
          </cell>
        </row>
        <row r="907">
          <cell r="EG907">
            <v>1.2195121951219512</v>
          </cell>
        </row>
        <row r="908">
          <cell r="EG908">
            <v>0.3401360544217687</v>
          </cell>
        </row>
        <row r="909">
          <cell r="EG909">
            <v>1.2987012987012987</v>
          </cell>
        </row>
        <row r="910">
          <cell r="EG910">
            <v>0.9174311926605504</v>
          </cell>
        </row>
        <row r="911">
          <cell r="EG911">
            <v>0.45248868778280543</v>
          </cell>
        </row>
        <row r="912">
          <cell r="EG912">
            <v>0.79365079365079361</v>
          </cell>
        </row>
        <row r="913">
          <cell r="EG913">
            <v>0.48076923076923073</v>
          </cell>
        </row>
        <row r="914">
          <cell r="EG914">
            <v>0.86956521739130443</v>
          </cell>
        </row>
        <row r="915">
          <cell r="EG915">
            <v>0.29325513196480935</v>
          </cell>
        </row>
        <row r="916">
          <cell r="EG916">
            <v>0.86206896551724144</v>
          </cell>
        </row>
        <row r="917">
          <cell r="EG917">
            <v>0.95238095238095233</v>
          </cell>
        </row>
        <row r="918">
          <cell r="EG918">
            <v>0.82644628099173556</v>
          </cell>
        </row>
        <row r="919">
          <cell r="EG919">
            <v>0.66666666666666663</v>
          </cell>
        </row>
        <row r="920">
          <cell r="EG920">
            <v>0.49261083743842371</v>
          </cell>
        </row>
        <row r="921">
          <cell r="EG921">
            <v>0.33003300330033003</v>
          </cell>
        </row>
        <row r="922">
          <cell r="EG922">
            <v>0.9009009009009008</v>
          </cell>
        </row>
        <row r="923">
          <cell r="EG923">
            <v>0.36630036630036628</v>
          </cell>
        </row>
        <row r="924">
          <cell r="EG924">
            <v>0.61349693251533743</v>
          </cell>
        </row>
        <row r="925">
          <cell r="EG925">
            <v>0.9174311926605504</v>
          </cell>
        </row>
        <row r="926">
          <cell r="EG926">
            <v>0.46728971962616822</v>
          </cell>
        </row>
        <row r="927">
          <cell r="EG927">
            <v>0.7142857142857143</v>
          </cell>
        </row>
        <row r="928">
          <cell r="EG928">
            <v>0.68493150684931503</v>
          </cell>
        </row>
        <row r="929">
          <cell r="EG929">
            <v>0.70921985815602839</v>
          </cell>
        </row>
        <row r="930">
          <cell r="EG930">
            <v>0.83333333333333337</v>
          </cell>
        </row>
        <row r="931">
          <cell r="EG931">
            <v>0.95238095238095233</v>
          </cell>
        </row>
        <row r="932">
          <cell r="EG932">
            <v>0.81967213114754101</v>
          </cell>
        </row>
        <row r="933">
          <cell r="EG933">
            <v>0.53475935828876997</v>
          </cell>
        </row>
        <row r="934">
          <cell r="EG934">
            <v>0.52083333333333337</v>
          </cell>
        </row>
        <row r="935">
          <cell r="EG935">
            <v>0.95238095238095233</v>
          </cell>
        </row>
        <row r="936">
          <cell r="EG936">
            <v>0.47619047619047616</v>
          </cell>
        </row>
        <row r="937">
          <cell r="EG937">
            <v>0.38167938931297707</v>
          </cell>
        </row>
        <row r="938">
          <cell r="EG938">
            <v>0.49019607843137253</v>
          </cell>
        </row>
        <row r="939">
          <cell r="EG939">
            <v>0.66666666666666663</v>
          </cell>
        </row>
        <row r="940">
          <cell r="EG940">
            <v>0.32051282051282048</v>
          </cell>
        </row>
        <row r="941">
          <cell r="EG941">
            <v>0.96153846153846145</v>
          </cell>
        </row>
        <row r="942">
          <cell r="EG942">
            <v>0.65789473684210531</v>
          </cell>
        </row>
        <row r="943">
          <cell r="EG943">
            <v>0.58479532163742687</v>
          </cell>
        </row>
        <row r="944">
          <cell r="EG944">
            <v>0.4065040650406504</v>
          </cell>
        </row>
        <row r="945">
          <cell r="EG945">
            <v>0.64935064935064934</v>
          </cell>
        </row>
        <row r="946">
          <cell r="EG946">
            <v>1.6129032258064517</v>
          </cell>
        </row>
        <row r="947">
          <cell r="EG947">
            <v>0.4081632653061224</v>
          </cell>
        </row>
        <row r="948">
          <cell r="EG948">
            <v>0.5988023952095809</v>
          </cell>
        </row>
        <row r="949">
          <cell r="EG949">
            <v>0.48780487804878053</v>
          </cell>
        </row>
        <row r="950">
          <cell r="EG950">
            <v>0.4464285714285714</v>
          </cell>
        </row>
        <row r="951">
          <cell r="EG951">
            <v>0.96153846153846145</v>
          </cell>
        </row>
        <row r="952">
          <cell r="EG952">
            <v>0.37453183520599254</v>
          </cell>
        </row>
        <row r="953">
          <cell r="EG953">
            <v>0.625</v>
          </cell>
        </row>
        <row r="954">
          <cell r="EG954">
            <v>0.47846889952153115</v>
          </cell>
        </row>
        <row r="955">
          <cell r="EG955">
            <v>0.25839793281653745</v>
          </cell>
        </row>
        <row r="956">
          <cell r="EG956">
            <v>0.51282051282051289</v>
          </cell>
        </row>
        <row r="957">
          <cell r="EG957">
            <v>0.5376344086021505</v>
          </cell>
        </row>
        <row r="958">
          <cell r="EG958">
            <v>0.60606060606060608</v>
          </cell>
        </row>
        <row r="959">
          <cell r="EG959">
            <v>1.0416666666666667</v>
          </cell>
        </row>
        <row r="960">
          <cell r="EG960">
            <v>0.29069767441860467</v>
          </cell>
        </row>
        <row r="961">
          <cell r="EG961">
            <v>0.3546099290780142</v>
          </cell>
        </row>
        <row r="962">
          <cell r="EG962">
            <v>0.78740157480314954</v>
          </cell>
        </row>
        <row r="963">
          <cell r="EG963">
            <v>0.27777777777777779</v>
          </cell>
        </row>
        <row r="964">
          <cell r="EG964">
            <v>0.26246719160104987</v>
          </cell>
        </row>
        <row r="965">
          <cell r="EG965">
            <v>0.44444444444444442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市值"/>
      <sheetName val="size(函數)"/>
      <sheetName val="size"/>
      <sheetName val="下個月月報酬"/>
      <sheetName val="size補值"/>
      <sheetName val="下個月月報酬補值"/>
      <sheetName val="sizeIC"/>
    </sheetNames>
    <sheetDataSet>
      <sheetData sheetId="0"/>
      <sheetData sheetId="1"/>
      <sheetData sheetId="2"/>
      <sheetData sheetId="3"/>
      <sheetData sheetId="4">
        <row r="2">
          <cell r="C2">
            <v>10.631788632342237</v>
          </cell>
          <cell r="EG2">
            <v>10.993881319528226</v>
          </cell>
        </row>
        <row r="3">
          <cell r="EG3">
            <v>10.966413961778308</v>
          </cell>
        </row>
        <row r="4">
          <cell r="EG4">
            <v>10.050573076755148</v>
          </cell>
        </row>
        <row r="5">
          <cell r="EG5">
            <v>9.9918017988446444</v>
          </cell>
        </row>
        <row r="6">
          <cell r="EG6">
            <v>9.5173278822943743</v>
          </cell>
        </row>
        <row r="7">
          <cell r="EG7">
            <v>9.6307328928171962</v>
          </cell>
        </row>
        <row r="8">
          <cell r="EG8">
            <v>9.8161749904288023</v>
          </cell>
        </row>
        <row r="9">
          <cell r="EG9">
            <v>10.273001272063738</v>
          </cell>
        </row>
        <row r="10">
          <cell r="EG10">
            <v>9.7667102072622587</v>
          </cell>
        </row>
        <row r="11">
          <cell r="EG11">
            <v>10.187012807018954</v>
          </cell>
        </row>
        <row r="12">
          <cell r="EG12">
            <v>8.7831886910752583</v>
          </cell>
        </row>
        <row r="13">
          <cell r="EG13">
            <v>9.5268559871258738</v>
          </cell>
        </row>
        <row r="14">
          <cell r="EG14">
            <v>11.148883251624792</v>
          </cell>
        </row>
        <row r="15">
          <cell r="EG15">
            <v>9.7615519885641824</v>
          </cell>
        </row>
        <row r="16">
          <cell r="EG16">
            <v>9.6126779183165016</v>
          </cell>
        </row>
        <row r="17">
          <cell r="EG17">
            <v>9.5385737338068548</v>
          </cell>
        </row>
        <row r="18">
          <cell r="EG18">
            <v>9.2588766293721321</v>
          </cell>
        </row>
        <row r="19">
          <cell r="EG19">
            <v>9.4044916177586853</v>
          </cell>
        </row>
        <row r="20">
          <cell r="EG20">
            <v>10.271980930009406</v>
          </cell>
        </row>
        <row r="21">
          <cell r="EG21">
            <v>10.09981870961523</v>
          </cell>
        </row>
        <row r="22">
          <cell r="EG22">
            <v>9.2174839442139067</v>
          </cell>
        </row>
        <row r="23">
          <cell r="EG23">
            <v>9.8168376309020342</v>
          </cell>
        </row>
        <row r="24">
          <cell r="EG24">
            <v>9.600537294364468</v>
          </cell>
        </row>
        <row r="25">
          <cell r="EG25">
            <v>10.152257759187657</v>
          </cell>
        </row>
        <row r="26">
          <cell r="EG26">
            <v>9.2462523122993225</v>
          </cell>
        </row>
        <row r="27">
          <cell r="EG27">
            <v>9.2769211320657732</v>
          </cell>
        </row>
        <row r="28">
          <cell r="EG28">
            <v>11.631913324299761</v>
          </cell>
        </row>
        <row r="29">
          <cell r="EG29">
            <v>11.706571855354714</v>
          </cell>
        </row>
        <row r="30">
          <cell r="EG30">
            <v>10.212587078123894</v>
          </cell>
        </row>
        <row r="31">
          <cell r="EG31">
            <v>9.7438232216037495</v>
          </cell>
        </row>
        <row r="32">
          <cell r="EG32">
            <v>10.031610414723481</v>
          </cell>
        </row>
        <row r="33">
          <cell r="EG33">
            <v>9.8796692056320534</v>
          </cell>
        </row>
        <row r="34">
          <cell r="EG34">
            <v>9.5639554649958125</v>
          </cell>
        </row>
        <row r="35">
          <cell r="EG35">
            <v>10.006722692201684</v>
          </cell>
        </row>
        <row r="36">
          <cell r="EG36">
            <v>10.149157506231855</v>
          </cell>
        </row>
        <row r="37">
          <cell r="EG37">
            <v>10.253725595250899</v>
          </cell>
        </row>
        <row r="38">
          <cell r="EG38">
            <v>10.392362752025857</v>
          </cell>
        </row>
        <row r="39">
          <cell r="EG39">
            <v>9.7125655278733092</v>
          </cell>
        </row>
        <row r="40">
          <cell r="EG40">
            <v>8.8432327780980096</v>
          </cell>
        </row>
        <row r="41">
          <cell r="EG41">
            <v>10.437607887914936</v>
          </cell>
        </row>
        <row r="42">
          <cell r="EG42">
            <v>9.7438232216037495</v>
          </cell>
        </row>
        <row r="43">
          <cell r="EG43">
            <v>9.1664301138432833</v>
          </cell>
        </row>
        <row r="44">
          <cell r="EG44">
            <v>9.2260841159758247</v>
          </cell>
        </row>
        <row r="45">
          <cell r="EG45">
            <v>9.3483048630481616</v>
          </cell>
        </row>
        <row r="46">
          <cell r="EG46">
            <v>11.626137033003671</v>
          </cell>
        </row>
        <row r="47">
          <cell r="EG47">
            <v>11.21133683334865</v>
          </cell>
        </row>
        <row r="48">
          <cell r="EG48">
            <v>10.243781916093795</v>
          </cell>
        </row>
        <row r="49">
          <cell r="EG49">
            <v>9.1637575239819551</v>
          </cell>
        </row>
        <row r="50">
          <cell r="EG50">
            <v>8.9921114877869499</v>
          </cell>
        </row>
        <row r="51">
          <cell r="EG51">
            <v>9.0542299098633965</v>
          </cell>
        </row>
        <row r="52">
          <cell r="EG52">
            <v>9.7488080049586028</v>
          </cell>
        </row>
        <row r="53">
          <cell r="EG53">
            <v>9.5146805441249818</v>
          </cell>
        </row>
        <row r="54">
          <cell r="EG54">
            <v>9.2489536154957079</v>
          </cell>
        </row>
        <row r="55">
          <cell r="EG55">
            <v>10.071587470514975</v>
          </cell>
        </row>
        <row r="56">
          <cell r="EG56">
            <v>9.1461280356782382</v>
          </cell>
        </row>
        <row r="57">
          <cell r="EG57">
            <v>8.9164539485499255</v>
          </cell>
        </row>
        <row r="58">
          <cell r="EG58">
            <v>10.629633824744316</v>
          </cell>
        </row>
        <row r="59">
          <cell r="EG59">
            <v>8.7965743332104296</v>
          </cell>
        </row>
        <row r="60">
          <cell r="EG60">
            <v>9.4474681309497566</v>
          </cell>
        </row>
        <row r="61">
          <cell r="EG61">
            <v>9.6419695977020599</v>
          </cell>
        </row>
        <row r="62">
          <cell r="EG62">
            <v>8.2787536009528289</v>
          </cell>
        </row>
        <row r="63">
          <cell r="EG63">
            <v>9.5658478186735181</v>
          </cell>
        </row>
        <row r="64">
          <cell r="EG64">
            <v>10.281419740153989</v>
          </cell>
        </row>
        <row r="65">
          <cell r="EG65">
            <v>8.8149131812750738</v>
          </cell>
        </row>
        <row r="66">
          <cell r="EG66">
            <v>9.5196967671598536</v>
          </cell>
        </row>
        <row r="67">
          <cell r="EG67">
            <v>8.958085848521085</v>
          </cell>
        </row>
        <row r="68">
          <cell r="EG68">
            <v>9.8960850854232856</v>
          </cell>
        </row>
        <row r="69">
          <cell r="EG69">
            <v>9.0707764628434351</v>
          </cell>
        </row>
        <row r="70">
          <cell r="EG70">
            <v>9.2817149700272967</v>
          </cell>
        </row>
        <row r="71">
          <cell r="EG71">
            <v>10.002338880892056</v>
          </cell>
        </row>
        <row r="72">
          <cell r="EG72">
            <v>8.7619278384205295</v>
          </cell>
        </row>
        <row r="73">
          <cell r="EG73">
            <v>10.038500943076674</v>
          </cell>
        </row>
        <row r="74">
          <cell r="EG74">
            <v>9.1031192535457137</v>
          </cell>
        </row>
        <row r="75">
          <cell r="EG75">
            <v>8.5740312677277188</v>
          </cell>
        </row>
        <row r="76">
          <cell r="EG76">
            <v>8.9863237770507656</v>
          </cell>
        </row>
        <row r="77">
          <cell r="EG77">
            <v>9.8182918907999959</v>
          </cell>
        </row>
        <row r="78">
          <cell r="EG78">
            <v>8.4116197059632309</v>
          </cell>
        </row>
        <row r="79">
          <cell r="EG79">
            <v>9.2662316966898928</v>
          </cell>
        </row>
        <row r="80">
          <cell r="EG80">
            <v>9.4963760540124014</v>
          </cell>
        </row>
        <row r="81">
          <cell r="EG81">
            <v>9.4426365257822322</v>
          </cell>
        </row>
        <row r="82">
          <cell r="EG82">
            <v>9.253338005326107</v>
          </cell>
        </row>
        <row r="83">
          <cell r="EG83">
            <v>9.0413926851582254</v>
          </cell>
        </row>
        <row r="84">
          <cell r="EG84">
            <v>8.998695158311655</v>
          </cell>
        </row>
        <row r="85">
          <cell r="EG85">
            <v>8.7481880270062007</v>
          </cell>
        </row>
        <row r="86">
          <cell r="EG86">
            <v>9.2817149700272967</v>
          </cell>
        </row>
        <row r="87">
          <cell r="EG87">
            <v>9.2734642726213465</v>
          </cell>
        </row>
        <row r="88">
          <cell r="EG88">
            <v>8.8948696567452519</v>
          </cell>
        </row>
        <row r="89">
          <cell r="EG89">
            <v>9.7799570512469067</v>
          </cell>
        </row>
        <row r="90">
          <cell r="EG90">
            <v>8.6464037262230704</v>
          </cell>
        </row>
        <row r="91">
          <cell r="EG91">
            <v>9.6833172619218821</v>
          </cell>
        </row>
        <row r="92">
          <cell r="EG92">
            <v>9.0507663112330423</v>
          </cell>
        </row>
        <row r="93">
          <cell r="EG93">
            <v>8.7355988996981804</v>
          </cell>
        </row>
        <row r="94">
          <cell r="EG94">
            <v>9.5941714791149124</v>
          </cell>
        </row>
        <row r="95">
          <cell r="EG95">
            <v>10.044696517110195</v>
          </cell>
        </row>
        <row r="96">
          <cell r="EG96">
            <v>10.302828588260255</v>
          </cell>
        </row>
        <row r="97">
          <cell r="EG97">
            <v>10.405414666951865</v>
          </cell>
        </row>
        <row r="98">
          <cell r="EG98">
            <v>9.2219355998280061</v>
          </cell>
        </row>
        <row r="99">
          <cell r="EG99">
            <v>9.2450188707377539</v>
          </cell>
        </row>
        <row r="100">
          <cell r="EG100">
            <v>9.9495851513266516</v>
          </cell>
        </row>
        <row r="101">
          <cell r="EG101">
            <v>9.4571246263034094</v>
          </cell>
        </row>
        <row r="102">
          <cell r="EG102">
            <v>9.3827372657613299</v>
          </cell>
        </row>
        <row r="103">
          <cell r="EG103">
            <v>9.1986570869544231</v>
          </cell>
        </row>
        <row r="104">
          <cell r="EG104">
            <v>9.4164740791002206</v>
          </cell>
        </row>
        <row r="105">
          <cell r="EG105">
            <v>9.8364507137201542</v>
          </cell>
        </row>
        <row r="106">
          <cell r="EG106">
            <v>9.5665553308830553</v>
          </cell>
        </row>
        <row r="107">
          <cell r="EG107">
            <v>9.8591983615338776</v>
          </cell>
        </row>
        <row r="108">
          <cell r="EG108">
            <v>9.3376588910261429</v>
          </cell>
        </row>
        <row r="109">
          <cell r="EG109">
            <v>9.5067755366066429</v>
          </cell>
        </row>
        <row r="110">
          <cell r="EG110">
            <v>8.6095944092252203</v>
          </cell>
        </row>
        <row r="111">
          <cell r="EG111">
            <v>9.7017406324372129</v>
          </cell>
        </row>
        <row r="112">
          <cell r="EG112">
            <v>9.1646502159342962</v>
          </cell>
        </row>
        <row r="113">
          <cell r="EG113">
            <v>8.9454685851318203</v>
          </cell>
        </row>
        <row r="114">
          <cell r="EG114">
            <v>9.5289167002776551</v>
          </cell>
        </row>
        <row r="115">
          <cell r="EG115">
            <v>9.6419695977020599</v>
          </cell>
        </row>
        <row r="116">
          <cell r="EG116">
            <v>10.099369826389838</v>
          </cell>
        </row>
        <row r="117">
          <cell r="EG117">
            <v>9.4234097277330928</v>
          </cell>
        </row>
        <row r="118">
          <cell r="EG118">
            <v>9.7322328802204972</v>
          </cell>
        </row>
        <row r="119">
          <cell r="EG119">
            <v>9.4036351897905472</v>
          </cell>
        </row>
        <row r="120">
          <cell r="EG120">
            <v>9.469527479187013</v>
          </cell>
        </row>
        <row r="121">
          <cell r="EG121">
            <v>9.8270460170047347</v>
          </cell>
        </row>
        <row r="122">
          <cell r="EG122">
            <v>8.7930916001765809</v>
          </cell>
        </row>
        <row r="123">
          <cell r="EG123">
            <v>9.4168068718229438</v>
          </cell>
        </row>
        <row r="124">
          <cell r="EG124">
            <v>9.2345172835126874</v>
          </cell>
        </row>
        <row r="125">
          <cell r="EG125">
            <v>9.7902147702439795</v>
          </cell>
        </row>
        <row r="126">
          <cell r="EG126">
            <v>10.066176785772006</v>
          </cell>
        </row>
        <row r="127">
          <cell r="EG127">
            <v>9.6296134453781832</v>
          </cell>
        </row>
        <row r="128">
          <cell r="EG128">
            <v>9.6838572054003471</v>
          </cell>
        </row>
        <row r="129">
          <cell r="EG129">
            <v>10.583935202536752</v>
          </cell>
        </row>
        <row r="130">
          <cell r="EG130">
            <v>9.8858133746604882</v>
          </cell>
        </row>
        <row r="131">
          <cell r="EG131">
            <v>9.6850247851057141</v>
          </cell>
        </row>
        <row r="132">
          <cell r="EG132">
            <v>10.054498146636677</v>
          </cell>
        </row>
        <row r="133">
          <cell r="EG133">
            <v>9.6505988981726567</v>
          </cell>
        </row>
        <row r="134">
          <cell r="EG134">
            <v>10.012415374762433</v>
          </cell>
        </row>
        <row r="135">
          <cell r="EG135">
            <v>9.1162755875805441</v>
          </cell>
        </row>
        <row r="136">
          <cell r="EG136">
            <v>9.1293675957229858</v>
          </cell>
        </row>
        <row r="137">
          <cell r="EG137">
            <v>8.9722028383790651</v>
          </cell>
        </row>
        <row r="138">
          <cell r="EG138">
            <v>9.6931991451537165</v>
          </cell>
        </row>
        <row r="139">
          <cell r="EG139">
            <v>10.00949338828754</v>
          </cell>
        </row>
        <row r="140">
          <cell r="EG140">
            <v>9.7868223794991867</v>
          </cell>
        </row>
        <row r="141">
          <cell r="EG141">
            <v>9.7219754015859543</v>
          </cell>
        </row>
        <row r="142">
          <cell r="EG142">
            <v>9.6427612032653212</v>
          </cell>
        </row>
        <row r="143">
          <cell r="EG143">
            <v>10.329967072734659</v>
          </cell>
        </row>
        <row r="144">
          <cell r="EG144">
            <v>10.1136760118971</v>
          </cell>
        </row>
        <row r="145">
          <cell r="EG145">
            <v>9.6966184592322247</v>
          </cell>
        </row>
        <row r="146">
          <cell r="EG146">
            <v>9.2688119037397811</v>
          </cell>
        </row>
        <row r="147">
          <cell r="EG147">
            <v>10.052693941924968</v>
          </cell>
        </row>
        <row r="148">
          <cell r="EG148">
            <v>10.46551668871213</v>
          </cell>
        </row>
        <row r="149">
          <cell r="EG149">
            <v>10.06744284277638</v>
          </cell>
        </row>
        <row r="150">
          <cell r="EG150">
            <v>9.6264430253312945</v>
          </cell>
        </row>
        <row r="151">
          <cell r="EG151">
            <v>9.0860037056183813</v>
          </cell>
        </row>
        <row r="152">
          <cell r="EG152">
            <v>10.997692117941726</v>
          </cell>
        </row>
        <row r="153">
          <cell r="EG153">
            <v>10.326397313347112</v>
          </cell>
        </row>
        <row r="154">
          <cell r="EG154">
            <v>9.498999363580154</v>
          </cell>
        </row>
        <row r="155">
          <cell r="EG155">
            <v>9.8675264111997425</v>
          </cell>
        </row>
        <row r="156">
          <cell r="EG156">
            <v>9.3380578754197554</v>
          </cell>
        </row>
        <row r="157">
          <cell r="EG157">
            <v>8.9523080096621257</v>
          </cell>
        </row>
        <row r="158">
          <cell r="EG158">
            <v>9.3809344633307017</v>
          </cell>
        </row>
        <row r="159">
          <cell r="EG159">
            <v>8.8293037728310253</v>
          </cell>
        </row>
        <row r="160">
          <cell r="EG160">
            <v>9.773932647467646</v>
          </cell>
        </row>
        <row r="161">
          <cell r="EG161">
            <v>9.5613399414589004</v>
          </cell>
        </row>
        <row r="162">
          <cell r="EG162">
            <v>9.1950689964685903</v>
          </cell>
        </row>
        <row r="163">
          <cell r="EG163">
            <v>9.9384196457931928</v>
          </cell>
        </row>
        <row r="164">
          <cell r="EG164">
            <v>9.7570162347313012</v>
          </cell>
        </row>
        <row r="165">
          <cell r="EG165">
            <v>9.2968844755385476</v>
          </cell>
        </row>
        <row r="166">
          <cell r="EG166">
            <v>8.8785217955012072</v>
          </cell>
        </row>
        <row r="167">
          <cell r="EG167">
            <v>10.27554168840131</v>
          </cell>
        </row>
        <row r="168">
          <cell r="EG168">
            <v>10.830505265872731</v>
          </cell>
        </row>
        <row r="169">
          <cell r="EG169">
            <v>8.7767011839884113</v>
          </cell>
        </row>
        <row r="170">
          <cell r="EG170">
            <v>9.9408152086508021</v>
          </cell>
        </row>
        <row r="171">
          <cell r="EG171">
            <v>9.3982873053574014</v>
          </cell>
        </row>
        <row r="172">
          <cell r="EG172">
            <v>9.6276730317666157</v>
          </cell>
        </row>
        <row r="173">
          <cell r="EG173">
            <v>9.6332664111554251</v>
          </cell>
        </row>
        <row r="174">
          <cell r="EG174">
            <v>10.272375437300544</v>
          </cell>
        </row>
        <row r="175">
          <cell r="EG175">
            <v>10.115810141409787</v>
          </cell>
        </row>
        <row r="176">
          <cell r="EG176">
            <v>10.003632837004409</v>
          </cell>
        </row>
        <row r="177">
          <cell r="EG177">
            <v>9.1577588860468637</v>
          </cell>
        </row>
        <row r="178">
          <cell r="EG178">
            <v>10.325720858019412</v>
          </cell>
        </row>
        <row r="179">
          <cell r="EG179">
            <v>9.8726806071519295</v>
          </cell>
        </row>
        <row r="180">
          <cell r="EG180">
            <v>11.633624975382235</v>
          </cell>
        </row>
        <row r="181">
          <cell r="EG181">
            <v>10.543708051190357</v>
          </cell>
        </row>
        <row r="182">
          <cell r="EG182">
            <v>9.7160033436347994</v>
          </cell>
        </row>
        <row r="183">
          <cell r="EG183">
            <v>9.53567380342575</v>
          </cell>
        </row>
        <row r="184">
          <cell r="EG184">
            <v>9.7362370989047289</v>
          </cell>
        </row>
        <row r="185">
          <cell r="EG185">
            <v>9.9004763713892565</v>
          </cell>
        </row>
        <row r="186">
          <cell r="EG186">
            <v>9.4718781993072909</v>
          </cell>
        </row>
        <row r="187">
          <cell r="EG187">
            <v>9.5766868052009961</v>
          </cell>
        </row>
        <row r="188">
          <cell r="EG188">
            <v>10.399673721481038</v>
          </cell>
        </row>
        <row r="189">
          <cell r="EG189">
            <v>10.495405563146193</v>
          </cell>
        </row>
        <row r="190">
          <cell r="EG190">
            <v>9.5502283530550933</v>
          </cell>
        </row>
        <row r="191">
          <cell r="EG191">
            <v>9.7647737169110407</v>
          </cell>
        </row>
        <row r="192">
          <cell r="EG192">
            <v>9.6397852129868209</v>
          </cell>
        </row>
        <row r="193">
          <cell r="EG193">
            <v>10.273209683400331</v>
          </cell>
        </row>
        <row r="194">
          <cell r="EG194">
            <v>8.876794976200701</v>
          </cell>
        </row>
        <row r="195">
          <cell r="EG195">
            <v>9.3277674899027296</v>
          </cell>
        </row>
        <row r="196">
          <cell r="EG196">
            <v>10.1081250947386</v>
          </cell>
        </row>
        <row r="197">
          <cell r="EG197">
            <v>9.43822580760453</v>
          </cell>
        </row>
        <row r="198">
          <cell r="EG198">
            <v>9.8694077493822014</v>
          </cell>
        </row>
        <row r="199">
          <cell r="EG199">
            <v>9.6852041344710145</v>
          </cell>
        </row>
        <row r="200">
          <cell r="EG200">
            <v>9.9752019622578523</v>
          </cell>
        </row>
        <row r="201">
          <cell r="EG201">
            <v>9.4692327425066125</v>
          </cell>
        </row>
        <row r="202">
          <cell r="EG202">
            <v>9.2392994791268919</v>
          </cell>
        </row>
        <row r="203">
          <cell r="EG203">
            <v>10.010935664704386</v>
          </cell>
        </row>
        <row r="204">
          <cell r="EG204">
            <v>10.49859998697719</v>
          </cell>
        </row>
        <row r="205">
          <cell r="EG205">
            <v>9.9347004017154248</v>
          </cell>
        </row>
        <row r="206">
          <cell r="EG206">
            <v>10.439190537827571</v>
          </cell>
        </row>
        <row r="207">
          <cell r="EG207">
            <v>10.240798771117332</v>
          </cell>
        </row>
        <row r="208">
          <cell r="EG208">
            <v>11.04698654038023</v>
          </cell>
        </row>
        <row r="209">
          <cell r="EG209">
            <v>10.291413254570214</v>
          </cell>
        </row>
        <row r="210">
          <cell r="EG210">
            <v>10.150049945162385</v>
          </cell>
        </row>
        <row r="211">
          <cell r="EG211">
            <v>9.8654001181793021</v>
          </cell>
        </row>
        <row r="212">
          <cell r="EG212">
            <v>9.6498214632245656</v>
          </cell>
        </row>
        <row r="213">
          <cell r="EG213">
            <v>10.743862387810379</v>
          </cell>
        </row>
        <row r="214">
          <cell r="EG214">
            <v>10.476875084758506</v>
          </cell>
        </row>
        <row r="215">
          <cell r="EG215">
            <v>10.042811691807147</v>
          </cell>
        </row>
        <row r="216">
          <cell r="EG216">
            <v>10.583051338285831</v>
          </cell>
        </row>
        <row r="217">
          <cell r="EG217">
            <v>10.352182518111363</v>
          </cell>
        </row>
        <row r="218">
          <cell r="EG218">
            <v>10.979398121064358</v>
          </cell>
        </row>
        <row r="219">
          <cell r="EG219">
            <v>9.0030294705536171</v>
          </cell>
        </row>
        <row r="220">
          <cell r="EG220">
            <v>11.340138613120468</v>
          </cell>
        </row>
        <row r="221">
          <cell r="EG221">
            <v>9.0224283711854874</v>
          </cell>
        </row>
        <row r="222">
          <cell r="EG222">
            <v>11.379378045219338</v>
          </cell>
        </row>
        <row r="223">
          <cell r="EG223">
            <v>10.138334282071019</v>
          </cell>
        </row>
        <row r="224">
          <cell r="EG224">
            <v>10.031892987710474</v>
          </cell>
        </row>
        <row r="225">
          <cell r="EG225">
            <v>9.9297764328049016</v>
          </cell>
        </row>
        <row r="226">
          <cell r="EG226">
            <v>9.7182525000977513</v>
          </cell>
        </row>
        <row r="227">
          <cell r="EG227">
            <v>12.071735868391281</v>
          </cell>
        </row>
        <row r="228">
          <cell r="EG228">
            <v>9.5433229006469116</v>
          </cell>
        </row>
        <row r="229">
          <cell r="EG229">
            <v>10.394731780469529</v>
          </cell>
        </row>
        <row r="230">
          <cell r="EG230">
            <v>11.247872655421908</v>
          </cell>
        </row>
        <row r="231">
          <cell r="EG231">
            <v>10.434824296268493</v>
          </cell>
        </row>
        <row r="232">
          <cell r="EG232">
            <v>10.408494360212361</v>
          </cell>
        </row>
        <row r="233">
          <cell r="EG233">
            <v>9.7889457270237479</v>
          </cell>
        </row>
        <row r="234">
          <cell r="EG234">
            <v>12.202238130622836</v>
          </cell>
        </row>
        <row r="235">
          <cell r="EG235">
            <v>10.224558958940841</v>
          </cell>
        </row>
        <row r="236">
          <cell r="EG236">
            <v>10.32717495893762</v>
          </cell>
        </row>
        <row r="237">
          <cell r="EG237">
            <v>10.844706998985673</v>
          </cell>
        </row>
        <row r="238">
          <cell r="EG238">
            <v>9.6538875580709771</v>
          </cell>
        </row>
        <row r="239">
          <cell r="EG239">
            <v>10.163906433457752</v>
          </cell>
        </row>
        <row r="240">
          <cell r="EG240">
            <v>9.9807757739626215</v>
          </cell>
        </row>
        <row r="241">
          <cell r="EG241">
            <v>10.514401635137583</v>
          </cell>
        </row>
        <row r="242">
          <cell r="EG242">
            <v>9.8668188029260477</v>
          </cell>
        </row>
        <row r="243">
          <cell r="EG243">
            <v>10.968534313680799</v>
          </cell>
        </row>
        <row r="244">
          <cell r="EG244">
            <v>8.649334858712141</v>
          </cell>
        </row>
        <row r="245">
          <cell r="EG245">
            <v>10.340820736655919</v>
          </cell>
        </row>
        <row r="246">
          <cell r="EG246">
            <v>9.8668188029260477</v>
          </cell>
        </row>
        <row r="247">
          <cell r="EG247">
            <v>10.538007877724324</v>
          </cell>
        </row>
        <row r="248">
          <cell r="EG248">
            <v>11.401822566409718</v>
          </cell>
        </row>
        <row r="249">
          <cell r="EG249">
            <v>11.05401136604619</v>
          </cell>
        </row>
        <row r="250">
          <cell r="EG250">
            <v>10.015150103229471</v>
          </cell>
        </row>
        <row r="251">
          <cell r="EG251">
            <v>10.709346295093871</v>
          </cell>
        </row>
        <row r="252">
          <cell r="EG252">
            <v>11.370785016757857</v>
          </cell>
        </row>
        <row r="253">
          <cell r="EG253">
            <v>9.4356851379416291</v>
          </cell>
        </row>
        <row r="254">
          <cell r="EG254">
            <v>10.383168827057428</v>
          </cell>
        </row>
        <row r="255">
          <cell r="EG255">
            <v>10.645294516889896</v>
          </cell>
        </row>
        <row r="256">
          <cell r="EG256">
            <v>10.19089171692217</v>
          </cell>
        </row>
        <row r="257">
          <cell r="EG257">
            <v>9.1565491513317809</v>
          </cell>
        </row>
        <row r="258">
          <cell r="EG258">
            <v>9.9647309210536292</v>
          </cell>
        </row>
        <row r="259">
          <cell r="EG259">
            <v>9.7604978752265268</v>
          </cell>
        </row>
        <row r="260">
          <cell r="EG260">
            <v>9.8397921844453293</v>
          </cell>
        </row>
        <row r="261">
          <cell r="EG261">
            <v>9.8007170782823856</v>
          </cell>
        </row>
        <row r="262">
          <cell r="EG262">
            <v>10.625271283656851</v>
          </cell>
        </row>
        <row r="263">
          <cell r="EG263">
            <v>10.13132989404281</v>
          </cell>
        </row>
        <row r="264">
          <cell r="EG264">
            <v>10.363517966582565</v>
          </cell>
        </row>
        <row r="265">
          <cell r="EG265">
            <v>9.3018977171952084</v>
          </cell>
        </row>
        <row r="266">
          <cell r="EG266">
            <v>10.296467738800116</v>
          </cell>
        </row>
        <row r="267">
          <cell r="EG267">
            <v>10.327869568756626</v>
          </cell>
        </row>
        <row r="268">
          <cell r="EG268">
            <v>10.611457765668343</v>
          </cell>
        </row>
        <row r="269">
          <cell r="EG269">
            <v>9.5324995860946622</v>
          </cell>
        </row>
        <row r="270">
          <cell r="EG270">
            <v>11.370459423990827</v>
          </cell>
        </row>
        <row r="271">
          <cell r="EG271">
            <v>9.9215304135012428</v>
          </cell>
        </row>
        <row r="272">
          <cell r="EG272">
            <v>10.698639815041942</v>
          </cell>
        </row>
        <row r="273">
          <cell r="EG273">
            <v>10.129141845792285</v>
          </cell>
        </row>
        <row r="274">
          <cell r="EG274">
            <v>10.099162492928595</v>
          </cell>
        </row>
        <row r="275">
          <cell r="EG275">
            <v>9.4151403521958734</v>
          </cell>
        </row>
        <row r="276">
          <cell r="EG276">
            <v>10.455499617516322</v>
          </cell>
        </row>
        <row r="277">
          <cell r="EG277">
            <v>10.615813327273354</v>
          </cell>
        </row>
        <row r="278">
          <cell r="EG278">
            <v>10.543993587485465</v>
          </cell>
        </row>
        <row r="279">
          <cell r="EG279">
            <v>9.6674529528899544</v>
          </cell>
        </row>
        <row r="280">
          <cell r="EG280">
            <v>9.6161603128475832</v>
          </cell>
        </row>
        <row r="281">
          <cell r="EG281">
            <v>10.23530114031999</v>
          </cell>
        </row>
        <row r="282">
          <cell r="EG282">
            <v>9.7827591926239972</v>
          </cell>
        </row>
        <row r="283">
          <cell r="EG283">
            <v>9.8890774926500633</v>
          </cell>
        </row>
        <row r="284">
          <cell r="EG284">
            <v>9.9381192691943117</v>
          </cell>
        </row>
        <row r="285">
          <cell r="EG285">
            <v>10.027594211826226</v>
          </cell>
        </row>
        <row r="286">
          <cell r="EG286">
            <v>11.016586287078004</v>
          </cell>
        </row>
        <row r="287">
          <cell r="EG287">
            <v>11.503322100259346</v>
          </cell>
        </row>
        <row r="288">
          <cell r="EG288">
            <v>11.779720557672581</v>
          </cell>
        </row>
        <row r="289">
          <cell r="EG289">
            <v>9.4278105726759893</v>
          </cell>
        </row>
        <row r="290">
          <cell r="EG290">
            <v>9.5378190950732744</v>
          </cell>
        </row>
        <row r="291">
          <cell r="EG291">
            <v>9.0285712526925384</v>
          </cell>
        </row>
        <row r="292">
          <cell r="EG292">
            <v>10.000303899784813</v>
          </cell>
        </row>
        <row r="293">
          <cell r="EG293">
            <v>9.4827307000799426</v>
          </cell>
        </row>
        <row r="294">
          <cell r="EG294">
            <v>9.6162654052817089</v>
          </cell>
        </row>
        <row r="295">
          <cell r="EG295">
            <v>9.873901597864462</v>
          </cell>
        </row>
        <row r="296">
          <cell r="EG296">
            <v>9.4308809464528913</v>
          </cell>
        </row>
        <row r="297">
          <cell r="EG297">
            <v>8.8375884382355121</v>
          </cell>
        </row>
        <row r="298">
          <cell r="EG298">
            <v>9.2586372827240773</v>
          </cell>
        </row>
        <row r="299">
          <cell r="EG299">
            <v>9.975063996095237</v>
          </cell>
        </row>
        <row r="300">
          <cell r="EG300">
            <v>9.2626883443016972</v>
          </cell>
        </row>
        <row r="301">
          <cell r="EG301">
            <v>9.8460895803579849</v>
          </cell>
        </row>
        <row r="302">
          <cell r="EG302">
            <v>9.4563660331290436</v>
          </cell>
        </row>
        <row r="303">
          <cell r="EG303">
            <v>9.862906213562999</v>
          </cell>
        </row>
        <row r="304">
          <cell r="EG304">
            <v>9.3752977382173395</v>
          </cell>
        </row>
        <row r="305">
          <cell r="EG305">
            <v>9.5336449787987636</v>
          </cell>
        </row>
        <row r="306">
          <cell r="EG306">
            <v>9.4073909044707307</v>
          </cell>
        </row>
        <row r="307">
          <cell r="EG307">
            <v>9.833274639290563</v>
          </cell>
        </row>
        <row r="308">
          <cell r="EG308">
            <v>8.5670263661590607</v>
          </cell>
        </row>
        <row r="309">
          <cell r="EG309">
            <v>9.9933480399232604</v>
          </cell>
        </row>
        <row r="310">
          <cell r="EG310">
            <v>9.220631019448092</v>
          </cell>
        </row>
        <row r="311">
          <cell r="EG311">
            <v>10.247826022935442</v>
          </cell>
        </row>
        <row r="312">
          <cell r="EG312">
            <v>9.4649364291217335</v>
          </cell>
        </row>
        <row r="313">
          <cell r="EG313">
            <v>9.198106998873401</v>
          </cell>
        </row>
        <row r="314">
          <cell r="EG314">
            <v>10.284904251407587</v>
          </cell>
        </row>
        <row r="315">
          <cell r="EG315">
            <v>10.090998297753199</v>
          </cell>
        </row>
        <row r="316">
          <cell r="EG316">
            <v>10.688179469624272</v>
          </cell>
        </row>
        <row r="317">
          <cell r="EG317">
            <v>9.2491983573911121</v>
          </cell>
        </row>
        <row r="318">
          <cell r="EG318">
            <v>11.778625096599027</v>
          </cell>
        </row>
        <row r="319">
          <cell r="EG319">
            <v>10.085968077046074</v>
          </cell>
        </row>
        <row r="320">
          <cell r="EG320">
            <v>10.050843580956919</v>
          </cell>
        </row>
        <row r="321">
          <cell r="EG321">
            <v>10.321453434333344</v>
          </cell>
        </row>
        <row r="322">
          <cell r="EG322">
            <v>9.5459253293558426</v>
          </cell>
        </row>
        <row r="323">
          <cell r="EG323">
            <v>9.6651117370750512</v>
          </cell>
        </row>
        <row r="324">
          <cell r="EG324">
            <v>9.568201724066995</v>
          </cell>
        </row>
        <row r="325">
          <cell r="EG325">
            <v>9.6688516480825193</v>
          </cell>
        </row>
        <row r="326">
          <cell r="EG326">
            <v>9.7272972028035873</v>
          </cell>
        </row>
        <row r="327">
          <cell r="EG327">
            <v>9.3682868849021315</v>
          </cell>
        </row>
        <row r="328">
          <cell r="EG328">
            <v>9.6331653536839035</v>
          </cell>
        </row>
        <row r="329">
          <cell r="EG329">
            <v>9.4855794769846788</v>
          </cell>
        </row>
        <row r="330">
          <cell r="EG330">
            <v>9.0472748673841803</v>
          </cell>
        </row>
        <row r="331">
          <cell r="EG331">
            <v>9.1556396337597761</v>
          </cell>
        </row>
        <row r="332">
          <cell r="EG332">
            <v>9.5204835327407924</v>
          </cell>
        </row>
        <row r="333">
          <cell r="EG333">
            <v>10.714857634796667</v>
          </cell>
        </row>
        <row r="334">
          <cell r="EG334">
            <v>9.7884512070234564</v>
          </cell>
        </row>
        <row r="335">
          <cell r="EG335">
            <v>9.5717088318086869</v>
          </cell>
        </row>
        <row r="336">
          <cell r="EG336">
            <v>9.9429500700770994</v>
          </cell>
        </row>
        <row r="337">
          <cell r="EG337">
            <v>9.668385916690001</v>
          </cell>
        </row>
        <row r="338">
          <cell r="EG338">
            <v>10.022304622935069</v>
          </cell>
        </row>
        <row r="339">
          <cell r="EG339">
            <v>9.2011238972073794</v>
          </cell>
        </row>
        <row r="340">
          <cell r="EG340">
            <v>9.3255156633631486</v>
          </cell>
        </row>
        <row r="341">
          <cell r="EG341">
            <v>9.3201462861110542</v>
          </cell>
        </row>
        <row r="342">
          <cell r="EG342">
            <v>10.277975746223223</v>
          </cell>
        </row>
        <row r="343">
          <cell r="EG343">
            <v>10.027349607774756</v>
          </cell>
        </row>
        <row r="344">
          <cell r="EG344">
            <v>9.204119982655925</v>
          </cell>
        </row>
        <row r="345">
          <cell r="EG345">
            <v>10.438621448045396</v>
          </cell>
        </row>
        <row r="346">
          <cell r="EG346">
            <v>8.7589118923979736</v>
          </cell>
        </row>
        <row r="347">
          <cell r="EG347">
            <v>10.113207769822735</v>
          </cell>
        </row>
        <row r="348">
          <cell r="EG348">
            <v>9.363987829748492</v>
          </cell>
        </row>
        <row r="349">
          <cell r="EG349">
            <v>10.175279818442384</v>
          </cell>
        </row>
        <row r="350">
          <cell r="EG350">
            <v>8.8325089127062366</v>
          </cell>
        </row>
        <row r="351">
          <cell r="EG351">
            <v>9.351216345339342</v>
          </cell>
        </row>
        <row r="352">
          <cell r="EG352">
            <v>11.466415303605789</v>
          </cell>
        </row>
        <row r="353">
          <cell r="EG353">
            <v>10.347915186501691</v>
          </cell>
        </row>
        <row r="354">
          <cell r="EG354">
            <v>10.295830894958586</v>
          </cell>
        </row>
        <row r="355">
          <cell r="EG355">
            <v>10.003934206173708</v>
          </cell>
        </row>
        <row r="356">
          <cell r="EG356">
            <v>9.7005306569785912</v>
          </cell>
        </row>
        <row r="357">
          <cell r="EG357">
            <v>9.6119356250401218</v>
          </cell>
        </row>
        <row r="358">
          <cell r="EG358">
            <v>10.139690221652923</v>
          </cell>
        </row>
        <row r="359">
          <cell r="EG359">
            <v>9.9629845843169971</v>
          </cell>
        </row>
        <row r="360">
          <cell r="EG360">
            <v>10.071440127177887</v>
          </cell>
        </row>
        <row r="361">
          <cell r="EG361">
            <v>9.2019430634016501</v>
          </cell>
        </row>
        <row r="362">
          <cell r="EG362">
            <v>10.079723775139918</v>
          </cell>
        </row>
        <row r="363">
          <cell r="EG363">
            <v>9.988603543345663</v>
          </cell>
        </row>
        <row r="364">
          <cell r="EG364">
            <v>9.6907275438703664</v>
          </cell>
        </row>
        <row r="365">
          <cell r="EG365">
            <v>9.2878017299302265</v>
          </cell>
        </row>
        <row r="366">
          <cell r="EG366">
            <v>9.5118833609788744</v>
          </cell>
        </row>
        <row r="367">
          <cell r="EG367">
            <v>10.015862508097314</v>
          </cell>
        </row>
        <row r="368">
          <cell r="EG368">
            <v>9.7113009599161657</v>
          </cell>
        </row>
        <row r="369">
          <cell r="EG369">
            <v>10.086573365620573</v>
          </cell>
        </row>
        <row r="370">
          <cell r="EG370">
            <v>9.277150613963796</v>
          </cell>
        </row>
        <row r="371">
          <cell r="EG371">
            <v>9.7978213113640233</v>
          </cell>
        </row>
        <row r="372">
          <cell r="EG372">
            <v>9.522183317618687</v>
          </cell>
        </row>
        <row r="373">
          <cell r="EG373">
            <v>7.7708520116421438</v>
          </cell>
        </row>
        <row r="374">
          <cell r="EG374">
            <v>10.543732887887259</v>
          </cell>
        </row>
        <row r="375">
          <cell r="EG375">
            <v>9.105169427999332</v>
          </cell>
        </row>
        <row r="376">
          <cell r="EG376">
            <v>10.260596042301909</v>
          </cell>
        </row>
        <row r="377">
          <cell r="EG377">
            <v>9.2750808984568582</v>
          </cell>
        </row>
        <row r="378">
          <cell r="EG378">
            <v>10.222430314660491</v>
          </cell>
        </row>
        <row r="379">
          <cell r="EG379">
            <v>10.303131232510763</v>
          </cell>
        </row>
        <row r="380">
          <cell r="EG380">
            <v>10.136181326960601</v>
          </cell>
        </row>
        <row r="381">
          <cell r="EG381">
            <v>10.757934766327757</v>
          </cell>
        </row>
        <row r="382">
          <cell r="EG382">
            <v>10.360422994329248</v>
          </cell>
        </row>
        <row r="383">
          <cell r="EG383">
            <v>10.742379442998091</v>
          </cell>
        </row>
        <row r="384">
          <cell r="EG384">
            <v>10.453104198432209</v>
          </cell>
        </row>
        <row r="385">
          <cell r="EG385">
            <v>10.089304451847871</v>
          </cell>
        </row>
        <row r="386">
          <cell r="EG386">
            <v>10.484200153763631</v>
          </cell>
        </row>
        <row r="387">
          <cell r="EG387">
            <v>10.724587138976274</v>
          </cell>
        </row>
        <row r="388">
          <cell r="EG388">
            <v>9.4559102403827424</v>
          </cell>
        </row>
        <row r="389">
          <cell r="EG389">
            <v>10.321784782959902</v>
          </cell>
        </row>
        <row r="390">
          <cell r="EG390">
            <v>9.2070955404192176</v>
          </cell>
        </row>
        <row r="391">
          <cell r="EG391">
            <v>10.069853021113625</v>
          </cell>
        </row>
        <row r="392">
          <cell r="EG392">
            <v>10.576468048945626</v>
          </cell>
        </row>
        <row r="393">
          <cell r="EG393">
            <v>9.2664668954402423</v>
          </cell>
        </row>
        <row r="394">
          <cell r="EG394">
            <v>10.235856568752974</v>
          </cell>
        </row>
        <row r="395">
          <cell r="EG395">
            <v>10.646325291243283</v>
          </cell>
        </row>
        <row r="396">
          <cell r="EG396">
            <v>9.7121444142148867</v>
          </cell>
        </row>
        <row r="397">
          <cell r="EG397">
            <v>9.3014640731433005</v>
          </cell>
        </row>
        <row r="398">
          <cell r="EG398">
            <v>10.104213884199323</v>
          </cell>
        </row>
        <row r="399">
          <cell r="EG399">
            <v>9.7216457662897469</v>
          </cell>
        </row>
        <row r="400">
          <cell r="EG400">
            <v>9.8796119070658506</v>
          </cell>
        </row>
        <row r="401">
          <cell r="EG401">
            <v>10.401900036760585</v>
          </cell>
        </row>
        <row r="402">
          <cell r="EG402">
            <v>10.951415237923166</v>
          </cell>
        </row>
        <row r="403">
          <cell r="EG403">
            <v>9.9754777631658751</v>
          </cell>
        </row>
        <row r="404">
          <cell r="EG404">
            <v>10.050070264367438</v>
          </cell>
        </row>
        <row r="405">
          <cell r="EG405">
            <v>9.7709992051639407</v>
          </cell>
        </row>
        <row r="406">
          <cell r="EG406">
            <v>10.202706226990356</v>
          </cell>
        </row>
        <row r="407">
          <cell r="EG407">
            <v>9.9425536803342105</v>
          </cell>
        </row>
        <row r="408">
          <cell r="EG408">
            <v>10.511869997866151</v>
          </cell>
        </row>
        <row r="409">
          <cell r="EG409">
            <v>9.7622282842864738</v>
          </cell>
        </row>
        <row r="410">
          <cell r="EG410">
            <v>10.060471192797678</v>
          </cell>
        </row>
        <row r="411">
          <cell r="EG411">
            <v>10.297125561527981</v>
          </cell>
        </row>
        <row r="412">
          <cell r="EG412">
            <v>10.178487731047397</v>
          </cell>
        </row>
        <row r="413">
          <cell r="EG413">
            <v>9.9373674175172901</v>
          </cell>
        </row>
        <row r="414">
          <cell r="EG414">
            <v>9.9522110581086682</v>
          </cell>
        </row>
        <row r="415">
          <cell r="EG415">
            <v>9.5910646070264995</v>
          </cell>
        </row>
        <row r="416">
          <cell r="EG416">
            <v>10.337618972419385</v>
          </cell>
        </row>
        <row r="417">
          <cell r="EG417">
            <v>11.086345591277974</v>
          </cell>
        </row>
        <row r="418">
          <cell r="EG418">
            <v>11.497080380188191</v>
          </cell>
        </row>
        <row r="419">
          <cell r="EG419">
            <v>11.709741321751897</v>
          </cell>
        </row>
        <row r="420">
          <cell r="EG420">
            <v>11.004127833122505</v>
          </cell>
        </row>
        <row r="421">
          <cell r="EG421">
            <v>10.671524580629669</v>
          </cell>
        </row>
        <row r="422">
          <cell r="EG422">
            <v>11.188492565093906</v>
          </cell>
        </row>
        <row r="423">
          <cell r="EG423">
            <v>11.308549474427771</v>
          </cell>
        </row>
        <row r="424">
          <cell r="EG424">
            <v>10.836811315727346</v>
          </cell>
        </row>
        <row r="425">
          <cell r="EG425">
            <v>10.992761116636471</v>
          </cell>
        </row>
        <row r="426">
          <cell r="EG426">
            <v>10.345706921278428</v>
          </cell>
        </row>
        <row r="427">
          <cell r="EG427">
            <v>10.898176483497677</v>
          </cell>
        </row>
        <row r="428">
          <cell r="EG428">
            <v>11.227681072752871</v>
          </cell>
        </row>
        <row r="429">
          <cell r="EG429">
            <v>11.042433743144318</v>
          </cell>
        </row>
        <row r="430">
          <cell r="EG430">
            <v>9.2683439139510639</v>
          </cell>
        </row>
        <row r="431">
          <cell r="EG431">
            <v>10.503572800457903</v>
          </cell>
        </row>
        <row r="432">
          <cell r="EG432">
            <v>9.0236639181977942</v>
          </cell>
        </row>
        <row r="433">
          <cell r="EG433">
            <v>9.9653428355606213</v>
          </cell>
        </row>
        <row r="434">
          <cell r="EG434">
            <v>9.4869968884318219</v>
          </cell>
        </row>
        <row r="435">
          <cell r="EG435">
            <v>9.9994350498763307</v>
          </cell>
        </row>
        <row r="436">
          <cell r="EG436">
            <v>9.6755950563867454</v>
          </cell>
        </row>
        <row r="437">
          <cell r="EG437">
            <v>9.7697464671794538</v>
          </cell>
        </row>
        <row r="438">
          <cell r="EG438">
            <v>10.91560031372398</v>
          </cell>
        </row>
        <row r="439">
          <cell r="EG439">
            <v>10.074816440645174</v>
          </cell>
        </row>
        <row r="440">
          <cell r="EG440">
            <v>10.711275630961277</v>
          </cell>
        </row>
        <row r="441">
          <cell r="EG441">
            <v>9.4431064567372669</v>
          </cell>
        </row>
        <row r="442">
          <cell r="EG442">
            <v>9.6480671294489344</v>
          </cell>
        </row>
        <row r="443">
          <cell r="EG443">
            <v>8.3283796034387372</v>
          </cell>
        </row>
        <row r="444">
          <cell r="EG444">
            <v>10.171082577357526</v>
          </cell>
        </row>
        <row r="445">
          <cell r="EG445">
            <v>10.087852375163168</v>
          </cell>
        </row>
        <row r="446">
          <cell r="EG446">
            <v>10.806532694976926</v>
          </cell>
        </row>
        <row r="447">
          <cell r="EG447">
            <v>10.006466042249231</v>
          </cell>
        </row>
        <row r="448">
          <cell r="EG448">
            <v>9.1806992012960347</v>
          </cell>
        </row>
        <row r="449">
          <cell r="EG449">
            <v>9.680063427481949</v>
          </cell>
        </row>
        <row r="450">
          <cell r="EG450">
            <v>10.091139153825754</v>
          </cell>
        </row>
        <row r="451">
          <cell r="EG451">
            <v>9.9593276459721718</v>
          </cell>
        </row>
        <row r="452">
          <cell r="EG452">
            <v>9.5398285583778986</v>
          </cell>
        </row>
        <row r="453">
          <cell r="EG453">
            <v>10.000477461374455</v>
          </cell>
        </row>
        <row r="454">
          <cell r="EG454">
            <v>8.9894498176666922</v>
          </cell>
        </row>
        <row r="455">
          <cell r="EG455">
            <v>10.23509899009494</v>
          </cell>
        </row>
        <row r="456">
          <cell r="EG456">
            <v>9.9146075677710801</v>
          </cell>
        </row>
        <row r="457">
          <cell r="EG457">
            <v>9.6238692683503029</v>
          </cell>
        </row>
        <row r="458">
          <cell r="EG458">
            <v>9.6049816296074315</v>
          </cell>
        </row>
        <row r="459">
          <cell r="EG459">
            <v>9.1673173347481764</v>
          </cell>
        </row>
        <row r="460">
          <cell r="EG460">
            <v>10.164085057458859</v>
          </cell>
        </row>
        <row r="461">
          <cell r="EG461">
            <v>9.3879234669734366</v>
          </cell>
        </row>
        <row r="462">
          <cell r="EG462">
            <v>9.6620018793899174</v>
          </cell>
        </row>
        <row r="463">
          <cell r="EG463">
            <v>9.5743785644130828</v>
          </cell>
        </row>
        <row r="464">
          <cell r="EG464">
            <v>9.9397188823541054</v>
          </cell>
        </row>
        <row r="465">
          <cell r="EG465">
            <v>9.9243309847086785</v>
          </cell>
        </row>
        <row r="466">
          <cell r="EG466">
            <v>9.2491983573911121</v>
          </cell>
        </row>
        <row r="467">
          <cell r="EG467">
            <v>9.6942541120252788</v>
          </cell>
        </row>
        <row r="468">
          <cell r="EG468">
            <v>10.770741583752775</v>
          </cell>
        </row>
        <row r="469">
          <cell r="EG469">
            <v>10.339530938740655</v>
          </cell>
        </row>
        <row r="470">
          <cell r="EG470">
            <v>9.8532113345033174</v>
          </cell>
        </row>
        <row r="471">
          <cell r="EG471">
            <v>10.799733304907949</v>
          </cell>
        </row>
        <row r="472">
          <cell r="EG472">
            <v>9.3889887851247149</v>
          </cell>
        </row>
        <row r="473">
          <cell r="EG473">
            <v>9.1841233542396719</v>
          </cell>
        </row>
        <row r="474">
          <cell r="EG474">
            <v>10.344333315681277</v>
          </cell>
        </row>
        <row r="475">
          <cell r="EG475">
            <v>10.209622234511551</v>
          </cell>
        </row>
        <row r="476">
          <cell r="EG476">
            <v>9.7007902213743478</v>
          </cell>
        </row>
        <row r="477">
          <cell r="EG477">
            <v>10.706743378506737</v>
          </cell>
        </row>
        <row r="478">
          <cell r="EG478">
            <v>11.356589882287693</v>
          </cell>
        </row>
        <row r="479">
          <cell r="EG479">
            <v>9.3900514964589874</v>
          </cell>
        </row>
        <row r="480">
          <cell r="EG480">
            <v>9.5700757053216048</v>
          </cell>
        </row>
        <row r="481">
          <cell r="EG481">
            <v>9.4707044297227885</v>
          </cell>
        </row>
        <row r="482">
          <cell r="EG482">
            <v>10.3220124385824</v>
          </cell>
        </row>
        <row r="483">
          <cell r="EG483">
            <v>9.5929535715478664</v>
          </cell>
        </row>
        <row r="484">
          <cell r="EG484">
            <v>9.1595671932336202</v>
          </cell>
        </row>
        <row r="485">
          <cell r="EG485">
            <v>9.494293768665333</v>
          </cell>
        </row>
        <row r="486">
          <cell r="EG486">
            <v>9.2683439139510639</v>
          </cell>
        </row>
        <row r="487">
          <cell r="EG487">
            <v>9.5737995822157398</v>
          </cell>
        </row>
        <row r="488">
          <cell r="EG488">
            <v>9.1875207208364635</v>
          </cell>
        </row>
        <row r="489">
          <cell r="EG489">
            <v>9.5790973265526436</v>
          </cell>
        </row>
        <row r="490">
          <cell r="EG490">
            <v>9.5639554649958125</v>
          </cell>
        </row>
        <row r="491">
          <cell r="EG491">
            <v>10.321266939574789</v>
          </cell>
        </row>
        <row r="492">
          <cell r="EG492">
            <v>9.9369156809452548</v>
          </cell>
        </row>
        <row r="493">
          <cell r="EG493">
            <v>10.164620489079711</v>
          </cell>
        </row>
        <row r="494">
          <cell r="EG494">
            <v>9.6420686273415033</v>
          </cell>
        </row>
        <row r="495">
          <cell r="EG495">
            <v>9.307067950661299</v>
          </cell>
        </row>
        <row r="496">
          <cell r="EG496">
            <v>9.0322157032979824</v>
          </cell>
        </row>
        <row r="497">
          <cell r="EG497">
            <v>9.5342800052050816</v>
          </cell>
        </row>
        <row r="498">
          <cell r="EG498">
            <v>9.8376515578463923</v>
          </cell>
        </row>
        <row r="499">
          <cell r="EG499">
            <v>10.480107595576447</v>
          </cell>
        </row>
        <row r="500">
          <cell r="EG500">
            <v>9.0394141191761364</v>
          </cell>
        </row>
        <row r="501">
          <cell r="EG501">
            <v>9.1911714557285578</v>
          </cell>
        </row>
        <row r="502">
          <cell r="EG502">
            <v>9.476251796007034</v>
          </cell>
        </row>
        <row r="503">
          <cell r="EG503">
            <v>8.8512583487190746</v>
          </cell>
        </row>
        <row r="504">
          <cell r="EG504">
            <v>8.7450747915820575</v>
          </cell>
        </row>
        <row r="505">
          <cell r="EG505">
            <v>9.0145205387579246</v>
          </cell>
        </row>
        <row r="506">
          <cell r="EG506">
            <v>10.569455844240684</v>
          </cell>
        </row>
        <row r="507">
          <cell r="EG507">
            <v>8.8061799739838875</v>
          </cell>
        </row>
        <row r="508">
          <cell r="EG508">
            <v>9.2116544005531829</v>
          </cell>
        </row>
        <row r="509">
          <cell r="EG509">
            <v>10.105612359686786</v>
          </cell>
        </row>
        <row r="510">
          <cell r="EG510">
            <v>9.5848963441374497</v>
          </cell>
        </row>
        <row r="511">
          <cell r="EG511">
            <v>9.3326404103874623</v>
          </cell>
        </row>
        <row r="512">
          <cell r="EG512">
            <v>9.1622656142980219</v>
          </cell>
        </row>
        <row r="513">
          <cell r="EG513">
            <v>8.8048206787211623</v>
          </cell>
        </row>
        <row r="514">
          <cell r="EG514">
            <v>8.5693739096150452</v>
          </cell>
        </row>
        <row r="515">
          <cell r="EG515">
            <v>8.8680563618230419</v>
          </cell>
        </row>
        <row r="516">
          <cell r="EG516">
            <v>11.032969116894197</v>
          </cell>
        </row>
        <row r="517">
          <cell r="EG517">
            <v>8.6127838567197355</v>
          </cell>
        </row>
        <row r="518">
          <cell r="EG518">
            <v>8.9122220565324159</v>
          </cell>
        </row>
        <row r="519">
          <cell r="EG519">
            <v>8.5809249756756198</v>
          </cell>
        </row>
        <row r="520">
          <cell r="EG520">
            <v>10.312790692146443</v>
          </cell>
        </row>
        <row r="521">
          <cell r="EG521">
            <v>10.037107632667928</v>
          </cell>
        </row>
        <row r="522">
          <cell r="EG522">
            <v>9.2100508498751381</v>
          </cell>
        </row>
        <row r="523">
          <cell r="EG523">
            <v>8.9489017609702142</v>
          </cell>
        </row>
        <row r="524">
          <cell r="EG524">
            <v>8.8864907251724823</v>
          </cell>
        </row>
        <row r="525">
          <cell r="EG525">
            <v>9.3040594662175984</v>
          </cell>
        </row>
        <row r="526">
          <cell r="EG526">
            <v>10.30982172568023</v>
          </cell>
        </row>
        <row r="527">
          <cell r="EG527">
            <v>10.148571808932157</v>
          </cell>
        </row>
        <row r="528">
          <cell r="EG528">
            <v>9.2484637175510311</v>
          </cell>
        </row>
        <row r="529">
          <cell r="EG529">
            <v>9.0902580529313166</v>
          </cell>
        </row>
        <row r="530">
          <cell r="EG530">
            <v>9.8510136068236704</v>
          </cell>
        </row>
        <row r="531">
          <cell r="EG531">
            <v>10.068705219691941</v>
          </cell>
        </row>
        <row r="532">
          <cell r="EG532">
            <v>9.3541084391474012</v>
          </cell>
        </row>
        <row r="533">
          <cell r="EG533">
            <v>9.5459253293558426</v>
          </cell>
        </row>
        <row r="534">
          <cell r="EG534">
            <v>9.7520484478194387</v>
          </cell>
        </row>
        <row r="535">
          <cell r="EG535">
            <v>8.9360107957152088</v>
          </cell>
        </row>
        <row r="536">
          <cell r="EG536">
            <v>8.9508514588885468</v>
          </cell>
        </row>
        <row r="537">
          <cell r="EG537">
            <v>8.9836262871245349</v>
          </cell>
        </row>
        <row r="538">
          <cell r="EG538">
            <v>9.4044916177586853</v>
          </cell>
        </row>
        <row r="539">
          <cell r="EG539">
            <v>9.43822580760453</v>
          </cell>
        </row>
        <row r="540">
          <cell r="EG540">
            <v>9.5975855017522047</v>
          </cell>
        </row>
        <row r="541">
          <cell r="EG541">
            <v>9.06744284277638</v>
          </cell>
        </row>
        <row r="542">
          <cell r="EG542">
            <v>9.5039268041935099</v>
          </cell>
        </row>
        <row r="543">
          <cell r="EG543">
            <v>9.6907275438703664</v>
          </cell>
        </row>
        <row r="544">
          <cell r="EG544">
            <v>9.2377949932739227</v>
          </cell>
        </row>
        <row r="545">
          <cell r="EG545">
            <v>9.4163075870598831</v>
          </cell>
        </row>
        <row r="546">
          <cell r="EG546">
            <v>9.2273724422896368</v>
          </cell>
        </row>
        <row r="547">
          <cell r="EG547">
            <v>9.1541195255158474</v>
          </cell>
        </row>
        <row r="548">
          <cell r="EG548">
            <v>8.6253124509616743</v>
          </cell>
        </row>
        <row r="549">
          <cell r="EG549">
            <v>8.8055008581583998</v>
          </cell>
        </row>
        <row r="550">
          <cell r="EG550">
            <v>9.0877814178095431</v>
          </cell>
        </row>
        <row r="551">
          <cell r="EG551">
            <v>9.7666358863102669</v>
          </cell>
        </row>
        <row r="552">
          <cell r="EG552">
            <v>9.10140335055533</v>
          </cell>
        </row>
        <row r="553">
          <cell r="EG553">
            <v>8.5932860670204576</v>
          </cell>
        </row>
        <row r="554">
          <cell r="EG554">
            <v>8.6711728427150838</v>
          </cell>
        </row>
        <row r="555">
          <cell r="EG555">
            <v>8.7450747915820575</v>
          </cell>
        </row>
        <row r="556">
          <cell r="EG556">
            <v>8.7168377232995251</v>
          </cell>
        </row>
        <row r="557">
          <cell r="EG557">
            <v>9.7080808104682319</v>
          </cell>
        </row>
        <row r="558">
          <cell r="EG558">
            <v>9.2169572073610961</v>
          </cell>
        </row>
        <row r="559">
          <cell r="EG559">
            <v>8.7126497016272122</v>
          </cell>
        </row>
        <row r="560">
          <cell r="EG560">
            <v>8.729974285699555</v>
          </cell>
        </row>
        <row r="561">
          <cell r="EG561">
            <v>8.3324384599156058</v>
          </cell>
        </row>
        <row r="562">
          <cell r="EG562">
            <v>8.423245873936807</v>
          </cell>
        </row>
        <row r="563">
          <cell r="EG563">
            <v>9.3692158574101434</v>
          </cell>
        </row>
        <row r="564">
          <cell r="EG564">
            <v>9.0526939419249679</v>
          </cell>
        </row>
        <row r="565">
          <cell r="EG565">
            <v>8.9439888750737726</v>
          </cell>
        </row>
        <row r="566">
          <cell r="EG566">
            <v>9.2187979981117376</v>
          </cell>
        </row>
        <row r="567">
          <cell r="EG567">
            <v>9.7743709598499162</v>
          </cell>
        </row>
        <row r="568">
          <cell r="EG568">
            <v>8.8864907251724823</v>
          </cell>
        </row>
        <row r="569">
          <cell r="EG569">
            <v>9.0546130545568886</v>
          </cell>
        </row>
        <row r="570">
          <cell r="EG570">
            <v>8.8567288903828825</v>
          </cell>
        </row>
        <row r="571">
          <cell r="EG571">
            <v>8.9449759084120473</v>
          </cell>
        </row>
        <row r="572">
          <cell r="EG572">
            <v>9.7370335313338785</v>
          </cell>
        </row>
        <row r="573">
          <cell r="EG573">
            <v>9.2496874278053021</v>
          </cell>
        </row>
        <row r="574">
          <cell r="EG574">
            <v>8.8954225460394074</v>
          </cell>
        </row>
        <row r="575">
          <cell r="EG575">
            <v>9.5011962420270883</v>
          </cell>
        </row>
        <row r="576">
          <cell r="EG576">
            <v>9.1664301138432833</v>
          </cell>
        </row>
        <row r="577">
          <cell r="EG577">
            <v>8.5514499979728757</v>
          </cell>
        </row>
        <row r="578">
          <cell r="EG578">
            <v>9.0576661039098294</v>
          </cell>
        </row>
        <row r="579">
          <cell r="EG579">
            <v>9.5319895514125506</v>
          </cell>
        </row>
        <row r="580">
          <cell r="EG580">
            <v>9.1568519010700111</v>
          </cell>
        </row>
        <row r="581">
          <cell r="EG581">
            <v>8.8195439355418692</v>
          </cell>
        </row>
        <row r="582">
          <cell r="EG582">
            <v>9.2211533219547057</v>
          </cell>
        </row>
        <row r="583">
          <cell r="EG583">
            <v>9.1179338350396417</v>
          </cell>
        </row>
        <row r="584">
          <cell r="EG584">
            <v>9.4104397862103468</v>
          </cell>
        </row>
        <row r="585">
          <cell r="EG585">
            <v>9.1139433523068369</v>
          </cell>
        </row>
        <row r="586">
          <cell r="EG586">
            <v>8.957607287060096</v>
          </cell>
        </row>
        <row r="587">
          <cell r="EG587">
            <v>11.092801321948428</v>
          </cell>
        </row>
        <row r="588">
          <cell r="EG588">
            <v>9.0488300865283495</v>
          </cell>
        </row>
        <row r="589">
          <cell r="EG589">
            <v>10.155457501451842</v>
          </cell>
        </row>
        <row r="590">
          <cell r="EG590">
            <v>8.3483048630481616</v>
          </cell>
        </row>
        <row r="591">
          <cell r="EG591">
            <v>9.5970366649776526</v>
          </cell>
        </row>
        <row r="592">
          <cell r="EG592">
            <v>9.612359947967775</v>
          </cell>
        </row>
        <row r="593">
          <cell r="EG593">
            <v>9.7979596437371956</v>
          </cell>
        </row>
        <row r="594">
          <cell r="EG594">
            <v>9.881897973573011</v>
          </cell>
        </row>
        <row r="595">
          <cell r="EG595">
            <v>8.9969492484953815</v>
          </cell>
        </row>
        <row r="596">
          <cell r="EG596">
            <v>9.0817072700973487</v>
          </cell>
        </row>
        <row r="597">
          <cell r="EG597">
            <v>9.2552725051033065</v>
          </cell>
        </row>
        <row r="598">
          <cell r="EG598">
            <v>9.0145205387579246</v>
          </cell>
        </row>
        <row r="599">
          <cell r="EG599">
            <v>8.9365137424788941</v>
          </cell>
        </row>
        <row r="600">
          <cell r="EG600">
            <v>8.6998377258672459</v>
          </cell>
        </row>
        <row r="601">
          <cell r="EG601">
            <v>8.7497363155690611</v>
          </cell>
        </row>
        <row r="602">
          <cell r="EG602">
            <v>10.232767474176342</v>
          </cell>
        </row>
        <row r="603">
          <cell r="EG603">
            <v>9.2810333672477281</v>
          </cell>
        </row>
        <row r="604">
          <cell r="EG604">
            <v>7.9395192526186182</v>
          </cell>
        </row>
        <row r="605">
          <cell r="EG605">
            <v>9.159867847092567</v>
          </cell>
        </row>
        <row r="606">
          <cell r="EG606">
            <v>8.8750612633917001</v>
          </cell>
        </row>
        <row r="607">
          <cell r="EG607">
            <v>9.2821687783046407</v>
          </cell>
        </row>
        <row r="608">
          <cell r="EG608">
            <v>8.9647309210536292</v>
          </cell>
        </row>
        <row r="609">
          <cell r="EG609">
            <v>9.6394864892685863</v>
          </cell>
        </row>
        <row r="610">
          <cell r="EG610">
            <v>8.5514499979728757</v>
          </cell>
        </row>
        <row r="611">
          <cell r="EG611">
            <v>9.4315245841874518</v>
          </cell>
        </row>
        <row r="612">
          <cell r="EG612">
            <v>8.668385916690001</v>
          </cell>
        </row>
        <row r="613">
          <cell r="EG613">
            <v>9.2636360685881076</v>
          </cell>
        </row>
        <row r="614">
          <cell r="EG614">
            <v>8.7678976160180913</v>
          </cell>
        </row>
        <row r="615">
          <cell r="EG615">
            <v>9.6553305580093411</v>
          </cell>
        </row>
        <row r="616">
          <cell r="EG616">
            <v>9.1038037209559572</v>
          </cell>
        </row>
        <row r="617">
          <cell r="EG617">
            <v>9.1934029030624167</v>
          </cell>
        </row>
        <row r="618">
          <cell r="EG618">
            <v>9.0877814178095431</v>
          </cell>
        </row>
        <row r="619">
          <cell r="EG619">
            <v>9.1661339703051095</v>
          </cell>
        </row>
        <row r="620">
          <cell r="EG620">
            <v>9.3100557377508917</v>
          </cell>
        </row>
        <row r="621">
          <cell r="EG621">
            <v>9.2342641243787895</v>
          </cell>
        </row>
        <row r="622">
          <cell r="EG622">
            <v>9.2523675144598982</v>
          </cell>
        </row>
        <row r="623">
          <cell r="EG623">
            <v>8.9138138523837167</v>
          </cell>
        </row>
        <row r="624">
          <cell r="EG624">
            <v>10.437100219421662</v>
          </cell>
        </row>
        <row r="625">
          <cell r="EG625">
            <v>8.568201724066995</v>
          </cell>
        </row>
        <row r="626">
          <cell r="EG626">
            <v>10.045557669136548</v>
          </cell>
        </row>
        <row r="627">
          <cell r="EG627">
            <v>9.1146109842321739</v>
          </cell>
        </row>
        <row r="628">
          <cell r="EG628">
            <v>9.6074550232146692</v>
          </cell>
        </row>
        <row r="629">
          <cell r="EG629">
            <v>9.4168068718229438</v>
          </cell>
        </row>
        <row r="630">
          <cell r="EG630">
            <v>9.5148132949992856</v>
          </cell>
        </row>
        <row r="631">
          <cell r="EG631">
            <v>10.513457328390572</v>
          </cell>
        </row>
        <row r="632">
          <cell r="EG632">
            <v>9.3390537357091397</v>
          </cell>
        </row>
        <row r="633">
          <cell r="EG633">
            <v>8.5965970956264606</v>
          </cell>
        </row>
        <row r="634">
          <cell r="EG634">
            <v>9.6231458746379399</v>
          </cell>
        </row>
        <row r="635">
          <cell r="EG635">
            <v>10.094051655509965</v>
          </cell>
        </row>
        <row r="636">
          <cell r="EG636">
            <v>8.7242758696007883</v>
          </cell>
        </row>
        <row r="637">
          <cell r="EG637">
            <v>9.2407987711173316</v>
          </cell>
        </row>
        <row r="638">
          <cell r="EG638">
            <v>9.5178554189300293</v>
          </cell>
        </row>
        <row r="639">
          <cell r="EG639">
            <v>9.8857003801283305</v>
          </cell>
        </row>
        <row r="640">
          <cell r="EG640">
            <v>9.4445132063340438</v>
          </cell>
        </row>
        <row r="641">
          <cell r="EG641">
            <v>8.2810333672477281</v>
          </cell>
        </row>
        <row r="642">
          <cell r="EG642">
            <v>9.784545974054522</v>
          </cell>
        </row>
        <row r="643">
          <cell r="EG643">
            <v>9.4937368022768407</v>
          </cell>
        </row>
        <row r="644">
          <cell r="EG644">
            <v>9.2787536009528289</v>
          </cell>
        </row>
        <row r="645">
          <cell r="EG645">
            <v>9.6444385894678391</v>
          </cell>
        </row>
        <row r="646">
          <cell r="EG646">
            <v>9.2844307338445198</v>
          </cell>
        </row>
        <row r="647">
          <cell r="EG647">
            <v>9.4611982886224926</v>
          </cell>
        </row>
        <row r="648">
          <cell r="EG648">
            <v>8.7267272090265724</v>
          </cell>
        </row>
        <row r="649">
          <cell r="EG649">
            <v>9.4313637641589878</v>
          </cell>
        </row>
        <row r="650">
          <cell r="EG650">
            <v>9.1129399760840801</v>
          </cell>
        </row>
        <row r="651">
          <cell r="EG651">
            <v>9.3332456989619637</v>
          </cell>
        </row>
        <row r="652">
          <cell r="EG652">
            <v>9.2362852774480277</v>
          </cell>
        </row>
        <row r="653">
          <cell r="EG653">
            <v>9.0362295440862948</v>
          </cell>
        </row>
        <row r="654">
          <cell r="EG654">
            <v>10.075473964588946</v>
          </cell>
        </row>
        <row r="655">
          <cell r="EG655">
            <v>10.129722108695878</v>
          </cell>
        </row>
        <row r="656">
          <cell r="EG656">
            <v>8.9722028383790651</v>
          </cell>
        </row>
        <row r="657">
          <cell r="EG657">
            <v>9.5065050324048723</v>
          </cell>
        </row>
        <row r="658">
          <cell r="EG658">
            <v>10.290991232025503</v>
          </cell>
        </row>
        <row r="659">
          <cell r="EG659">
            <v>9.2153731527834228</v>
          </cell>
        </row>
        <row r="660">
          <cell r="EG660">
            <v>10.385606273598313</v>
          </cell>
        </row>
        <row r="661">
          <cell r="EG661">
            <v>9.4886916983169414</v>
          </cell>
        </row>
        <row r="662">
          <cell r="EG662">
            <v>8.9978230807457251</v>
          </cell>
        </row>
        <row r="663">
          <cell r="EG663">
            <v>9.2942457161381178</v>
          </cell>
        </row>
        <row r="664">
          <cell r="EG664">
            <v>9.6002103064093287</v>
          </cell>
        </row>
        <row r="665">
          <cell r="EG665">
            <v>9.3981136917305026</v>
          </cell>
        </row>
        <row r="666">
          <cell r="EG666">
            <v>9.0603200286882846</v>
          </cell>
        </row>
        <row r="667">
          <cell r="EG667">
            <v>9.1838390370564209</v>
          </cell>
        </row>
        <row r="668">
          <cell r="EG668">
            <v>9.8778894253714835</v>
          </cell>
        </row>
        <row r="669">
          <cell r="EG669">
            <v>9.1328997699444834</v>
          </cell>
        </row>
        <row r="670">
          <cell r="EG670">
            <v>9.8947589943718928</v>
          </cell>
        </row>
        <row r="671">
          <cell r="EG671">
            <v>9.2385478876813281</v>
          </cell>
        </row>
        <row r="672">
          <cell r="EG672">
            <v>9.7277851741829053</v>
          </cell>
        </row>
        <row r="673">
          <cell r="EG673">
            <v>8.6989700043360187</v>
          </cell>
        </row>
        <row r="674">
          <cell r="EG674">
            <v>9.1945143418824671</v>
          </cell>
        </row>
        <row r="675">
          <cell r="EG675">
            <v>9.2650537885040141</v>
          </cell>
        </row>
        <row r="676">
          <cell r="EG676">
            <v>9.6237660001339318</v>
          </cell>
        </row>
        <row r="677">
          <cell r="EG677">
            <v>10.678982470996925</v>
          </cell>
        </row>
        <row r="678">
          <cell r="EG678">
            <v>9.0877814178095431</v>
          </cell>
        </row>
        <row r="679">
          <cell r="EG679">
            <v>9.5542468081661109</v>
          </cell>
        </row>
        <row r="680">
          <cell r="EG680">
            <v>8.6821450763738319</v>
          </cell>
        </row>
        <row r="681">
          <cell r="EG681">
            <v>10.23545269126322</v>
          </cell>
        </row>
        <row r="682">
          <cell r="EG682">
            <v>10.11169927757355</v>
          </cell>
        </row>
        <row r="683">
          <cell r="EG683">
            <v>9.6495295659478195</v>
          </cell>
        </row>
        <row r="684">
          <cell r="EG684">
            <v>10.128657700431415</v>
          </cell>
        </row>
        <row r="685">
          <cell r="EG685">
            <v>9.0588054866759062</v>
          </cell>
        </row>
        <row r="686">
          <cell r="EG686">
            <v>8.9258275746247424</v>
          </cell>
        </row>
        <row r="687">
          <cell r="EG687">
            <v>9.4239009185284175</v>
          </cell>
        </row>
        <row r="688">
          <cell r="EG688">
            <v>9.7449185424413525</v>
          </cell>
        </row>
        <row r="689">
          <cell r="EG689">
            <v>10.176669932668149</v>
          </cell>
        </row>
        <row r="690">
          <cell r="EG690">
            <v>9.6515687388657927</v>
          </cell>
        </row>
        <row r="691">
          <cell r="EG691">
            <v>9.7015679850559273</v>
          </cell>
        </row>
        <row r="692">
          <cell r="EG692">
            <v>9.2375437381428753</v>
          </cell>
        </row>
        <row r="693">
          <cell r="EG693">
            <v>9.0599418880619549</v>
          </cell>
        </row>
        <row r="694">
          <cell r="EG694">
            <v>9.4034637013453182</v>
          </cell>
        </row>
        <row r="695">
          <cell r="EG695">
            <v>9.0599418880619549</v>
          </cell>
        </row>
        <row r="696">
          <cell r="EG696">
            <v>10.154910645788524</v>
          </cell>
        </row>
        <row r="697">
          <cell r="EG697">
            <v>9.3378584290410949</v>
          </cell>
        </row>
        <row r="698">
          <cell r="EG698">
            <v>9.6475785542124548</v>
          </cell>
        </row>
        <row r="699">
          <cell r="EG699">
            <v>10.487590824516055</v>
          </cell>
        </row>
        <row r="700">
          <cell r="EG700">
            <v>9.6159500516564016</v>
          </cell>
        </row>
        <row r="701">
          <cell r="EG701">
            <v>9.8377146682849119</v>
          </cell>
        </row>
        <row r="702">
          <cell r="EG702">
            <v>9.5706596700215343</v>
          </cell>
        </row>
        <row r="703">
          <cell r="EG703">
            <v>9.6795187436957892</v>
          </cell>
        </row>
        <row r="704">
          <cell r="EG704">
            <v>8.9003671286564696</v>
          </cell>
        </row>
        <row r="705">
          <cell r="EG705">
            <v>8.1398790864012369</v>
          </cell>
        </row>
        <row r="706">
          <cell r="EG706">
            <v>9.5662017188549129</v>
          </cell>
        </row>
        <row r="707">
          <cell r="EG707">
            <v>9.8285954563717031</v>
          </cell>
        </row>
        <row r="708">
          <cell r="EG708">
            <v>9.0115704435972788</v>
          </cell>
        </row>
        <row r="709">
          <cell r="EG709">
            <v>9.0326187608507205</v>
          </cell>
        </row>
        <row r="710">
          <cell r="EG710">
            <v>9.2187979981117376</v>
          </cell>
        </row>
        <row r="711">
          <cell r="EG711">
            <v>8.8976270912904418</v>
          </cell>
        </row>
        <row r="712">
          <cell r="EG712">
            <v>8.3283796034387372</v>
          </cell>
        </row>
        <row r="713">
          <cell r="EG713">
            <v>9.9838517189914722</v>
          </cell>
        </row>
        <row r="714">
          <cell r="EG714">
            <v>10.563136835879313</v>
          </cell>
        </row>
        <row r="715">
          <cell r="EG715">
            <v>9.3306166672944375</v>
          </cell>
        </row>
        <row r="716">
          <cell r="EG716">
            <v>9.3762118502826723</v>
          </cell>
        </row>
        <row r="717">
          <cell r="EG717">
            <v>10.180326625415148</v>
          </cell>
        </row>
        <row r="718">
          <cell r="EG718">
            <v>10.622452353098465</v>
          </cell>
        </row>
        <row r="719">
          <cell r="EG719">
            <v>9.1055101847699742</v>
          </cell>
        </row>
        <row r="720">
          <cell r="EG720">
            <v>9.0927206446840998</v>
          </cell>
        </row>
        <row r="721">
          <cell r="EG721">
            <v>9.8431081419996076</v>
          </cell>
        </row>
        <row r="722">
          <cell r="EG722">
            <v>9.7921114090871679</v>
          </cell>
        </row>
        <row r="723">
          <cell r="EG723">
            <v>9.5718252490408293</v>
          </cell>
        </row>
        <row r="724">
          <cell r="EG724">
            <v>9.246744709723842</v>
          </cell>
        </row>
        <row r="725">
          <cell r="EG725">
            <v>9.5878231713189557</v>
          </cell>
        </row>
        <row r="726">
          <cell r="EG726">
            <v>9.6630409748939741</v>
          </cell>
        </row>
        <row r="727">
          <cell r="EG727">
            <v>9.5941714791149124</v>
          </cell>
        </row>
        <row r="728">
          <cell r="EG728">
            <v>9.1934029030624167</v>
          </cell>
        </row>
        <row r="729">
          <cell r="EG729">
            <v>9.7352794480604565</v>
          </cell>
        </row>
        <row r="730">
          <cell r="EG730">
            <v>9.5614591712419159</v>
          </cell>
        </row>
        <row r="731">
          <cell r="EG731">
            <v>9.746712022516661</v>
          </cell>
        </row>
        <row r="732">
          <cell r="EG732">
            <v>9.8280150642239761</v>
          </cell>
        </row>
        <row r="733">
          <cell r="EG733">
            <v>8.7209857441537384</v>
          </cell>
        </row>
        <row r="734">
          <cell r="EG734">
            <v>9.5435714239623657</v>
          </cell>
        </row>
        <row r="735">
          <cell r="EG735">
            <v>9.6062738531699878</v>
          </cell>
        </row>
        <row r="736">
          <cell r="EG736">
            <v>9.8293037728310253</v>
          </cell>
        </row>
        <row r="737">
          <cell r="EG737">
            <v>8.7242758696007883</v>
          </cell>
        </row>
        <row r="738">
          <cell r="EG738">
            <v>9.7070589406275971</v>
          </cell>
        </row>
        <row r="739">
          <cell r="EG739">
            <v>10.135832049712681</v>
          </cell>
        </row>
        <row r="740">
          <cell r="EG740">
            <v>8.8488047010518045</v>
          </cell>
        </row>
        <row r="741">
          <cell r="EG741">
            <v>9.585460729508501</v>
          </cell>
        </row>
        <row r="742">
          <cell r="EG742">
            <v>9.2022157758011307</v>
          </cell>
        </row>
        <row r="743">
          <cell r="EG743">
            <v>9.699404081815338</v>
          </cell>
        </row>
        <row r="744">
          <cell r="EG744">
            <v>9.9442852206887533</v>
          </cell>
        </row>
        <row r="745">
          <cell r="EG745">
            <v>9.3651134316275773</v>
          </cell>
        </row>
        <row r="746">
          <cell r="EG746">
            <v>9.4681995860726129</v>
          </cell>
        </row>
        <row r="747">
          <cell r="EG747">
            <v>8.9642596301968496</v>
          </cell>
        </row>
        <row r="748">
          <cell r="EG748">
            <v>9.8969669019331548</v>
          </cell>
        </row>
        <row r="749">
          <cell r="EG749">
            <v>9.5043349118024647</v>
          </cell>
        </row>
        <row r="750">
          <cell r="EG750">
            <v>9.3607826898732807</v>
          </cell>
        </row>
        <row r="751">
          <cell r="EG751">
            <v>9.3244882333076564</v>
          </cell>
        </row>
        <row r="752">
          <cell r="EG752">
            <v>9.5422027824340283</v>
          </cell>
        </row>
        <row r="753">
          <cell r="EG753">
            <v>9.0277572046905536</v>
          </cell>
        </row>
        <row r="754">
          <cell r="EG754">
            <v>9.6047658847038875</v>
          </cell>
        </row>
        <row r="755">
          <cell r="EG755">
            <v>8.989004615698537</v>
          </cell>
        </row>
        <row r="756">
          <cell r="EG756">
            <v>9.8501559224220916</v>
          </cell>
        </row>
        <row r="757">
          <cell r="EG757">
            <v>9.6231458746379399</v>
          </cell>
        </row>
        <row r="758">
          <cell r="EG758">
            <v>9.4353665066126613</v>
          </cell>
        </row>
        <row r="759">
          <cell r="EG759">
            <v>8.5477747053878232</v>
          </cell>
        </row>
        <row r="760">
          <cell r="EG760">
            <v>9.6769678142947591</v>
          </cell>
        </row>
        <row r="761">
          <cell r="EG761">
            <v>8.989004615698537</v>
          </cell>
        </row>
        <row r="762">
          <cell r="EG762">
            <v>9.1176026916900845</v>
          </cell>
        </row>
        <row r="763">
          <cell r="EG763">
            <v>10.258469661550693</v>
          </cell>
        </row>
        <row r="764">
          <cell r="EG764">
            <v>9.2506639194632427</v>
          </cell>
        </row>
        <row r="765">
          <cell r="EG765">
            <v>9.0762762554042169</v>
          </cell>
        </row>
        <row r="766">
          <cell r="EG766">
            <v>9.9062272630523598</v>
          </cell>
        </row>
        <row r="767">
          <cell r="EG767">
            <v>10.147985320683805</v>
          </cell>
        </row>
        <row r="768">
          <cell r="EG768">
            <v>9.4910814134231867</v>
          </cell>
        </row>
        <row r="769">
          <cell r="EG769">
            <v>9.4913616938342731</v>
          </cell>
        </row>
        <row r="770">
          <cell r="EG770">
            <v>9.4413808849165122</v>
          </cell>
        </row>
        <row r="771">
          <cell r="EG771">
            <v>8.7067177823367583</v>
          </cell>
        </row>
        <row r="772">
          <cell r="EG772">
            <v>9.4260230156898768</v>
          </cell>
        </row>
        <row r="773">
          <cell r="EG773">
            <v>10.193820026016112</v>
          </cell>
        </row>
        <row r="774">
          <cell r="EG774">
            <v>9.6552345070342938</v>
          </cell>
        </row>
        <row r="775">
          <cell r="EG775">
            <v>9.2929202996000058</v>
          </cell>
        </row>
        <row r="776">
          <cell r="EG776">
            <v>10.021520064114032</v>
          </cell>
        </row>
        <row r="777">
          <cell r="EG777">
            <v>9.7496590320949004</v>
          </cell>
        </row>
        <row r="778">
          <cell r="EG778">
            <v>9.6677330525332668</v>
          </cell>
        </row>
        <row r="779">
          <cell r="EG779">
            <v>9.0817072700973487</v>
          </cell>
        </row>
        <row r="780">
          <cell r="EG780">
            <v>9.4328090050331674</v>
          </cell>
        </row>
        <row r="781">
          <cell r="EG781">
            <v>10.308671106715419</v>
          </cell>
        </row>
        <row r="782">
          <cell r="EG782">
            <v>8.6766936096248664</v>
          </cell>
        </row>
        <row r="783">
          <cell r="EG783">
            <v>8.9628426812012432</v>
          </cell>
        </row>
        <row r="784">
          <cell r="EG784">
            <v>9.4608978427565482</v>
          </cell>
        </row>
        <row r="785">
          <cell r="EG785">
            <v>10.004020273253241</v>
          </cell>
        </row>
        <row r="786">
          <cell r="EG786">
            <v>9.6885977750811705</v>
          </cell>
        </row>
        <row r="787">
          <cell r="EG787">
            <v>9.0595634179012681</v>
          </cell>
        </row>
        <row r="788">
          <cell r="EG788">
            <v>9.4664227224337925</v>
          </cell>
        </row>
        <row r="789">
          <cell r="EG789">
            <v>9.8217754671834641</v>
          </cell>
        </row>
        <row r="790">
          <cell r="EG790">
            <v>9.4087486061842434</v>
          </cell>
        </row>
        <row r="791">
          <cell r="EG791">
            <v>9.1720188094245572</v>
          </cell>
        </row>
        <row r="792">
          <cell r="EG792">
            <v>9.6267508536833937</v>
          </cell>
        </row>
        <row r="793">
          <cell r="EG793">
            <v>9.0421815945157658</v>
          </cell>
        </row>
        <row r="794">
          <cell r="EG794">
            <v>9.1105897102992497</v>
          </cell>
        </row>
        <row r="795">
          <cell r="EG795">
            <v>10.066996420449694</v>
          </cell>
        </row>
        <row r="796">
          <cell r="EG796">
            <v>10.124699808932117</v>
          </cell>
        </row>
        <row r="797">
          <cell r="EG797">
            <v>9.383815365980432</v>
          </cell>
        </row>
        <row r="798">
          <cell r="EG798">
            <v>9.2782962080912732</v>
          </cell>
        </row>
        <row r="799">
          <cell r="EG799">
            <v>9.286456469746982</v>
          </cell>
        </row>
        <row r="800">
          <cell r="EG800">
            <v>9.0788191830988492</v>
          </cell>
        </row>
        <row r="801">
          <cell r="EG801">
            <v>9.6553305580093411</v>
          </cell>
        </row>
        <row r="802">
          <cell r="EG802">
            <v>9.4693801358499243</v>
          </cell>
        </row>
        <row r="803">
          <cell r="EG803">
            <v>8.6148972160331354</v>
          </cell>
        </row>
        <row r="804">
          <cell r="EG804">
            <v>8.7965743332104296</v>
          </cell>
        </row>
        <row r="805">
          <cell r="EG805">
            <v>9.9439888750737726</v>
          </cell>
        </row>
        <row r="806">
          <cell r="EG806">
            <v>9.6637951222194083</v>
          </cell>
        </row>
        <row r="807">
          <cell r="EG807">
            <v>9.5950550897593043</v>
          </cell>
        </row>
        <row r="808">
          <cell r="EG808">
            <v>9.1414497734004669</v>
          </cell>
        </row>
        <row r="809">
          <cell r="EG809">
            <v>9.1132746924643513</v>
          </cell>
        </row>
        <row r="810">
          <cell r="EG810">
            <v>8.7041505168397997</v>
          </cell>
        </row>
        <row r="811">
          <cell r="EG811">
            <v>8.8007170782823856</v>
          </cell>
        </row>
        <row r="812">
          <cell r="EG812">
            <v>9.6386888866901241</v>
          </cell>
        </row>
        <row r="813">
          <cell r="EG813">
            <v>9.6335694425540925</v>
          </cell>
        </row>
        <row r="814">
          <cell r="EG814">
            <v>9.5848963441374497</v>
          </cell>
        </row>
        <row r="815">
          <cell r="EG815">
            <v>9.3068537486930083</v>
          </cell>
        </row>
        <row r="816">
          <cell r="EG816">
            <v>9.4039779636693552</v>
          </cell>
        </row>
        <row r="817">
          <cell r="EG817">
            <v>8.2479732663618073</v>
          </cell>
        </row>
        <row r="818">
          <cell r="EG818">
            <v>9.6817837664678805</v>
          </cell>
        </row>
        <row r="819">
          <cell r="EG819">
            <v>10.88067070875198</v>
          </cell>
        </row>
        <row r="820">
          <cell r="EG820">
            <v>8.668385916690001</v>
          </cell>
        </row>
        <row r="821">
          <cell r="EG821">
            <v>8.8014037100173557</v>
          </cell>
        </row>
        <row r="822">
          <cell r="EG822">
            <v>8.0644579892269181</v>
          </cell>
        </row>
        <row r="823">
          <cell r="EG823">
            <v>9.6520528482481058</v>
          </cell>
        </row>
        <row r="824">
          <cell r="EG824">
            <v>10.706128653676931</v>
          </cell>
        </row>
        <row r="825">
          <cell r="EG825">
            <v>9.2513948500401035</v>
          </cell>
        </row>
        <row r="826">
          <cell r="EG826">
            <v>9.4220971631317099</v>
          </cell>
        </row>
        <row r="827">
          <cell r="EG827">
            <v>9.0511525224473814</v>
          </cell>
        </row>
        <row r="828">
          <cell r="EG828">
            <v>9.834357112718406</v>
          </cell>
        </row>
        <row r="829">
          <cell r="EG829">
            <v>8.9590413923210939</v>
          </cell>
        </row>
        <row r="830">
          <cell r="EG830">
            <v>9.8659918001262756</v>
          </cell>
        </row>
        <row r="831">
          <cell r="EG831">
            <v>9.3051363189436387</v>
          </cell>
        </row>
        <row r="832">
          <cell r="EG832">
            <v>8.9912260756924951</v>
          </cell>
        </row>
        <row r="833">
          <cell r="EG833">
            <v>9.219060332448862</v>
          </cell>
        </row>
        <row r="834">
          <cell r="EG834">
            <v>8.9148718175400496</v>
          </cell>
        </row>
        <row r="835">
          <cell r="EG835">
            <v>9.8313577854420675</v>
          </cell>
        </row>
        <row r="836">
          <cell r="EG836">
            <v>9.3645509953539712</v>
          </cell>
        </row>
        <row r="837">
          <cell r="EG837">
            <v>9.5770319856260322</v>
          </cell>
        </row>
        <row r="838">
          <cell r="EG838">
            <v>9.0515383905153275</v>
          </cell>
        </row>
        <row r="839">
          <cell r="EG839">
            <v>8.5440680443502757</v>
          </cell>
        </row>
        <row r="840">
          <cell r="EG840">
            <v>9.8539414458804906</v>
          </cell>
        </row>
        <row r="841">
          <cell r="EG841">
            <v>10.144698718643125</v>
          </cell>
        </row>
        <row r="842">
          <cell r="EG842">
            <v>9.8033888249836139</v>
          </cell>
        </row>
        <row r="843">
          <cell r="EG843">
            <v>10.126877868835267</v>
          </cell>
        </row>
        <row r="844">
          <cell r="EG844">
            <v>9.1411360901207388</v>
          </cell>
        </row>
        <row r="845">
          <cell r="EG845">
            <v>9.4490153163477864</v>
          </cell>
        </row>
        <row r="846">
          <cell r="EG846">
            <v>10.163012209774829</v>
          </cell>
        </row>
        <row r="847">
          <cell r="EG847">
            <v>9.2437819160937948</v>
          </cell>
        </row>
        <row r="848">
          <cell r="EG848">
            <v>8.9106244048892016</v>
          </cell>
        </row>
        <row r="849">
          <cell r="EG849">
            <v>9.151063253353751</v>
          </cell>
        </row>
        <row r="850">
          <cell r="EG850">
            <v>8.2095150145426317</v>
          </cell>
        </row>
        <row r="851">
          <cell r="EG851">
            <v>11.901634292161853</v>
          </cell>
        </row>
        <row r="852">
          <cell r="EG852">
            <v>9.357934847000454</v>
          </cell>
        </row>
        <row r="853">
          <cell r="EG853">
            <v>9.6690378008851567</v>
          </cell>
        </row>
        <row r="854">
          <cell r="EG854">
            <v>9.0354297381845488</v>
          </cell>
        </row>
        <row r="855">
          <cell r="EG855">
            <v>10.110050716147654</v>
          </cell>
        </row>
        <row r="856">
          <cell r="EG856">
            <v>9.0652061280543119</v>
          </cell>
        </row>
        <row r="857">
          <cell r="EG857">
            <v>9.8298181874388781</v>
          </cell>
        </row>
        <row r="858">
          <cell r="EG858">
            <v>9.6220066730068048</v>
          </cell>
        </row>
        <row r="859">
          <cell r="EG859">
            <v>9.0762762554042169</v>
          </cell>
        </row>
        <row r="860">
          <cell r="EG860">
            <v>9.1129399760840801</v>
          </cell>
        </row>
        <row r="861">
          <cell r="EG861">
            <v>8.7986506454452691</v>
          </cell>
        </row>
        <row r="862">
          <cell r="EG862">
            <v>10.019365574572488</v>
          </cell>
        </row>
        <row r="863">
          <cell r="EG863">
            <v>9.670060217473134</v>
          </cell>
        </row>
        <row r="864">
          <cell r="EG864">
            <v>9.3132342916947248</v>
          </cell>
        </row>
        <row r="865">
          <cell r="EG865">
            <v>9.570192561095725</v>
          </cell>
        </row>
        <row r="866">
          <cell r="EG866">
            <v>8.7993405494535821</v>
          </cell>
        </row>
        <row r="867">
          <cell r="EG867">
            <v>9.341236623238693</v>
          </cell>
        </row>
        <row r="868">
          <cell r="EG868">
            <v>9.5888317255942077</v>
          </cell>
        </row>
        <row r="869">
          <cell r="EG869">
            <v>9.6779717528107394</v>
          </cell>
        </row>
        <row r="870">
          <cell r="EG870">
            <v>8.3074960379132126</v>
          </cell>
        </row>
        <row r="871">
          <cell r="EG871">
            <v>8.8182258936139561</v>
          </cell>
        </row>
        <row r="872">
          <cell r="EG872">
            <v>9.2940250940953231</v>
          </cell>
        </row>
        <row r="873">
          <cell r="EG873">
            <v>10.79051738261732</v>
          </cell>
        </row>
        <row r="874">
          <cell r="EG874">
            <v>10.05522538385382</v>
          </cell>
        </row>
        <row r="875">
          <cell r="EG875">
            <v>9.2258259914618925</v>
          </cell>
        </row>
        <row r="876">
          <cell r="EG876">
            <v>10.071882007306126</v>
          </cell>
        </row>
        <row r="877">
          <cell r="EG877">
            <v>9.0043213737826431</v>
          </cell>
        </row>
        <row r="878">
          <cell r="EG878">
            <v>10.032256025890453</v>
          </cell>
        </row>
        <row r="879">
          <cell r="EG879">
            <v>8.8034571156484134</v>
          </cell>
        </row>
        <row r="880">
          <cell r="EG880">
            <v>8.9390197764486672</v>
          </cell>
        </row>
        <row r="881">
          <cell r="EG881">
            <v>10.173739713951887</v>
          </cell>
        </row>
        <row r="882">
          <cell r="EG882">
            <v>8.9090208542111569</v>
          </cell>
        </row>
        <row r="883">
          <cell r="EG883">
            <v>8.7701152947871019</v>
          </cell>
        </row>
        <row r="884">
          <cell r="EG884">
            <v>9.2437819160937948</v>
          </cell>
        </row>
        <row r="885">
          <cell r="EG885">
            <v>8.6803355134145637</v>
          </cell>
        </row>
        <row r="886">
          <cell r="EG886">
            <v>9.0813473078041334</v>
          </cell>
        </row>
        <row r="887">
          <cell r="EG887">
            <v>9.1734776434529941</v>
          </cell>
        </row>
        <row r="888">
          <cell r="EG888">
            <v>8.6020599913279625</v>
          </cell>
        </row>
        <row r="889">
          <cell r="EG889">
            <v>9.0445397603924107</v>
          </cell>
        </row>
        <row r="890">
          <cell r="EG890">
            <v>9.3923451553612036</v>
          </cell>
        </row>
        <row r="891">
          <cell r="EG891">
            <v>8.4345689040341991</v>
          </cell>
        </row>
        <row r="892">
          <cell r="EG892">
            <v>9.3664229572259732</v>
          </cell>
        </row>
        <row r="893">
          <cell r="EG893">
            <v>9.7031193462360772</v>
          </cell>
        </row>
        <row r="894">
          <cell r="EG894">
            <v>9.4527062265110295</v>
          </cell>
        </row>
        <row r="895">
          <cell r="EG895">
            <v>9.8806992892187022</v>
          </cell>
        </row>
        <row r="896">
          <cell r="EG896">
            <v>9.4658288153574368</v>
          </cell>
        </row>
        <row r="897">
          <cell r="EG897">
            <v>9.7343997425205675</v>
          </cell>
        </row>
        <row r="898">
          <cell r="EG898">
            <v>9.7690078709437742</v>
          </cell>
        </row>
        <row r="899">
          <cell r="EG899">
            <v>9.6770591773921613</v>
          </cell>
        </row>
        <row r="900">
          <cell r="EG900">
            <v>10.578650668774207</v>
          </cell>
        </row>
        <row r="901">
          <cell r="EG901">
            <v>8.8305886686851451</v>
          </cell>
        </row>
        <row r="902">
          <cell r="EG902">
            <v>9.3388547462523235</v>
          </cell>
        </row>
        <row r="903">
          <cell r="EG903">
            <v>9.4772659954248528</v>
          </cell>
        </row>
        <row r="904">
          <cell r="EG904">
            <v>9.2489536154957079</v>
          </cell>
        </row>
        <row r="905">
          <cell r="EG905">
            <v>8.5622928644564755</v>
          </cell>
        </row>
        <row r="906">
          <cell r="EG906">
            <v>9.1711411510283813</v>
          </cell>
        </row>
        <row r="907">
          <cell r="EG907">
            <v>9.1458177144918285</v>
          </cell>
        </row>
        <row r="908">
          <cell r="EG908">
            <v>9.6552345070342938</v>
          </cell>
        </row>
        <row r="909">
          <cell r="EG909">
            <v>8.77232170672292</v>
          </cell>
        </row>
        <row r="910">
          <cell r="EG910">
            <v>8.6618126855372619</v>
          </cell>
        </row>
        <row r="911">
          <cell r="EG911">
            <v>9.6986224297020982</v>
          </cell>
        </row>
        <row r="912">
          <cell r="EG912">
            <v>9.9592799501309397</v>
          </cell>
        </row>
        <row r="913">
          <cell r="EG913">
            <v>9.3382572302462563</v>
          </cell>
        </row>
        <row r="914">
          <cell r="EG914">
            <v>8.9334872878487062</v>
          </cell>
        </row>
        <row r="915">
          <cell r="EG915">
            <v>9.1092409685882032</v>
          </cell>
        </row>
        <row r="916">
          <cell r="EG916">
            <v>8.8350561017201166</v>
          </cell>
        </row>
        <row r="917">
          <cell r="EG917">
            <v>9.1892094895823053</v>
          </cell>
        </row>
        <row r="918">
          <cell r="EG918">
            <v>8.7092699609758313</v>
          </cell>
        </row>
        <row r="919">
          <cell r="EG919">
            <v>9.3986343245383921</v>
          </cell>
        </row>
        <row r="920">
          <cell r="EG920">
            <v>9.3182720802116261</v>
          </cell>
        </row>
        <row r="921">
          <cell r="EG921">
            <v>9.5335178620169678</v>
          </cell>
        </row>
        <row r="922">
          <cell r="EG922">
            <v>8.9921114877869499</v>
          </cell>
        </row>
        <row r="923">
          <cell r="EG923">
            <v>9.9649192942866431</v>
          </cell>
        </row>
        <row r="924">
          <cell r="EG924">
            <v>9.1482940974347464</v>
          </cell>
        </row>
        <row r="925">
          <cell r="EG925">
            <v>9.0955180423231514</v>
          </cell>
        </row>
        <row r="926">
          <cell r="EG926">
            <v>9.4886916983169414</v>
          </cell>
        </row>
        <row r="927">
          <cell r="EG927">
            <v>9.0670708560453708</v>
          </cell>
        </row>
        <row r="928">
          <cell r="EG928">
            <v>10.8679327645066</v>
          </cell>
        </row>
        <row r="929">
          <cell r="EG929">
            <v>9.8822398480188234</v>
          </cell>
        </row>
        <row r="930">
          <cell r="EG930">
            <v>8.1643528557844363</v>
          </cell>
        </row>
        <row r="931">
          <cell r="EG931">
            <v>10.272398632455404</v>
          </cell>
        </row>
        <row r="932">
          <cell r="EG932">
            <v>9.9777693180915747</v>
          </cell>
        </row>
        <row r="933">
          <cell r="EG933">
            <v>10.170467076385938</v>
          </cell>
        </row>
        <row r="934">
          <cell r="EG934">
            <v>9.7803893284709531</v>
          </cell>
        </row>
        <row r="935">
          <cell r="EG935">
            <v>8.6434526764861879</v>
          </cell>
        </row>
        <row r="936">
          <cell r="EG936">
            <v>10.078601800355392</v>
          </cell>
        </row>
        <row r="937">
          <cell r="EG937">
            <v>10.353762403067199</v>
          </cell>
        </row>
        <row r="938">
          <cell r="EG938">
            <v>9.6914351521440629</v>
          </cell>
        </row>
        <row r="939">
          <cell r="EG939">
            <v>9.6468936241677454</v>
          </cell>
        </row>
        <row r="940">
          <cell r="EG940">
            <v>10.514561033634031</v>
          </cell>
        </row>
        <row r="941">
          <cell r="EG941">
            <v>9.5890555310523435</v>
          </cell>
        </row>
        <row r="942">
          <cell r="EG942">
            <v>9.9543872501445154</v>
          </cell>
        </row>
        <row r="943">
          <cell r="EG943">
            <v>9.5336449787987636</v>
          </cell>
        </row>
        <row r="944">
          <cell r="EG944">
            <v>9.9187116653823217</v>
          </cell>
        </row>
        <row r="945">
          <cell r="EG945">
            <v>9.370883016777606</v>
          </cell>
        </row>
        <row r="946">
          <cell r="EG946">
            <v>8.8561244442423011</v>
          </cell>
        </row>
        <row r="947">
          <cell r="EG947">
            <v>9.9657189702442217</v>
          </cell>
        </row>
        <row r="948">
          <cell r="EG948">
            <v>9.3106933123433606</v>
          </cell>
        </row>
        <row r="949">
          <cell r="EG949">
            <v>10.345883212931712</v>
          </cell>
        </row>
        <row r="950">
          <cell r="EG950">
            <v>10.006637159068585</v>
          </cell>
        </row>
        <row r="951">
          <cell r="EG951">
            <v>9.3079237036118823</v>
          </cell>
        </row>
        <row r="952">
          <cell r="EG952">
            <v>10.030356805310841</v>
          </cell>
        </row>
        <row r="953">
          <cell r="EG953">
            <v>9.8663464227496025</v>
          </cell>
        </row>
        <row r="954">
          <cell r="EG954">
            <v>10.145848756590544</v>
          </cell>
        </row>
        <row r="955">
          <cell r="EG955">
            <v>10.272560963861556</v>
          </cell>
        </row>
        <row r="956">
          <cell r="EG956">
            <v>9.9288565335819108</v>
          </cell>
        </row>
        <row r="957">
          <cell r="EG957">
            <v>9.5054213275832815</v>
          </cell>
        </row>
        <row r="958">
          <cell r="EG958">
            <v>9.6801541417343735</v>
          </cell>
        </row>
        <row r="959">
          <cell r="EG959">
            <v>9.3651134316275773</v>
          </cell>
        </row>
        <row r="960">
          <cell r="EG960">
            <v>10.533632268794756</v>
          </cell>
        </row>
        <row r="961">
          <cell r="EG961">
            <v>9.2626883443016972</v>
          </cell>
        </row>
        <row r="962">
          <cell r="EG962">
            <v>8.9508514588885468</v>
          </cell>
        </row>
        <row r="963">
          <cell r="EG963">
            <v>9.4331295175804861</v>
          </cell>
        </row>
        <row r="964">
          <cell r="EG964">
            <v>9.7889457270237479</v>
          </cell>
        </row>
        <row r="965">
          <cell r="EG965">
            <v>8.9122220565324159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5"/>
  <sheetViews>
    <sheetView zoomScale="96" workbookViewId="0">
      <selection sqref="A1:XFD1048576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5.3380690515041351E-2</v>
      </c>
      <c r="D3" s="7">
        <v>1.9098754972219471E-2</v>
      </c>
      <c r="E3" s="7">
        <v>3.8903146982192993E-2</v>
      </c>
      <c r="F3" s="7">
        <v>6.8024080246686944E-3</v>
      </c>
      <c r="G3" s="7">
        <v>1.229116320610046E-2</v>
      </c>
      <c r="H3" s="7">
        <v>1.707540079951286E-2</v>
      </c>
      <c r="I3" s="7">
        <v>4.3437454849481583E-2</v>
      </c>
      <c r="J3" s="7">
        <v>2.279438637197018E-2</v>
      </c>
      <c r="K3" s="7">
        <v>2.5884099304676059E-2</v>
      </c>
      <c r="L3" s="7">
        <v>3.7059839814901352E-2</v>
      </c>
      <c r="M3" s="7">
        <v>2.5352442637085911E-2</v>
      </c>
      <c r="N3" s="7">
        <v>2.2137835621833801E-2</v>
      </c>
      <c r="O3" s="7">
        <v>4.9354821443557739E-2</v>
      </c>
      <c r="P3" s="7">
        <v>3.6078199744224548E-2</v>
      </c>
      <c r="Q3" s="7">
        <v>6.0449372977018356E-3</v>
      </c>
      <c r="R3" s="7">
        <v>3.385940100997686E-3</v>
      </c>
      <c r="S3" s="7">
        <v>-2.0781485363841061E-3</v>
      </c>
      <c r="T3" s="7">
        <v>-2.2465851157903671E-2</v>
      </c>
      <c r="U3" s="7">
        <v>-1.545652747154236E-2</v>
      </c>
      <c r="V3" s="7">
        <v>-9.7821466624736786E-4</v>
      </c>
      <c r="W3" s="7">
        <v>-1.106031611561775E-2</v>
      </c>
      <c r="X3" s="7">
        <v>-6.7155808210372925E-4</v>
      </c>
      <c r="Y3" s="7">
        <v>-1.7966147512197491E-2</v>
      </c>
      <c r="Z3" s="7">
        <v>-2.5221735239028931E-2</v>
      </c>
      <c r="AA3" s="7">
        <v>3.4736543893814087E-2</v>
      </c>
      <c r="AB3" s="7">
        <v>-1.7717707902193069E-2</v>
      </c>
      <c r="AC3" s="7">
        <v>-1.252998784184456E-2</v>
      </c>
      <c r="AD3" s="7">
        <v>8.4126926958560944E-3</v>
      </c>
      <c r="AE3" s="7">
        <v>3.1373761594295502E-3</v>
      </c>
      <c r="AF3" s="7">
        <v>1.8776386976242069E-2</v>
      </c>
      <c r="AG3" s="7">
        <v>-4.3333325535058982E-2</v>
      </c>
      <c r="AH3" s="7">
        <v>2.168444357812405E-2</v>
      </c>
      <c r="AI3" s="7">
        <v>4.2865972965955727E-2</v>
      </c>
      <c r="AJ3" s="7">
        <v>4.0528882294893258E-2</v>
      </c>
      <c r="AK3" s="7">
        <v>4.2677275836467743E-2</v>
      </c>
      <c r="AL3" s="7">
        <v>4.2865950614213937E-2</v>
      </c>
      <c r="AM3" s="7">
        <v>4.7705098986625671E-2</v>
      </c>
      <c r="AN3" s="7">
        <v>4.4681474566459663E-2</v>
      </c>
      <c r="AO3" s="7">
        <v>4.9907289445400238E-2</v>
      </c>
      <c r="AP3" s="7">
        <v>4.7438353300094598E-2</v>
      </c>
      <c r="AQ3" s="7">
        <v>3.3652849495410919E-2</v>
      </c>
      <c r="AR3" s="7">
        <v>1.8763171508908268E-2</v>
      </c>
      <c r="AS3" s="7">
        <v>4.0618646889925003E-2</v>
      </c>
      <c r="AT3" s="7">
        <v>1.9566405564546589E-2</v>
      </c>
      <c r="AU3" s="7">
        <v>3.0446793884038929E-2</v>
      </c>
      <c r="AV3" s="7">
        <v>1.9622992724180222E-2</v>
      </c>
      <c r="AW3" s="7">
        <v>2.9586771503090858E-2</v>
      </c>
      <c r="AX3" s="7">
        <v>3.1509295105934143E-2</v>
      </c>
      <c r="AY3" s="7">
        <v>1.400297787040472E-2</v>
      </c>
      <c r="AZ3" s="7">
        <v>6.3738403841853142E-3</v>
      </c>
      <c r="BA3" s="7">
        <v>1.0355084203183649E-2</v>
      </c>
      <c r="BB3" s="7">
        <v>5.1876255311071873E-3</v>
      </c>
      <c r="BC3" s="7">
        <v>7.8440112993121147E-3</v>
      </c>
      <c r="BD3" s="7">
        <v>8.4061268717050552E-3</v>
      </c>
      <c r="BE3" s="7">
        <v>-5.0238538533449173E-3</v>
      </c>
      <c r="BF3" s="7">
        <v>2.303947880864143E-2</v>
      </c>
      <c r="BG3" s="7">
        <v>9.5878113061189651E-3</v>
      </c>
      <c r="BH3" s="7">
        <v>-8.4409467875957489E-2</v>
      </c>
      <c r="BI3" s="7">
        <v>2.3758146911859509E-2</v>
      </c>
      <c r="BJ3" s="7">
        <v>2.096505276858807E-2</v>
      </c>
      <c r="BK3" s="7">
        <v>1.6576047986745831E-2</v>
      </c>
      <c r="BL3" s="7">
        <v>1.1380131356418129E-2</v>
      </c>
      <c r="BM3" s="7">
        <v>8.9813526719808578E-3</v>
      </c>
      <c r="BN3" s="7">
        <v>9.8703857511281967E-3</v>
      </c>
      <c r="BO3" s="7">
        <v>-1.313008600845933E-3</v>
      </c>
      <c r="BP3" s="7">
        <v>1.638233661651611E-2</v>
      </c>
      <c r="BQ3" s="7">
        <v>4.7462418675422668E-2</v>
      </c>
      <c r="BR3" s="7">
        <v>3.2633718103170388E-2</v>
      </c>
      <c r="BS3" s="7">
        <v>5.4500699043273933E-2</v>
      </c>
      <c r="BT3" s="7">
        <v>1.2507680803537371E-2</v>
      </c>
      <c r="BU3" s="7">
        <v>1.7222486436367031E-2</v>
      </c>
      <c r="BV3" s="7">
        <v>1.257048174738884E-2</v>
      </c>
      <c r="BW3" s="7">
        <v>-4.9899797886610031E-3</v>
      </c>
      <c r="BX3" s="7">
        <v>-1.5832114731892939E-3</v>
      </c>
      <c r="BY3" s="7">
        <v>-1.6474293079227209E-3</v>
      </c>
      <c r="BZ3" s="7">
        <v>3.6023158580064767E-2</v>
      </c>
      <c r="CA3" s="7">
        <v>1.933190226554871E-2</v>
      </c>
      <c r="CB3" s="7">
        <v>1.276819221675396E-2</v>
      </c>
      <c r="CC3" s="7">
        <v>1.2653216253966091E-3</v>
      </c>
      <c r="CD3" s="7">
        <v>3.6446176469326019E-2</v>
      </c>
      <c r="CE3" s="7">
        <v>1.082755159586668E-2</v>
      </c>
      <c r="CF3" s="7">
        <v>8.1559047102928162E-3</v>
      </c>
      <c r="CG3" s="7">
        <v>1.104166964069009E-3</v>
      </c>
      <c r="CH3" s="7">
        <v>3.5072214901447303E-2</v>
      </c>
      <c r="CI3" s="7">
        <v>2.4559047073125839E-2</v>
      </c>
      <c r="CJ3" s="7">
        <v>2.074662409722805E-2</v>
      </c>
      <c r="CK3" s="7">
        <v>9.4615370035171509E-3</v>
      </c>
      <c r="CL3" s="7">
        <v>5.782655905932188E-3</v>
      </c>
      <c r="CM3" s="7">
        <v>-2.0046353340148929E-2</v>
      </c>
      <c r="CN3" s="7">
        <v>4.9867467023432246E-3</v>
      </c>
      <c r="CO3" s="7">
        <v>1.028707250952721E-2</v>
      </c>
      <c r="CP3" s="7">
        <v>9.1046616435050964E-3</v>
      </c>
      <c r="CQ3" s="7">
        <v>1.6216963529586789E-2</v>
      </c>
      <c r="CR3" s="7">
        <v>2.326556108891964E-2</v>
      </c>
      <c r="CS3" s="7">
        <v>1.5860499814152721E-2</v>
      </c>
      <c r="CT3" s="7">
        <v>1.0978777892887591E-2</v>
      </c>
      <c r="CU3" s="7">
        <v>3.6009509116411209E-2</v>
      </c>
      <c r="CV3" s="7">
        <v>3.4486167132854462E-2</v>
      </c>
      <c r="CW3" s="7">
        <v>2.2519556805491451E-2</v>
      </c>
      <c r="CX3" s="7">
        <v>1.920701190829277E-2</v>
      </c>
      <c r="CY3" s="7">
        <v>2.4746166542172428E-2</v>
      </c>
      <c r="CZ3" s="7">
        <v>3.111917711794376E-2</v>
      </c>
      <c r="DA3" s="7">
        <v>3.9866019040346153E-2</v>
      </c>
      <c r="DB3" s="7">
        <v>3.7007730454206467E-2</v>
      </c>
      <c r="DC3" s="7">
        <v>1.9792236387729641E-2</v>
      </c>
      <c r="DD3" s="7">
        <v>2.5975974276661869E-2</v>
      </c>
      <c r="DE3" s="7">
        <v>2.8975984081625938E-2</v>
      </c>
      <c r="DF3" s="7">
        <v>4.3441507965326309E-2</v>
      </c>
      <c r="DG3" s="7">
        <v>3.0526775866746899E-2</v>
      </c>
      <c r="DH3" s="7">
        <v>2.4306971579790119E-2</v>
      </c>
      <c r="DI3" s="7">
        <v>2.935238741338253E-2</v>
      </c>
      <c r="DJ3" s="7">
        <v>3.992868959903717E-2</v>
      </c>
      <c r="DK3" s="7">
        <v>2.59803980588913E-2</v>
      </c>
      <c r="DL3" s="7">
        <v>2.5819797068834301E-2</v>
      </c>
      <c r="DM3" s="7">
        <v>2.2522525861859322E-2</v>
      </c>
      <c r="DN3" s="7">
        <v>1.8935320898890499E-2</v>
      </c>
      <c r="DO3" s="7">
        <v>1.592620462179184E-2</v>
      </c>
      <c r="DP3" s="7">
        <v>2.4080397561192509E-2</v>
      </c>
      <c r="DQ3" s="7">
        <v>2.525398321449757E-2</v>
      </c>
      <c r="DR3" s="7">
        <v>1.7146797850728032E-2</v>
      </c>
      <c r="DS3" s="7">
        <v>3.6880720406770713E-2</v>
      </c>
      <c r="DT3" s="7">
        <v>2.678602188825607E-2</v>
      </c>
      <c r="DU3" s="7">
        <v>2.6876723393797871E-2</v>
      </c>
      <c r="DV3" s="7">
        <v>2.678317949175835E-2</v>
      </c>
      <c r="DW3" s="7">
        <v>1.6589745879173279E-2</v>
      </c>
      <c r="DX3" s="7">
        <v>2.8465604409575459E-2</v>
      </c>
      <c r="DY3" s="7">
        <v>3.1516790390014648E-2</v>
      </c>
      <c r="DZ3" s="7">
        <v>1.147278398275375E-2</v>
      </c>
      <c r="EA3" s="7">
        <v>3.9311233907937997E-2</v>
      </c>
      <c r="EB3" s="7">
        <v>1.167930662631989E-2</v>
      </c>
      <c r="EC3" s="7">
        <v>2.9493488371372219E-2</v>
      </c>
      <c r="ED3" s="7">
        <v>1.47452661767602E-2</v>
      </c>
      <c r="EE3" s="7">
        <v>2.212207019329071E-2</v>
      </c>
      <c r="EF3" s="7">
        <v>3.392517939209938E-2</v>
      </c>
      <c r="EG3" s="1"/>
    </row>
    <row r="4" spans="1:137" x14ac:dyDescent="0.3">
      <c r="B4" s="1" t="s">
        <v>138</v>
      </c>
      <c r="C4" s="7">
        <v>9.977172315120697E-2</v>
      </c>
      <c r="D4" s="7">
        <v>-4.8145148903131478E-2</v>
      </c>
      <c r="E4" s="7">
        <v>-2.2423535585403439E-2</v>
      </c>
      <c r="F4" s="7">
        <v>-3.0923590064048771E-2</v>
      </c>
      <c r="G4" s="7">
        <v>-4.1859965771436691E-2</v>
      </c>
      <c r="H4" s="7">
        <v>-2.755187451839447E-2</v>
      </c>
      <c r="I4" s="7">
        <v>-2.8741911053657528E-2</v>
      </c>
      <c r="J4" s="7">
        <v>-3.6191552877426147E-2</v>
      </c>
      <c r="K4" s="7">
        <v>-3.3944845199584961E-2</v>
      </c>
      <c r="L4" s="7">
        <v>-3.7480711936950677E-2</v>
      </c>
      <c r="M4" s="7">
        <v>-3.8226228207349777E-2</v>
      </c>
      <c r="N4" s="7">
        <v>-2.893173880875111E-2</v>
      </c>
      <c r="O4" s="7">
        <v>-3.6612465977668762E-2</v>
      </c>
      <c r="P4" s="7">
        <v>-3.8424994796514511E-2</v>
      </c>
      <c r="Q4" s="7">
        <v>-2.4131393060088161E-2</v>
      </c>
      <c r="R4" s="7">
        <v>-3.5332571715116501E-2</v>
      </c>
      <c r="S4" s="7">
        <v>-2.8889749199151989E-2</v>
      </c>
      <c r="T4" s="7">
        <v>-2.8651971369981769E-2</v>
      </c>
      <c r="U4" s="7">
        <v>-3.027976676821709E-2</v>
      </c>
      <c r="V4" s="7">
        <v>-2.7209959924221039E-2</v>
      </c>
      <c r="W4" s="7">
        <v>-2.7900077402591709E-2</v>
      </c>
      <c r="X4" s="7">
        <v>-2.877085097134113E-2</v>
      </c>
      <c r="Y4" s="7">
        <v>-3.2078109681606293E-2</v>
      </c>
      <c r="Z4" s="7">
        <v>-3.0241664499044418E-2</v>
      </c>
      <c r="AA4" s="7">
        <v>-3.021601960062981E-2</v>
      </c>
      <c r="AB4" s="7">
        <v>-2.8631076216697689E-2</v>
      </c>
      <c r="AC4" s="7">
        <v>-2.7421202510595322E-2</v>
      </c>
      <c r="AD4" s="7">
        <v>-2.8836533427238461E-2</v>
      </c>
      <c r="AE4" s="7">
        <v>-3.089639917016029E-2</v>
      </c>
      <c r="AF4" s="7">
        <v>-2.9104374349117279E-2</v>
      </c>
      <c r="AG4" s="7">
        <v>-2.8324617072939869E-2</v>
      </c>
      <c r="AH4" s="7">
        <v>-2.031108736991882E-2</v>
      </c>
      <c r="AI4" s="7">
        <v>-3.4272376447916031E-2</v>
      </c>
      <c r="AJ4" s="7">
        <v>-3.362511470913887E-2</v>
      </c>
      <c r="AK4" s="7">
        <v>-2.7353102341294289E-2</v>
      </c>
      <c r="AL4" s="7">
        <v>-2.7455467730760571E-2</v>
      </c>
      <c r="AM4" s="7">
        <v>-2.8936265036463741E-2</v>
      </c>
      <c r="AN4" s="7">
        <v>-2.494907379150391E-2</v>
      </c>
      <c r="AO4" s="7">
        <v>-3.4107021987438202E-2</v>
      </c>
      <c r="AP4" s="7">
        <v>-3.3338341861963272E-2</v>
      </c>
      <c r="AQ4" s="7">
        <v>-2.1358797326684002E-2</v>
      </c>
      <c r="AR4" s="7">
        <v>-2.606182545423508E-2</v>
      </c>
      <c r="AS4" s="7">
        <v>-2.9215205460786819E-2</v>
      </c>
      <c r="AT4" s="7">
        <v>-2.671050280332565E-2</v>
      </c>
      <c r="AU4" s="7">
        <v>-3.0300268903374668E-2</v>
      </c>
      <c r="AV4" s="7">
        <v>-3.2673545181751251E-2</v>
      </c>
      <c r="AW4" s="7">
        <v>-2.7749333530664441E-2</v>
      </c>
      <c r="AX4" s="7">
        <v>-2.650946564972401E-2</v>
      </c>
      <c r="AY4" s="7">
        <v>-3.3140793442726142E-2</v>
      </c>
      <c r="AZ4" s="7">
        <v>-2.7217986062169078E-2</v>
      </c>
      <c r="BA4" s="7">
        <v>-3.095186315476894E-2</v>
      </c>
      <c r="BB4" s="7">
        <v>-3.369150310754776E-2</v>
      </c>
      <c r="BC4" s="7">
        <v>-3.1448625028133392E-2</v>
      </c>
      <c r="BD4" s="7">
        <v>-3.1621113419532783E-2</v>
      </c>
      <c r="BE4" s="7">
        <v>-3.2706748694181442E-2</v>
      </c>
      <c r="BF4" s="7">
        <v>-3.0923545360565189E-2</v>
      </c>
      <c r="BG4" s="7">
        <v>-3.1954869627952583E-2</v>
      </c>
      <c r="BH4" s="7">
        <v>-3.0400251969695091E-2</v>
      </c>
      <c r="BI4" s="7">
        <v>-3.112749382853508E-2</v>
      </c>
      <c r="BJ4" s="7">
        <v>-3.058207780122757E-2</v>
      </c>
      <c r="BK4" s="7">
        <v>-3.2318864017724991E-2</v>
      </c>
      <c r="BL4" s="7">
        <v>-3.1555991619825363E-2</v>
      </c>
      <c r="BM4" s="7">
        <v>-3.1693760305643082E-2</v>
      </c>
      <c r="BN4" s="7">
        <v>-1.228830590844154E-2</v>
      </c>
      <c r="BO4" s="7">
        <v>-2.3035662248730659E-2</v>
      </c>
      <c r="BP4" s="7">
        <v>-3.5096336156129837E-2</v>
      </c>
      <c r="BQ4" s="7">
        <v>-3.0655000358819962E-2</v>
      </c>
      <c r="BR4" s="7">
        <v>-1.1176202446222311E-2</v>
      </c>
      <c r="BS4" s="7">
        <v>-3.3343028277158737E-2</v>
      </c>
      <c r="BT4" s="7">
        <v>-2.6367433369159698E-2</v>
      </c>
      <c r="BU4" s="7">
        <v>-3.650752454996109E-2</v>
      </c>
      <c r="BV4" s="7">
        <v>-3.3560741692781448E-2</v>
      </c>
      <c r="BW4" s="7">
        <v>-2.4210104718804359E-2</v>
      </c>
      <c r="BX4" s="7">
        <v>-3.3166561275720603E-2</v>
      </c>
      <c r="BY4" s="7">
        <v>-3.2165385782718658E-2</v>
      </c>
      <c r="BZ4" s="7">
        <v>-3.5884104669094093E-2</v>
      </c>
      <c r="CA4" s="7">
        <v>-3.2357048243284232E-2</v>
      </c>
      <c r="CB4" s="7">
        <v>-2.4709198623895649E-2</v>
      </c>
      <c r="CC4" s="7">
        <v>-2.8877668082714081E-2</v>
      </c>
      <c r="CD4" s="7">
        <v>-2.6096850633621219E-2</v>
      </c>
      <c r="CE4" s="7">
        <v>-3.1489692628383643E-2</v>
      </c>
      <c r="CF4" s="7">
        <v>-3.0856378376483921E-2</v>
      </c>
      <c r="CG4" s="7">
        <v>-3.0586652457714081E-2</v>
      </c>
      <c r="CH4" s="7">
        <v>-3.1124169006943699E-2</v>
      </c>
      <c r="CI4" s="7">
        <v>-3.0887618660926819E-2</v>
      </c>
      <c r="CJ4" s="7">
        <v>-3.3135820180177689E-2</v>
      </c>
      <c r="CK4" s="7">
        <v>-3.1962625682353973E-2</v>
      </c>
      <c r="CL4" s="7">
        <v>-3.1442400068044662E-2</v>
      </c>
      <c r="CM4" s="7">
        <v>-3.055553138256073E-2</v>
      </c>
      <c r="CN4" s="7">
        <v>-3.1579829752445221E-2</v>
      </c>
      <c r="CO4" s="7">
        <v>-3.0647208914160728E-2</v>
      </c>
      <c r="CP4" s="7">
        <v>-3.0090013518929482E-2</v>
      </c>
      <c r="CQ4" s="7">
        <v>-3.185310959815979E-2</v>
      </c>
      <c r="CR4" s="7">
        <v>-2.9662992805242538E-2</v>
      </c>
      <c r="CS4" s="7">
        <v>-3.0695755034685131E-2</v>
      </c>
      <c r="CT4" s="7">
        <v>-2.3135770112276081E-2</v>
      </c>
      <c r="CU4" s="7">
        <v>-2.7380980551242828E-2</v>
      </c>
      <c r="CV4" s="7">
        <v>-2.8338037431240078E-2</v>
      </c>
      <c r="CW4" s="7">
        <v>-3.2225780189037323E-2</v>
      </c>
      <c r="CX4" s="7">
        <v>-2.798448316752911E-2</v>
      </c>
      <c r="CY4" s="7">
        <v>-2.8027312830090519E-2</v>
      </c>
      <c r="CZ4" s="7">
        <v>-2.5761628523468971E-2</v>
      </c>
      <c r="DA4" s="7">
        <v>-2.8369944542646412E-2</v>
      </c>
      <c r="DB4" s="7">
        <v>-3.3535845577716827E-2</v>
      </c>
      <c r="DC4" s="7">
        <v>-3.1756717711687088E-2</v>
      </c>
      <c r="DD4" s="7">
        <v>-3.1705938279628747E-2</v>
      </c>
      <c r="DE4" s="7">
        <v>-2.9670331627130508E-2</v>
      </c>
      <c r="DF4" s="7">
        <v>-3.0024087056517601E-2</v>
      </c>
      <c r="DG4" s="7">
        <v>-2.7606867253780362E-2</v>
      </c>
      <c r="DH4" s="7">
        <v>-2.9870636761188511E-2</v>
      </c>
      <c r="DI4" s="7">
        <v>-2.9808983206748959E-2</v>
      </c>
      <c r="DJ4" s="7">
        <v>-3.0160911381244659E-2</v>
      </c>
      <c r="DK4" s="7">
        <v>-2.9925931245088581E-2</v>
      </c>
      <c r="DL4" s="7">
        <v>-3.030890412628651E-2</v>
      </c>
      <c r="DM4" s="7">
        <v>-2.8274258598685261E-2</v>
      </c>
      <c r="DN4" s="7">
        <v>-2.7238119393587109E-2</v>
      </c>
      <c r="DO4" s="7">
        <v>-2.8595685958862301E-2</v>
      </c>
      <c r="DP4" s="7">
        <v>-2.6695834472775459E-2</v>
      </c>
      <c r="DQ4" s="7">
        <v>-2.743305079638958E-2</v>
      </c>
      <c r="DR4" s="7">
        <v>-2.8683912009000782E-2</v>
      </c>
      <c r="DS4" s="7">
        <v>-2.8039401397109032E-2</v>
      </c>
      <c r="DT4" s="7">
        <v>-2.8481073677539829E-2</v>
      </c>
      <c r="DU4" s="7">
        <v>-2.813183888792992E-2</v>
      </c>
      <c r="DV4" s="7">
        <v>-2.8057403862476349E-2</v>
      </c>
      <c r="DW4" s="7">
        <v>-2.6179386302828789E-2</v>
      </c>
      <c r="DX4" s="7">
        <v>-2.7582230046391491E-2</v>
      </c>
      <c r="DY4" s="7">
        <v>-2.975153923034668E-2</v>
      </c>
      <c r="DZ4" s="7">
        <v>-2.3914756253361698E-2</v>
      </c>
      <c r="EA4" s="7">
        <v>-2.6012249290943149E-2</v>
      </c>
      <c r="EB4" s="7">
        <v>-2.6596140116453171E-2</v>
      </c>
      <c r="EC4" s="7">
        <v>-2.8463233262300491E-2</v>
      </c>
      <c r="ED4" s="7">
        <v>-2.412146516144276E-2</v>
      </c>
      <c r="EE4" s="7">
        <v>-3.5137765109539032E-2</v>
      </c>
      <c r="EF4" s="7">
        <v>-3.1143950298428539E-2</v>
      </c>
      <c r="EG4" s="1"/>
    </row>
    <row r="5" spans="1:137" x14ac:dyDescent="0.3">
      <c r="B5" s="1" t="s">
        <v>139</v>
      </c>
      <c r="C5" s="7">
        <v>-2.8657505754381418E-3</v>
      </c>
      <c r="D5" s="7">
        <v>-6.933901458978653E-3</v>
      </c>
      <c r="E5" s="7">
        <v>-5.3875916637480259E-3</v>
      </c>
      <c r="F5" s="7">
        <v>-5.0763469189405441E-3</v>
      </c>
      <c r="G5" s="7">
        <v>-7.5573725625872612E-3</v>
      </c>
      <c r="H5" s="7">
        <v>-5.7500093244016171E-3</v>
      </c>
      <c r="I5" s="7">
        <v>-6.860420573502779E-3</v>
      </c>
      <c r="J5" s="7">
        <v>-6.4445543102920064E-3</v>
      </c>
      <c r="K5" s="7">
        <v>-7.2415824979543686E-3</v>
      </c>
      <c r="L5" s="7">
        <v>-7.4818124994635582E-3</v>
      </c>
      <c r="M5" s="7">
        <v>-5.7027274742722511E-3</v>
      </c>
      <c r="N5" s="7">
        <v>1.2163332663476471E-2</v>
      </c>
      <c r="O5" s="7">
        <v>2.1172851324081421E-2</v>
      </c>
      <c r="P5" s="7">
        <v>4.4824411161243924E-3</v>
      </c>
      <c r="Q5" s="7">
        <v>2.7122241444885731E-3</v>
      </c>
      <c r="R5" s="7">
        <v>-4.5487876050174236E-3</v>
      </c>
      <c r="S5" s="7">
        <v>-2.7382762636989359E-3</v>
      </c>
      <c r="T5" s="7">
        <v>5.351752508431673E-3</v>
      </c>
      <c r="U5" s="7">
        <v>-6.6941007971763611E-3</v>
      </c>
      <c r="V5" s="7">
        <v>2.3452155292034149E-3</v>
      </c>
      <c r="W5" s="7">
        <v>8.1899657379835844E-4</v>
      </c>
      <c r="X5" s="7">
        <v>-3.8575774524360899E-3</v>
      </c>
      <c r="Y5" s="7">
        <v>-3.4013460390269761E-3</v>
      </c>
      <c r="Z5" s="7">
        <v>-4.3022790923714638E-3</v>
      </c>
      <c r="AA5" s="7">
        <v>-1.030248124152422E-2</v>
      </c>
      <c r="AB5" s="7">
        <v>-8.5672205314040184E-3</v>
      </c>
      <c r="AC5" s="7">
        <v>-1.6086684539914131E-2</v>
      </c>
      <c r="AD5" s="7">
        <v>-1.15301301702857E-2</v>
      </c>
      <c r="AE5" s="7">
        <v>-9.2503800988197327E-3</v>
      </c>
      <c r="AF5" s="7">
        <v>-5.2100424654781818E-3</v>
      </c>
      <c r="AG5" s="7">
        <v>-6.7270644940435886E-3</v>
      </c>
      <c r="AH5" s="7">
        <v>-4.258275032043457E-3</v>
      </c>
      <c r="AI5" s="7">
        <v>-3.7179598584771161E-3</v>
      </c>
      <c r="AJ5" s="7">
        <v>-3.0319713987410069E-3</v>
      </c>
      <c r="AK5" s="7">
        <v>-4.5918752439320087E-3</v>
      </c>
      <c r="AL5" s="7">
        <v>-5.0076683983206749E-3</v>
      </c>
      <c r="AM5" s="7">
        <v>-8.0656120553612709E-3</v>
      </c>
      <c r="AN5" s="7">
        <v>1.068754005245864E-3</v>
      </c>
      <c r="AO5" s="7">
        <v>-5.9967520646750927E-3</v>
      </c>
      <c r="AP5" s="7">
        <v>-6.1906483024358749E-3</v>
      </c>
      <c r="AQ5" s="7">
        <v>-8.5457827663049102E-4</v>
      </c>
      <c r="AR5" s="7">
        <v>-3.654646454378963E-3</v>
      </c>
      <c r="AS5" s="7">
        <v>-3.079481422901154E-3</v>
      </c>
      <c r="AT5" s="7">
        <v>1.7204530537128448E-2</v>
      </c>
      <c r="AU5" s="7">
        <v>-1.090296637266874E-2</v>
      </c>
      <c r="AV5" s="7">
        <v>1.12829003483057E-2</v>
      </c>
      <c r="AW5" s="7">
        <v>-7.9041169956326485E-3</v>
      </c>
      <c r="AX5" s="7">
        <v>-1.1263063177466391E-2</v>
      </c>
      <c r="AY5" s="7">
        <v>-5.223045009188354E-4</v>
      </c>
      <c r="AZ5" s="7">
        <v>8.5165314376354218E-3</v>
      </c>
      <c r="BA5" s="7">
        <v>-3.0747673008590942E-4</v>
      </c>
      <c r="BB5" s="7">
        <v>-7.2396048344671726E-3</v>
      </c>
      <c r="BC5" s="7">
        <v>1.1019471567124131E-3</v>
      </c>
      <c r="BD5" s="7">
        <v>-1.534412056207657E-2</v>
      </c>
      <c r="BE5" s="7">
        <v>-5.5029336363077164E-3</v>
      </c>
      <c r="BF5" s="7">
        <v>-4.7479346394538879E-3</v>
      </c>
      <c r="BG5" s="7">
        <v>-8.3916401490569115E-3</v>
      </c>
      <c r="BH5" s="7">
        <v>-6.8760309368371964E-3</v>
      </c>
      <c r="BI5" s="7">
        <v>7.6195021392777562E-5</v>
      </c>
      <c r="BJ5" s="7">
        <v>-2.0668169017881159E-3</v>
      </c>
      <c r="BK5" s="7">
        <v>-1.1106086894869799E-2</v>
      </c>
      <c r="BL5" s="7">
        <v>-1.272859238088131E-2</v>
      </c>
      <c r="BM5" s="7">
        <v>-3.9286776445806026E-3</v>
      </c>
      <c r="BN5" s="7">
        <v>-5.9765868354588747E-4</v>
      </c>
      <c r="BO5" s="7">
        <v>-6.0457494109869003E-3</v>
      </c>
      <c r="BP5" s="7">
        <v>-9.4306832179427147E-3</v>
      </c>
      <c r="BQ5" s="7">
        <v>1.5003682347014549E-4</v>
      </c>
      <c r="BR5" s="7">
        <v>4.1660957504063839E-4</v>
      </c>
      <c r="BS5" s="7">
        <v>-8.0116762546822429E-4</v>
      </c>
      <c r="BT5" s="7">
        <v>-3.4547494724392891E-3</v>
      </c>
      <c r="BU5" s="7">
        <v>-6.4658378250896931E-3</v>
      </c>
      <c r="BV5" s="7">
        <v>-8.8213877752423286E-3</v>
      </c>
      <c r="BW5" s="7">
        <v>-4.7403103671967983E-3</v>
      </c>
      <c r="BX5" s="7">
        <v>-2.19075451605022E-3</v>
      </c>
      <c r="BY5" s="7">
        <v>-2.7591979596763849E-3</v>
      </c>
      <c r="BZ5" s="7">
        <v>-2.9730484820902352E-3</v>
      </c>
      <c r="CA5" s="7">
        <v>-1.762694492936134E-2</v>
      </c>
      <c r="CB5" s="7">
        <v>-1.850525289773941E-2</v>
      </c>
      <c r="CC5" s="7">
        <v>-8.988894522190094E-3</v>
      </c>
      <c r="CD5" s="7">
        <v>-6.5797776915132999E-3</v>
      </c>
      <c r="CE5" s="7">
        <v>4.4988635927438736E-3</v>
      </c>
      <c r="CF5" s="7">
        <v>-4.9164481461048126E-3</v>
      </c>
      <c r="CG5" s="7">
        <v>-1.1630631051957609E-3</v>
      </c>
      <c r="CH5" s="7">
        <v>-2.427158178761601E-3</v>
      </c>
      <c r="CI5" s="7">
        <v>-6.2176655046641827E-3</v>
      </c>
      <c r="CJ5" s="7">
        <v>5.3816772997379303E-3</v>
      </c>
      <c r="CK5" s="7">
        <v>-6.7625879310071468E-3</v>
      </c>
      <c r="CL5" s="7">
        <v>-9.2751253396272659E-3</v>
      </c>
      <c r="CM5" s="7">
        <v>3.406228963285685E-3</v>
      </c>
      <c r="CN5" s="7">
        <v>-1.753663993440568E-3</v>
      </c>
      <c r="CO5" s="7">
        <v>2.7562631294131279E-3</v>
      </c>
      <c r="CP5" s="7">
        <v>-4.593927413225174E-3</v>
      </c>
      <c r="CQ5" s="7">
        <v>-4.9152453429996967E-3</v>
      </c>
      <c r="CR5" s="7">
        <v>9.8757504019886255E-4</v>
      </c>
      <c r="CS5" s="7">
        <v>-5.5718780495226383E-3</v>
      </c>
      <c r="CT5" s="7">
        <v>-1.098581124097109E-4</v>
      </c>
      <c r="CU5" s="7">
        <v>-3.9590937085449704E-3</v>
      </c>
      <c r="CV5" s="7">
        <v>1.2909717042930421E-5</v>
      </c>
      <c r="CW5" s="7">
        <v>-3.3259170595556502E-3</v>
      </c>
      <c r="CX5" s="7">
        <v>-1.4884569682180879E-3</v>
      </c>
      <c r="CY5" s="7">
        <v>-2.2024910431355238E-3</v>
      </c>
      <c r="CZ5" s="7">
        <v>3.422534791752696E-5</v>
      </c>
      <c r="DA5" s="7">
        <v>-1.5060747973620889E-3</v>
      </c>
      <c r="DB5" s="7">
        <v>-3.5330171231180429E-3</v>
      </c>
      <c r="DC5" s="7">
        <v>-3.8886347319930792E-3</v>
      </c>
      <c r="DD5" s="7">
        <v>-4.7214343212544918E-3</v>
      </c>
      <c r="DE5" s="7">
        <v>-5.5942605249583721E-3</v>
      </c>
      <c r="DF5" s="7">
        <v>-1.9860882312059399E-2</v>
      </c>
      <c r="DG5" s="7">
        <v>-5.3180065006017676E-3</v>
      </c>
      <c r="DH5" s="7">
        <v>-4.2921891435980797E-3</v>
      </c>
      <c r="DI5" s="7">
        <v>-1.564867049455643E-2</v>
      </c>
      <c r="DJ5" s="7">
        <v>2.2675006184726949E-3</v>
      </c>
      <c r="DK5" s="7">
        <v>-9.0083563700318336E-3</v>
      </c>
      <c r="DL5" s="7">
        <v>-3.8728506769984961E-3</v>
      </c>
      <c r="DM5" s="7">
        <v>-1.39344681520015E-3</v>
      </c>
      <c r="DN5" s="7">
        <v>-3.0848102178424601E-3</v>
      </c>
      <c r="DO5" s="7">
        <v>2.7629600372165442E-3</v>
      </c>
      <c r="DP5" s="7">
        <v>-6.1495178379118443E-3</v>
      </c>
      <c r="DQ5" s="7">
        <v>-4.3366211466491222E-3</v>
      </c>
      <c r="DR5" s="7">
        <v>-7.9563092440366745E-3</v>
      </c>
      <c r="DS5" s="7">
        <v>-3.5810128320008521E-3</v>
      </c>
      <c r="DT5" s="7">
        <v>-2.0724919158965349E-4</v>
      </c>
      <c r="DU5" s="7">
        <v>-5.67637849599123E-3</v>
      </c>
      <c r="DV5" s="7">
        <v>-3.7179621867835522E-3</v>
      </c>
      <c r="DW5" s="7">
        <v>-7.0113302208483219E-3</v>
      </c>
      <c r="DX5" s="7">
        <v>-7.158549502491951E-3</v>
      </c>
      <c r="DY5" s="7">
        <v>-3.3162229228764768E-3</v>
      </c>
      <c r="DZ5" s="7">
        <v>-1.9952012225985531E-3</v>
      </c>
      <c r="EA5" s="7">
        <v>-2.5446689687669282E-3</v>
      </c>
      <c r="EB5" s="7">
        <v>-4.4937850907444954E-3</v>
      </c>
      <c r="EC5" s="7">
        <v>-4.6182842925190934E-3</v>
      </c>
      <c r="ED5" s="7">
        <v>-6.3655590638518333E-3</v>
      </c>
      <c r="EE5" s="7">
        <v>-5.9092026203870773E-3</v>
      </c>
      <c r="EF5" s="7">
        <v>-6.6195656545460224E-3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2</v>
      </c>
      <c r="N6" s="7">
        <f t="array" ref="N6">MATCH(MAX(ABS(N3:N5)), ABS(N3:N5), 0)</f>
        <v>2</v>
      </c>
      <c r="O6" s="7">
        <f t="array" ref="O6">MATCH(MAX(ABS(O3:O5)), ABS(O3:O5), 0)</f>
        <v>1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2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1</v>
      </c>
      <c r="AB6" s="7">
        <f t="array" ref="AB6">MATCH(MAX(ABS(AB3:AB5)), ABS(AB3:AB5), 0)</f>
        <v>2</v>
      </c>
      <c r="AC6" s="7">
        <f t="array" ref="AC6">MATCH(MAX(ABS(AC3:AC5)), ABS(AC3:AC5), 0)</f>
        <v>2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2</v>
      </c>
      <c r="AG6" s="7">
        <f t="array" ref="AG6">MATCH(MAX(ABS(AG3:AG5)), ABS(AG3:AG5), 0)</f>
        <v>1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2</v>
      </c>
      <c r="AU6" s="7">
        <f t="array" ref="AU6">MATCH(MAX(ABS(AU3:AU5)), ABS(AU3:AU5), 0)</f>
        <v>1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2</v>
      </c>
      <c r="AZ6" s="7">
        <f t="array" ref="AZ6">MATCH(MAX(ABS(AZ3:AZ5)), ABS(AZ3:AZ5), 0)</f>
        <v>2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2</v>
      </c>
      <c r="BD6" s="7">
        <f t="array" ref="BD6">MATCH(MAX(ABS(BD3:BD5)), ABS(BD3:BD5), 0)</f>
        <v>2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1</v>
      </c>
      <c r="BI6" s="7">
        <f t="array" ref="BI6">MATCH(MAX(ABS(BI3:BI5)), ABS(BI3:BI5), 0)</f>
        <v>2</v>
      </c>
      <c r="BJ6" s="7">
        <f t="array" ref="BJ6">MATCH(MAX(ABS(BJ3:BJ5)), ABS(BJ3:BJ5), 0)</f>
        <v>2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2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2</v>
      </c>
      <c r="BV6" s="7">
        <f t="array" ref="BV6">MATCH(MAX(ABS(BV3:BV5)), ABS(BV3:BV5), 0)</f>
        <v>2</v>
      </c>
      <c r="BW6" s="7">
        <f t="array" ref="BW6">MATCH(MAX(ABS(BW3:BW5)), ABS(BW3:BW5), 0)</f>
        <v>2</v>
      </c>
      <c r="BX6" s="7">
        <f t="array" ref="BX6">MATCH(MAX(ABS(BX3:BX5)), ABS(BX3:BX5), 0)</f>
        <v>2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1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2</v>
      </c>
      <c r="CK6" s="7">
        <f t="array" ref="CK6">MATCH(MAX(ABS(CK3:CK5)), ABS(CK3:CK5), 0)</f>
        <v>2</v>
      </c>
      <c r="CL6" s="7">
        <f t="array" ref="CL6">MATCH(MAX(ABS(CL3:CL5)), ABS(CL3:CL5), 0)</f>
        <v>2</v>
      </c>
      <c r="CM6" s="7">
        <f t="array" ref="CM6">MATCH(MAX(ABS(CM3:CM5)), ABS(CM3:CM5), 0)</f>
        <v>2</v>
      </c>
      <c r="CN6" s="7">
        <f t="array" ref="CN6">MATCH(MAX(ABS(CN3:CN5)), ABS(CN3:CN5), 0)</f>
        <v>2</v>
      </c>
      <c r="CO6" s="7">
        <f t="array" ref="CO6">MATCH(MAX(ABS(CO3:CO5)), ABS(CO3:CO5), 0)</f>
        <v>2</v>
      </c>
      <c r="CP6" s="7">
        <f t="array" ref="CP6">MATCH(MAX(ABS(CP3:CP5)), ABS(CP3:CP5), 0)</f>
        <v>2</v>
      </c>
      <c r="CQ6" s="7">
        <f t="array" ref="CQ6">MATCH(MAX(ABS(CQ3:CQ5)), ABS(CQ3:CQ5), 0)</f>
        <v>2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2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2</v>
      </c>
      <c r="CX6" s="7">
        <f t="array" ref="CX6">MATCH(MAX(ABS(CX3:CX5)), ABS(CX3:CX5), 0)</f>
        <v>2</v>
      </c>
      <c r="CY6" s="7">
        <f t="array" ref="CY6">MATCH(MAX(ABS(CY3:CY5)), ABS(CY3:CY5), 0)</f>
        <v>2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2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2</v>
      </c>
      <c r="DI6" s="7">
        <f t="array" ref="DI6">MATCH(MAX(ABS(DI3:DI5)), ABS(DI3:DI5), 0)</f>
        <v>2</v>
      </c>
      <c r="DJ6" s="7">
        <f t="array" ref="DJ6">MATCH(MAX(ABS(DJ3:DJ5)), ABS(DJ3:DJ5), 0)</f>
        <v>1</v>
      </c>
      <c r="DK6" s="7">
        <f t="array" ref="DK6">MATCH(MAX(ABS(DK3:DK5)), ABS(DK3:DK5), 0)</f>
        <v>2</v>
      </c>
      <c r="DL6" s="7">
        <f t="array" ref="DL6">MATCH(MAX(ABS(DL3:DL5)), ABS(DL3:DL5), 0)</f>
        <v>2</v>
      </c>
      <c r="DM6" s="7">
        <f t="array" ref="DM6">MATCH(MAX(ABS(DM3:DM5)), ABS(DM3:DM5), 0)</f>
        <v>2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2</v>
      </c>
      <c r="DW6" s="7">
        <f t="array" ref="DW6">MATCH(MAX(ABS(DW3:DW5)), ABS(DW3:DW5), 0)</f>
        <v>2</v>
      </c>
      <c r="DX6" s="7">
        <f t="array" ref="DX6">MATCH(MAX(ABS(DX3:DX5)), ABS(DX3:DX5), 0)</f>
        <v>1</v>
      </c>
      <c r="DY6" s="7">
        <f t="array" ref="DY6">MATCH(MAX(ABS(DY3:DY5)), ABS(DY3:DY5), 0)</f>
        <v>1</v>
      </c>
      <c r="DZ6" s="7">
        <f t="array" ref="DZ6">MATCH(MAX(ABS(DZ3:DZ5)), ABS(DZ3:DZ5), 0)</f>
        <v>2</v>
      </c>
      <c r="EA6" s="7">
        <f t="array" ref="EA6">MATCH(MAX(ABS(EA3:EA5)), ABS(EA3:EA5), 0)</f>
        <v>1</v>
      </c>
      <c r="EB6" s="7">
        <f t="array" ref="EB6">MATCH(MAX(ABS(EB3:EB5)), ABS(EB3:EB5), 0)</f>
        <v>2</v>
      </c>
      <c r="EC6" s="7">
        <f t="array" ref="EC6">MATCH(MAX(ABS(EC3:EC5)), ABS(EC3:EC5), 0)</f>
        <v>1</v>
      </c>
      <c r="ED6" s="7">
        <f t="array" ref="ED6">MATCH(MAX(ABS(ED3:ED5)), ABS(ED3:ED5), 0)</f>
        <v>2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bm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bm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size</v>
      </c>
      <c r="N7" s="7" t="str">
        <f t="shared" si="0"/>
        <v>size</v>
      </c>
      <c r="O7" s="7" t="str">
        <f t="shared" si="0"/>
        <v>bm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size</v>
      </c>
      <c r="V7" s="7" t="str">
        <f t="shared" si="0"/>
        <v>size</v>
      </c>
      <c r="W7" s="7" t="str">
        <f t="shared" si="0"/>
        <v>size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bm</v>
      </c>
      <c r="AB7" s="7" t="str">
        <f t="shared" si="0"/>
        <v>size</v>
      </c>
      <c r="AC7" s="7" t="str">
        <f t="shared" si="0"/>
        <v>size</v>
      </c>
      <c r="AD7" s="7" t="str">
        <f t="shared" si="0"/>
        <v>size</v>
      </c>
      <c r="AE7" s="7" t="str">
        <f t="shared" si="0"/>
        <v>size</v>
      </c>
      <c r="AF7" s="7" t="str">
        <f t="shared" si="0"/>
        <v>size</v>
      </c>
      <c r="AG7" s="7" t="str">
        <f t="shared" si="0"/>
        <v>bm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size</v>
      </c>
      <c r="AU7" s="7" t="str">
        <f t="shared" si="1"/>
        <v>bm</v>
      </c>
      <c r="AV7" s="7" t="str">
        <f t="shared" si="1"/>
        <v>size</v>
      </c>
      <c r="AW7" s="7" t="str">
        <f t="shared" si="1"/>
        <v>bm</v>
      </c>
      <c r="AX7" s="7" t="str">
        <f t="shared" si="1"/>
        <v>bm</v>
      </c>
      <c r="AY7" s="7" t="str">
        <f t="shared" si="1"/>
        <v>size</v>
      </c>
      <c r="AZ7" s="7" t="str">
        <f t="shared" si="1"/>
        <v>size</v>
      </c>
      <c r="BA7" s="7" t="str">
        <f t="shared" si="1"/>
        <v>size</v>
      </c>
      <c r="BB7" s="7" t="str">
        <f t="shared" si="1"/>
        <v>size</v>
      </c>
      <c r="BC7" s="7" t="str">
        <f t="shared" si="1"/>
        <v>size</v>
      </c>
      <c r="BD7" s="7" t="str">
        <f t="shared" si="1"/>
        <v>size</v>
      </c>
      <c r="BE7" s="7" t="str">
        <f t="shared" si="1"/>
        <v>size</v>
      </c>
      <c r="BF7" s="7" t="str">
        <f t="shared" si="1"/>
        <v>size</v>
      </c>
      <c r="BG7" s="7" t="str">
        <f t="shared" si="1"/>
        <v>size</v>
      </c>
      <c r="BH7" s="7" t="str">
        <f t="shared" si="1"/>
        <v>bm</v>
      </c>
      <c r="BI7" s="7" t="str">
        <f t="shared" si="1"/>
        <v>size</v>
      </c>
      <c r="BJ7" s="7" t="str">
        <f t="shared" si="1"/>
        <v>size</v>
      </c>
      <c r="BK7" s="7" t="str">
        <f t="shared" si="1"/>
        <v>size</v>
      </c>
      <c r="BL7" s="7" t="str">
        <f t="shared" si="1"/>
        <v>size</v>
      </c>
      <c r="BM7" s="7" t="str">
        <f t="shared" si="1"/>
        <v>size</v>
      </c>
      <c r="BN7" s="7" t="str">
        <f t="shared" si="1"/>
        <v>size</v>
      </c>
      <c r="BO7" s="7" t="str">
        <f t="shared" ref="BO7:CT7" si="2">IF(BO6=1,"bm",IF(BO6=2,"size",IF(BO6=3,"mom")))</f>
        <v>size</v>
      </c>
      <c r="BP7" s="7" t="str">
        <f t="shared" si="2"/>
        <v>size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size</v>
      </c>
      <c r="BU7" s="7" t="str">
        <f t="shared" si="2"/>
        <v>size</v>
      </c>
      <c r="BV7" s="7" t="str">
        <f t="shared" si="2"/>
        <v>size</v>
      </c>
      <c r="BW7" s="7" t="str">
        <f t="shared" si="2"/>
        <v>size</v>
      </c>
      <c r="BX7" s="7" t="str">
        <f t="shared" si="2"/>
        <v>size</v>
      </c>
      <c r="BY7" s="7" t="str">
        <f t="shared" si="2"/>
        <v>size</v>
      </c>
      <c r="BZ7" s="7" t="str">
        <f t="shared" si="2"/>
        <v>bm</v>
      </c>
      <c r="CA7" s="7" t="str">
        <f t="shared" si="2"/>
        <v>size</v>
      </c>
      <c r="CB7" s="7" t="str">
        <f t="shared" si="2"/>
        <v>size</v>
      </c>
      <c r="CC7" s="7" t="str">
        <f t="shared" si="2"/>
        <v>size</v>
      </c>
      <c r="CD7" s="7" t="str">
        <f t="shared" si="2"/>
        <v>bm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size</v>
      </c>
      <c r="CJ7" s="7" t="str">
        <f t="shared" si="2"/>
        <v>size</v>
      </c>
      <c r="CK7" s="7" t="str">
        <f t="shared" si="2"/>
        <v>size</v>
      </c>
      <c r="CL7" s="7" t="str">
        <f t="shared" si="2"/>
        <v>size</v>
      </c>
      <c r="CM7" s="7" t="str">
        <f t="shared" si="2"/>
        <v>size</v>
      </c>
      <c r="CN7" s="7" t="str">
        <f t="shared" si="2"/>
        <v>size</v>
      </c>
      <c r="CO7" s="7" t="str">
        <f t="shared" si="2"/>
        <v>size</v>
      </c>
      <c r="CP7" s="7" t="str">
        <f t="shared" si="2"/>
        <v>size</v>
      </c>
      <c r="CQ7" s="7" t="str">
        <f t="shared" si="2"/>
        <v>size</v>
      </c>
      <c r="CR7" s="7" t="str">
        <f t="shared" si="2"/>
        <v>size</v>
      </c>
      <c r="CS7" s="7" t="str">
        <f t="shared" si="2"/>
        <v>size</v>
      </c>
      <c r="CT7" s="7" t="str">
        <f t="shared" si="2"/>
        <v>size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size</v>
      </c>
      <c r="CX7" s="7" t="str">
        <f t="shared" si="3"/>
        <v>size</v>
      </c>
      <c r="CY7" s="7" t="str">
        <f t="shared" si="3"/>
        <v>size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size</v>
      </c>
      <c r="DD7" s="7" t="str">
        <f t="shared" si="3"/>
        <v>size</v>
      </c>
      <c r="DE7" s="7" t="str">
        <f t="shared" si="3"/>
        <v>size</v>
      </c>
      <c r="DF7" s="7" t="str">
        <f t="shared" si="3"/>
        <v>bm</v>
      </c>
      <c r="DG7" s="7" t="str">
        <f t="shared" si="3"/>
        <v>bm</v>
      </c>
      <c r="DH7" s="7" t="str">
        <f t="shared" si="3"/>
        <v>size</v>
      </c>
      <c r="DI7" s="7" t="str">
        <f t="shared" si="3"/>
        <v>size</v>
      </c>
      <c r="DJ7" s="7" t="str">
        <f t="shared" si="3"/>
        <v>bm</v>
      </c>
      <c r="DK7" s="7" t="str">
        <f t="shared" si="3"/>
        <v>size</v>
      </c>
      <c r="DL7" s="7" t="str">
        <f t="shared" si="3"/>
        <v>size</v>
      </c>
      <c r="DM7" s="7" t="str">
        <f t="shared" si="3"/>
        <v>size</v>
      </c>
      <c r="DN7" s="7" t="str">
        <f t="shared" si="3"/>
        <v>size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size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size</v>
      </c>
      <c r="DW7" s="7" t="str">
        <f t="shared" si="3"/>
        <v>size</v>
      </c>
      <c r="DX7" s="7" t="str">
        <f t="shared" si="3"/>
        <v>bm</v>
      </c>
      <c r="DY7" s="7" t="str">
        <f t="shared" si="3"/>
        <v>bm</v>
      </c>
      <c r="DZ7" s="7" t="str">
        <f t="shared" si="3"/>
        <v>size</v>
      </c>
      <c r="EA7" s="7" t="str">
        <f t="shared" ref="EA7:FF7" si="4">IF(EA6=1,"bm",IF(EA6=2,"size",IF(EA6=3,"mom")))</f>
        <v>bm</v>
      </c>
      <c r="EB7" s="7" t="str">
        <f t="shared" si="4"/>
        <v>size</v>
      </c>
      <c r="EC7" s="7" t="str">
        <f t="shared" si="4"/>
        <v>bm</v>
      </c>
      <c r="ED7" s="7" t="str">
        <f t="shared" si="4"/>
        <v>size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9.977172315120697E-2</v>
      </c>
      <c r="D8" s="7">
        <f t="shared" si="5"/>
        <v>-4.8145148903131478E-2</v>
      </c>
      <c r="E8" s="7">
        <f t="shared" si="5"/>
        <v>3.8903146982192993E-2</v>
      </c>
      <c r="F8" s="7">
        <f t="shared" si="5"/>
        <v>-3.0923590064048771E-2</v>
      </c>
      <c r="G8" s="7">
        <f t="shared" si="5"/>
        <v>-4.1859965771436691E-2</v>
      </c>
      <c r="H8" s="7">
        <f t="shared" si="5"/>
        <v>-2.755187451839447E-2</v>
      </c>
      <c r="I8" s="7">
        <f t="shared" si="5"/>
        <v>4.3437454849481583E-2</v>
      </c>
      <c r="J8" s="7">
        <f t="shared" si="5"/>
        <v>-3.6191552877426147E-2</v>
      </c>
      <c r="K8" s="7">
        <f t="shared" si="5"/>
        <v>-3.3944845199584961E-2</v>
      </c>
      <c r="L8" s="7">
        <f t="shared" si="5"/>
        <v>-3.7480711936950677E-2</v>
      </c>
      <c r="M8" s="7">
        <f t="shared" si="5"/>
        <v>-3.8226228207349777E-2</v>
      </c>
      <c r="N8" s="7">
        <f t="shared" si="5"/>
        <v>-2.893173880875111E-2</v>
      </c>
      <c r="O8" s="7">
        <f t="shared" si="5"/>
        <v>4.9354821443557739E-2</v>
      </c>
      <c r="P8" s="7">
        <f t="shared" si="5"/>
        <v>-3.8424994796514511E-2</v>
      </c>
      <c r="Q8" s="7">
        <f t="shared" si="5"/>
        <v>-2.4131393060088161E-2</v>
      </c>
      <c r="R8" s="7">
        <f t="shared" si="5"/>
        <v>-3.5332571715116501E-2</v>
      </c>
      <c r="S8" s="7">
        <f t="shared" si="5"/>
        <v>-2.8889749199151989E-2</v>
      </c>
      <c r="T8" s="7">
        <f t="shared" si="5"/>
        <v>-2.8651971369981769E-2</v>
      </c>
      <c r="U8" s="7">
        <f t="shared" si="5"/>
        <v>-3.027976676821709E-2</v>
      </c>
      <c r="V8" s="7">
        <f t="shared" si="5"/>
        <v>-2.7209959924221039E-2</v>
      </c>
      <c r="W8" s="7">
        <f t="shared" si="5"/>
        <v>-2.7900077402591709E-2</v>
      </c>
      <c r="X8" s="7">
        <f t="shared" si="5"/>
        <v>-2.877085097134113E-2</v>
      </c>
      <c r="Y8" s="7">
        <f t="shared" si="5"/>
        <v>-3.2078109681606293E-2</v>
      </c>
      <c r="Z8" s="7">
        <f t="shared" si="5"/>
        <v>-3.0241664499044418E-2</v>
      </c>
      <c r="AA8" s="7">
        <f t="shared" si="5"/>
        <v>3.4736543893814087E-2</v>
      </c>
      <c r="AB8" s="7">
        <f t="shared" si="5"/>
        <v>-2.8631076216697689E-2</v>
      </c>
      <c r="AC8" s="7">
        <f t="shared" si="5"/>
        <v>-2.7421202510595322E-2</v>
      </c>
      <c r="AD8" s="7">
        <f t="shared" si="5"/>
        <v>-2.8836533427238461E-2</v>
      </c>
      <c r="AE8" s="7">
        <f t="shared" si="5"/>
        <v>-3.089639917016029E-2</v>
      </c>
      <c r="AF8" s="7">
        <f t="shared" si="5"/>
        <v>-2.9104374349117279E-2</v>
      </c>
      <c r="AG8" s="7">
        <f t="shared" si="5"/>
        <v>-4.3333325535058982E-2</v>
      </c>
      <c r="AH8" s="7">
        <f t="shared" si="5"/>
        <v>2.168444357812405E-2</v>
      </c>
      <c r="AI8" s="7">
        <f t="shared" ref="AI8:BN8" si="6">IF(AI6=1,AI3,IF(AI6=2,AI4,IF(AI6=3,AI5)))</f>
        <v>4.2865972965955727E-2</v>
      </c>
      <c r="AJ8" s="7">
        <f t="shared" si="6"/>
        <v>4.0528882294893258E-2</v>
      </c>
      <c r="AK8" s="7">
        <f t="shared" si="6"/>
        <v>4.2677275836467743E-2</v>
      </c>
      <c r="AL8" s="7">
        <f t="shared" si="6"/>
        <v>4.2865950614213937E-2</v>
      </c>
      <c r="AM8" s="7">
        <f t="shared" si="6"/>
        <v>4.7705098986625671E-2</v>
      </c>
      <c r="AN8" s="7">
        <f t="shared" si="6"/>
        <v>4.4681474566459663E-2</v>
      </c>
      <c r="AO8" s="7">
        <f t="shared" si="6"/>
        <v>4.9907289445400238E-2</v>
      </c>
      <c r="AP8" s="7">
        <f t="shared" si="6"/>
        <v>4.7438353300094598E-2</v>
      </c>
      <c r="AQ8" s="7">
        <f t="shared" si="6"/>
        <v>3.3652849495410919E-2</v>
      </c>
      <c r="AR8" s="7">
        <f t="shared" si="6"/>
        <v>-2.606182545423508E-2</v>
      </c>
      <c r="AS8" s="7">
        <f t="shared" si="6"/>
        <v>4.0618646889925003E-2</v>
      </c>
      <c r="AT8" s="7">
        <f t="shared" si="6"/>
        <v>-2.671050280332565E-2</v>
      </c>
      <c r="AU8" s="7">
        <f t="shared" si="6"/>
        <v>3.0446793884038929E-2</v>
      </c>
      <c r="AV8" s="7">
        <f t="shared" si="6"/>
        <v>-3.2673545181751251E-2</v>
      </c>
      <c r="AW8" s="7">
        <f t="shared" si="6"/>
        <v>2.9586771503090858E-2</v>
      </c>
      <c r="AX8" s="7">
        <f t="shared" si="6"/>
        <v>3.1509295105934143E-2</v>
      </c>
      <c r="AY8" s="7">
        <f t="shared" si="6"/>
        <v>-3.3140793442726142E-2</v>
      </c>
      <c r="AZ8" s="7">
        <f t="shared" si="6"/>
        <v>-2.7217986062169078E-2</v>
      </c>
      <c r="BA8" s="7">
        <f t="shared" si="6"/>
        <v>-3.095186315476894E-2</v>
      </c>
      <c r="BB8" s="7">
        <f t="shared" si="6"/>
        <v>-3.369150310754776E-2</v>
      </c>
      <c r="BC8" s="7">
        <f t="shared" si="6"/>
        <v>-3.1448625028133392E-2</v>
      </c>
      <c r="BD8" s="7">
        <f t="shared" si="6"/>
        <v>-3.1621113419532783E-2</v>
      </c>
      <c r="BE8" s="7">
        <f t="shared" si="6"/>
        <v>-3.2706748694181442E-2</v>
      </c>
      <c r="BF8" s="7">
        <f t="shared" si="6"/>
        <v>-3.0923545360565189E-2</v>
      </c>
      <c r="BG8" s="7">
        <f t="shared" si="6"/>
        <v>-3.1954869627952583E-2</v>
      </c>
      <c r="BH8" s="7">
        <f t="shared" si="6"/>
        <v>-8.4409467875957489E-2</v>
      </c>
      <c r="BI8" s="7">
        <f t="shared" si="6"/>
        <v>-3.112749382853508E-2</v>
      </c>
      <c r="BJ8" s="7">
        <f t="shared" si="6"/>
        <v>-3.058207780122757E-2</v>
      </c>
      <c r="BK8" s="7">
        <f t="shared" si="6"/>
        <v>-3.2318864017724991E-2</v>
      </c>
      <c r="BL8" s="7">
        <f t="shared" si="6"/>
        <v>-3.1555991619825363E-2</v>
      </c>
      <c r="BM8" s="7">
        <f t="shared" si="6"/>
        <v>-3.1693760305643082E-2</v>
      </c>
      <c r="BN8" s="7">
        <f t="shared" si="6"/>
        <v>-1.228830590844154E-2</v>
      </c>
      <c r="BO8" s="7">
        <f t="shared" ref="BO8:CT8" si="7">IF(BO6=1,BO3,IF(BO6=2,BO4,IF(BO6=3,BO5)))</f>
        <v>-2.3035662248730659E-2</v>
      </c>
      <c r="BP8" s="7">
        <f t="shared" si="7"/>
        <v>-3.5096336156129837E-2</v>
      </c>
      <c r="BQ8" s="7">
        <f t="shared" si="7"/>
        <v>4.7462418675422668E-2</v>
      </c>
      <c r="BR8" s="7">
        <f t="shared" si="7"/>
        <v>3.2633718103170388E-2</v>
      </c>
      <c r="BS8" s="7">
        <f t="shared" si="7"/>
        <v>5.4500699043273933E-2</v>
      </c>
      <c r="BT8" s="7">
        <f t="shared" si="7"/>
        <v>-2.6367433369159698E-2</v>
      </c>
      <c r="BU8" s="7">
        <f t="shared" si="7"/>
        <v>-3.650752454996109E-2</v>
      </c>
      <c r="BV8" s="7">
        <f t="shared" si="7"/>
        <v>-3.3560741692781448E-2</v>
      </c>
      <c r="BW8" s="7">
        <f t="shared" si="7"/>
        <v>-2.4210104718804359E-2</v>
      </c>
      <c r="BX8" s="7">
        <f t="shared" si="7"/>
        <v>-3.3166561275720603E-2</v>
      </c>
      <c r="BY8" s="7">
        <f t="shared" si="7"/>
        <v>-3.2165385782718658E-2</v>
      </c>
      <c r="BZ8" s="7">
        <f t="shared" si="7"/>
        <v>3.6023158580064767E-2</v>
      </c>
      <c r="CA8" s="7">
        <f t="shared" si="7"/>
        <v>-3.2357048243284232E-2</v>
      </c>
      <c r="CB8" s="7">
        <f t="shared" si="7"/>
        <v>-2.4709198623895649E-2</v>
      </c>
      <c r="CC8" s="7">
        <f t="shared" si="7"/>
        <v>-2.8877668082714081E-2</v>
      </c>
      <c r="CD8" s="7">
        <f t="shared" si="7"/>
        <v>3.6446176469326019E-2</v>
      </c>
      <c r="CE8" s="7">
        <f t="shared" si="7"/>
        <v>-3.1489692628383643E-2</v>
      </c>
      <c r="CF8" s="7">
        <f t="shared" si="7"/>
        <v>-3.0856378376483921E-2</v>
      </c>
      <c r="CG8" s="7">
        <f t="shared" si="7"/>
        <v>-3.0586652457714081E-2</v>
      </c>
      <c r="CH8" s="7">
        <f t="shared" si="7"/>
        <v>3.5072214901447303E-2</v>
      </c>
      <c r="CI8" s="7">
        <f t="shared" si="7"/>
        <v>-3.0887618660926819E-2</v>
      </c>
      <c r="CJ8" s="7">
        <f t="shared" si="7"/>
        <v>-3.3135820180177689E-2</v>
      </c>
      <c r="CK8" s="7">
        <f t="shared" si="7"/>
        <v>-3.1962625682353973E-2</v>
      </c>
      <c r="CL8" s="7">
        <f t="shared" si="7"/>
        <v>-3.1442400068044662E-2</v>
      </c>
      <c r="CM8" s="7">
        <f t="shared" si="7"/>
        <v>-3.055553138256073E-2</v>
      </c>
      <c r="CN8" s="7">
        <f t="shared" si="7"/>
        <v>-3.1579829752445221E-2</v>
      </c>
      <c r="CO8" s="7">
        <f t="shared" si="7"/>
        <v>-3.0647208914160728E-2</v>
      </c>
      <c r="CP8" s="7">
        <f t="shared" si="7"/>
        <v>-3.0090013518929482E-2</v>
      </c>
      <c r="CQ8" s="7">
        <f t="shared" si="7"/>
        <v>-3.185310959815979E-2</v>
      </c>
      <c r="CR8" s="7">
        <f t="shared" si="7"/>
        <v>-2.9662992805242538E-2</v>
      </c>
      <c r="CS8" s="7">
        <f t="shared" si="7"/>
        <v>-3.0695755034685131E-2</v>
      </c>
      <c r="CT8" s="7">
        <f t="shared" si="7"/>
        <v>-2.3135770112276081E-2</v>
      </c>
      <c r="CU8" s="7">
        <f t="shared" ref="CU8:DZ8" si="8">IF(CU6=1,CU3,IF(CU6=2,CU4,IF(CU6=3,CU5)))</f>
        <v>3.6009509116411209E-2</v>
      </c>
      <c r="CV8" s="7">
        <f t="shared" si="8"/>
        <v>3.4486167132854462E-2</v>
      </c>
      <c r="CW8" s="7">
        <f t="shared" si="8"/>
        <v>-3.2225780189037323E-2</v>
      </c>
      <c r="CX8" s="7">
        <f t="shared" si="8"/>
        <v>-2.798448316752911E-2</v>
      </c>
      <c r="CY8" s="7">
        <f t="shared" si="8"/>
        <v>-2.8027312830090519E-2</v>
      </c>
      <c r="CZ8" s="7">
        <f t="shared" si="8"/>
        <v>3.111917711794376E-2</v>
      </c>
      <c r="DA8" s="7">
        <f t="shared" si="8"/>
        <v>3.9866019040346153E-2</v>
      </c>
      <c r="DB8" s="7">
        <f t="shared" si="8"/>
        <v>3.7007730454206467E-2</v>
      </c>
      <c r="DC8" s="7">
        <f t="shared" si="8"/>
        <v>-3.1756717711687088E-2</v>
      </c>
      <c r="DD8" s="7">
        <f t="shared" si="8"/>
        <v>-3.1705938279628747E-2</v>
      </c>
      <c r="DE8" s="7">
        <f t="shared" si="8"/>
        <v>-2.9670331627130508E-2</v>
      </c>
      <c r="DF8" s="7">
        <f t="shared" si="8"/>
        <v>4.3441507965326309E-2</v>
      </c>
      <c r="DG8" s="7">
        <f t="shared" si="8"/>
        <v>3.0526775866746899E-2</v>
      </c>
      <c r="DH8" s="7">
        <f t="shared" si="8"/>
        <v>-2.9870636761188511E-2</v>
      </c>
      <c r="DI8" s="7">
        <f t="shared" si="8"/>
        <v>-2.9808983206748959E-2</v>
      </c>
      <c r="DJ8" s="7">
        <f t="shared" si="8"/>
        <v>3.992868959903717E-2</v>
      </c>
      <c r="DK8" s="7">
        <f t="shared" si="8"/>
        <v>-2.9925931245088581E-2</v>
      </c>
      <c r="DL8" s="7">
        <f t="shared" si="8"/>
        <v>-3.030890412628651E-2</v>
      </c>
      <c r="DM8" s="7">
        <f t="shared" si="8"/>
        <v>-2.8274258598685261E-2</v>
      </c>
      <c r="DN8" s="7">
        <f t="shared" si="8"/>
        <v>-2.7238119393587109E-2</v>
      </c>
      <c r="DO8" s="7">
        <f t="shared" si="8"/>
        <v>-2.8595685958862301E-2</v>
      </c>
      <c r="DP8" s="7">
        <f t="shared" si="8"/>
        <v>-2.6695834472775459E-2</v>
      </c>
      <c r="DQ8" s="7">
        <f t="shared" si="8"/>
        <v>-2.743305079638958E-2</v>
      </c>
      <c r="DR8" s="7">
        <f t="shared" si="8"/>
        <v>-2.8683912009000782E-2</v>
      </c>
      <c r="DS8" s="7">
        <f t="shared" si="8"/>
        <v>3.6880720406770713E-2</v>
      </c>
      <c r="DT8" s="7">
        <f t="shared" si="8"/>
        <v>-2.8481073677539829E-2</v>
      </c>
      <c r="DU8" s="7">
        <f t="shared" si="8"/>
        <v>-2.813183888792992E-2</v>
      </c>
      <c r="DV8" s="7">
        <f t="shared" si="8"/>
        <v>-2.8057403862476349E-2</v>
      </c>
      <c r="DW8" s="7">
        <f t="shared" si="8"/>
        <v>-2.6179386302828789E-2</v>
      </c>
      <c r="DX8" s="7">
        <f t="shared" si="8"/>
        <v>2.8465604409575459E-2</v>
      </c>
      <c r="DY8" s="7">
        <f t="shared" si="8"/>
        <v>3.1516790390014648E-2</v>
      </c>
      <c r="DZ8" s="7">
        <f t="shared" si="8"/>
        <v>-2.3914756253361698E-2</v>
      </c>
      <c r="EA8" s="7">
        <f t="shared" ref="EA8:EG8" si="9">IF(EA6=1,EA3,IF(EA6=2,EA4,IF(EA6=3,EA5)))</f>
        <v>3.9311233907937997E-2</v>
      </c>
      <c r="EB8" s="7">
        <f t="shared" si="9"/>
        <v>-2.6596140116453171E-2</v>
      </c>
      <c r="EC8" s="7">
        <f t="shared" si="9"/>
        <v>2.9493488371372219E-2</v>
      </c>
      <c r="ED8" s="7">
        <f t="shared" si="9"/>
        <v>-2.412146516144276E-2</v>
      </c>
      <c r="EE8" s="7">
        <f t="shared" si="9"/>
        <v>-3.5137765109539032E-2</v>
      </c>
      <c r="EF8" s="7">
        <f t="shared" si="9"/>
        <v>3.392517939209938E-2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-8.4653346747999555E-2</v>
      </c>
      <c r="D12" s="7">
        <v>0.11468862904522351</v>
      </c>
      <c r="E12" s="7">
        <v>-6.7540283583579167E-3</v>
      </c>
      <c r="F12" s="7">
        <v>1.342110438955847E-2</v>
      </c>
      <c r="G12" s="7">
        <v>1.172466777602472E-2</v>
      </c>
      <c r="H12" s="7">
        <v>3.8530512249887933E-2</v>
      </c>
      <c r="I12" s="7">
        <v>3.6303936849052011E-2</v>
      </c>
      <c r="J12" s="7">
        <v>-2.9408122838989852E-2</v>
      </c>
      <c r="K12" s="7">
        <v>1.8774380137331209E-2</v>
      </c>
      <c r="L12" s="7">
        <v>-4.1890941049973679E-2</v>
      </c>
      <c r="M12" s="7">
        <v>-3.9647700792304509E-4</v>
      </c>
      <c r="N12" s="7">
        <v>6.9326986778352848E-2</v>
      </c>
      <c r="O12" s="7">
        <v>1.8629888645978979E-2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-7.7398000690130087E-3</v>
      </c>
      <c r="U12" s="7">
        <v>-1.6178598882878859E-2</v>
      </c>
      <c r="V12" s="7">
        <v>6.2044700693444643E-3</v>
      </c>
      <c r="W12" s="7">
        <v>6.4039414985380988E-2</v>
      </c>
      <c r="X12" s="7">
        <v>2.7073890424547119E-2</v>
      </c>
      <c r="Y12" s="7">
        <v>1.544036841356077E-2</v>
      </c>
      <c r="Z12" s="7">
        <v>5.1659076098035236E-3</v>
      </c>
      <c r="AA12" s="7">
        <v>-3.9403661401111782E-2</v>
      </c>
      <c r="AB12" s="7">
        <v>-3.7114184153333798E-3</v>
      </c>
      <c r="AC12" s="7">
        <v>5.1673797604565516E-3</v>
      </c>
      <c r="AD12" s="7">
        <v>9.3922433316797477E-3</v>
      </c>
      <c r="AE12" s="7">
        <v>-5.8316963071098869E-2</v>
      </c>
      <c r="AF12" s="7">
        <v>4.6181508919833553E-2</v>
      </c>
      <c r="AG12" s="7">
        <v>-2.998214493272441E-2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-7.5044280887600658E-3</v>
      </c>
      <c r="AS12" s="7">
        <v>1.9099718454700602E-2</v>
      </c>
      <c r="AT12" s="7">
        <v>-2.2296660501338991E-2</v>
      </c>
      <c r="AU12" s="7">
        <v>2.070865868087543E-2</v>
      </c>
      <c r="AV12" s="7">
        <v>-2.1789895224426498E-2</v>
      </c>
      <c r="AW12" s="7">
        <v>6.2147701801607523E-4</v>
      </c>
      <c r="AX12" s="7">
        <v>4.3598467253422833E-2</v>
      </c>
      <c r="AY12" s="7">
        <v>-7.7141492743432946E-3</v>
      </c>
      <c r="AZ12" s="7">
        <v>6.6563803179291892E-2</v>
      </c>
      <c r="BA12" s="7">
        <v>7.1276156280934935E-2</v>
      </c>
      <c r="BB12" s="7">
        <v>5.7853949142751861E-3</v>
      </c>
      <c r="BC12" s="7">
        <v>3.5752708926036041E-3</v>
      </c>
      <c r="BD12" s="7">
        <v>4.9233621620970898E-2</v>
      </c>
      <c r="BE12" s="7">
        <v>-4.5598544985067067E-2</v>
      </c>
      <c r="BF12" s="7">
        <v>-2.3601059948603061E-2</v>
      </c>
      <c r="BG12" s="7">
        <v>1.000405865395167E-2</v>
      </c>
      <c r="BH12" s="7">
        <v>-1.422336001132196E-2</v>
      </c>
      <c r="BI12" s="7">
        <v>2.083776133591287E-2</v>
      </c>
      <c r="BJ12" s="7">
        <v>4.3422499107672333E-2</v>
      </c>
      <c r="BK12" s="7">
        <v>-2.0075652003278099E-2</v>
      </c>
      <c r="BL12" s="7">
        <v>1.1060368711039379E-2</v>
      </c>
      <c r="BM12" s="7">
        <v>-3.017190853698952E-2</v>
      </c>
      <c r="BN12" s="7">
        <v>-1.9502538210119671E-2</v>
      </c>
      <c r="BO12" s="7">
        <v>1.691376899933085E-2</v>
      </c>
      <c r="BP12" s="7">
        <v>-2.642195733416729E-2</v>
      </c>
      <c r="BQ12" s="7">
        <v>1.3896749618746689E-2</v>
      </c>
      <c r="BR12" s="7">
        <v>-2.2610084533988121E-3</v>
      </c>
      <c r="BS12" s="7">
        <v>1.886329338439598E-2</v>
      </c>
      <c r="BT12" s="7">
        <v>-2.1288097232098721E-2</v>
      </c>
      <c r="BU12" s="7">
        <v>-4.8083369576175698E-2</v>
      </c>
      <c r="BV12" s="7">
        <v>3.2053226170394557E-2</v>
      </c>
      <c r="BW12" s="7">
        <v>5.548755950963561E-2</v>
      </c>
      <c r="BX12" s="7">
        <v>1.5984151640729919E-2</v>
      </c>
      <c r="BY12" s="7">
        <v>-4.5815986232830307E-2</v>
      </c>
      <c r="BZ12" s="7">
        <v>4.5356945691272972E-2</v>
      </c>
      <c r="CA12" s="7">
        <v>1.4580557553402819E-2</v>
      </c>
      <c r="CB12" s="7">
        <v>7.2475876072179299E-2</v>
      </c>
      <c r="CC12" s="7">
        <v>6.5566612627689883E-2</v>
      </c>
      <c r="CD12" s="7">
        <v>0.1109336335844525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-2.434149805161382E-2</v>
      </c>
      <c r="CJ12" s="7">
        <v>3.56848017190925E-3</v>
      </c>
      <c r="CK12" s="7">
        <v>3.4514754837297781E-2</v>
      </c>
      <c r="CL12" s="7">
        <v>3.3134010431475597E-2</v>
      </c>
      <c r="CM12" s="7">
        <v>-7.1708388017212202E-2</v>
      </c>
      <c r="CN12" s="7">
        <v>-2.330754103191908E-2</v>
      </c>
      <c r="CO12" s="7">
        <v>7.129224287359176E-2</v>
      </c>
      <c r="CP12" s="7">
        <v>-1.279615819240372E-2</v>
      </c>
      <c r="CQ12" s="7">
        <v>6.9976746724105296E-2</v>
      </c>
      <c r="CR12" s="7">
        <v>4.814662528730166E-2</v>
      </c>
      <c r="CS12" s="7">
        <v>-1.450965043846953E-2</v>
      </c>
      <c r="CT12" s="7">
        <v>3.2114010608049227E-2</v>
      </c>
      <c r="CU12" s="7">
        <v>3.5623715662195188E-2</v>
      </c>
      <c r="CV12" s="7">
        <v>8.1126263755370142E-3</v>
      </c>
      <c r="CW12" s="7">
        <v>2.975768942836746E-2</v>
      </c>
      <c r="CX12" s="7">
        <v>4.6547458464468637E-2</v>
      </c>
      <c r="CY12" s="7">
        <v>4.6072977665454977E-2</v>
      </c>
      <c r="CZ12" s="7">
        <v>7.7792327339500603E-2</v>
      </c>
      <c r="DA12" s="7">
        <v>5.6037840703605252E-3</v>
      </c>
      <c r="DB12" s="7">
        <v>-2.298187595412704E-2</v>
      </c>
      <c r="DC12" s="7">
        <v>1.1472973291489949E-2</v>
      </c>
      <c r="DD12" s="7">
        <v>-3.9091997331507103E-2</v>
      </c>
      <c r="DE12" s="7">
        <v>-3.7235544827264842E-2</v>
      </c>
      <c r="DF12" s="7">
        <v>-6.834525736040385E-3</v>
      </c>
      <c r="DG12" s="7">
        <v>-9.4770893931691788E-4</v>
      </c>
      <c r="DH12" s="7">
        <v>6.1195154788316941E-2</v>
      </c>
      <c r="DI12" s="7">
        <v>5.9749067779748727E-2</v>
      </c>
      <c r="DJ12" s="7">
        <v>8.0625982547704502E-3</v>
      </c>
      <c r="DK12" s="7">
        <v>-3.1928199332595573E-2</v>
      </c>
      <c r="DL12" s="7">
        <v>3.089111509929313E-3</v>
      </c>
      <c r="DM12" s="7">
        <v>-1.9237693580560919E-2</v>
      </c>
      <c r="DN12" s="7">
        <v>2.1916731594762449E-2</v>
      </c>
      <c r="DO12" s="7">
        <v>3.055694210149083E-2</v>
      </c>
      <c r="DP12" s="7">
        <v>4.5953548014918022E-2</v>
      </c>
      <c r="DQ12" s="7">
        <v>-3.3862120353048523E-2</v>
      </c>
      <c r="DR12" s="7">
        <v>1.7064979450118169E-2</v>
      </c>
      <c r="DS12" s="7">
        <v>-3.5726155451697807E-2</v>
      </c>
      <c r="DT12" s="7">
        <v>2.5117616030836221E-2</v>
      </c>
      <c r="DU12" s="7">
        <v>-5.7230283144308662E-2</v>
      </c>
      <c r="DV12" s="7">
        <v>2.9540060801008398E-2</v>
      </c>
      <c r="DW12" s="7">
        <v>4.4967834212525502E-2</v>
      </c>
      <c r="DX12" s="7">
        <v>-5.0152080542361532E-2</v>
      </c>
      <c r="DY12" s="7">
        <v>1.5357270118494901E-2</v>
      </c>
      <c r="DZ12" s="7">
        <v>6.2271493484882473E-3</v>
      </c>
      <c r="EA12" s="7">
        <v>6.4003941323197033E-2</v>
      </c>
      <c r="EB12" s="7">
        <v>5.7859705603806079E-3</v>
      </c>
      <c r="EC12" s="7">
        <v>2.6651509579665299E-2</v>
      </c>
      <c r="ED12" s="7">
        <v>-6.9574815277242833E-3</v>
      </c>
      <c r="EE12" s="7">
        <v>-2.6506892161147658E-2</v>
      </c>
      <c r="EF12" s="8">
        <v>3.9233348038795662E-2</v>
      </c>
    </row>
    <row r="13" spans="1:137" x14ac:dyDescent="0.3">
      <c r="A13" s="1">
        <v>20</v>
      </c>
      <c r="B13" s="1">
        <v>48</v>
      </c>
      <c r="C13" s="7">
        <v>-0.104112750252762</v>
      </c>
      <c r="D13" s="7">
        <v>0.1237450287927723</v>
      </c>
      <c r="E13" s="7">
        <v>-3.4496619491353048E-2</v>
      </c>
      <c r="F13" s="7">
        <v>-1.14552398753768E-2</v>
      </c>
      <c r="G13" s="7">
        <v>1.574442605445054E-2</v>
      </c>
      <c r="H13" s="7">
        <v>2.9989631725721271E-2</v>
      </c>
      <c r="I13" s="7">
        <v>3.2682862984722338E-2</v>
      </c>
      <c r="J13" s="7">
        <v>-4.3899227077412117E-2</v>
      </c>
      <c r="K13" s="7">
        <v>-1.3673068264474649E-3</v>
      </c>
      <c r="L13" s="7">
        <v>-6.0251612936536372E-3</v>
      </c>
      <c r="M13" s="7">
        <v>2.5687102146235319E-2</v>
      </c>
      <c r="N13" s="7">
        <v>9.9806916956670585E-2</v>
      </c>
      <c r="O13" s="7">
        <v>3.6273275719922483E-2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-2.2104020419172268E-2</v>
      </c>
      <c r="U13" s="7">
        <v>1.5970162331858111E-3</v>
      </c>
      <c r="V13" s="7">
        <v>-2.009432801387449E-2</v>
      </c>
      <c r="W13" s="7">
        <v>7.5476561860150226E-2</v>
      </c>
      <c r="X13" s="7">
        <v>5.327689472594363E-2</v>
      </c>
      <c r="Y13" s="7">
        <v>1.392099255764867E-2</v>
      </c>
      <c r="Z13" s="7">
        <v>2.0583761169128259E-2</v>
      </c>
      <c r="AA13" s="7">
        <v>-3.2119510338471283E-2</v>
      </c>
      <c r="AB13" s="7">
        <v>-1.6036098685220952E-2</v>
      </c>
      <c r="AC13" s="7">
        <v>8.0314397959504041E-3</v>
      </c>
      <c r="AD13" s="7">
        <v>2.1543689785275402E-2</v>
      </c>
      <c r="AE13" s="7">
        <v>-6.5719382027610476E-2</v>
      </c>
      <c r="AF13" s="7">
        <v>5.1935557823136913E-2</v>
      </c>
      <c r="AG13" s="7">
        <v>-3.1681783055002889E-2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9.2507324832761875E-3</v>
      </c>
      <c r="AS13" s="7">
        <v>4.1313118484234093E-2</v>
      </c>
      <c r="AT13" s="7">
        <v>1.6899629408186989E-3</v>
      </c>
      <c r="AU13" s="7">
        <v>4.0976126475978862E-2</v>
      </c>
      <c r="AV13" s="7">
        <v>-1.0958910230300529E-2</v>
      </c>
      <c r="AW13" s="7">
        <v>4.0800135830634E-3</v>
      </c>
      <c r="AX13" s="7">
        <v>6.7153787783110333E-2</v>
      </c>
      <c r="AY13" s="7">
        <v>-2.367260872336744E-2</v>
      </c>
      <c r="AZ13" s="7">
        <v>5.5449775955565078E-2</v>
      </c>
      <c r="BA13" s="7">
        <v>7.9829120343788335E-2</v>
      </c>
      <c r="BB13" s="7">
        <v>2.6046345532896049E-2</v>
      </c>
      <c r="BC13" s="7">
        <v>1.483638533754793E-3</v>
      </c>
      <c r="BD13" s="7">
        <v>4.1676313746669753E-2</v>
      </c>
      <c r="BE13" s="7">
        <v>-4.6048256587478499E-2</v>
      </c>
      <c r="BF13" s="7">
        <v>-2.6302896790217509E-2</v>
      </c>
      <c r="BG13" s="7">
        <v>8.3310656158476996E-3</v>
      </c>
      <c r="BH13" s="7">
        <v>-8.4757298116190372E-3</v>
      </c>
      <c r="BI13" s="7">
        <v>2.5832369880149052E-2</v>
      </c>
      <c r="BJ13" s="7">
        <v>5.1451918959922252E-2</v>
      </c>
      <c r="BK13" s="7">
        <v>-2.5125773363192039E-2</v>
      </c>
      <c r="BL13" s="7">
        <v>1.3619178359615279E-2</v>
      </c>
      <c r="BM13" s="7">
        <v>-2.7203867384610721E-2</v>
      </c>
      <c r="BN13" s="7">
        <v>4.8576030584132172E-3</v>
      </c>
      <c r="BO13" s="7">
        <v>3.406714508268439E-3</v>
      </c>
      <c r="BP13" s="7">
        <v>-7.9511464177745989E-3</v>
      </c>
      <c r="BQ13" s="7">
        <v>4.1653063789425779E-2</v>
      </c>
      <c r="BR13" s="7">
        <v>-6.6814174835574522E-3</v>
      </c>
      <c r="BS13" s="7">
        <v>7.4194718402196772E-3</v>
      </c>
      <c r="BT13" s="7">
        <v>-3.3667769757919193E-2</v>
      </c>
      <c r="BU13" s="7">
        <v>-7.4658168009773873E-2</v>
      </c>
      <c r="BV13" s="7">
        <v>3.1440738435612722E-2</v>
      </c>
      <c r="BW13" s="7">
        <v>8.6230154651292246E-2</v>
      </c>
      <c r="BX13" s="7">
        <v>1.477434776242115E-3</v>
      </c>
      <c r="BY13" s="7">
        <v>-3.0827759664373209E-2</v>
      </c>
      <c r="BZ13" s="7">
        <v>7.6138123059050211E-2</v>
      </c>
      <c r="CA13" s="7">
        <v>2.401267379212468E-2</v>
      </c>
      <c r="CB13" s="7">
        <v>0.1204269717320352</v>
      </c>
      <c r="CC13" s="7">
        <v>0.12011817373823321</v>
      </c>
      <c r="CD13" s="7">
        <v>0.1050858328923274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-7.895534435908208E-3</v>
      </c>
      <c r="CJ13" s="7">
        <v>2.0881327115926159E-2</v>
      </c>
      <c r="CK13" s="7">
        <v>3.1859597035061943E-2</v>
      </c>
      <c r="CL13" s="7">
        <v>4.4000391247388533E-2</v>
      </c>
      <c r="CM13" s="7">
        <v>-0.1014522187140186</v>
      </c>
      <c r="CN13" s="7">
        <v>-3.013102484529066E-2</v>
      </c>
      <c r="CO13" s="7">
        <v>8.556623930807658E-2</v>
      </c>
      <c r="CP13" s="7">
        <v>-3.4377539176010358E-2</v>
      </c>
      <c r="CQ13" s="7">
        <v>6.7112905094145095E-2</v>
      </c>
      <c r="CR13" s="7">
        <v>6.4380648737412241E-2</v>
      </c>
      <c r="CS13" s="7">
        <v>3.947650662960555E-3</v>
      </c>
      <c r="CT13" s="7">
        <v>4.3462267969052268E-2</v>
      </c>
      <c r="CU13" s="7">
        <v>3.7161402282311212E-2</v>
      </c>
      <c r="CV13" s="7">
        <v>-2.9533121732579042E-3</v>
      </c>
      <c r="CW13" s="7">
        <v>1.0456962931318739E-2</v>
      </c>
      <c r="CX13" s="7">
        <v>4.9872955511131058E-3</v>
      </c>
      <c r="CY13" s="7">
        <v>6.2296947005362549E-2</v>
      </c>
      <c r="CZ13" s="7">
        <v>5.7224220353485122E-2</v>
      </c>
      <c r="DA13" s="7">
        <v>-5.583676925821391E-3</v>
      </c>
      <c r="DB13" s="7">
        <v>-4.1761569716784581E-2</v>
      </c>
      <c r="DC13" s="7">
        <v>2.354099866843842E-2</v>
      </c>
      <c r="DD13" s="7">
        <v>-5.1406653602818438E-2</v>
      </c>
      <c r="DE13" s="7">
        <v>-4.2564178931250717E-2</v>
      </c>
      <c r="DF13" s="7">
        <v>-2.8518796793634778E-2</v>
      </c>
      <c r="DG13" s="7">
        <v>-1.6306571728899009E-3</v>
      </c>
      <c r="DH13" s="7">
        <v>8.8720600946307043E-2</v>
      </c>
      <c r="DI13" s="7">
        <v>8.9748563547494165E-2</v>
      </c>
      <c r="DJ13" s="7">
        <v>-3.3317561795107452E-3</v>
      </c>
      <c r="DK13" s="7">
        <v>-1.938663386385895E-2</v>
      </c>
      <c r="DL13" s="7">
        <v>2.7121939431540568E-2</v>
      </c>
      <c r="DM13" s="7">
        <v>5.3162261047299056E-4</v>
      </c>
      <c r="DN13" s="7">
        <v>1.693523490060431E-2</v>
      </c>
      <c r="DO13" s="7">
        <v>3.7863465084792783E-2</v>
      </c>
      <c r="DP13" s="7">
        <v>4.4997150662049193E-2</v>
      </c>
      <c r="DQ13" s="7">
        <v>-3.3966462251962683E-2</v>
      </c>
      <c r="DR13" s="7">
        <v>1.5168550145961031E-2</v>
      </c>
      <c r="DS13" s="7">
        <v>-3.8887627839669842E-2</v>
      </c>
      <c r="DT13" s="7">
        <v>5.0831259890505333E-2</v>
      </c>
      <c r="DU13" s="7">
        <v>-3.3006159442618463E-2</v>
      </c>
      <c r="DV13" s="7">
        <v>4.3254778785589143E-2</v>
      </c>
      <c r="DW13" s="7">
        <v>4.2028685712200517E-2</v>
      </c>
      <c r="DX13" s="7">
        <v>-6.4523379578496173E-2</v>
      </c>
      <c r="DY13" s="7">
        <v>3.5386044653833333E-2</v>
      </c>
      <c r="DZ13" s="7">
        <v>1.8302124146301689E-2</v>
      </c>
      <c r="EA13" s="7">
        <v>7.3242869042682138E-2</v>
      </c>
      <c r="EB13" s="7">
        <v>2.012062189251651E-4</v>
      </c>
      <c r="EC13" s="7">
        <v>4.1659753435228923E-2</v>
      </c>
      <c r="ED13" s="7">
        <v>7.0847200131933449E-3</v>
      </c>
      <c r="EE13" s="7">
        <v>-4.1234383995911589E-2</v>
      </c>
      <c r="EF13" s="8">
        <v>6.6577215363556236E-2</v>
      </c>
    </row>
    <row r="14" spans="1:137" x14ac:dyDescent="0.3">
      <c r="A14" s="1">
        <v>50</v>
      </c>
      <c r="B14" s="1">
        <v>19</v>
      </c>
      <c r="C14" s="7">
        <v>-0.1199414897527061</v>
      </c>
      <c r="D14" s="7">
        <v>0.22230844854062601</v>
      </c>
      <c r="E14" s="7">
        <v>-4.7525943267256017E-2</v>
      </c>
      <c r="F14" s="7">
        <v>3.454246416569963E-2</v>
      </c>
      <c r="G14" s="7">
        <v>8.5148761783734067E-2</v>
      </c>
      <c r="H14" s="7">
        <v>5.9587806435440108E-2</v>
      </c>
      <c r="I14" s="7">
        <v>4.3787359823142302E-2</v>
      </c>
      <c r="J14" s="7">
        <v>-0.1050943867827082</v>
      </c>
      <c r="K14" s="7">
        <v>1.245116151579238E-2</v>
      </c>
      <c r="L14" s="7">
        <v>-8.4804475655485129E-3</v>
      </c>
      <c r="M14" s="7">
        <v>-7.5951542984044773E-2</v>
      </c>
      <c r="N14" s="7">
        <v>0.20483257514122591</v>
      </c>
      <c r="O14" s="7">
        <v>3.7475787013006502E-2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-1.7360731234559681E-2</v>
      </c>
      <c r="U14" s="7">
        <v>3.6579129519701881E-2</v>
      </c>
      <c r="V14" s="7">
        <v>-3.837554626450454E-2</v>
      </c>
      <c r="W14" s="7">
        <v>0.1161657905318967</v>
      </c>
      <c r="X14" s="7">
        <v>5.3581708514183243E-2</v>
      </c>
      <c r="Y14" s="7">
        <v>-1.676266335668946E-2</v>
      </c>
      <c r="Z14" s="7">
        <v>2.1252201103450909E-2</v>
      </c>
      <c r="AA14" s="7">
        <v>-3.9450180302082173E-2</v>
      </c>
      <c r="AB14" s="7">
        <v>-7.4982912772120214E-2</v>
      </c>
      <c r="AC14" s="7">
        <v>-2.929208376556364E-2</v>
      </c>
      <c r="AD14" s="7">
        <v>3.9327892190029898E-2</v>
      </c>
      <c r="AE14" s="7">
        <v>-4.0189068228804886E-3</v>
      </c>
      <c r="AF14" s="7">
        <v>8.4317009176674104E-2</v>
      </c>
      <c r="AG14" s="7">
        <v>-2.0520894646562499E-2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1.817082301888524E-2</v>
      </c>
      <c r="AS14" s="7">
        <v>8.5376985953046783E-2</v>
      </c>
      <c r="AT14" s="7">
        <v>-1.8407426169242399E-2</v>
      </c>
      <c r="AU14" s="7">
        <v>3.999164900330384E-2</v>
      </c>
      <c r="AV14" s="7">
        <v>8.4264533049733317E-3</v>
      </c>
      <c r="AW14" s="7">
        <v>-1.8362931505957501E-2</v>
      </c>
      <c r="AX14" s="7">
        <v>0.13695102829439271</v>
      </c>
      <c r="AY14" s="7">
        <v>-5.8839376297199868E-2</v>
      </c>
      <c r="AZ14" s="7">
        <v>2.5628927509464609E-2</v>
      </c>
      <c r="BA14" s="7">
        <v>9.6337325355973988E-2</v>
      </c>
      <c r="BB14" s="7">
        <v>0.101898340258458</v>
      </c>
      <c r="BC14" s="7">
        <v>1.2074321723151401E-2</v>
      </c>
      <c r="BD14" s="7">
        <v>1.641750981094553E-2</v>
      </c>
      <c r="BE14" s="7">
        <v>-2.411701849660209E-2</v>
      </c>
      <c r="BF14" s="7">
        <v>-5.2428879018831306E-3</v>
      </c>
      <c r="BG14" s="7">
        <v>1.049660790114355E-2</v>
      </c>
      <c r="BH14" s="7">
        <v>-5.3427555686006711E-3</v>
      </c>
      <c r="BI14" s="7">
        <v>3.227013090056749E-2</v>
      </c>
      <c r="BJ14" s="7">
        <v>2.4016933685636149E-2</v>
      </c>
      <c r="BK14" s="7">
        <v>3.323738197833094E-2</v>
      </c>
      <c r="BL14" s="7">
        <v>1.0571834509862E-2</v>
      </c>
      <c r="BM14" s="7">
        <v>-2.137504666205849E-2</v>
      </c>
      <c r="BN14" s="7">
        <v>4.6576644196415717E-2</v>
      </c>
      <c r="BO14" s="7">
        <v>1.4903578973248861E-2</v>
      </c>
      <c r="BP14" s="7">
        <v>5.0332283327745371E-2</v>
      </c>
      <c r="BQ14" s="7">
        <v>1.584352386995078E-2</v>
      </c>
      <c r="BR14" s="7">
        <v>-2.7929429532617921E-2</v>
      </c>
      <c r="BS14" s="7">
        <v>-4.1493955144577897E-2</v>
      </c>
      <c r="BT14" s="7">
        <v>1.5287927903372821E-2</v>
      </c>
      <c r="BU14" s="7">
        <v>-0.1111594543137446</v>
      </c>
      <c r="BV14" s="7">
        <v>4.1282488857898411E-2</v>
      </c>
      <c r="BW14" s="7">
        <v>0.11840804197930491</v>
      </c>
      <c r="BX14" s="7">
        <v>-3.071342246663937E-4</v>
      </c>
      <c r="BY14" s="7">
        <v>-8.0399768583761216E-2</v>
      </c>
      <c r="BZ14" s="7">
        <v>6.0034056828782267E-2</v>
      </c>
      <c r="CA14" s="7">
        <v>3.3455158238155647E-2</v>
      </c>
      <c r="CB14" s="7">
        <v>0.16446550132190679</v>
      </c>
      <c r="CC14" s="7">
        <v>0.1205961585891825</v>
      </c>
      <c r="CD14" s="7">
        <v>9.8016709932197757E-2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-3.829356134685134E-3</v>
      </c>
      <c r="CJ14" s="7">
        <v>2.006682479610775E-2</v>
      </c>
      <c r="CK14" s="7">
        <v>-4.6385956968068159E-4</v>
      </c>
      <c r="CL14" s="7">
        <v>0.1300328670856512</v>
      </c>
      <c r="CM14" s="7">
        <v>-0.11006897297270959</v>
      </c>
      <c r="CN14" s="7">
        <v>-1.9401547393491338E-2</v>
      </c>
      <c r="CO14" s="7">
        <v>0.17324915395395429</v>
      </c>
      <c r="CP14" s="7">
        <v>-0.1054797240573413</v>
      </c>
      <c r="CQ14" s="7">
        <v>7.9536741295441721E-2</v>
      </c>
      <c r="CR14" s="7">
        <v>6.2640655376448015E-2</v>
      </c>
      <c r="CS14" s="7">
        <v>-3.8161133435199359E-3</v>
      </c>
      <c r="CT14" s="7">
        <v>6.1872352391601541E-2</v>
      </c>
      <c r="CU14" s="7">
        <v>-4.3917102697214612E-2</v>
      </c>
      <c r="CV14" s="7">
        <v>2.274571513825533E-2</v>
      </c>
      <c r="CW14" s="7">
        <v>8.2340018803759574E-3</v>
      </c>
      <c r="CX14" s="7">
        <v>2.4244256487495751E-2</v>
      </c>
      <c r="CY14" s="7">
        <v>5.0137743473948983E-2</v>
      </c>
      <c r="CZ14" s="7">
        <v>6.4063563350383365E-2</v>
      </c>
      <c r="DA14" s="7">
        <v>-2.4304289170584491E-2</v>
      </c>
      <c r="DB14" s="7">
        <v>-2.356107318819085E-2</v>
      </c>
      <c r="DC14" s="7">
        <v>1.4753761497027579E-2</v>
      </c>
      <c r="DD14" s="7">
        <v>-5.389996674879375E-2</v>
      </c>
      <c r="DE14" s="7">
        <v>-3.105766707737596E-2</v>
      </c>
      <c r="DF14" s="7">
        <v>-3.5856630557062542E-2</v>
      </c>
      <c r="DG14" s="7">
        <v>1.144655639331721E-2</v>
      </c>
      <c r="DH14" s="7">
        <v>5.8741194166373682E-2</v>
      </c>
      <c r="DI14" s="7">
        <v>8.6646448298485237E-2</v>
      </c>
      <c r="DJ14" s="7">
        <v>1.023724267297355E-3</v>
      </c>
      <c r="DK14" s="7">
        <v>-8.1621549503858692E-2</v>
      </c>
      <c r="DL14" s="7">
        <v>-9.2741823572412251E-3</v>
      </c>
      <c r="DM14" s="7">
        <v>-1.12114973776048E-3</v>
      </c>
      <c r="DN14" s="7">
        <v>3.0298833250316529E-2</v>
      </c>
      <c r="DO14" s="7">
        <v>0.1025921893632338</v>
      </c>
      <c r="DP14" s="7">
        <v>3.6178582717266978E-3</v>
      </c>
      <c r="DQ14" s="7">
        <v>-5.6019285986190409E-2</v>
      </c>
      <c r="DR14" s="7">
        <v>7.7944218090853119E-3</v>
      </c>
      <c r="DS14" s="7">
        <v>-3.5044906270916831E-2</v>
      </c>
      <c r="DT14" s="7">
        <v>0.1176725133317565</v>
      </c>
      <c r="DU14" s="7">
        <v>-6.8795273192164358E-2</v>
      </c>
      <c r="DV14" s="7">
        <v>1.943294388864095E-2</v>
      </c>
      <c r="DW14" s="7">
        <v>1.809309508516085E-3</v>
      </c>
      <c r="DX14" s="7">
        <v>-0.1019315055524211</v>
      </c>
      <c r="DY14" s="7">
        <v>3.7997079946848547E-2</v>
      </c>
      <c r="DZ14" s="7">
        <v>3.5030999863780207E-2</v>
      </c>
      <c r="EA14" s="7">
        <v>7.8105265887936245E-2</v>
      </c>
      <c r="EB14" s="7">
        <v>-2.510952061826455E-2</v>
      </c>
      <c r="EC14" s="7">
        <v>6.0793821481329897E-3</v>
      </c>
      <c r="ED14" s="7">
        <v>-3.3597287801933773E-2</v>
      </c>
      <c r="EE14" s="7">
        <v>3.3992535180725199E-3</v>
      </c>
      <c r="EF14" s="8">
        <v>6.9956420498558061E-2</v>
      </c>
    </row>
    <row r="15" spans="1:137" x14ac:dyDescent="0.3">
      <c r="A15" s="1">
        <v>100</v>
      </c>
      <c r="B15" s="1">
        <v>10</v>
      </c>
      <c r="C15" s="7">
        <v>-0.22764465877785839</v>
      </c>
      <c r="D15" s="7">
        <v>0.37270921560992559</v>
      </c>
      <c r="E15" s="7">
        <v>-1.019842627208351E-2</v>
      </c>
      <c r="F15" s="7">
        <v>9.0303713009756648E-2</v>
      </c>
      <c r="G15" s="7">
        <v>9.6605590550261633E-2</v>
      </c>
      <c r="H15" s="7">
        <v>0.1188437037073593</v>
      </c>
      <c r="I15" s="7">
        <v>5.843144427986554E-2</v>
      </c>
      <c r="J15" s="7">
        <v>-6.4524690109755506E-2</v>
      </c>
      <c r="K15" s="7">
        <v>-4.2103663853407802E-3</v>
      </c>
      <c r="L15" s="7">
        <v>1.296708496104035E-2</v>
      </c>
      <c r="M15" s="7">
        <v>-0.1884920497107565</v>
      </c>
      <c r="N15" s="7">
        <v>0.33030933686480701</v>
      </c>
      <c r="O15" s="7">
        <v>7.375734424631461E-2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-4.9338672660515052E-2</v>
      </c>
      <c r="U15" s="7">
        <v>4.6790243158631693E-2</v>
      </c>
      <c r="V15" s="7">
        <v>-8.5680881878873433E-2</v>
      </c>
      <c r="W15" s="7">
        <v>0.10693455515793331</v>
      </c>
      <c r="X15" s="7">
        <v>7.8436412445587397E-2</v>
      </c>
      <c r="Y15" s="7">
        <v>-2.41886185471549E-2</v>
      </c>
      <c r="Z15" s="7">
        <v>-2.3656418685670762E-2</v>
      </c>
      <c r="AA15" s="7">
        <v>-5.4081147028033669E-2</v>
      </c>
      <c r="AB15" s="7">
        <v>-7.3995951784183639E-2</v>
      </c>
      <c r="AC15" s="7">
        <v>-4.0055129570116199E-2</v>
      </c>
      <c r="AD15" s="7">
        <v>3.9690481127708267E-2</v>
      </c>
      <c r="AE15" s="7">
        <v>4.7286476245703507E-2</v>
      </c>
      <c r="AF15" s="7">
        <v>4.9772024875114299E-2</v>
      </c>
      <c r="AG15" s="7">
        <v>-1.012347826165556E-2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2.4550819698278721E-2</v>
      </c>
      <c r="AS15" s="7">
        <v>5.3821179037114017E-2</v>
      </c>
      <c r="AT15" s="7">
        <v>6.8565182518478159E-3</v>
      </c>
      <c r="AU15" s="7">
        <v>3.9943261089466317E-2</v>
      </c>
      <c r="AV15" s="7">
        <v>3.3225302218378612E-2</v>
      </c>
      <c r="AW15" s="7">
        <v>1.5659939254580951E-2</v>
      </c>
      <c r="AX15" s="7">
        <v>0.12523397717473519</v>
      </c>
      <c r="AY15" s="7">
        <v>-4.3143497850792932E-2</v>
      </c>
      <c r="AZ15" s="7">
        <v>3.6847351752602571E-2</v>
      </c>
      <c r="BA15" s="7">
        <v>0.15768794840833861</v>
      </c>
      <c r="BB15" s="7">
        <v>0.1087890998161227</v>
      </c>
      <c r="BC15" s="7">
        <v>-3.8491219235637253E-2</v>
      </c>
      <c r="BD15" s="7">
        <v>7.3629159627057288E-3</v>
      </c>
      <c r="BE15" s="7">
        <v>-4.6217113983022272E-2</v>
      </c>
      <c r="BF15" s="7">
        <v>-5.6978024220911652E-2</v>
      </c>
      <c r="BG15" s="7">
        <v>1.3776150402420841E-2</v>
      </c>
      <c r="BH15" s="7">
        <v>-3.4441845481689458E-2</v>
      </c>
      <c r="BI15" s="7">
        <v>2.6351023432892799E-2</v>
      </c>
      <c r="BJ15" s="7">
        <v>7.5153898113675566E-2</v>
      </c>
      <c r="BK15" s="7">
        <v>7.2869418882588896E-2</v>
      </c>
      <c r="BL15" s="7">
        <v>7.7901403746215292E-5</v>
      </c>
      <c r="BM15" s="7">
        <v>-6.2598394572544819E-2</v>
      </c>
      <c r="BN15" s="7">
        <v>6.6054035225581897E-2</v>
      </c>
      <c r="BO15" s="7">
        <v>1.6589443526158851E-2</v>
      </c>
      <c r="BP15" s="7">
        <v>5.1616854472064641E-2</v>
      </c>
      <c r="BQ15" s="7">
        <v>1.280293129032776E-2</v>
      </c>
      <c r="BR15" s="7">
        <v>-5.0157429122059692E-2</v>
      </c>
      <c r="BS15" s="7">
        <v>-1.682377745028631E-2</v>
      </c>
      <c r="BT15" s="7">
        <v>-3.6633666195559952E-2</v>
      </c>
      <c r="BU15" s="7">
        <v>-8.5545733721440226E-2</v>
      </c>
      <c r="BV15" s="7">
        <v>8.6180136715920008E-2</v>
      </c>
      <c r="BW15" s="7">
        <v>0.20414583935248479</v>
      </c>
      <c r="BX15" s="7">
        <v>2.3949431437341431E-2</v>
      </c>
      <c r="BY15" s="7">
        <v>-9.333839246383685E-2</v>
      </c>
      <c r="BZ15" s="7">
        <v>0.1029064689773473</v>
      </c>
      <c r="CA15" s="7">
        <v>2.9964009225077439E-2</v>
      </c>
      <c r="CB15" s="7">
        <v>0.13109140278406139</v>
      </c>
      <c r="CC15" s="7">
        <v>0.17365170572211991</v>
      </c>
      <c r="CD15" s="7">
        <v>0.1201520839630844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-6.9336844735236963E-2</v>
      </c>
      <c r="CJ15" s="7">
        <v>7.3826303974063867E-3</v>
      </c>
      <c r="CK15" s="7">
        <v>3.4280211483066668E-2</v>
      </c>
      <c r="CL15" s="7">
        <v>0.21275088750665541</v>
      </c>
      <c r="CM15" s="7">
        <v>-0.1081197557129227</v>
      </c>
      <c r="CN15" s="7">
        <v>2.171349101014915E-4</v>
      </c>
      <c r="CO15" s="7">
        <v>0.17335998923904941</v>
      </c>
      <c r="CP15" s="7">
        <v>-3.4393214794909137E-2</v>
      </c>
      <c r="CQ15" s="7">
        <v>0.13960361925898909</v>
      </c>
      <c r="CR15" s="7">
        <v>2.4374318697755349E-2</v>
      </c>
      <c r="CS15" s="7">
        <v>1.6910986704255612E-2</v>
      </c>
      <c r="CT15" s="7">
        <v>3.2216556445051982E-2</v>
      </c>
      <c r="CU15" s="7">
        <v>-6.3178659914772728E-2</v>
      </c>
      <c r="CV15" s="7">
        <v>-6.1418469048089008E-3</v>
      </c>
      <c r="CW15" s="7">
        <v>-2.7257441545493911E-2</v>
      </c>
      <c r="CX15" s="7">
        <v>1.7868891816779579E-2</v>
      </c>
      <c r="CY15" s="7">
        <v>5.5732710824827947E-2</v>
      </c>
      <c r="CZ15" s="7">
        <v>7.9886947944342257E-2</v>
      </c>
      <c r="DA15" s="7">
        <v>-2.6375835441876511E-2</v>
      </c>
      <c r="DB15" s="7">
        <v>-3.0226618214123681E-2</v>
      </c>
      <c r="DC15" s="7">
        <v>7.6727024332969171E-2</v>
      </c>
      <c r="DD15" s="7">
        <v>-6.7526409067735202E-2</v>
      </c>
      <c r="DE15" s="7">
        <v>-6.5608102400593851E-2</v>
      </c>
      <c r="DF15" s="7">
        <v>-4.2391306399394757E-2</v>
      </c>
      <c r="DG15" s="7">
        <v>1.61967316182412E-2</v>
      </c>
      <c r="DH15" s="7">
        <v>0.1296219356678569</v>
      </c>
      <c r="DI15" s="7">
        <v>4.2811767213113319E-2</v>
      </c>
      <c r="DJ15" s="7">
        <v>-5.1853853094406883E-2</v>
      </c>
      <c r="DK15" s="7">
        <v>-0.1003289268680829</v>
      </c>
      <c r="DL15" s="7">
        <v>7.7378337781703003E-3</v>
      </c>
      <c r="DM15" s="7">
        <v>1.773264737208499E-3</v>
      </c>
      <c r="DN15" s="7">
        <v>-6.7022569228543022E-2</v>
      </c>
      <c r="DO15" s="7">
        <v>0.15954541135927219</v>
      </c>
      <c r="DP15" s="7">
        <v>-4.0330192791233468E-2</v>
      </c>
      <c r="DQ15" s="7">
        <v>-7.2938079904142805E-2</v>
      </c>
      <c r="DR15" s="7">
        <v>-2.2035264994874001E-2</v>
      </c>
      <c r="DS15" s="7">
        <v>-7.6241908411797149E-2</v>
      </c>
      <c r="DT15" s="7">
        <v>3.4296398911167342E-2</v>
      </c>
      <c r="DU15" s="7">
        <v>-0.1171276535106479</v>
      </c>
      <c r="DV15" s="7">
        <v>5.1127000244827102E-2</v>
      </c>
      <c r="DW15" s="7">
        <v>-6.0826326337380818E-2</v>
      </c>
      <c r="DX15" s="7">
        <v>-0.1186162506499864</v>
      </c>
      <c r="DY15" s="7">
        <v>0.10653916660100959</v>
      </c>
      <c r="DZ15" s="7">
        <v>4.0455653304009277E-2</v>
      </c>
      <c r="EA15" s="7">
        <v>2.7338726209839619E-2</v>
      </c>
      <c r="EB15" s="7">
        <v>-5.6126480267324717E-2</v>
      </c>
      <c r="EC15" s="7">
        <v>6.6081856047946447E-2</v>
      </c>
      <c r="ED15" s="7">
        <v>-7.238331929292896E-2</v>
      </c>
      <c r="EE15" s="7">
        <v>-3.1907205015268242E-3</v>
      </c>
      <c r="EF15" s="8">
        <v>6.5700991138842244E-2</v>
      </c>
    </row>
    <row r="16" spans="1:137" x14ac:dyDescent="0.3">
      <c r="A16" s="1">
        <v>107</v>
      </c>
      <c r="B16" s="1">
        <v>9</v>
      </c>
      <c r="C16" s="7">
        <v>-0.20787477708292909</v>
      </c>
      <c r="D16" s="7">
        <v>0.40819497873258059</v>
      </c>
      <c r="E16" s="7">
        <v>-2.8301766100853822E-3</v>
      </c>
      <c r="F16" s="7">
        <v>0.1242597879076992</v>
      </c>
      <c r="G16" s="7">
        <v>0.1090125126967716</v>
      </c>
      <c r="H16" s="7">
        <v>7.2848056287647484E-2</v>
      </c>
      <c r="I16" s="7">
        <v>5.7530618665621432E-2</v>
      </c>
      <c r="J16" s="7">
        <v>-6.869403325322769E-2</v>
      </c>
      <c r="K16" s="7">
        <v>1.79251045182631E-2</v>
      </c>
      <c r="L16" s="7">
        <v>3.1027150965473069E-2</v>
      </c>
      <c r="M16" s="7">
        <v>-0.1948764049423935</v>
      </c>
      <c r="N16" s="7">
        <v>0.36698760912258638</v>
      </c>
      <c r="O16" s="7">
        <v>7.9826860571117084E-2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-2.322678494413952E-2</v>
      </c>
      <c r="U16" s="7">
        <v>4.8651515792801768E-2</v>
      </c>
      <c r="V16" s="7">
        <v>-0.1043161756014417</v>
      </c>
      <c r="W16" s="7">
        <v>7.8373488027637842E-2</v>
      </c>
      <c r="X16" s="7">
        <v>7.3678277657467109E-2</v>
      </c>
      <c r="Y16" s="7">
        <v>-4.2874470917364169E-3</v>
      </c>
      <c r="Z16" s="7">
        <v>-2.0075794878424799E-2</v>
      </c>
      <c r="AA16" s="7">
        <v>-4.3487635835992113E-2</v>
      </c>
      <c r="AB16" s="7">
        <v>-7.1016126417337094E-2</v>
      </c>
      <c r="AC16" s="7">
        <v>-4.1040522709083073E-2</v>
      </c>
      <c r="AD16" s="7">
        <v>3.481117185725148E-2</v>
      </c>
      <c r="AE16" s="7">
        <v>5.1534991881901908E-2</v>
      </c>
      <c r="AF16" s="7">
        <v>1.5008623012342881E-2</v>
      </c>
      <c r="AG16" s="7">
        <v>-1.32907530365354E-2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3.2492759720063692E-2</v>
      </c>
      <c r="AS16" s="7">
        <v>6.5068225473969343E-2</v>
      </c>
      <c r="AT16" s="7">
        <v>3.9394693801166024E-3</v>
      </c>
      <c r="AU16" s="7">
        <v>4.1826838254895117E-2</v>
      </c>
      <c r="AV16" s="7">
        <v>2.360887634805886E-2</v>
      </c>
      <c r="AW16" s="7">
        <v>3.9252930074650652E-2</v>
      </c>
      <c r="AX16" s="7">
        <v>0.10082977324397289</v>
      </c>
      <c r="AY16" s="7">
        <v>-3.4673712182930458E-2</v>
      </c>
      <c r="AZ16" s="7">
        <v>4.6826876003376768E-2</v>
      </c>
      <c r="BA16" s="7">
        <v>0.15999070017462089</v>
      </c>
      <c r="BB16" s="7">
        <v>0.1324747375965718</v>
      </c>
      <c r="BC16" s="7">
        <v>-3.9636816056073387E-2</v>
      </c>
      <c r="BD16" s="7">
        <v>6.2821844248834016E-3</v>
      </c>
      <c r="BE16" s="7">
        <v>-4.4139136640068882E-2</v>
      </c>
      <c r="BF16" s="7">
        <v>-5.4584963205786277E-2</v>
      </c>
      <c r="BG16" s="7">
        <v>1.9331206971702371E-2</v>
      </c>
      <c r="BH16" s="7">
        <v>1.377561448396186E-2</v>
      </c>
      <c r="BI16" s="7">
        <v>2.5620093923557338E-2</v>
      </c>
      <c r="BJ16" s="7">
        <v>8.1428118775973987E-2</v>
      </c>
      <c r="BK16" s="7">
        <v>0.1047732029205687</v>
      </c>
      <c r="BL16" s="7">
        <v>-8.4142573937307022E-3</v>
      </c>
      <c r="BM16" s="7">
        <v>-6.9805825252800505E-2</v>
      </c>
      <c r="BN16" s="7">
        <v>6.7197970404689056E-2</v>
      </c>
      <c r="BO16" s="7">
        <v>1.5960318994735909E-2</v>
      </c>
      <c r="BP16" s="7">
        <v>5.7750060680455823E-2</v>
      </c>
      <c r="BQ16" s="7">
        <v>1.6478016254928601E-2</v>
      </c>
      <c r="BR16" s="7">
        <v>-2.6296848021444389E-2</v>
      </c>
      <c r="BS16" s="7">
        <v>-1.319157314746418E-2</v>
      </c>
      <c r="BT16" s="7">
        <v>-3.8066078212245447E-2</v>
      </c>
      <c r="BU16" s="7">
        <v>-0.1015365742283048</v>
      </c>
      <c r="BV16" s="7">
        <v>9.4510468466925304E-2</v>
      </c>
      <c r="BW16" s="7">
        <v>0.2239449140016582</v>
      </c>
      <c r="BX16" s="7">
        <v>2.4078271829347249E-2</v>
      </c>
      <c r="BY16" s="7">
        <v>-0.1189947080532785</v>
      </c>
      <c r="BZ16" s="7">
        <v>0.11152584850164921</v>
      </c>
      <c r="CA16" s="7">
        <v>2.7432169651693931E-2</v>
      </c>
      <c r="CB16" s="7">
        <v>0.13930873593333401</v>
      </c>
      <c r="CC16" s="7">
        <v>4.4388153170205821E-2</v>
      </c>
      <c r="CD16" s="7">
        <v>0.15507127162636181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-5.8344749844507937E-2</v>
      </c>
      <c r="CJ16" s="7">
        <v>2.7800423322971151E-2</v>
      </c>
      <c r="CK16" s="7">
        <v>7.0731880516684026E-2</v>
      </c>
      <c r="CL16" s="7">
        <v>0.24393815656542189</v>
      </c>
      <c r="CM16" s="7">
        <v>-0.11305583839137461</v>
      </c>
      <c r="CN16" s="7">
        <v>9.609047784022209E-3</v>
      </c>
      <c r="CO16" s="7">
        <v>0.20954751845975189</v>
      </c>
      <c r="CP16" s="7">
        <v>-3.0684438881901852E-2</v>
      </c>
      <c r="CQ16" s="7">
        <v>0.16844978460392601</v>
      </c>
      <c r="CR16" s="7">
        <v>2.5228656512159529E-2</v>
      </c>
      <c r="CS16" s="7">
        <v>2.1807008909622099E-2</v>
      </c>
      <c r="CT16" s="7">
        <v>4.890352583142879E-2</v>
      </c>
      <c r="CU16" s="7">
        <v>-6.343465435897469E-2</v>
      </c>
      <c r="CV16" s="7">
        <v>-1.6751084080720881E-2</v>
      </c>
      <c r="CW16" s="7">
        <v>-3.1673114171682698E-2</v>
      </c>
      <c r="CX16" s="7">
        <v>6.6867776782281244E-3</v>
      </c>
      <c r="CY16" s="7">
        <v>5.8554306171252721E-2</v>
      </c>
      <c r="CZ16" s="7">
        <v>0.1026332591781325</v>
      </c>
      <c r="DA16" s="7">
        <v>-2.9804793967235531E-2</v>
      </c>
      <c r="DB16" s="7">
        <v>-4.2712169780226052E-2</v>
      </c>
      <c r="DC16" s="7">
        <v>6.3740658508044973E-2</v>
      </c>
      <c r="DD16" s="7">
        <v>-7.4371115002597243E-2</v>
      </c>
      <c r="DE16" s="7">
        <v>-5.632591307750956E-2</v>
      </c>
      <c r="DF16" s="7">
        <v>-2.31464332255591E-2</v>
      </c>
      <c r="DG16" s="7">
        <v>1.445294763143863E-2</v>
      </c>
      <c r="DH16" s="7">
        <v>0.13714776041250831</v>
      </c>
      <c r="DI16" s="7">
        <v>4.7829607716987632E-2</v>
      </c>
      <c r="DJ16" s="7">
        <v>-2.914140608062964E-2</v>
      </c>
      <c r="DK16" s="7">
        <v>-9.6254624799197414E-2</v>
      </c>
      <c r="DL16" s="7">
        <v>1.365972087922711E-3</v>
      </c>
      <c r="DM16" s="7">
        <v>3.8134995560551693E-2</v>
      </c>
      <c r="DN16" s="7">
        <v>-5.6707576938316691E-2</v>
      </c>
      <c r="DO16" s="7">
        <v>0.16959094638807429</v>
      </c>
      <c r="DP16" s="7">
        <v>-2.4716583377735541E-2</v>
      </c>
      <c r="DQ16" s="7">
        <v>-6.7560519945635999E-2</v>
      </c>
      <c r="DR16" s="7">
        <v>-1.11781676491013E-2</v>
      </c>
      <c r="DS16" s="7">
        <v>-9.3752064989754288E-2</v>
      </c>
      <c r="DT16" s="7">
        <v>3.2059492153239763E-2</v>
      </c>
      <c r="DU16" s="7">
        <v>-0.1227720465229642</v>
      </c>
      <c r="DV16" s="7">
        <v>4.5148984409387249E-2</v>
      </c>
      <c r="DW16" s="7">
        <v>-7.1302574123356402E-2</v>
      </c>
      <c r="DX16" s="7">
        <v>-0.1252847063239774</v>
      </c>
      <c r="DY16" s="7">
        <v>0.11635433491034319</v>
      </c>
      <c r="DZ16" s="7">
        <v>5.8810748191046001E-2</v>
      </c>
      <c r="EA16" s="7">
        <v>4.6661371555726909E-2</v>
      </c>
      <c r="EB16" s="7">
        <v>-7.0875443779551073E-2</v>
      </c>
      <c r="EC16" s="7">
        <v>6.3532066634569728E-2</v>
      </c>
      <c r="ED16" s="7">
        <v>-8.0284912658833474E-2</v>
      </c>
      <c r="EE16" s="7">
        <v>-4.3966753067597054E-3</v>
      </c>
      <c r="EF16" s="8">
        <v>4.2474401493907223E-2</v>
      </c>
    </row>
    <row r="17" spans="1:136" x14ac:dyDescent="0.3">
      <c r="A17" s="1">
        <v>120</v>
      </c>
      <c r="B17" s="1">
        <v>8</v>
      </c>
      <c r="C17" s="7">
        <v>-0.2060921883792059</v>
      </c>
      <c r="D17" s="7">
        <v>0.43958848862462141</v>
      </c>
      <c r="E17" s="7">
        <v>7.3790014953013412E-3</v>
      </c>
      <c r="F17" s="7">
        <v>0.14677181431251229</v>
      </c>
      <c r="G17" s="7">
        <v>0.1171314801951346</v>
      </c>
      <c r="H17" s="7">
        <v>0.104994053627741</v>
      </c>
      <c r="I17" s="7">
        <v>0.1137250278021875</v>
      </c>
      <c r="J17" s="7">
        <v>-0.11529907324194991</v>
      </c>
      <c r="K17" s="7">
        <v>3.9444991917733881E-2</v>
      </c>
      <c r="L17" s="7">
        <v>3.3775929538638137E-2</v>
      </c>
      <c r="M17" s="7">
        <v>-0.22694063729232281</v>
      </c>
      <c r="N17" s="7">
        <v>0.40510800893946219</v>
      </c>
      <c r="O17" s="7">
        <v>0.1012267692723357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-2.3507588651560989E-2</v>
      </c>
      <c r="U17" s="7">
        <v>5.2290233946816159E-2</v>
      </c>
      <c r="V17" s="7">
        <v>-0.11635630202540009</v>
      </c>
      <c r="W17" s="7">
        <v>7.9141988802017282E-2</v>
      </c>
      <c r="X17" s="7">
        <v>0.1001859670039883</v>
      </c>
      <c r="Y17" s="7">
        <v>1.500501326537191E-3</v>
      </c>
      <c r="Z17" s="7">
        <v>-2.160848979426638E-2</v>
      </c>
      <c r="AA17" s="7">
        <v>-3.5209789582199093E-2</v>
      </c>
      <c r="AB17" s="7">
        <v>-5.8334160690778111E-2</v>
      </c>
      <c r="AC17" s="7">
        <v>-4.0799010987682183E-2</v>
      </c>
      <c r="AD17" s="7">
        <v>6.8619823236846789E-2</v>
      </c>
      <c r="AE17" s="7">
        <v>5.9443499695692369E-2</v>
      </c>
      <c r="AF17" s="7">
        <v>8.4112432483115646E-3</v>
      </c>
      <c r="AG17" s="7">
        <v>-2.2740980787790199E-2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3.4997281035057427E-2</v>
      </c>
      <c r="AS17" s="7">
        <v>5.6323562034475708E-2</v>
      </c>
      <c r="AT17" s="7">
        <v>1.432681966035524E-3</v>
      </c>
      <c r="AU17" s="7">
        <v>5.4555507286687788E-2</v>
      </c>
      <c r="AV17" s="7">
        <v>2.7563054075277468E-2</v>
      </c>
      <c r="AW17" s="7">
        <v>8.4218880418367916E-3</v>
      </c>
      <c r="AX17" s="7">
        <v>9.6240558508798979E-2</v>
      </c>
      <c r="AY17" s="7">
        <v>-4.6811981380419782E-2</v>
      </c>
      <c r="AZ17" s="7">
        <v>4.798043380917294E-2</v>
      </c>
      <c r="BA17" s="7">
        <v>0.1628064098097628</v>
      </c>
      <c r="BB17" s="7">
        <v>0.15327128427838471</v>
      </c>
      <c r="BC17" s="7">
        <v>-5.7764692751961347E-2</v>
      </c>
      <c r="BD17" s="7">
        <v>1.9411871892876801E-2</v>
      </c>
      <c r="BE17" s="7">
        <v>-1.6297388770544239E-2</v>
      </c>
      <c r="BF17" s="7">
        <v>-7.741760405507267E-2</v>
      </c>
      <c r="BG17" s="7">
        <v>-1.3153310785772251E-2</v>
      </c>
      <c r="BH17" s="7">
        <v>-1.351946085175304E-2</v>
      </c>
      <c r="BI17" s="7">
        <v>5.7449623738435422E-2</v>
      </c>
      <c r="BJ17" s="7">
        <v>8.9191477556659224E-2</v>
      </c>
      <c r="BK17" s="7">
        <v>0.11481579199951759</v>
      </c>
      <c r="BL17" s="7">
        <v>7.5736051069474897E-3</v>
      </c>
      <c r="BM17" s="7">
        <v>-7.7967325781843663E-2</v>
      </c>
      <c r="BN17" s="7">
        <v>7.3656767936365913E-2</v>
      </c>
      <c r="BO17" s="7">
        <v>3.135029868338178E-2</v>
      </c>
      <c r="BP17" s="7">
        <v>6.0638146909917152E-2</v>
      </c>
      <c r="BQ17" s="7">
        <v>1.1376510446451601E-2</v>
      </c>
      <c r="BR17" s="7">
        <v>-9.6463751247498966E-3</v>
      </c>
      <c r="BS17" s="7">
        <v>-4.1034691106065987E-3</v>
      </c>
      <c r="BT17" s="7">
        <v>-3.3647573246358371E-2</v>
      </c>
      <c r="BU17" s="7">
        <v>-0.1045242995328607</v>
      </c>
      <c r="BV17" s="7">
        <v>0.1066439176333919</v>
      </c>
      <c r="BW17" s="7">
        <v>0.22723409350896309</v>
      </c>
      <c r="BX17" s="7">
        <v>7.0957898414668631E-3</v>
      </c>
      <c r="BY17" s="7">
        <v>-9.5860871919991084E-2</v>
      </c>
      <c r="BZ17" s="7">
        <v>0.12057815588108529</v>
      </c>
      <c r="CA17" s="7">
        <v>2.7196784377914691E-2</v>
      </c>
      <c r="CB17" s="7">
        <v>0.1496331576928896</v>
      </c>
      <c r="CC17" s="7">
        <v>4.1760252474235628E-2</v>
      </c>
      <c r="CD17" s="7">
        <v>0.17295974121914859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-8.2452914320057163E-2</v>
      </c>
      <c r="CJ17" s="7">
        <v>3.8321941492216682E-2</v>
      </c>
      <c r="CK17" s="7">
        <v>7.5742961806762446E-2</v>
      </c>
      <c r="CL17" s="7">
        <v>0.28717909798135349</v>
      </c>
      <c r="CM17" s="7">
        <v>-9.5493870816553639E-2</v>
      </c>
      <c r="CN17" s="7">
        <v>1.363062371400074E-2</v>
      </c>
      <c r="CO17" s="7">
        <v>0.19808041988978861</v>
      </c>
      <c r="CP17" s="7">
        <v>-2.1609528917710528E-2</v>
      </c>
      <c r="CQ17" s="7">
        <v>0.17312915833239451</v>
      </c>
      <c r="CR17" s="7">
        <v>2.3005829537998311E-2</v>
      </c>
      <c r="CS17" s="7">
        <v>1.1545515717005199E-2</v>
      </c>
      <c r="CT17" s="7">
        <v>5.8653796602614071E-2</v>
      </c>
      <c r="CU17" s="7">
        <v>-7.440830758325391E-2</v>
      </c>
      <c r="CV17" s="7">
        <v>3.8796079399274282E-3</v>
      </c>
      <c r="CW17" s="7">
        <v>-2.3155844814847809E-2</v>
      </c>
      <c r="CX17" s="7">
        <v>2.4992449205521659E-2</v>
      </c>
      <c r="CY17" s="7">
        <v>5.9497951859822741E-2</v>
      </c>
      <c r="CZ17" s="7">
        <v>0.1242488378476205</v>
      </c>
      <c r="DA17" s="7">
        <v>-4.3895859145134192E-2</v>
      </c>
      <c r="DB17" s="7">
        <v>-3.4883010792467917E-2</v>
      </c>
      <c r="DC17" s="7">
        <v>5.3888321948882503E-2</v>
      </c>
      <c r="DD17" s="7">
        <v>-4.8130589338511678E-2</v>
      </c>
      <c r="DE17" s="7">
        <v>-5.1666263067068223E-2</v>
      </c>
      <c r="DF17" s="7">
        <v>-1.123137032665928E-2</v>
      </c>
      <c r="DG17" s="7">
        <v>-1.8392819289084069E-3</v>
      </c>
      <c r="DH17" s="7">
        <v>0.163431801211989</v>
      </c>
      <c r="DI17" s="7">
        <v>7.0182390070728226E-2</v>
      </c>
      <c r="DJ17" s="7">
        <v>-4.5336157540819967E-2</v>
      </c>
      <c r="DK17" s="7">
        <v>-0.1027812687483064</v>
      </c>
      <c r="DL17" s="7">
        <v>-5.7903457454932094E-3</v>
      </c>
      <c r="DM17" s="7">
        <v>4.2563608711752209E-2</v>
      </c>
      <c r="DN17" s="7">
        <v>-6.0629182792548447E-2</v>
      </c>
      <c r="DO17" s="7">
        <v>0.17976292609872879</v>
      </c>
      <c r="DP17" s="7">
        <v>-2.509743000805471E-2</v>
      </c>
      <c r="DQ17" s="7">
        <v>-6.5244348133762259E-2</v>
      </c>
      <c r="DR17" s="7">
        <v>-2.572643946627351E-2</v>
      </c>
      <c r="DS17" s="7">
        <v>-0.12431615980481089</v>
      </c>
      <c r="DT17" s="7">
        <v>1.674318991919271E-2</v>
      </c>
      <c r="DU17" s="7">
        <v>-0.12949295631998961</v>
      </c>
      <c r="DV17" s="7">
        <v>6.2269791498047573E-2</v>
      </c>
      <c r="DW17" s="7">
        <v>-7.659891303599646E-2</v>
      </c>
      <c r="DX17" s="7">
        <v>-0.12953898259647401</v>
      </c>
      <c r="DY17" s="7">
        <v>0.11213845480607409</v>
      </c>
      <c r="DZ17" s="7">
        <v>4.9212629169808252E-2</v>
      </c>
      <c r="EA17" s="7">
        <v>1.181792386571255E-2</v>
      </c>
      <c r="EB17" s="7">
        <v>-7.3780969717652869E-2</v>
      </c>
      <c r="EC17" s="7">
        <v>1.6425217216060651E-2</v>
      </c>
      <c r="ED17" s="7">
        <v>-8.285562240348486E-2</v>
      </c>
      <c r="EE17" s="7">
        <v>1.9352114607941879E-4</v>
      </c>
      <c r="EF17" s="8">
        <v>4.7709767009851849E-2</v>
      </c>
    </row>
    <row r="18" spans="1:136" x14ac:dyDescent="0.3">
      <c r="A18" s="1">
        <v>137</v>
      </c>
      <c r="B18" s="1">
        <v>7</v>
      </c>
      <c r="C18" s="7">
        <v>-0.18975112249235829</v>
      </c>
      <c r="D18" s="7">
        <v>0.40188368142206798</v>
      </c>
      <c r="E18" s="7">
        <v>-5.900065709820778E-2</v>
      </c>
      <c r="F18" s="7">
        <v>0.21209065115804249</v>
      </c>
      <c r="G18" s="7">
        <v>0.13305805731961079</v>
      </c>
      <c r="H18" s="7">
        <v>0.12853956177457129</v>
      </c>
      <c r="I18" s="7">
        <v>0.13550018022324109</v>
      </c>
      <c r="J18" s="7">
        <v>-0.12516179308854181</v>
      </c>
      <c r="K18" s="7">
        <v>3.1586450310913693E-2</v>
      </c>
      <c r="L18" s="7">
        <v>4.6672720340673143E-2</v>
      </c>
      <c r="M18" s="7">
        <v>-0.25351319401266048</v>
      </c>
      <c r="N18" s="7">
        <v>0.46182001807061318</v>
      </c>
      <c r="O18" s="7">
        <v>0.10367048962961919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-5.0281401732647129E-3</v>
      </c>
      <c r="U18" s="7">
        <v>2.813552763259065E-2</v>
      </c>
      <c r="V18" s="7">
        <v>-0.13125392693944099</v>
      </c>
      <c r="W18" s="7">
        <v>7.7296280059738612E-2</v>
      </c>
      <c r="X18" s="7">
        <v>0.1271228086254903</v>
      </c>
      <c r="Y18" s="7">
        <v>2.421380772058089E-2</v>
      </c>
      <c r="Z18" s="7">
        <v>-1.690571618738388E-2</v>
      </c>
      <c r="AA18" s="7">
        <v>-4.1705245182724067E-2</v>
      </c>
      <c r="AB18" s="7">
        <v>-6.1713850673723439E-2</v>
      </c>
      <c r="AC18" s="7">
        <v>-7.4719823379266678E-2</v>
      </c>
      <c r="AD18" s="7">
        <v>9.6285845185419314E-2</v>
      </c>
      <c r="AE18" s="7">
        <v>7.7201591618879711E-2</v>
      </c>
      <c r="AF18" s="7">
        <v>-1.751491948521124E-3</v>
      </c>
      <c r="AG18" s="7">
        <v>-3.2493116097876071E-2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6.1694523600781571E-2</v>
      </c>
      <c r="AS18" s="7">
        <v>8.5826551553969135E-2</v>
      </c>
      <c r="AT18" s="7">
        <v>2.9654325566963909E-2</v>
      </c>
      <c r="AU18" s="7">
        <v>6.4575644079591543E-2</v>
      </c>
      <c r="AV18" s="7">
        <v>3.5057687575876399E-2</v>
      </c>
      <c r="AW18" s="7">
        <v>2.4538034241107461E-2</v>
      </c>
      <c r="AX18" s="7">
        <v>0.10756086825583611</v>
      </c>
      <c r="AY18" s="7">
        <v>-4.2777607907858922E-2</v>
      </c>
      <c r="AZ18" s="7">
        <v>6.6341275737421684E-2</v>
      </c>
      <c r="BA18" s="7">
        <v>0.18047976466954649</v>
      </c>
      <c r="BB18" s="7">
        <v>0.16725801848079261</v>
      </c>
      <c r="BC18" s="7">
        <v>-5.2453266817424363E-2</v>
      </c>
      <c r="BD18" s="7">
        <v>2.0275139657027021E-2</v>
      </c>
      <c r="BE18" s="7">
        <v>-2.2230541258883942E-2</v>
      </c>
      <c r="BF18" s="7">
        <v>-3.8143151088164323E-2</v>
      </c>
      <c r="BG18" s="7">
        <v>-2.308236889505343E-3</v>
      </c>
      <c r="BH18" s="7">
        <v>-2.0503853063805449E-2</v>
      </c>
      <c r="BI18" s="7">
        <v>3.3487579603792193E-2</v>
      </c>
      <c r="BJ18" s="7">
        <v>9.9531519273147392E-2</v>
      </c>
      <c r="BK18" s="7">
        <v>7.3455626824005624E-2</v>
      </c>
      <c r="BL18" s="7">
        <v>2.6352779482868838E-2</v>
      </c>
      <c r="BM18" s="7">
        <v>-6.9782332729482255E-2</v>
      </c>
      <c r="BN18" s="7">
        <v>7.8208699482375382E-2</v>
      </c>
      <c r="BO18" s="7">
        <v>8.4067312683740805E-3</v>
      </c>
      <c r="BP18" s="7">
        <v>6.2463432036451667E-2</v>
      </c>
      <c r="BQ18" s="7">
        <v>1.916784109848992E-3</v>
      </c>
      <c r="BR18" s="7">
        <v>-5.7481935839547244E-3</v>
      </c>
      <c r="BS18" s="7">
        <v>-3.9836250971192512E-3</v>
      </c>
      <c r="BT18" s="7">
        <v>-1.329915077767777E-2</v>
      </c>
      <c r="BU18" s="7">
        <v>-0.1114615455291026</v>
      </c>
      <c r="BV18" s="7">
        <v>0.11550551871264431</v>
      </c>
      <c r="BW18" s="7">
        <v>0.26103993029855499</v>
      </c>
      <c r="BX18" s="7">
        <v>-1.5811923945792471E-2</v>
      </c>
      <c r="BY18" s="7">
        <v>-6.2686744450084916E-2</v>
      </c>
      <c r="BZ18" s="7">
        <v>0.15331998780259809</v>
      </c>
      <c r="CA18" s="7">
        <v>3.3286164900529089E-2</v>
      </c>
      <c r="CB18" s="7">
        <v>0.1068460604700732</v>
      </c>
      <c r="CC18" s="7">
        <v>0.1046606238416451</v>
      </c>
      <c r="CD18" s="7">
        <v>0.19371681864683071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-0.11772540993228391</v>
      </c>
      <c r="CJ18" s="7">
        <v>2.8685006674503851E-2</v>
      </c>
      <c r="CK18" s="7">
        <v>7.3220034109326315E-2</v>
      </c>
      <c r="CL18" s="7">
        <v>0.31710861291846171</v>
      </c>
      <c r="CM18" s="7">
        <v>-0.1027696116279509</v>
      </c>
      <c r="CN18" s="7">
        <v>-2.8617589764474479E-2</v>
      </c>
      <c r="CO18" s="7">
        <v>0.22828208587546131</v>
      </c>
      <c r="CP18" s="7">
        <v>-1.549767197030737E-2</v>
      </c>
      <c r="CQ18" s="7">
        <v>0.20974120742265881</v>
      </c>
      <c r="CR18" s="7">
        <v>3.3743302271192592E-2</v>
      </c>
      <c r="CS18" s="7">
        <v>2.8128560414088639E-2</v>
      </c>
      <c r="CT18" s="7">
        <v>7.6870226772222966E-2</v>
      </c>
      <c r="CU18" s="7">
        <v>-7.1648691205109999E-2</v>
      </c>
      <c r="CV18" s="7">
        <v>9.1040282230288663E-2</v>
      </c>
      <c r="CW18" s="7">
        <v>-2.8328256584809738E-2</v>
      </c>
      <c r="CX18" s="7">
        <v>-1.40787475802823E-2</v>
      </c>
      <c r="CY18" s="7">
        <v>7.1432458912374111E-2</v>
      </c>
      <c r="CZ18" s="7">
        <v>0.13284286330177139</v>
      </c>
      <c r="DA18" s="7">
        <v>-4.7380939518693557E-2</v>
      </c>
      <c r="DB18" s="7">
        <v>-4.5735208678759381E-2</v>
      </c>
      <c r="DC18" s="7">
        <v>4.9208867424112533E-2</v>
      </c>
      <c r="DD18" s="7">
        <v>-7.1071299907563223E-2</v>
      </c>
      <c r="DE18" s="7">
        <v>-3.9307075046500328E-2</v>
      </c>
      <c r="DF18" s="7">
        <v>-3.5042778782370262E-2</v>
      </c>
      <c r="DG18" s="7">
        <v>-7.619473157627699E-3</v>
      </c>
      <c r="DH18" s="7">
        <v>0.19240138195914119</v>
      </c>
      <c r="DI18" s="7">
        <v>9.7963127478955317E-2</v>
      </c>
      <c r="DJ18" s="7">
        <v>-4.5204039785289522E-2</v>
      </c>
      <c r="DK18" s="7">
        <v>-0.1065272620024338</v>
      </c>
      <c r="DL18" s="7">
        <v>-2.3410528135820521E-2</v>
      </c>
      <c r="DM18" s="7">
        <v>5.8457164290175813E-2</v>
      </c>
      <c r="DN18" s="7">
        <v>-5.6875260341834342E-2</v>
      </c>
      <c r="DO18" s="7">
        <v>0.22032021179129849</v>
      </c>
      <c r="DP18" s="7">
        <v>-2.151033475949439E-2</v>
      </c>
      <c r="DQ18" s="7">
        <v>-6.1955528967367397E-2</v>
      </c>
      <c r="DR18" s="7">
        <v>-1.045124881951652E-2</v>
      </c>
      <c r="DS18" s="7">
        <v>-0.1477219984517327</v>
      </c>
      <c r="DT18" s="7">
        <v>-7.4073899594950176E-3</v>
      </c>
      <c r="DU18" s="7">
        <v>-0.15871482271667761</v>
      </c>
      <c r="DV18" s="7">
        <v>8.5403284315402297E-2</v>
      </c>
      <c r="DW18" s="7">
        <v>-6.8636949952117263E-2</v>
      </c>
      <c r="DX18" s="7">
        <v>-0.1536029774624818</v>
      </c>
      <c r="DY18" s="7">
        <v>9.7428036975949608E-2</v>
      </c>
      <c r="DZ18" s="7">
        <v>5.4630374156582083E-2</v>
      </c>
      <c r="EA18" s="7">
        <v>-6.3615627439817801E-3</v>
      </c>
      <c r="EB18" s="7">
        <v>-9.7042689542278932E-2</v>
      </c>
      <c r="EC18" s="7">
        <v>2.764115425371385E-3</v>
      </c>
      <c r="ED18" s="7">
        <v>-8.0269196127523076E-2</v>
      </c>
      <c r="EE18" s="7">
        <v>-1.111287672357628E-3</v>
      </c>
      <c r="EF18" s="8">
        <v>4.8955017110416547E-2</v>
      </c>
    </row>
    <row r="19" spans="1:136" x14ac:dyDescent="0.3">
      <c r="A19" s="1">
        <v>160</v>
      </c>
      <c r="B19" s="1">
        <v>6</v>
      </c>
      <c r="C19" s="7">
        <v>-0.19660026531165431</v>
      </c>
      <c r="D19" s="7">
        <v>0.40752071008946927</v>
      </c>
      <c r="E19" s="7">
        <v>-5.4898093767412171E-2</v>
      </c>
      <c r="F19" s="7">
        <v>0.2361704653757343</v>
      </c>
      <c r="G19" s="7">
        <v>0.15286434188697251</v>
      </c>
      <c r="H19" s="7">
        <v>0.17761031882265199</v>
      </c>
      <c r="I19" s="7">
        <v>0.1346543328914665</v>
      </c>
      <c r="J19" s="7">
        <v>-0.15623035308620389</v>
      </c>
      <c r="K19" s="7">
        <v>5.6540969561565207E-2</v>
      </c>
      <c r="L19" s="7">
        <v>3.036283305602917E-2</v>
      </c>
      <c r="M19" s="7">
        <v>-0.26154184231498678</v>
      </c>
      <c r="N19" s="7">
        <v>0.53237403768824121</v>
      </c>
      <c r="O19" s="7">
        <v>9.2221383019457218E-2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-0.1095258615359218</v>
      </c>
      <c r="U19" s="7">
        <v>4.4186857998324967E-2</v>
      </c>
      <c r="V19" s="7">
        <v>-0.11868445851892109</v>
      </c>
      <c r="W19" s="7">
        <v>7.2415569319498968E-2</v>
      </c>
      <c r="X19" s="7">
        <v>0.122923146245717</v>
      </c>
      <c r="Y19" s="7">
        <v>2.406430534505774E-2</v>
      </c>
      <c r="Z19" s="7">
        <v>-2.2223239298902381E-2</v>
      </c>
      <c r="AA19" s="7">
        <v>-4.1570184538155738E-2</v>
      </c>
      <c r="AB19" s="7">
        <v>-6.0762351466553767E-2</v>
      </c>
      <c r="AC19" s="7">
        <v>-8.3512866892878637E-2</v>
      </c>
      <c r="AD19" s="7">
        <v>9.5993377798068158E-2</v>
      </c>
      <c r="AE19" s="7">
        <v>0.11523186996306679</v>
      </c>
      <c r="AF19" s="7">
        <v>2.6256871835687168E-4</v>
      </c>
      <c r="AG19" s="7">
        <v>-2.2136219072547821E-2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7.4616897634658869E-2</v>
      </c>
      <c r="AS19" s="7">
        <v>9.7796955268314459E-2</v>
      </c>
      <c r="AT19" s="7">
        <v>1.1184592955723931E-2</v>
      </c>
      <c r="AU19" s="7">
        <v>7.6428715713654158E-2</v>
      </c>
      <c r="AV19" s="7">
        <v>4.2677295724337212E-2</v>
      </c>
      <c r="AW19" s="7">
        <v>2.2356168154136491E-2</v>
      </c>
      <c r="AX19" s="7">
        <v>8.0206414310412866E-2</v>
      </c>
      <c r="AY19" s="7">
        <v>-6.0853235361370848E-2</v>
      </c>
      <c r="AZ19" s="7">
        <v>8.4032472273639608E-2</v>
      </c>
      <c r="BA19" s="7">
        <v>0.18699677755478061</v>
      </c>
      <c r="BB19" s="7">
        <v>0.2018019106632078</v>
      </c>
      <c r="BC19" s="7">
        <v>-6.1071730733066418E-2</v>
      </c>
      <c r="BD19" s="7">
        <v>-7.3706967887407146E-5</v>
      </c>
      <c r="BE19" s="7">
        <v>-3.0390671068303308E-2</v>
      </c>
      <c r="BF19" s="7">
        <v>-4.9436517218842242E-2</v>
      </c>
      <c r="BG19" s="7">
        <v>9.6322010834132277E-4</v>
      </c>
      <c r="BH19" s="7">
        <v>-2.0182017014309939E-3</v>
      </c>
      <c r="BI19" s="7">
        <v>2.593679500645265E-2</v>
      </c>
      <c r="BJ19" s="7">
        <v>5.1819308428669691E-2</v>
      </c>
      <c r="BK19" s="7">
        <v>9.7038422945385686E-2</v>
      </c>
      <c r="BL19" s="7">
        <v>2.599646479062228E-2</v>
      </c>
      <c r="BM19" s="7">
        <v>-8.8156796711781754E-2</v>
      </c>
      <c r="BN19" s="7">
        <v>8.141326020016787E-2</v>
      </c>
      <c r="BO19" s="7">
        <v>-1.8562314440354079E-2</v>
      </c>
      <c r="BP19" s="7">
        <v>1.2410341277600779E-2</v>
      </c>
      <c r="BQ19" s="7">
        <v>9.9340444543230683E-3</v>
      </c>
      <c r="BR19" s="7">
        <v>6.6752460235200081E-3</v>
      </c>
      <c r="BS19" s="7">
        <v>-2.4256338744482069E-2</v>
      </c>
      <c r="BT19" s="7">
        <v>1.3193669203137359E-2</v>
      </c>
      <c r="BU19" s="7">
        <v>-0.13067063489138789</v>
      </c>
      <c r="BV19" s="7">
        <v>0.1000852655816153</v>
      </c>
      <c r="BW19" s="7">
        <v>0.29597629583303142</v>
      </c>
      <c r="BX19" s="7">
        <v>-3.6398889558793571E-2</v>
      </c>
      <c r="BY19" s="7">
        <v>-2.7675492411660479E-2</v>
      </c>
      <c r="BZ19" s="7">
        <v>6.8702124822053873E-2</v>
      </c>
      <c r="CA19" s="7">
        <v>3.5609795289398637E-2</v>
      </c>
      <c r="CB19" s="7">
        <v>0.12783820910089719</v>
      </c>
      <c r="CC19" s="7">
        <v>2.2506232898517449E-2</v>
      </c>
      <c r="CD19" s="7">
        <v>0.21561919809371791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-0.16520241227091251</v>
      </c>
      <c r="CJ19" s="7">
        <v>-1.0381871187999281E-3</v>
      </c>
      <c r="CK19" s="7">
        <v>7.4585988672142209E-2</v>
      </c>
      <c r="CL19" s="7">
        <v>0.31115170360423011</v>
      </c>
      <c r="CM19" s="7">
        <v>-0.1102358787373677</v>
      </c>
      <c r="CN19" s="7">
        <v>-1.5943690546336861E-2</v>
      </c>
      <c r="CO19" s="7">
        <v>0.25123563122031478</v>
      </c>
      <c r="CP19" s="7">
        <v>-2.9036521650026521E-2</v>
      </c>
      <c r="CQ19" s="7">
        <v>0.22201357134194111</v>
      </c>
      <c r="CR19" s="7">
        <v>2.4299202463726639E-2</v>
      </c>
      <c r="CS19" s="7">
        <v>4.3774986978304217E-2</v>
      </c>
      <c r="CT19" s="7">
        <v>2.6421201288258939E-2</v>
      </c>
      <c r="CU19" s="7">
        <v>-8.3436397113892974E-2</v>
      </c>
      <c r="CV19" s="7">
        <v>0.10197986151640361</v>
      </c>
      <c r="CW19" s="7">
        <v>-3.2192133387815562E-2</v>
      </c>
      <c r="CX19" s="7">
        <v>1.127594617394229E-3</v>
      </c>
      <c r="CY19" s="7">
        <v>7.3151337307962833E-2</v>
      </c>
      <c r="CZ19" s="7">
        <v>0.11285182864146399</v>
      </c>
      <c r="DA19" s="7">
        <v>-5.8223876703236761E-2</v>
      </c>
      <c r="DB19" s="7">
        <v>-3.572089902521567E-2</v>
      </c>
      <c r="DC19" s="7">
        <v>3.0276457178153349E-2</v>
      </c>
      <c r="DD19" s="7">
        <v>-6.3547464152502509E-2</v>
      </c>
      <c r="DE19" s="7">
        <v>-6.00571024957057E-3</v>
      </c>
      <c r="DF19" s="7">
        <v>-6.969304689302265E-2</v>
      </c>
      <c r="DG19" s="7">
        <v>-1.27464749106491E-2</v>
      </c>
      <c r="DH19" s="7">
        <v>0.22458978071948801</v>
      </c>
      <c r="DI19" s="7">
        <v>0.1084614388347602</v>
      </c>
      <c r="DJ19" s="7">
        <v>-4.8514350722976607E-2</v>
      </c>
      <c r="DK19" s="7">
        <v>-0.1214423095104508</v>
      </c>
      <c r="DL19" s="7">
        <v>-2.331354503458705E-2</v>
      </c>
      <c r="DM19" s="7">
        <v>5.7300431238330417E-2</v>
      </c>
      <c r="DN19" s="7">
        <v>-6.4294394334918112E-2</v>
      </c>
      <c r="DO19" s="7">
        <v>0.2492619517097443</v>
      </c>
      <c r="DP19" s="7">
        <v>-4.0024609312920081E-3</v>
      </c>
      <c r="DQ19" s="7">
        <v>-5.0623171449732877E-2</v>
      </c>
      <c r="DR19" s="7">
        <v>-1.7544799275808199E-2</v>
      </c>
      <c r="DS19" s="7">
        <v>-0.1779955469539703</v>
      </c>
      <c r="DT19" s="7">
        <v>-3.0761271922289252E-3</v>
      </c>
      <c r="DU19" s="7">
        <v>-0.15058192195631251</v>
      </c>
      <c r="DV19" s="7">
        <v>3.8124131080943979E-2</v>
      </c>
      <c r="DW19" s="7">
        <v>-0.1012959689486648</v>
      </c>
      <c r="DX19" s="7">
        <v>-0.1383651342381777</v>
      </c>
      <c r="DY19" s="7">
        <v>7.0109577687923127E-2</v>
      </c>
      <c r="DZ19" s="7">
        <v>7.8537947622533175E-2</v>
      </c>
      <c r="EA19" s="7">
        <v>-2.807935347566733E-2</v>
      </c>
      <c r="EB19" s="7">
        <v>-0.1062458580254447</v>
      </c>
      <c r="EC19" s="7">
        <v>-1.2190043223702179E-2</v>
      </c>
      <c r="ED19" s="7">
        <v>-8.6159550798174361E-2</v>
      </c>
      <c r="EE19" s="7">
        <v>7.3065266771277096E-3</v>
      </c>
      <c r="EF19" s="8">
        <v>1.697795487476916E-2</v>
      </c>
    </row>
    <row r="20" spans="1:136" x14ac:dyDescent="0.3">
      <c r="A20" s="1">
        <v>192</v>
      </c>
      <c r="B20" s="1">
        <v>5</v>
      </c>
      <c r="C20" s="7">
        <v>-0.2015510478639157</v>
      </c>
      <c r="D20" s="7">
        <v>0.38202502004734989</v>
      </c>
      <c r="E20" s="7">
        <v>1.5499988144333969E-2</v>
      </c>
      <c r="F20" s="7">
        <v>0.18241961869314111</v>
      </c>
      <c r="G20" s="7">
        <v>0.15802736357208361</v>
      </c>
      <c r="H20" s="7">
        <v>0.14393228225567539</v>
      </c>
      <c r="I20" s="7">
        <v>0.15814956260110169</v>
      </c>
      <c r="J20" s="7">
        <v>-0.13320729307702719</v>
      </c>
      <c r="K20" s="7">
        <v>3.7404684852111583E-2</v>
      </c>
      <c r="L20" s="7">
        <v>3.069548300109538E-2</v>
      </c>
      <c r="M20" s="7">
        <v>-0.26869382513797629</v>
      </c>
      <c r="N20" s="7">
        <v>0.5000114780094741</v>
      </c>
      <c r="O20" s="7">
        <v>9.9101484144473756E-2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-0.1008455330434727</v>
      </c>
      <c r="U20" s="7">
        <v>3.2237658419507161E-2</v>
      </c>
      <c r="V20" s="7">
        <v>-0.13628806336757671</v>
      </c>
      <c r="W20" s="7">
        <v>9.1084869432544818E-2</v>
      </c>
      <c r="X20" s="7">
        <v>0.15004231162753859</v>
      </c>
      <c r="Y20" s="7">
        <v>-4.8557578603156213E-3</v>
      </c>
      <c r="Z20" s="7">
        <v>2.9157350054346439E-2</v>
      </c>
      <c r="AA20" s="7">
        <v>-2.159455338729711E-2</v>
      </c>
      <c r="AB20" s="7">
        <v>-6.0423624288029942E-2</v>
      </c>
      <c r="AC20" s="7">
        <v>-9.6309042825298966E-2</v>
      </c>
      <c r="AD20" s="7">
        <v>0.12984341871366439</v>
      </c>
      <c r="AE20" s="7">
        <v>1.7311149627037389E-2</v>
      </c>
      <c r="AF20" s="7">
        <v>-6.4692814832951473E-3</v>
      </c>
      <c r="AG20" s="7">
        <v>-2.7659218539892259E-2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1.328927308983413E-2</v>
      </c>
      <c r="AS20" s="7">
        <v>0.112095809682817</v>
      </c>
      <c r="AT20" s="7">
        <v>-2.8495391157897132E-3</v>
      </c>
      <c r="AU20" s="7">
        <v>7.5692386895125863E-2</v>
      </c>
      <c r="AV20" s="7">
        <v>7.1473185653933402E-2</v>
      </c>
      <c r="AW20" s="7">
        <v>6.8652681791509596E-3</v>
      </c>
      <c r="AX20" s="7">
        <v>0.11073254799870159</v>
      </c>
      <c r="AY20" s="7">
        <v>-6.2285593803070888E-2</v>
      </c>
      <c r="AZ20" s="7">
        <v>9.9804303272323425E-2</v>
      </c>
      <c r="BA20" s="7">
        <v>0.15133772550591279</v>
      </c>
      <c r="BB20" s="7">
        <v>0.2312136261880767</v>
      </c>
      <c r="BC20" s="7">
        <v>-6.988523269789601E-2</v>
      </c>
      <c r="BD20" s="7">
        <v>8.3601733665197644E-3</v>
      </c>
      <c r="BE20" s="7">
        <v>-3.8466832445436583E-2</v>
      </c>
      <c r="BF20" s="7">
        <v>-5.5216900174269133E-2</v>
      </c>
      <c r="BG20" s="7">
        <v>-5.172719331813868E-2</v>
      </c>
      <c r="BH20" s="7">
        <v>7.1606447114111002E-2</v>
      </c>
      <c r="BI20" s="7">
        <v>2.3171586640369529E-2</v>
      </c>
      <c r="BJ20" s="7">
        <v>5.5155920618856692E-2</v>
      </c>
      <c r="BK20" s="7">
        <v>0.11765037240502189</v>
      </c>
      <c r="BL20" s="7">
        <v>1.9783341504224079E-2</v>
      </c>
      <c r="BM20" s="7">
        <v>-5.45559103284224E-2</v>
      </c>
      <c r="BN20" s="7">
        <v>-1.8638027253166291E-2</v>
      </c>
      <c r="BO20" s="7">
        <v>-7.6105449457829488E-3</v>
      </c>
      <c r="BP20" s="7">
        <v>-7.2822475063245764E-3</v>
      </c>
      <c r="BQ20" s="7">
        <v>1.5451706960843021E-2</v>
      </c>
      <c r="BR20" s="7">
        <v>1.207363173047259E-2</v>
      </c>
      <c r="BS20" s="7">
        <v>5.4075061911911179E-3</v>
      </c>
      <c r="BT20" s="7">
        <v>5.2467623281905747E-2</v>
      </c>
      <c r="BU20" s="7">
        <v>-0.14944100404532221</v>
      </c>
      <c r="BV20" s="7">
        <v>0.13370992447700669</v>
      </c>
      <c r="BW20" s="7">
        <v>0.3420426788792848</v>
      </c>
      <c r="BX20" s="7">
        <v>-5.2861421730525368E-2</v>
      </c>
      <c r="BY20" s="7">
        <v>-4.3183482687236242E-2</v>
      </c>
      <c r="BZ20" s="7">
        <v>9.02714042602836E-2</v>
      </c>
      <c r="CA20" s="7">
        <v>5.0216826091073863E-2</v>
      </c>
      <c r="CB20" s="7">
        <v>0.1264950457700191</v>
      </c>
      <c r="CC20" s="7">
        <v>1.291514747808061E-2</v>
      </c>
      <c r="CD20" s="7">
        <v>0.1810274974905971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-0.13148573441164721</v>
      </c>
      <c r="CJ20" s="7">
        <v>-1.232383789920124E-2</v>
      </c>
      <c r="CK20" s="7">
        <v>6.2276751541654671E-2</v>
      </c>
      <c r="CL20" s="7">
        <v>0.29793491036415792</v>
      </c>
      <c r="CM20" s="7">
        <v>-9.6775805849237839E-2</v>
      </c>
      <c r="CN20" s="7">
        <v>-1.934797759137534E-2</v>
      </c>
      <c r="CO20" s="7">
        <v>0.29657330510502922</v>
      </c>
      <c r="CP20" s="7">
        <v>7.4243418589798518E-3</v>
      </c>
      <c r="CQ20" s="7">
        <v>8.2519806375350474E-2</v>
      </c>
      <c r="CR20" s="7">
        <v>2.5362552774013961E-2</v>
      </c>
      <c r="CS20" s="7">
        <v>2.2293038159359669E-2</v>
      </c>
      <c r="CT20" s="7">
        <v>2.841440739658805E-2</v>
      </c>
      <c r="CU20" s="7">
        <v>-9.4867658266512403E-2</v>
      </c>
      <c r="CV20" s="7">
        <v>9.2511075695426118E-2</v>
      </c>
      <c r="CW20" s="7">
        <v>-2.5816402571476719E-2</v>
      </c>
      <c r="CX20" s="7">
        <v>9.3861437533022188E-3</v>
      </c>
      <c r="CY20" s="7">
        <v>0.108732838402072</v>
      </c>
      <c r="CZ20" s="7">
        <v>0.15516164514919831</v>
      </c>
      <c r="DA20" s="7">
        <v>-4.7471893155177573E-2</v>
      </c>
      <c r="DB20" s="7">
        <v>-5.6902709757134122E-2</v>
      </c>
      <c r="DC20" s="7">
        <v>2.890116070260346E-2</v>
      </c>
      <c r="DD20" s="7">
        <v>-6.8163012313784327E-2</v>
      </c>
      <c r="DE20" s="7">
        <v>-3.0466569126282001E-2</v>
      </c>
      <c r="DF20" s="7">
        <v>8.591215324206241E-4</v>
      </c>
      <c r="DG20" s="7">
        <v>-4.2022106203706937E-3</v>
      </c>
      <c r="DH20" s="7">
        <v>0.27829885316894232</v>
      </c>
      <c r="DI20" s="7">
        <v>0.1375957593126734</v>
      </c>
      <c r="DJ20" s="7">
        <v>-3.9459946268887811E-2</v>
      </c>
      <c r="DK20" s="7">
        <v>-8.5187540020503633E-2</v>
      </c>
      <c r="DL20" s="7">
        <v>1.0186968683304249E-2</v>
      </c>
      <c r="DM20" s="7">
        <v>6.9336106675116957E-2</v>
      </c>
      <c r="DN20" s="7">
        <v>-6.4461202418456584E-2</v>
      </c>
      <c r="DO20" s="7">
        <v>0.25800136345901148</v>
      </c>
      <c r="DP20" s="7">
        <v>-2.167126176510448E-2</v>
      </c>
      <c r="DQ20" s="7">
        <v>-3.8540311084368499E-2</v>
      </c>
      <c r="DR20" s="7">
        <v>-5.5557992226731322E-2</v>
      </c>
      <c r="DS20" s="7">
        <v>-0.20608109757835469</v>
      </c>
      <c r="DT20" s="7">
        <v>4.8293441839824189E-3</v>
      </c>
      <c r="DU20" s="7">
        <v>-0.17637516893039651</v>
      </c>
      <c r="DV20" s="7">
        <v>-3.019289637960447E-2</v>
      </c>
      <c r="DW20" s="7">
        <v>-0.1035461681398053</v>
      </c>
      <c r="DX20" s="7">
        <v>-0.15386632960631469</v>
      </c>
      <c r="DY20" s="7">
        <v>5.3618609351648763E-2</v>
      </c>
      <c r="DZ20" s="7">
        <v>9.0199646158974578E-2</v>
      </c>
      <c r="EA20" s="7">
        <v>1.4917025427623789E-2</v>
      </c>
      <c r="EB20" s="7">
        <v>-0.10631226685028709</v>
      </c>
      <c r="EC20" s="7">
        <v>3.4049581413941779E-2</v>
      </c>
      <c r="ED20" s="7">
        <v>-7.4625657997327538E-2</v>
      </c>
      <c r="EE20" s="7">
        <v>1.7409797518545299E-3</v>
      </c>
      <c r="EF20" s="8">
        <v>2.0281416615907238E-2</v>
      </c>
    </row>
    <row r="21" spans="1:136" x14ac:dyDescent="0.3">
      <c r="A21" s="1">
        <v>241</v>
      </c>
      <c r="B21" s="1">
        <v>4</v>
      </c>
      <c r="C21" s="7">
        <v>-0.21462957980695321</v>
      </c>
      <c r="D21" s="7">
        <v>0.12638791676682359</v>
      </c>
      <c r="E21" s="7">
        <v>-2.7935227079184388E-4</v>
      </c>
      <c r="F21" s="7">
        <v>0.20341349755932739</v>
      </c>
      <c r="G21" s="7">
        <v>0.14533185880700039</v>
      </c>
      <c r="H21" s="7">
        <v>0.1621640877938379</v>
      </c>
      <c r="I21" s="7">
        <v>0.14725560812747299</v>
      </c>
      <c r="J21" s="7">
        <v>-0.13674291533985661</v>
      </c>
      <c r="K21" s="7">
        <v>1.4702959601359119E-3</v>
      </c>
      <c r="L21" s="7">
        <v>-5.0291533060606367E-3</v>
      </c>
      <c r="M21" s="7">
        <v>-0.19988497469051561</v>
      </c>
      <c r="N21" s="7">
        <v>0.58489126462072527</v>
      </c>
      <c r="O21" s="7">
        <v>0.1297824585303535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-0.13112036093842719</v>
      </c>
      <c r="U21" s="7">
        <v>-9.8246407343969278E-3</v>
      </c>
      <c r="V21" s="7">
        <v>-0.13175048865250241</v>
      </c>
      <c r="W21" s="7">
        <v>0.124498618828508</v>
      </c>
      <c r="X21" s="7">
        <v>0.20780126735333779</v>
      </c>
      <c r="Y21" s="7">
        <v>-1.014366037320256E-2</v>
      </c>
      <c r="Z21" s="7">
        <v>3.9457715679957053E-2</v>
      </c>
      <c r="AA21" s="7">
        <v>1.9491043540093941E-2</v>
      </c>
      <c r="AB21" s="7">
        <v>-6.5287595030865841E-2</v>
      </c>
      <c r="AC21" s="7">
        <v>-0.15954227246420169</v>
      </c>
      <c r="AD21" s="7">
        <v>0.1288246656475579</v>
      </c>
      <c r="AE21" s="7">
        <v>1.031161069406002E-2</v>
      </c>
      <c r="AF21" s="7">
        <v>-3.3566825383980557E-2</v>
      </c>
      <c r="AG21" s="7">
        <v>-4.4302777789794079E-2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-4.798814140331014E-2</v>
      </c>
      <c r="AS21" s="7">
        <v>6.4455868646629361E-2</v>
      </c>
      <c r="AT21" s="7">
        <v>-6.3444048411961634E-2</v>
      </c>
      <c r="AU21" s="7">
        <v>4.7809631508957028E-2</v>
      </c>
      <c r="AV21" s="7">
        <v>5.0897567971442279E-2</v>
      </c>
      <c r="AW21" s="7">
        <v>9.7910299540974015E-3</v>
      </c>
      <c r="AX21" s="7">
        <v>0.1431476874697567</v>
      </c>
      <c r="AY21" s="7">
        <v>-0.1188761948249938</v>
      </c>
      <c r="AZ21" s="7">
        <v>0.1085023584146062</v>
      </c>
      <c r="BA21" s="7">
        <v>0.1395926821613267</v>
      </c>
      <c r="BB21" s="7">
        <v>0.29451263697732177</v>
      </c>
      <c r="BC21" s="7">
        <v>-8.0046888129638158E-2</v>
      </c>
      <c r="BD21" s="7">
        <v>3.8219147267913818E-2</v>
      </c>
      <c r="BE21" s="7">
        <v>-4.0588332503811789E-2</v>
      </c>
      <c r="BF21" s="7">
        <v>-6.2289949375188239E-2</v>
      </c>
      <c r="BG21" s="7">
        <v>-7.8525059461954635E-2</v>
      </c>
      <c r="BH21" s="7">
        <v>7.6321363138755302E-2</v>
      </c>
      <c r="BI21" s="7">
        <v>4.6273768631689999E-2</v>
      </c>
      <c r="BJ21" s="7">
        <v>2.239406236410954E-2</v>
      </c>
      <c r="BK21" s="7">
        <v>7.2723114748713999E-2</v>
      </c>
      <c r="BL21" s="7">
        <v>3.752798508045226E-3</v>
      </c>
      <c r="BM21" s="7">
        <v>-9.4970354993302086E-2</v>
      </c>
      <c r="BN21" s="7">
        <v>-2.5790766448446922E-2</v>
      </c>
      <c r="BO21" s="7">
        <v>1.50041027098864E-2</v>
      </c>
      <c r="BP21" s="7">
        <v>4.1808023315929119E-3</v>
      </c>
      <c r="BQ21" s="7">
        <v>5.4542230834504879E-2</v>
      </c>
      <c r="BR21" s="7">
        <v>1.232386218386442E-2</v>
      </c>
      <c r="BS21" s="7">
        <v>5.8601727551761719E-3</v>
      </c>
      <c r="BT21" s="7">
        <v>6.0820742542524793E-2</v>
      </c>
      <c r="BU21" s="7">
        <v>-0.1707385105504178</v>
      </c>
      <c r="BV21" s="7">
        <v>1.9240488152239291E-2</v>
      </c>
      <c r="BW21" s="7">
        <v>0.4021309158390593</v>
      </c>
      <c r="BX21" s="7">
        <v>-7.7165002520596909E-2</v>
      </c>
      <c r="BY21" s="7">
        <v>-1.491637891683696E-2</v>
      </c>
      <c r="BZ21" s="7">
        <v>4.7662928720715619E-2</v>
      </c>
      <c r="CA21" s="7">
        <v>9.5059433847559396E-2</v>
      </c>
      <c r="CB21" s="7">
        <v>0.2078698479015878</v>
      </c>
      <c r="CC21" s="7">
        <v>-8.0189542709663136E-3</v>
      </c>
      <c r="CD21" s="7">
        <v>0.28805606436247322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-0.123293346411547</v>
      </c>
      <c r="CJ21" s="7">
        <v>-1.1956466840917611E-2</v>
      </c>
      <c r="CK21" s="7">
        <v>8.5636303161818576E-3</v>
      </c>
      <c r="CL21" s="7">
        <v>0.36208375089819639</v>
      </c>
      <c r="CM21" s="7">
        <v>-0.1162318191805591</v>
      </c>
      <c r="CN21" s="7">
        <v>-1.1281919190459261E-2</v>
      </c>
      <c r="CO21" s="7">
        <v>0.3354837581948798</v>
      </c>
      <c r="CP21" s="7">
        <v>-9.625328840339234E-2</v>
      </c>
      <c r="CQ21" s="7">
        <v>-5.9403617018034788E-2</v>
      </c>
      <c r="CR21" s="7">
        <v>1.161578886010306E-2</v>
      </c>
      <c r="CS21" s="7">
        <v>3.0907745682497659E-2</v>
      </c>
      <c r="CT21" s="7">
        <v>4.7993104073004042E-2</v>
      </c>
      <c r="CU21" s="7">
        <v>-6.2673560169491313E-2</v>
      </c>
      <c r="CV21" s="7">
        <v>9.8225632021386913E-2</v>
      </c>
      <c r="CW21" s="7">
        <v>-3.0752481308038811E-2</v>
      </c>
      <c r="CX21" s="7">
        <v>1.339552396105914E-2</v>
      </c>
      <c r="CY21" s="7">
        <v>0.102505161081563</v>
      </c>
      <c r="CZ21" s="7">
        <v>0.2374513708258302</v>
      </c>
      <c r="DA21" s="7">
        <v>1.192256456731756E-3</v>
      </c>
      <c r="DB21" s="7">
        <v>-5.1624433676154581E-2</v>
      </c>
      <c r="DC21" s="7">
        <v>4.8309147365506719E-2</v>
      </c>
      <c r="DD21" s="7">
        <v>-6.7027496200741665E-2</v>
      </c>
      <c r="DE21" s="7">
        <v>-5.4719267994411902E-2</v>
      </c>
      <c r="DF21" s="7">
        <v>2.156088069787479E-2</v>
      </c>
      <c r="DG21" s="7">
        <v>7.8463781285332893E-3</v>
      </c>
      <c r="DH21" s="7">
        <v>8.1436188280027383E-2</v>
      </c>
      <c r="DI21" s="7">
        <v>0.1798398251674036</v>
      </c>
      <c r="DJ21" s="7">
        <v>-3.7911313190560098E-2</v>
      </c>
      <c r="DK21" s="7">
        <v>-9.0895590906945836E-2</v>
      </c>
      <c r="DL21" s="7">
        <v>3.2208203249560433E-2</v>
      </c>
      <c r="DM21" s="7">
        <v>2.4988802442145672E-2</v>
      </c>
      <c r="DN21" s="7">
        <v>-4.687483536663517E-2</v>
      </c>
      <c r="DO21" s="7">
        <v>0.33162680487864599</v>
      </c>
      <c r="DP21" s="7">
        <v>-3.7108633098233243E-2</v>
      </c>
      <c r="DQ21" s="7">
        <v>-2.821605205239688E-2</v>
      </c>
      <c r="DR21" s="7">
        <v>-5.3556989806694252E-2</v>
      </c>
      <c r="DS21" s="7">
        <v>-0.20083947383729561</v>
      </c>
      <c r="DT21" s="7">
        <v>-9.7086429422632292E-3</v>
      </c>
      <c r="DU21" s="7">
        <v>-0.1486147166384135</v>
      </c>
      <c r="DV21" s="7">
        <v>-4.9664404149365959E-2</v>
      </c>
      <c r="DW21" s="7">
        <v>-0.1035344925963028</v>
      </c>
      <c r="DX21" s="7">
        <v>-0.18596621403118341</v>
      </c>
      <c r="DY21" s="7">
        <v>2.459599553801604E-2</v>
      </c>
      <c r="DZ21" s="7">
        <v>9.893057365990536E-2</v>
      </c>
      <c r="EA21" s="7">
        <v>-2.4865522448428139E-2</v>
      </c>
      <c r="EB21" s="7">
        <v>-0.10329555902400769</v>
      </c>
      <c r="EC21" s="7">
        <v>1.403705509804205E-2</v>
      </c>
      <c r="ED21" s="7">
        <v>-8.2730047503211529E-2</v>
      </c>
      <c r="EE21" s="7">
        <v>-2.1310592307867391E-2</v>
      </c>
      <c r="EF21" s="8">
        <v>-1.8771264042119089E-2</v>
      </c>
    </row>
    <row r="22" spans="1:136" x14ac:dyDescent="0.3">
      <c r="A22" s="1">
        <v>321</v>
      </c>
      <c r="B22" s="1">
        <v>3</v>
      </c>
      <c r="C22" s="7">
        <v>-0.20528030103697539</v>
      </c>
      <c r="D22" s="7">
        <v>0.1424278520773985</v>
      </c>
      <c r="E22" s="7">
        <v>-4.1027532000619052E-2</v>
      </c>
      <c r="F22" s="7">
        <v>-0.13986745030938699</v>
      </c>
      <c r="G22" s="7">
        <v>0.23294542459532269</v>
      </c>
      <c r="H22" s="7">
        <v>0.1241780629606463</v>
      </c>
      <c r="I22" s="7">
        <v>0.12349316933806979</v>
      </c>
      <c r="J22" s="7">
        <v>-0.10425350273662951</v>
      </c>
      <c r="K22" s="7">
        <v>2.8656780116393998E-2</v>
      </c>
      <c r="L22" s="7">
        <v>1.427320868498227E-2</v>
      </c>
      <c r="M22" s="7">
        <v>-0.18466278734295011</v>
      </c>
      <c r="N22" s="7">
        <v>0.75614344311733894</v>
      </c>
      <c r="O22" s="7">
        <v>0.1434803460042724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-0.1048489671566299</v>
      </c>
      <c r="U22" s="7">
        <v>5.2488906495621809E-2</v>
      </c>
      <c r="V22" s="7">
        <v>-0.1756249024704124</v>
      </c>
      <c r="W22" s="7">
        <v>0.1580477531639507</v>
      </c>
      <c r="X22" s="7">
        <v>0.25720235121349699</v>
      </c>
      <c r="Y22" s="7">
        <v>-6.9853331702800808E-2</v>
      </c>
      <c r="Z22" s="7">
        <v>2.386612179035642E-2</v>
      </c>
      <c r="AA22" s="7">
        <v>7.0480168868567589E-3</v>
      </c>
      <c r="AB22" s="7">
        <v>-3.8274054421571273E-2</v>
      </c>
      <c r="AC22" s="7">
        <v>-0.1772130781488627</v>
      </c>
      <c r="AD22" s="7">
        <v>1.357278877236134E-2</v>
      </c>
      <c r="AE22" s="7">
        <v>-8.514768595770715E-2</v>
      </c>
      <c r="AF22" s="7">
        <v>-8.6404239042423531E-2</v>
      </c>
      <c r="AG22" s="7">
        <v>-5.2841540175733892E-2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-6.7924487703603389E-2</v>
      </c>
      <c r="AS22" s="7">
        <v>8.2810438898549957E-2</v>
      </c>
      <c r="AT22" s="7">
        <v>1.0736947302628259E-3</v>
      </c>
      <c r="AU22" s="7">
        <v>3.3500451910869901E-2</v>
      </c>
      <c r="AV22" s="7">
        <v>5.9646140173665471E-2</v>
      </c>
      <c r="AW22" s="7">
        <v>-3.014938920700894E-2</v>
      </c>
      <c r="AX22" s="7">
        <v>0.17376339998002421</v>
      </c>
      <c r="AY22" s="7">
        <v>-0.16372433134556691</v>
      </c>
      <c r="AZ22" s="7">
        <v>0.1551884040435336</v>
      </c>
      <c r="BA22" s="7">
        <v>4.9774957584186978E-2</v>
      </c>
      <c r="BB22" s="7">
        <v>0.36955058329648782</v>
      </c>
      <c r="BC22" s="7">
        <v>-8.733338211208555E-2</v>
      </c>
      <c r="BD22" s="7">
        <v>7.9259544919436403E-2</v>
      </c>
      <c r="BE22" s="7">
        <v>-6.8483036868100741E-2</v>
      </c>
      <c r="BF22" s="7">
        <v>-5.4886013754806257E-2</v>
      </c>
      <c r="BG22" s="7">
        <v>-9.617852912963791E-2</v>
      </c>
      <c r="BH22" s="7">
        <v>0.12796054233813189</v>
      </c>
      <c r="BI22" s="7">
        <v>8.2345467472674225E-2</v>
      </c>
      <c r="BJ22" s="7">
        <v>4.0890331679524251E-2</v>
      </c>
      <c r="BK22" s="7">
        <v>4.831524105166432E-2</v>
      </c>
      <c r="BL22" s="7">
        <v>1.7863882134281309E-2</v>
      </c>
      <c r="BM22" s="7">
        <v>-0.1209396353275756</v>
      </c>
      <c r="BN22" s="7">
        <v>-8.2937899200322518E-2</v>
      </c>
      <c r="BO22" s="7">
        <v>3.8350062963842829E-2</v>
      </c>
      <c r="BP22" s="7">
        <v>5.4100012453170681E-4</v>
      </c>
      <c r="BQ22" s="7">
        <v>2.7830097398312589E-2</v>
      </c>
      <c r="BR22" s="7">
        <v>2.081360946645289E-2</v>
      </c>
      <c r="BS22" s="7">
        <v>-1.637278237679916E-2</v>
      </c>
      <c r="BT22" s="7">
        <v>-8.8726194332783462E-2</v>
      </c>
      <c r="BU22" s="7">
        <v>-0.1043505830823649</v>
      </c>
      <c r="BV22" s="7">
        <v>6.8176016755736729E-4</v>
      </c>
      <c r="BW22" s="7">
        <v>0.42771649646437632</v>
      </c>
      <c r="BX22" s="7">
        <v>-0.1130288989043652</v>
      </c>
      <c r="BY22" s="7">
        <v>3.2352875520499369E-2</v>
      </c>
      <c r="BZ22" s="7">
        <v>4.725773586289217E-2</v>
      </c>
      <c r="CA22" s="7">
        <v>0.14407873603425539</v>
      </c>
      <c r="CB22" s="7">
        <v>0.25473925571486122</v>
      </c>
      <c r="CC22" s="7">
        <v>-0.12510399532003291</v>
      </c>
      <c r="CD22" s="7">
        <v>0.33387803671272293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-0.23044916703818419</v>
      </c>
      <c r="CJ22" s="7">
        <v>-1.6242847843122001E-2</v>
      </c>
      <c r="CK22" s="7">
        <v>-2.71524965709375E-2</v>
      </c>
      <c r="CL22" s="7">
        <v>0.55395436540251797</v>
      </c>
      <c r="CM22" s="7">
        <v>-0.21983248519746329</v>
      </c>
      <c r="CN22" s="7">
        <v>2.185030678558755E-2</v>
      </c>
      <c r="CO22" s="7">
        <v>0.27205949814687491</v>
      </c>
      <c r="CP22" s="7">
        <v>-8.1323106021387065E-2</v>
      </c>
      <c r="CQ22" s="7">
        <v>-7.4467010274027912E-2</v>
      </c>
      <c r="CR22" s="7">
        <v>-2.8422205079160712E-2</v>
      </c>
      <c r="CS22" s="7">
        <v>2.4439586832032689E-2</v>
      </c>
      <c r="CT22" s="7">
        <v>3.8262614575275293E-2</v>
      </c>
      <c r="CU22" s="7">
        <v>-0.1202317119640979</v>
      </c>
      <c r="CV22" s="7">
        <v>0.1122336952070542</v>
      </c>
      <c r="CW22" s="7">
        <v>-1.349979853596164E-2</v>
      </c>
      <c r="CX22" s="7">
        <v>4.7285453258790341E-2</v>
      </c>
      <c r="CY22" s="7">
        <v>0.1045108260680616</v>
      </c>
      <c r="CZ22" s="7">
        <v>0.26292048459923911</v>
      </c>
      <c r="DA22" s="7">
        <v>-3.9917538819241108E-3</v>
      </c>
      <c r="DB22" s="7">
        <v>-5.8383506828492103E-2</v>
      </c>
      <c r="DC22" s="7">
        <v>7.2342033732944094E-2</v>
      </c>
      <c r="DD22" s="7">
        <v>-1.596257781556271E-2</v>
      </c>
      <c r="DE22" s="7">
        <v>-0.13335614324542941</v>
      </c>
      <c r="DF22" s="7">
        <v>1.7031775273553061E-2</v>
      </c>
      <c r="DG22" s="7">
        <v>3.1985043080887662E-2</v>
      </c>
      <c r="DH22" s="7">
        <v>8.1454381615908525E-2</v>
      </c>
      <c r="DI22" s="7">
        <v>6.0122111270589459E-2</v>
      </c>
      <c r="DJ22" s="7">
        <v>-5.0246005833095859E-2</v>
      </c>
      <c r="DK22" s="7">
        <v>-9.1428405059511261E-2</v>
      </c>
      <c r="DL22" s="7">
        <v>2.1680326157890579E-2</v>
      </c>
      <c r="DM22" s="7">
        <v>3.1884709289730702E-2</v>
      </c>
      <c r="DN22" s="7">
        <v>-8.3173707077558875E-2</v>
      </c>
      <c r="DO22" s="7">
        <v>7.5715816054906154E-2</v>
      </c>
      <c r="DP22" s="7">
        <v>-0.10509905980047871</v>
      </c>
      <c r="DQ22" s="7">
        <v>-5.1850201837621311E-2</v>
      </c>
      <c r="DR22" s="7">
        <v>-7.1236299673135633E-2</v>
      </c>
      <c r="DS22" s="7">
        <v>-0.19705092156235929</v>
      </c>
      <c r="DT22" s="7">
        <v>-4.3681446324088213E-2</v>
      </c>
      <c r="DU22" s="7">
        <v>-0.16154691088272999</v>
      </c>
      <c r="DV22" s="7">
        <v>5.337016682824209E-2</v>
      </c>
      <c r="DW22" s="7">
        <v>-8.1415413379923474E-2</v>
      </c>
      <c r="DX22" s="7">
        <v>-0.22244260844829469</v>
      </c>
      <c r="DY22" s="7">
        <v>-8.1471166255399959E-3</v>
      </c>
      <c r="DZ22" s="7">
        <v>0.11083450478771149</v>
      </c>
      <c r="EA22" s="7">
        <v>-7.0548648839358755E-2</v>
      </c>
      <c r="EB22" s="7">
        <v>-0.14292707605232749</v>
      </c>
      <c r="EC22" s="7">
        <v>2.1495101575638179E-2</v>
      </c>
      <c r="ED22" s="7">
        <v>-5.7499218608810271E-2</v>
      </c>
      <c r="EE22" s="7">
        <v>-4.7636659384698889E-2</v>
      </c>
      <c r="EF22" s="8">
        <v>-3.4790246372172352E-2</v>
      </c>
    </row>
    <row r="23" spans="1:136" x14ac:dyDescent="0.3">
      <c r="A23" s="1">
        <v>482</v>
      </c>
      <c r="B23" s="1">
        <v>2</v>
      </c>
      <c r="C23" s="7">
        <v>-0.28298926569632887</v>
      </c>
      <c r="D23" s="7">
        <v>0.25409262745146127</v>
      </c>
      <c r="E23" s="7">
        <v>-8.094117257067221E-2</v>
      </c>
      <c r="F23" s="7">
        <v>-3.740232941910691E-3</v>
      </c>
      <c r="G23" s="7">
        <v>0.36163212077843282</v>
      </c>
      <c r="H23" s="7">
        <v>-1.8188470841484668E-2</v>
      </c>
      <c r="I23" s="7">
        <v>0.148152028600294</v>
      </c>
      <c r="J23" s="7">
        <v>-0.1148775059304451</v>
      </c>
      <c r="K23" s="7">
        <v>-5.9917884508062888E-2</v>
      </c>
      <c r="L23" s="7">
        <v>5.0770833705182927E-2</v>
      </c>
      <c r="M23" s="7">
        <v>-0.14728696802749691</v>
      </c>
      <c r="N23" s="7">
        <v>0.97590144327128003</v>
      </c>
      <c r="O23" s="7">
        <v>0.20456437797300209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-8.4676175768728656E-2</v>
      </c>
      <c r="U23" s="7">
        <v>5.924178948110146E-2</v>
      </c>
      <c r="V23" s="7">
        <v>-0.2324772033709247</v>
      </c>
      <c r="W23" s="7">
        <v>0.25954732367705918</v>
      </c>
      <c r="X23" s="7">
        <v>0.1945564614576443</v>
      </c>
      <c r="Y23" s="7">
        <v>-6.7949921591350784E-2</v>
      </c>
      <c r="Z23" s="7">
        <v>4.1051966520251372E-2</v>
      </c>
      <c r="AA23" s="7">
        <v>6.6062919694702682E-3</v>
      </c>
      <c r="AB23" s="7">
        <v>-4.7748945219155479E-2</v>
      </c>
      <c r="AC23" s="7">
        <v>-0.23400862094644481</v>
      </c>
      <c r="AD23" s="7">
        <v>7.1628868085674022E-2</v>
      </c>
      <c r="AE23" s="7">
        <v>-0.22171323582164909</v>
      </c>
      <c r="AF23" s="7">
        <v>-2.5300492366547252E-2</v>
      </c>
      <c r="AG23" s="7">
        <v>-9.1873657646360199E-2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-0.1461361643393671</v>
      </c>
      <c r="AS23" s="7">
        <v>-1.470688799737762E-2</v>
      </c>
      <c r="AT23" s="7">
        <v>1.6951230815730939E-2</v>
      </c>
      <c r="AU23" s="7">
        <v>3.3145526128504327E-2</v>
      </c>
      <c r="AV23" s="7">
        <v>-9.6757250400133471E-2</v>
      </c>
      <c r="AW23" s="7">
        <v>-5.202690983840276E-2</v>
      </c>
      <c r="AX23" s="7">
        <v>6.9838153827044058E-2</v>
      </c>
      <c r="AY23" s="7">
        <v>-0.16314791108071039</v>
      </c>
      <c r="AZ23" s="7">
        <v>7.8071576521207053E-2</v>
      </c>
      <c r="BA23" s="7">
        <v>5.3998338629857423E-2</v>
      </c>
      <c r="BB23" s="7">
        <v>0.56682652604744033</v>
      </c>
      <c r="BC23" s="7">
        <v>-0.17300006037449761</v>
      </c>
      <c r="BD23" s="7">
        <v>0.12597278447449581</v>
      </c>
      <c r="BE23" s="7">
        <v>-8.6532394790002992E-2</v>
      </c>
      <c r="BF23" s="7">
        <v>-6.0012943621825209E-2</v>
      </c>
      <c r="BG23" s="7">
        <v>-4.4908674694266577E-2</v>
      </c>
      <c r="BH23" s="7">
        <v>0.2034839813552872</v>
      </c>
      <c r="BI23" s="7">
        <v>0.1212055236354101</v>
      </c>
      <c r="BJ23" s="7">
        <v>5.7493860805491029E-2</v>
      </c>
      <c r="BK23" s="7">
        <v>4.7849323301188178E-2</v>
      </c>
      <c r="BL23" s="7">
        <v>-5.3432219944672933E-2</v>
      </c>
      <c r="BM23" s="7">
        <v>-0.18414780725786861</v>
      </c>
      <c r="BN23" s="7">
        <v>-3.8453237240273198E-2</v>
      </c>
      <c r="BO23" s="7">
        <v>6.1815479967866467E-2</v>
      </c>
      <c r="BP23" s="7">
        <v>2.2475721392681891E-2</v>
      </c>
      <c r="BQ23" s="7">
        <v>7.2047901435266168E-2</v>
      </c>
      <c r="BR23" s="7">
        <v>1.7844321463962809E-2</v>
      </c>
      <c r="BS23" s="7">
        <v>-7.3275388657911791E-2</v>
      </c>
      <c r="BT23" s="7">
        <v>-0.2181866761329041</v>
      </c>
      <c r="BU23" s="7">
        <v>-0.1056852737934032</v>
      </c>
      <c r="BV23" s="7">
        <v>-1.7018950875927849E-2</v>
      </c>
      <c r="BW23" s="7">
        <v>0.60099752643345095</v>
      </c>
      <c r="BX23" s="7">
        <v>-6.8735089330797944E-2</v>
      </c>
      <c r="BY23" s="7">
        <v>3.9939448876130351E-2</v>
      </c>
      <c r="BZ23" s="7">
        <v>7.6697624318448621E-3</v>
      </c>
      <c r="CA23" s="7">
        <v>0.20637272238748691</v>
      </c>
      <c r="CB23" s="7">
        <v>0.31616676175875003</v>
      </c>
      <c r="CC23" s="7">
        <v>-8.4544614715775346E-2</v>
      </c>
      <c r="CD23" s="7">
        <v>0.19167645501478511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-5.9122473913523821E-2</v>
      </c>
      <c r="CJ23" s="7">
        <v>3.8255248936276638E-2</v>
      </c>
      <c r="CK23" s="7">
        <v>-5.6594325379505338E-2</v>
      </c>
      <c r="CL23" s="7">
        <v>0.82114882676553158</v>
      </c>
      <c r="CM23" s="7">
        <v>-0.23470497261609899</v>
      </c>
      <c r="CN23" s="7">
        <v>4.9969055564242637E-2</v>
      </c>
      <c r="CO23" s="7">
        <v>0.26615853772710141</v>
      </c>
      <c r="CP23" s="7">
        <v>-0.1197183136790923</v>
      </c>
      <c r="CQ23" s="7">
        <v>-6.7315098148372304E-2</v>
      </c>
      <c r="CR23" s="7">
        <v>-3.8232839171219918E-2</v>
      </c>
      <c r="CS23" s="7">
        <v>6.901537085690515E-2</v>
      </c>
      <c r="CT23" s="7">
        <v>6.539021537994999E-2</v>
      </c>
      <c r="CU23" s="7">
        <v>-2.1056595713287041E-2</v>
      </c>
      <c r="CV23" s="7">
        <v>-2.2245137488805671E-2</v>
      </c>
      <c r="CW23" s="7">
        <v>6.4165112115841361E-2</v>
      </c>
      <c r="CX23" s="7">
        <v>-4.425407954953503E-2</v>
      </c>
      <c r="CY23" s="7">
        <v>0.15375033367153881</v>
      </c>
      <c r="CZ23" s="7">
        <v>0.18199879385735121</v>
      </c>
      <c r="DA23" s="7">
        <v>-3.0982136225910391E-2</v>
      </c>
      <c r="DB23" s="7">
        <v>-1.5955156866996431E-2</v>
      </c>
      <c r="DC23" s="7">
        <v>7.2416033656425932E-2</v>
      </c>
      <c r="DD23" s="7">
        <v>-1.8407826273001211E-2</v>
      </c>
      <c r="DE23" s="7">
        <v>-0.141445299859559</v>
      </c>
      <c r="DF23" s="7">
        <v>6.194212704490535E-2</v>
      </c>
      <c r="DG23" s="7">
        <v>3.8270011874717E-2</v>
      </c>
      <c r="DH23" s="7">
        <v>0.1392268935121084</v>
      </c>
      <c r="DI23" s="7">
        <v>9.6040550870895677E-2</v>
      </c>
      <c r="DJ23" s="7">
        <v>-8.7058008172347823E-2</v>
      </c>
      <c r="DK23" s="7">
        <v>-9.1244988740826746E-2</v>
      </c>
      <c r="DL23" s="7">
        <v>-5.6607334331075572E-2</v>
      </c>
      <c r="DM23" s="7">
        <v>4.6477315989241888E-2</v>
      </c>
      <c r="DN23" s="7">
        <v>-0.11820475442736959</v>
      </c>
      <c r="DO23" s="7">
        <v>0.124068441987729</v>
      </c>
      <c r="DP23" s="7">
        <v>-3.8404395837998338E-2</v>
      </c>
      <c r="DQ23" s="7">
        <v>-0.12113204125745761</v>
      </c>
      <c r="DR23" s="7">
        <v>-0.1024257952350012</v>
      </c>
      <c r="DS23" s="7">
        <v>-0.28809657691904628</v>
      </c>
      <c r="DT23" s="7">
        <v>-5.4250460668612679E-2</v>
      </c>
      <c r="DU23" s="7">
        <v>-5.5639478708282321E-2</v>
      </c>
      <c r="DV23" s="7">
        <v>8.1332536152743107E-3</v>
      </c>
      <c r="DW23" s="7">
        <v>2.3051820755061941E-2</v>
      </c>
      <c r="DX23" s="7">
        <v>-0.31349320637896622</v>
      </c>
      <c r="DY23" s="7">
        <v>0.16987682865225409</v>
      </c>
      <c r="DZ23" s="7">
        <v>-0.21717398775244159</v>
      </c>
      <c r="EA23" s="7">
        <v>-2.3448907613119421E-2</v>
      </c>
      <c r="EB23" s="7">
        <v>-0.13822549512320209</v>
      </c>
      <c r="EC23" s="7">
        <v>-3.6584316325813361E-2</v>
      </c>
      <c r="ED23" s="7">
        <v>3.8900422569723918E-2</v>
      </c>
      <c r="EE23" s="7">
        <v>-6.9212075984992683E-2</v>
      </c>
      <c r="EF23" s="8">
        <v>-4.7782278591659677E-2</v>
      </c>
    </row>
    <row r="24" spans="1:136" x14ac:dyDescent="0.3">
      <c r="A24" s="1">
        <v>964</v>
      </c>
      <c r="B24" s="1">
        <v>1</v>
      </c>
      <c r="C24" s="7">
        <v>-9.9113364206882743E-2</v>
      </c>
      <c r="D24" s="7">
        <v>0.1006099128992286</v>
      </c>
      <c r="E24" s="7">
        <v>7.1400330169296908E-2</v>
      </c>
      <c r="F24" s="7">
        <v>7.5326493831706698E-2</v>
      </c>
      <c r="G24" s="7">
        <v>0.2296070518581638</v>
      </c>
      <c r="H24" s="7">
        <v>3.5855796654956661E-2</v>
      </c>
      <c r="I24" s="7">
        <v>-2.111933203143501E-3</v>
      </c>
      <c r="J24" s="7">
        <v>-0.1154627982140225</v>
      </c>
      <c r="K24" s="7">
        <v>5.3732996668234008E-2</v>
      </c>
      <c r="L24" s="7">
        <v>9.3799693256750388E-2</v>
      </c>
      <c r="M24" s="7">
        <v>-0.21778567303774149</v>
      </c>
      <c r="N24" s="7">
        <v>1.769031369112569</v>
      </c>
      <c r="O24" s="7">
        <v>0.235309193405423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-0.28781660351948779</v>
      </c>
      <c r="U24" s="7">
        <v>0.28585628998140078</v>
      </c>
      <c r="V24" s="7">
        <v>-9.8678511259329957E-2</v>
      </c>
      <c r="W24" s="7">
        <v>-0.16456451758688009</v>
      </c>
      <c r="X24" s="7">
        <v>-8.988764650171982E-4</v>
      </c>
      <c r="Y24" s="7">
        <v>-0.1203174930645305</v>
      </c>
      <c r="Z24" s="7">
        <v>-2.439454874957615E-2</v>
      </c>
      <c r="AA24" s="7">
        <v>1.354776823757727E-2</v>
      </c>
      <c r="AB24" s="7">
        <v>-0.18425142266877839</v>
      </c>
      <c r="AC24" s="7">
        <v>-0.24616895878469969</v>
      </c>
      <c r="AD24" s="7">
        <v>0.1011752992567229</v>
      </c>
      <c r="AE24" s="7">
        <v>-0.17526881500734201</v>
      </c>
      <c r="AF24" s="7">
        <v>-0.16570377964654229</v>
      </c>
      <c r="AG24" s="7">
        <v>-0.13873571762663761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-0.1708334061708256</v>
      </c>
      <c r="AS24" s="7">
        <v>-2.7956077266590069E-2</v>
      </c>
      <c r="AT24" s="7">
        <v>5.9286095890559252E-3</v>
      </c>
      <c r="AU24" s="7">
        <v>4.4095319865224331E-2</v>
      </c>
      <c r="AV24" s="7">
        <v>-1.952221442252405E-2</v>
      </c>
      <c r="AW24" s="7">
        <v>4.9875415110391882E-3</v>
      </c>
      <c r="AX24" s="7">
        <v>2.8306186588424521E-2</v>
      </c>
      <c r="AY24" s="7">
        <v>-0.44347344173649922</v>
      </c>
      <c r="AZ24" s="7">
        <v>0.11862372507117649</v>
      </c>
      <c r="BA24" s="7">
        <v>5.0491305412012258E-2</v>
      </c>
      <c r="BB24" s="7">
        <v>0.69077653138067185</v>
      </c>
      <c r="BC24" s="7">
        <v>-0.20574960043632179</v>
      </c>
      <c r="BD24" s="7">
        <v>1.8631034086863729E-2</v>
      </c>
      <c r="BE24" s="7">
        <v>-0.1041311228506846</v>
      </c>
      <c r="BF24" s="7">
        <v>-0.1002317053814064</v>
      </c>
      <c r="BG24" s="7">
        <v>-0.17662353567931691</v>
      </c>
      <c r="BH24" s="7">
        <v>0.38625533691353497</v>
      </c>
      <c r="BI24" s="7">
        <v>0.16926892499271901</v>
      </c>
      <c r="BJ24" s="7">
        <v>0.19964003317045101</v>
      </c>
      <c r="BK24" s="7">
        <v>3.4827647172774007E-2</v>
      </c>
      <c r="BL24" s="7">
        <v>-3.089861151917388E-2</v>
      </c>
      <c r="BM24" s="7">
        <v>-0.37691635755964409</v>
      </c>
      <c r="BN24" s="7">
        <v>-0.10891326031654749</v>
      </c>
      <c r="BO24" s="7">
        <v>-5.6244215584665136E-3</v>
      </c>
      <c r="BP24" s="7">
        <v>-3.1794104329889807E-2</v>
      </c>
      <c r="BQ24" s="7">
        <v>-6.4169633330115036E-2</v>
      </c>
      <c r="BR24" s="7">
        <v>4.2356223303417713E-2</v>
      </c>
      <c r="BS24" s="7">
        <v>-1.284717484456964E-3</v>
      </c>
      <c r="BT24" s="7">
        <v>-0.27671901614020838</v>
      </c>
      <c r="BU24" s="7">
        <v>-8.7484923148454363E-3</v>
      </c>
      <c r="BV24" s="7">
        <v>-0.20330415183045039</v>
      </c>
      <c r="BW24" s="7">
        <v>1.109012070037362</v>
      </c>
      <c r="BX24" s="7">
        <v>-0.1039550340490914</v>
      </c>
      <c r="BY24" s="7">
        <v>-0.29033687494541688</v>
      </c>
      <c r="BZ24" s="7">
        <v>0.25889289884999689</v>
      </c>
      <c r="CA24" s="7">
        <v>0.10002491568895069</v>
      </c>
      <c r="CB24" s="7">
        <v>0.639698133634515</v>
      </c>
      <c r="CC24" s="7">
        <v>-0.18246987988756161</v>
      </c>
      <c r="CD24" s="7">
        <v>0.14430631074219491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-5.850815723303885E-2</v>
      </c>
      <c r="CJ24" s="7">
        <v>5.7174129573755783E-2</v>
      </c>
      <c r="CK24" s="7">
        <v>3.1855166241217987E-2</v>
      </c>
      <c r="CL24" s="7">
        <v>1.1486200348703459</v>
      </c>
      <c r="CM24" s="7">
        <v>-0.63643326435951064</v>
      </c>
      <c r="CN24" s="7">
        <v>1.491653024804831E-2</v>
      </c>
      <c r="CO24" s="7">
        <v>0.45247744179045318</v>
      </c>
      <c r="CP24" s="7">
        <v>-0.24933871725413359</v>
      </c>
      <c r="CQ24" s="7">
        <v>-0.17760542253115491</v>
      </c>
      <c r="CR24" s="7">
        <v>-9.681790719133844E-2</v>
      </c>
      <c r="CS24" s="7">
        <v>-2.6854922521108548E-2</v>
      </c>
      <c r="CT24" s="7">
        <v>-0.1195443883358397</v>
      </c>
      <c r="CU24" s="7">
        <v>-7.2751347656710041E-2</v>
      </c>
      <c r="CV24" s="7">
        <v>1.5064047539375311E-2</v>
      </c>
      <c r="CW24" s="7">
        <v>-1.5881422078077021E-3</v>
      </c>
      <c r="CX24" s="7">
        <v>5.2765258843267028E-2</v>
      </c>
      <c r="CY24" s="7">
        <v>0.32114775220674069</v>
      </c>
      <c r="CZ24" s="7">
        <v>0.11220662844456721</v>
      </c>
      <c r="DA24" s="7">
        <v>2.451120416275485E-2</v>
      </c>
      <c r="DB24" s="7">
        <v>-0.19546067251265431</v>
      </c>
      <c r="DC24" s="7">
        <v>0.17955311523934811</v>
      </c>
      <c r="DD24" s="7">
        <v>4.9299772670775198E-2</v>
      </c>
      <c r="DE24" s="7">
        <v>-0.30663608033545542</v>
      </c>
      <c r="DF24" s="7">
        <v>-0.1046649760205613</v>
      </c>
      <c r="DG24" s="7">
        <v>5.9105834124344087E-2</v>
      </c>
      <c r="DH24" s="7">
        <v>0.26580267599251223</v>
      </c>
      <c r="DI24" s="7">
        <v>3.7184908274380812E-2</v>
      </c>
      <c r="DJ24" s="7">
        <v>-0.13248861050923971</v>
      </c>
      <c r="DK24" s="7">
        <v>-0.1196801812081898</v>
      </c>
      <c r="DL24" s="7">
        <v>-3.174869831458027E-2</v>
      </c>
      <c r="DM24" s="7">
        <v>4.1344524506759309E-4</v>
      </c>
      <c r="DN24" s="7">
        <v>-0.14903325582948179</v>
      </c>
      <c r="DO24" s="7">
        <v>0.1156119550234804</v>
      </c>
      <c r="DP24" s="7">
        <v>-0.14433064238035609</v>
      </c>
      <c r="DQ24" s="7">
        <v>-5.0486190478925157E-2</v>
      </c>
      <c r="DR24" s="7">
        <v>-2.3391731273528969E-2</v>
      </c>
      <c r="DS24" s="7">
        <v>-0.21626154103284559</v>
      </c>
      <c r="DT24" s="7">
        <v>-7.4733345266004753E-2</v>
      </c>
      <c r="DU24" s="7">
        <v>2.1781395361230051E-2</v>
      </c>
      <c r="DV24" s="7">
        <v>9.8046834802625854E-2</v>
      </c>
      <c r="DW24" s="7">
        <v>0.10118249665524411</v>
      </c>
      <c r="DX24" s="7">
        <v>-0.31159312779250392</v>
      </c>
      <c r="DY24" s="7">
        <v>0.34380428679820851</v>
      </c>
      <c r="DZ24" s="7">
        <v>-0.43350657873669168</v>
      </c>
      <c r="EA24" s="7">
        <v>7.7350922227335792E-2</v>
      </c>
      <c r="EB24" s="7">
        <v>-0.1092287723728063</v>
      </c>
      <c r="EC24" s="7">
        <v>-1.4309918770678909E-2</v>
      </c>
      <c r="ED24" s="7">
        <v>-6.9835153666616717E-2</v>
      </c>
      <c r="EE24" s="7">
        <v>-0.10748065723441801</v>
      </c>
      <c r="EF24" s="8">
        <v>6.7276677043968364E-2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5"/>
  <sheetViews>
    <sheetView workbookViewId="0"/>
  </sheetViews>
  <sheetFormatPr defaultRowHeight="15" x14ac:dyDescent="0.3"/>
  <cols>
    <col min="137" max="139" width="10" bestFit="1" customWidth="1"/>
  </cols>
  <sheetData>
    <row r="1" spans="1:139" x14ac:dyDescent="0.3">
      <c r="A1" t="str">
        <f>預測IC!A1</f>
        <v>NN4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9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9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9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9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9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9" x14ac:dyDescent="0.3">
      <c r="A10" s="19" t="s">
        <v>141</v>
      </c>
      <c r="B10" s="20"/>
      <c r="C10" s="1" t="s">
        <v>142</v>
      </c>
      <c r="D10" s="2">
        <v>964</v>
      </c>
    </row>
    <row r="11" spans="1:139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s="17" t="s">
        <v>147</v>
      </c>
      <c r="EH11" s="17" t="s">
        <v>148</v>
      </c>
      <c r="EI11" s="17" t="s">
        <v>149</v>
      </c>
    </row>
    <row r="12" spans="1:139" x14ac:dyDescent="0.3">
      <c r="A12" s="1">
        <v>10</v>
      </c>
      <c r="B12" s="1">
        <v>96</v>
      </c>
      <c r="C12" s="7">
        <v>8.4653346747999555E-2</v>
      </c>
      <c r="D12" s="7">
        <v>0.11468862904522351</v>
      </c>
      <c r="E12" s="7">
        <v>4.802682338720253E-2</v>
      </c>
      <c r="F12" s="7">
        <v>1.342110438955847E-2</v>
      </c>
      <c r="G12" s="7">
        <v>1.172466777602472E-2</v>
      </c>
      <c r="H12" s="7">
        <v>3.8530512249887933E-2</v>
      </c>
      <c r="I12" s="7">
        <v>1.2809788693165489E-2</v>
      </c>
      <c r="J12" s="7">
        <v>-2.9408122838989852E-2</v>
      </c>
      <c r="K12" s="7">
        <v>1.8774380137331209E-2</v>
      </c>
      <c r="L12" s="7">
        <v>-4.1890941049973679E-2</v>
      </c>
      <c r="M12" s="7">
        <v>-1.555180420016113E-2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-4.3243488819513169E-2</v>
      </c>
      <c r="U12" s="7">
        <v>-1.6178598882878859E-2</v>
      </c>
      <c r="V12" s="7">
        <v>6.2044700693444643E-3</v>
      </c>
      <c r="W12" s="7">
        <v>2.227844197331175E-2</v>
      </c>
      <c r="X12" s="7">
        <v>2.7073890424547119E-2</v>
      </c>
      <c r="Y12" s="7">
        <v>1.544036841356077E-2</v>
      </c>
      <c r="Z12" s="7">
        <v>5.1659076098035236E-3</v>
      </c>
      <c r="AA12" s="7">
        <v>-1.1512545712225739E-2</v>
      </c>
      <c r="AB12" s="7">
        <v>-1.073332960413877E-2</v>
      </c>
      <c r="AC12" s="7">
        <v>5.1673797604565516E-3</v>
      </c>
      <c r="AD12" s="7">
        <v>2.5304298312235208E-3</v>
      </c>
      <c r="AE12" s="7">
        <v>-5.8316963071098869E-2</v>
      </c>
      <c r="AF12" s="7">
        <v>2.0432151303864929E-2</v>
      </c>
      <c r="AG12" s="7">
        <v>1.207912796320139E-2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7.1276156280934935E-2</v>
      </c>
      <c r="BB12" s="7">
        <v>5.7853949142751861E-3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-5.030568452332447E-2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6.5566612627689883E-2</v>
      </c>
      <c r="CD12" s="7">
        <v>4.4258488563941309E-2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-6.2684347003574781E-2</v>
      </c>
      <c r="CR12" s="7">
        <v>4.814662528730166E-2</v>
      </c>
      <c r="CS12" s="7">
        <v>-1.450965043846953E-2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8.8981816498044985E-2</v>
      </c>
      <c r="DC12" s="7">
        <v>1.1472973291489949E-2</v>
      </c>
      <c r="DD12" s="7">
        <v>-3.9091997331507103E-2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1.511820812609203E-2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-3.3862120353048523E-2</v>
      </c>
      <c r="DR12" s="7">
        <v>1.8778943279386909E-2</v>
      </c>
      <c r="DS12" s="7">
        <v>-3.5726155451697807E-2</v>
      </c>
      <c r="DT12" s="7">
        <v>2.5117616030836221E-2</v>
      </c>
      <c r="DU12" s="7">
        <v>-5.7230283144308662E-2</v>
      </c>
      <c r="DV12" s="7">
        <v>4.8550824477530688E-2</v>
      </c>
      <c r="DW12" s="7">
        <v>4.3725564220037427E-2</v>
      </c>
      <c r="DX12" s="7">
        <v>-5.0152080542361532E-2</v>
      </c>
      <c r="DY12" s="7">
        <v>5.3145310887610077E-2</v>
      </c>
      <c r="DZ12" s="7">
        <v>6.2271493484882473E-3</v>
      </c>
      <c r="EA12" s="7">
        <v>5.1097632537531287E-2</v>
      </c>
      <c r="EB12" s="7">
        <v>2.8283267748527709E-3</v>
      </c>
      <c r="EC12" s="7">
        <v>-9.8063813353844453E-3</v>
      </c>
      <c r="ED12" s="7">
        <v>-6.050815280848415E-2</v>
      </c>
      <c r="EE12" s="7">
        <v>1.1917096272487391E-2</v>
      </c>
      <c r="EF12" s="8">
        <v>3.9233348038795662E-2</v>
      </c>
      <c r="EG12" s="18">
        <f t="shared" ref="EG12:EG25" si="10">AVERAGE(C12:EF12)</f>
        <v>1.2224182543275309E-2</v>
      </c>
      <c r="EH12" s="18">
        <f t="shared" ref="EH12:EH25" si="11">STDEV(C12:EF12)</f>
        <v>3.6326969517111174E-2</v>
      </c>
      <c r="EI12" s="18">
        <f t="shared" ref="EI12:EI25" si="12">EG12/EH12</f>
        <v>0.33650433013734671</v>
      </c>
    </row>
    <row r="13" spans="1:139" x14ac:dyDescent="0.3">
      <c r="A13" s="1">
        <v>20</v>
      </c>
      <c r="B13" s="1">
        <v>48</v>
      </c>
      <c r="C13" s="7">
        <v>0.104112750252762</v>
      </c>
      <c r="D13" s="7">
        <v>0.1237450287927723</v>
      </c>
      <c r="E13" s="7">
        <v>6.9861556352806456E-2</v>
      </c>
      <c r="F13" s="7">
        <v>-1.14552398753768E-2</v>
      </c>
      <c r="G13" s="7">
        <v>1.574442605445054E-2</v>
      </c>
      <c r="H13" s="7">
        <v>2.9989631725721271E-2</v>
      </c>
      <c r="I13" s="7">
        <v>2.9130594923697638E-2</v>
      </c>
      <c r="J13" s="7">
        <v>-4.3899227077412117E-2</v>
      </c>
      <c r="K13" s="7">
        <v>-1.3673068264474649E-3</v>
      </c>
      <c r="L13" s="7">
        <v>-6.0251612936536372E-3</v>
      </c>
      <c r="M13" s="7">
        <v>7.7086562624922028E-3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-5.2899802908693339E-2</v>
      </c>
      <c r="U13" s="7">
        <v>1.5970162331858111E-3</v>
      </c>
      <c r="V13" s="7">
        <v>-2.009432801387449E-2</v>
      </c>
      <c r="W13" s="7">
        <v>3.1103087884369891E-2</v>
      </c>
      <c r="X13" s="7">
        <v>5.327689472594363E-2</v>
      </c>
      <c r="Y13" s="7">
        <v>1.392099255764867E-2</v>
      </c>
      <c r="Z13" s="7">
        <v>2.0583761169128259E-2</v>
      </c>
      <c r="AA13" s="7">
        <v>-1.6440619450324361E-2</v>
      </c>
      <c r="AB13" s="7">
        <v>-1.5001573328978489E-2</v>
      </c>
      <c r="AC13" s="7">
        <v>8.0314397959504041E-3</v>
      </c>
      <c r="AD13" s="7">
        <v>2.0440228373792429E-2</v>
      </c>
      <c r="AE13" s="7">
        <v>-6.5719382027610476E-2</v>
      </c>
      <c r="AF13" s="7">
        <v>3.1940463834301228E-2</v>
      </c>
      <c r="AG13" s="7">
        <v>3.282310180952513E-3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7.9829120343788335E-2</v>
      </c>
      <c r="BB13" s="7">
        <v>2.6046345532896049E-2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-5.3371768695190711E-2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0.12011817373823321</v>
      </c>
      <c r="CD13" s="7">
        <v>5.52560480214307E-2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-7.1178864968403879E-2</v>
      </c>
      <c r="CR13" s="7">
        <v>6.4380648737412241E-2</v>
      </c>
      <c r="CS13" s="7">
        <v>3.947650662960555E-3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0.1062353213029536</v>
      </c>
      <c r="DC13" s="7">
        <v>2.354099866843842E-2</v>
      </c>
      <c r="DD13" s="7">
        <v>-5.1406653602818438E-2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5.9835846368128413E-3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-3.3966462251962683E-2</v>
      </c>
      <c r="DR13" s="7">
        <v>1.377120927231194E-2</v>
      </c>
      <c r="DS13" s="7">
        <v>-3.8887627839669842E-2</v>
      </c>
      <c r="DT13" s="7">
        <v>5.0831259890505333E-2</v>
      </c>
      <c r="DU13" s="7">
        <v>-3.3006159442618463E-2</v>
      </c>
      <c r="DV13" s="7">
        <v>7.9620144024188558E-2</v>
      </c>
      <c r="DW13" s="7">
        <v>4.4417789624350307E-2</v>
      </c>
      <c r="DX13" s="7">
        <v>-6.4523379578496173E-2</v>
      </c>
      <c r="DY13" s="7">
        <v>5.6981339047558921E-2</v>
      </c>
      <c r="DZ13" s="7">
        <v>1.8302124146301689E-2</v>
      </c>
      <c r="EA13" s="7">
        <v>6.2118677176029868E-2</v>
      </c>
      <c r="EB13" s="7">
        <v>2.1373218199386389E-2</v>
      </c>
      <c r="EC13" s="7">
        <v>-1.877600359538225E-2</v>
      </c>
      <c r="ED13" s="7">
        <v>-6.5682093659234955E-2</v>
      </c>
      <c r="EE13" s="7">
        <v>7.9525935749644935E-3</v>
      </c>
      <c r="EF13" s="8">
        <v>6.6577215363556236E-2</v>
      </c>
      <c r="EG13" s="18">
        <f t="shared" si="10"/>
        <v>1.7978749465763721E-2</v>
      </c>
      <c r="EH13" s="18">
        <f t="shared" si="11"/>
        <v>4.2571185334091759E-2</v>
      </c>
      <c r="EI13" s="18">
        <f t="shared" si="12"/>
        <v>0.42232203131459489</v>
      </c>
    </row>
    <row r="14" spans="1:139" x14ac:dyDescent="0.3">
      <c r="A14" s="1">
        <v>50</v>
      </c>
      <c r="B14" s="1">
        <v>19</v>
      </c>
      <c r="C14" s="7">
        <v>0.1199414897527061</v>
      </c>
      <c r="D14" s="7">
        <v>0.22230844854062601</v>
      </c>
      <c r="E14" s="7">
        <v>9.8768248142222112E-2</v>
      </c>
      <c r="F14" s="7">
        <v>3.454246416569963E-2</v>
      </c>
      <c r="G14" s="7">
        <v>8.5148761783734067E-2</v>
      </c>
      <c r="H14" s="7">
        <v>5.9587806435440108E-2</v>
      </c>
      <c r="I14" s="7">
        <v>7.7114962431364939E-2</v>
      </c>
      <c r="J14" s="7">
        <v>-0.1050943867827082</v>
      </c>
      <c r="K14" s="7">
        <v>1.245116151579238E-2</v>
      </c>
      <c r="L14" s="7">
        <v>-8.4804475655485129E-3</v>
      </c>
      <c r="M14" s="7">
        <v>4.9945200667877512E-3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-6.9841479520895866E-2</v>
      </c>
      <c r="U14" s="7">
        <v>3.6579129519701881E-2</v>
      </c>
      <c r="V14" s="7">
        <v>-3.837554626450454E-2</v>
      </c>
      <c r="W14" s="7">
        <v>7.4008159388253003E-2</v>
      </c>
      <c r="X14" s="7">
        <v>5.3581708514183243E-2</v>
      </c>
      <c r="Y14" s="7">
        <v>-1.676266335668946E-2</v>
      </c>
      <c r="Z14" s="7">
        <v>2.1252201103450909E-2</v>
      </c>
      <c r="AA14" s="7">
        <v>-2.6273997668139859E-3</v>
      </c>
      <c r="AB14" s="7">
        <v>-2.7335978605554132E-2</v>
      </c>
      <c r="AC14" s="7">
        <v>-2.929208376556364E-2</v>
      </c>
      <c r="AD14" s="7">
        <v>6.9874591735142114E-2</v>
      </c>
      <c r="AE14" s="7">
        <v>-4.0189068228804886E-3</v>
      </c>
      <c r="AF14" s="7">
        <v>4.0420702542399108E-2</v>
      </c>
      <c r="AG14" s="7">
        <v>6.3902010138930376E-3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9.6337325355973988E-2</v>
      </c>
      <c r="BB14" s="7">
        <v>0.101898340258458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-4.6278325003000387E-2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0.1205961585891825</v>
      </c>
      <c r="CD14" s="7">
        <v>4.7921840912584578E-2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-3.2227899887387702E-2</v>
      </c>
      <c r="CR14" s="7">
        <v>6.2640655376448015E-2</v>
      </c>
      <c r="CS14" s="7">
        <v>-3.8161133435199359E-3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0.1046074411002299</v>
      </c>
      <c r="DC14" s="7">
        <v>1.4753761497027579E-2</v>
      </c>
      <c r="DD14" s="7">
        <v>-5.389996674879375E-2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1.589759181276991E-2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-5.6019285986190409E-2</v>
      </c>
      <c r="DR14" s="7">
        <v>5.2622519458999567E-2</v>
      </c>
      <c r="DS14" s="7">
        <v>-3.5044906270916831E-2</v>
      </c>
      <c r="DT14" s="7">
        <v>0.1176725133317565</v>
      </c>
      <c r="DU14" s="7">
        <v>-6.8795273192164358E-2</v>
      </c>
      <c r="DV14" s="7">
        <v>0.1082623545301073</v>
      </c>
      <c r="DW14" s="7">
        <v>9.8344367017777726E-2</v>
      </c>
      <c r="DX14" s="7">
        <v>-0.1019315055524211</v>
      </c>
      <c r="DY14" s="7">
        <v>7.4258700078750628E-2</v>
      </c>
      <c r="DZ14" s="7">
        <v>3.5030999863780207E-2</v>
      </c>
      <c r="EA14" s="7">
        <v>0.10752548319752379</v>
      </c>
      <c r="EB14" s="7">
        <v>3.317733311259085E-2</v>
      </c>
      <c r="EC14" s="7">
        <v>-1.92914596657494E-2</v>
      </c>
      <c r="ED14" s="7">
        <v>-0.102629709186187</v>
      </c>
      <c r="EE14" s="7">
        <v>1.886715684489253E-2</v>
      </c>
      <c r="EF14" s="8">
        <v>6.9956420498558061E-2</v>
      </c>
      <c r="EG14" s="18">
        <f t="shared" si="10"/>
        <v>2.5218076261435955E-2</v>
      </c>
      <c r="EH14" s="18">
        <f t="shared" si="11"/>
        <v>5.8326888254879465E-2</v>
      </c>
      <c r="EI14" s="18">
        <f t="shared" si="12"/>
        <v>0.43235764869260418</v>
      </c>
    </row>
    <row r="15" spans="1:139" x14ac:dyDescent="0.3">
      <c r="A15" s="1">
        <v>100</v>
      </c>
      <c r="B15" s="1">
        <v>10</v>
      </c>
      <c r="C15" s="7">
        <v>0.22764465877785839</v>
      </c>
      <c r="D15" s="7">
        <v>0.37270921560992559</v>
      </c>
      <c r="E15" s="7">
        <v>6.204568011695779E-2</v>
      </c>
      <c r="F15" s="7">
        <v>9.0303713009756648E-2</v>
      </c>
      <c r="G15" s="7">
        <v>9.6605590550261633E-2</v>
      </c>
      <c r="H15" s="7">
        <v>0.1188437037073593</v>
      </c>
      <c r="I15" s="7">
        <v>0.12672874111951199</v>
      </c>
      <c r="J15" s="7">
        <v>-6.4524690109755506E-2</v>
      </c>
      <c r="K15" s="7">
        <v>-4.2103663853407802E-3</v>
      </c>
      <c r="L15" s="7">
        <v>1.296708496104035E-2</v>
      </c>
      <c r="M15" s="7">
        <v>2.5497709479487259E-2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-6.6800124943112091E-2</v>
      </c>
      <c r="U15" s="7">
        <v>4.6790243158631693E-2</v>
      </c>
      <c r="V15" s="7">
        <v>-8.5680881878873433E-2</v>
      </c>
      <c r="W15" s="7">
        <v>0.1025435939827431</v>
      </c>
      <c r="X15" s="7">
        <v>7.8436412445587397E-2</v>
      </c>
      <c r="Y15" s="7">
        <v>-2.41886185471549E-2</v>
      </c>
      <c r="Z15" s="7">
        <v>-2.3656418685670762E-2</v>
      </c>
      <c r="AA15" s="7">
        <v>4.6586123925793019E-2</v>
      </c>
      <c r="AB15" s="7">
        <v>-2.2166400740933071E-2</v>
      </c>
      <c r="AC15" s="7">
        <v>-4.0055129570116199E-2</v>
      </c>
      <c r="AD15" s="7">
        <v>8.171337488818238E-2</v>
      </c>
      <c r="AE15" s="7">
        <v>4.7286476245703507E-2</v>
      </c>
      <c r="AF15" s="7">
        <v>6.5819612497039853E-2</v>
      </c>
      <c r="AG15" s="7">
        <v>-9.7453106019047206E-3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0.15768794840833861</v>
      </c>
      <c r="BB15" s="7">
        <v>0.1087890998161227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-4.8219004487744091E-2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0.17365170572211991</v>
      </c>
      <c r="CD15" s="7">
        <v>8.9094519675820161E-2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2.49633604564388E-2</v>
      </c>
      <c r="CR15" s="7">
        <v>2.4374318697755349E-2</v>
      </c>
      <c r="CS15" s="7">
        <v>1.6910986704255612E-2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9.7048241525465193E-2</v>
      </c>
      <c r="DC15" s="7">
        <v>7.6727024332969171E-2</v>
      </c>
      <c r="DD15" s="7">
        <v>-6.7526409067735202E-2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4.7566622441064077E-2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-7.2938079904142805E-2</v>
      </c>
      <c r="DR15" s="7">
        <v>7.0010566617938433E-2</v>
      </c>
      <c r="DS15" s="7">
        <v>-7.6241908411797149E-2</v>
      </c>
      <c r="DT15" s="7">
        <v>3.4296398911167342E-2</v>
      </c>
      <c r="DU15" s="7">
        <v>-0.1171276535106479</v>
      </c>
      <c r="DV15" s="7">
        <v>0.13976835694087139</v>
      </c>
      <c r="DW15" s="7">
        <v>2.5538627146832551E-2</v>
      </c>
      <c r="DX15" s="7">
        <v>-0.1186162506499864</v>
      </c>
      <c r="DY15" s="7">
        <v>0.14360957438078251</v>
      </c>
      <c r="DZ15" s="7">
        <v>4.0455653304009277E-2</v>
      </c>
      <c r="EA15" s="7">
        <v>0.10917693290987859</v>
      </c>
      <c r="EB15" s="7">
        <v>4.8518573131244913E-2</v>
      </c>
      <c r="EC15" s="7">
        <v>-1.7785518394724049E-2</v>
      </c>
      <c r="ED15" s="7">
        <v>-0.1133570559353114</v>
      </c>
      <c r="EE15" s="7">
        <v>-1.6245414536088298E-2</v>
      </c>
      <c r="EF15" s="8">
        <v>6.5700991138842244E-2</v>
      </c>
      <c r="EG15" s="18">
        <f t="shared" si="10"/>
        <v>3.2002321068482872E-2</v>
      </c>
      <c r="EH15" s="18">
        <f t="shared" si="11"/>
        <v>7.7309795961343686E-2</v>
      </c>
      <c r="EI15" s="18">
        <f t="shared" si="12"/>
        <v>0.41394910787870426</v>
      </c>
    </row>
    <row r="16" spans="1:139" x14ac:dyDescent="0.3">
      <c r="A16" s="1">
        <v>107</v>
      </c>
      <c r="B16" s="1">
        <v>9</v>
      </c>
      <c r="C16" s="7">
        <v>0.20787477708292909</v>
      </c>
      <c r="D16" s="7">
        <v>0.40819497873258059</v>
      </c>
      <c r="E16" s="7">
        <v>6.500657711132822E-2</v>
      </c>
      <c r="F16" s="7">
        <v>0.1242597879076992</v>
      </c>
      <c r="G16" s="7">
        <v>0.1090125126967716</v>
      </c>
      <c r="H16" s="7">
        <v>7.2848056287647484E-2</v>
      </c>
      <c r="I16" s="7">
        <v>0.11179230197990719</v>
      </c>
      <c r="J16" s="7">
        <v>-6.869403325322769E-2</v>
      </c>
      <c r="K16" s="7">
        <v>1.79251045182631E-2</v>
      </c>
      <c r="L16" s="7">
        <v>3.1027150965473069E-2</v>
      </c>
      <c r="M16" s="7">
        <v>4.0334454725240582E-2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-6.7219060157601318E-2</v>
      </c>
      <c r="U16" s="7">
        <v>4.8651515792801768E-2</v>
      </c>
      <c r="V16" s="7">
        <v>-0.1043161756014417</v>
      </c>
      <c r="W16" s="7">
        <v>0.10166567604781181</v>
      </c>
      <c r="X16" s="7">
        <v>7.3678277657467109E-2</v>
      </c>
      <c r="Y16" s="7">
        <v>-4.2874470917364169E-3</v>
      </c>
      <c r="Z16" s="7">
        <v>-2.0075794878424799E-2</v>
      </c>
      <c r="AA16" s="7">
        <v>5.022552686591434E-2</v>
      </c>
      <c r="AB16" s="7">
        <v>-3.2295414434067762E-2</v>
      </c>
      <c r="AC16" s="7">
        <v>-4.1040522709083073E-2</v>
      </c>
      <c r="AD16" s="7">
        <v>5.3136055547856789E-2</v>
      </c>
      <c r="AE16" s="7">
        <v>5.1534991881901908E-2</v>
      </c>
      <c r="AF16" s="7">
        <v>6.3685842581589158E-2</v>
      </c>
      <c r="AG16" s="7">
        <v>-8.3019076028860647E-3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0.15999070017462089</v>
      </c>
      <c r="BB16" s="7">
        <v>0.1324747375965718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-3.9497985491106162E-2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4.4388153170205821E-2</v>
      </c>
      <c r="CD16" s="7">
        <v>8.7751090265593801E-2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2.0333779820360921E-2</v>
      </c>
      <c r="CR16" s="7">
        <v>2.5228656512159529E-2</v>
      </c>
      <c r="CS16" s="7">
        <v>2.1807008909622099E-2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9.8017282885796683E-2</v>
      </c>
      <c r="DC16" s="7">
        <v>6.3740658508044973E-2</v>
      </c>
      <c r="DD16" s="7">
        <v>-7.4371115002597243E-2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5.17532210725552E-2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-6.7560519945635999E-2</v>
      </c>
      <c r="DR16" s="7">
        <v>5.5191251649515209E-2</v>
      </c>
      <c r="DS16" s="7">
        <v>-9.3752064989754288E-2</v>
      </c>
      <c r="DT16" s="7">
        <v>3.2059492153239763E-2</v>
      </c>
      <c r="DU16" s="7">
        <v>-0.1227720465229642</v>
      </c>
      <c r="DV16" s="7">
        <v>0.13695373201779351</v>
      </c>
      <c r="DW16" s="7">
        <v>4.0917729699690833E-2</v>
      </c>
      <c r="DX16" s="7">
        <v>-0.1252847063239774</v>
      </c>
      <c r="DY16" s="7">
        <v>0.15757213273537249</v>
      </c>
      <c r="DZ16" s="7">
        <v>5.8810748191046001E-2</v>
      </c>
      <c r="EA16" s="7">
        <v>0.13979901874338971</v>
      </c>
      <c r="EB16" s="7">
        <v>7.8610638743133537E-2</v>
      </c>
      <c r="EC16" s="7">
        <v>-2.493799654212037E-2</v>
      </c>
      <c r="ED16" s="7">
        <v>-0.1154167474989211</v>
      </c>
      <c r="EE16" s="7">
        <v>-2.3090711524611399E-2</v>
      </c>
      <c r="EF16" s="8">
        <v>4.2474401493907223E-2</v>
      </c>
      <c r="EG16" s="18">
        <f t="shared" si="10"/>
        <v>3.1482594654816468E-2</v>
      </c>
      <c r="EH16" s="18">
        <f t="shared" si="11"/>
        <v>7.9538381244062498E-2</v>
      </c>
      <c r="EI16" s="18">
        <f t="shared" si="12"/>
        <v>0.39581638653435164</v>
      </c>
    </row>
    <row r="17" spans="1:139" x14ac:dyDescent="0.3">
      <c r="A17" s="1">
        <v>120</v>
      </c>
      <c r="B17" s="1">
        <v>8</v>
      </c>
      <c r="C17" s="7">
        <v>0.2060921883792059</v>
      </c>
      <c r="D17" s="7">
        <v>0.43958848862462141</v>
      </c>
      <c r="E17" s="7">
        <v>7.9589849390753017E-2</v>
      </c>
      <c r="F17" s="7">
        <v>0.14677181431251229</v>
      </c>
      <c r="G17" s="7">
        <v>0.1171314801951346</v>
      </c>
      <c r="H17" s="7">
        <v>0.104994053627741</v>
      </c>
      <c r="I17" s="7">
        <v>6.7489655086341166E-2</v>
      </c>
      <c r="J17" s="7">
        <v>-0.11529907324194991</v>
      </c>
      <c r="K17" s="7">
        <v>3.9444991917733881E-2</v>
      </c>
      <c r="L17" s="7">
        <v>3.3775929538638137E-2</v>
      </c>
      <c r="M17" s="7">
        <v>6.4932034983486181E-2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-7.120201453280707E-2</v>
      </c>
      <c r="U17" s="7">
        <v>5.2290233946816159E-2</v>
      </c>
      <c r="V17" s="7">
        <v>-0.11635630202540009</v>
      </c>
      <c r="W17" s="7">
        <v>0.1196039840123075</v>
      </c>
      <c r="X17" s="7">
        <v>0.1001859670039883</v>
      </c>
      <c r="Y17" s="7">
        <v>1.500501326537191E-3</v>
      </c>
      <c r="Z17" s="7">
        <v>-2.160848979426638E-2</v>
      </c>
      <c r="AA17" s="7">
        <v>6.2254197086471723E-2</v>
      </c>
      <c r="AB17" s="7">
        <v>-4.4538303269439639E-2</v>
      </c>
      <c r="AC17" s="7">
        <v>-4.0799010987682183E-2</v>
      </c>
      <c r="AD17" s="7">
        <v>4.9777375460754107E-2</v>
      </c>
      <c r="AE17" s="7">
        <v>5.9443499695692369E-2</v>
      </c>
      <c r="AF17" s="7">
        <v>6.1429310121940139E-2</v>
      </c>
      <c r="AG17" s="7">
        <v>-1.3516708058117981E-3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0.1628064098097628</v>
      </c>
      <c r="BB17" s="7">
        <v>0.15327128427838471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-2.905901115235426E-2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4.1760252474235628E-2</v>
      </c>
      <c r="CD17" s="7">
        <v>6.4105945265327313E-2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-5.1907103341726511E-2</v>
      </c>
      <c r="CR17" s="7">
        <v>2.3005829537998311E-2</v>
      </c>
      <c r="CS17" s="7">
        <v>1.1545515717005199E-2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0.1042716259030833</v>
      </c>
      <c r="DC17" s="7">
        <v>5.3888321948882503E-2</v>
      </c>
      <c r="DD17" s="7">
        <v>-4.8130589338511678E-2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5.7146500327343322E-2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-6.5244348133762259E-2</v>
      </c>
      <c r="DR17" s="7">
        <v>5.5884814876328279E-2</v>
      </c>
      <c r="DS17" s="7">
        <v>-0.12431615980481089</v>
      </c>
      <c r="DT17" s="7">
        <v>1.674318991919271E-2</v>
      </c>
      <c r="DU17" s="7">
        <v>-0.12949295631998961</v>
      </c>
      <c r="DV17" s="7">
        <v>0.11776539811095429</v>
      </c>
      <c r="DW17" s="7">
        <v>4.8681483414150163E-2</v>
      </c>
      <c r="DX17" s="7">
        <v>-0.12953898259647401</v>
      </c>
      <c r="DY17" s="7">
        <v>0.10728289560185179</v>
      </c>
      <c r="DZ17" s="7">
        <v>4.9212629169808252E-2</v>
      </c>
      <c r="EA17" s="7">
        <v>0.1645715232321148</v>
      </c>
      <c r="EB17" s="7">
        <v>8.7100349194739302E-2</v>
      </c>
      <c r="EC17" s="7">
        <v>-2.0361159093761828E-2</v>
      </c>
      <c r="ED17" s="7">
        <v>-0.12832444392891271</v>
      </c>
      <c r="EE17" s="7">
        <v>-2.5413360310033831E-2</v>
      </c>
      <c r="EF17" s="8">
        <v>4.7709767009851849E-2</v>
      </c>
      <c r="EG17" s="18">
        <f t="shared" si="10"/>
        <v>3.125171493547263E-2</v>
      </c>
      <c r="EH17" s="18">
        <f t="shared" si="11"/>
        <v>8.8565557383425975E-2</v>
      </c>
      <c r="EI17" s="18">
        <f t="shared" si="12"/>
        <v>0.35286533341821469</v>
      </c>
    </row>
    <row r="18" spans="1:139" x14ac:dyDescent="0.3">
      <c r="A18" s="1">
        <v>137</v>
      </c>
      <c r="B18" s="1">
        <v>7</v>
      </c>
      <c r="C18" s="7">
        <v>0.18975112249235829</v>
      </c>
      <c r="D18" s="7">
        <v>0.40188368142206798</v>
      </c>
      <c r="E18" s="7">
        <v>5.3439350267724013E-2</v>
      </c>
      <c r="F18" s="7">
        <v>0.21209065115804249</v>
      </c>
      <c r="G18" s="7">
        <v>0.13305805731961079</v>
      </c>
      <c r="H18" s="7">
        <v>0.12853956177457129</v>
      </c>
      <c r="I18" s="7">
        <v>5.4952662908801589E-2</v>
      </c>
      <c r="J18" s="7">
        <v>-0.12516179308854181</v>
      </c>
      <c r="K18" s="7">
        <v>3.1586450310913693E-2</v>
      </c>
      <c r="L18" s="7">
        <v>4.6672720340673143E-2</v>
      </c>
      <c r="M18" s="7">
        <v>7.970257711397645E-2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-5.4244440031608693E-2</v>
      </c>
      <c r="U18" s="7">
        <v>2.813552763259065E-2</v>
      </c>
      <c r="V18" s="7">
        <v>-0.13125392693944099</v>
      </c>
      <c r="W18" s="7">
        <v>0.1379172379157062</v>
      </c>
      <c r="X18" s="7">
        <v>0.1271228086254903</v>
      </c>
      <c r="Y18" s="7">
        <v>2.421380772058089E-2</v>
      </c>
      <c r="Z18" s="7">
        <v>-1.690571618738388E-2</v>
      </c>
      <c r="AA18" s="7">
        <v>5.4804497980215187E-2</v>
      </c>
      <c r="AB18" s="7">
        <v>-6.2644805262660919E-2</v>
      </c>
      <c r="AC18" s="7">
        <v>-7.4719823379266678E-2</v>
      </c>
      <c r="AD18" s="7">
        <v>7.2443789088531399E-2</v>
      </c>
      <c r="AE18" s="7">
        <v>7.7201591618879711E-2</v>
      </c>
      <c r="AF18" s="7">
        <v>3.187341816062559E-2</v>
      </c>
      <c r="AG18" s="7">
        <v>-8.6183643801437219E-3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0.18047976466954649</v>
      </c>
      <c r="BB18" s="7">
        <v>0.16725801848079261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-2.8081356373095352E-2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0.1046606238416451</v>
      </c>
      <c r="CD18" s="7">
        <v>5.0445794555038302E-2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-3.8242675594942703E-2</v>
      </c>
      <c r="CR18" s="7">
        <v>3.3743302271192592E-2</v>
      </c>
      <c r="CS18" s="7">
        <v>2.8128560414088639E-2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0.1181147182852117</v>
      </c>
      <c r="DC18" s="7">
        <v>4.9208867424112533E-2</v>
      </c>
      <c r="DD18" s="7">
        <v>-7.1071299907563223E-2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5.0654511409894881E-2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-6.1955528967367397E-2</v>
      </c>
      <c r="DR18" s="7">
        <v>7.6840654771961045E-2</v>
      </c>
      <c r="DS18" s="7">
        <v>-0.1477219984517327</v>
      </c>
      <c r="DT18" s="7">
        <v>-7.4073899594950176E-3</v>
      </c>
      <c r="DU18" s="7">
        <v>-0.15871482271667761</v>
      </c>
      <c r="DV18" s="7">
        <v>0.1056406088000619</v>
      </c>
      <c r="DW18" s="7">
        <v>8.1908692284373169E-2</v>
      </c>
      <c r="DX18" s="7">
        <v>-0.1536029774624818</v>
      </c>
      <c r="DY18" s="7">
        <v>0.1368331149382522</v>
      </c>
      <c r="DZ18" s="7">
        <v>5.4630374156582083E-2</v>
      </c>
      <c r="EA18" s="7">
        <v>0.19894574816433719</v>
      </c>
      <c r="EB18" s="7">
        <v>9.9846377978320619E-2</v>
      </c>
      <c r="EC18" s="7">
        <v>-1.9600515916961631E-2</v>
      </c>
      <c r="ED18" s="7">
        <v>-0.11047802186576559</v>
      </c>
      <c r="EE18" s="7">
        <v>-1.385375397450707E-2</v>
      </c>
      <c r="EF18" s="8">
        <v>4.8955017110416547E-2</v>
      </c>
      <c r="EG18" s="18">
        <f t="shared" si="10"/>
        <v>3.335854161564409E-2</v>
      </c>
      <c r="EH18" s="18">
        <f t="shared" si="11"/>
        <v>9.8073907648061218E-2</v>
      </c>
      <c r="EI18" s="18">
        <f t="shared" si="12"/>
        <v>0.34013676436092877</v>
      </c>
    </row>
    <row r="19" spans="1:139" x14ac:dyDescent="0.3">
      <c r="A19" s="1">
        <v>160</v>
      </c>
      <c r="B19" s="1">
        <v>6</v>
      </c>
      <c r="C19" s="7">
        <v>0.19660026531165431</v>
      </c>
      <c r="D19" s="7">
        <v>0.40752071008946927</v>
      </c>
      <c r="E19" s="7">
        <v>6.5814207330017804E-2</v>
      </c>
      <c r="F19" s="7">
        <v>0.2361704653757343</v>
      </c>
      <c r="G19" s="7">
        <v>0.15286434188697251</v>
      </c>
      <c r="H19" s="7">
        <v>0.17761031882265199</v>
      </c>
      <c r="I19" s="7">
        <v>4.746340533639954E-2</v>
      </c>
      <c r="J19" s="7">
        <v>-0.15623035308620389</v>
      </c>
      <c r="K19" s="7">
        <v>5.6540969561565207E-2</v>
      </c>
      <c r="L19" s="7">
        <v>3.036283305602917E-2</v>
      </c>
      <c r="M19" s="7">
        <v>8.6210339026117716E-2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-2.7154277986299109E-2</v>
      </c>
      <c r="U19" s="7">
        <v>4.4186857998324967E-2</v>
      </c>
      <c r="V19" s="7">
        <v>-0.11868445851892109</v>
      </c>
      <c r="W19" s="7">
        <v>0.14662099071751011</v>
      </c>
      <c r="X19" s="7">
        <v>0.122923146245717</v>
      </c>
      <c r="Y19" s="7">
        <v>2.406430534505774E-2</v>
      </c>
      <c r="Z19" s="7">
        <v>-2.2223239298902381E-2</v>
      </c>
      <c r="AA19" s="7">
        <v>4.7300121799034582E-2</v>
      </c>
      <c r="AB19" s="7">
        <v>-5.1718752810757287E-2</v>
      </c>
      <c r="AC19" s="7">
        <v>-8.3512866892878637E-2</v>
      </c>
      <c r="AD19" s="7">
        <v>2.399745726106059E-2</v>
      </c>
      <c r="AE19" s="7">
        <v>0.11523186996306679</v>
      </c>
      <c r="AF19" s="7">
        <v>3.8785666808899749E-2</v>
      </c>
      <c r="AG19" s="7">
        <v>1.92975452240348E-2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0.18699677755478061</v>
      </c>
      <c r="BB19" s="7">
        <v>0.2018019106632078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-3.1786264869145278E-2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2.2506232898517449E-2</v>
      </c>
      <c r="CD19" s="7">
        <v>8.7664948361316358E-2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-3.2394607516418629E-2</v>
      </c>
      <c r="CR19" s="7">
        <v>2.4299202463726639E-2</v>
      </c>
      <c r="CS19" s="7">
        <v>4.3774986978304217E-2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0.14796184676961621</v>
      </c>
      <c r="DC19" s="7">
        <v>3.0276457178153349E-2</v>
      </c>
      <c r="DD19" s="7">
        <v>-6.3547464152502509E-2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8.0499602410030055E-2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-5.0623171449732877E-2</v>
      </c>
      <c r="DR19" s="7">
        <v>7.5962353325048193E-2</v>
      </c>
      <c r="DS19" s="7">
        <v>-0.1779955469539703</v>
      </c>
      <c r="DT19" s="7">
        <v>-3.0761271922289252E-3</v>
      </c>
      <c r="DU19" s="7">
        <v>-0.15058192195631251</v>
      </c>
      <c r="DV19" s="7">
        <v>0.1115247064406045</v>
      </c>
      <c r="DW19" s="7">
        <v>6.0609139340684293E-2</v>
      </c>
      <c r="DX19" s="7">
        <v>-0.1383651342381777</v>
      </c>
      <c r="DY19" s="7">
        <v>0.1392486786855984</v>
      </c>
      <c r="DZ19" s="7">
        <v>7.8537947622533175E-2</v>
      </c>
      <c r="EA19" s="7">
        <v>0.23304583030528039</v>
      </c>
      <c r="EB19" s="7">
        <v>2.1772770012778581E-2</v>
      </c>
      <c r="EC19" s="7">
        <v>-3.1325109885979932E-2</v>
      </c>
      <c r="ED19" s="7">
        <v>-0.15093531699015689</v>
      </c>
      <c r="EE19" s="7">
        <v>1.2634042940422471E-2</v>
      </c>
      <c r="EF19" s="8">
        <v>1.697795487476916E-2</v>
      </c>
      <c r="EG19" s="18">
        <f t="shared" si="10"/>
        <v>3.377533408449182E-2</v>
      </c>
      <c r="EH19" s="18">
        <f t="shared" si="11"/>
        <v>0.10744982800476002</v>
      </c>
      <c r="EI19" s="18">
        <f t="shared" si="12"/>
        <v>0.31433585992334556</v>
      </c>
    </row>
    <row r="20" spans="1:139" x14ac:dyDescent="0.3">
      <c r="A20" s="1">
        <v>192</v>
      </c>
      <c r="B20" s="1">
        <v>5</v>
      </c>
      <c r="C20" s="7">
        <v>0.2015510478639157</v>
      </c>
      <c r="D20" s="7">
        <v>0.38202502004734989</v>
      </c>
      <c r="E20" s="7">
        <v>5.7336350326780597E-2</v>
      </c>
      <c r="F20" s="7">
        <v>0.18241961869314111</v>
      </c>
      <c r="G20" s="7">
        <v>0.15802736357208361</v>
      </c>
      <c r="H20" s="7">
        <v>0.14393228225567539</v>
      </c>
      <c r="I20" s="7">
        <v>2.7935541644402932E-2</v>
      </c>
      <c r="J20" s="7">
        <v>-0.13320729307702719</v>
      </c>
      <c r="K20" s="7">
        <v>3.7404684852111583E-2</v>
      </c>
      <c r="L20" s="7">
        <v>3.069548300109538E-2</v>
      </c>
      <c r="M20" s="7">
        <v>0.100133414364086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1.566291051925937E-2</v>
      </c>
      <c r="U20" s="7">
        <v>3.2237658419507161E-2</v>
      </c>
      <c r="V20" s="7">
        <v>-0.13628806336757671</v>
      </c>
      <c r="W20" s="7">
        <v>0.17308537617758091</v>
      </c>
      <c r="X20" s="7">
        <v>0.15004231162753859</v>
      </c>
      <c r="Y20" s="7">
        <v>-4.8557578603156213E-3</v>
      </c>
      <c r="Z20" s="7">
        <v>2.9157350054346439E-2</v>
      </c>
      <c r="AA20" s="7">
        <v>6.6961978782240111E-2</v>
      </c>
      <c r="AB20" s="7">
        <v>-3.2898545320226208E-2</v>
      </c>
      <c r="AC20" s="7">
        <v>-9.6309042825298966E-2</v>
      </c>
      <c r="AD20" s="7">
        <v>2.698730357067794E-2</v>
      </c>
      <c r="AE20" s="7">
        <v>1.7311149627037389E-2</v>
      </c>
      <c r="AF20" s="7">
        <v>3.9044678387579961E-2</v>
      </c>
      <c r="AG20" s="7">
        <v>-6.2417403721479496E-3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0.15133772550591279</v>
      </c>
      <c r="BB20" s="7">
        <v>0.2312136261880767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-4.7468551464188873E-2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1.291514747808061E-2</v>
      </c>
      <c r="CD20" s="7">
        <v>9.606464764259523E-2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-2.3118045300283038E-2</v>
      </c>
      <c r="CR20" s="7">
        <v>2.5362552774013961E-2</v>
      </c>
      <c r="CS20" s="7">
        <v>2.2293038159359669E-2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7.696806977078402E-2</v>
      </c>
      <c r="DC20" s="7">
        <v>2.890116070260346E-2</v>
      </c>
      <c r="DD20" s="7">
        <v>-6.8163012313784327E-2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8.1277020159802621E-2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-3.8540311084368499E-2</v>
      </c>
      <c r="DR20" s="7">
        <v>7.8512660028290493E-2</v>
      </c>
      <c r="DS20" s="7">
        <v>-0.20608109757835469</v>
      </c>
      <c r="DT20" s="7">
        <v>4.8293441839824189E-3</v>
      </c>
      <c r="DU20" s="7">
        <v>-0.17637516893039651</v>
      </c>
      <c r="DV20" s="7">
        <v>0.12934547183885869</v>
      </c>
      <c r="DW20" s="7">
        <v>6.9060203958039607E-2</v>
      </c>
      <c r="DX20" s="7">
        <v>-0.15386632960631469</v>
      </c>
      <c r="DY20" s="7">
        <v>0.1215914577754016</v>
      </c>
      <c r="DZ20" s="7">
        <v>9.0199646158974578E-2</v>
      </c>
      <c r="EA20" s="7">
        <v>0.29368998396417129</v>
      </c>
      <c r="EB20" s="7">
        <v>3.9067633350965261E-2</v>
      </c>
      <c r="EC20" s="7">
        <v>2.2976412108212281E-2</v>
      </c>
      <c r="ED20" s="7">
        <v>-0.17691886106701021</v>
      </c>
      <c r="EE20" s="7">
        <v>2.3672309273819309E-3</v>
      </c>
      <c r="EF20" s="8">
        <v>2.0281416615907238E-2</v>
      </c>
      <c r="EG20" s="18">
        <f t="shared" si="10"/>
        <v>3.1945673530255167E-2</v>
      </c>
      <c r="EH20" s="18">
        <f t="shared" si="11"/>
        <v>0.11491063164707004</v>
      </c>
      <c r="EI20" s="18">
        <f t="shared" si="12"/>
        <v>0.27800450726240272</v>
      </c>
    </row>
    <row r="21" spans="1:139" x14ac:dyDescent="0.3">
      <c r="A21" s="1">
        <v>241</v>
      </c>
      <c r="B21" s="1">
        <v>4</v>
      </c>
      <c r="C21" s="7">
        <v>0.21462957980695321</v>
      </c>
      <c r="D21" s="7">
        <v>0.12638791676682359</v>
      </c>
      <c r="E21" s="7">
        <v>-1.3690170285790599E-2</v>
      </c>
      <c r="F21" s="7">
        <v>0.20341349755932739</v>
      </c>
      <c r="G21" s="7">
        <v>0.14533185880700039</v>
      </c>
      <c r="H21" s="7">
        <v>0.1621640877938379</v>
      </c>
      <c r="I21" s="7">
        <v>1.4111278480981961E-2</v>
      </c>
      <c r="J21" s="7">
        <v>-0.13674291533985661</v>
      </c>
      <c r="K21" s="7">
        <v>1.4702959601359119E-3</v>
      </c>
      <c r="L21" s="7">
        <v>-5.0291533060606367E-3</v>
      </c>
      <c r="M21" s="7">
        <v>7.5660649926760526E-2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-1.4040364340204919E-2</v>
      </c>
      <c r="U21" s="7">
        <v>-9.8246407343969278E-3</v>
      </c>
      <c r="V21" s="7">
        <v>-0.13175048865250241</v>
      </c>
      <c r="W21" s="7">
        <v>0.15778847961546261</v>
      </c>
      <c r="X21" s="7">
        <v>0.20780126735333779</v>
      </c>
      <c r="Y21" s="7">
        <v>-1.014366037320256E-2</v>
      </c>
      <c r="Z21" s="7">
        <v>3.9457715679957053E-2</v>
      </c>
      <c r="AA21" s="7">
        <v>2.8033456192208511E-2</v>
      </c>
      <c r="AB21" s="7">
        <v>-2.1955943889134161E-2</v>
      </c>
      <c r="AC21" s="7">
        <v>-0.15954227246420169</v>
      </c>
      <c r="AD21" s="7">
        <v>-2.593327599743489E-2</v>
      </c>
      <c r="AE21" s="7">
        <v>1.031161069406002E-2</v>
      </c>
      <c r="AF21" s="7">
        <v>5.3125609886562987E-2</v>
      </c>
      <c r="AG21" s="7">
        <v>-1.057075303995837E-2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0.1395926821613267</v>
      </c>
      <c r="BB21" s="7">
        <v>0.29451263697732177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-4.0795286028720637E-2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-8.0189542709663136E-3</v>
      </c>
      <c r="CD21" s="7">
        <v>8.4423550992515431E-2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-2.2912194169496192E-2</v>
      </c>
      <c r="CR21" s="7">
        <v>1.161578886010306E-2</v>
      </c>
      <c r="CS21" s="7">
        <v>3.0907745682497659E-2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7.1461213773998111E-2</v>
      </c>
      <c r="DC21" s="7">
        <v>4.8309147365506719E-2</v>
      </c>
      <c r="DD21" s="7">
        <v>-6.7027496200741665E-2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7.330279150207536E-2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-2.821605205239688E-2</v>
      </c>
      <c r="DR21" s="7">
        <v>5.0170859037080733E-2</v>
      </c>
      <c r="DS21" s="7">
        <v>-0.20083947383729561</v>
      </c>
      <c r="DT21" s="7">
        <v>-9.7086429422632292E-3</v>
      </c>
      <c r="DU21" s="7">
        <v>-0.1486147166384135</v>
      </c>
      <c r="DV21" s="7">
        <v>0.140275976869878</v>
      </c>
      <c r="DW21" s="7">
        <v>0.12824786866412111</v>
      </c>
      <c r="DX21" s="7">
        <v>-0.18596621403118341</v>
      </c>
      <c r="DY21" s="7">
        <v>0.16673097108859181</v>
      </c>
      <c r="DZ21" s="7">
        <v>9.893057365990536E-2</v>
      </c>
      <c r="EA21" s="7">
        <v>0.26605683227934601</v>
      </c>
      <c r="EB21" s="7">
        <v>8.4081461705858979E-3</v>
      </c>
      <c r="EC21" s="7">
        <v>2.7188931609766109E-2</v>
      </c>
      <c r="ED21" s="7">
        <v>-5.4498856348180663E-2</v>
      </c>
      <c r="EE21" s="7">
        <v>1.4428852108417999E-2</v>
      </c>
      <c r="EF21" s="8">
        <v>-1.8771264042119089E-2</v>
      </c>
      <c r="EG21" s="18">
        <f t="shared" si="10"/>
        <v>3.4546902243615785E-2</v>
      </c>
      <c r="EH21" s="18">
        <f t="shared" si="11"/>
        <v>0.1231291582704544</v>
      </c>
      <c r="EI21" s="18">
        <f t="shared" si="12"/>
        <v>0.28057450183922461</v>
      </c>
    </row>
    <row r="22" spans="1:139" x14ac:dyDescent="0.3">
      <c r="A22" s="1">
        <v>321</v>
      </c>
      <c r="B22" s="1">
        <v>3</v>
      </c>
      <c r="C22" s="7">
        <v>0.20528030103697539</v>
      </c>
      <c r="D22" s="7">
        <v>0.1424278520773985</v>
      </c>
      <c r="E22" s="7">
        <v>-1.7355098916458981E-2</v>
      </c>
      <c r="F22" s="7">
        <v>-0.13986745030938699</v>
      </c>
      <c r="G22" s="7">
        <v>0.23294542459532269</v>
      </c>
      <c r="H22" s="7">
        <v>0.1241780629606463</v>
      </c>
      <c r="I22" s="7">
        <v>1.743734320629017E-2</v>
      </c>
      <c r="J22" s="7">
        <v>-0.10425350273662951</v>
      </c>
      <c r="K22" s="7">
        <v>2.8656780116393998E-2</v>
      </c>
      <c r="L22" s="7">
        <v>1.427320868498227E-2</v>
      </c>
      <c r="M22" s="7">
        <v>-0.22515860506358171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-2.023861247683403E-2</v>
      </c>
      <c r="U22" s="7">
        <v>5.2488906495621809E-2</v>
      </c>
      <c r="V22" s="7">
        <v>-0.1756249024704124</v>
      </c>
      <c r="W22" s="7">
        <v>0.20748026702429739</v>
      </c>
      <c r="X22" s="7">
        <v>0.25720235121349699</v>
      </c>
      <c r="Y22" s="7">
        <v>-6.9853331702800808E-2</v>
      </c>
      <c r="Z22" s="7">
        <v>2.386612179035642E-2</v>
      </c>
      <c r="AA22" s="7">
        <v>0.1181206143698829</v>
      </c>
      <c r="AB22" s="7">
        <v>3.8652301253394171E-3</v>
      </c>
      <c r="AC22" s="7">
        <v>-0.1772130781488627</v>
      </c>
      <c r="AD22" s="7">
        <v>-1.859374921466125E-2</v>
      </c>
      <c r="AE22" s="7">
        <v>-8.514768595770715E-2</v>
      </c>
      <c r="AF22" s="7">
        <v>4.718231615802413E-2</v>
      </c>
      <c r="AG22" s="7">
        <v>-4.5973813007689088E-2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4.9774957584186978E-2</v>
      </c>
      <c r="BB22" s="7">
        <v>0.36955058329648782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-2.4304832455331882E-3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-0.12510399532003291</v>
      </c>
      <c r="CD22" s="7">
        <v>9.5518542864996087E-2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-1.7159615519123799E-2</v>
      </c>
      <c r="CR22" s="7">
        <v>-2.8422205079160712E-2</v>
      </c>
      <c r="CS22" s="7">
        <v>2.4439586832032689E-2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5.4041621710522049E-2</v>
      </c>
      <c r="DC22" s="7">
        <v>7.2342033732944094E-2</v>
      </c>
      <c r="DD22" s="7">
        <v>-1.596257781556271E-2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4.277692212467888E-2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-5.1850201837621311E-2</v>
      </c>
      <c r="DR22" s="7">
        <v>-6.0925526153180337E-3</v>
      </c>
      <c r="DS22" s="7">
        <v>-0.19705092156235929</v>
      </c>
      <c r="DT22" s="7">
        <v>-4.3681446324088213E-2</v>
      </c>
      <c r="DU22" s="7">
        <v>-0.16154691088272999</v>
      </c>
      <c r="DV22" s="7">
        <v>0.12570511767817799</v>
      </c>
      <c r="DW22" s="7">
        <v>7.838972370699715E-2</v>
      </c>
      <c r="DX22" s="7">
        <v>-0.22244260844829469</v>
      </c>
      <c r="DY22" s="7">
        <v>0.11995602471866181</v>
      </c>
      <c r="DZ22" s="7">
        <v>0.11083450478771149</v>
      </c>
      <c r="EA22" s="7">
        <v>0.14035616200069359</v>
      </c>
      <c r="EB22" s="7">
        <v>-8.0596727535317977E-2</v>
      </c>
      <c r="EC22" s="7">
        <v>8.808544742642449E-2</v>
      </c>
      <c r="ED22" s="7">
        <v>-7.7413567057607463E-2</v>
      </c>
      <c r="EE22" s="7">
        <v>3.344630381221339E-2</v>
      </c>
      <c r="EF22" s="8">
        <v>-3.4790246372172352E-2</v>
      </c>
      <c r="EG22" s="18">
        <f t="shared" si="10"/>
        <v>2.6924342732205633E-2</v>
      </c>
      <c r="EH22" s="18">
        <f t="shared" si="11"/>
        <v>0.14625772106250842</v>
      </c>
      <c r="EI22" s="18">
        <f t="shared" si="12"/>
        <v>0.18408835127889461</v>
      </c>
    </row>
    <row r="23" spans="1:139" x14ac:dyDescent="0.3">
      <c r="A23" s="1">
        <v>482</v>
      </c>
      <c r="B23" s="1">
        <v>2</v>
      </c>
      <c r="C23" s="7">
        <v>0.28298926569632887</v>
      </c>
      <c r="D23" s="7">
        <v>0.25409262745146127</v>
      </c>
      <c r="E23" s="7">
        <v>0.13300519405617101</v>
      </c>
      <c r="F23" s="7">
        <v>-3.740232941910691E-3</v>
      </c>
      <c r="G23" s="7">
        <v>0.36163212077843282</v>
      </c>
      <c r="H23" s="7">
        <v>-1.8188470841484668E-2</v>
      </c>
      <c r="I23" s="7">
        <v>-3.6386488866407093E-2</v>
      </c>
      <c r="J23" s="7">
        <v>-0.1148775059304451</v>
      </c>
      <c r="K23" s="7">
        <v>-5.9917884508062888E-2</v>
      </c>
      <c r="L23" s="7">
        <v>5.0770833705182927E-2</v>
      </c>
      <c r="M23" s="7">
        <v>-0.26256934704734031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-3.733692084787466E-4</v>
      </c>
      <c r="U23" s="7">
        <v>5.924178948110146E-2</v>
      </c>
      <c r="V23" s="7">
        <v>-0.2324772033709247</v>
      </c>
      <c r="W23" s="7">
        <v>0.33161915024914451</v>
      </c>
      <c r="X23" s="7">
        <v>0.1945564614576443</v>
      </c>
      <c r="Y23" s="7">
        <v>-6.7949921591350784E-2</v>
      </c>
      <c r="Z23" s="7">
        <v>4.1051966520251372E-2</v>
      </c>
      <c r="AA23" s="7">
        <v>0.15164933184604609</v>
      </c>
      <c r="AB23" s="7">
        <v>3.09913850559921E-2</v>
      </c>
      <c r="AC23" s="7">
        <v>-0.23400862094644481</v>
      </c>
      <c r="AD23" s="7">
        <v>-2.9952915704841848E-3</v>
      </c>
      <c r="AE23" s="7">
        <v>-0.22171323582164909</v>
      </c>
      <c r="AF23" s="7">
        <v>6.6906260089751285E-2</v>
      </c>
      <c r="AG23" s="7">
        <v>-2.0576770504273641E-3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5.3998338629857423E-2</v>
      </c>
      <c r="BB23" s="7">
        <v>0.56682652604744033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6.9495462024450616E-2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-8.4544614715775346E-2</v>
      </c>
      <c r="CD23" s="7">
        <v>0.141241944161549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2.4702270079380868E-2</v>
      </c>
      <c r="CR23" s="7">
        <v>-3.8232839171219918E-2</v>
      </c>
      <c r="CS23" s="7">
        <v>6.901537085690515E-2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1.8747066443219641E-2</v>
      </c>
      <c r="DC23" s="7">
        <v>7.2416033656425932E-2</v>
      </c>
      <c r="DD23" s="7">
        <v>-1.8407826273001211E-2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-3.3824576295396119E-2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-0.12113204125745761</v>
      </c>
      <c r="DR23" s="7">
        <v>-8.9886002731306744E-2</v>
      </c>
      <c r="DS23" s="7">
        <v>-0.28809657691904628</v>
      </c>
      <c r="DT23" s="7">
        <v>-5.4250460668612679E-2</v>
      </c>
      <c r="DU23" s="7">
        <v>-5.5639478708282321E-2</v>
      </c>
      <c r="DV23" s="7">
        <v>0.27627160832943959</v>
      </c>
      <c r="DW23" s="7">
        <v>0.14122823258283859</v>
      </c>
      <c r="DX23" s="7">
        <v>-0.31349320637896622</v>
      </c>
      <c r="DY23" s="7">
        <v>-5.3926224537590731E-2</v>
      </c>
      <c r="DZ23" s="7">
        <v>-0.21717398775244159</v>
      </c>
      <c r="EA23" s="7">
        <v>-2.875877977640498E-2</v>
      </c>
      <c r="EB23" s="7">
        <v>-6.2753439710675096E-2</v>
      </c>
      <c r="EC23" s="7">
        <v>9.3644533160520085E-2</v>
      </c>
      <c r="ED23" s="7">
        <v>-9.1425904619781034E-2</v>
      </c>
      <c r="EE23" s="7">
        <v>5.9050683888240307E-2</v>
      </c>
      <c r="EF23" s="8">
        <v>-4.7782278591659677E-2</v>
      </c>
      <c r="EG23" s="18">
        <f t="shared" si="10"/>
        <v>2.5798074158811645E-2</v>
      </c>
      <c r="EH23" s="18">
        <f t="shared" si="11"/>
        <v>0.19109655074705001</v>
      </c>
      <c r="EI23" s="18">
        <f t="shared" si="12"/>
        <v>0.13500020831333553</v>
      </c>
    </row>
    <row r="24" spans="1:139" x14ac:dyDescent="0.3">
      <c r="A24" s="1">
        <v>964</v>
      </c>
      <c r="B24" s="1">
        <v>1</v>
      </c>
      <c r="C24" s="7">
        <v>9.9113364206882743E-2</v>
      </c>
      <c r="D24" s="7">
        <v>0.1006099128992286</v>
      </c>
      <c r="E24" s="7">
        <v>0.28451249769050191</v>
      </c>
      <c r="F24" s="7">
        <v>7.5326493831706698E-2</v>
      </c>
      <c r="G24" s="7">
        <v>0.2296070518581638</v>
      </c>
      <c r="H24" s="7">
        <v>3.5855796654956661E-2</v>
      </c>
      <c r="I24" s="7">
        <v>1.692708918074378E-2</v>
      </c>
      <c r="J24" s="7">
        <v>-0.1154627982140225</v>
      </c>
      <c r="K24" s="7">
        <v>5.3732996668234008E-2</v>
      </c>
      <c r="L24" s="7">
        <v>9.3799693256750388E-2</v>
      </c>
      <c r="M24" s="7">
        <v>-0.46302754420013847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0.1236910440917892</v>
      </c>
      <c r="U24" s="7">
        <v>0.28585628998140078</v>
      </c>
      <c r="V24" s="7">
        <v>-9.8678511259329957E-2</v>
      </c>
      <c r="W24" s="7">
        <v>0.49571198595594262</v>
      </c>
      <c r="X24" s="7">
        <v>-8.988764650171982E-4</v>
      </c>
      <c r="Y24" s="7">
        <v>-0.1203174930645305</v>
      </c>
      <c r="Z24" s="7">
        <v>-2.439454874957615E-2</v>
      </c>
      <c r="AA24" s="7">
        <v>9.4359582813794432E-2</v>
      </c>
      <c r="AB24" s="7">
        <v>0.30039379355698248</v>
      </c>
      <c r="AC24" s="7">
        <v>-0.24616895878469969</v>
      </c>
      <c r="AD24" s="7">
        <v>-5.9922146810819088E-2</v>
      </c>
      <c r="AE24" s="7">
        <v>-0.17526881500734201</v>
      </c>
      <c r="AF24" s="7">
        <v>2.2522010034790499E-2</v>
      </c>
      <c r="AG24" s="7">
        <v>0.10590047247440069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5.0491305412012258E-2</v>
      </c>
      <c r="BB24" s="7">
        <v>0.69077653138067185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-8.4782939838988242E-2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-0.18246987988756161</v>
      </c>
      <c r="CD24" s="7">
        <v>2.9953525870016359E-2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0.1601896466275006</v>
      </c>
      <c r="CR24" s="7">
        <v>-9.681790719133844E-2</v>
      </c>
      <c r="CS24" s="7">
        <v>-2.6854922521108548E-2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-1.6501865848996312E-2</v>
      </c>
      <c r="DC24" s="7">
        <v>0.17955311523934811</v>
      </c>
      <c r="DD24" s="7">
        <v>4.9299772670775198E-2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2.108147115785142E-2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-5.0486190478925157E-2</v>
      </c>
      <c r="DR24" s="7">
        <v>-2.0515630212029241E-2</v>
      </c>
      <c r="DS24" s="7">
        <v>-0.21626154103284559</v>
      </c>
      <c r="DT24" s="7">
        <v>-7.4733345266004753E-2</v>
      </c>
      <c r="DU24" s="7">
        <v>2.1781395361230051E-2</v>
      </c>
      <c r="DV24" s="7">
        <v>0.1582246986438143</v>
      </c>
      <c r="DW24" s="7">
        <v>0.10885708989133031</v>
      </c>
      <c r="DX24" s="7">
        <v>-0.31159312779250392</v>
      </c>
      <c r="DY24" s="7">
        <v>-3.239876608542996E-3</v>
      </c>
      <c r="DZ24" s="7">
        <v>-0.43350657873669168</v>
      </c>
      <c r="EA24" s="7">
        <v>-5.4920183841502608E-2</v>
      </c>
      <c r="EB24" s="7">
        <v>-2.9582176365294029E-2</v>
      </c>
      <c r="EC24" s="7">
        <v>0.14364347355970919</v>
      </c>
      <c r="ED24" s="7">
        <v>-5.6172845298362112E-2</v>
      </c>
      <c r="EE24" s="7">
        <v>0.1134294391912188</v>
      </c>
      <c r="EF24" s="8">
        <v>6.7276677043968364E-2</v>
      </c>
      <c r="EG24" s="18">
        <f t="shared" si="10"/>
        <v>4.1666810092113302E-2</v>
      </c>
      <c r="EH24" s="18">
        <f t="shared" si="11"/>
        <v>0.24630108397727934</v>
      </c>
      <c r="EI24" s="18">
        <f t="shared" si="12"/>
        <v>0.16917022620962952</v>
      </c>
    </row>
    <row r="25" spans="1:139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18">
        <f t="shared" si="10"/>
        <v>7.3485376145559517E-3</v>
      </c>
      <c r="EH25" s="18">
        <f t="shared" si="11"/>
        <v>4.2276369775976368E-2</v>
      </c>
      <c r="EI25" s="18">
        <f t="shared" si="12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3E07-F75A-469B-9742-FDE62B0DB39F}">
  <dimension ref="A1:EG25"/>
  <sheetViews>
    <sheetView tabSelected="1" topLeftCell="A22" workbookViewId="0">
      <selection activeCell="E32" sqref="E32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5.3380690515041351E-2</v>
      </c>
      <c r="D3" s="7">
        <v>1.9098754972219471E-2</v>
      </c>
      <c r="E3" s="7">
        <v>3.8903146982192993E-2</v>
      </c>
      <c r="F3" s="7">
        <v>6.8024080246686944E-3</v>
      </c>
      <c r="G3" s="7">
        <v>1.229116320610046E-2</v>
      </c>
      <c r="H3" s="7">
        <v>1.707540079951286E-2</v>
      </c>
      <c r="I3" s="7">
        <v>4.3437454849481583E-2</v>
      </c>
      <c r="J3" s="7">
        <v>2.279438637197018E-2</v>
      </c>
      <c r="K3" s="7">
        <v>2.5884099304676059E-2</v>
      </c>
      <c r="L3" s="7">
        <v>3.7059839814901352E-2</v>
      </c>
      <c r="M3" s="7">
        <v>2.5352442637085911E-2</v>
      </c>
      <c r="N3" s="7">
        <v>2.2137835621833801E-2</v>
      </c>
      <c r="O3" s="7">
        <v>4.9354821443557739E-2</v>
      </c>
      <c r="P3" s="7">
        <v>3.6078199744224548E-2</v>
      </c>
      <c r="Q3" s="7">
        <v>6.0449372977018356E-3</v>
      </c>
      <c r="R3" s="7">
        <v>3.385940100997686E-3</v>
      </c>
      <c r="S3" s="7">
        <v>-2.0781485363841061E-3</v>
      </c>
      <c r="T3" s="7">
        <v>-2.2465851157903671E-2</v>
      </c>
      <c r="U3" s="7">
        <v>-1.545652747154236E-2</v>
      </c>
      <c r="V3" s="7">
        <v>-9.7821466624736786E-4</v>
      </c>
      <c r="W3" s="7">
        <v>-1.106031611561775E-2</v>
      </c>
      <c r="X3" s="7">
        <v>-6.7155808210372925E-4</v>
      </c>
      <c r="Y3" s="7">
        <v>-1.7966147512197491E-2</v>
      </c>
      <c r="Z3" s="7">
        <v>-2.5221735239028931E-2</v>
      </c>
      <c r="AA3" s="7">
        <v>3.4736543893814087E-2</v>
      </c>
      <c r="AB3" s="7">
        <v>-1.7717707902193069E-2</v>
      </c>
      <c r="AC3" s="7">
        <v>-1.252998784184456E-2</v>
      </c>
      <c r="AD3" s="7">
        <v>8.4126926958560944E-3</v>
      </c>
      <c r="AE3" s="7">
        <v>3.1373761594295502E-3</v>
      </c>
      <c r="AF3" s="7">
        <v>1.8776386976242069E-2</v>
      </c>
      <c r="AG3" s="7">
        <v>-4.3333325535058982E-2</v>
      </c>
      <c r="AH3" s="7">
        <v>2.168444357812405E-2</v>
      </c>
      <c r="AI3" s="7">
        <v>4.2865972965955727E-2</v>
      </c>
      <c r="AJ3" s="7">
        <v>4.0528882294893258E-2</v>
      </c>
      <c r="AK3" s="7">
        <v>4.2677275836467743E-2</v>
      </c>
      <c r="AL3" s="7">
        <v>4.2865950614213937E-2</v>
      </c>
      <c r="AM3" s="7">
        <v>4.7705098986625671E-2</v>
      </c>
      <c r="AN3" s="7">
        <v>4.4681474566459663E-2</v>
      </c>
      <c r="AO3" s="7">
        <v>4.9907289445400238E-2</v>
      </c>
      <c r="AP3" s="7">
        <v>4.7438353300094598E-2</v>
      </c>
      <c r="AQ3" s="7">
        <v>3.3652849495410919E-2</v>
      </c>
      <c r="AR3" s="7">
        <v>1.8763171508908268E-2</v>
      </c>
      <c r="AS3" s="7">
        <v>4.0618646889925003E-2</v>
      </c>
      <c r="AT3" s="7">
        <v>1.9566405564546589E-2</v>
      </c>
      <c r="AU3" s="7">
        <v>3.0446793884038929E-2</v>
      </c>
      <c r="AV3" s="7">
        <v>1.9622992724180222E-2</v>
      </c>
      <c r="AW3" s="7">
        <v>2.9586771503090858E-2</v>
      </c>
      <c r="AX3" s="7">
        <v>3.1509295105934143E-2</v>
      </c>
      <c r="AY3" s="7">
        <v>1.400297787040472E-2</v>
      </c>
      <c r="AZ3" s="7">
        <v>6.3738403841853142E-3</v>
      </c>
      <c r="BA3" s="7">
        <v>1.0355084203183649E-2</v>
      </c>
      <c r="BB3" s="7">
        <v>5.1876255311071873E-3</v>
      </c>
      <c r="BC3" s="7">
        <v>7.8440112993121147E-3</v>
      </c>
      <c r="BD3" s="7">
        <v>8.4061268717050552E-3</v>
      </c>
      <c r="BE3" s="7">
        <v>-5.0238538533449173E-3</v>
      </c>
      <c r="BF3" s="7">
        <v>2.303947880864143E-2</v>
      </c>
      <c r="BG3" s="7">
        <v>9.5878113061189651E-3</v>
      </c>
      <c r="BH3" s="7">
        <v>-8.4409467875957489E-2</v>
      </c>
      <c r="BI3" s="7">
        <v>2.3758146911859509E-2</v>
      </c>
      <c r="BJ3" s="7">
        <v>2.096505276858807E-2</v>
      </c>
      <c r="BK3" s="7">
        <v>1.6576047986745831E-2</v>
      </c>
      <c r="BL3" s="7">
        <v>1.1380131356418129E-2</v>
      </c>
      <c r="BM3" s="7">
        <v>8.9813526719808578E-3</v>
      </c>
      <c r="BN3" s="7">
        <v>9.8703857511281967E-3</v>
      </c>
      <c r="BO3" s="7">
        <v>-1.313008600845933E-3</v>
      </c>
      <c r="BP3" s="7">
        <v>1.638233661651611E-2</v>
      </c>
      <c r="BQ3" s="7">
        <v>4.7462418675422668E-2</v>
      </c>
      <c r="BR3" s="7">
        <v>3.2633718103170388E-2</v>
      </c>
      <c r="BS3" s="7">
        <v>5.4500699043273933E-2</v>
      </c>
      <c r="BT3" s="7">
        <v>1.2507680803537371E-2</v>
      </c>
      <c r="BU3" s="7">
        <v>1.7222486436367031E-2</v>
      </c>
      <c r="BV3" s="7">
        <v>1.257048174738884E-2</v>
      </c>
      <c r="BW3" s="7">
        <v>-4.9899797886610031E-3</v>
      </c>
      <c r="BX3" s="7">
        <v>-1.5832114731892939E-3</v>
      </c>
      <c r="BY3" s="7">
        <v>-1.6474293079227209E-3</v>
      </c>
      <c r="BZ3" s="7">
        <v>3.6023158580064767E-2</v>
      </c>
      <c r="CA3" s="7">
        <v>1.933190226554871E-2</v>
      </c>
      <c r="CB3" s="7">
        <v>1.276819221675396E-2</v>
      </c>
      <c r="CC3" s="7">
        <v>1.2653216253966091E-3</v>
      </c>
      <c r="CD3" s="7">
        <v>3.6446176469326019E-2</v>
      </c>
      <c r="CE3" s="7">
        <v>1.082755159586668E-2</v>
      </c>
      <c r="CF3" s="7">
        <v>8.1559047102928162E-3</v>
      </c>
      <c r="CG3" s="7">
        <v>1.104166964069009E-3</v>
      </c>
      <c r="CH3" s="7">
        <v>3.5072214901447303E-2</v>
      </c>
      <c r="CI3" s="7">
        <v>2.4559047073125839E-2</v>
      </c>
      <c r="CJ3" s="7">
        <v>2.074662409722805E-2</v>
      </c>
      <c r="CK3" s="7">
        <v>9.4615370035171509E-3</v>
      </c>
      <c r="CL3" s="7">
        <v>5.782655905932188E-3</v>
      </c>
      <c r="CM3" s="7">
        <v>-2.0046353340148929E-2</v>
      </c>
      <c r="CN3" s="7">
        <v>4.9867467023432246E-3</v>
      </c>
      <c r="CO3" s="7">
        <v>1.028707250952721E-2</v>
      </c>
      <c r="CP3" s="7">
        <v>9.1046616435050964E-3</v>
      </c>
      <c r="CQ3" s="7">
        <v>1.6216963529586789E-2</v>
      </c>
      <c r="CR3" s="7">
        <v>2.326556108891964E-2</v>
      </c>
      <c r="CS3" s="7">
        <v>1.5860499814152721E-2</v>
      </c>
      <c r="CT3" s="7">
        <v>1.0978777892887591E-2</v>
      </c>
      <c r="CU3" s="7">
        <v>3.6009509116411209E-2</v>
      </c>
      <c r="CV3" s="7">
        <v>3.4486167132854462E-2</v>
      </c>
      <c r="CW3" s="7">
        <v>2.2519556805491451E-2</v>
      </c>
      <c r="CX3" s="7">
        <v>1.920701190829277E-2</v>
      </c>
      <c r="CY3" s="7">
        <v>2.4746166542172428E-2</v>
      </c>
      <c r="CZ3" s="7">
        <v>3.111917711794376E-2</v>
      </c>
      <c r="DA3" s="7">
        <v>3.9866019040346153E-2</v>
      </c>
      <c r="DB3" s="7">
        <v>3.7007730454206467E-2</v>
      </c>
      <c r="DC3" s="7">
        <v>1.9792236387729641E-2</v>
      </c>
      <c r="DD3" s="7">
        <v>2.5975974276661869E-2</v>
      </c>
      <c r="DE3" s="7">
        <v>2.8975984081625938E-2</v>
      </c>
      <c r="DF3" s="7">
        <v>4.3441507965326309E-2</v>
      </c>
      <c r="DG3" s="7">
        <v>3.0526775866746899E-2</v>
      </c>
      <c r="DH3" s="7">
        <v>2.4306971579790119E-2</v>
      </c>
      <c r="DI3" s="7">
        <v>2.935238741338253E-2</v>
      </c>
      <c r="DJ3" s="7">
        <v>3.992868959903717E-2</v>
      </c>
      <c r="DK3" s="7">
        <v>2.59803980588913E-2</v>
      </c>
      <c r="DL3" s="7">
        <v>2.5819797068834301E-2</v>
      </c>
      <c r="DM3" s="7">
        <v>2.2522525861859322E-2</v>
      </c>
      <c r="DN3" s="7">
        <v>1.8935320898890499E-2</v>
      </c>
      <c r="DO3" s="7">
        <v>1.592620462179184E-2</v>
      </c>
      <c r="DP3" s="7">
        <v>2.4080397561192509E-2</v>
      </c>
      <c r="DQ3" s="7">
        <v>2.525398321449757E-2</v>
      </c>
      <c r="DR3" s="7">
        <v>1.7146797850728032E-2</v>
      </c>
      <c r="DS3" s="7">
        <v>3.6880720406770713E-2</v>
      </c>
      <c r="DT3" s="7">
        <v>2.678602188825607E-2</v>
      </c>
      <c r="DU3" s="7">
        <v>2.6876723393797871E-2</v>
      </c>
      <c r="DV3" s="7">
        <v>2.678317949175835E-2</v>
      </c>
      <c r="DW3" s="7">
        <v>1.6589745879173279E-2</v>
      </c>
      <c r="DX3" s="7">
        <v>2.8465604409575459E-2</v>
      </c>
      <c r="DY3" s="7">
        <v>3.1516790390014648E-2</v>
      </c>
      <c r="DZ3" s="7">
        <v>1.147278398275375E-2</v>
      </c>
      <c r="EA3" s="7">
        <v>3.9311233907937997E-2</v>
      </c>
      <c r="EB3" s="7">
        <v>1.167930662631989E-2</v>
      </c>
      <c r="EC3" s="7">
        <v>2.9493488371372219E-2</v>
      </c>
      <c r="ED3" s="7">
        <v>1.47452661767602E-2</v>
      </c>
      <c r="EE3" s="7">
        <v>2.212207019329071E-2</v>
      </c>
      <c r="EF3" s="7">
        <v>3.392517939209938E-2</v>
      </c>
      <c r="EG3" s="1"/>
    </row>
    <row r="4" spans="1:137" x14ac:dyDescent="0.3">
      <c r="B4" s="1" t="s">
        <v>138</v>
      </c>
      <c r="C4" s="7">
        <v>9.977172315120697E-2</v>
      </c>
      <c r="D4" s="7">
        <v>-4.8145148903131478E-2</v>
      </c>
      <c r="E4" s="7">
        <v>-2.2423535585403439E-2</v>
      </c>
      <c r="F4" s="7">
        <v>-3.0923590064048771E-2</v>
      </c>
      <c r="G4" s="7">
        <v>-4.1859965771436691E-2</v>
      </c>
      <c r="H4" s="7">
        <v>-2.755187451839447E-2</v>
      </c>
      <c r="I4" s="7">
        <v>-2.8741911053657528E-2</v>
      </c>
      <c r="J4" s="7">
        <v>-3.6191552877426147E-2</v>
      </c>
      <c r="K4" s="7">
        <v>-3.3944845199584961E-2</v>
      </c>
      <c r="L4" s="7">
        <v>-3.7480711936950677E-2</v>
      </c>
      <c r="M4" s="7">
        <v>-3.8226228207349777E-2</v>
      </c>
      <c r="N4" s="7">
        <v>-2.893173880875111E-2</v>
      </c>
      <c r="O4" s="7">
        <v>-3.6612465977668762E-2</v>
      </c>
      <c r="P4" s="7">
        <v>-3.8424994796514511E-2</v>
      </c>
      <c r="Q4" s="7">
        <v>-2.4131393060088161E-2</v>
      </c>
      <c r="R4" s="7">
        <v>-3.5332571715116501E-2</v>
      </c>
      <c r="S4" s="7">
        <v>-2.8889749199151989E-2</v>
      </c>
      <c r="T4" s="7">
        <v>-2.8651971369981769E-2</v>
      </c>
      <c r="U4" s="7">
        <v>-3.027976676821709E-2</v>
      </c>
      <c r="V4" s="7">
        <v>-2.7209959924221039E-2</v>
      </c>
      <c r="W4" s="7">
        <v>-2.7900077402591709E-2</v>
      </c>
      <c r="X4" s="7">
        <v>-2.877085097134113E-2</v>
      </c>
      <c r="Y4" s="7">
        <v>-3.2078109681606293E-2</v>
      </c>
      <c r="Z4" s="7">
        <v>-3.0241664499044418E-2</v>
      </c>
      <c r="AA4" s="7">
        <v>-3.021601960062981E-2</v>
      </c>
      <c r="AB4" s="7">
        <v>-2.8631076216697689E-2</v>
      </c>
      <c r="AC4" s="7">
        <v>-2.7421202510595322E-2</v>
      </c>
      <c r="AD4" s="7">
        <v>-2.8836533427238461E-2</v>
      </c>
      <c r="AE4" s="7">
        <v>-3.089639917016029E-2</v>
      </c>
      <c r="AF4" s="7">
        <v>-2.9104374349117279E-2</v>
      </c>
      <c r="AG4" s="7">
        <v>-2.8324617072939869E-2</v>
      </c>
      <c r="AH4" s="7">
        <v>-2.031108736991882E-2</v>
      </c>
      <c r="AI4" s="7">
        <v>-3.4272376447916031E-2</v>
      </c>
      <c r="AJ4" s="7">
        <v>-3.362511470913887E-2</v>
      </c>
      <c r="AK4" s="7">
        <v>-2.7353102341294289E-2</v>
      </c>
      <c r="AL4" s="7">
        <v>-2.7455467730760571E-2</v>
      </c>
      <c r="AM4" s="7">
        <v>-2.8936265036463741E-2</v>
      </c>
      <c r="AN4" s="7">
        <v>-2.494907379150391E-2</v>
      </c>
      <c r="AO4" s="7">
        <v>-3.4107021987438202E-2</v>
      </c>
      <c r="AP4" s="7">
        <v>-3.3338341861963272E-2</v>
      </c>
      <c r="AQ4" s="7">
        <v>-2.1358797326684002E-2</v>
      </c>
      <c r="AR4" s="7">
        <v>-2.606182545423508E-2</v>
      </c>
      <c r="AS4" s="7">
        <v>-2.9215205460786819E-2</v>
      </c>
      <c r="AT4" s="7">
        <v>-2.671050280332565E-2</v>
      </c>
      <c r="AU4" s="7">
        <v>-3.0300268903374668E-2</v>
      </c>
      <c r="AV4" s="7">
        <v>-3.2673545181751251E-2</v>
      </c>
      <c r="AW4" s="7">
        <v>-2.7749333530664441E-2</v>
      </c>
      <c r="AX4" s="7">
        <v>-2.650946564972401E-2</v>
      </c>
      <c r="AY4" s="7">
        <v>-3.3140793442726142E-2</v>
      </c>
      <c r="AZ4" s="7">
        <v>-2.7217986062169078E-2</v>
      </c>
      <c r="BA4" s="7">
        <v>-3.095186315476894E-2</v>
      </c>
      <c r="BB4" s="7">
        <v>-3.369150310754776E-2</v>
      </c>
      <c r="BC4" s="7">
        <v>-3.1448625028133392E-2</v>
      </c>
      <c r="BD4" s="7">
        <v>-3.1621113419532783E-2</v>
      </c>
      <c r="BE4" s="7">
        <v>-3.2706748694181442E-2</v>
      </c>
      <c r="BF4" s="7">
        <v>-3.0923545360565189E-2</v>
      </c>
      <c r="BG4" s="7">
        <v>-3.1954869627952583E-2</v>
      </c>
      <c r="BH4" s="7">
        <v>-3.0400251969695091E-2</v>
      </c>
      <c r="BI4" s="7">
        <v>-3.112749382853508E-2</v>
      </c>
      <c r="BJ4" s="7">
        <v>-3.058207780122757E-2</v>
      </c>
      <c r="BK4" s="7">
        <v>-3.2318864017724991E-2</v>
      </c>
      <c r="BL4" s="7">
        <v>-3.1555991619825363E-2</v>
      </c>
      <c r="BM4" s="7">
        <v>-3.1693760305643082E-2</v>
      </c>
      <c r="BN4" s="7">
        <v>-1.228830590844154E-2</v>
      </c>
      <c r="BO4" s="7">
        <v>-2.3035662248730659E-2</v>
      </c>
      <c r="BP4" s="7">
        <v>-3.5096336156129837E-2</v>
      </c>
      <c r="BQ4" s="7">
        <v>-3.0655000358819962E-2</v>
      </c>
      <c r="BR4" s="7">
        <v>-1.1176202446222311E-2</v>
      </c>
      <c r="BS4" s="7">
        <v>-3.3343028277158737E-2</v>
      </c>
      <c r="BT4" s="7">
        <v>-2.6367433369159698E-2</v>
      </c>
      <c r="BU4" s="7">
        <v>-3.650752454996109E-2</v>
      </c>
      <c r="BV4" s="7">
        <v>-3.3560741692781448E-2</v>
      </c>
      <c r="BW4" s="7">
        <v>-2.4210104718804359E-2</v>
      </c>
      <c r="BX4" s="7">
        <v>-3.3166561275720603E-2</v>
      </c>
      <c r="BY4" s="7">
        <v>-3.2165385782718658E-2</v>
      </c>
      <c r="BZ4" s="7">
        <v>-3.5884104669094093E-2</v>
      </c>
      <c r="CA4" s="7">
        <v>-3.2357048243284232E-2</v>
      </c>
      <c r="CB4" s="7">
        <v>-2.4709198623895649E-2</v>
      </c>
      <c r="CC4" s="7">
        <v>-2.8877668082714081E-2</v>
      </c>
      <c r="CD4" s="7">
        <v>-2.6096850633621219E-2</v>
      </c>
      <c r="CE4" s="7">
        <v>-3.1489692628383643E-2</v>
      </c>
      <c r="CF4" s="7">
        <v>-3.0856378376483921E-2</v>
      </c>
      <c r="CG4" s="7">
        <v>-3.0586652457714081E-2</v>
      </c>
      <c r="CH4" s="7">
        <v>-3.1124169006943699E-2</v>
      </c>
      <c r="CI4" s="7">
        <v>-3.0887618660926819E-2</v>
      </c>
      <c r="CJ4" s="7">
        <v>-3.3135820180177689E-2</v>
      </c>
      <c r="CK4" s="7">
        <v>-3.1962625682353973E-2</v>
      </c>
      <c r="CL4" s="7">
        <v>-3.1442400068044662E-2</v>
      </c>
      <c r="CM4" s="7">
        <v>-3.055553138256073E-2</v>
      </c>
      <c r="CN4" s="7">
        <v>-3.1579829752445221E-2</v>
      </c>
      <c r="CO4" s="7">
        <v>-3.0647208914160728E-2</v>
      </c>
      <c r="CP4" s="7">
        <v>-3.0090013518929482E-2</v>
      </c>
      <c r="CQ4" s="7">
        <v>-3.185310959815979E-2</v>
      </c>
      <c r="CR4" s="7">
        <v>-2.9662992805242538E-2</v>
      </c>
      <c r="CS4" s="7">
        <v>-3.0695755034685131E-2</v>
      </c>
      <c r="CT4" s="7">
        <v>-2.3135770112276081E-2</v>
      </c>
      <c r="CU4" s="7">
        <v>-2.7380980551242828E-2</v>
      </c>
      <c r="CV4" s="7">
        <v>-2.8338037431240078E-2</v>
      </c>
      <c r="CW4" s="7">
        <v>-3.2225780189037323E-2</v>
      </c>
      <c r="CX4" s="7">
        <v>-2.798448316752911E-2</v>
      </c>
      <c r="CY4" s="7">
        <v>-2.8027312830090519E-2</v>
      </c>
      <c r="CZ4" s="7">
        <v>-2.5761628523468971E-2</v>
      </c>
      <c r="DA4" s="7">
        <v>-2.8369944542646412E-2</v>
      </c>
      <c r="DB4" s="7">
        <v>-3.3535845577716827E-2</v>
      </c>
      <c r="DC4" s="7">
        <v>-3.1756717711687088E-2</v>
      </c>
      <c r="DD4" s="7">
        <v>-3.1705938279628747E-2</v>
      </c>
      <c r="DE4" s="7">
        <v>-2.9670331627130508E-2</v>
      </c>
      <c r="DF4" s="7">
        <v>-3.0024087056517601E-2</v>
      </c>
      <c r="DG4" s="7">
        <v>-2.7606867253780362E-2</v>
      </c>
      <c r="DH4" s="7">
        <v>-2.9870636761188511E-2</v>
      </c>
      <c r="DI4" s="7">
        <v>-2.9808983206748959E-2</v>
      </c>
      <c r="DJ4" s="7">
        <v>-3.0160911381244659E-2</v>
      </c>
      <c r="DK4" s="7">
        <v>-2.9925931245088581E-2</v>
      </c>
      <c r="DL4" s="7">
        <v>-3.030890412628651E-2</v>
      </c>
      <c r="DM4" s="7">
        <v>-2.8274258598685261E-2</v>
      </c>
      <c r="DN4" s="7">
        <v>-2.7238119393587109E-2</v>
      </c>
      <c r="DO4" s="7">
        <v>-2.8595685958862301E-2</v>
      </c>
      <c r="DP4" s="7">
        <v>-2.6695834472775459E-2</v>
      </c>
      <c r="DQ4" s="7">
        <v>-2.743305079638958E-2</v>
      </c>
      <c r="DR4" s="7">
        <v>-2.8683912009000782E-2</v>
      </c>
      <c r="DS4" s="7">
        <v>-2.8039401397109032E-2</v>
      </c>
      <c r="DT4" s="7">
        <v>-2.8481073677539829E-2</v>
      </c>
      <c r="DU4" s="7">
        <v>-2.813183888792992E-2</v>
      </c>
      <c r="DV4" s="7">
        <v>-2.8057403862476349E-2</v>
      </c>
      <c r="DW4" s="7">
        <v>-2.6179386302828789E-2</v>
      </c>
      <c r="DX4" s="7">
        <v>-2.7582230046391491E-2</v>
      </c>
      <c r="DY4" s="7">
        <v>-2.975153923034668E-2</v>
      </c>
      <c r="DZ4" s="7">
        <v>-2.3914756253361698E-2</v>
      </c>
      <c r="EA4" s="7">
        <v>-2.6012249290943149E-2</v>
      </c>
      <c r="EB4" s="7">
        <v>-2.6596140116453171E-2</v>
      </c>
      <c r="EC4" s="7">
        <v>-2.8463233262300491E-2</v>
      </c>
      <c r="ED4" s="7">
        <v>-2.412146516144276E-2</v>
      </c>
      <c r="EE4" s="7">
        <v>-3.5137765109539032E-2</v>
      </c>
      <c r="EF4" s="7">
        <v>-3.1143950298428539E-2</v>
      </c>
      <c r="EG4" s="1"/>
    </row>
    <row r="5" spans="1:137" x14ac:dyDescent="0.3">
      <c r="B5" s="1" t="s">
        <v>139</v>
      </c>
      <c r="C5" s="7">
        <v>-2.8657505754381418E-3</v>
      </c>
      <c r="D5" s="7">
        <v>-6.933901458978653E-3</v>
      </c>
      <c r="E5" s="7">
        <v>-5.3875916637480259E-3</v>
      </c>
      <c r="F5" s="7">
        <v>-5.0763469189405441E-3</v>
      </c>
      <c r="G5" s="7">
        <v>-7.5573725625872612E-3</v>
      </c>
      <c r="H5" s="7">
        <v>-5.7500093244016171E-3</v>
      </c>
      <c r="I5" s="7">
        <v>-6.860420573502779E-3</v>
      </c>
      <c r="J5" s="7">
        <v>-6.4445543102920064E-3</v>
      </c>
      <c r="K5" s="7">
        <v>-7.2415824979543686E-3</v>
      </c>
      <c r="L5" s="7">
        <v>-7.4818124994635582E-3</v>
      </c>
      <c r="M5" s="7">
        <v>-5.7027274742722511E-3</v>
      </c>
      <c r="N5" s="7">
        <v>1.2163332663476471E-2</v>
      </c>
      <c r="O5" s="7">
        <v>2.1172851324081421E-2</v>
      </c>
      <c r="P5" s="7">
        <v>4.4824411161243924E-3</v>
      </c>
      <c r="Q5" s="7">
        <v>2.7122241444885731E-3</v>
      </c>
      <c r="R5" s="7">
        <v>-4.5487876050174236E-3</v>
      </c>
      <c r="S5" s="7">
        <v>-2.7382762636989359E-3</v>
      </c>
      <c r="T5" s="7">
        <v>5.351752508431673E-3</v>
      </c>
      <c r="U5" s="7">
        <v>-6.6941007971763611E-3</v>
      </c>
      <c r="V5" s="7">
        <v>2.3452155292034149E-3</v>
      </c>
      <c r="W5" s="7">
        <v>8.1899657379835844E-4</v>
      </c>
      <c r="X5" s="7">
        <v>-3.8575774524360899E-3</v>
      </c>
      <c r="Y5" s="7">
        <v>-3.4013460390269761E-3</v>
      </c>
      <c r="Z5" s="7">
        <v>-4.3022790923714638E-3</v>
      </c>
      <c r="AA5" s="7">
        <v>-1.030248124152422E-2</v>
      </c>
      <c r="AB5" s="7">
        <v>-8.5672205314040184E-3</v>
      </c>
      <c r="AC5" s="7">
        <v>-1.6086684539914131E-2</v>
      </c>
      <c r="AD5" s="7">
        <v>-1.15301301702857E-2</v>
      </c>
      <c r="AE5" s="7">
        <v>-9.2503800988197327E-3</v>
      </c>
      <c r="AF5" s="7">
        <v>-5.2100424654781818E-3</v>
      </c>
      <c r="AG5" s="7">
        <v>-6.7270644940435886E-3</v>
      </c>
      <c r="AH5" s="7">
        <v>-4.258275032043457E-3</v>
      </c>
      <c r="AI5" s="7">
        <v>-3.7179598584771161E-3</v>
      </c>
      <c r="AJ5" s="7">
        <v>-3.0319713987410069E-3</v>
      </c>
      <c r="AK5" s="7">
        <v>-4.5918752439320087E-3</v>
      </c>
      <c r="AL5" s="7">
        <v>-5.0076683983206749E-3</v>
      </c>
      <c r="AM5" s="7">
        <v>-8.0656120553612709E-3</v>
      </c>
      <c r="AN5" s="7">
        <v>1.068754005245864E-3</v>
      </c>
      <c r="AO5" s="7">
        <v>-5.9967520646750927E-3</v>
      </c>
      <c r="AP5" s="7">
        <v>-6.1906483024358749E-3</v>
      </c>
      <c r="AQ5" s="7">
        <v>-8.5457827663049102E-4</v>
      </c>
      <c r="AR5" s="7">
        <v>-3.654646454378963E-3</v>
      </c>
      <c r="AS5" s="7">
        <v>-3.079481422901154E-3</v>
      </c>
      <c r="AT5" s="7">
        <v>1.7204530537128448E-2</v>
      </c>
      <c r="AU5" s="7">
        <v>-1.090296637266874E-2</v>
      </c>
      <c r="AV5" s="7">
        <v>1.12829003483057E-2</v>
      </c>
      <c r="AW5" s="7">
        <v>-7.9041169956326485E-3</v>
      </c>
      <c r="AX5" s="7">
        <v>-1.1263063177466391E-2</v>
      </c>
      <c r="AY5" s="7">
        <v>-5.223045009188354E-4</v>
      </c>
      <c r="AZ5" s="7">
        <v>8.5165314376354218E-3</v>
      </c>
      <c r="BA5" s="7">
        <v>-3.0747673008590942E-4</v>
      </c>
      <c r="BB5" s="7">
        <v>-7.2396048344671726E-3</v>
      </c>
      <c r="BC5" s="7">
        <v>1.1019471567124131E-3</v>
      </c>
      <c r="BD5" s="7">
        <v>-1.534412056207657E-2</v>
      </c>
      <c r="BE5" s="7">
        <v>-5.5029336363077164E-3</v>
      </c>
      <c r="BF5" s="7">
        <v>-4.7479346394538879E-3</v>
      </c>
      <c r="BG5" s="7">
        <v>-8.3916401490569115E-3</v>
      </c>
      <c r="BH5" s="7">
        <v>-6.8760309368371964E-3</v>
      </c>
      <c r="BI5" s="7">
        <v>7.6195021392777562E-5</v>
      </c>
      <c r="BJ5" s="7">
        <v>-2.0668169017881159E-3</v>
      </c>
      <c r="BK5" s="7">
        <v>-1.1106086894869799E-2</v>
      </c>
      <c r="BL5" s="7">
        <v>-1.272859238088131E-2</v>
      </c>
      <c r="BM5" s="7">
        <v>-3.9286776445806026E-3</v>
      </c>
      <c r="BN5" s="7">
        <v>-5.9765868354588747E-4</v>
      </c>
      <c r="BO5" s="7">
        <v>-6.0457494109869003E-3</v>
      </c>
      <c r="BP5" s="7">
        <v>-9.4306832179427147E-3</v>
      </c>
      <c r="BQ5" s="7">
        <v>1.5003682347014549E-4</v>
      </c>
      <c r="BR5" s="7">
        <v>4.1660957504063839E-4</v>
      </c>
      <c r="BS5" s="7">
        <v>-8.0116762546822429E-4</v>
      </c>
      <c r="BT5" s="7">
        <v>-3.4547494724392891E-3</v>
      </c>
      <c r="BU5" s="7">
        <v>-6.4658378250896931E-3</v>
      </c>
      <c r="BV5" s="7">
        <v>-8.8213877752423286E-3</v>
      </c>
      <c r="BW5" s="7">
        <v>-4.7403103671967983E-3</v>
      </c>
      <c r="BX5" s="7">
        <v>-2.19075451605022E-3</v>
      </c>
      <c r="BY5" s="7">
        <v>-2.7591979596763849E-3</v>
      </c>
      <c r="BZ5" s="7">
        <v>-2.9730484820902352E-3</v>
      </c>
      <c r="CA5" s="7">
        <v>-1.762694492936134E-2</v>
      </c>
      <c r="CB5" s="7">
        <v>-1.850525289773941E-2</v>
      </c>
      <c r="CC5" s="7">
        <v>-8.988894522190094E-3</v>
      </c>
      <c r="CD5" s="7">
        <v>-6.5797776915132999E-3</v>
      </c>
      <c r="CE5" s="7">
        <v>4.4988635927438736E-3</v>
      </c>
      <c r="CF5" s="7">
        <v>-4.9164481461048126E-3</v>
      </c>
      <c r="CG5" s="7">
        <v>-1.1630631051957609E-3</v>
      </c>
      <c r="CH5" s="7">
        <v>-2.427158178761601E-3</v>
      </c>
      <c r="CI5" s="7">
        <v>-6.2176655046641827E-3</v>
      </c>
      <c r="CJ5" s="7">
        <v>5.3816772997379303E-3</v>
      </c>
      <c r="CK5" s="7">
        <v>-6.7625879310071468E-3</v>
      </c>
      <c r="CL5" s="7">
        <v>-9.2751253396272659E-3</v>
      </c>
      <c r="CM5" s="7">
        <v>3.406228963285685E-3</v>
      </c>
      <c r="CN5" s="7">
        <v>-1.753663993440568E-3</v>
      </c>
      <c r="CO5" s="7">
        <v>2.7562631294131279E-3</v>
      </c>
      <c r="CP5" s="7">
        <v>-4.593927413225174E-3</v>
      </c>
      <c r="CQ5" s="7">
        <v>-4.9152453429996967E-3</v>
      </c>
      <c r="CR5" s="7">
        <v>9.8757504019886255E-4</v>
      </c>
      <c r="CS5" s="7">
        <v>-5.5718780495226383E-3</v>
      </c>
      <c r="CT5" s="7">
        <v>-1.098581124097109E-4</v>
      </c>
      <c r="CU5" s="7">
        <v>-3.9590937085449704E-3</v>
      </c>
      <c r="CV5" s="7">
        <v>1.2909717042930421E-5</v>
      </c>
      <c r="CW5" s="7">
        <v>-3.3259170595556502E-3</v>
      </c>
      <c r="CX5" s="7">
        <v>-1.4884569682180879E-3</v>
      </c>
      <c r="CY5" s="7">
        <v>-2.2024910431355238E-3</v>
      </c>
      <c r="CZ5" s="7">
        <v>3.422534791752696E-5</v>
      </c>
      <c r="DA5" s="7">
        <v>-1.5060747973620889E-3</v>
      </c>
      <c r="DB5" s="7">
        <v>-3.5330171231180429E-3</v>
      </c>
      <c r="DC5" s="7">
        <v>-3.8886347319930792E-3</v>
      </c>
      <c r="DD5" s="7">
        <v>-4.7214343212544918E-3</v>
      </c>
      <c r="DE5" s="7">
        <v>-5.5942605249583721E-3</v>
      </c>
      <c r="DF5" s="7">
        <v>-1.9860882312059399E-2</v>
      </c>
      <c r="DG5" s="7">
        <v>-5.3180065006017676E-3</v>
      </c>
      <c r="DH5" s="7">
        <v>-4.2921891435980797E-3</v>
      </c>
      <c r="DI5" s="7">
        <v>-1.564867049455643E-2</v>
      </c>
      <c r="DJ5" s="7">
        <v>2.2675006184726949E-3</v>
      </c>
      <c r="DK5" s="7">
        <v>-9.0083563700318336E-3</v>
      </c>
      <c r="DL5" s="7">
        <v>-3.8728506769984961E-3</v>
      </c>
      <c r="DM5" s="7">
        <v>-1.39344681520015E-3</v>
      </c>
      <c r="DN5" s="7">
        <v>-3.0848102178424601E-3</v>
      </c>
      <c r="DO5" s="7">
        <v>2.7629600372165442E-3</v>
      </c>
      <c r="DP5" s="7">
        <v>-6.1495178379118443E-3</v>
      </c>
      <c r="DQ5" s="7">
        <v>-4.3366211466491222E-3</v>
      </c>
      <c r="DR5" s="7">
        <v>-7.9563092440366745E-3</v>
      </c>
      <c r="DS5" s="7">
        <v>-3.5810128320008521E-3</v>
      </c>
      <c r="DT5" s="7">
        <v>-2.0724919158965349E-4</v>
      </c>
      <c r="DU5" s="7">
        <v>-5.67637849599123E-3</v>
      </c>
      <c r="DV5" s="7">
        <v>-3.7179621867835522E-3</v>
      </c>
      <c r="DW5" s="7">
        <v>-7.0113302208483219E-3</v>
      </c>
      <c r="DX5" s="7">
        <v>-7.158549502491951E-3</v>
      </c>
      <c r="DY5" s="7">
        <v>-3.3162229228764768E-3</v>
      </c>
      <c r="DZ5" s="7">
        <v>-1.9952012225985531E-3</v>
      </c>
      <c r="EA5" s="7">
        <v>-2.5446689687669282E-3</v>
      </c>
      <c r="EB5" s="7">
        <v>-4.4937850907444954E-3</v>
      </c>
      <c r="EC5" s="7">
        <v>-4.6182842925190934E-3</v>
      </c>
      <c r="ED5" s="7">
        <v>-6.3655590638518333E-3</v>
      </c>
      <c r="EE5" s="7">
        <v>-5.9092026203870773E-3</v>
      </c>
      <c r="EF5" s="7">
        <v>-6.6195656545460224E-3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2</v>
      </c>
      <c r="N6" s="7">
        <f t="array" ref="N6">MATCH(MAX(ABS(N3:N5)), ABS(N3:N5), 0)</f>
        <v>2</v>
      </c>
      <c r="O6" s="7">
        <f t="array" ref="O6">MATCH(MAX(ABS(O3:O5)), ABS(O3:O5), 0)</f>
        <v>1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2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1</v>
      </c>
      <c r="AB6" s="7">
        <f t="array" ref="AB6">MATCH(MAX(ABS(AB3:AB5)), ABS(AB3:AB5), 0)</f>
        <v>2</v>
      </c>
      <c r="AC6" s="7">
        <f t="array" ref="AC6">MATCH(MAX(ABS(AC3:AC5)), ABS(AC3:AC5), 0)</f>
        <v>2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2</v>
      </c>
      <c r="AG6" s="7">
        <f t="array" ref="AG6">MATCH(MAX(ABS(AG3:AG5)), ABS(AG3:AG5), 0)</f>
        <v>1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2</v>
      </c>
      <c r="AU6" s="7">
        <f t="array" ref="AU6">MATCH(MAX(ABS(AU3:AU5)), ABS(AU3:AU5), 0)</f>
        <v>1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2</v>
      </c>
      <c r="AZ6" s="7">
        <f t="array" ref="AZ6">MATCH(MAX(ABS(AZ3:AZ5)), ABS(AZ3:AZ5), 0)</f>
        <v>2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2</v>
      </c>
      <c r="BD6" s="7">
        <f t="array" ref="BD6">MATCH(MAX(ABS(BD3:BD5)), ABS(BD3:BD5), 0)</f>
        <v>2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1</v>
      </c>
      <c r="BI6" s="7">
        <f t="array" ref="BI6">MATCH(MAX(ABS(BI3:BI5)), ABS(BI3:BI5), 0)</f>
        <v>2</v>
      </c>
      <c r="BJ6" s="7">
        <f t="array" ref="BJ6">MATCH(MAX(ABS(BJ3:BJ5)), ABS(BJ3:BJ5), 0)</f>
        <v>2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2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2</v>
      </c>
      <c r="BV6" s="7">
        <f t="array" ref="BV6">MATCH(MAX(ABS(BV3:BV5)), ABS(BV3:BV5), 0)</f>
        <v>2</v>
      </c>
      <c r="BW6" s="7">
        <f t="array" ref="BW6">MATCH(MAX(ABS(BW3:BW5)), ABS(BW3:BW5), 0)</f>
        <v>2</v>
      </c>
      <c r="BX6" s="7">
        <f t="array" ref="BX6">MATCH(MAX(ABS(BX3:BX5)), ABS(BX3:BX5), 0)</f>
        <v>2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1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2</v>
      </c>
      <c r="CK6" s="7">
        <f t="array" ref="CK6">MATCH(MAX(ABS(CK3:CK5)), ABS(CK3:CK5), 0)</f>
        <v>2</v>
      </c>
      <c r="CL6" s="7">
        <f t="array" ref="CL6">MATCH(MAX(ABS(CL3:CL5)), ABS(CL3:CL5), 0)</f>
        <v>2</v>
      </c>
      <c r="CM6" s="7">
        <f t="array" ref="CM6">MATCH(MAX(ABS(CM3:CM5)), ABS(CM3:CM5), 0)</f>
        <v>2</v>
      </c>
      <c r="CN6" s="7">
        <f t="array" ref="CN6">MATCH(MAX(ABS(CN3:CN5)), ABS(CN3:CN5), 0)</f>
        <v>2</v>
      </c>
      <c r="CO6" s="7">
        <f t="array" ref="CO6">MATCH(MAX(ABS(CO3:CO5)), ABS(CO3:CO5), 0)</f>
        <v>2</v>
      </c>
      <c r="CP6" s="7">
        <f t="array" ref="CP6">MATCH(MAX(ABS(CP3:CP5)), ABS(CP3:CP5), 0)</f>
        <v>2</v>
      </c>
      <c r="CQ6" s="7">
        <f t="array" ref="CQ6">MATCH(MAX(ABS(CQ3:CQ5)), ABS(CQ3:CQ5), 0)</f>
        <v>2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2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2</v>
      </c>
      <c r="CX6" s="7">
        <f t="array" ref="CX6">MATCH(MAX(ABS(CX3:CX5)), ABS(CX3:CX5), 0)</f>
        <v>2</v>
      </c>
      <c r="CY6" s="7">
        <f t="array" ref="CY6">MATCH(MAX(ABS(CY3:CY5)), ABS(CY3:CY5), 0)</f>
        <v>2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2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2</v>
      </c>
      <c r="DI6" s="7">
        <f t="array" ref="DI6">MATCH(MAX(ABS(DI3:DI5)), ABS(DI3:DI5), 0)</f>
        <v>2</v>
      </c>
      <c r="DJ6" s="7">
        <f t="array" ref="DJ6">MATCH(MAX(ABS(DJ3:DJ5)), ABS(DJ3:DJ5), 0)</f>
        <v>1</v>
      </c>
      <c r="DK6" s="7">
        <f t="array" ref="DK6">MATCH(MAX(ABS(DK3:DK5)), ABS(DK3:DK5), 0)</f>
        <v>2</v>
      </c>
      <c r="DL6" s="7">
        <f t="array" ref="DL6">MATCH(MAX(ABS(DL3:DL5)), ABS(DL3:DL5), 0)</f>
        <v>2</v>
      </c>
      <c r="DM6" s="7">
        <f t="array" ref="DM6">MATCH(MAX(ABS(DM3:DM5)), ABS(DM3:DM5), 0)</f>
        <v>2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2</v>
      </c>
      <c r="DW6" s="7">
        <f t="array" ref="DW6">MATCH(MAX(ABS(DW3:DW5)), ABS(DW3:DW5), 0)</f>
        <v>2</v>
      </c>
      <c r="DX6" s="7">
        <f t="array" ref="DX6">MATCH(MAX(ABS(DX3:DX5)), ABS(DX3:DX5), 0)</f>
        <v>1</v>
      </c>
      <c r="DY6" s="7">
        <f t="array" ref="DY6">MATCH(MAX(ABS(DY3:DY5)), ABS(DY3:DY5), 0)</f>
        <v>1</v>
      </c>
      <c r="DZ6" s="7">
        <f t="array" ref="DZ6">MATCH(MAX(ABS(DZ3:DZ5)), ABS(DZ3:DZ5), 0)</f>
        <v>2</v>
      </c>
      <c r="EA6" s="7">
        <f t="array" ref="EA6">MATCH(MAX(ABS(EA3:EA5)), ABS(EA3:EA5), 0)</f>
        <v>1</v>
      </c>
      <c r="EB6" s="7">
        <f t="array" ref="EB6">MATCH(MAX(ABS(EB3:EB5)), ABS(EB3:EB5), 0)</f>
        <v>2</v>
      </c>
      <c r="EC6" s="7">
        <f t="array" ref="EC6">MATCH(MAX(ABS(EC3:EC5)), ABS(EC3:EC5), 0)</f>
        <v>1</v>
      </c>
      <c r="ED6" s="7">
        <f t="array" ref="ED6">MATCH(MAX(ABS(ED3:ED5)), ABS(ED3:ED5), 0)</f>
        <v>2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size</v>
      </c>
      <c r="D7" s="7" t="str">
        <f t="shared" si="0"/>
        <v>size</v>
      </c>
      <c r="E7" s="7" t="str">
        <f t="shared" si="0"/>
        <v>bm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bm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size</v>
      </c>
      <c r="N7" s="7" t="str">
        <f t="shared" si="0"/>
        <v>size</v>
      </c>
      <c r="O7" s="7" t="str">
        <f t="shared" si="0"/>
        <v>bm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size</v>
      </c>
      <c r="V7" s="7" t="str">
        <f t="shared" si="0"/>
        <v>size</v>
      </c>
      <c r="W7" s="7" t="str">
        <f t="shared" si="0"/>
        <v>size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bm</v>
      </c>
      <c r="AB7" s="7" t="str">
        <f t="shared" si="0"/>
        <v>size</v>
      </c>
      <c r="AC7" s="7" t="str">
        <f t="shared" si="0"/>
        <v>size</v>
      </c>
      <c r="AD7" s="7" t="str">
        <f t="shared" si="0"/>
        <v>size</v>
      </c>
      <c r="AE7" s="7" t="str">
        <f t="shared" si="0"/>
        <v>size</v>
      </c>
      <c r="AF7" s="7" t="str">
        <f t="shared" si="0"/>
        <v>size</v>
      </c>
      <c r="AG7" s="7" t="str">
        <f t="shared" si="0"/>
        <v>bm</v>
      </c>
      <c r="AH7" s="7" t="str">
        <f t="shared" si="0"/>
        <v>bm</v>
      </c>
      <c r="AI7" s="7" t="str">
        <f t="shared" si="0"/>
        <v>bm</v>
      </c>
      <c r="AJ7" s="7" t="str">
        <f t="shared" si="0"/>
        <v>bm</v>
      </c>
      <c r="AK7" s="7" t="str">
        <f t="shared" si="0"/>
        <v>bm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bm</v>
      </c>
      <c r="AP7" s="7" t="str">
        <f t="shared" si="0"/>
        <v>bm</v>
      </c>
      <c r="AQ7" s="7" t="str">
        <f t="shared" si="0"/>
        <v>bm</v>
      </c>
      <c r="AR7" s="7" t="str">
        <f t="shared" si="0"/>
        <v>size</v>
      </c>
      <c r="AS7" s="7" t="str">
        <f t="shared" si="0"/>
        <v>bm</v>
      </c>
      <c r="AT7" s="7" t="str">
        <f t="shared" si="0"/>
        <v>size</v>
      </c>
      <c r="AU7" s="7" t="str">
        <f t="shared" si="0"/>
        <v>bm</v>
      </c>
      <c r="AV7" s="7" t="str">
        <f t="shared" si="0"/>
        <v>size</v>
      </c>
      <c r="AW7" s="7" t="str">
        <f t="shared" si="0"/>
        <v>bm</v>
      </c>
      <c r="AX7" s="7" t="str">
        <f t="shared" si="0"/>
        <v>bm</v>
      </c>
      <c r="AY7" s="7" t="str">
        <f t="shared" si="0"/>
        <v>size</v>
      </c>
      <c r="AZ7" s="7" t="str">
        <f t="shared" si="0"/>
        <v>size</v>
      </c>
      <c r="BA7" s="7" t="str">
        <f t="shared" si="0"/>
        <v>size</v>
      </c>
      <c r="BB7" s="7" t="str">
        <f t="shared" si="0"/>
        <v>size</v>
      </c>
      <c r="BC7" s="7" t="str">
        <f t="shared" si="0"/>
        <v>size</v>
      </c>
      <c r="BD7" s="7" t="str">
        <f t="shared" si="0"/>
        <v>size</v>
      </c>
      <c r="BE7" s="7" t="str">
        <f t="shared" si="0"/>
        <v>size</v>
      </c>
      <c r="BF7" s="7" t="str">
        <f t="shared" si="0"/>
        <v>size</v>
      </c>
      <c r="BG7" s="7" t="str">
        <f t="shared" si="0"/>
        <v>size</v>
      </c>
      <c r="BH7" s="7" t="str">
        <f t="shared" si="0"/>
        <v>bm</v>
      </c>
      <c r="BI7" s="7" t="str">
        <f t="shared" si="0"/>
        <v>size</v>
      </c>
      <c r="BJ7" s="7" t="str">
        <f t="shared" si="0"/>
        <v>size</v>
      </c>
      <c r="BK7" s="7" t="str">
        <f t="shared" si="0"/>
        <v>size</v>
      </c>
      <c r="BL7" s="7" t="str">
        <f t="shared" si="0"/>
        <v>size</v>
      </c>
      <c r="BM7" s="7" t="str">
        <f t="shared" si="0"/>
        <v>size</v>
      </c>
      <c r="BN7" s="7" t="str">
        <f t="shared" si="0"/>
        <v>size</v>
      </c>
      <c r="BO7" s="7" t="str">
        <f t="shared" ref="BO7:DZ7" si="1">IF(BO6=1,"bm",IF(BO6=2,"size",IF(BO6=3,"mom")))</f>
        <v>size</v>
      </c>
      <c r="BP7" s="7" t="str">
        <f t="shared" si="1"/>
        <v>size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size</v>
      </c>
      <c r="BU7" s="7" t="str">
        <f t="shared" si="1"/>
        <v>size</v>
      </c>
      <c r="BV7" s="7" t="str">
        <f t="shared" si="1"/>
        <v>size</v>
      </c>
      <c r="BW7" s="7" t="str">
        <f t="shared" si="1"/>
        <v>size</v>
      </c>
      <c r="BX7" s="7" t="str">
        <f t="shared" si="1"/>
        <v>size</v>
      </c>
      <c r="BY7" s="7" t="str">
        <f t="shared" si="1"/>
        <v>size</v>
      </c>
      <c r="BZ7" s="7" t="str">
        <f t="shared" si="1"/>
        <v>bm</v>
      </c>
      <c r="CA7" s="7" t="str">
        <f t="shared" si="1"/>
        <v>size</v>
      </c>
      <c r="CB7" s="7" t="str">
        <f t="shared" si="1"/>
        <v>size</v>
      </c>
      <c r="CC7" s="7" t="str">
        <f t="shared" si="1"/>
        <v>size</v>
      </c>
      <c r="CD7" s="7" t="str">
        <f t="shared" si="1"/>
        <v>bm</v>
      </c>
      <c r="CE7" s="7" t="str">
        <f t="shared" si="1"/>
        <v>size</v>
      </c>
      <c r="CF7" s="7" t="str">
        <f t="shared" si="1"/>
        <v>size</v>
      </c>
      <c r="CG7" s="7" t="str">
        <f t="shared" si="1"/>
        <v>size</v>
      </c>
      <c r="CH7" s="7" t="str">
        <f t="shared" si="1"/>
        <v>bm</v>
      </c>
      <c r="CI7" s="7" t="str">
        <f t="shared" si="1"/>
        <v>size</v>
      </c>
      <c r="CJ7" s="7" t="str">
        <f t="shared" si="1"/>
        <v>size</v>
      </c>
      <c r="CK7" s="7" t="str">
        <f t="shared" si="1"/>
        <v>size</v>
      </c>
      <c r="CL7" s="7" t="str">
        <f t="shared" si="1"/>
        <v>size</v>
      </c>
      <c r="CM7" s="7" t="str">
        <f t="shared" si="1"/>
        <v>size</v>
      </c>
      <c r="CN7" s="7" t="str">
        <f t="shared" si="1"/>
        <v>size</v>
      </c>
      <c r="CO7" s="7" t="str">
        <f t="shared" si="1"/>
        <v>size</v>
      </c>
      <c r="CP7" s="7" t="str">
        <f t="shared" si="1"/>
        <v>size</v>
      </c>
      <c r="CQ7" s="7" t="str">
        <f t="shared" si="1"/>
        <v>size</v>
      </c>
      <c r="CR7" s="7" t="str">
        <f t="shared" si="1"/>
        <v>size</v>
      </c>
      <c r="CS7" s="7" t="str">
        <f t="shared" si="1"/>
        <v>size</v>
      </c>
      <c r="CT7" s="7" t="str">
        <f t="shared" si="1"/>
        <v>size</v>
      </c>
      <c r="CU7" s="7" t="str">
        <f t="shared" si="1"/>
        <v>bm</v>
      </c>
      <c r="CV7" s="7" t="str">
        <f t="shared" si="1"/>
        <v>bm</v>
      </c>
      <c r="CW7" s="7" t="str">
        <f t="shared" si="1"/>
        <v>size</v>
      </c>
      <c r="CX7" s="7" t="str">
        <f t="shared" si="1"/>
        <v>size</v>
      </c>
      <c r="CY7" s="7" t="str">
        <f t="shared" si="1"/>
        <v>size</v>
      </c>
      <c r="CZ7" s="7" t="str">
        <f t="shared" si="1"/>
        <v>bm</v>
      </c>
      <c r="DA7" s="7" t="str">
        <f t="shared" si="1"/>
        <v>bm</v>
      </c>
      <c r="DB7" s="7" t="str">
        <f t="shared" si="1"/>
        <v>bm</v>
      </c>
      <c r="DC7" s="7" t="str">
        <f t="shared" si="1"/>
        <v>size</v>
      </c>
      <c r="DD7" s="7" t="str">
        <f t="shared" si="1"/>
        <v>size</v>
      </c>
      <c r="DE7" s="7" t="str">
        <f t="shared" si="1"/>
        <v>size</v>
      </c>
      <c r="DF7" s="7" t="str">
        <f t="shared" si="1"/>
        <v>bm</v>
      </c>
      <c r="DG7" s="7" t="str">
        <f t="shared" si="1"/>
        <v>bm</v>
      </c>
      <c r="DH7" s="7" t="str">
        <f t="shared" si="1"/>
        <v>size</v>
      </c>
      <c r="DI7" s="7" t="str">
        <f t="shared" si="1"/>
        <v>size</v>
      </c>
      <c r="DJ7" s="7" t="str">
        <f t="shared" si="1"/>
        <v>bm</v>
      </c>
      <c r="DK7" s="7" t="str">
        <f t="shared" si="1"/>
        <v>size</v>
      </c>
      <c r="DL7" s="7" t="str">
        <f t="shared" si="1"/>
        <v>size</v>
      </c>
      <c r="DM7" s="7" t="str">
        <f t="shared" si="1"/>
        <v>size</v>
      </c>
      <c r="DN7" s="7" t="str">
        <f t="shared" si="1"/>
        <v>size</v>
      </c>
      <c r="DO7" s="7" t="str">
        <f t="shared" si="1"/>
        <v>size</v>
      </c>
      <c r="DP7" s="7" t="str">
        <f t="shared" si="1"/>
        <v>size</v>
      </c>
      <c r="DQ7" s="7" t="str">
        <f t="shared" si="1"/>
        <v>size</v>
      </c>
      <c r="DR7" s="7" t="str">
        <f t="shared" si="1"/>
        <v>size</v>
      </c>
      <c r="DS7" s="7" t="str">
        <f t="shared" si="1"/>
        <v>bm</v>
      </c>
      <c r="DT7" s="7" t="str">
        <f t="shared" si="1"/>
        <v>size</v>
      </c>
      <c r="DU7" s="7" t="str">
        <f t="shared" si="1"/>
        <v>size</v>
      </c>
      <c r="DV7" s="7" t="str">
        <f t="shared" si="1"/>
        <v>size</v>
      </c>
      <c r="DW7" s="7" t="str">
        <f t="shared" si="1"/>
        <v>size</v>
      </c>
      <c r="DX7" s="7" t="str">
        <f t="shared" si="1"/>
        <v>bm</v>
      </c>
      <c r="DY7" s="7" t="str">
        <f t="shared" si="1"/>
        <v>bm</v>
      </c>
      <c r="DZ7" s="7" t="str">
        <f t="shared" si="1"/>
        <v>size</v>
      </c>
      <c r="EA7" s="7" t="str">
        <f t="shared" ref="EA7:EG7" si="2">IF(EA6=1,"bm",IF(EA6=2,"size",IF(EA6=3,"mom")))</f>
        <v>bm</v>
      </c>
      <c r="EB7" s="7" t="str">
        <f t="shared" si="2"/>
        <v>size</v>
      </c>
      <c r="EC7" s="7" t="str">
        <f t="shared" si="2"/>
        <v>bm</v>
      </c>
      <c r="ED7" s="7" t="str">
        <f t="shared" si="2"/>
        <v>size</v>
      </c>
      <c r="EE7" s="7" t="str">
        <f t="shared" si="2"/>
        <v>size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9.977172315120697E-2</v>
      </c>
      <c r="D8" s="7">
        <f t="shared" si="3"/>
        <v>-4.8145148903131478E-2</v>
      </c>
      <c r="E8" s="7">
        <f t="shared" si="3"/>
        <v>3.8903146982192993E-2</v>
      </c>
      <c r="F8" s="7">
        <f t="shared" si="3"/>
        <v>-3.0923590064048771E-2</v>
      </c>
      <c r="G8" s="7">
        <f t="shared" si="3"/>
        <v>-4.1859965771436691E-2</v>
      </c>
      <c r="H8" s="7">
        <f t="shared" si="3"/>
        <v>-2.755187451839447E-2</v>
      </c>
      <c r="I8" s="7">
        <f t="shared" si="3"/>
        <v>4.3437454849481583E-2</v>
      </c>
      <c r="J8" s="7">
        <f t="shared" si="3"/>
        <v>-3.6191552877426147E-2</v>
      </c>
      <c r="K8" s="7">
        <f t="shared" si="3"/>
        <v>-3.3944845199584961E-2</v>
      </c>
      <c r="L8" s="7">
        <f t="shared" si="3"/>
        <v>-3.7480711936950677E-2</v>
      </c>
      <c r="M8" s="7">
        <f t="shared" si="3"/>
        <v>-3.8226228207349777E-2</v>
      </c>
      <c r="N8" s="7">
        <f t="shared" si="3"/>
        <v>-2.893173880875111E-2</v>
      </c>
      <c r="O8" s="7">
        <f t="shared" si="3"/>
        <v>4.9354821443557739E-2</v>
      </c>
      <c r="P8" s="7">
        <f t="shared" si="3"/>
        <v>-3.8424994796514511E-2</v>
      </c>
      <c r="Q8" s="7">
        <f t="shared" si="3"/>
        <v>-2.4131393060088161E-2</v>
      </c>
      <c r="R8" s="7">
        <f t="shared" si="3"/>
        <v>-3.5332571715116501E-2</v>
      </c>
      <c r="S8" s="7">
        <f t="shared" si="3"/>
        <v>-2.8889749199151989E-2</v>
      </c>
      <c r="T8" s="7">
        <f t="shared" si="3"/>
        <v>-2.8651971369981769E-2</v>
      </c>
      <c r="U8" s="7">
        <f t="shared" si="3"/>
        <v>-3.027976676821709E-2</v>
      </c>
      <c r="V8" s="7">
        <f t="shared" si="3"/>
        <v>-2.7209959924221039E-2</v>
      </c>
      <c r="W8" s="7">
        <f t="shared" si="3"/>
        <v>-2.7900077402591709E-2</v>
      </c>
      <c r="X8" s="7">
        <f t="shared" si="3"/>
        <v>-2.877085097134113E-2</v>
      </c>
      <c r="Y8" s="7">
        <f t="shared" si="3"/>
        <v>-3.2078109681606293E-2</v>
      </c>
      <c r="Z8" s="7">
        <f t="shared" si="3"/>
        <v>-3.0241664499044418E-2</v>
      </c>
      <c r="AA8" s="7">
        <f t="shared" si="3"/>
        <v>3.4736543893814087E-2</v>
      </c>
      <c r="AB8" s="7">
        <f t="shared" si="3"/>
        <v>-2.8631076216697689E-2</v>
      </c>
      <c r="AC8" s="7">
        <f t="shared" si="3"/>
        <v>-2.7421202510595322E-2</v>
      </c>
      <c r="AD8" s="7">
        <f t="shared" si="3"/>
        <v>-2.8836533427238461E-2</v>
      </c>
      <c r="AE8" s="7">
        <f t="shared" si="3"/>
        <v>-3.089639917016029E-2</v>
      </c>
      <c r="AF8" s="7">
        <f t="shared" si="3"/>
        <v>-2.9104374349117279E-2</v>
      </c>
      <c r="AG8" s="7">
        <f t="shared" si="3"/>
        <v>-4.3333325535058982E-2</v>
      </c>
      <c r="AH8" s="7">
        <f t="shared" si="3"/>
        <v>2.168444357812405E-2</v>
      </c>
      <c r="AI8" s="7">
        <f t="shared" si="3"/>
        <v>4.2865972965955727E-2</v>
      </c>
      <c r="AJ8" s="7">
        <f t="shared" si="3"/>
        <v>4.0528882294893258E-2</v>
      </c>
      <c r="AK8" s="7">
        <f t="shared" si="3"/>
        <v>4.2677275836467743E-2</v>
      </c>
      <c r="AL8" s="7">
        <f t="shared" si="3"/>
        <v>4.2865950614213937E-2</v>
      </c>
      <c r="AM8" s="7">
        <f t="shared" si="3"/>
        <v>4.7705098986625671E-2</v>
      </c>
      <c r="AN8" s="7">
        <f t="shared" si="3"/>
        <v>4.4681474566459663E-2</v>
      </c>
      <c r="AO8" s="7">
        <f t="shared" si="3"/>
        <v>4.9907289445400238E-2</v>
      </c>
      <c r="AP8" s="7">
        <f t="shared" si="3"/>
        <v>4.7438353300094598E-2</v>
      </c>
      <c r="AQ8" s="7">
        <f t="shared" si="3"/>
        <v>3.3652849495410919E-2</v>
      </c>
      <c r="AR8" s="7">
        <f t="shared" si="3"/>
        <v>-2.606182545423508E-2</v>
      </c>
      <c r="AS8" s="7">
        <f t="shared" si="3"/>
        <v>4.0618646889925003E-2</v>
      </c>
      <c r="AT8" s="7">
        <f t="shared" si="3"/>
        <v>-2.671050280332565E-2</v>
      </c>
      <c r="AU8" s="7">
        <f t="shared" si="3"/>
        <v>3.0446793884038929E-2</v>
      </c>
      <c r="AV8" s="7">
        <f t="shared" si="3"/>
        <v>-3.2673545181751251E-2</v>
      </c>
      <c r="AW8" s="7">
        <f t="shared" si="3"/>
        <v>2.9586771503090858E-2</v>
      </c>
      <c r="AX8" s="7">
        <f t="shared" si="3"/>
        <v>3.1509295105934143E-2</v>
      </c>
      <c r="AY8" s="7">
        <f t="shared" si="3"/>
        <v>-3.3140793442726142E-2</v>
      </c>
      <c r="AZ8" s="7">
        <f t="shared" si="3"/>
        <v>-2.7217986062169078E-2</v>
      </c>
      <c r="BA8" s="7">
        <f t="shared" si="3"/>
        <v>-3.095186315476894E-2</v>
      </c>
      <c r="BB8" s="7">
        <f t="shared" si="3"/>
        <v>-3.369150310754776E-2</v>
      </c>
      <c r="BC8" s="7">
        <f t="shared" si="3"/>
        <v>-3.1448625028133392E-2</v>
      </c>
      <c r="BD8" s="7">
        <f t="shared" si="3"/>
        <v>-3.1621113419532783E-2</v>
      </c>
      <c r="BE8" s="7">
        <f t="shared" si="3"/>
        <v>-3.2706748694181442E-2</v>
      </c>
      <c r="BF8" s="7">
        <f t="shared" si="3"/>
        <v>-3.0923545360565189E-2</v>
      </c>
      <c r="BG8" s="7">
        <f t="shared" si="3"/>
        <v>-3.1954869627952583E-2</v>
      </c>
      <c r="BH8" s="7">
        <f t="shared" si="3"/>
        <v>-8.4409467875957489E-2</v>
      </c>
      <c r="BI8" s="7">
        <f t="shared" si="3"/>
        <v>-3.112749382853508E-2</v>
      </c>
      <c r="BJ8" s="7">
        <f t="shared" si="3"/>
        <v>-3.058207780122757E-2</v>
      </c>
      <c r="BK8" s="7">
        <f t="shared" si="3"/>
        <v>-3.2318864017724991E-2</v>
      </c>
      <c r="BL8" s="7">
        <f t="shared" si="3"/>
        <v>-3.1555991619825363E-2</v>
      </c>
      <c r="BM8" s="7">
        <f t="shared" si="3"/>
        <v>-3.1693760305643082E-2</v>
      </c>
      <c r="BN8" s="7">
        <f t="shared" si="3"/>
        <v>-1.228830590844154E-2</v>
      </c>
      <c r="BO8" s="7">
        <f t="shared" ref="BO8:DZ8" si="4">IF(BO6=1,BO3,IF(BO6=2,BO4,IF(BO6=3,BO5)))</f>
        <v>-2.3035662248730659E-2</v>
      </c>
      <c r="BP8" s="7">
        <f t="shared" si="4"/>
        <v>-3.5096336156129837E-2</v>
      </c>
      <c r="BQ8" s="7">
        <f t="shared" si="4"/>
        <v>4.7462418675422668E-2</v>
      </c>
      <c r="BR8" s="7">
        <f t="shared" si="4"/>
        <v>3.2633718103170388E-2</v>
      </c>
      <c r="BS8" s="7">
        <f t="shared" si="4"/>
        <v>5.4500699043273933E-2</v>
      </c>
      <c r="BT8" s="7">
        <f t="shared" si="4"/>
        <v>-2.6367433369159698E-2</v>
      </c>
      <c r="BU8" s="7">
        <f t="shared" si="4"/>
        <v>-3.650752454996109E-2</v>
      </c>
      <c r="BV8" s="7">
        <f t="shared" si="4"/>
        <v>-3.3560741692781448E-2</v>
      </c>
      <c r="BW8" s="7">
        <f t="shared" si="4"/>
        <v>-2.4210104718804359E-2</v>
      </c>
      <c r="BX8" s="7">
        <f t="shared" si="4"/>
        <v>-3.3166561275720603E-2</v>
      </c>
      <c r="BY8" s="7">
        <f t="shared" si="4"/>
        <v>-3.2165385782718658E-2</v>
      </c>
      <c r="BZ8" s="7">
        <f t="shared" si="4"/>
        <v>3.6023158580064767E-2</v>
      </c>
      <c r="CA8" s="7">
        <f t="shared" si="4"/>
        <v>-3.2357048243284232E-2</v>
      </c>
      <c r="CB8" s="7">
        <f t="shared" si="4"/>
        <v>-2.4709198623895649E-2</v>
      </c>
      <c r="CC8" s="7">
        <f t="shared" si="4"/>
        <v>-2.8877668082714081E-2</v>
      </c>
      <c r="CD8" s="7">
        <f t="shared" si="4"/>
        <v>3.6446176469326019E-2</v>
      </c>
      <c r="CE8" s="7">
        <f t="shared" si="4"/>
        <v>-3.1489692628383643E-2</v>
      </c>
      <c r="CF8" s="7">
        <f t="shared" si="4"/>
        <v>-3.0856378376483921E-2</v>
      </c>
      <c r="CG8" s="7">
        <f t="shared" si="4"/>
        <v>-3.0586652457714081E-2</v>
      </c>
      <c r="CH8" s="7">
        <f t="shared" si="4"/>
        <v>3.5072214901447303E-2</v>
      </c>
      <c r="CI8" s="7">
        <f t="shared" si="4"/>
        <v>-3.0887618660926819E-2</v>
      </c>
      <c r="CJ8" s="7">
        <f t="shared" si="4"/>
        <v>-3.3135820180177689E-2</v>
      </c>
      <c r="CK8" s="7">
        <f t="shared" si="4"/>
        <v>-3.1962625682353973E-2</v>
      </c>
      <c r="CL8" s="7">
        <f t="shared" si="4"/>
        <v>-3.1442400068044662E-2</v>
      </c>
      <c r="CM8" s="7">
        <f t="shared" si="4"/>
        <v>-3.055553138256073E-2</v>
      </c>
      <c r="CN8" s="7">
        <f t="shared" si="4"/>
        <v>-3.1579829752445221E-2</v>
      </c>
      <c r="CO8" s="7">
        <f t="shared" si="4"/>
        <v>-3.0647208914160728E-2</v>
      </c>
      <c r="CP8" s="7">
        <f t="shared" si="4"/>
        <v>-3.0090013518929482E-2</v>
      </c>
      <c r="CQ8" s="7">
        <f t="shared" si="4"/>
        <v>-3.185310959815979E-2</v>
      </c>
      <c r="CR8" s="7">
        <f t="shared" si="4"/>
        <v>-2.9662992805242538E-2</v>
      </c>
      <c r="CS8" s="7">
        <f t="shared" si="4"/>
        <v>-3.0695755034685131E-2</v>
      </c>
      <c r="CT8" s="7">
        <f t="shared" si="4"/>
        <v>-2.3135770112276081E-2</v>
      </c>
      <c r="CU8" s="7">
        <f t="shared" si="4"/>
        <v>3.6009509116411209E-2</v>
      </c>
      <c r="CV8" s="7">
        <f t="shared" si="4"/>
        <v>3.4486167132854462E-2</v>
      </c>
      <c r="CW8" s="7">
        <f t="shared" si="4"/>
        <v>-3.2225780189037323E-2</v>
      </c>
      <c r="CX8" s="7">
        <f t="shared" si="4"/>
        <v>-2.798448316752911E-2</v>
      </c>
      <c r="CY8" s="7">
        <f t="shared" si="4"/>
        <v>-2.8027312830090519E-2</v>
      </c>
      <c r="CZ8" s="7">
        <f t="shared" si="4"/>
        <v>3.111917711794376E-2</v>
      </c>
      <c r="DA8" s="7">
        <f t="shared" si="4"/>
        <v>3.9866019040346153E-2</v>
      </c>
      <c r="DB8" s="7">
        <f t="shared" si="4"/>
        <v>3.7007730454206467E-2</v>
      </c>
      <c r="DC8" s="7">
        <f t="shared" si="4"/>
        <v>-3.1756717711687088E-2</v>
      </c>
      <c r="DD8" s="7">
        <f t="shared" si="4"/>
        <v>-3.1705938279628747E-2</v>
      </c>
      <c r="DE8" s="7">
        <f t="shared" si="4"/>
        <v>-2.9670331627130508E-2</v>
      </c>
      <c r="DF8" s="7">
        <f t="shared" si="4"/>
        <v>4.3441507965326309E-2</v>
      </c>
      <c r="DG8" s="7">
        <f t="shared" si="4"/>
        <v>3.0526775866746899E-2</v>
      </c>
      <c r="DH8" s="7">
        <f t="shared" si="4"/>
        <v>-2.9870636761188511E-2</v>
      </c>
      <c r="DI8" s="7">
        <f t="shared" si="4"/>
        <v>-2.9808983206748959E-2</v>
      </c>
      <c r="DJ8" s="7">
        <f t="shared" si="4"/>
        <v>3.992868959903717E-2</v>
      </c>
      <c r="DK8" s="7">
        <f t="shared" si="4"/>
        <v>-2.9925931245088581E-2</v>
      </c>
      <c r="DL8" s="7">
        <f t="shared" si="4"/>
        <v>-3.030890412628651E-2</v>
      </c>
      <c r="DM8" s="7">
        <f t="shared" si="4"/>
        <v>-2.8274258598685261E-2</v>
      </c>
      <c r="DN8" s="7">
        <f t="shared" si="4"/>
        <v>-2.7238119393587109E-2</v>
      </c>
      <c r="DO8" s="7">
        <f t="shared" si="4"/>
        <v>-2.8595685958862301E-2</v>
      </c>
      <c r="DP8" s="7">
        <f t="shared" si="4"/>
        <v>-2.6695834472775459E-2</v>
      </c>
      <c r="DQ8" s="7">
        <f t="shared" si="4"/>
        <v>-2.743305079638958E-2</v>
      </c>
      <c r="DR8" s="7">
        <f t="shared" si="4"/>
        <v>-2.8683912009000782E-2</v>
      </c>
      <c r="DS8" s="7">
        <f t="shared" si="4"/>
        <v>3.6880720406770713E-2</v>
      </c>
      <c r="DT8" s="7">
        <f t="shared" si="4"/>
        <v>-2.8481073677539829E-2</v>
      </c>
      <c r="DU8" s="7">
        <f t="shared" si="4"/>
        <v>-2.813183888792992E-2</v>
      </c>
      <c r="DV8" s="7">
        <f t="shared" si="4"/>
        <v>-2.8057403862476349E-2</v>
      </c>
      <c r="DW8" s="7">
        <f t="shared" si="4"/>
        <v>-2.6179386302828789E-2</v>
      </c>
      <c r="DX8" s="7">
        <f t="shared" si="4"/>
        <v>2.8465604409575459E-2</v>
      </c>
      <c r="DY8" s="7">
        <f t="shared" si="4"/>
        <v>3.1516790390014648E-2</v>
      </c>
      <c r="DZ8" s="7">
        <f t="shared" si="4"/>
        <v>-2.3914756253361698E-2</v>
      </c>
      <c r="EA8" s="7">
        <f t="shared" ref="EA8:EG8" si="5">IF(EA6=1,EA3,IF(EA6=2,EA4,IF(EA6=3,EA5)))</f>
        <v>3.9311233907937997E-2</v>
      </c>
      <c r="EB8" s="7">
        <f t="shared" si="5"/>
        <v>-2.6596140116453171E-2</v>
      </c>
      <c r="EC8" s="7">
        <f t="shared" si="5"/>
        <v>2.9493488371372219E-2</v>
      </c>
      <c r="ED8" s="7">
        <f t="shared" si="5"/>
        <v>-2.412146516144276E-2</v>
      </c>
      <c r="EE8" s="7">
        <f t="shared" si="5"/>
        <v>-3.5137765109539032E-2</v>
      </c>
      <c r="EF8" s="7">
        <f t="shared" si="5"/>
        <v>3.392517939209938E-2</v>
      </c>
      <c r="EG8" s="1">
        <f t="shared" si="5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169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96</v>
      </c>
      <c r="B12" s="1" t="s">
        <v>170</v>
      </c>
      <c r="C12" s="7" cm="1">
        <f t="array" ref="C12">PRODUCT(1 + 預測IC!$C12:C12) - 1</f>
        <v>-8.4653346747999514E-2</v>
      </c>
      <c r="D12" s="7" cm="1">
        <f t="array" ref="D12">PRODUCT(1 + 預測IC!$C12:D12) - 1</f>
        <v>2.0326506014606061E-2</v>
      </c>
      <c r="E12" s="7" cm="1">
        <f t="array" ref="E12">PRODUCT(1 + 預測IC!$C12:E12) - 1</f>
        <v>1.3435191858199191E-2</v>
      </c>
      <c r="F12" s="7" cm="1">
        <f t="array" ref="F12">PRODUCT(1 + 預測IC!$C12:F12) - 1</f>
        <v>2.7036611360180318E-2</v>
      </c>
      <c r="G12" s="7" cm="1">
        <f t="array" ref="G12">PRODUCT(1 + 預測IC!$C12:G12) - 1</f>
        <v>3.9078274422192694E-2</v>
      </c>
      <c r="H12" s="7" cm="1">
        <f t="array" ref="H12">PRODUCT(1 + 預測IC!$C12:H12) - 1</f>
        <v>7.9114492603409525E-2</v>
      </c>
      <c r="I12" s="7" cm="1">
        <f t="array" ref="I12">PRODUCT(1 + 預測IC!$C12:I12) - 1</f>
        <v>0.11829059699578059</v>
      </c>
      <c r="J12" s="7" cm="1">
        <f t="array" ref="J12">PRODUCT(1 + 預測IC!$C12:J12) - 1</f>
        <v>8.5403769749641478E-2</v>
      </c>
      <c r="K12" s="7" cm="1">
        <f t="array" ref="K12">PRODUCT(1 + 預測IC!$C12:K12) - 1</f>
        <v>0.10578155272541356</v>
      </c>
      <c r="L12" s="7" cm="1">
        <f t="array" ref="L12">PRODUCT(1 + 預測IC!$C12:L12) - 1</f>
        <v>5.9459322886044941E-2</v>
      </c>
      <c r="M12" s="7" cm="1">
        <f t="array" ref="M12">PRODUCT(1 + 預測IC!$C12:M12) - 1</f>
        <v>5.9039271623690937E-2</v>
      </c>
      <c r="N12" s="7" cm="1">
        <f t="array" ref="N12">PRODUCT(1 + 預測IC!$C12:N12) - 1</f>
        <v>0.13245927320530293</v>
      </c>
      <c r="O12" s="7" cm="1">
        <f t="array" ref="O12">PRODUCT(1 + 預測IC!$C12:O12) - 1</f>
        <v>0.15355686336122409</v>
      </c>
      <c r="P12" s="7" cm="1">
        <f t="array" ref="P12">PRODUCT(1 + 預測IC!$C12:P12) - 1</f>
        <v>0.15382214831879693</v>
      </c>
      <c r="Q12" s="7" cm="1">
        <f t="array" ref="Q12">PRODUCT(1 + 預測IC!$C12:Q12) - 1</f>
        <v>0.19451732332253346</v>
      </c>
      <c r="R12" s="7" cm="1">
        <f t="array" ref="R12">PRODUCT(1 + 預測IC!$C12:R12) - 1</f>
        <v>0.20247625343922904</v>
      </c>
      <c r="S12" s="7" cm="1">
        <f t="array" ref="S12">PRODUCT(1 + 預測IC!$C12:S12) - 1</f>
        <v>0.18266858992477841</v>
      </c>
      <c r="T12" s="7" cm="1">
        <f t="array" ref="T12">PRODUCT(1 + 預測IC!$C12:T12) - 1</f>
        <v>0.17351497149085904</v>
      </c>
      <c r="U12" s="7" cm="1">
        <f t="array" ref="U12">PRODUCT(1 + 預測IC!$C12:U12) - 1</f>
        <v>0.15452914348405544</v>
      </c>
      <c r="V12" s="7" cm="1">
        <f t="array" ref="V12">PRODUCT(1 + 預測IC!$C12:V12) - 1</f>
        <v>0.16169238499898819</v>
      </c>
      <c r="W12" s="7" cm="1">
        <f t="array" ref="W12">PRODUCT(1 + 預測IC!$C12:W12) - 1</f>
        <v>0.23608648572729529</v>
      </c>
      <c r="X12" s="7" cm="1">
        <f t="array" ref="X12">PRODUCT(1 + 預測IC!$C12:X12) - 1</f>
        <v>0.26955215579713965</v>
      </c>
      <c r="Y12" s="7" cm="1">
        <f t="array" ref="Y12">PRODUCT(1 + 預測IC!$C12:Y12) - 1</f>
        <v>0.28915450880287774</v>
      </c>
      <c r="Z12" s="7" cm="1">
        <f t="array" ref="Z12">PRODUCT(1 + 預測IC!$C12:Z12) - 1</f>
        <v>0.29581416189011511</v>
      </c>
      <c r="AA12" s="7" cm="1">
        <f t="array" ref="AA12">PRODUCT(1 + 預測IC!$C12:AA12) - 1</f>
        <v>0.2447543394162317</v>
      </c>
      <c r="AB12" s="7" cm="1">
        <f t="array" ref="AB12">PRODUCT(1 + 預測IC!$C12:AB12) - 1</f>
        <v>0.24013453523835615</v>
      </c>
      <c r="AC12" s="7" cm="1">
        <f t="array" ref="AC12">PRODUCT(1 + 預測IC!$C12:AC12) - 1</f>
        <v>0.24654278133598995</v>
      </c>
      <c r="AD12" s="7" cm="1">
        <f t="array" ref="AD12">PRODUCT(1 + 預測IC!$C12:AD12) - 1</f>
        <v>0.25825061446164654</v>
      </c>
      <c r="AE12" s="7" cm="1">
        <f t="array" ref="AE12">PRODUCT(1 + 預測IC!$C12:AE12) - 1</f>
        <v>0.18487325984389913</v>
      </c>
      <c r="AF12" s="7" cm="1">
        <f t="array" ref="AF12">PRODUCT(1 + 預測IC!$C12:AF12) - 1</f>
        <v>0.23959249486225254</v>
      </c>
      <c r="AG12" s="7" cm="1">
        <f t="array" ref="AG12">PRODUCT(1 + 預測IC!$C12:AG12) - 1</f>
        <v>0.20242685302377494</v>
      </c>
      <c r="AH12" s="7" cm="1">
        <f t="array" ref="AH12">PRODUCT(1 + 預測IC!$C12:AH12) - 1</f>
        <v>0.21854635252088506</v>
      </c>
      <c r="AI12" s="7" cm="1">
        <f t="array" ref="AI12">PRODUCT(1 + 預測IC!$C12:AI12) - 1</f>
        <v>0.24231538003858621</v>
      </c>
      <c r="AJ12" s="7" cm="1">
        <f t="array" ref="AJ12">PRODUCT(1 + 預測IC!$C12:AJ12) - 1</f>
        <v>0.25844528930558797</v>
      </c>
      <c r="AK12" s="7" cm="1">
        <f t="array" ref="AK12">PRODUCT(1 + 預測IC!$C12:AK12) - 1</f>
        <v>0.31900633809977741</v>
      </c>
      <c r="AL12" s="7" cm="1">
        <f t="array" ref="AL12">PRODUCT(1 + 預測IC!$C12:AL12) - 1</f>
        <v>0.34256247627783565</v>
      </c>
      <c r="AM12" s="7" cm="1">
        <f t="array" ref="AM12">PRODUCT(1 + 預測IC!$C12:AM12) - 1</f>
        <v>0.38295496615626656</v>
      </c>
      <c r="AN12" s="7" cm="1">
        <f t="array" ref="AN12">PRODUCT(1 + 預測IC!$C12:AN12) - 1</f>
        <v>0.47870141137308297</v>
      </c>
      <c r="AO12" s="7" cm="1">
        <f t="array" ref="AO12">PRODUCT(1 + 預測IC!$C12:AO12) - 1</f>
        <v>0.48199713078650608</v>
      </c>
      <c r="AP12" s="7" cm="1">
        <f t="array" ref="AP12">PRODUCT(1 + 預測IC!$C12:AP12) - 1</f>
        <v>0.43202664056493534</v>
      </c>
      <c r="AQ12" s="7" cm="1">
        <f t="array" ref="AQ12">PRODUCT(1 + 預測IC!$C12:AQ12) - 1</f>
        <v>0.42111182460379215</v>
      </c>
      <c r="AR12" s="7" cm="1">
        <f t="array" ref="AR12">PRODUCT(1 + 預測IC!$C12:AR12) - 1</f>
        <v>0.41044719310996647</v>
      </c>
      <c r="AS12" s="7" cm="1">
        <f t="array" ref="AS12">PRODUCT(1 + 預測IC!$C12:AS12) - 1</f>
        <v>0.43738633739358956</v>
      </c>
      <c r="AT12" s="7" cm="1">
        <f t="array" ref="AT12">PRODUCT(1 + 預測IC!$C12:AT12) - 1</f>
        <v>0.40533742221946167</v>
      </c>
      <c r="AU12" s="7" cm="1">
        <f t="array" ref="AU12">PRODUCT(1 + 預測IC!$C12:AU12) - 1</f>
        <v>0.43444007522766581</v>
      </c>
      <c r="AV12" s="7" cm="1">
        <f t="array" ref="AV12">PRODUCT(1 + 預測IC!$C12:AV12) - 1</f>
        <v>0.40318377628273638</v>
      </c>
      <c r="AW12" s="7" cm="1">
        <f t="array" ref="AW12">PRODUCT(1 + 預測IC!$C12:AW12) - 1</f>
        <v>0.40405582275174923</v>
      </c>
      <c r="AX12" s="7" cm="1">
        <f t="array" ref="AX12">PRODUCT(1 + 預測IC!$C12:AX12) - 1</f>
        <v>0.46527050456196917</v>
      </c>
      <c r="AY12" s="7" cm="1">
        <f t="array" ref="AY12">PRODUCT(1 + 預測IC!$C12:AY12) - 1</f>
        <v>0.45396718916248568</v>
      </c>
      <c r="AZ12" s="7" cm="1">
        <f t="array" ref="AZ12">PRODUCT(1 + 預測IC!$C12:AZ12) - 1</f>
        <v>0.55074877497104557</v>
      </c>
      <c r="BA12" s="7" cm="1">
        <f t="array" ref="BA12">PRODUCT(1 + 預測IC!$C12:BA12) - 1</f>
        <v>0.66128018700835023</v>
      </c>
      <c r="BB12" s="7" cm="1">
        <f t="array" ref="BB12">PRODUCT(1 + 預測IC!$C12:BB12) - 1</f>
        <v>0.67089134895345448</v>
      </c>
      <c r="BC12" s="7" cm="1">
        <f t="array" ref="BC12">PRODUCT(1 + 預測IC!$C12:BC12) - 1</f>
        <v>0.67686523815807087</v>
      </c>
      <c r="BD12" s="7" cm="1">
        <f t="array" ref="BD12">PRODUCT(1 + 預測IC!$C12:BD12) - 1</f>
        <v>0.75942338680290478</v>
      </c>
      <c r="BE12" s="7" cm="1">
        <f t="array" ref="BE12">PRODUCT(1 + 預測IC!$C12:BE12) - 1</f>
        <v>0.67919624035199333</v>
      </c>
      <c r="BF12" s="7" cm="1">
        <f t="array" ref="BF12">PRODUCT(1 + 預測IC!$C12:BF12) - 1</f>
        <v>0.6395654292179771</v>
      </c>
      <c r="BG12" s="7" cm="1">
        <f t="array" ref="BG12">PRODUCT(1 + 預測IC!$C12:BG12) - 1</f>
        <v>0.65596773793886509</v>
      </c>
      <c r="BH12" s="7" cm="1">
        <f t="array" ref="BH12">PRODUCT(1 + 預測IC!$C12:BH12) - 1</f>
        <v>0.63241431263502612</v>
      </c>
      <c r="BI12" s="7" cm="1">
        <f t="array" ref="BI12">PRODUCT(1 + 預測IC!$C12:BI12) - 1</f>
        <v>0.66643017248304326</v>
      </c>
      <c r="BJ12" s="7" cm="1">
        <f t="array" ref="BJ12">PRODUCT(1 + 預測IC!$C12:BJ12) - 1</f>
        <v>0.73879073516068661</v>
      </c>
      <c r="BK12" s="7" cm="1">
        <f t="array" ref="BK12">PRODUCT(1 + 預測IC!$C12:BK12) - 1</f>
        <v>0.70388337745507656</v>
      </c>
      <c r="BL12" s="7" cm="1">
        <f t="array" ref="BL12">PRODUCT(1 + 預測IC!$C12:BL12) - 1</f>
        <v>0.72272895585034069</v>
      </c>
      <c r="BM12" s="7" cm="1">
        <f t="array" ref="BM12">PRODUCT(1 + 預測IC!$C12:BM12) - 1</f>
        <v>0.67075093536040087</v>
      </c>
      <c r="BN12" s="7" cm="1">
        <f t="array" ref="BN12">PRODUCT(1 + 預測IC!$C12:BN12) - 1</f>
        <v>0.63816705140394148</v>
      </c>
      <c r="BO12" s="7" cm="1">
        <f t="array" ref="BO12">PRODUCT(1 + 預測IC!$C12:BO12) - 1</f>
        <v>0.66587463049370266</v>
      </c>
      <c r="BP12" s="7" cm="1">
        <f t="array" ref="BP12">PRODUCT(1 + 預測IC!$C12:BP12) - 1</f>
        <v>0.6218589620827264</v>
      </c>
      <c r="BQ12" s="7" cm="1">
        <f t="array" ref="BQ12">PRODUCT(1 + 預測IC!$C12:BQ12) - 1</f>
        <v>0.64439752999571054</v>
      </c>
      <c r="BR12" s="7" cm="1">
        <f t="array" ref="BR12">PRODUCT(1 + 預測IC!$C12:BR12) - 1</f>
        <v>0.640679533279642</v>
      </c>
      <c r="BS12" s="7" cm="1">
        <f t="array" ref="BS12">PRODUCT(1 + 預測IC!$C12:BS12) - 1</f>
        <v>0.67162815266566978</v>
      </c>
      <c r="BT12" s="7" cm="1">
        <f t="array" ref="BT12">PRODUCT(1 + 預測IC!$C12:BT12) - 1</f>
        <v>0.63604237001580954</v>
      </c>
      <c r="BU12" s="7" cm="1">
        <f t="array" ref="BU12">PRODUCT(1 + 預測IC!$C12:BU12) - 1</f>
        <v>0.55737594009605695</v>
      </c>
      <c r="BV12" s="7" cm="1">
        <f t="array" ref="BV12">PRODUCT(1 + 預測IC!$C12:BV12) - 1</f>
        <v>0.60729486333628668</v>
      </c>
      <c r="BW12" s="7" cm="1">
        <f t="array" ref="BW12">PRODUCT(1 + 預測IC!$C12:BW12) - 1</f>
        <v>0.69647973271519037</v>
      </c>
      <c r="BX12" s="7" cm="1">
        <f t="array" ref="BX12">PRODUCT(1 + 預測IC!$C12:BX12) - 1</f>
        <v>0.72359652201833513</v>
      </c>
      <c r="BY12" s="7" cm="1">
        <f t="array" ref="BY12">PRODUCT(1 + 預測IC!$C12:BY12) - 1</f>
        <v>0.6446282474945888</v>
      </c>
      <c r="BZ12" s="7" cm="1">
        <f t="array" ref="BZ12">PRODUCT(1 + 預測IC!$C12:BZ12) - 1</f>
        <v>0.71922356159853429</v>
      </c>
      <c r="CA12" s="7" cm="1">
        <f t="array" ref="CA12">PRODUCT(1 + 預測IC!$C12:CA12) - 1</f>
        <v>0.74429079968558787</v>
      </c>
      <c r="CB12" s="7" cm="1">
        <f t="array" ref="CB12">PRODUCT(1 + 預測IC!$C12:CB12) - 1</f>
        <v>0.87070980351744298</v>
      </c>
      <c r="CC12" s="7" cm="1">
        <f t="array" ref="CC12">PRODUCT(1 + 預測IC!$C12:CC12) - 1</f>
        <v>0.99336590854349316</v>
      </c>
      <c r="CD12" s="7" cm="1">
        <f t="array" ref="CD12">PRODUCT(1 + 預測IC!$C12:CD12) - 1</f>
        <v>1.2144972318415963</v>
      </c>
      <c r="CE12" s="7" cm="1">
        <f t="array" ref="CE12">PRODUCT(1 + 預測IC!$C12:CE12) - 1</f>
        <v>1.5555453355701228</v>
      </c>
      <c r="CF12" s="7" cm="1">
        <f t="array" ref="CF12">PRODUCT(1 + 預測IC!$C12:CF12) - 1</f>
        <v>1.5659665818415167</v>
      </c>
      <c r="CG12" s="7" cm="1">
        <f t="array" ref="CG12">PRODUCT(1 + 預測IC!$C12:CG12) - 1</f>
        <v>1.5667585635712578</v>
      </c>
      <c r="CH12" s="7" cm="1">
        <f t="array" ref="CH12">PRODUCT(1 + 預測IC!$C12:CH12) - 1</f>
        <v>1.7292276361739454</v>
      </c>
      <c r="CI12" s="7" cm="1">
        <f t="array" ref="CI12">PRODUCT(1 + 預測IC!$C12:CI12) - 1</f>
        <v>1.6627941469856067</v>
      </c>
      <c r="CJ12" s="7" cm="1">
        <f t="array" ref="CJ12">PRODUCT(1 + 預測IC!$C12:CJ12) - 1</f>
        <v>1.6722962751010013</v>
      </c>
      <c r="CK12" s="7" cm="1">
        <f t="array" ref="CK12">PRODUCT(1 + 預測IC!$C12:CK12) - 1</f>
        <v>1.7645299258887364</v>
      </c>
      <c r="CL12" s="7" cm="1">
        <f t="array" ref="CL12">PRODUCT(1 + 預測IC!$C12:CL12) - 1</f>
        <v>1.8561298892912603</v>
      </c>
      <c r="CM12" s="7" cm="1">
        <f t="array" ref="CM12">PRODUCT(1 + 預測IC!$C12:CM12) - 1</f>
        <v>1.651321418962405</v>
      </c>
      <c r="CN12" s="7" cm="1">
        <f t="array" ref="CN12">PRODUCT(1 + 預測IC!$C12:CN12) - 1</f>
        <v>1.5895256362011327</v>
      </c>
      <c r="CO12" s="7" cm="1">
        <f t="array" ref="CO12">PRODUCT(1 + 預測IC!$C12:CO12) - 1</f>
        <v>1.7741387267845763</v>
      </c>
      <c r="CP12" s="7" cm="1">
        <f t="array" ref="CP12">PRODUCT(1 + 預測IC!$C12:CP12) - 1</f>
        <v>1.7386404087889673</v>
      </c>
      <c r="CQ12" s="7" cm="1">
        <f t="array" ref="CQ12">PRODUCT(1 + 預測IC!$C12:CQ12) - 1</f>
        <v>1.9302815550431931</v>
      </c>
      <c r="CR12" s="7" cm="1">
        <f t="array" ref="CR12">PRODUCT(1 + 預測IC!$C12:CR12) - 1</f>
        <v>2.0713647230601495</v>
      </c>
      <c r="CS12" s="7" cm="1">
        <f t="array" ref="CS12">PRODUCT(1 + 預測IC!$C12:CS12) - 1</f>
        <v>2.0268002945595001</v>
      </c>
      <c r="CT12" s="7" cm="1">
        <f t="array" ref="CT12">PRODUCT(1 + 預測IC!$C12:CT12) - 1</f>
        <v>2.1240029913274308</v>
      </c>
      <c r="CU12" s="7" cm="1">
        <f t="array" ref="CU12">PRODUCT(1 + 預測IC!$C12:CU12) - 1</f>
        <v>2.2352915856183264</v>
      </c>
      <c r="CV12" s="7" cm="1">
        <f t="array" ref="CV12">PRODUCT(1 + 預測IC!$C12:CV12) - 1</f>
        <v>2.2615382974683671</v>
      </c>
      <c r="CW12" s="7" cm="1">
        <f t="array" ref="CW12">PRODUCT(1 + 預測IC!$C12:CW12) - 1</f>
        <v>2.3585941411831572</v>
      </c>
      <c r="CX12" s="7" cm="1">
        <f t="array" ref="CX12">PRODUCT(1 + 預測IC!$C12:CX12) - 1</f>
        <v>2.5149281624688884</v>
      </c>
      <c r="CY12" s="7" cm="1">
        <f t="array" ref="CY12">PRODUCT(1 + 預測IC!$C12:CY12) - 1</f>
        <v>2.676871369193996</v>
      </c>
      <c r="CZ12" s="7" cm="1">
        <f t="array" ref="CZ12">PRODUCT(1 + 預測IC!$C12:CZ12) - 1</f>
        <v>2.9629037503315736</v>
      </c>
      <c r="DA12" s="7" cm="1">
        <f t="array" ref="DA12">PRODUCT(1 + 預測IC!$C12:DA12) - 1</f>
        <v>2.9851110072400533</v>
      </c>
      <c r="DB12" s="7" cm="1">
        <f t="array" ref="DB12">PRODUCT(1 + 預測IC!$C12:DB12) - 1</f>
        <v>2.8935256804082363</v>
      </c>
      <c r="DC12" s="7" cm="1">
        <f t="array" ref="DC12">PRODUCT(1 + 預測IC!$C12:DC12) - 1</f>
        <v>2.9381959965492905</v>
      </c>
      <c r="DD12" s="7" cm="1">
        <f t="array" ref="DD12">PRODUCT(1 + 預測IC!$C12:DD12) - 1</f>
        <v>2.7842440491612335</v>
      </c>
      <c r="DE12" s="7" cm="1">
        <f t="array" ref="DE12">PRODUCT(1 + 預測IC!$C12:DE12) - 1</f>
        <v>2.6433356602313802</v>
      </c>
      <c r="DF12" s="7" cm="1">
        <f t="array" ref="DF12">PRODUCT(1 + 預測IC!$C12:DF12) - 1</f>
        <v>2.6184351888964952</v>
      </c>
      <c r="DG12" s="7" cm="1">
        <f t="array" ref="DG12">PRODUCT(1 + 預測IC!$C12:DG12) - 1</f>
        <v>2.6150059655216391</v>
      </c>
      <c r="DH12" s="7" cm="1">
        <f t="array" ref="DH12">PRODUCT(1 + 預測IC!$C12:DH12) - 1</f>
        <v>2.836226815142425</v>
      </c>
      <c r="DI12" s="7" cm="1">
        <f t="array" ref="DI12">PRODUCT(1 + 預測IC!$C12:DI12) - 1</f>
        <v>3.0654377911388595</v>
      </c>
      <c r="DJ12" s="7" cm="1">
        <f t="array" ref="DJ12">PRODUCT(1 + 預測IC!$C12:DJ12) - 1</f>
        <v>3.0982157827785732</v>
      </c>
      <c r="DK12" s="7" cm="1">
        <f t="array" ref="DK12">PRODUCT(1 + 預測IC!$C12:DK12) - 1</f>
        <v>2.9673671323580297</v>
      </c>
      <c r="DL12" s="7" cm="1">
        <f t="array" ref="DL12">PRODUCT(1 + 預測IC!$C12:DL12) - 1</f>
        <v>2.9796227718307127</v>
      </c>
      <c r="DM12" s="7" cm="1">
        <f t="array" ref="DM12">PRODUCT(1 + 預測IC!$C12:DM12) - 1</f>
        <v>2.903064008380011</v>
      </c>
      <c r="DN12" s="7" cm="1">
        <f t="array" ref="DN12">PRODUCT(1 + 預測IC!$C12:DN12) - 1</f>
        <v>2.9886064146488529</v>
      </c>
      <c r="DO12" s="7" cm="1">
        <f t="array" ref="DO12">PRODUCT(1 + 預測IC!$C12:DO12) - 1</f>
        <v>3.1104860299269133</v>
      </c>
      <c r="DP12" s="7" cm="1">
        <f t="array" ref="DP12">PRODUCT(1 + 預測IC!$C12:DP12) - 1</f>
        <v>3.2993774470678092</v>
      </c>
      <c r="DQ12" s="7" cm="1">
        <f t="array" ref="DQ12">PRODUCT(1 + 預測IC!$C12:DQ12) - 1</f>
        <v>3.1537914105120164</v>
      </c>
      <c r="DR12" s="7" cm="1">
        <f t="array" ref="DR12">PRODUCT(1 + 預測IC!$C12:DR12) - 1</f>
        <v>3.2246757755724813</v>
      </c>
      <c r="DS12" s="7" cm="1">
        <f t="array" ref="DS12">PRODUCT(1 + 預測IC!$C12:DS12) - 1</f>
        <v>3.0737443520813574</v>
      </c>
      <c r="DT12" s="7" cm="1">
        <f t="array" ref="DT12">PRODUCT(1 + 預測IC!$C12:DT12) - 1</f>
        <v>3.1760670985247241</v>
      </c>
      <c r="DU12" s="7" cm="1">
        <f t="array" ref="DU12">PRODUCT(1 + 預測IC!$C12:DU12) - 1</f>
        <v>2.9370695960465225</v>
      </c>
      <c r="DV12" s="7" cm="1">
        <f t="array" ref="DV12">PRODUCT(1 + 預測IC!$C12:DV12) - 1</f>
        <v>3.0533708712915386</v>
      </c>
      <c r="DW12" s="7" cm="1">
        <f t="array" ref="DW12">PRODUCT(1 + 預測IC!$C12:DW12) - 1</f>
        <v>3.2356421806336568</v>
      </c>
      <c r="DX12" s="7" cm="1">
        <f t="array" ref="DX12">PRODUCT(1 + 預測IC!$C12:DX12) - 1</f>
        <v>3.0232159128418941</v>
      </c>
      <c r="DY12" s="7" cm="1">
        <f t="array" ref="DY12">PRODUCT(1 + 預測IC!$C12:DY12) - 1</f>
        <v>3.0850015263604345</v>
      </c>
      <c r="DZ12" s="7" cm="1">
        <f t="array" ref="DZ12">PRODUCT(1 + 預測IC!$C12:DZ12) - 1</f>
        <v>3.1104394409538836</v>
      </c>
      <c r="EA12" s="7" cm="1">
        <f t="array" ref="EA12">PRODUCT(1 + 預測IC!$C12:EA12) - 1</f>
        <v>3.3735237657452508</v>
      </c>
      <c r="EB12" s="7" cm="1">
        <f t="array" ref="EB12">PRODUCT(1 + 預測IC!$C12:EB12) - 1</f>
        <v>3.3988288454989783</v>
      </c>
      <c r="EC12" s="7" cm="1">
        <f t="array" ref="EC12">PRODUCT(1 + 預測IC!$C12:EC12) - 1</f>
        <v>3.5160642746141022</v>
      </c>
      <c r="ED12" s="7" cm="1">
        <f t="array" ref="ED12">PRODUCT(1 + 預測IC!$C12:ED12) - 1</f>
        <v>3.4846438408454592</v>
      </c>
      <c r="EE12" s="7" cm="1">
        <f t="array" ref="EE12">PRODUCT(1 + 預測IC!$C12:EE12) - 1</f>
        <v>3.3657698701750132</v>
      </c>
      <c r="EF12" s="7" cm="1">
        <f t="array" ref="EF12">PRODUCT(1 + 預測IC!$C12:EF12) - 1</f>
        <v>3.5370536389488771</v>
      </c>
    </row>
    <row r="13" spans="1:137" x14ac:dyDescent="0.3">
      <c r="A13" s="1">
        <v>48</v>
      </c>
      <c r="B13" s="1" t="s">
        <v>171</v>
      </c>
      <c r="C13" s="7" cm="1">
        <f t="array" ref="C13">PRODUCT(1 + 預測IC!$C13:C13) - 1</f>
        <v>-0.10411275025276201</v>
      </c>
      <c r="D13" s="7" cm="1">
        <f t="array" ref="D13">PRODUCT(1 + 預測IC!$C13:D13) - 1</f>
        <v>6.7488432622875294E-3</v>
      </c>
      <c r="E13" s="7" cm="1">
        <f t="array" ref="E13">PRODUCT(1 + 預測IC!$C13:E13) - 1</f>
        <v>-2.7980588507091508E-2</v>
      </c>
      <c r="F13" s="7" cm="1">
        <f t="array" ref="F13">PRODUCT(1 + 預測IC!$C13:F13) - 1</f>
        <v>-3.911530402926533E-2</v>
      </c>
      <c r="G13" s="7" cm="1">
        <f t="array" ref="G13">PRODUCT(1 + 預測IC!$C13:G13) - 1</f>
        <v>-2.3986725986700819E-2</v>
      </c>
      <c r="H13" s="7" cm="1">
        <f t="array" ref="H13">PRODUCT(1 + 預測IC!$C13:H13) - 1</f>
        <v>5.2835526603736138E-3</v>
      </c>
      <c r="I13" s="7" cm="1">
        <f t="array" ref="I13">PRODUCT(1 + 預測IC!$C13:I13) - 1</f>
        <v>3.8139097272767319E-2</v>
      </c>
      <c r="J13" s="7" cm="1">
        <f t="array" ref="J13">PRODUCT(1 + 預測IC!$C13:J13) - 1</f>
        <v>-7.4344066963495381E-3</v>
      </c>
      <c r="K13" s="7" cm="1">
        <f t="array" ref="K13">PRODUCT(1 + 預測IC!$C13:K13) - 1</f>
        <v>-8.7915484077705219E-3</v>
      </c>
      <c r="L13" s="7" cm="1">
        <f t="array" ref="L13">PRODUCT(1 + 預測IC!$C13:L13) - 1</f>
        <v>-1.476373920424634E-2</v>
      </c>
      <c r="M13" s="7" cm="1">
        <f t="array" ref="M13">PRODUCT(1 + 預測IC!$C13:M13) - 1</f>
        <v>1.0544125264989157E-2</v>
      </c>
      <c r="N13" s="7" cm="1">
        <f t="array" ref="N13">PRODUCT(1 + 預測IC!$C13:N13) - 1</f>
        <v>0.11140341885636329</v>
      </c>
      <c r="O13" s="7" cm="1">
        <f t="array" ref="O13">PRODUCT(1 + 預測IC!$C13:O13) - 1</f>
        <v>0.15171766150460453</v>
      </c>
      <c r="P13" s="7" cm="1">
        <f t="array" ref="P13">PRODUCT(1 + 預測IC!$C13:P13) - 1</f>
        <v>0.17105687573597406</v>
      </c>
      <c r="Q13" s="7" cm="1">
        <f t="array" ref="Q13">PRODUCT(1 + 預測IC!$C13:Q13) - 1</f>
        <v>0.25680677592475298</v>
      </c>
      <c r="R13" s="7" cm="1">
        <f t="array" ref="R13">PRODUCT(1 + 預測IC!$C13:R13) - 1</f>
        <v>0.27460309010152195</v>
      </c>
      <c r="S13" s="7" cm="1">
        <f t="array" ref="S13">PRODUCT(1 + 預測IC!$C13:S13) - 1</f>
        <v>0.25899726894445441</v>
      </c>
      <c r="T13" s="7" cm="1">
        <f t="array" ref="T13">PRODUCT(1 + 預測IC!$C13:T13) - 1</f>
        <v>0.23116836760402415</v>
      </c>
      <c r="U13" s="7" cm="1">
        <f t="array" ref="U13">PRODUCT(1 + 預測IC!$C13:U13) - 1</f>
        <v>0.23313456347287254</v>
      </c>
      <c r="V13" s="7" cm="1">
        <f t="array" ref="V13">PRODUCT(1 + 預測IC!$C13:V13) - 1</f>
        <v>0.20835555306920273</v>
      </c>
      <c r="W13" s="7" cm="1">
        <f t="array" ref="W13">PRODUCT(1 + 預測IC!$C13:W13) - 1</f>
        <v>0.29955807571948645</v>
      </c>
      <c r="X13" s="7" cm="1">
        <f t="array" ref="X13">PRODUCT(1 + 預測IC!$C13:X13) - 1</f>
        <v>0.36879449450984336</v>
      </c>
      <c r="Y13" s="7" cm="1">
        <f t="array" ref="Y13">PRODUCT(1 + 預測IC!$C13:Y13) - 1</f>
        <v>0.38784947248086543</v>
      </c>
      <c r="Z13" s="7" cm="1">
        <f t="array" ref="Z13">PRODUCT(1 + 預測IC!$C13:Z13) - 1</f>
        <v>0.41641663456111222</v>
      </c>
      <c r="AA13" s="7" cm="1">
        <f t="array" ref="AA13">PRODUCT(1 + 預測IC!$C13:AA13) - 1</f>
        <v>0.37092202582374378</v>
      </c>
      <c r="AB13" s="7" cm="1">
        <f t="array" ref="AB13">PRODUCT(1 + 預測IC!$C13:AB13) - 1</f>
        <v>0.34893778492789118</v>
      </c>
      <c r="AC13" s="7" cm="1">
        <f t="array" ref="AC13">PRODUCT(1 + 預測IC!$C13:AC13) - 1</f>
        <v>0.35977169753602234</v>
      </c>
      <c r="AD13" s="7" cm="1">
        <f t="array" ref="AD13">PRODUCT(1 + 預測IC!$C13:AD13) - 1</f>
        <v>0.38906619716653568</v>
      </c>
      <c r="AE13" s="7" cm="1">
        <f t="array" ref="AE13">PRODUCT(1 + 預測IC!$C13:AE13) - 1</f>
        <v>0.29777762509330796</v>
      </c>
      <c r="AF13" s="7" cm="1">
        <f t="array" ref="AF13">PRODUCT(1 + 預測IC!$C13:AF13) - 1</f>
        <v>0.36517842998291461</v>
      </c>
      <c r="AG13" s="7" cm="1">
        <f t="array" ref="AG13">PRODUCT(1 + 預測IC!$C13:AG13) - 1</f>
        <v>0.32192714313282633</v>
      </c>
      <c r="AH13" s="7" cm="1">
        <f t="array" ref="AH13">PRODUCT(1 + 預測IC!$C13:AH13) - 1</f>
        <v>0.33467229116969488</v>
      </c>
      <c r="AI13" s="7" cm="1">
        <f t="array" ref="AI13">PRODUCT(1 + 預測IC!$C13:AI13) - 1</f>
        <v>0.35077851587586273</v>
      </c>
      <c r="AJ13" s="7" cm="1">
        <f t="array" ref="AJ13">PRODUCT(1 + 預測IC!$C13:AJ13) - 1</f>
        <v>0.32878720678733808</v>
      </c>
      <c r="AK13" s="7" cm="1">
        <f t="array" ref="AK13">PRODUCT(1 + 預測IC!$C13:AK13) - 1</f>
        <v>0.416471101132736</v>
      </c>
      <c r="AL13" s="7" cm="1">
        <f t="array" ref="AL13">PRODUCT(1 + 預測IC!$C13:AL13) - 1</f>
        <v>0.44926443068773381</v>
      </c>
      <c r="AM13" s="7" cm="1">
        <f t="array" ref="AM13">PRODUCT(1 + 預測IC!$C13:AM13) - 1</f>
        <v>0.51633992987097344</v>
      </c>
      <c r="AN13" s="7" cm="1">
        <f t="array" ref="AN13">PRODUCT(1 + 預測IC!$C13:AN13) - 1</f>
        <v>0.67605637577946043</v>
      </c>
      <c r="AO13" s="7" cm="1">
        <f t="array" ref="AO13">PRODUCT(1 + 預測IC!$C13:AO13) - 1</f>
        <v>0.69166245162435547</v>
      </c>
      <c r="AP13" s="7" cm="1">
        <f t="array" ref="AP13">PRODUCT(1 + 預測IC!$C13:AP13) - 1</f>
        <v>0.59092253102128778</v>
      </c>
      <c r="AQ13" s="7" cm="1">
        <f t="array" ref="AQ13">PRODUCT(1 + 預測IC!$C13:AQ13) - 1</f>
        <v>0.58129858122219136</v>
      </c>
      <c r="AR13" s="7" cm="1">
        <f t="array" ref="AR13">PRODUCT(1 + 預測IC!$C13:AR13) - 1</f>
        <v>0.59592675137326201</v>
      </c>
      <c r="AS13" s="7" cm="1">
        <f t="array" ref="AS13">PRODUCT(1 + 預測IC!$C13:AS13) - 1</f>
        <v>0.66185946234490456</v>
      </c>
      <c r="AT13" s="7" cm="1">
        <f t="array" ref="AT13">PRODUCT(1 + 預測IC!$C13:AT13) - 1</f>
        <v>0.66466794324911627</v>
      </c>
      <c r="AU13" s="7" cm="1">
        <f t="array" ref="AU13">PRODUCT(1 + 預測IC!$C13:AU13) - 1</f>
        <v>0.73287958743219983</v>
      </c>
      <c r="AV13" s="7" cm="1">
        <f t="array" ref="AV13">PRODUCT(1 + 預測IC!$C13:AV13) - 1</f>
        <v>0.71388911559361024</v>
      </c>
      <c r="AW13" s="7" cm="1">
        <f t="array" ref="AW13">PRODUCT(1 + 預測IC!$C13:AW13) - 1</f>
        <v>0.72088180646509681</v>
      </c>
      <c r="AX13" s="7" cm="1">
        <f t="array" ref="AX13">PRODUCT(1 + 預測IC!$C13:AX13) - 1</f>
        <v>0.83644553809626943</v>
      </c>
      <c r="AY13" s="7" cm="1">
        <f t="array" ref="AY13">PRODUCT(1 + 預測IC!$C13:AY13) - 1</f>
        <v>0.79297208143114251</v>
      </c>
      <c r="AZ13" s="7" cm="1">
        <f t="array" ref="AZ13">PRODUCT(1 + 預測IC!$C13:AZ13) - 1</f>
        <v>0.89239198164108235</v>
      </c>
      <c r="BA13" s="7" cm="1">
        <f t="array" ref="BA13">PRODUCT(1 + 預測IC!$C13:BA13) - 1</f>
        <v>1.0434599688811286</v>
      </c>
      <c r="BB13" s="7" cm="1">
        <f t="array" ref="BB13">PRODUCT(1 + 預測IC!$C13:BB13) - 1</f>
        <v>1.0966846333132474</v>
      </c>
      <c r="BC13" s="7" cm="1">
        <f t="array" ref="BC13">PRODUCT(1 + 預測IC!$C13:BC13) - 1</f>
        <v>1.0997953554283626</v>
      </c>
      <c r="BD13" s="7" cm="1">
        <f t="array" ref="BD13">PRODUCT(1 + 預測IC!$C13:BD13) - 1</f>
        <v>1.1873070854649952</v>
      </c>
      <c r="BE13" s="7" cm="1">
        <f t="array" ref="BE13">PRODUCT(1 + 預測IC!$C13:BE13) - 1</f>
        <v>1.0865854075578936</v>
      </c>
      <c r="BF13" s="7" cm="1">
        <f t="array" ref="BF13">PRODUCT(1 + 預測IC!$C13:BF13) - 1</f>
        <v>1.0317021669389246</v>
      </c>
      <c r="BG13" s="7" cm="1">
        <f t="array" ref="BG13">PRODUCT(1 + 預測IC!$C13:BG13) - 1</f>
        <v>1.0486284110035529</v>
      </c>
      <c r="BH13" s="7" cm="1">
        <f t="array" ref="BH13">PRODUCT(1 + 預測IC!$C13:BH13) - 1</f>
        <v>1.0312647901074805</v>
      </c>
      <c r="BI13" s="7" cm="1">
        <f t="array" ref="BI13">PRODUCT(1 + 預測IC!$C13:BI13) - 1</f>
        <v>1.0837371734900603</v>
      </c>
      <c r="BJ13" s="7" cm="1">
        <f t="array" ref="BJ13">PRODUCT(1 + 預測IC!$C13:BJ13) - 1</f>
        <v>1.1909494496742483</v>
      </c>
      <c r="BK13" s="7" cm="1">
        <f t="array" ref="BK13">PRODUCT(1 + 預測IC!$C13:BK13) - 1</f>
        <v>1.1359001503515231</v>
      </c>
      <c r="BL13" s="7" cm="1">
        <f t="array" ref="BL13">PRODUCT(1 + 預測IC!$C13:BL13) - 1</f>
        <v>1.1649893554574899</v>
      </c>
      <c r="BM13" s="7" cm="1">
        <f t="array" ref="BM13">PRODUCT(1 + 預測IC!$C13:BM13) - 1</f>
        <v>1.1060932721425307</v>
      </c>
      <c r="BN13" s="7" cm="1">
        <f t="array" ref="BN13">PRODUCT(1 + 預測IC!$C13:BN13) - 1</f>
        <v>1.1163238372625939</v>
      </c>
      <c r="BO13" s="7" cm="1">
        <f t="array" ref="BO13">PRODUCT(1 + 預測IC!$C13:BO13) - 1</f>
        <v>1.1235335483831905</v>
      </c>
      <c r="BP13" s="7" cm="1">
        <f t="array" ref="BP13">PRODUCT(1 + 預測IC!$C13:BP13) - 1</f>
        <v>1.1066490222169394</v>
      </c>
      <c r="BQ13" s="7" cm="1">
        <f t="array" ref="BQ13">PRODUCT(1 + 預測IC!$C13:BQ13) - 1</f>
        <v>1.1943974083212727</v>
      </c>
      <c r="BR13" s="7" cm="1">
        <f t="array" ref="BR13">PRODUCT(1 + 預測IC!$C13:BR13) - 1</f>
        <v>1.1797357231114418</v>
      </c>
      <c r="BS13" s="7" cm="1">
        <f t="array" ref="BS13">PRODUCT(1 + 預測IC!$C13:BS13) - 1</f>
        <v>1.195908210928188</v>
      </c>
      <c r="BT13" s="7" cm="1">
        <f t="array" ref="BT13">PRODUCT(1 + 預測IC!$C13:BT13) - 1</f>
        <v>1.1219768788731335</v>
      </c>
      <c r="BU13" s="7" cm="1">
        <f t="array" ref="BU13">PRODUCT(1 + 預測IC!$C13:BU13) - 1</f>
        <v>0.96355397253736741</v>
      </c>
      <c r="BV13" s="7" cm="1">
        <f t="array" ref="BV13">PRODUCT(1 + 預測IC!$C13:BV13) - 1</f>
        <v>1.0252895593921232</v>
      </c>
      <c r="BW13" s="7" cm="1">
        <f t="array" ref="BW13">PRODUCT(1 + 預測IC!$C13:BW13) - 1</f>
        <v>1.1999305913121536</v>
      </c>
      <c r="BX13" s="7" cm="1">
        <f t="array" ref="BX13">PRODUCT(1 + 預測IC!$C13:BX13) - 1</f>
        <v>1.203180845273077</v>
      </c>
      <c r="BY13" s="7" cm="1">
        <f t="array" ref="BY13">PRODUCT(1 + 預測IC!$C13:BY13) - 1</f>
        <v>1.1352617156778479</v>
      </c>
      <c r="BZ13" s="7" cm="1">
        <f t="array" ref="BZ13">PRODUCT(1 + 預測IC!$C13:BZ13) - 1</f>
        <v>1.2978365349494068</v>
      </c>
      <c r="CA13" s="7" cm="1">
        <f t="array" ref="CA13">PRODUCT(1 + 預測IC!$C13:CA13) - 1</f>
        <v>1.3530137340907729</v>
      </c>
      <c r="CB13" s="7" cm="1">
        <f t="array" ref="CB13">PRODUCT(1 + 預測IC!$C13:CB13) - 1</f>
        <v>1.6363800525312131</v>
      </c>
      <c r="CC13" s="7" cm="1">
        <f t="array" ref="CC13">PRODUCT(1 + 預測IC!$C13:CC13) - 1</f>
        <v>1.95305720972117</v>
      </c>
      <c r="CD13" s="7" cm="1">
        <f t="array" ref="CD13">PRODUCT(1 + 預測IC!$C13:CD13) - 1</f>
        <v>2.2633816861834117</v>
      </c>
      <c r="CE13" s="7" cm="1">
        <f t="array" ref="CE13">PRODUCT(1 + 預測IC!$C13:CE13) - 1</f>
        <v>2.8632820810833648</v>
      </c>
      <c r="CF13" s="7" cm="1">
        <f t="array" ref="CF13">PRODUCT(1 + 預測IC!$C13:CF13) - 1</f>
        <v>2.9337056215746364</v>
      </c>
      <c r="CG13" s="7" cm="1">
        <f t="array" ref="CG13">PRODUCT(1 + 預測IC!$C13:CG13) - 1</f>
        <v>2.9634454929675047</v>
      </c>
      <c r="CH13" s="7" cm="1">
        <f t="array" ref="CH13">PRODUCT(1 + 預測IC!$C13:CH13) - 1</f>
        <v>3.1946515472980579</v>
      </c>
      <c r="CI13" s="7" cm="1">
        <f t="array" ref="CI13">PRODUCT(1 + 預測IC!$C13:CI13) - 1</f>
        <v>3.1615325315597307</v>
      </c>
      <c r="CJ13" s="7" cm="1">
        <f t="array" ref="CJ13">PRODUCT(1 + 預測IC!$C13:CJ13) - 1</f>
        <v>3.2484308536547974</v>
      </c>
      <c r="CK13" s="7" cm="1">
        <f t="array" ref="CK13">PRODUCT(1 + 預測IC!$C13:CK13) - 1</f>
        <v>3.3837841486835636</v>
      </c>
      <c r="CL13" s="7" cm="1">
        <f t="array" ref="CL13">PRODUCT(1 + 預測IC!$C13:CL13) - 1</f>
        <v>3.5766723663697402</v>
      </c>
      <c r="CM13" s="7" cm="1">
        <f t="array" ref="CM13">PRODUCT(1 + 預測IC!$C13:CM13) - 1</f>
        <v>3.1123588004743921</v>
      </c>
      <c r="CN13" s="7" cm="1">
        <f t="array" ref="CN13">PRODUCT(1 + 預測IC!$C13:CN13) - 1</f>
        <v>2.9884492152845485</v>
      </c>
      <c r="CO13" s="7" cm="1">
        <f t="array" ref="CO13">PRODUCT(1 + 預測IC!$C13:CO13) - 1</f>
        <v>3.3297258153076958</v>
      </c>
      <c r="CP13" s="7" cm="1">
        <f t="array" ref="CP13">PRODUCT(1 + 預測IC!$C13:CP13) - 1</f>
        <v>3.1808804964705724</v>
      </c>
      <c r="CQ13" s="7" cm="1">
        <f t="array" ref="CQ13">PRODUCT(1 + 預測IC!$C13:CQ13) - 1</f>
        <v>3.4614715324401635</v>
      </c>
      <c r="CR13" s="7" cm="1">
        <f t="array" ref="CR13">PRODUCT(1 + 預測IC!$C13:CR13) - 1</f>
        <v>3.748703964022158</v>
      </c>
      <c r="CS13" s="7" cm="1">
        <f t="array" ref="CS13">PRODUCT(1 + 預測IC!$C13:CS13) - 1</f>
        <v>3.7674501883739335</v>
      </c>
      <c r="CT13" s="7" cm="1">
        <f t="array" ref="CT13">PRODUCT(1 + 預測IC!$C13:CT13) - 1</f>
        <v>3.9746543859901493</v>
      </c>
      <c r="CU13" s="7" cm="1">
        <f t="array" ref="CU13">PRODUCT(1 + 預測IC!$C13:CU13) - 1</f>
        <v>4.1595195188433935</v>
      </c>
      <c r="CV13" s="7" cm="1">
        <f t="array" ref="CV13">PRODUCT(1 + 預測IC!$C13:CV13) - 1</f>
        <v>4.1442818470402321</v>
      </c>
      <c r="CW13" s="7" cm="1">
        <f t="array" ref="CW13">PRODUCT(1 + 預測IC!$C13:CW13) - 1</f>
        <v>4.1980754116229875</v>
      </c>
      <c r="CX13" s="7" cm="1">
        <f t="array" ref="CX13">PRODUCT(1 + 預測IC!$C13:CX13) - 1</f>
        <v>4.2239997499977262</v>
      </c>
      <c r="CY13" s="7" cm="1">
        <f t="array" ref="CY13">PRODUCT(1 + 預測IC!$C13:CY13) - 1</f>
        <v>4.5494389855793615</v>
      </c>
      <c r="CZ13" s="7" cm="1">
        <f t="array" ref="CZ13">PRODUCT(1 + 預測IC!$C13:CZ13) - 1</f>
        <v>4.867001304928376</v>
      </c>
      <c r="DA13" s="7" cm="1">
        <f t="array" ref="DA13">PRODUCT(1 + 預測IC!$C13:DA13) - 1</f>
        <v>4.8342418651182832</v>
      </c>
      <c r="DB13" s="7" cm="1">
        <f t="array" ref="DB13">PRODUCT(1 + 預測IC!$C13:DB13) - 1</f>
        <v>4.5905947667235631</v>
      </c>
      <c r="DC13" s="7" cm="1">
        <f t="array" ref="DC13">PRODUCT(1 + 預測IC!$C13:DC13) - 1</f>
        <v>4.7222029506827816</v>
      </c>
      <c r="DD13" s="7" cm="1">
        <f t="array" ref="DD13">PRODUCT(1 + 預測IC!$C13:DD13) - 1</f>
        <v>4.4280436457520063</v>
      </c>
      <c r="DE13" s="7" cm="1">
        <f t="array" ref="DE13">PRODUCT(1 + 預測IC!$C13:DE13) - 1</f>
        <v>4.1970034247675789</v>
      </c>
      <c r="DF13" s="7" cm="1">
        <f t="array" ref="DF13">PRODUCT(1 + 預測IC!$C13:DF13) - 1</f>
        <v>4.0487911401608079</v>
      </c>
      <c r="DG13" s="7" cm="1">
        <f t="array" ref="DG13">PRODUCT(1 + 預測IC!$C13:DG13) - 1</f>
        <v>4.0405582926736816</v>
      </c>
      <c r="DH13" s="7" cm="1">
        <f t="array" ref="DH13">PRODUCT(1 + 預測IC!$C13:DH13) - 1</f>
        <v>4.4877596535045825</v>
      </c>
      <c r="DI13" s="7" cm="1">
        <f t="array" ref="DI13">PRODUCT(1 + 預測IC!$C13:DI13) - 1</f>
        <v>4.9802781995005132</v>
      </c>
      <c r="DJ13" s="7" cm="1">
        <f t="array" ref="DJ13">PRODUCT(1 + 預測IC!$C13:DJ13) - 1</f>
        <v>4.9603533706541336</v>
      </c>
      <c r="DK13" s="7" cm="1">
        <f t="array" ref="DK13">PRODUCT(1 + 預測IC!$C13:DK13) - 1</f>
        <v>4.8448021821580438</v>
      </c>
      <c r="DL13" s="7" cm="1">
        <f t="array" ref="DL13">PRODUCT(1 + 預測IC!$C13:DL13) - 1</f>
        <v>5.0033245529318702</v>
      </c>
      <c r="DM13" s="7" cm="1">
        <f t="array" ref="DM13">PRODUCT(1 + 預測IC!$C13:DM13) - 1</f>
        <v>5.0065160560022166</v>
      </c>
      <c r="DN13" s="7" cm="1">
        <f t="array" ref="DN13">PRODUCT(1 + 預測IC!$C13:DN13) - 1</f>
        <v>5.1082378163448654</v>
      </c>
      <c r="DO13" s="7" cm="1">
        <f t="array" ref="DO13">PRODUCT(1 + 預測IC!$C13:DO13) - 1</f>
        <v>5.3395168656336507</v>
      </c>
      <c r="DP13" s="7" cm="1">
        <f t="array" ref="DP13">PRODUCT(1 + 預測IC!$C13:DP13) - 1</f>
        <v>5.6247770611611703</v>
      </c>
      <c r="DQ13" s="7" cm="1">
        <f t="array" ref="DQ13">PRODUCT(1 + 預測IC!$C13:DQ13) - 1</f>
        <v>5.3997568211855711</v>
      </c>
      <c r="DR13" s="7" cm="1">
        <f t="array" ref="DR13">PRODUCT(1 + 預測IC!$C13:DR13) - 1</f>
        <v>5.4968318534496809</v>
      </c>
      <c r="DS13" s="7" cm="1">
        <f t="array" ref="DS13">PRODUCT(1 + 預測IC!$C13:DS13) - 1</f>
        <v>5.2441854741958176</v>
      </c>
      <c r="DT13" s="7" cm="1">
        <f t="array" ref="DT13">PRODUCT(1 + 預測IC!$C13:DT13) - 1</f>
        <v>5.5615852888391837</v>
      </c>
      <c r="DU13" s="7" cm="1">
        <f t="array" ref="DU13">PRODUCT(1 + 預測IC!$C13:DU13) - 1</f>
        <v>5.3450125585994179</v>
      </c>
      <c r="DV13" s="7" cm="1">
        <f t="array" ref="DV13">PRODUCT(1 + 預測IC!$C13:DV13) - 1</f>
        <v>5.6194646732134199</v>
      </c>
      <c r="DW13" s="7" cm="1">
        <f t="array" ref="DW13">PRODUCT(1 + 預測IC!$C13:DW13) - 1</f>
        <v>5.8976720735469206</v>
      </c>
      <c r="DX13" s="7" cm="1">
        <f t="array" ref="DX13">PRODUCT(1 + 預測IC!$C13:DX13) - 1</f>
        <v>5.4526109601374602</v>
      </c>
      <c r="DY13" s="7" cm="1">
        <f t="array" ref="DY13">PRODUCT(1 + 預測IC!$C13:DY13) - 1</f>
        <v>5.6809433397066993</v>
      </c>
      <c r="DZ13" s="7" cm="1">
        <f t="array" ref="DZ13">PRODUCT(1 + 預測IC!$C13:DZ13) - 1</f>
        <v>5.8032187941244189</v>
      </c>
      <c r="EA13" s="7" cm="1">
        <f t="array" ref="EA13">PRODUCT(1 + 預測IC!$C13:EA13) - 1</f>
        <v>6.3015060573311867</v>
      </c>
      <c r="EB13" s="7" cm="1">
        <f t="array" ref="EB13">PRODUCT(1 + 預測IC!$C13:EB13) - 1</f>
        <v>6.3029751657574415</v>
      </c>
      <c r="EC13" s="7" cm="1">
        <f t="array" ref="EC13">PRODUCT(1 + 預測IC!$C13:EC13) - 1</f>
        <v>6.607215310506497</v>
      </c>
      <c r="ED13" s="7" cm="1">
        <f t="array" ref="ED13">PRODUCT(1 + 預測IC!$C13:ED13) - 1</f>
        <v>6.6611103010615134</v>
      </c>
      <c r="EE13" s="7" cm="1">
        <f t="array" ref="EE13">PRODUCT(1 + 預測IC!$C13:EE13) - 1</f>
        <v>6.3452091370725086</v>
      </c>
      <c r="EF13" s="7" cm="1">
        <f t="array" ref="EF13">PRODUCT(1 + 預測IC!$C13:EF13) - 1</f>
        <v>6.8342327076817462</v>
      </c>
    </row>
    <row r="14" spans="1:137" x14ac:dyDescent="0.3">
      <c r="A14" s="1">
        <v>19</v>
      </c>
      <c r="B14" s="1" t="s">
        <v>172</v>
      </c>
      <c r="C14" s="7" cm="1">
        <f t="array" ref="C14">PRODUCT(1 + 預測IC!$C14:C14) - 1</f>
        <v>-0.11994148975270613</v>
      </c>
      <c r="D14" s="7" cm="1">
        <f t="array" ref="D14">PRODUCT(1 + 預測IC!$C14:D14) - 1</f>
        <v>7.5702952285344294E-2</v>
      </c>
      <c r="E14" s="7" cm="1">
        <f t="array" ref="E14">PRODUCT(1 + 預測IC!$C14:E14) - 1</f>
        <v>2.4579154802611303E-2</v>
      </c>
      <c r="F14" s="7" cm="1">
        <f t="array" ref="F14">PRODUCT(1 + 預測IC!$C14:F14) - 1</f>
        <v>5.9970643542303526E-2</v>
      </c>
      <c r="G14" s="7" cm="1">
        <f t="array" ref="G14">PRODUCT(1 + 預測IC!$C14:G14) - 1</f>
        <v>0.15022583136703838</v>
      </c>
      <c r="H14" s="7" cm="1">
        <f t="array" ref="H14">PRODUCT(1 + 預測IC!$C14:H14) - 1</f>
        <v>0.21876526556358056</v>
      </c>
      <c r="I14" s="7" cm="1">
        <f t="array" ref="I14">PRODUCT(1 + 預測IC!$C14:I14) - 1</f>
        <v>0.27213177878676076</v>
      </c>
      <c r="J14" s="7" cm="1">
        <f t="array" ref="J14">PRODUCT(1 + 預測IC!$C14:J14) - 1</f>
        <v>0.13843786958837034</v>
      </c>
      <c r="K14" s="7" cm="1">
        <f t="array" ref="K14">PRODUCT(1 + 預測IC!$C14:K14) - 1</f>
        <v>0.15261274337830955</v>
      </c>
      <c r="L14" s="7" cm="1">
        <f t="array" ref="L14">PRODUCT(1 + 預測IC!$C14:L14) - 1</f>
        <v>0.14283807144470662</v>
      </c>
      <c r="M14" s="7" cm="1">
        <f t="array" ref="M14">PRODUCT(1 + 預測IC!$C14:M14) - 1</f>
        <v>5.6037756537571148E-2</v>
      </c>
      <c r="N14" s="7" cm="1">
        <f t="array" ref="N14">PRODUCT(1 + 預測IC!$C14:N14) - 1</f>
        <v>0.27234868965552472</v>
      </c>
      <c r="O14" s="7" cm="1">
        <f t="array" ref="O14">PRODUCT(1 + 預測IC!$C14:O14) - 1</f>
        <v>0.32003095815533311</v>
      </c>
      <c r="P14" s="7" cm="1">
        <f t="array" ref="P14">PRODUCT(1 + 預測IC!$C14:P14) - 1</f>
        <v>0.38310172618200311</v>
      </c>
      <c r="Q14" s="7" cm="1">
        <f t="array" ref="Q14">PRODUCT(1 + 預測IC!$C14:Q14) - 1</f>
        <v>0.46365073003777324</v>
      </c>
      <c r="R14" s="7" cm="1">
        <f t="array" ref="R14">PRODUCT(1 + 預測IC!$C14:R14) - 1</f>
        <v>0.44293744304384619</v>
      </c>
      <c r="S14" s="7" cm="1">
        <f t="array" ref="S14">PRODUCT(1 + 預測IC!$C14:S14) - 1</f>
        <v>0.49853973808391538</v>
      </c>
      <c r="T14" s="7" cm="1">
        <f t="array" ref="T14">PRODUCT(1 + 預測IC!$C14:T14) - 1</f>
        <v>0.47252399244673304</v>
      </c>
      <c r="U14" s="7" cm="1">
        <f t="array" ref="U14">PRODUCT(1 + 預測IC!$C14:U14) - 1</f>
        <v>0.5263876382873105</v>
      </c>
      <c r="V14" s="7" cm="1">
        <f t="array" ref="V14">PRODUCT(1 + 預測IC!$C14:V14) - 1</f>
        <v>0.46781167885664798</v>
      </c>
      <c r="W14" s="7" cm="1">
        <f t="array" ref="W14">PRODUCT(1 + 預測IC!$C14:W14) - 1</f>
        <v>0.6383211828829809</v>
      </c>
      <c r="X14" s="7" cm="1">
        <f t="array" ref="X14">PRODUCT(1 + 預測IC!$C14:X14) - 1</f>
        <v>0.72610523095682855</v>
      </c>
      <c r="Y14" s="7" cm="1">
        <f t="array" ref="Y14">PRODUCT(1 + 預測IC!$C14:Y14) - 1</f>
        <v>0.69717111005207855</v>
      </c>
      <c r="Z14" s="7" cm="1">
        <f t="array" ref="Z14">PRODUCT(1 + 預測IC!$C14:Z14) - 1</f>
        <v>0.73323973178987223</v>
      </c>
      <c r="AA14" s="7" cm="1">
        <f t="array" ref="AA14">PRODUCT(1 + 預測IC!$C14:AA14) - 1</f>
        <v>0.66486311186402935</v>
      </c>
      <c r="AB14" s="7" cm="1">
        <f t="array" ref="AB14">PRODUCT(1 + 預測IC!$C14:AB14) - 1</f>
        <v>0.54002682636960819</v>
      </c>
      <c r="AC14" s="7" cm="1">
        <f t="array" ref="AC14">PRODUCT(1 + 預測IC!$C14:AC14) - 1</f>
        <v>0.49491623157037434</v>
      </c>
      <c r="AD14" s="7" cm="1">
        <f t="array" ref="AD14">PRODUCT(1 + 預測IC!$C14:AD14) - 1</f>
        <v>0.55370813595869994</v>
      </c>
      <c r="AE14" s="7" cm="1">
        <f t="array" ref="AE14">PRODUCT(1 + 預測IC!$C14:AE14) - 1</f>
        <v>0.54746392773033059</v>
      </c>
      <c r="AF14" s="7" cm="1">
        <f t="array" ref="AF14">PRODUCT(1 + 預測IC!$C14:AF14) - 1</f>
        <v>0.67794145792534088</v>
      </c>
      <c r="AG14" s="7" cm="1">
        <f t="array" ref="AG14">PRODUCT(1 + 預測IC!$C14:AG14) - 1</f>
        <v>0.6435085980441555</v>
      </c>
      <c r="AH14" s="7" cm="1">
        <f t="array" ref="AH14">PRODUCT(1 + 預測IC!$C14:AH14) - 1</f>
        <v>0.65213747496506347</v>
      </c>
      <c r="AI14" s="7" cm="1">
        <f t="array" ref="AI14">PRODUCT(1 + 預測IC!$C14:AI14) - 1</f>
        <v>0.771211898123078</v>
      </c>
      <c r="AJ14" s="7" cm="1">
        <f t="array" ref="AJ14">PRODUCT(1 + 預測IC!$C14:AJ14) - 1</f>
        <v>0.79788464200781983</v>
      </c>
      <c r="AK14" s="7" cm="1">
        <f t="array" ref="AK14">PRODUCT(1 + 預測IC!$C14:AK14) - 1</f>
        <v>0.93616252234280739</v>
      </c>
      <c r="AL14" s="7" cm="1">
        <f t="array" ref="AL14">PRODUCT(1 + 預測IC!$C14:AL14) - 1</f>
        <v>1.0096770444871597</v>
      </c>
      <c r="AM14" s="7" cm="1">
        <f t="array" ref="AM14">PRODUCT(1 + 預測IC!$C14:AM14) - 1</f>
        <v>1.1327540204129463</v>
      </c>
      <c r="AN14" s="7" cm="1">
        <f t="array" ref="AN14">PRODUCT(1 + 預測IC!$C14:AN14) - 1</f>
        <v>1.343032192356965</v>
      </c>
      <c r="AO14" s="7" cm="1">
        <f t="array" ref="AO14">PRODUCT(1 + 預測IC!$C14:AO14) - 1</f>
        <v>1.4857362209606317</v>
      </c>
      <c r="AP14" s="7" cm="1">
        <f t="array" ref="AP14">PRODUCT(1 + 預測IC!$C14:AP14) - 1</f>
        <v>1.3117930377731333</v>
      </c>
      <c r="AQ14" s="7" cm="1">
        <f t="array" ref="AQ14">PRODUCT(1 + 預測IC!$C14:AQ14) - 1</f>
        <v>1.3109423725188547</v>
      </c>
      <c r="AR14" s="7" cm="1">
        <f t="array" ref="AR14">PRODUCT(1 + 預測IC!$C14:AR14) - 1</f>
        <v>1.3529340973767376</v>
      </c>
      <c r="AS14" s="7" cm="1">
        <f t="array" ref="AS14">PRODUCT(1 + 預測IC!$C14:AS14) - 1</f>
        <v>1.5538205187569165</v>
      </c>
      <c r="AT14" s="7" cm="1">
        <f t="array" ref="AT14">PRODUCT(1 + 預測IC!$C14:AT14) - 1</f>
        <v>1.5068112561084024</v>
      </c>
      <c r="AU14" s="7" cm="1">
        <f t="array" ref="AU14">PRODUCT(1 + 預測IC!$C14:AU14) - 1</f>
        <v>1.6070627719802211</v>
      </c>
      <c r="AV14" s="7" cm="1">
        <f t="array" ref="AV14">PRODUCT(1 + 預測IC!$C14:AV14) - 1</f>
        <v>1.6290310646914468</v>
      </c>
      <c r="AW14" s="7" cm="1">
        <f t="array" ref="AW14">PRODUCT(1 + 預測IC!$C14:AW14) - 1</f>
        <v>1.5807543473234831</v>
      </c>
      <c r="AX14" s="7" cm="1">
        <f t="array" ref="AX14">PRODUCT(1 + 預測IC!$C14:AX14) - 1</f>
        <v>1.9341913089646581</v>
      </c>
      <c r="AY14" s="7" cm="1">
        <f t="array" ref="AY14">PRODUCT(1 + 預測IC!$C14:AY14) - 1</f>
        <v>1.7615453224085131</v>
      </c>
      <c r="AZ14" s="7" cm="1">
        <f t="array" ref="AZ14">PRODUCT(1 + 預測IC!$C14:AZ14) - 1</f>
        <v>1.8323207672906219</v>
      </c>
      <c r="BA14" s="7" cm="1">
        <f t="array" ref="BA14">PRODUCT(1 + 預測IC!$C14:BA14) - 1</f>
        <v>2.1051789745615808</v>
      </c>
      <c r="BB14" s="7" cm="1">
        <f t="array" ref="BB14">PRODUCT(1 + 預測IC!$C14:BB14) - 1</f>
        <v>2.4215915582748662</v>
      </c>
      <c r="BC14" s="7" cm="1">
        <f t="array" ref="BC14">PRODUCT(1 + 預測IC!$C14:BC14) - 1</f>
        <v>2.4629049555546958</v>
      </c>
      <c r="BD14" s="7" cm="1">
        <f t="array" ref="BD14">PRODUCT(1 + 預測IC!$C14:BD14) - 1</f>
        <v>2.5197572316368873</v>
      </c>
      <c r="BE14" s="7" cm="1">
        <f t="array" ref="BE14">PRODUCT(1 + 預測IC!$C14:BE14) - 1</f>
        <v>2.4348711813779516</v>
      </c>
      <c r="BF14" s="7" cm="1">
        <f t="array" ref="BF14">PRODUCT(1 + 預測IC!$C14:BF14) - 1</f>
        <v>2.4168625368165784</v>
      </c>
      <c r="BG14" s="7" cm="1">
        <f t="array" ref="BG14">PRODUCT(1 + 預測IC!$C14:BG14) - 1</f>
        <v>2.4527280031176484</v>
      </c>
      <c r="BH14" s="7" cm="1">
        <f t="array" ref="BH14">PRODUCT(1 + 預測IC!$C14:BH14) - 1</f>
        <v>2.4342809213521281</v>
      </c>
      <c r="BI14" s="7" cm="1">
        <f t="array" ref="BI14">PRODUCT(1 + 預測IC!$C14:BI14) - 1</f>
        <v>2.5451056162334829</v>
      </c>
      <c r="BJ14" s="7" cm="1">
        <f t="array" ref="BJ14">PRODUCT(1 + 預測IC!$C14:BJ14) - 1</f>
        <v>2.6302481827271387</v>
      </c>
      <c r="BK14" s="7" cm="1">
        <f t="array" ref="BK14">PRODUCT(1 + 預測IC!$C14:BK14) - 1</f>
        <v>2.7509081282525822</v>
      </c>
      <c r="BL14" s="7" cm="1">
        <f t="array" ref="BL14">PRODUCT(1 + 預測IC!$C14:BL14) - 1</f>
        <v>2.7905621082461649</v>
      </c>
      <c r="BM14" s="7" cm="1">
        <f t="array" ref="BM14">PRODUCT(1 + 預測IC!$C14:BM14) - 1</f>
        <v>2.7095386663069725</v>
      </c>
      <c r="BN14" s="7" cm="1">
        <f t="array" ref="BN14">PRODUCT(1 + 預測IC!$C14:BN14) - 1</f>
        <v>2.8823165289003989</v>
      </c>
      <c r="BO14" s="7" cm="1">
        <f t="array" ref="BO14">PRODUCT(1 + 預測IC!$C14:BO14) - 1</f>
        <v>2.9401769398880151</v>
      </c>
      <c r="BP14" s="7" cm="1">
        <f t="array" ref="BP14">PRODUCT(1 + 預測IC!$C14:BP14) - 1</f>
        <v>3.1384950419879072</v>
      </c>
      <c r="BQ14" s="7" cm="1">
        <f t="array" ref="BQ14">PRODUCT(1 + 預測IC!$C14:BQ14) - 1</f>
        <v>3.204063386971316</v>
      </c>
      <c r="BR14" s="7" cm="1">
        <f t="array" ref="BR14">PRODUCT(1 + 預測IC!$C14:BR14) - 1</f>
        <v>3.0866462948542415</v>
      </c>
      <c r="BS14" s="7" cm="1">
        <f t="array" ref="BS14">PRODUCT(1 + 預測IC!$C14:BS14) - 1</f>
        <v>2.9170751768038041</v>
      </c>
      <c r="BT14" s="7" cm="1">
        <f t="array" ref="BT14">PRODUCT(1 + 預測IC!$C14:BT14) - 1</f>
        <v>2.9769591396988724</v>
      </c>
      <c r="BU14" s="7" cm="1">
        <f t="array" ref="BU14">PRODUCT(1 + 預測IC!$C14:BU14) - 1</f>
        <v>2.5348825319018866</v>
      </c>
      <c r="BV14" s="7" cm="1">
        <f t="array" ref="BV14">PRODUCT(1 + 預測IC!$C14:BV14) - 1</f>
        <v>2.680811280639106</v>
      </c>
      <c r="BW14" s="7" cm="1">
        <f t="array" ref="BW14">PRODUCT(1 + 預測IC!$C14:BW14) - 1</f>
        <v>3.1166489372749204</v>
      </c>
      <c r="BX14" s="7" cm="1">
        <f t="array" ref="BX14">PRODUCT(1 + 預測IC!$C14:BX14) - 1</f>
        <v>3.1153845734953469</v>
      </c>
      <c r="BY14" s="7" cm="1">
        <f t="array" ref="BY14">PRODUCT(1 + 預測IC!$C14:BY14) - 1</f>
        <v>2.7845086061531403</v>
      </c>
      <c r="BZ14" s="7" cm="1">
        <f t="array" ref="BZ14">PRODUCT(1 + 預測IC!$C14:BZ14) - 1</f>
        <v>3.0117080108839538</v>
      </c>
      <c r="CA14" s="7" cm="1">
        <f t="array" ref="CA14">PRODUCT(1 + 預測IC!$C14:CA14) - 1</f>
        <v>3.1459203371933535</v>
      </c>
      <c r="CB14" s="7" cm="1">
        <f t="array" ref="CB14">PRODUCT(1 + 預測IC!$C14:CB14) - 1</f>
        <v>3.827781203890547</v>
      </c>
      <c r="CC14" s="7" cm="1">
        <f t="array" ref="CC14">PRODUCT(1 + 預測IC!$C14:CC14) - 1</f>
        <v>4.409993071588806</v>
      </c>
      <c r="CD14" s="7" cm="1">
        <f t="array" ref="CD14">PRODUCT(1 + 預測IC!$C14:CD14) - 1</f>
        <v>4.9402627932219261</v>
      </c>
      <c r="CE14" s="7" cm="1">
        <f t="array" ref="CE14">PRODUCT(1 + 預測IC!$C14:CE14) - 1</f>
        <v>5.9534061107813736</v>
      </c>
      <c r="CF14" s="7" cm="1">
        <f t="array" ref="CF14">PRODUCT(1 + 預測IC!$C14:CF14) - 1</f>
        <v>5.812180924321031</v>
      </c>
      <c r="CG14" s="7" cm="1">
        <f t="array" ref="CG14">PRODUCT(1 + 預測IC!$C14:CG14) - 1</f>
        <v>6.7585745799758605</v>
      </c>
      <c r="CH14" s="7" cm="1">
        <f t="array" ref="CH14">PRODUCT(1 + 預測IC!$C14:CH14) - 1</f>
        <v>7.2602548144114838</v>
      </c>
      <c r="CI14" s="7" cm="1">
        <f t="array" ref="CI14">PRODUCT(1 + 預測IC!$C14:CI14) - 1</f>
        <v>7.2286233569638547</v>
      </c>
      <c r="CJ14" s="7" cm="1">
        <f t="array" ref="CJ14">PRODUCT(1 + 預測IC!$C14:CJ14) - 1</f>
        <v>7.3937457001812081</v>
      </c>
      <c r="CK14" s="7" cm="1">
        <f t="array" ref="CK14">PRODUCT(1 + 預測IC!$C14:CK14) - 1</f>
        <v>7.3898521809127136</v>
      </c>
      <c r="CL14" s="7" cm="1">
        <f t="array" ref="CL14">PRODUCT(1 + 預測IC!$C14:CL14) - 1</f>
        <v>8.4808087144215971</v>
      </c>
      <c r="CM14" s="7" cm="1">
        <f t="array" ref="CM14">PRODUCT(1 + 預測IC!$C14:CM14) - 1</f>
        <v>7.4372658362744968</v>
      </c>
      <c r="CN14" s="7" cm="1">
        <f t="array" ref="CN14">PRODUCT(1 + 預測IC!$C14:CN14) - 1</f>
        <v>7.2735698232805319</v>
      </c>
      <c r="CO14" s="7" cm="1">
        <f t="array" ref="CO14">PRODUCT(1 + 預測IC!$C14:CO14) - 1</f>
        <v>8.7069587953428513</v>
      </c>
      <c r="CP14" s="7" cm="1">
        <f t="array" ref="CP14">PRODUCT(1 + 預測IC!$C14:CP14) - 1</f>
        <v>7.683071460174105</v>
      </c>
      <c r="CQ14" s="7" cm="1">
        <f t="array" ref="CQ14">PRODUCT(1 + 預測IC!$C14:CQ14) - 1</f>
        <v>8.3736946685518063</v>
      </c>
      <c r="CR14" s="7" cm="1">
        <f t="array" ref="CR14">PRODUCT(1 + 預測IC!$C14:CR14) - 1</f>
        <v>8.9608690458886091</v>
      </c>
      <c r="CS14" s="7" cm="1">
        <f t="array" ref="CS14">PRODUCT(1 + 預測IC!$C14:CS14) - 1</f>
        <v>8.9228572406095381</v>
      </c>
      <c r="CT14" s="7" cm="1">
        <f t="array" ref="CT14">PRODUCT(1 + 預測IC!$C14:CT14) - 1</f>
        <v>9.5368077605320867</v>
      </c>
      <c r="CU14" s="7" cm="1">
        <f t="array" ref="CU14">PRODUCT(1 + 預測IC!$C14:CU14) - 1</f>
        <v>9.0740616920119912</v>
      </c>
      <c r="CV14" s="7" cm="1">
        <f t="array" ref="CV14">PRODUCT(1 + 預測IC!$C14:CV14) - 1</f>
        <v>9.3032034295437054</v>
      </c>
      <c r="CW14" s="7" cm="1">
        <f t="array" ref="CW14">PRODUCT(1 + 預測IC!$C14:CW14) - 1</f>
        <v>9.3880400259564638</v>
      </c>
      <c r="CX14" s="7" cm="1">
        <f t="array" ref="CX14">PRODUCT(1 + 預測IC!$C14:CX14) - 1</f>
        <v>9.6398903327481253</v>
      </c>
      <c r="CY14" s="7" cm="1">
        <f t="array" ref="CY14">PRODUCT(1 + 預測IC!$C14:CY14) - 1</f>
        <v>10.1733504248424</v>
      </c>
      <c r="CZ14" s="7" cm="1">
        <f t="array" ref="CZ14">PRODUCT(1 + 預測IC!$C14:CZ14) - 1</f>
        <v>10.889155067620326</v>
      </c>
      <c r="DA14" s="7" cm="1">
        <f t="array" ref="DA14">PRODUCT(1 + 預測IC!$C14:DA14) - 1</f>
        <v>10.600197604862961</v>
      </c>
      <c r="DB14" s="7" cm="1">
        <f t="array" ref="DB14">PRODUCT(1 + 預測IC!$C14:DB14) - 1</f>
        <v>10.326884500097309</v>
      </c>
      <c r="DC14" s="7" cm="1">
        <f t="array" ref="DC14">PRODUCT(1 + 預測IC!$C14:DC14) - 1</f>
        <v>10.493998652516124</v>
      </c>
      <c r="DD14" s="7" cm="1">
        <f t="array" ref="DD14">PRODUCT(1 + 預測IC!$C14:DD14) - 1</f>
        <v>9.8744725073348256</v>
      </c>
      <c r="DE14" s="7" cm="1">
        <f t="array" ref="DE14">PRODUCT(1 + 預測IC!$C14:DE14) - 1</f>
        <v>9.5367367605599416</v>
      </c>
      <c r="DF14" s="7" cm="1">
        <f t="array" ref="DF14">PRODUCT(1 + 預測IC!$C14:DF14) - 1</f>
        <v>9.1589248832595231</v>
      </c>
      <c r="DG14" s="7" cm="1">
        <f t="array" ref="DG14">PRODUCT(1 + 預測IC!$C14:DG14) - 1</f>
        <v>9.2752095898312277</v>
      </c>
      <c r="DH14" s="7" cm="1">
        <f t="array" ref="DH14">PRODUCT(1 + 預測IC!$C14:DH14) - 1</f>
        <v>9.8787876714476877</v>
      </c>
      <c r="DI14" s="7" cm="1">
        <f t="array" ref="DI14">PRODUCT(1 + 預測IC!$C14:DI14) - 1</f>
        <v>10.821395984971979</v>
      </c>
      <c r="DJ14" s="7" cm="1">
        <f t="array" ref="DJ14">PRODUCT(1 + 預測IC!$C14:DJ14) - 1</f>
        <v>10.833497834915127</v>
      </c>
      <c r="DK14" s="7" cm="1">
        <f t="array" ref="DK14">PRODUCT(1 + 預測IC!$C14:DK14) - 1</f>
        <v>9.8676294055787963</v>
      </c>
      <c r="DL14" s="7" cm="1">
        <f t="array" ref="DL14">PRODUCT(1 + 預測IC!$C14:DL14) - 1</f>
        <v>9.7668410286805418</v>
      </c>
      <c r="DM14" s="7" cm="1">
        <f t="array" ref="DM14">PRODUCT(1 + 預測IC!$C14:DM14) - 1</f>
        <v>9.7547697876847277</v>
      </c>
      <c r="DN14" s="7" cm="1">
        <f t="array" ref="DN14">PRODUCT(1 + 預測IC!$C14:DN14) - 1</f>
        <v>10.080626764127329</v>
      </c>
      <c r="DO14" s="7" cm="1">
        <f t="array" ref="DO14">PRODUCT(1 + 預測IC!$C14:DO14) - 1</f>
        <v>11.217412523375996</v>
      </c>
      <c r="DP14" s="7" cm="1">
        <f t="array" ref="DP14">PRODUCT(1 + 預測IC!$C14:DP14) - 1</f>
        <v>11.261613390332791</v>
      </c>
      <c r="DQ14" s="7" cm="1">
        <f t="array" ref="DQ14">PRODUCT(1 + 預測IC!$C14:DQ14) - 1</f>
        <v>10.574726563167635</v>
      </c>
      <c r="DR14" s="7" cm="1">
        <f t="array" ref="DR14">PRODUCT(1 + 預測IC!$C14:DR14) - 1</f>
        <v>10.664944864325788</v>
      </c>
      <c r="DS14" s="7" cm="1">
        <f t="array" ref="DS14">PRODUCT(1 + 預測IC!$C14:DS14) - 1</f>
        <v>10.256147964900078</v>
      </c>
      <c r="DT14" s="7" cm="1">
        <f t="array" ref="DT14">PRODUCT(1 + 預測IC!$C14:DT14) - 1</f>
        <v>11.580687186364006</v>
      </c>
      <c r="DU14" s="7" cm="1">
        <f t="array" ref="DU14">PRODUCT(1 + 預測IC!$C14:DU14) - 1</f>
        <v>10.715195374432932</v>
      </c>
      <c r="DV14" s="7" cm="1">
        <f t="array" ref="DV14">PRODUCT(1 + 預測IC!$C14:DV14) - 1</f>
        <v>10.942856108788753</v>
      </c>
      <c r="DW14" s="7" cm="1">
        <f t="array" ref="DW14">PRODUCT(1 + 預測IC!$C14:DW14) - 1</f>
        <v>10.964464431905224</v>
      </c>
      <c r="DX14" s="7" cm="1">
        <f t="array" ref="DX14">PRODUCT(1 + 預測IC!$C14:DX14) - 1</f>
        <v>9.7449085592327318</v>
      </c>
      <c r="DY14" s="7" cm="1">
        <f t="array" ref="DY14">PRODUCT(1 + 預測IC!$C14:DY14) - 1</f>
        <v>10.153183708779475</v>
      </c>
      <c r="DZ14" s="7" cm="1">
        <f t="array" ref="DZ14">PRODUCT(1 + 預測IC!$C14:DZ14) - 1</f>
        <v>10.543890885762442</v>
      </c>
      <c r="EA14" s="7" cm="1">
        <f t="array" ref="EA14">PRODUCT(1 + 預測IC!$C14:EA14) - 1</f>
        <v>11.445529552776241</v>
      </c>
      <c r="EB14" s="7" cm="1">
        <f t="array" ref="EB14">PRODUCT(1 + 預測IC!$C14:EB14) - 1</f>
        <v>11.133028271865586</v>
      </c>
      <c r="EC14" s="7" cm="1">
        <f t="array" ref="EC14">PRODUCT(1 + 預測IC!$C14:EC14) - 1</f>
        <v>11.206789587344359</v>
      </c>
      <c r="ED14" s="7" cm="1">
        <f t="array" ref="ED14">PRODUCT(1 + 預測IC!$C14:ED14) - 1</f>
        <v>10.796674564440702</v>
      </c>
      <c r="EE14" s="7" cm="1">
        <f t="array" ref="EE14">PRODUCT(1 + 預測IC!$C14:EE14) - 1</f>
        <v>10.836774451955433</v>
      </c>
      <c r="EF14" s="7" cm="1">
        <f t="array" ref="EF14">PRODUCT(1 + 預測IC!$C14:EF14) - 1</f>
        <v>11.664832822863017</v>
      </c>
    </row>
    <row r="15" spans="1:137" x14ac:dyDescent="0.3">
      <c r="A15" s="1">
        <v>10</v>
      </c>
      <c r="B15" s="1" t="s">
        <v>173</v>
      </c>
      <c r="C15" s="7" cm="1">
        <f t="array" ref="C15">PRODUCT(1 + 預測IC!$C15:C15) - 1</f>
        <v>-0.22764465877785844</v>
      </c>
      <c r="D15" s="7" cm="1">
        <f t="array" ref="D15">PRODUCT(1 + 預測IC!$C15:D15) - 1</f>
        <v>6.0219294621182362E-2</v>
      </c>
      <c r="E15" s="7" cm="1">
        <f t="array" ref="E15">PRODUCT(1 + 預測IC!$C15:E15) - 1</f>
        <v>4.9406726312747784E-2</v>
      </c>
      <c r="F15" s="7" cm="1">
        <f t="array" ref="F15">PRODUCT(1 + 預測IC!$C15:F15) - 1</f>
        <v>0.14417205015620227</v>
      </c>
      <c r="G15" s="7" cm="1">
        <f t="array" ref="G15">PRODUCT(1 + 預測IC!$C15:G15) - 1</f>
        <v>0.25470546675264583</v>
      </c>
      <c r="H15" s="7" cm="1">
        <f t="array" ref="H15">PRODUCT(1 + 預測IC!$C15:H15) - 1</f>
        <v>0.40381931148340122</v>
      </c>
      <c r="I15" s="7" cm="1">
        <f t="array" ref="I15">PRODUCT(1 + 預測IC!$C15:I15) - 1</f>
        <v>0.48584650136134266</v>
      </c>
      <c r="J15" s="7" cm="1">
        <f t="array" ref="J15">PRODUCT(1 + 預測IC!$C15:J15) - 1</f>
        <v>0.3899727163103377</v>
      </c>
      <c r="K15" s="7" cm="1">
        <f t="array" ref="K15">PRODUCT(1 + 預測IC!$C15:K15) - 1</f>
        <v>0.38412042190904394</v>
      </c>
      <c r="L15" s="7" cm="1">
        <f t="array" ref="L15">PRODUCT(1 + 預測IC!$C15:L15) - 1</f>
        <v>0.40206842901624951</v>
      </c>
      <c r="M15" s="7" cm="1">
        <f t="array" ref="M15">PRODUCT(1 + 預測IC!$C15:M15) - 1</f>
        <v>0.13778967699623634</v>
      </c>
      <c r="N15" s="7" cm="1">
        <f t="array" ref="N15">PRODUCT(1 + 預測IC!$C15:N15) - 1</f>
        <v>0.51361223069648609</v>
      </c>
      <c r="O15" s="7" cm="1">
        <f t="array" ref="O15">PRODUCT(1 + 預測IC!$C15:O15) - 1</f>
        <v>0.62525224905139898</v>
      </c>
      <c r="P15" s="7" cm="1">
        <f t="array" ref="P15">PRODUCT(1 + 預測IC!$C15:P15) - 1</f>
        <v>0.71136344922190209</v>
      </c>
      <c r="Q15" s="7" cm="1">
        <f t="array" ref="Q15">PRODUCT(1 + 預測IC!$C15:Q15) - 1</f>
        <v>0.88314215370264382</v>
      </c>
      <c r="R15" s="7" cm="1">
        <f t="array" ref="R15">PRODUCT(1 + 預測IC!$C15:R15) - 1</f>
        <v>0.91469502208518594</v>
      </c>
      <c r="S15" s="7" cm="1">
        <f t="array" ref="S15">PRODUCT(1 + 預測IC!$C15:S15) - 1</f>
        <v>0.83229816330864481</v>
      </c>
      <c r="T15" s="7" cm="1">
        <f t="array" ref="T15">PRODUCT(1 + 預測IC!$C15:T15) - 1</f>
        <v>0.74189500401269659</v>
      </c>
      <c r="U15" s="7" cm="1">
        <f t="array" ref="U15">PRODUCT(1 + 預測IC!$C15:U15) - 1</f>
        <v>0.82339869480725647</v>
      </c>
      <c r="V15" s="7" cm="1">
        <f t="array" ref="V15">PRODUCT(1 + 預測IC!$C15:V15) - 1</f>
        <v>0.66716828661938399</v>
      </c>
      <c r="W15" s="7" cm="1">
        <f t="array" ref="W15">PRODUCT(1 + 預測IC!$C15:W15) - 1</f>
        <v>0.84544618572244157</v>
      </c>
      <c r="X15" s="7" cm="1">
        <f t="array" ref="X15">PRODUCT(1 + 預測IC!$C15:X15) - 1</f>
        <v>0.99019636389190313</v>
      </c>
      <c r="Y15" s="7" cm="1">
        <f t="array" ref="Y15">PRODUCT(1 + 預測IC!$C15:Y15) - 1</f>
        <v>0.94205626321178704</v>
      </c>
      <c r="Z15" s="7" cm="1">
        <f t="array" ref="Z15">PRODUCT(1 + 預測IC!$C15:Z15) - 1</f>
        <v>0.89611416713811964</v>
      </c>
      <c r="AA15" s="7" cm="1">
        <f t="array" ref="AA15">PRODUCT(1 + 預測IC!$C15:AA15) - 1</f>
        <v>0.79357013808318544</v>
      </c>
      <c r="AB15" s="7" cm="1">
        <f t="array" ref="AB15">PRODUCT(1 + 預測IC!$C15:AB15) - 1</f>
        <v>0.66085320862403041</v>
      </c>
      <c r="AC15" s="7" cm="1">
        <f t="array" ref="AC15">PRODUCT(1 + 預測IC!$C15:AC15) - 1</f>
        <v>0.59432751815565177</v>
      </c>
      <c r="AD15" s="7" cm="1">
        <f t="array" ref="AD15">PRODUCT(1 + 預測IC!$C15:AD15) - 1</f>
        <v>0.65760714442639467</v>
      </c>
      <c r="AE15" s="7" cm="1">
        <f t="array" ref="AE15">PRODUCT(1 + 預測IC!$C15:AE15) - 1</f>
        <v>0.73598954528602167</v>
      </c>
      <c r="AF15" s="7" cm="1">
        <f t="array" ref="AF15">PRODUCT(1 + 預測IC!$C15:AF15) - 1</f>
        <v>0.82239326011693592</v>
      </c>
      <c r="AG15" s="7" cm="1">
        <f t="array" ref="AG15">PRODUCT(1 + 預測IC!$C15:AG15) - 1</f>
        <v>0.80394430156395447</v>
      </c>
      <c r="AH15" s="7" cm="1">
        <f t="array" ref="AH15">PRODUCT(1 + 預測IC!$C15:AH15) - 1</f>
        <v>0.74332388373774627</v>
      </c>
      <c r="AI15" s="7" cm="1">
        <f t="array" ref="AI15">PRODUCT(1 + 預測IC!$C15:AI15) - 1</f>
        <v>0.89225623631295625</v>
      </c>
      <c r="AJ15" s="7" cm="1">
        <f t="array" ref="AJ15">PRODUCT(1 + 預測IC!$C15:AJ15) - 1</f>
        <v>0.91016617661224131</v>
      </c>
      <c r="AK15" s="7" cm="1">
        <f t="array" ref="AK15">PRODUCT(1 + 預測IC!$C15:AK15) - 1</f>
        <v>1.0281373131642391</v>
      </c>
      <c r="AL15" s="7" cm="1">
        <f t="array" ref="AL15">PRODUCT(1 + 預測IC!$C15:AL15) - 1</f>
        <v>1.1182508257579205</v>
      </c>
      <c r="AM15" s="7" cm="1">
        <f t="array" ref="AM15">PRODUCT(1 + 預測IC!$C15:AM15) - 1</f>
        <v>1.2350143656125359</v>
      </c>
      <c r="AN15" s="7" cm="1">
        <f t="array" ref="AN15">PRODUCT(1 + 預測IC!$C15:AN15) - 1</f>
        <v>1.4622900841472615</v>
      </c>
      <c r="AO15" s="7" cm="1">
        <f t="array" ref="AO15">PRODUCT(1 + 預測IC!$C15:AO15) - 1</f>
        <v>1.6183249450103281</v>
      </c>
      <c r="AP15" s="7" cm="1">
        <f t="array" ref="AP15">PRODUCT(1 + 預測IC!$C15:AP15) - 1</f>
        <v>1.413347559853487</v>
      </c>
      <c r="AQ15" s="7" cm="1">
        <f t="array" ref="AQ15">PRODUCT(1 + 預測IC!$C15:AQ15) - 1</f>
        <v>1.323167695581331</v>
      </c>
      <c r="AR15" s="7" cm="1">
        <f t="array" ref="AR15">PRODUCT(1 + 預測IC!$C15:AR15) - 1</f>
        <v>1.3802033668044138</v>
      </c>
      <c r="AS15" s="7" cm="1">
        <f t="array" ref="AS15">PRODUCT(1 + 預測IC!$C15:AS15) - 1</f>
        <v>1.5083087183539354</v>
      </c>
      <c r="AT15" s="7" cm="1">
        <f t="array" ref="AT15">PRODUCT(1 + 預測IC!$C15:AT15) - 1</f>
        <v>1.5255069828625984</v>
      </c>
      <c r="AU15" s="7" cm="1">
        <f t="array" ref="AU15">PRODUCT(1 + 預測IC!$C15:AU15) - 1</f>
        <v>1.6263839676623495</v>
      </c>
      <c r="AV15" s="7" cm="1">
        <f t="array" ref="AV15">PRODUCT(1 + 預測IC!$C15:AV15) - 1</f>
        <v>1.7136463687294352</v>
      </c>
      <c r="AW15" s="7" cm="1">
        <f t="array" ref="AW15">PRODUCT(1 + 預測IC!$C15:AW15) - 1</f>
        <v>1.7561419060221519</v>
      </c>
      <c r="AX15" s="7" cm="1">
        <f t="array" ref="AX15">PRODUCT(1 + 預測IC!$C15:AX15) - 1</f>
        <v>2.1013045185712613</v>
      </c>
      <c r="AY15" s="7" cm="1">
        <f t="array" ref="AY15">PRODUCT(1 + 預測IC!$C15:AY15) - 1</f>
        <v>1.9675033937396278</v>
      </c>
      <c r="AZ15" s="7" cm="1">
        <f t="array" ref="AZ15">PRODUCT(1 + 預測IC!$C15:AZ15) - 1</f>
        <v>2.0768480351157939</v>
      </c>
      <c r="BA15" s="7" cm="1">
        <f t="array" ref="BA15">PRODUCT(1 + 預測IC!$C15:BA15) - 1</f>
        <v>2.5620298893374311</v>
      </c>
      <c r="BB15" s="7" cm="1">
        <f t="array" ref="BB15">PRODUCT(1 + 預測IC!$C15:BB15) - 1</f>
        <v>2.9495399145165737</v>
      </c>
      <c r="BC15" s="7" cm="1">
        <f t="array" ref="BC15">PRODUCT(1 + 預測IC!$C15:BC15) - 1</f>
        <v>2.7975173077870163</v>
      </c>
      <c r="BD15" s="7" cm="1">
        <f t="array" ref="BD15">PRODUCT(1 + 預測IC!$C15:BD15) - 1</f>
        <v>2.8254781085911729</v>
      </c>
      <c r="BE15" s="7" cm="1">
        <f t="array" ref="BE15">PRODUCT(1 + 預測IC!$C15:BE15) - 1</f>
        <v>2.6486755508068582</v>
      </c>
      <c r="BF15" s="7" cm="1">
        <f t="array" ref="BF15">PRODUCT(1 + 預測IC!$C15:BF15) - 1</f>
        <v>2.4407812268987366</v>
      </c>
      <c r="BG15" s="7" cm="1">
        <f t="array" ref="BG15">PRODUCT(1 + 預測IC!$C15:BG15) - 1</f>
        <v>2.4881819465823192</v>
      </c>
      <c r="BH15" s="7" cm="1">
        <f t="array" ref="BH15">PRODUCT(1 + 預測IC!$C15:BH15) - 1</f>
        <v>2.3680425229661122</v>
      </c>
      <c r="BI15" s="7" cm="1">
        <f t="array" ref="BI15">PRODUCT(1 + 預測IC!$C15:BI15) - 1</f>
        <v>2.4567938904117712</v>
      </c>
      <c r="BJ15" s="7" cm="1">
        <f t="array" ref="BJ15">PRODUCT(1 + 預測IC!$C15:BJ15) - 1</f>
        <v>2.7165854262517541</v>
      </c>
      <c r="BK15" s="7" cm="1">
        <f t="array" ref="BK15">PRODUCT(1 + 預測IC!$C15:BK15) - 1</f>
        <v>2.9874108464902185</v>
      </c>
      <c r="BL15" s="7" cm="1">
        <f t="array" ref="BL15">PRODUCT(1 + 預測IC!$C15:BL15) - 1</f>
        <v>2.9877214713924727</v>
      </c>
      <c r="BM15" s="7" cm="1">
        <f t="array" ref="BM15">PRODUCT(1 + 預測IC!$C15:BM15) - 1</f>
        <v>2.7380965092808376</v>
      </c>
      <c r="BN15" s="7" cm="1">
        <f t="array" ref="BN15">PRODUCT(1 + 預測IC!$C15:BN15) - 1</f>
        <v>2.9850128677814984</v>
      </c>
      <c r="BO15" s="7" cm="1">
        <f t="array" ref="BO15">PRODUCT(1 + 預測IC!$C15:BO15) - 1</f>
        <v>3.0511220137025763</v>
      </c>
      <c r="BP15" s="7" cm="1">
        <f t="array" ref="BP15">PRODUCT(1 + 預測IC!$C15:BP15) - 1</f>
        <v>3.2602281891324392</v>
      </c>
      <c r="BQ15" s="7" cm="1">
        <f t="array" ref="BQ15">PRODUCT(1 + 預測IC!$C15:BQ15) - 1</f>
        <v>3.3147715979190187</v>
      </c>
      <c r="BR15" s="7" cm="1">
        <f t="array" ref="BR15">PRODUCT(1 + 預測IC!$C15:BR15) - 1</f>
        <v>3.0983537473185194</v>
      </c>
      <c r="BS15" s="7" cm="1">
        <f t="array" ref="BS15">PRODUCT(1 + 預測IC!$C15:BS15) - 1</f>
        <v>3.0294039559610857</v>
      </c>
      <c r="BT15" s="7" cm="1">
        <f t="array" ref="BT15">PRODUCT(1 + 預測IC!$C15:BT15) - 1</f>
        <v>2.8817921164713383</v>
      </c>
      <c r="BU15" s="7" cm="1">
        <f t="array" ref="BU15">PRODUCT(1 + 預測IC!$C15:BU15) - 1</f>
        <v>2.5497213617136953</v>
      </c>
      <c r="BV15" s="7" cm="1">
        <f t="array" ref="BV15">PRODUCT(1 + 預測IC!$C15:BV15) - 1</f>
        <v>2.8556368339696037</v>
      </c>
      <c r="BW15" s="7" cm="1">
        <f t="array" ref="BW15">PRODUCT(1 + 預測IC!$C15:BW15) - 1</f>
        <v>3.6427490516786856</v>
      </c>
      <c r="BX15" s="7" cm="1">
        <f t="array" ref="BX15">PRODUCT(1 + 預測IC!$C15:BX15) - 1</f>
        <v>3.7539402517726463</v>
      </c>
      <c r="BY15" s="7" cm="1">
        <f t="array" ref="BY15">PRODUCT(1 + 預測IC!$C15:BY15) - 1</f>
        <v>3.3102151108030595</v>
      </c>
      <c r="BZ15" s="7" cm="1">
        <f t="array" ref="BZ15">PRODUCT(1 + 預測IC!$C15:BZ15) - 1</f>
        <v>3.7537641283886085</v>
      </c>
      <c r="CA15" s="7" cm="1">
        <f t="array" ref="CA15">PRODUCT(1 + 預測IC!$C15:CA15) - 1</f>
        <v>3.8962059605854868</v>
      </c>
      <c r="CB15" s="7" cm="1">
        <f t="array" ref="CB15">PRODUCT(1 + 預測IC!$C15:CB15) - 1</f>
        <v>4.5380564682783202</v>
      </c>
      <c r="CC15" s="7" cm="1">
        <f t="array" ref="CC15">PRODUCT(1 + 預測IC!$C15:CC15) - 1</f>
        <v>5.4997494203802697</v>
      </c>
      <c r="CD15" s="7" cm="1">
        <f t="array" ref="CD15">PRODUCT(1 + 預測IC!$C15:CD15) - 1</f>
        <v>6.2807078584768083</v>
      </c>
      <c r="CE15" s="7" cm="1">
        <f t="array" ref="CE15">PRODUCT(1 + 預測IC!$C15:CE15) - 1</f>
        <v>6.8148797066752325</v>
      </c>
      <c r="CF15" s="7" cm="1">
        <f t="array" ref="CF15">PRODUCT(1 + 預測IC!$C15:CF15) - 1</f>
        <v>6.7865365686466292</v>
      </c>
      <c r="CG15" s="7" cm="1">
        <f t="array" ref="CG15">PRODUCT(1 + 預測IC!$C15:CG15) - 1</f>
        <v>8.5442010244320254</v>
      </c>
      <c r="CH15" s="7" cm="1">
        <f t="array" ref="CH15">PRODUCT(1 + 預測IC!$C15:CH15) - 1</f>
        <v>9.1443972519057173</v>
      </c>
      <c r="CI15" s="7" cm="1">
        <f t="array" ref="CI15">PRODUCT(1 + 預測IC!$C15:CI15) - 1</f>
        <v>8.4410167547177668</v>
      </c>
      <c r="CJ15" s="7" cm="1">
        <f t="array" ref="CJ15">PRODUCT(1 + 預測IC!$C15:CJ15) - 1</f>
        <v>8.510716291993571</v>
      </c>
      <c r="CK15" s="7" cm="1">
        <f t="array" ref="CK15">PRODUCT(1 + 預測IC!$C15:CK15) - 1</f>
        <v>8.8367456578385593</v>
      </c>
      <c r="CL15" s="7" cm="1">
        <f t="array" ref="CL15">PRODUCT(1 + 預測IC!$C15:CL15) - 1</f>
        <v>10.929522026720953</v>
      </c>
      <c r="CM15" s="7" cm="1">
        <f t="array" ref="CM15">PRODUCT(1 + 預測IC!$C15:CM15) - 1</f>
        <v>9.6397050194199529</v>
      </c>
      <c r="CN15" s="7" cm="1">
        <f t="array" ref="CN15">PRODUCT(1 + 預測IC!$C15:CN15) - 1</f>
        <v>9.6420152708128501</v>
      </c>
      <c r="CO15" s="7" cm="1">
        <f t="array" ref="CO15">PRODUCT(1 + 預測IC!$C15:CO15) - 1</f>
        <v>11.486914923642765</v>
      </c>
      <c r="CP15" s="7" cm="1">
        <f t="array" ref="CP15">PRODUCT(1 + 預測IC!$C15:CP15) - 1</f>
        <v>11.057449776548163</v>
      </c>
      <c r="CQ15" s="7" cm="1">
        <f t="array" ref="CQ15">PRODUCT(1 + 預測IC!$C15:CQ15) - 1</f>
        <v>12.740713404387776</v>
      </c>
      <c r="CR15" s="7" cm="1">
        <f t="array" ref="CR15">PRODUCT(1 + 預測IC!$C15:CR15) - 1</f>
        <v>13.075633932040844</v>
      </c>
      <c r="CS15" s="7" cm="1">
        <f t="array" ref="CS15">PRODUCT(1 + 預測IC!$C15:CS15) - 1</f>
        <v>13.313666790319557</v>
      </c>
      <c r="CT15" s="7" cm="1">
        <f t="array" ref="CT15">PRODUCT(1 + 預測IC!$C15:CT15) - 1</f>
        <v>13.774803844405554</v>
      </c>
      <c r="CU15" s="7" cm="1">
        <f t="array" ref="CU15">PRODUCT(1 + 預測IC!$C15:CU15) - 1</f>
        <v>12.841351537012377</v>
      </c>
      <c r="CV15" s="7" cm="1">
        <f t="array" ref="CV15">PRODUCT(1 + 預測IC!$C15:CV15) - 1</f>
        <v>12.756340074916405</v>
      </c>
      <c r="CW15" s="7" cm="1">
        <f t="array" ref="CW15">PRODUCT(1 + 預測IC!$C15:CW15) - 1</f>
        <v>12.381377439444435</v>
      </c>
      <c r="CX15" s="7" cm="1">
        <f t="array" ref="CX15">PRODUCT(1 + 預測IC!$C15:CX15) - 1</f>
        <v>12.620487825269363</v>
      </c>
      <c r="CY15" s="7" cm="1">
        <f t="array" ref="CY15">PRODUCT(1 + 預測IC!$C15:CY15) - 1</f>
        <v>13.379594534528191</v>
      </c>
      <c r="CZ15" s="7" cm="1">
        <f t="array" ref="CZ15">PRODUCT(1 + 預測IC!$C15:CZ15) - 1</f>
        <v>14.528336454568793</v>
      </c>
      <c r="DA15" s="7" cm="1">
        <f t="array" ref="DA15">PRODUCT(1 + 預測IC!$C15:DA15) - 1</f>
        <v>14.118763607556994</v>
      </c>
      <c r="DB15" s="7" cm="1">
        <f t="array" ref="DB15">PRODUCT(1 + 預測IC!$C15:DB15) - 1</f>
        <v>13.661774512121783</v>
      </c>
      <c r="DC15" s="7" cm="1">
        <f t="array" ref="DC15">PRODUCT(1 + 預測IC!$C15:DC15) - 1</f>
        <v>14.786728841877858</v>
      </c>
      <c r="DD15" s="7" cm="1">
        <f t="array" ref="DD15">PRODUCT(1 + 預測IC!$C15:DD15) - 1</f>
        <v>13.7207077322598</v>
      </c>
      <c r="DE15" s="7" cm="1">
        <f t="array" ref="DE15">PRODUCT(1 + 預測IC!$C15:DE15) - 1</f>
        <v>12.754910031952486</v>
      </c>
      <c r="DF15" s="7" cm="1">
        <f t="array" ref="DF15">PRODUCT(1 + 預測IC!$C15:DF15) - 1</f>
        <v>12.171821426291878</v>
      </c>
      <c r="DG15" s="7" cm="1">
        <f t="array" ref="DG15">PRODUCT(1 + 預測IC!$C15:DG15) - 1</f>
        <v>12.385161882856927</v>
      </c>
      <c r="DH15" s="7" cm="1">
        <f t="array" ref="DH15">PRODUCT(1 + 預測IC!$C15:DH15) - 1</f>
        <v>14.120172475340459</v>
      </c>
      <c r="DI15" s="7" cm="1">
        <f t="array" ref="DI15">PRODUCT(1 + 預測IC!$C15:DI15) - 1</f>
        <v>14.76749377957686</v>
      </c>
      <c r="DJ15" s="7" cm="1">
        <f t="array" ref="DJ15">PRODUCT(1 + 預測IC!$C15:DJ15) - 1</f>
        <v>13.949888473463707</v>
      </c>
      <c r="DK15" s="7" cm="1">
        <f t="array" ref="DK15">PRODUCT(1 + 預測IC!$C15:DK15) - 1</f>
        <v>12.44998220612357</v>
      </c>
      <c r="DL15" s="7" cm="1">
        <f t="array" ref="DL15">PRODUCT(1 + 預測IC!$C15:DL15) - 1</f>
        <v>12.554055932753904</v>
      </c>
      <c r="DM15" s="7" cm="1">
        <f t="array" ref="DM15">PRODUCT(1 + 預測IC!$C15:DM15) - 1</f>
        <v>12.578090862185608</v>
      </c>
      <c r="DN15" s="7" cm="1">
        <f t="array" ref="DN15">PRODUCT(1 + 預測IC!$C15:DN15) - 1</f>
        <v>11.668052327383325</v>
      </c>
      <c r="DO15" s="7" cm="1">
        <f t="array" ref="DO15">PRODUCT(1 + 預測IC!$C15:DO15) - 1</f>
        <v>13.689181947076484</v>
      </c>
      <c r="DP15" s="7" cm="1">
        <f t="array" ref="DP15">PRODUCT(1 + 預測IC!$C15:DP15) - 1</f>
        <v>13.096764407205383</v>
      </c>
      <c r="DQ15" s="7" cm="1">
        <f t="array" ref="DQ15">PRODUCT(1 + 預測IC!$C15:DQ15) - 1</f>
        <v>12.06857347848276</v>
      </c>
      <c r="DR15" s="7" cm="1">
        <f t="array" ref="DR15">PRODUCT(1 + 預測IC!$C15:DR15) - 1</f>
        <v>11.78060399877941</v>
      </c>
      <c r="DS15" s="7" cm="1">
        <f t="array" ref="DS15">PRODUCT(1 + 預測IC!$C15:DS15) - 1</f>
        <v>10.806186359257023</v>
      </c>
      <c r="DT15" s="7" cm="1">
        <f t="array" ref="DT15">PRODUCT(1 + 預測IC!$C15:DT15) - 1</f>
        <v>11.211096036253684</v>
      </c>
      <c r="DU15" s="7" cm="1">
        <f t="array" ref="DU15">PRODUCT(1 + 預測IC!$C15:DU15) - 1</f>
        <v>9.7808390107341161</v>
      </c>
      <c r="DV15" s="7" cm="1">
        <f t="array" ref="DV15">PRODUCT(1 + 預測IC!$C15:DV15) - 1</f>
        <v>10.332030969475362</v>
      </c>
      <c r="DW15" s="7" cm="1">
        <f t="array" ref="DW15">PRODUCT(1 + 預測IC!$C15:DW15) - 1</f>
        <v>9.642745155660748</v>
      </c>
      <c r="DX15" s="7" cm="1">
        <f t="array" ref="DX15">PRODUCT(1 + 預測IC!$C15:DX15) - 1</f>
        <v>8.380342628672965</v>
      </c>
      <c r="DY15" s="7" cm="1">
        <f t="array" ref="DY15">PRODUCT(1 + 預測IC!$C15:DY15) - 1</f>
        <v>9.3797165147637056</v>
      </c>
      <c r="DZ15" s="7" cm="1">
        <f t="array" ref="DZ15">PRODUCT(1 + 預測IC!$C15:DZ15) - 1</f>
        <v>9.7996347274788853</v>
      </c>
      <c r="EA15" s="7" cm="1">
        <f t="array" ref="EA15">PRODUCT(1 + 預測IC!$C15:EA15) - 1</f>
        <v>10.094882984459707</v>
      </c>
      <c r="EB15" s="7" cm="1">
        <f t="array" ref="EB15">PRODUCT(1 + 預測IC!$C15:EB15) - 1</f>
        <v>9.4721662535641524</v>
      </c>
      <c r="EC15" s="7" cm="1">
        <f t="array" ref="EC15">PRODUCT(1 + 預測IC!$C15:EC15) - 1</f>
        <v>10.164186436442341</v>
      </c>
      <c r="ED15" s="7" cm="1">
        <f t="array" ref="ED15">PRODUCT(1 + 預測IC!$C15:ED15) - 1</f>
        <v>9.3560855649675485</v>
      </c>
      <c r="EE15" s="7" cm="1">
        <f t="array" ref="EE15">PRODUCT(1 + 預測IC!$C15:EE15) - 1</f>
        <v>9.3230421904398408</v>
      </c>
      <c r="EF15" s="7" cm="1">
        <f t="array" ref="EF15">PRODUCT(1 + 預測IC!$C15:EF15) - 1</f>
        <v>10.001276293919823</v>
      </c>
    </row>
    <row r="16" spans="1:137" x14ac:dyDescent="0.3">
      <c r="A16" s="1">
        <v>9</v>
      </c>
      <c r="B16" s="1" t="s">
        <v>174</v>
      </c>
      <c r="C16" s="7" cm="1">
        <f t="array" ref="C16">PRODUCT(1 + 預測IC!$C16:C16) - 1</f>
        <v>-0.20787477708292912</v>
      </c>
      <c r="D16" s="7" cm="1">
        <f t="array" ref="D16">PRODUCT(1 + 預測IC!$C16:D16) - 1</f>
        <v>0.11546676143924528</v>
      </c>
      <c r="E16" s="7" cm="1">
        <f t="array" ref="E16">PRODUCT(1 + 預測IC!$C16:E16) - 1</f>
        <v>0.11230979350169235</v>
      </c>
      <c r="F16" s="7" cm="1">
        <f t="array" ref="F16">PRODUCT(1 + 預測IC!$C16:F16) - 1</f>
        <v>0.25052517252986939</v>
      </c>
      <c r="G16" s="7" cm="1">
        <f t="array" ref="G16">PRODUCT(1 + 預測IC!$C16:G16) - 1</f>
        <v>0.38684806377791436</v>
      </c>
      <c r="H16" s="7" cm="1">
        <f t="array" ref="H16">PRODUCT(1 + 預測IC!$C16:H16) - 1</f>
        <v>0.48787724959042267</v>
      </c>
      <c r="I16" s="7" cm="1">
        <f t="array" ref="I16">PRODUCT(1 + 預測IC!$C16:I16) - 1</f>
        <v>0.57347574825786296</v>
      </c>
      <c r="J16" s="7" cm="1">
        <f t="array" ref="J16">PRODUCT(1 + 預測IC!$C16:J16) - 1</f>
        <v>0.4653873528838901</v>
      </c>
      <c r="K16" s="7" cm="1">
        <f t="array" ref="K16">PRODUCT(1 + 預測IC!$C16:K16) - 1</f>
        <v>0.49165457434407478</v>
      </c>
      <c r="L16" s="7" cm="1">
        <f t="array" ref="L16">PRODUCT(1 + 預測IC!$C16:L16) - 1</f>
        <v>0.53793636601058692</v>
      </c>
      <c r="M16" s="7" cm="1">
        <f t="array" ref="M16">PRODUCT(1 + 預測IC!$C16:M16) - 1</f>
        <v>0.23822885597227472</v>
      </c>
      <c r="N16" s="7" cm="1">
        <f t="array" ref="N16">PRODUCT(1 + 預測IC!$C16:N16) - 1</f>
        <v>0.69264350337213521</v>
      </c>
      <c r="O16" s="7" cm="1">
        <f t="array" ref="O16">PRODUCT(1 + 預測IC!$C16:O16) - 1</f>
        <v>0.82776192031242957</v>
      </c>
      <c r="P16" s="7" cm="1">
        <f t="array" ref="P16">PRODUCT(1 + 預測IC!$C16:P16) - 1</f>
        <v>0.94104612028991785</v>
      </c>
      <c r="Q16" s="7" cm="1">
        <f t="array" ref="Q16">PRODUCT(1 + 預測IC!$C16:Q16) - 1</f>
        <v>1.1285864504805758</v>
      </c>
      <c r="R16" s="7" cm="1">
        <f t="array" ref="R16">PRODUCT(1 + 預測IC!$C16:R16) - 1</f>
        <v>1.1694186183007109</v>
      </c>
      <c r="S16" s="7" cm="1">
        <f t="array" ref="S16">PRODUCT(1 + 預測IC!$C16:S16) - 1</f>
        <v>1.0774023301442313</v>
      </c>
      <c r="T16" s="7" cm="1">
        <f t="array" ref="T16">PRODUCT(1 + 預測IC!$C16:T16) - 1</f>
        <v>1.0291509529795166</v>
      </c>
      <c r="U16" s="7" cm="1">
        <f t="array" ref="U16">PRODUCT(1 + 預測IC!$C16:U16) - 1</f>
        <v>1.1278722226143785</v>
      </c>
      <c r="V16" s="7" cm="1">
        <f t="array" ref="V16">PRODUCT(1 + 預測IC!$C16:V16) - 1</f>
        <v>0.90590073018270689</v>
      </c>
      <c r="W16" s="7" cm="1">
        <f t="array" ref="W16">PRODUCT(1 + 預測IC!$C16:W16) - 1</f>
        <v>1.0552728182415474</v>
      </c>
      <c r="X16" s="7" cm="1">
        <f t="array" ref="X16">PRODUCT(1 + 預測IC!$C16:X16) - 1</f>
        <v>1.2067017796057931</v>
      </c>
      <c r="Y16" s="7" cm="1">
        <f t="array" ref="Y16">PRODUCT(1 + 預測IC!$C16:Y16) - 1</f>
        <v>1.1972406624784924</v>
      </c>
      <c r="Z16" s="7" cm="1">
        <f t="array" ref="Z16">PRODUCT(1 + 預測IC!$C16:Z16) - 1</f>
        <v>1.1531293096400401</v>
      </c>
      <c r="AA16" s="7" cm="1">
        <f t="array" ref="AA16">PRODUCT(1 + 預測IC!$C16:AA16) - 1</f>
        <v>1.0594948063146128</v>
      </c>
      <c r="AB16" s="7" cm="1">
        <f t="array" ref="AB16">PRODUCT(1 + 預測IC!$C16:AB16) - 1</f>
        <v>0.91323746279352491</v>
      </c>
      <c r="AC16" s="7" cm="1">
        <f t="array" ref="AC16">PRODUCT(1 + 預測IC!$C16:AC16) - 1</f>
        <v>0.83471719725387872</v>
      </c>
      <c r="AD16" s="7" cm="1">
        <f t="array" ref="AD16">PRODUCT(1 + 預測IC!$C16:AD16) - 1</f>
        <v>0.89858585291693815</v>
      </c>
      <c r="AE16" s="7" cm="1">
        <f t="array" ref="AE16">PRODUCT(1 + 預測IC!$C16:AE16) - 1</f>
        <v>0.99642945943410632</v>
      </c>
      <c r="AF16" s="7" cm="1">
        <f t="array" ref="AF16">PRODUCT(1 + 預測IC!$C16:AF16) - 1</f>
        <v>1.0263931165614886</v>
      </c>
      <c r="AG16" s="7" cm="1">
        <f t="array" ref="AG16">PRODUCT(1 + 預測IC!$C16:AG16) - 1</f>
        <v>0.99946082609433451</v>
      </c>
      <c r="AH16" s="7" cm="1">
        <f t="array" ref="AH16">PRODUCT(1 + 預測IC!$C16:AH16) - 1</f>
        <v>0.93594715227047875</v>
      </c>
      <c r="AI16" s="7" cm="1">
        <f t="array" ref="AI16">PRODUCT(1 + 預測IC!$C16:AI16) - 1</f>
        <v>1.0309596501971634</v>
      </c>
      <c r="AJ16" s="7" cm="1">
        <f t="array" ref="AJ16">PRODUCT(1 + 預測IC!$C16:AJ16) - 1</f>
        <v>1.0166901966015289</v>
      </c>
      <c r="AK16" s="7" cm="1">
        <f t="array" ref="AK16">PRODUCT(1 + 預測IC!$C16:AK16) - 1</f>
        <v>1.1466082041115113</v>
      </c>
      <c r="AL16" s="7" cm="1">
        <f t="array" ref="AL16">PRODUCT(1 + 預測IC!$C16:AL16) - 1</f>
        <v>1.2511242673631173</v>
      </c>
      <c r="AM16" s="7" cm="1">
        <f t="array" ref="AM16">PRODUCT(1 + 預測IC!$C16:AM16) - 1</f>
        <v>1.3998711991288397</v>
      </c>
      <c r="AN16" s="7" cm="1">
        <f t="array" ref="AN16">PRODUCT(1 + 預測IC!$C16:AN16) - 1</f>
        <v>1.6553523676927493</v>
      </c>
      <c r="AO16" s="7" cm="1">
        <f t="array" ref="AO16">PRODUCT(1 + 預測IC!$C16:AO16) - 1</f>
        <v>1.818456515460436</v>
      </c>
      <c r="AP16" s="7" cm="1">
        <f t="array" ref="AP16">PRODUCT(1 + 預測IC!$C16:AP16) - 1</f>
        <v>1.5991851978683123</v>
      </c>
      <c r="AQ16" s="7" cm="1">
        <f t="array" ref="AQ16">PRODUCT(1 + 預測IC!$C16:AQ16) - 1</f>
        <v>1.4992044198304106</v>
      </c>
      <c r="AR16" s="7" cm="1">
        <f t="array" ref="AR16">PRODUCT(1 + 預測IC!$C16:AR16) - 1</f>
        <v>1.5804104685352813</v>
      </c>
      <c r="AS16" s="7" cm="1">
        <f t="array" ref="AS16">PRODUCT(1 + 預測IC!$C16:AS16) - 1</f>
        <v>1.7483131987173262</v>
      </c>
      <c r="AT16" s="7" cm="1">
        <f t="array" ref="AT16">PRODUCT(1 + 預測IC!$C16:AT16) - 1</f>
        <v>1.7591400944106437</v>
      </c>
      <c r="AU16" s="7" cm="1">
        <f t="array" ref="AU16">PRODUCT(1 + 預測IC!$C16:AU16) - 1</f>
        <v>1.8745462008621541</v>
      </c>
      <c r="AV16" s="7" cm="1">
        <f t="array" ref="AV16">PRODUCT(1 + 預測IC!$C16:AV16) - 1</f>
        <v>1.942411006675091</v>
      </c>
      <c r="AW16" s="7" cm="1">
        <f t="array" ref="AW16">PRODUCT(1 + 預測IC!$C16:AW16) - 1</f>
        <v>2.057909260170991</v>
      </c>
      <c r="AX16" s="7" cm="1">
        <f t="array" ref="AX16">PRODUCT(1 + 預測IC!$C16:AX16) - 1</f>
        <v>2.366237557474677</v>
      </c>
      <c r="AY16" s="7" cm="1">
        <f t="array" ref="AY16">PRODUCT(1 + 預測IC!$C16:AY16) - 1</f>
        <v>2.2495176052674291</v>
      </c>
      <c r="AZ16" s="7" cm="1">
        <f t="array" ref="AZ16">PRODUCT(1 + 預測IC!$C16:AZ16) - 1</f>
        <v>2.4016823632400768</v>
      </c>
      <c r="BA16" s="7" cm="1">
        <f t="array" ref="BA16">PRODUCT(1 + 預測IC!$C16:BA16) - 1</f>
        <v>2.9459199063065156</v>
      </c>
      <c r="BB16" s="7" cm="1">
        <f t="array" ref="BB16">PRODUCT(1 + 預測IC!$C16:BB16) - 1</f>
        <v>3.4686546104715603</v>
      </c>
      <c r="BC16" s="7" cm="1">
        <f t="array" ref="BC16">PRODUCT(1 + 預測IC!$C16:BC16) - 1</f>
        <v>3.2915313696581752</v>
      </c>
      <c r="BD16" s="7" cm="1">
        <f t="array" ref="BD16">PRODUCT(1 + 預測IC!$C16:BD16) - 1</f>
        <v>3.3184915611875407</v>
      </c>
      <c r="BE16" s="7" cm="1">
        <f t="array" ref="BE16">PRODUCT(1 + 預測IC!$C16:BE16) - 1</f>
        <v>3.1278770720892997</v>
      </c>
      <c r="BF16" s="7" cm="1">
        <f t="array" ref="BF16">PRODUCT(1 + 預測IC!$C16:BF16) - 1</f>
        <v>2.9025570539912962</v>
      </c>
      <c r="BG16" s="7" cm="1">
        <f t="array" ref="BG16">PRODUCT(1 + 預測IC!$C16:BG16) - 1</f>
        <v>2.9779981921208791</v>
      </c>
      <c r="BH16" s="7" cm="1">
        <f t="array" ref="BH16">PRODUCT(1 + 預測IC!$C16:BH16) - 1</f>
        <v>3.0327975616334335</v>
      </c>
      <c r="BI16" s="7" cm="1">
        <f t="array" ref="BI16">PRODUCT(1 + 預測IC!$C16:BI16) - 1</f>
        <v>3.1361182139371753</v>
      </c>
      <c r="BJ16" s="7" cm="1">
        <f t="array" ref="BJ16">PRODUCT(1 + 預測IC!$C16:BJ16) - 1</f>
        <v>3.4729145391331206</v>
      </c>
      <c r="BK16" s="7" cm="1">
        <f t="array" ref="BK16">PRODUCT(1 + 預測IC!$C16:BK16) - 1</f>
        <v>3.9415561217880777</v>
      </c>
      <c r="BL16" s="7" cm="1">
        <f t="array" ref="BL16">PRODUCT(1 + 預測IC!$C16:BL16) - 1</f>
        <v>3.8999765966537874</v>
      </c>
      <c r="BM16" s="7" cm="1">
        <f t="array" ref="BM16">PRODUCT(1 + 預測IC!$C16:BM16) - 1</f>
        <v>3.557929686604961</v>
      </c>
      <c r="BN16" s="7" cm="1">
        <f t="array" ref="BN16">PRODUCT(1 + 預測IC!$C16:BN16) - 1</f>
        <v>3.8642133107920946</v>
      </c>
      <c r="BO16" s="7" cm="1">
        <f t="array" ref="BO16">PRODUCT(1 + 預測IC!$C16:BO16) - 1</f>
        <v>3.9418477068907771</v>
      </c>
      <c r="BP16" s="7" cm="1">
        <f t="array" ref="BP16">PRODUCT(1 + 預測IC!$C16:BP16) - 1</f>
        <v>4.2272397118372904</v>
      </c>
      <c r="BQ16" s="7" cm="1">
        <f t="array" ref="BQ16">PRODUCT(1 + 預測IC!$C16:BQ16) - 1</f>
        <v>4.3133742527773533</v>
      </c>
      <c r="BR16" s="7" cm="1">
        <f t="array" ref="BR16">PRODUCT(1 + 預測IC!$C16:BR16) - 1</f>
        <v>4.1736492575710118</v>
      </c>
      <c r="BS16" s="7" cm="1">
        <f t="array" ref="BS16">PRODUCT(1 + 預測IC!$C16:BS16) - 1</f>
        <v>4.1054006849504399</v>
      </c>
      <c r="BT16" s="7" cm="1">
        <f t="array" ref="BT16">PRODUCT(1 + 預測IC!$C16:BT16) - 1</f>
        <v>3.9110581031722651</v>
      </c>
      <c r="BU16" s="7" cm="1">
        <f t="array" ref="BU16">PRODUCT(1 + 預測IC!$C16:BU16) - 1</f>
        <v>3.4124060875399964</v>
      </c>
      <c r="BV16" s="7" cm="1">
        <f t="array" ref="BV16">PRODUCT(1 + 預測IC!$C16:BV16) - 1</f>
        <v>3.8294246539397143</v>
      </c>
      <c r="BW16" s="7" cm="1">
        <f t="array" ref="BW16">PRODUCT(1 + 預測IC!$C16:BW16) - 1</f>
        <v>4.9109497427437319</v>
      </c>
      <c r="BX16" s="7" cm="1">
        <f t="array" ref="BX16">PRODUCT(1 + 預測IC!$C16:BX16) - 1</f>
        <v>5.0532751974191257</v>
      </c>
      <c r="BY16" s="7" cm="1">
        <f t="array" ref="BY16">PRODUCT(1 + 預測IC!$C16:BY16) - 1</f>
        <v>4.3329674825360849</v>
      </c>
      <c r="BZ16" s="7" cm="1">
        <f t="array" ref="BZ16">PRODUCT(1 + 預測IC!$C16:BZ16) - 1</f>
        <v>4.9277312060576257</v>
      </c>
      <c r="CA16" s="7" cm="1">
        <f t="array" ref="CA16">PRODUCT(1 + 預測IC!$C16:CA16) - 1</f>
        <v>5.0903417341518384</v>
      </c>
      <c r="CB16" s="7" cm="1">
        <f t="array" ref="CB16">PRODUCT(1 + 預測IC!$C16:CB16) - 1</f>
        <v>5.938779542538561</v>
      </c>
      <c r="CC16" s="7" cm="1">
        <f t="array" ref="CC16">PRODUCT(1 + 預測IC!$C16:CC16) - 1</f>
        <v>6.2467791516870523</v>
      </c>
      <c r="CD16" s="7" cm="1">
        <f t="array" ref="CD16">PRODUCT(1 + 預測IC!$C16:CD16) - 1</f>
        <v>7.3705464099345708</v>
      </c>
      <c r="CE16" s="7" cm="1">
        <f t="array" ref="CE16">PRODUCT(1 + 預測IC!$C16:CE16) - 1</f>
        <v>8.1541486706965696</v>
      </c>
      <c r="CF16" s="7" cm="1">
        <f t="array" ref="CF16">PRODUCT(1 + 預測IC!$C16:CF16) - 1</f>
        <v>8.0196187254279572</v>
      </c>
      <c r="CG16" s="7" cm="1">
        <f t="array" ref="CG16">PRODUCT(1 + 預測IC!$C16:CG16) - 1</f>
        <v>9.3382512656311594</v>
      </c>
      <c r="CH16" s="7" cm="1">
        <f t="array" ref="CH16">PRODUCT(1 + 預測IC!$C16:CH16) - 1</f>
        <v>9.7693296159582772</v>
      </c>
      <c r="CI16" s="7" cm="1">
        <f t="array" ref="CI16">PRODUCT(1 + 預測IC!$C16:CI16) - 1</f>
        <v>9.1409957735221408</v>
      </c>
      <c r="CJ16" s="7" cm="1">
        <f t="array" ref="CJ16">PRODUCT(1 + 預測IC!$C16:CJ16) - 1</f>
        <v>9.4229197489425172</v>
      </c>
      <c r="CK16" s="7" cm="1">
        <f t="array" ref="CK16">PRODUCT(1 + 預測IC!$C16:CK16) - 1</f>
        <v>10.160152463259706</v>
      </c>
      <c r="CL16" s="7" cm="1">
        <f t="array" ref="CL16">PRODUCT(1 + 預測IC!$C16:CL16) - 1</f>
        <v>12.882539482136332</v>
      </c>
      <c r="CM16" s="7" cm="1">
        <f t="array" ref="CM16">PRODUCT(1 + 預測IC!$C16:CM16) - 1</f>
        <v>11.313037341982051</v>
      </c>
      <c r="CN16" s="7" cm="1">
        <f t="array" ref="CN16">PRODUCT(1 + 預測IC!$C16:CN16) - 1</f>
        <v>11.431353906167606</v>
      </c>
      <c r="CO16" s="7" cm="1">
        <f t="array" ref="CO16">PRODUCT(1 + 預測IC!$C16:CO16) - 1</f>
        <v>14.036313268299972</v>
      </c>
      <c r="CP16" s="7" cm="1">
        <f t="array" ref="CP16">PRODUCT(1 + 預測IC!$C16:CP16) - 1</f>
        <v>13.574932432809693</v>
      </c>
      <c r="CQ16" s="7" cm="1">
        <f t="array" ref="CQ16">PRODUCT(1 + 預測IC!$C16:CQ16) - 1</f>
        <v>16.030076661733261</v>
      </c>
      <c r="CR16" s="7" cm="1">
        <f t="array" ref="CR16">PRODUCT(1 + 預測IC!$C16:CR16) - 1</f>
        <v>16.459722616207873</v>
      </c>
      <c r="CS16" s="7" cm="1">
        <f t="array" ref="CS16">PRODUCT(1 + 預測IC!$C16:CS16) - 1</f>
        <v>16.840466942859049</v>
      </c>
      <c r="CT16" s="7" cm="1">
        <f t="array" ref="CT16">PRODUCT(1 + 預測IC!$C16:CT16) - 1</f>
        <v>17.712928678843909</v>
      </c>
      <c r="CU16" s="7" cm="1">
        <f t="array" ref="CU16">PRODUCT(1 + 預測IC!$C16:CU16) - 1</f>
        <v>16.525880516057303</v>
      </c>
      <c r="CV16" s="7" cm="1">
        <f t="array" ref="CV16">PRODUCT(1 + 預測IC!$C16:CV16) - 1</f>
        <v>16.232303017944158</v>
      </c>
      <c r="CW16" s="7" cm="1">
        <f t="array" ref="CW16">PRODUCT(1 + 預測IC!$C16:CW16) - 1</f>
        <v>15.68650231701578</v>
      </c>
      <c r="CX16" s="7" cm="1">
        <f t="array" ref="CX16">PRODUCT(1 + 預測IC!$C16:CX16) - 1</f>
        <v>15.798081248236905</v>
      </c>
      <c r="CY16" s="7" cm="1">
        <f t="array" ref="CY16">PRODUCT(1 + 預測IC!$C16:CY16) - 1</f>
        <v>16.78168124073575</v>
      </c>
      <c r="CZ16" s="7" cm="1">
        <f t="array" ref="CZ16">PRODUCT(1 + 預測IC!$C16:CZ16) - 1</f>
        <v>18.606673140139119</v>
      </c>
      <c r="DA16" s="7" cm="1">
        <f t="array" ref="DA16">PRODUCT(1 + 預測IC!$C16:DA16) - 1</f>
        <v>18.022300286814342</v>
      </c>
      <c r="DB16" s="7" cm="1">
        <f t="array" ref="DB16">PRODUCT(1 + 預測IC!$C16:DB16) - 1</f>
        <v>17.209816567353485</v>
      </c>
      <c r="DC16" s="7" cm="1">
        <f t="array" ref="DC16">PRODUCT(1 + 預測IC!$C16:DC16) - 1</f>
        <v>18.370522266667301</v>
      </c>
      <c r="DD16" s="7" cm="1">
        <f t="array" ref="DD16">PRODUCT(1 + 預測IC!$C16:DD16) - 1</f>
        <v>16.929914927512616</v>
      </c>
      <c r="DE16" s="7" cm="1">
        <f t="array" ref="DE16">PRODUCT(1 + 預測IC!$C16:DE16) - 1</f>
        <v>15.919996097818398</v>
      </c>
      <c r="DF16" s="7" cm="1">
        <f t="array" ref="DF16">PRODUCT(1 + 預測IC!$C16:DF16) - 1</f>
        <v>15.528358537963523</v>
      </c>
      <c r="DG16" s="7" cm="1">
        <f t="array" ref="DG16">PRODUCT(1 + 預測IC!$C16:DG16) - 1</f>
        <v>15.76724203834635</v>
      </c>
      <c r="DH16" s="7" cm="1">
        <f t="array" ref="DH16">PRODUCT(1 + 預測IC!$C16:DH16) - 1</f>
        <v>18.066831732200011</v>
      </c>
      <c r="DI16" s="7" cm="1">
        <f t="array" ref="DI16">PRODUCT(1 + 預測IC!$C16:DI16) - 1</f>
        <v>18.978790814356948</v>
      </c>
      <c r="DJ16" s="7" cm="1">
        <f t="array" ref="DJ16">PRODUCT(1 + 預測IC!$C16:DJ16) - 1</f>
        <v>18.396580758235817</v>
      </c>
      <c r="DK16" s="7" cm="1">
        <f t="array" ref="DK16">PRODUCT(1 + 預測IC!$C16:DK16) - 1</f>
        <v>16.529570154964496</v>
      </c>
      <c r="DL16" s="7" cm="1">
        <f t="array" ref="DL16">PRODUCT(1 + 預測IC!$C16:DL16) - 1</f>
        <v>16.553515058509461</v>
      </c>
      <c r="DM16" s="7" cm="1">
        <f t="array" ref="DM16">PRODUCT(1 + 預測IC!$C16:DM16) - 1</f>
        <v>17.222918277337797</v>
      </c>
      <c r="DN16" s="7" cm="1">
        <f t="array" ref="DN16">PRODUCT(1 + 預測IC!$C16:DN16) - 1</f>
        <v>16.189540737085007</v>
      </c>
      <c r="DO16" s="7" cm="1">
        <f t="array" ref="DO16">PRODUCT(1 + 預測IC!$C16:DO16) - 1</f>
        <v>19.104731218663609</v>
      </c>
      <c r="DP16" s="7" cm="1">
        <f t="array" ref="DP16">PRODUCT(1 + 預測IC!$C16:DP16) - 1</f>
        <v>18.607810953210549</v>
      </c>
      <c r="DQ16" s="7" cm="1">
        <f t="array" ref="DQ16">PRODUCT(1 + 預測IC!$C16:DQ16) - 1</f>
        <v>17.283097050215908</v>
      </c>
      <c r="DR16" s="7" cm="1">
        <f t="array" ref="DR16">PRODUCT(1 + 預測IC!$C16:DR16) - 1</f>
        <v>17.078725526243804</v>
      </c>
      <c r="DS16" s="7" cm="1">
        <f t="array" ref="DS16">PRODUCT(1 + 預測IC!$C16:DS16) - 1</f>
        <v>15.383807675775465</v>
      </c>
      <c r="DT16" s="7" cm="1">
        <f t="array" ref="DT16">PRODUCT(1 + 預測IC!$C16:DT16) - 1</f>
        <v>15.909064229397178</v>
      </c>
      <c r="DU16" s="7" cm="1">
        <f t="array" ref="DU16">PRODUCT(1 + 預測IC!$C16:DU16) - 1</f>
        <v>13.833103809165836</v>
      </c>
      <c r="DV16" s="7" cm="1">
        <f t="array" ref="DV16">PRODUCT(1 + 預測IC!$C16:DV16) - 1</f>
        <v>14.502803381788688</v>
      </c>
      <c r="DW16" s="7" cm="1">
        <f t="array" ref="DW16">PRODUCT(1 + 預測IC!$C16:DW16) - 1</f>
        <v>13.397413594538881</v>
      </c>
      <c r="DX16" s="7" cm="1">
        <f t="array" ref="DX16">PRODUCT(1 + 預測IC!$C16:DX16) - 1</f>
        <v>11.593637860522238</v>
      </c>
      <c r="DY16" s="7" cm="1">
        <f t="array" ref="DY16">PRODUCT(1 + 預測IC!$C16:DY16) - 1</f>
        <v>13.058962217885021</v>
      </c>
      <c r="DZ16" s="7" cm="1">
        <f t="array" ref="DZ16">PRODUCT(1 + 預測IC!$C16:DZ16) - 1</f>
        <v>13.885780304708488</v>
      </c>
      <c r="EA16" s="7" cm="1">
        <f t="array" ref="EA16">PRODUCT(1 + 預測IC!$C16:EA16) - 1</f>
        <v>14.580371230403413</v>
      </c>
      <c r="EB16" s="7" cm="1">
        <f t="array" ref="EB16">PRODUCT(1 + 預測IC!$C16:EB16) - 1</f>
        <v>13.47610550519842</v>
      </c>
      <c r="EC16" s="7" cm="1">
        <f t="array" ref="EC16">PRODUCT(1 + 預測IC!$C16:EC16) - 1</f>
        <v>14.395802404763749</v>
      </c>
      <c r="ED16" s="7" cm="1">
        <f t="array" ref="ED16">PRODUCT(1 + 預測IC!$C16:ED16) - 1</f>
        <v>13.159751753384635</v>
      </c>
      <c r="EE16" s="7" cm="1">
        <f t="array" ref="EE16">PRODUCT(1 + 預測IC!$C16:EE16) - 1</f>
        <v>13.097495922500681</v>
      </c>
      <c r="EF16" s="7" cm="1">
        <f t="array" ref="EF16">PRODUCT(1 + 預測IC!$C16:EF16) - 1</f>
        <v>13.696278624371693</v>
      </c>
    </row>
    <row r="17" spans="1:136" x14ac:dyDescent="0.3">
      <c r="A17" s="1">
        <v>8</v>
      </c>
      <c r="B17" s="1" t="s">
        <v>175</v>
      </c>
      <c r="C17" s="7" cm="1">
        <f t="array" ref="C17">PRODUCT(1 + 預測IC!$C17:C17) - 1</f>
        <v>-0.20609218837920595</v>
      </c>
      <c r="D17" s="7" cm="1">
        <f t="array" ref="D17">PRODUCT(1 + 預測IC!$C17:D17) - 1</f>
        <v>0.14290054663845941</v>
      </c>
      <c r="E17" s="7" cm="1">
        <f t="array" ref="E17">PRODUCT(1 + 預測IC!$C17:E17) - 1</f>
        <v>0.15133401148108527</v>
      </c>
      <c r="F17" s="7" cm="1">
        <f t="array" ref="F17">PRODUCT(1 + 預測IC!$C17:F17) - 1</f>
        <v>0.32031739322586694</v>
      </c>
      <c r="G17" s="7" cm="1">
        <f t="array" ref="G17">PRODUCT(1 + 預測IC!$C17:G17) - 1</f>
        <v>0.47496812382179443</v>
      </c>
      <c r="H17" s="7" cm="1">
        <f t="array" ref="H17">PRODUCT(1 + 預測IC!$C17:H17) - 1</f>
        <v>0.62983100611354836</v>
      </c>
      <c r="I17" s="7" cm="1">
        <f t="array" ref="I17">PRODUCT(1 + 預測IC!$C17:I17) - 1</f>
        <v>0.81518358259667889</v>
      </c>
      <c r="J17" s="7" cm="1">
        <f t="array" ref="J17">PRODUCT(1 + 預測IC!$C17:J17) - 1</f>
        <v>0.60589459775927934</v>
      </c>
      <c r="K17" s="7" cm="1">
        <f t="array" ref="K17">PRODUCT(1 + 預測IC!$C17:K17) - 1</f>
        <v>0.66923909718862684</v>
      </c>
      <c r="L17" s="7" cm="1">
        <f t="array" ref="L17">PRODUCT(1 + 預測IC!$C17:L17) - 1</f>
        <v>0.72561919931840979</v>
      </c>
      <c r="M17" s="7" cm="1">
        <f t="array" ref="M17">PRODUCT(1 + 預測IC!$C17:M17) - 1</f>
        <v>0.33400607850122199</v>
      </c>
      <c r="N17" s="7" cm="1">
        <f t="array" ref="N17">PRODUCT(1 + 預測IC!$C17:N17) - 1</f>
        <v>0.87442262487599209</v>
      </c>
      <c r="O17" s="7" cm="1">
        <f t="array" ref="O17">PRODUCT(1 + 預測IC!$C17:O17) - 1</f>
        <v>1.0641643714431601</v>
      </c>
      <c r="P17" s="7" cm="1">
        <f t="array" ref="P17">PRODUCT(1 + 預測IC!$C17:P17) - 1</f>
        <v>1.2229308198018973</v>
      </c>
      <c r="Q17" s="7" cm="1">
        <f t="array" ref="Q17">PRODUCT(1 + 預測IC!$C17:Q17) - 1</f>
        <v>1.4595179099917286</v>
      </c>
      <c r="R17" s="7" cm="1">
        <f t="array" ref="R17">PRODUCT(1 + 預測IC!$C17:R17) - 1</f>
        <v>1.4643760758932691</v>
      </c>
      <c r="S17" s="7" cm="1">
        <f t="array" ref="S17">PRODUCT(1 + 預測IC!$C17:S17) - 1</f>
        <v>1.328510030649078</v>
      </c>
      <c r="T17" s="7" cm="1">
        <f t="array" ref="T17">PRODUCT(1 + 預測IC!$C17:T17) - 1</f>
        <v>1.273772374677546</v>
      </c>
      <c r="U17" s="7" cm="1">
        <f t="array" ref="U17">PRODUCT(1 + 預測IC!$C17:U17) - 1</f>
        <v>1.3926684640912423</v>
      </c>
      <c r="V17" s="7" cm="1">
        <f t="array" ref="V17">PRODUCT(1 + 預測IC!$C17:V17) - 1</f>
        <v>1.1142664096367914</v>
      </c>
      <c r="W17" s="7" cm="1">
        <f t="array" ref="W17">PRODUCT(1 + 預測IC!$C17:W17) - 1</f>
        <v>1.2815936581527474</v>
      </c>
      <c r="X17" s="7" cm="1">
        <f t="array" ref="X17">PRODUCT(1 + 預測IC!$C17:X17) - 1</f>
        <v>1.5101773251049471</v>
      </c>
      <c r="Y17" s="7" cm="1">
        <f t="array" ref="Y17">PRODUCT(1 + 預測IC!$C17:Y17) - 1</f>
        <v>1.5139438495111106</v>
      </c>
      <c r="Z17" s="7" cm="1">
        <f t="array" ref="Z17">PRODUCT(1 + 預測IC!$C17:Z17) - 1</f>
        <v>1.4596213194955912</v>
      </c>
      <c r="AA17" s="7" cm="1">
        <f t="array" ref="AA17">PRODUCT(1 + 預測IC!$C17:AA17) - 1</f>
        <v>1.3730185703842603</v>
      </c>
      <c r="AB17" s="7" cm="1">
        <f t="array" ref="AB17">PRODUCT(1 + 預測IC!$C17:AB17) - 1</f>
        <v>1.2345905237772645</v>
      </c>
      <c r="AC17" s="7" cm="1">
        <f t="array" ref="AC17">PRODUCT(1 + 預測IC!$C17:AC17) - 1</f>
        <v>1.1434214404447056</v>
      </c>
      <c r="AD17" s="7" cm="1">
        <f t="array" ref="AD17">PRODUCT(1 + 預測IC!$C17:AD17) - 1</f>
        <v>1.2905026408100886</v>
      </c>
      <c r="AE17" s="7" cm="1">
        <f t="array" ref="AE17">PRODUCT(1 + 預測IC!$C17:AE17) - 1</f>
        <v>1.4266581338420656</v>
      </c>
      <c r="AF17" s="7" cm="1">
        <f t="array" ref="AF17">PRODUCT(1 + 預測IC!$C17:AF17) - 1</f>
        <v>1.4470693456863053</v>
      </c>
      <c r="AG17" s="7" cm="1">
        <f t="array" ref="AG17">PRODUCT(1 + 預測IC!$C17:AG17) - 1</f>
        <v>1.3914205887096629</v>
      </c>
      <c r="AH17" s="7" cm="1">
        <f t="array" ref="AH17">PRODUCT(1 + 預測IC!$C17:AH17) - 1</f>
        <v>1.3065906368841591</v>
      </c>
      <c r="AI17" s="7" cm="1">
        <f t="array" ref="AI17">PRODUCT(1 + 預測IC!$C17:AI17) - 1</f>
        <v>1.3771439592404149</v>
      </c>
      <c r="AJ17" s="7" cm="1">
        <f t="array" ref="AJ17">PRODUCT(1 + 預測IC!$C17:AJ17) - 1</f>
        <v>1.2758713734545251</v>
      </c>
      <c r="AK17" s="7" cm="1">
        <f t="array" ref="AK17">PRODUCT(1 + 預測IC!$C17:AK17) - 1</f>
        <v>1.4436401328908071</v>
      </c>
      <c r="AL17" s="7" cm="1">
        <f t="array" ref="AL17">PRODUCT(1 + 預測IC!$C17:AL17) - 1</f>
        <v>1.5675923264950171</v>
      </c>
      <c r="AM17" s="7" cm="1">
        <f t="array" ref="AM17">PRODUCT(1 + 預測IC!$C17:AM17) - 1</f>
        <v>1.7611101363658674</v>
      </c>
      <c r="AN17" s="7" cm="1">
        <f t="array" ref="AN17">PRODUCT(1 + 預測IC!$C17:AN17) - 1</f>
        <v>2.0739083526726811</v>
      </c>
      <c r="AO17" s="7" cm="1">
        <f t="array" ref="AO17">PRODUCT(1 + 預測IC!$C17:AO17) - 1</f>
        <v>2.1127389915002337</v>
      </c>
      <c r="AP17" s="7" cm="1">
        <f t="array" ref="AP17">PRODUCT(1 + 預測IC!$C17:AP17) - 1</f>
        <v>1.8723022712431736</v>
      </c>
      <c r="AQ17" s="7" cm="1">
        <f t="array" ref="AQ17">PRODUCT(1 + 預測IC!$C17:AQ17) - 1</f>
        <v>1.698450037013</v>
      </c>
      <c r="AR17" s="7" cm="1">
        <f t="array" ref="AR17">PRODUCT(1 + 預測IC!$C17:AR17) - 1</f>
        <v>1.7928884513174048</v>
      </c>
      <c r="AS17" s="7" cm="1">
        <f t="array" ref="AS17">PRODUCT(1 + 預測IC!$C17:AS17) - 1</f>
        <v>1.9501938772605514</v>
      </c>
      <c r="AT17" s="7" cm="1">
        <f t="array" ref="AT17">PRODUCT(1 + 預測IC!$C17:AT17) - 1</f>
        <v>1.9544205668248109</v>
      </c>
      <c r="AU17" s="7" cm="1">
        <f t="array" ref="AU17">PRODUCT(1 + 預測IC!$C17:AU17) - 1</f>
        <v>2.1156004795861625</v>
      </c>
      <c r="AV17" s="7" cm="1">
        <f t="array" ref="AV17">PRODUCT(1 + 預測IC!$C17:AV17) - 1</f>
        <v>2.201475944081956</v>
      </c>
      <c r="AW17" s="7" cm="1">
        <f t="array" ref="AW17">PRODUCT(1 + 預測IC!$C17:AW17) - 1</f>
        <v>2.2284384160516479</v>
      </c>
      <c r="AX17" s="7" cm="1">
        <f t="array" ref="AX17">PRODUCT(1 + 預測IC!$C17:AX17) - 1</f>
        <v>2.5391451323237213</v>
      </c>
      <c r="AY17" s="7" cm="1">
        <f t="array" ref="AY17">PRODUCT(1 + 預測IC!$C17:AY17) - 1</f>
        <v>2.3734707362867802</v>
      </c>
      <c r="AZ17" s="7" cm="1">
        <f t="array" ref="AZ17">PRODUCT(1 + 預測IC!$C17:AZ17) - 1</f>
        <v>2.5353313256563701</v>
      </c>
      <c r="BA17" s="7" cm="1">
        <f t="array" ref="BA17">PRODUCT(1 + 預測IC!$C17:BA17) - 1</f>
        <v>3.1109059262744729</v>
      </c>
      <c r="BB17" s="7" cm="1">
        <f t="array" ref="BB17">PRODUCT(1 + 預測IC!$C17:BB17) - 1</f>
        <v>3.7409897571421844</v>
      </c>
      <c r="BC17" s="7" cm="1">
        <f t="array" ref="BC17">PRODUCT(1 + 預測IC!$C17:BC17) - 1</f>
        <v>3.4671279404806699</v>
      </c>
      <c r="BD17" s="7" cm="1">
        <f t="array" ref="BD17">PRODUCT(1 + 預測IC!$C17:BD17) - 1</f>
        <v>3.5538432557903716</v>
      </c>
      <c r="BE17" s="7" cm="1">
        <f t="array" ref="BE17">PRODUCT(1 + 預測IC!$C17:BE17) - 1</f>
        <v>3.4796275018506355</v>
      </c>
      <c r="BF17" s="7" cm="1">
        <f t="array" ref="BF17">PRODUCT(1 + 預測IC!$C17:BF17) - 1</f>
        <v>3.1328254735981487</v>
      </c>
      <c r="BG17" s="7" cm="1">
        <f t="array" ref="BG17">PRODUCT(1 + 預測IC!$C17:BG17) - 1</f>
        <v>3.0784651357205561</v>
      </c>
      <c r="BH17" s="7" cm="1">
        <f t="array" ref="BH17">PRODUCT(1 + 預測IC!$C17:BH17) - 1</f>
        <v>3.0233264859829427</v>
      </c>
      <c r="BI17" s="7" cm="1">
        <f t="array" ref="BI17">PRODUCT(1 + 預測IC!$C17:BI17) - 1</f>
        <v>3.2544650787795444</v>
      </c>
      <c r="BJ17" s="7" cm="1">
        <f t="array" ref="BJ17">PRODUCT(1 + 預測IC!$C17:BJ17) - 1</f>
        <v>3.6339271053691</v>
      </c>
      <c r="BK17" s="7" cm="1">
        <f t="array" ref="BK17">PRODUCT(1 + 預測IC!$C17:BK17) - 1</f>
        <v>4.1659751160400855</v>
      </c>
      <c r="BL17" s="7" cm="1">
        <f t="array" ref="BL17">PRODUCT(1 + 預測IC!$C17:BL17) - 1</f>
        <v>4.2051001715612903</v>
      </c>
      <c r="BM17" s="7" cm="1">
        <f t="array" ref="BM17">PRODUCT(1 + 預測IC!$C17:BM17) - 1</f>
        <v>3.799272430758041</v>
      </c>
      <c r="BN17" s="7" cm="1">
        <f t="array" ref="BN17">PRODUCT(1 + 預測IC!$C17:BN17) - 1</f>
        <v>4.1527713264537853</v>
      </c>
      <c r="BO17" s="7" cm="1">
        <f t="array" ref="BO17">PRODUCT(1 + 預測IC!$C17:BO17) - 1</f>
        <v>4.3143122465852768</v>
      </c>
      <c r="BP17" s="7" cm="1">
        <f t="array" ref="BP17">PRODUCT(1 + 預測IC!$C17:BP17) - 1</f>
        <v>4.6365622933188861</v>
      </c>
      <c r="BQ17" s="7" cm="1">
        <f t="array" ref="BQ17">PRODUCT(1 + 預測IC!$C17:BQ17) - 1</f>
        <v>4.7006867031309039</v>
      </c>
      <c r="BR17" s="7" cm="1">
        <f t="array" ref="BR17">PRODUCT(1 + 預測IC!$C17:BR17) - 1</f>
        <v>4.6456957407238297</v>
      </c>
      <c r="BS17" s="7" cm="1">
        <f t="array" ref="BS17">PRODUCT(1 + 預測IC!$C17:BS17) - 1</f>
        <v>4.6225288026438864</v>
      </c>
      <c r="BT17" s="7" cm="1">
        <f t="array" ref="BT17">PRODUCT(1 + 預測IC!$C17:BT17) - 1</f>
        <v>4.4333443529271666</v>
      </c>
      <c r="BU17" s="7" cm="1">
        <f t="array" ref="BU17">PRODUCT(1 + 預測IC!$C17:BU17) - 1</f>
        <v>3.86542784031663</v>
      </c>
      <c r="BV17" s="7" cm="1">
        <f t="array" ref="BV17">PRODUCT(1 + 預測IC!$C17:BV17) - 1</f>
        <v>4.3842961261705691</v>
      </c>
      <c r="BW17" s="7" cm="1">
        <f t="array" ref="BW17">PRODUCT(1 + 預測IC!$C17:BW17) - 1</f>
        <v>5.6077917755847606</v>
      </c>
      <c r="BX17" s="7" cm="1">
        <f t="array" ref="BX17">PRODUCT(1 + 預測IC!$C17:BX17) - 1</f>
        <v>5.6546792773404837</v>
      </c>
      <c r="BY17" s="7" cm="1">
        <f t="array" ref="BY17">PRODUCT(1 + 預測IC!$C17:BY17) - 1</f>
        <v>5.0167559194667293</v>
      </c>
      <c r="BZ17" s="7" cm="1">
        <f t="array" ref="BZ17">PRODUCT(1 + 預測IC!$C17:BZ17) - 1</f>
        <v>5.7422452526226309</v>
      </c>
      <c r="CA17" s="7" cm="1">
        <f t="array" ref="CA17">PRODUCT(1 + 預測IC!$C17:CA17) - 1</f>
        <v>5.9256126429812266</v>
      </c>
      <c r="CB17" s="7" cm="1">
        <f t="array" ref="CB17">PRODUCT(1 + 預測IC!$C17:CB17) - 1</f>
        <v>6.9619139317083061</v>
      </c>
      <c r="CC17" s="7" cm="1">
        <f t="array" ref="CC17">PRODUCT(1 + 預測IC!$C17:CC17) - 1</f>
        <v>7.2944054676745775</v>
      </c>
      <c r="CD17" s="7" cm="1">
        <f t="array" ref="CD17">PRODUCT(1 + 預測IC!$C17:CD17) - 1</f>
        <v>8.7290036909302628</v>
      </c>
      <c r="CE17" s="7" cm="1">
        <f t="array" ref="CE17">PRODUCT(1 + 預測IC!$C17:CE17) - 1</f>
        <v>9.6601478928347735</v>
      </c>
      <c r="CF17" s="7" cm="1">
        <f t="array" ref="CF17">PRODUCT(1 + 預測IC!$C17:CF17) - 1</f>
        <v>8.6461189250917911</v>
      </c>
      <c r="CG17" s="7" cm="1">
        <f t="array" ref="CG17">PRODUCT(1 + 預測IC!$C17:CG17) - 1</f>
        <v>10.353815801189766</v>
      </c>
      <c r="CH17" s="7" cm="1">
        <f t="array" ref="CH17">PRODUCT(1 + 預測IC!$C17:CH17) - 1</f>
        <v>11.01956321520251</v>
      </c>
      <c r="CI17" s="7" cm="1">
        <f t="array" ref="CI17">PRODUCT(1 + 預測IC!$C17:CI17) - 1</f>
        <v>10.028515199254906</v>
      </c>
      <c r="CJ17" s="7" cm="1">
        <f t="array" ref="CJ17">PRODUCT(1 + 預測IC!$C17:CJ17) - 1</f>
        <v>10.451149313466775</v>
      </c>
      <c r="CK17" s="7" cm="1">
        <f t="array" ref="CK17">PRODUCT(1 + 預測IC!$C17:CK17) - 1</f>
        <v>11.318493278560224</v>
      </c>
      <c r="CL17" s="7" cm="1">
        <f t="array" ref="CL17">PRODUCT(1 + 預測IC!$C17:CL17) - 1</f>
        <v>14.856107066786516</v>
      </c>
      <c r="CM17" s="7" cm="1">
        <f t="array" ref="CM17">PRODUCT(1 + 預測IC!$C17:CM17) - 1</f>
        <v>13.341946026897361</v>
      </c>
      <c r="CN17" s="7" cm="1">
        <f t="array" ref="CN17">PRODUCT(1 + 預測IC!$C17:CN17) - 1</f>
        <v>13.537435696516507</v>
      </c>
      <c r="CO17" s="7" cm="1">
        <f t="array" ref="CO17">PRODUCT(1 + 預測IC!$C17:CO17) - 1</f>
        <v>16.417017063403296</v>
      </c>
      <c r="CP17" s="7" cm="1">
        <f t="array" ref="CP17">PRODUCT(1 + 預測IC!$C17:CP17) - 1</f>
        <v>16.040643529511424</v>
      </c>
      <c r="CQ17" s="7" cm="1">
        <f t="array" ref="CQ17">PRODUCT(1 + 預測IC!$C17:CQ17) - 1</f>
        <v>18.990875801218102</v>
      </c>
      <c r="CR17" s="7" cm="1">
        <f t="array" ref="CR17">PRODUCT(1 + 預測IC!$C17:CR17) - 1</f>
        <v>19.450782482216219</v>
      </c>
      <c r="CS17" s="7" cm="1">
        <f t="array" ref="CS17">PRODUCT(1 + 預測IC!$C17:CS17) - 1</f>
        <v>19.686897312789704</v>
      </c>
      <c r="CT17" s="7" cm="1">
        <f t="array" ref="CT17">PRODUCT(1 + 預測IC!$C17:CT17) - 1</f>
        <v>20.900262380113237</v>
      </c>
      <c r="CU17" s="7" cm="1">
        <f t="array" ref="CU17">PRODUCT(1 + 預測IC!$C17:CU17) - 1</f>
        <v>19.270700920779806</v>
      </c>
      <c r="CV17" s="7" cm="1">
        <f t="array" ref="CV17">PRODUCT(1 + 預測IC!$C17:CV17) - 1</f>
        <v>19.34934329301996</v>
      </c>
      <c r="CW17" s="7" cm="1">
        <f t="array" ref="CW17">PRODUCT(1 + 預測IC!$C17:CW17) - 1</f>
        <v>18.878137057642725</v>
      </c>
      <c r="CX17" s="7" cm="1">
        <f t="array" ref="CX17">PRODUCT(1 + 預測IC!$C17:CX17) - 1</f>
        <v>19.374940388356258</v>
      </c>
      <c r="CY17" s="7" cm="1">
        <f t="array" ref="CY17">PRODUCT(1 + 預測IC!$C17:CY17) - 1</f>
        <v>20.587207610729436</v>
      </c>
      <c r="CZ17" s="7" cm="1">
        <f t="array" ref="CZ17">PRODUCT(1 + 預測IC!$C17:CZ17) - 1</f>
        <v>23.269393068737877</v>
      </c>
      <c r="DA17" s="7" cm="1">
        <f t="array" ref="DA17">PRODUCT(1 + 預測IC!$C17:DA17) - 1</f>
        <v>22.204067209054664</v>
      </c>
      <c r="DB17" s="7" cm="1">
        <f t="array" ref="DB17">PRODUCT(1 + 預測IC!$C17:DB17) - 1</f>
        <v>21.39463948217206</v>
      </c>
      <c r="DC17" s="7" cm="1">
        <f t="array" ref="DC17">PRODUCT(1 + 預測IC!$C17:DC17) - 1</f>
        <v>22.601449024516505</v>
      </c>
      <c r="DD17" s="7" cm="1">
        <f t="array" ref="DD17">PRODUCT(1 + 預測IC!$C17:DD17) - 1</f>
        <v>21.465497373723686</v>
      </c>
      <c r="DE17" s="7" cm="1">
        <f t="array" ref="DE17">PRODUCT(1 + 預測IC!$C17:DE17) - 1</f>
        <v>20.304789076480347</v>
      </c>
      <c r="DF17" s="7" cm="1">
        <f t="array" ref="DF17">PRODUCT(1 + 預測IC!$C17:DF17) - 1</f>
        <v>20.065507100631031</v>
      </c>
      <c r="DG17" s="7" cm="1">
        <f t="array" ref="DG17">PRODUCT(1 + 預測IC!$C17:DG17) - 1</f>
        <v>20.026761694097548</v>
      </c>
      <c r="DH17" s="7" cm="1">
        <f t="array" ref="DH17">PRODUCT(1 + 預測IC!$C17:DH17) - 1</f>
        <v>23.463203231419165</v>
      </c>
      <c r="DI17" s="7" cm="1">
        <f t="array" ref="DI17">PRODUCT(1 + 預測IC!$C17:DI17) - 1</f>
        <v>25.180089302986122</v>
      </c>
      <c r="DJ17" s="7" cm="1">
        <f t="array" ref="DJ17">PRODUCT(1 + 預測IC!$C17:DJ17) - 1</f>
        <v>23.993184649913207</v>
      </c>
      <c r="DK17" s="7" cm="1">
        <f t="array" ref="DK17">PRODUCT(1 + 預測IC!$C17:DK17) - 1</f>
        <v>21.42435342153443</v>
      </c>
      <c r="DL17" s="7" cm="1">
        <f t="array" ref="DL17">PRODUCT(1 + 預測IC!$C17:DL17) - 1</f>
        <v>21.294508662104612</v>
      </c>
      <c r="DM17" s="7" cm="1">
        <f t="array" ref="DM17">PRODUCT(1 + 預測IC!$C17:DM17) - 1</f>
        <v>22.243443405219203</v>
      </c>
      <c r="DN17" s="7" cm="1">
        <f t="array" ref="DN17">PRODUCT(1 + 預測IC!$C17:DN17) - 1</f>
        <v>20.834212426275911</v>
      </c>
      <c r="DO17" s="7" cm="1">
        <f t="array" ref="DO17">PRODUCT(1 + 預測IC!$C17:DO17) - 1</f>
        <v>24.759194341084495</v>
      </c>
      <c r="DP17" s="7" cm="1">
        <f t="array" ref="DP17">PRODUCT(1 + 預測IC!$C17:DP17) - 1</f>
        <v>24.112704764045247</v>
      </c>
      <c r="DQ17" s="7" cm="1">
        <f t="array" ref="DQ17">PRODUCT(1 + 預測IC!$C17:DQ17) - 1</f>
        <v>22.474242711839491</v>
      </c>
      <c r="DR17" s="7" cm="1">
        <f t="array" ref="DR17">PRODUCT(1 + 預測IC!$C17:DR17) - 1</f>
        <v>21.870334027696739</v>
      </c>
      <c r="DS17" s="7" cm="1">
        <f t="array" ref="DS17">PRODUCT(1 + 預測IC!$C17:DS17) - 1</f>
        <v>19.027181927920186</v>
      </c>
      <c r="DT17" s="7" cm="1">
        <f t="array" ref="DT17">PRODUCT(1 + 預測IC!$C17:DT17) - 1</f>
        <v>19.362500838485577</v>
      </c>
      <c r="DU17" s="7" cm="1">
        <f t="array" ref="DU17">PRODUCT(1 + 預測IC!$C17:DU17) - 1</f>
        <v>16.725700406841813</v>
      </c>
      <c r="DV17" s="7" cm="1">
        <f t="array" ref="DV17">PRODUCT(1 + 預測IC!$C17:DV17) - 1</f>
        <v>17.82947607533271</v>
      </c>
      <c r="DW17" s="7" cm="1">
        <f t="array" ref="DW17">PRODUCT(1 + 預測IC!$C17:DW17) - 1</f>
        <v>16.387158674924926</v>
      </c>
      <c r="DX17" s="7" cm="1">
        <f t="array" ref="DX17">PRODUCT(1 + 預測IC!$C17:DX17) - 1</f>
        <v>14.134843829931693</v>
      </c>
      <c r="DY17" s="7" cm="1">
        <f t="array" ref="DY17">PRODUCT(1 + 預測IC!$C17:DY17) - 1</f>
        <v>15.832041830751475</v>
      </c>
      <c r="DZ17" s="7" cm="1">
        <f t="array" ref="DZ17">PRODUCT(1 + 預測IC!$C17:DZ17) - 1</f>
        <v>16.660390863538947</v>
      </c>
      <c r="EA17" s="7" cm="1">
        <f t="array" ref="EA17">PRODUCT(1 + 預測IC!$C17:EA17) - 1</f>
        <v>16.869100018202975</v>
      </c>
      <c r="EB17" s="7" cm="1">
        <f t="array" ref="EB17">PRODUCT(1 + 預測IC!$C17:EB17) - 1</f>
        <v>15.550700490878231</v>
      </c>
      <c r="EC17" s="7" cm="1">
        <f t="array" ref="EC17">PRODUCT(1 + 預測IC!$C17:EC17) - 1</f>
        <v>15.822549341518869</v>
      </c>
      <c r="ED17" s="7" cm="1">
        <f t="array" ref="ED17">PRODUCT(1 + 預測IC!$C17:ED17) - 1</f>
        <v>14.428706545413988</v>
      </c>
      <c r="EE17" s="7" cm="1">
        <f t="array" ref="EE17">PRODUCT(1 + 預測IC!$C17:EE17) - 1</f>
        <v>14.43169232638718</v>
      </c>
      <c r="EF17" s="7" cm="1">
        <f t="array" ref="EF17">PRODUCT(1 + 預測IC!$C17:EF17) - 1</f>
        <v>15.167934771846831</v>
      </c>
    </row>
    <row r="18" spans="1:136" x14ac:dyDescent="0.3">
      <c r="A18" s="1">
        <v>7</v>
      </c>
      <c r="B18" s="1" t="s">
        <v>176</v>
      </c>
      <c r="C18" s="7" cm="1">
        <f t="array" ref="C18">PRODUCT(1 + 預測IC!$C18:C18) - 1</f>
        <v>-0.18975112249235826</v>
      </c>
      <c r="D18" s="7" cm="1">
        <f t="array" ref="D18">PRODUCT(1 + 預測IC!$C18:D18) - 1</f>
        <v>0.13587467926851082</v>
      </c>
      <c r="E18" s="7" cm="1">
        <f t="array" ref="E18">PRODUCT(1 + 預測IC!$C18:E18) - 1</f>
        <v>6.8857326810452646E-2</v>
      </c>
      <c r="F18" s="7" cm="1">
        <f t="array" ref="F18">PRODUCT(1 + 預測IC!$C18:F18) - 1</f>
        <v>0.29555197324872617</v>
      </c>
      <c r="G18" s="7" cm="1">
        <f t="array" ref="G18">PRODUCT(1 + 預測IC!$C18:G18) - 1</f>
        <v>0.46793560196578987</v>
      </c>
      <c r="H18" s="7" cm="1">
        <f t="array" ref="H18">PRODUCT(1 + 預測IC!$C18:H18) - 1</f>
        <v>0.65662340095576388</v>
      </c>
      <c r="I18" s="7" cm="1">
        <f t="array" ref="I18">PRODUCT(1 + 預測IC!$C18:I18) - 1</f>
        <v>0.88109617034730858</v>
      </c>
      <c r="J18" s="7" cm="1">
        <f t="array" ref="J18">PRODUCT(1 + 預測IC!$C18:J18) - 1</f>
        <v>0.64565480069465031</v>
      </c>
      <c r="K18" s="7" cm="1">
        <f t="array" ref="K18">PRODUCT(1 + 預測IC!$C18:K18) - 1</f>
        <v>0.69763519428570864</v>
      </c>
      <c r="L18" s="7" cm="1">
        <f t="array" ref="L18">PRODUCT(1 + 預測IC!$C18:L18) - 1</f>
        <v>0.77686844694908985</v>
      </c>
      <c r="M18" s="7" cm="1">
        <f t="array" ref="M18">PRODUCT(1 + 預測IC!$C18:M18) - 1</f>
        <v>0.32640885162271061</v>
      </c>
      <c r="N18" s="7" cm="1">
        <f t="array" ref="N18">PRODUCT(1 + 預測IC!$C18:N18) - 1</f>
        <v>0.938971011448132</v>
      </c>
      <c r="O18" s="7" cm="1">
        <f t="array" ref="O18">PRODUCT(1 + 預測IC!$C18:O18) - 1</f>
        <v>1.1399850855825977</v>
      </c>
      <c r="P18" s="7" cm="1">
        <f t="array" ref="P18">PRODUCT(1 + 預測IC!$C18:P18) - 1</f>
        <v>1.256763243766116</v>
      </c>
      <c r="Q18" s="7" cm="1">
        <f t="array" ref="Q18">PRODUCT(1 + 預測IC!$C18:Q18) - 1</f>
        <v>1.5314934127683153</v>
      </c>
      <c r="R18" s="7" cm="1">
        <f t="array" ref="R18">PRODUCT(1 + 預測IC!$C18:R18) - 1</f>
        <v>1.580417558045502</v>
      </c>
      <c r="S18" s="7" cm="1">
        <f t="array" ref="S18">PRODUCT(1 + 預測IC!$C18:S18) - 1</f>
        <v>1.4023343227542053</v>
      </c>
      <c r="T18" s="7" cm="1">
        <f t="array" ref="T18">PRODUCT(1 + 預測IC!$C18:T18) - 1</f>
        <v>1.3902550490363521</v>
      </c>
      <c r="U18" s="7" cm="1">
        <f t="array" ref="U18">PRODUCT(1 + 預測IC!$C18:U18) - 1</f>
        <v>1.4575061360174542</v>
      </c>
      <c r="V18" s="7" cm="1">
        <f t="array" ref="V18">PRODUCT(1 + 預測IC!$C18:V18) - 1</f>
        <v>1.1349488051873911</v>
      </c>
      <c r="W18" s="7" cm="1">
        <f t="array" ref="W18">PRODUCT(1 + 預測IC!$C18:W18) - 1</f>
        <v>1.29997240594636</v>
      </c>
      <c r="X18" s="7" cm="1">
        <f t="array" ref="X18">PRODUCT(1 + 預測IC!$C18:X18) - 1</f>
        <v>1.5923513579513875</v>
      </c>
      <c r="Y18" s="7" cm="1">
        <f t="array" ref="Y18">PRODUCT(1 + 預測IC!$C18:Y18) - 1</f>
        <v>1.6551220552770092</v>
      </c>
      <c r="Z18" s="7" cm="1">
        <f t="array" ref="Z18">PRODUCT(1 + 預測IC!$C18:Z18) - 1</f>
        <v>1.6102353153676328</v>
      </c>
      <c r="AA18" s="7" cm="1">
        <f t="array" ref="AA18">PRODUCT(1 + 預測IC!$C18:AA18) - 1</f>
        <v>1.5013748115556202</v>
      </c>
      <c r="AB18" s="7" cm="1">
        <f t="array" ref="AB18">PRODUCT(1 + 預測IC!$C18:AB18) - 1</f>
        <v>1.3470053399562634</v>
      </c>
      <c r="AC18" s="7" cm="1">
        <f t="array" ref="AC18">PRODUCT(1 + 預測IC!$C18:AC18) - 1</f>
        <v>1.1716375154845355</v>
      </c>
      <c r="AD18" s="7" cm="1">
        <f t="array" ref="AD18">PRODUCT(1 + 預測IC!$C18:AD18) - 1</f>
        <v>1.3807354690993283</v>
      </c>
      <c r="AE18" s="7" cm="1">
        <f t="array" ref="AE18">PRODUCT(1 + 預測IC!$C18:AE18) - 1</f>
        <v>1.5645320365373165</v>
      </c>
      <c r="AF18" s="7" cm="1">
        <f t="array" ref="AF18">PRODUCT(1 + 預測IC!$C18:AF18) - 1</f>
        <v>1.560040279323597</v>
      </c>
      <c r="AG18" s="7" cm="1">
        <f t="array" ref="AG18">PRODUCT(1 + 預測IC!$C18:AG18) - 1</f>
        <v>1.4768565933122964</v>
      </c>
      <c r="AH18" s="7" cm="1">
        <f t="array" ref="AH18">PRODUCT(1 + 預測IC!$C18:AH18) - 1</f>
        <v>1.377293247078017</v>
      </c>
      <c r="AI18" s="7" cm="1">
        <f t="array" ref="AI18">PRODUCT(1 + 預測IC!$C18:AI18) - 1</f>
        <v>1.4886826091264855</v>
      </c>
      <c r="AJ18" s="7" cm="1">
        <f t="array" ref="AJ18">PRODUCT(1 + 預測IC!$C18:AJ18) - 1</f>
        <v>1.3707345923738625</v>
      </c>
      <c r="AK18" s="7" cm="1">
        <f t="array" ref="AK18">PRODUCT(1 + 預測IC!$C18:AK18) - 1</f>
        <v>1.4422181211725364</v>
      </c>
      <c r="AL18" s="7" cm="1">
        <f t="array" ref="AL18">PRODUCT(1 + 預測IC!$C18:AL18) - 1</f>
        <v>1.5582912867740415</v>
      </c>
      <c r="AM18" s="7" cm="1">
        <f t="array" ref="AM18">PRODUCT(1 + 預測IC!$C18:AM18) - 1</f>
        <v>1.7287845301931832</v>
      </c>
      <c r="AN18" s="7" cm="1">
        <f t="array" ref="AN18">PRODUCT(1 + 預測IC!$C18:AN18) - 1</f>
        <v>1.9451625170301758</v>
      </c>
      <c r="AO18" s="7" cm="1">
        <f t="array" ref="AO18">PRODUCT(1 + 預測IC!$C18:AO18) - 1</f>
        <v>1.9611474895768954</v>
      </c>
      <c r="AP18" s="7" cm="1">
        <f t="array" ref="AP18">PRODUCT(1 + 預測IC!$C18:AP18) - 1</f>
        <v>1.7293530335844887</v>
      </c>
      <c r="AQ18" s="7" cm="1">
        <f t="array" ref="AQ18">PRODUCT(1 + 預測IC!$C18:AQ18) - 1</f>
        <v>1.5212921446400327</v>
      </c>
      <c r="AR18" s="7" cm="1">
        <f t="array" ref="AR18">PRODUCT(1 + 預測IC!$C18:AR18) - 1</f>
        <v>1.6768420623619922</v>
      </c>
      <c r="AS18" s="7" cm="1">
        <f t="array" ref="AS18">PRODUCT(1 + 預測IC!$C18:AS18) - 1</f>
        <v>1.9065861856291368</v>
      </c>
      <c r="AT18" s="7" cm="1">
        <f t="array" ref="AT18">PRODUCT(1 + 預測IC!$C18:AT18) - 1</f>
        <v>1.9927790386662232</v>
      </c>
      <c r="AU18" s="7" cm="1">
        <f t="array" ref="AU18">PRODUCT(1 + 預測IC!$C18:AU18) - 1</f>
        <v>2.186039672675995</v>
      </c>
      <c r="AV18" s="7" cm="1">
        <f t="array" ref="AV18">PRODUCT(1 + 預測IC!$C18:AV18) - 1</f>
        <v>2.2977348561250173</v>
      </c>
      <c r="AW18" s="7" cm="1">
        <f t="array" ref="AW18">PRODUCT(1 + 預測IC!$C18:AW18) - 1</f>
        <v>2.3786547869427066</v>
      </c>
      <c r="AX18" s="7" cm="1">
        <f t="array" ref="AX18">PRODUCT(1 + 預測IC!$C18:AX18) - 1</f>
        <v>2.7420658293630007</v>
      </c>
      <c r="AY18" s="7" cm="1">
        <f t="array" ref="AY18">PRODUCT(1 + 預測IC!$C18:AY18) - 1</f>
        <v>2.5819892045491133</v>
      </c>
      <c r="AZ18" s="7" cm="1">
        <f t="array" ref="AZ18">PRODUCT(1 + 預測IC!$C18:AZ18) - 1</f>
        <v>2.819622938056574</v>
      </c>
      <c r="BA18" s="7" cm="1">
        <f t="array" ref="BA18">PRODUCT(1 + 預測IC!$C18:BA18) - 1</f>
        <v>3.5089875870434257</v>
      </c>
      <c r="BB18" s="7" cm="1">
        <f t="array" ref="BB18">PRODUCT(1 + 預測IC!$C18:BB18) - 1</f>
        <v>4.263151916206799</v>
      </c>
      <c r="BC18" s="7" cm="1">
        <f t="array" ref="BC18">PRODUCT(1 + 預測IC!$C18:BC18) - 1</f>
        <v>3.9870824044453652</v>
      </c>
      <c r="BD18" s="7" cm="1">
        <f t="array" ref="BD18">PRODUCT(1 + 預測IC!$C18:BD18) - 1</f>
        <v>4.0881961966765976</v>
      </c>
      <c r="BE18" s="7" cm="1">
        <f t="array" ref="BE18">PRODUCT(1 + 預測IC!$C18:BE18) - 1</f>
        <v>3.9750828411930827</v>
      </c>
      <c r="BF18" s="7" cm="1">
        <f t="array" ref="BF18">PRODUCT(1 + 預測IC!$C18:BF18) - 1</f>
        <v>3.7853175047053211</v>
      </c>
      <c r="BG18" s="7" cm="1">
        <f t="array" ref="BG18">PRODUCT(1 + 預測IC!$C18:BG18) - 1</f>
        <v>3.7742718583129644</v>
      </c>
      <c r="BH18" s="7" cm="1">
        <f t="array" ref="BH18">PRODUCT(1 + 預測IC!$C18:BH18) - 1</f>
        <v>3.676380889643454</v>
      </c>
      <c r="BI18" s="7" cm="1">
        <f t="array" ref="BI18">PRODUCT(1 + 預測IC!$C18:BI18) - 1</f>
        <v>3.8329815669430412</v>
      </c>
      <c r="BJ18" s="7" cm="1">
        <f t="array" ref="BJ18">PRODUCT(1 + 預測IC!$C18:BJ18) - 1</f>
        <v>4.3140155649199983</v>
      </c>
      <c r="BK18" s="7" cm="1">
        <f t="array" ref="BK18">PRODUCT(1 + 預測IC!$C18:BK18) - 1</f>
        <v>4.7043599091937196</v>
      </c>
      <c r="BL18" s="7" cm="1">
        <f t="array" ref="BL18">PRODUCT(1 + 預測IC!$C18:BL18) - 1</f>
        <v>4.8546856479716194</v>
      </c>
      <c r="BM18" s="7" cm="1">
        <f t="array" ref="BM18">PRODUCT(1 + 預測IC!$C18:BM18) - 1</f>
        <v>4.4461320260583399</v>
      </c>
      <c r="BN18" s="7" cm="1">
        <f t="array" ref="BN18">PRODUCT(1 + 預測IC!$C18:BN18) - 1</f>
        <v>4.8720669290256771</v>
      </c>
      <c r="BO18" s="7" cm="1">
        <f t="array" ref="BO18">PRODUCT(1 + 預測IC!$C18:BO18) - 1</f>
        <v>4.9214318176879024</v>
      </c>
      <c r="BP18" s="7" cm="1">
        <f t="array" ref="BP18">PRODUCT(1 + 預測IC!$C18:BP18) - 1</f>
        <v>5.291304771590533</v>
      </c>
      <c r="BQ18" s="7" cm="1">
        <f t="array" ref="BQ18">PRODUCT(1 + 預測IC!$C18:BQ18) - 1</f>
        <v>5.3033638446069356</v>
      </c>
      <c r="BR18" s="7" cm="1">
        <f t="array" ref="BR18">PRODUCT(1 + 預測IC!$C18:BR18) - 1</f>
        <v>5.2671308889980342</v>
      </c>
      <c r="BS18" s="7" cm="1">
        <f t="array" ref="BS18">PRODUCT(1 + 預測IC!$C18:BS18) - 1</f>
        <v>5.2421649891016902</v>
      </c>
      <c r="BT18" s="7" cm="1">
        <f t="array" ref="BT18">PRODUCT(1 + 預測IC!$C18:BT18) - 1</f>
        <v>5.1591494957324855</v>
      </c>
      <c r="BU18" s="7" cm="1">
        <f t="array" ref="BU18">PRODUCT(1 + 預測IC!$C18:BU18) - 1</f>
        <v>4.4726411737933498</v>
      </c>
      <c r="BV18" s="7" cm="1">
        <f t="array" ref="BV18">PRODUCT(1 + 預測IC!$C18:BV18) - 1</f>
        <v>5.1047614313005258</v>
      </c>
      <c r="BW18" s="7" cm="1">
        <f t="array" ref="BW18">PRODUCT(1 + 預測IC!$C18:BW18) - 1</f>
        <v>6.6983479298165216</v>
      </c>
      <c r="BX18" s="7" cm="1">
        <f t="array" ref="BX18">PRODUCT(1 + 預測IC!$C18:BX18) - 1</f>
        <v>6.5766222378420141</v>
      </c>
      <c r="BY18" s="7" cm="1">
        <f t="array" ref="BY18">PRODUCT(1 + 預測IC!$C18:BY18) - 1</f>
        <v>6.1016684558235808</v>
      </c>
      <c r="BZ18" s="7" cm="1">
        <f t="array" ref="BZ18">PRODUCT(1 + 預測IC!$C18:BZ18) - 1</f>
        <v>7.1904961768485478</v>
      </c>
      <c r="CA18" s="7" cm="1">
        <f t="array" ref="CA18">PRODUCT(1 + 預測IC!$C18:CA18) - 1</f>
        <v>7.4631263832082819</v>
      </c>
      <c r="CB18" s="7" cm="1">
        <f t="array" ref="CB18">PRODUCT(1 + 預測IC!$C18:CB18) - 1</f>
        <v>8.3673780965144253</v>
      </c>
      <c r="CC18" s="7" cm="1">
        <f t="array" ref="CC18">PRODUCT(1 + 預測IC!$C18:CC18) - 1</f>
        <v>9.3477737318561864</v>
      </c>
      <c r="CD18" s="7" cm="1">
        <f t="array" ref="CD18">PRODUCT(1 + 預測IC!$C18:CD18) - 1</f>
        <v>11.35231153926861</v>
      </c>
      <c r="CE18" s="7" cm="1">
        <f t="array" ref="CE18">PRODUCT(1 + 預測IC!$C18:CE18) - 1</f>
        <v>12.30665600645133</v>
      </c>
      <c r="CF18" s="7" cm="1">
        <f t="array" ref="CF18">PRODUCT(1 + 預測IC!$C18:CF18) - 1</f>
        <v>10.951258448260399</v>
      </c>
      <c r="CG18" s="7" cm="1">
        <f t="array" ref="CG18">PRODUCT(1 + 預測IC!$C18:CG18) - 1</f>
        <v>13.659908465267749</v>
      </c>
      <c r="CH18" s="7" cm="1">
        <f t="array" ref="CH18">PRODUCT(1 + 預測IC!$C18:CH18) - 1</f>
        <v>16.04444588093337</v>
      </c>
      <c r="CI18" s="7" cm="1">
        <f t="array" ref="CI18">PRODUCT(1 + 預測IC!$C18:CI18) - 1</f>
        <v>14.037881502531862</v>
      </c>
      <c r="CJ18" s="7" cm="1">
        <f t="array" ref="CJ18">PRODUCT(1 + 預測IC!$C18:CJ18) - 1</f>
        <v>14.469243233802388</v>
      </c>
      <c r="CK18" s="7" cm="1">
        <f t="array" ref="CK18">PRODUCT(1 + 預測IC!$C18:CK18) - 1</f>
        <v>15.601901751026865</v>
      </c>
      <c r="CL18" s="7" cm="1">
        <f t="array" ref="CL18">PRODUCT(1 + 預測IC!$C18:CL18) - 1</f>
        <v>20.866507787103576</v>
      </c>
      <c r="CM18" s="7" cm="1">
        <f t="array" ref="CM18">PRODUCT(1 + 預測IC!$C18:CM18) - 1</f>
        <v>18.619295274163377</v>
      </c>
      <c r="CN18" s="7" cm="1">
        <f t="array" ref="CN18">PRODUCT(1 + 預測IC!$C18:CN18) - 1</f>
        <v>18.057838330539276</v>
      </c>
      <c r="CO18" s="7" cm="1">
        <f t="array" ref="CO18">PRODUCT(1 + 預測IC!$C18:CO18) - 1</f>
        <v>22.408401416912103</v>
      </c>
      <c r="CP18" s="7" cm="1">
        <f t="array" ref="CP18">PRODUCT(1 + 預測IC!$C18:CP18) - 1</f>
        <v>22.045625690403519</v>
      </c>
      <c r="CQ18" s="7" cm="1">
        <f t="array" ref="CQ18">PRODUCT(1 + 預測IC!$C18:CQ18) - 1</f>
        <v>26.879243048519395</v>
      </c>
      <c r="CR18" s="7" cm="1">
        <f t="array" ref="CR18">PRODUCT(1 + 預測IC!$C18:CR18) - 1</f>
        <v>27.819980773797631</v>
      </c>
      <c r="CS18" s="7" cm="1">
        <f t="array" ref="CS18">PRODUCT(1 + 預測IC!$C18:CS18) - 1</f>
        <v>28.630645344126272</v>
      </c>
      <c r="CT18" s="7" cm="1">
        <f t="array" ref="CT18">PRODUCT(1 + 預測IC!$C18:CT18) - 1</f>
        <v>30.908359771136571</v>
      </c>
      <c r="CU18" s="7" cm="1">
        <f t="array" ref="CU18">PRODUCT(1 + 預測IC!$C18:CU18) - 1</f>
        <v>28.622167555032853</v>
      </c>
      <c r="CV18" s="7" cm="1">
        <f t="array" ref="CV18">PRODUCT(1 + 預測IC!$C18:CV18) - 1</f>
        <v>31.318978049515948</v>
      </c>
      <c r="CW18" s="7" cm="1">
        <f t="array" ref="CW18">PRODUCT(1 + 預測IC!$C18:CW18) - 1</f>
        <v>30.403437746770425</v>
      </c>
      <c r="CX18" s="7" cm="1">
        <f t="array" ref="CX18">PRODUCT(1 + 預測IC!$C18:CX18) - 1</f>
        <v>29.961316673580537</v>
      </c>
      <c r="CY18" s="7" cm="1">
        <f t="array" ref="CY18">PRODUCT(1 + 預測IC!$C18:CY18) - 1</f>
        <v>32.172959654739081</v>
      </c>
      <c r="CZ18" s="7" cm="1">
        <f t="array" ref="CZ18">PRODUCT(1 + 預測IC!$C18:CZ18) - 1</f>
        <v>36.57975059946876</v>
      </c>
      <c r="DA18" s="7" cm="1">
        <f t="array" ref="DA18">PRODUCT(1 + 預測IC!$C18:DA18) - 1</f>
        <v>34.799186709187744</v>
      </c>
      <c r="DB18" s="7" cm="1">
        <f t="array" ref="DB18">PRODUCT(1 + 預測IC!$C18:DB18) - 1</f>
        <v>33.161903434513171</v>
      </c>
      <c r="DC18" s="7" cm="1">
        <f t="array" ref="DC18">PRODUCT(1 + 預測IC!$C18:DC18) - 1</f>
        <v>34.842972011577459</v>
      </c>
      <c r="DD18" s="7" cm="1">
        <f t="array" ref="DD18">PRODUCT(1 + 預測IC!$C18:DD18) - 1</f>
        <v>32.295565398164243</v>
      </c>
      <c r="DE18" s="7" cm="1">
        <f t="array" ref="DE18">PRODUCT(1 + 預測IC!$C18:DE18) - 1</f>
        <v>30.986814110342941</v>
      </c>
      <c r="DF18" s="7" cm="1">
        <f t="array" ref="DF18">PRODUCT(1 + 預測IC!$C18:DF18) - 1</f>
        <v>29.865907259521393</v>
      </c>
      <c r="DG18" s="7" cm="1">
        <f t="array" ref="DG18">PRODUCT(1 + 預測IC!$C18:DG18) - 1</f>
        <v>29.630725307671643</v>
      </c>
      <c r="DH18" s="7" cm="1">
        <f t="array" ref="DH18">PRODUCT(1 + 預測IC!$C18:DH18) - 1</f>
        <v>35.524119187278508</v>
      </c>
      <c r="DI18" s="7" cm="1">
        <f t="array" ref="DI18">PRODUCT(1 + 預測IC!$C18:DI18) - 1</f>
        <v>39.102136131278435</v>
      </c>
      <c r="DJ18" s="7" cm="1">
        <f t="array" ref="DJ18">PRODUCT(1 + 預測IC!$C18:DJ18) - 1</f>
        <v>37.289357574125027</v>
      </c>
      <c r="DK18" s="7" cm="1">
        <f t="array" ref="DK18">PRODUCT(1 + 預測IC!$C18:DK18) - 1</f>
        <v>33.210497147921338</v>
      </c>
      <c r="DL18" s="7" cm="1">
        <f t="array" ref="DL18">PRODUCT(1 + 預測IC!$C18:DL18) - 1</f>
        <v>32.409611341899513</v>
      </c>
      <c r="DM18" s="7" cm="1">
        <f t="array" ref="DM18">PRODUCT(1 + 預測IC!$C18:DM18) - 1</f>
        <v>34.362642480983858</v>
      </c>
      <c r="DN18" s="7" cm="1">
        <f t="array" ref="DN18">PRODUCT(1 + 預測IC!$C18:DN18) - 1</f>
        <v>32.351382983502688</v>
      </c>
      <c r="DO18" s="7" cm="1">
        <f t="array" ref="DO18">PRODUCT(1 + 預測IC!$C18:DO18) - 1</f>
        <v>39.69936674596071</v>
      </c>
      <c r="DP18" s="7" cm="1">
        <f t="array" ref="DP18">PRODUCT(1 + 預測IC!$C18:DP18) - 1</f>
        <v>38.82390974275566</v>
      </c>
      <c r="DQ18" s="7" cm="1">
        <f t="array" ref="DQ18">PRODUCT(1 + 預測IC!$C18:DQ18) - 1</f>
        <v>36.356598349094533</v>
      </c>
      <c r="DR18" s="7" cm="1">
        <f t="array" ref="DR18">PRODUCT(1 + 預測IC!$C18:DR18) - 1</f>
        <v>35.966175244697403</v>
      </c>
      <c r="DS18" s="7" cm="1">
        <f t="array" ref="DS18">PRODUCT(1 + 預測IC!$C18:DS18) - 1</f>
        <v>30.505457962433734</v>
      </c>
      <c r="DT18" s="7" cm="1">
        <f t="array" ref="DT18">PRODUCT(1 + 預測IC!$C18:DT18) - 1</f>
        <v>30.272084749453512</v>
      </c>
      <c r="DU18" s="7" cm="1">
        <f t="array" ref="DU18">PRODUCT(1 + 預測IC!$C18:DU18) - 1</f>
        <v>25.308741362463081</v>
      </c>
      <c r="DV18" s="7" cm="1">
        <f t="array" ref="DV18">PRODUCT(1 + 預測IC!$C18:DV18) - 1</f>
        <v>27.5555942810219</v>
      </c>
      <c r="DW18" s="7" cm="1">
        <f t="array" ref="DW18">PRODUCT(1 + 預測IC!$C18:DW18) - 1</f>
        <v>25.595625385502434</v>
      </c>
      <c r="DX18" s="7" cm="1">
        <f t="array" ref="DX18">PRODUCT(1 + 預測IC!$C18:DX18) - 1</f>
        <v>21.510458138812492</v>
      </c>
      <c r="DY18" s="7" cm="1">
        <f t="array" ref="DY18">PRODUCT(1 + 預測IC!$C18:DY18) - 1</f>
        <v>23.703607886706283</v>
      </c>
      <c r="DZ18" s="7" cm="1">
        <f t="array" ref="DZ18">PRODUCT(1 + 預測IC!$C18:DZ18) - 1</f>
        <v>25.053175228574542</v>
      </c>
      <c r="EA18" s="7" cm="1">
        <f t="array" ref="EA18">PRODUCT(1 + 預測IC!$C18:EA18) - 1</f>
        <v>24.887436319678013</v>
      </c>
      <c r="EB18" s="7" cm="1">
        <f t="array" ref="EB18">PRODUCT(1 + 預測IC!$C18:EB18) - 1</f>
        <v>22.375249873861986</v>
      </c>
      <c r="EC18" s="7" cm="1">
        <f t="array" ref="EC18">PRODUCT(1 + 預測IC!$C18:EC18) - 1</f>
        <v>22.439861762610239</v>
      </c>
      <c r="ED18" s="7" cm="1">
        <f t="array" ref="ED18">PRODUCT(1 + 預測IC!$C18:ED18) - 1</f>
        <v>20.558362901585248</v>
      </c>
      <c r="EE18" s="7" cm="1">
        <f t="array" ref="EE18">PRODUCT(1 + 預測IC!$C18:EE18) - 1</f>
        <v>20.534405358656507</v>
      </c>
      <c r="EF18" s="7" cm="1">
        <f t="array" ref="EF18">PRODUCT(1 + 預測IC!$C18:EF18) - 1</f>
        <v>21.588622541452182</v>
      </c>
    </row>
    <row r="19" spans="1:136" x14ac:dyDescent="0.3">
      <c r="A19" s="1">
        <v>6</v>
      </c>
      <c r="B19" s="1" t="s">
        <v>177</v>
      </c>
      <c r="C19" s="7" cm="1">
        <f t="array" ref="C19">PRODUCT(1 + 預測IC!$C19:C19) - 1</f>
        <v>-0.19660026531165431</v>
      </c>
      <c r="D19" s="7" cm="1">
        <f t="array" ref="D19">PRODUCT(1 + 預測IC!$C19:D19) - 1</f>
        <v>0.13080176505423169</v>
      </c>
      <c r="E19" s="7" cm="1">
        <f t="array" ref="E19">PRODUCT(1 + 預測IC!$C19:E19) - 1</f>
        <v>6.8722903723929196E-2</v>
      </c>
      <c r="F19" s="7" cm="1">
        <f t="array" ref="F19">PRODUCT(1 + 預測IC!$C19:F19) - 1</f>
        <v>0.32112368925411583</v>
      </c>
      <c r="G19" s="7" cm="1">
        <f t="array" ref="G19">PRODUCT(1 + 預測IC!$C19:G19) - 1</f>
        <v>0.52307639256323557</v>
      </c>
      <c r="H19" s="7" cm="1">
        <f t="array" ref="H19">PRODUCT(1 + 預測IC!$C19:H19) - 1</f>
        <v>0.79359047623764623</v>
      </c>
      <c r="I19" s="7" cm="1">
        <f t="array" ref="I19">PRODUCT(1 + 預測IC!$C19:I19) - 1</f>
        <v>1.0351052052959142</v>
      </c>
      <c r="J19" s="7" cm="1">
        <f t="array" ref="J19">PRODUCT(1 + 預測IC!$C19:J19) - 1</f>
        <v>0.71716000050496209</v>
      </c>
      <c r="K19" s="7" cm="1">
        <f t="array" ref="K19">PRODUCT(1 + 預測IC!$C19:K19) - 1</f>
        <v>0.8142498918258505</v>
      </c>
      <c r="L19" s="7" cm="1">
        <f t="array" ref="L19">PRODUCT(1 + 預測IC!$C19:L19) - 1</f>
        <v>0.86933565841327787</v>
      </c>
      <c r="M19" s="7" cm="1">
        <f t="array" ref="M19">PRODUCT(1 + 預測IC!$C19:M19) - 1</f>
        <v>0.38042616640677029</v>
      </c>
      <c r="N19" s="7" cm="1">
        <f t="array" ref="N19">PRODUCT(1 + 預測IC!$C19:N19) - 1</f>
        <v>1.1153292183472425</v>
      </c>
      <c r="O19" s="7" cm="1">
        <f t="array" ref="O19">PRODUCT(1 + 預測IC!$C19:O19) - 1</f>
        <v>1.3104078044046923</v>
      </c>
      <c r="P19" s="7" cm="1">
        <f t="array" ref="P19">PRODUCT(1 + 預測IC!$C19:P19) - 1</f>
        <v>1.3630509386038967</v>
      </c>
      <c r="Q19" s="7" cm="1">
        <f t="array" ref="Q19">PRODUCT(1 + 預測IC!$C19:Q19) - 1</f>
        <v>1.765862017900155</v>
      </c>
      <c r="R19" s="7" cm="1">
        <f t="array" ref="R19">PRODUCT(1 + 預測IC!$C19:R19) - 1</f>
        <v>1.8818695436246018</v>
      </c>
      <c r="S19" s="7" cm="1">
        <f t="array" ref="S19">PRODUCT(1 + 預測IC!$C19:S19) - 1</f>
        <v>1.6550771849490808</v>
      </c>
      <c r="T19" s="7" cm="1">
        <f t="array" ref="T19">PRODUCT(1 + 預測IC!$C19:T19) - 1</f>
        <v>1.3642775688231628</v>
      </c>
      <c r="U19" s="7" cm="1">
        <f t="array" ref="U19">PRODUCT(1 + 預測IC!$C19:U19) - 1</f>
        <v>1.4687475660253768</v>
      </c>
      <c r="V19" s="7" cm="1">
        <f t="array" ref="V19">PRODUCT(1 + 預測IC!$C19:V19) - 1</f>
        <v>1.1757455979317508</v>
      </c>
      <c r="W19" s="7" cm="1">
        <f t="array" ref="W19">PRODUCT(1 + 預測IC!$C19:W19) - 1</f>
        <v>1.3333034541003723</v>
      </c>
      <c r="X19" s="7" cm="1">
        <f t="array" ref="X19">PRODUCT(1 + 預測IC!$C19:X19) - 1</f>
        <v>1.6201204558243889</v>
      </c>
      <c r="Y19" s="7" cm="1">
        <f t="array" ref="Y19">PRODUCT(1 + 預測IC!$C19:Y19) - 1</f>
        <v>1.6831718345141788</v>
      </c>
      <c r="Z19" s="7" cm="1">
        <f t="array" ref="Z19">PRODUCT(1 + 預測IC!$C19:Z19) - 1</f>
        <v>1.6235430647556952</v>
      </c>
      <c r="AA19" s="7" cm="1">
        <f t="array" ref="AA19">PRODUCT(1 + 預測IC!$C19:AA19) - 1</f>
        <v>1.5144818954100021</v>
      </c>
      <c r="AB19" s="7" cm="1">
        <f t="array" ref="AB19">PRODUCT(1 + 預測IC!$C19:AB19) - 1</f>
        <v>1.3616960627248131</v>
      </c>
      <c r="AC19" s="7" cm="1">
        <f t="array" ref="AC19">PRODUCT(1 + 預測IC!$C19:AC19) - 1</f>
        <v>1.1644640537970403</v>
      </c>
      <c r="AD19" s="7" cm="1">
        <f t="array" ref="AD19">PRODUCT(1 + 預測IC!$C19:AD19) - 1</f>
        <v>1.3722382694435176</v>
      </c>
      <c r="AE19" s="7" cm="1">
        <f t="array" ref="AE19">PRODUCT(1 + 預測IC!$C19:AE19) - 1</f>
        <v>1.6455957212294434</v>
      </c>
      <c r="AF19" s="7" cm="1">
        <f t="array" ref="AF19">PRODUCT(1 + 預測IC!$C19:AF19) - 1</f>
        <v>1.646290371907257</v>
      </c>
      <c r="AG19" s="7" cm="1">
        <f t="array" ref="AG19">PRODUCT(1 + 預測IC!$C19:AG19) - 1</f>
        <v>1.5877115085051439</v>
      </c>
      <c r="AH19" s="7" cm="1">
        <f t="array" ref="AH19">PRODUCT(1 + 預測IC!$C19:AH19) - 1</f>
        <v>1.4413564579311848</v>
      </c>
      <c r="AI19" s="7" cm="1">
        <f t="array" ref="AI19">PRODUCT(1 + 預測IC!$C19:AI19) - 1</f>
        <v>1.6409864801518608</v>
      </c>
      <c r="AJ19" s="7" cm="1">
        <f t="array" ref="AJ19">PRODUCT(1 + 預測IC!$C19:AJ19) - 1</f>
        <v>1.5048560652820586</v>
      </c>
      <c r="AK19" s="7" cm="1">
        <f t="array" ref="AK19">PRODUCT(1 + 預測IC!$C19:AK19) - 1</f>
        <v>1.5237728447583625</v>
      </c>
      <c r="AL19" s="7" cm="1">
        <f t="array" ref="AL19">PRODUCT(1 + 預測IC!$C19:AL19) - 1</f>
        <v>1.7011207492178317</v>
      </c>
      <c r="AM19" s="7" cm="1">
        <f t="array" ref="AM19">PRODUCT(1 + 預測IC!$C19:AM19) - 1</f>
        <v>1.817555292137647</v>
      </c>
      <c r="AN19" s="7" cm="1">
        <f t="array" ref="AN19">PRODUCT(1 + 預測IC!$C19:AN19) - 1</f>
        <v>2.0530135821825914</v>
      </c>
      <c r="AO19" s="7" cm="1">
        <f t="array" ref="AO19">PRODUCT(1 + 預測IC!$C19:AO19) - 1</f>
        <v>2.1320649668623788</v>
      </c>
      <c r="AP19" s="7" cm="1">
        <f t="array" ref="AP19">PRODUCT(1 + 預測IC!$C19:AP19) - 1</f>
        <v>1.8577771327519863</v>
      </c>
      <c r="AQ19" s="7" cm="1">
        <f t="array" ref="AQ19">PRODUCT(1 + 預測IC!$C19:AQ19) - 1</f>
        <v>1.6055704217217426</v>
      </c>
      <c r="AR19" s="7" cm="1">
        <f t="array" ref="AR19">PRODUCT(1 + 預測IC!$C19:AR19) - 1</f>
        <v>1.7999900031592486</v>
      </c>
      <c r="AS19" s="7" cm="1">
        <f t="array" ref="AS19">PRODUCT(1 + 預測IC!$C19:AS19) - 1</f>
        <v>2.0738205002499415</v>
      </c>
      <c r="AT19" s="7" cm="1">
        <f t="array" ref="AT19">PRODUCT(1 + 預測IC!$C19:AT19) - 1</f>
        <v>2.1081999313641968</v>
      </c>
      <c r="AU19" s="7" cm="1">
        <f t="array" ref="AU19">PRODUCT(1 + 預測IC!$C19:AU19) - 1</f>
        <v>2.3457556602996301</v>
      </c>
      <c r="AV19" s="7" cm="1">
        <f t="array" ref="AV19">PRODUCT(1 + 預測IC!$C19:AV19) - 1</f>
        <v>2.488543464035613</v>
      </c>
      <c r="AW19" s="7" cm="1">
        <f t="array" ref="AW19">PRODUCT(1 + 預測IC!$C19:AW19) - 1</f>
        <v>2.5665339283306068</v>
      </c>
      <c r="AX19" s="7" cm="1">
        <f t="array" ref="AX19">PRODUCT(1 + 預測IC!$C19:AX19) - 1</f>
        <v>2.8525928262384359</v>
      </c>
      <c r="AY19" s="7" cm="1">
        <f t="array" ref="AY19">PRODUCT(1 + 預測IC!$C19:AY19) - 1</f>
        <v>2.6181500882318192</v>
      </c>
      <c r="AZ19" s="7" cm="1">
        <f t="array" ref="AZ19">PRODUCT(1 + 預測IC!$C19:AZ19) - 1</f>
        <v>2.9221921852030261</v>
      </c>
      <c r="BA19" s="7" cm="1">
        <f t="array" ref="BA19">PRODUCT(1 + 預測IC!$C19:BA19) - 1</f>
        <v>3.6556294847865356</v>
      </c>
      <c r="BB19" s="7" cm="1">
        <f t="array" ref="BB19">PRODUCT(1 + 預測IC!$C19:BB19) - 1</f>
        <v>4.5951444101564247</v>
      </c>
      <c r="BC19" s="7" cm="1">
        <f t="array" ref="BC19">PRODUCT(1 + 預測IC!$C19:BC19) - 1</f>
        <v>4.2534392573267299</v>
      </c>
      <c r="BD19" s="7" cm="1">
        <f t="array" ref="BD19">PRODUCT(1 + 預測IC!$C19:BD19) - 1</f>
        <v>4.2530520422480915</v>
      </c>
      <c r="BE19" s="7" cm="1">
        <f t="array" ref="BE19">PRODUCT(1 + 預測IC!$C19:BE19) - 1</f>
        <v>4.0934082655274509</v>
      </c>
      <c r="BF19" s="7" cm="1">
        <f t="array" ref="BF19">PRODUCT(1 + 預測IC!$C19:BF19) - 1</f>
        <v>3.8416079001061094</v>
      </c>
      <c r="BG19" s="7" cm="1">
        <f t="array" ref="BG19">PRODUCT(1 + 預測IC!$C19:BG19) - 1</f>
        <v>3.8462714341921957</v>
      </c>
      <c r="BH19" s="7" cm="1">
        <f t="array" ref="BH19">PRODUCT(1 + 預測IC!$C19:BH19) - 1</f>
        <v>3.8364906809381125</v>
      </c>
      <c r="BI19" s="7" cm="1">
        <f t="array" ref="BI19">PRODUCT(1 + 預測IC!$C19:BI19) - 1</f>
        <v>3.9619337482802228</v>
      </c>
      <c r="BJ19" s="7" cm="1">
        <f t="array" ref="BJ19">PRODUCT(1 + 預測IC!$C19:BJ19) - 1</f>
        <v>4.2190577235849815</v>
      </c>
      <c r="BK19" s="7" cm="1">
        <f t="array" ref="BK19">PRODUCT(1 + 預測IC!$C19:BK19) - 1</f>
        <v>4.7255068543426031</v>
      </c>
      <c r="BL19" s="7" cm="1">
        <f t="array" ref="BL19">PRODUCT(1 + 預測IC!$C19:BL19) - 1</f>
        <v>4.8743497916899878</v>
      </c>
      <c r="BM19" s="7" cm="1">
        <f t="array" ref="BM19">PRODUCT(1 + 預測IC!$C19:BM19) - 1</f>
        <v>4.3564859312900763</v>
      </c>
      <c r="BN19" s="7" cm="1">
        <f t="array" ref="BN19">PRODUCT(1 + 預測IC!$C19:BN19) - 1</f>
        <v>4.7925749141727332</v>
      </c>
      <c r="BO19" s="7" cm="1">
        <f t="array" ref="BO19">PRODUCT(1 + 預測IC!$C19:BO19) - 1</f>
        <v>4.6850513171965522</v>
      </c>
      <c r="BP19" s="7" cm="1">
        <f t="array" ref="BP19">PRODUCT(1 + 預測IC!$C19:BP19) - 1</f>
        <v>4.7556047442236355</v>
      </c>
      <c r="BQ19" s="7" cm="1">
        <f t="array" ref="BQ19">PRODUCT(1 + 預測IC!$C19:BQ19) - 1</f>
        <v>4.8127811776142657</v>
      </c>
      <c r="BR19" s="7" cm="1">
        <f t="array" ref="BR19">PRODUCT(1 + 預測IC!$C19:BR19) - 1</f>
        <v>4.8515829220557274</v>
      </c>
      <c r="BS19" s="7" cm="1">
        <f t="array" ref="BS19">PRODUCT(1 + 預測IC!$C19:BS19) - 1</f>
        <v>4.7096449445069171</v>
      </c>
      <c r="BT19" s="7" cm="1">
        <f t="array" ref="BT19">PRODUCT(1 + 預測IC!$C19:BT19) - 1</f>
        <v>4.7849761111721065</v>
      </c>
      <c r="BU19" s="7" cm="1">
        <f t="array" ref="BU19">PRODUCT(1 + 預測IC!$C19:BU19) - 1</f>
        <v>4.0290496098937352</v>
      </c>
      <c r="BV19" s="7" cm="1">
        <f t="array" ref="BV19">PRODUCT(1 + 預測IC!$C19:BV19) - 1</f>
        <v>4.5323833757230689</v>
      </c>
      <c r="BW19" s="7" cm="1">
        <f t="array" ref="BW19">PRODUCT(1 + 預測IC!$C19:BW19) - 1</f>
        <v>6.1698377143978247</v>
      </c>
      <c r="BX19" s="7" cm="1">
        <f t="array" ref="BX19">PRODUCT(1 + 預測IC!$C19:BX19) - 1</f>
        <v>5.9088635832769851</v>
      </c>
      <c r="BY19" s="7" cm="1">
        <f t="array" ref="BY19">PRODUCT(1 + 預測IC!$C19:BY19) - 1</f>
        <v>5.7176573816048055</v>
      </c>
      <c r="BZ19" s="7" cm="1">
        <f t="array" ref="BZ19">PRODUCT(1 + 預測IC!$C19:BZ19) - 1</f>
        <v>6.1791747175476104</v>
      </c>
      <c r="CA19" s="7" cm="1">
        <f t="array" ref="CA19">PRODUCT(1 + 預測IC!$C19:CA19) - 1</f>
        <v>6.4348236595863062</v>
      </c>
      <c r="CB19" s="7" cm="1">
        <f t="array" ref="CB19">PRODUCT(1 + 預測IC!$C19:CB19) - 1</f>
        <v>7.3852782012087985</v>
      </c>
      <c r="CC19" s="7" cm="1">
        <f t="array" ref="CC19">PRODUCT(1 + 預測IC!$C19:CC19) - 1</f>
        <v>7.5739992253240658</v>
      </c>
      <c r="CD19" s="7" cm="1">
        <f t="array" ref="CD19">PRODUCT(1 + 預測IC!$C19:CD19) - 1</f>
        <v>9.4227180627445986</v>
      </c>
      <c r="CE19" s="7" cm="1">
        <f t="array" ref="CE19">PRODUCT(1 + 預測IC!$C19:CE19) - 1</f>
        <v>10.344866573093009</v>
      </c>
      <c r="CF19" s="7" cm="1">
        <f t="array" ref="CF19">PRODUCT(1 + 預測IC!$C19:CF19) - 1</f>
        <v>9.0776621363860919</v>
      </c>
      <c r="CG19" s="7" cm="1">
        <f t="array" ref="CG19">PRODUCT(1 + 預測IC!$C19:CG19) - 1</f>
        <v>11.737087976571795</v>
      </c>
      <c r="CH19" s="7" cm="1">
        <f t="array" ref="CH19">PRODUCT(1 + 預測IC!$C19:CH19) - 1</f>
        <v>13.684459663913072</v>
      </c>
      <c r="CI19" s="7" cm="1">
        <f t="array" ref="CI19">PRODUCT(1 + 預測IC!$C19:CI19) - 1</f>
        <v>11.258551504539721</v>
      </c>
      <c r="CJ19" s="7" cm="1">
        <f t="array" ref="CJ19">PRODUCT(1 + 預測IC!$C19:CJ19) - 1</f>
        <v>11.245824834272563</v>
      </c>
      <c r="CK19" s="7" cm="1">
        <f t="array" ref="CK19">PRODUCT(1 + 預測IC!$C19:CK19) - 1</f>
        <v>12.159191786642655</v>
      </c>
      <c r="CL19" s="7" cm="1">
        <f t="array" ref="CL19">PRODUCT(1 + 預測IC!$C19:CL19) - 1</f>
        <v>16.253696729111311</v>
      </c>
      <c r="CM19" s="7" cm="1">
        <f t="array" ref="CM19">PRODUCT(1 + 預測IC!$C19:CM19) - 1</f>
        <v>14.351720308709679</v>
      </c>
      <c r="CN19" s="7" cm="1">
        <f t="array" ref="CN19">PRODUCT(1 + 預測IC!$C19:CN19) - 1</f>
        <v>14.106957230753697</v>
      </c>
      <c r="CO19" s="7" cm="1">
        <f t="array" ref="CO19">PRODUCT(1 + 預測IC!$C19:CO19) - 1</f>
        <v>17.902363166440399</v>
      </c>
      <c r="CP19" s="7" cm="1">
        <f t="array" ref="CP19">PRODUCT(1 + 預測IC!$C19:CP19) - 1</f>
        <v>17.353504289121386</v>
      </c>
      <c r="CQ19" s="7" cm="1">
        <f t="array" ref="CQ19">PRODUCT(1 + 預測IC!$C19:CQ19) - 1</f>
        <v>21.428231322988857</v>
      </c>
      <c r="CR19" s="7" cm="1">
        <f t="array" ref="CR19">PRODUCT(1 + 預測IC!$C19:CR19) - 1</f>
        <v>21.97321945680946</v>
      </c>
      <c r="CS19" s="7" cm="1">
        <f t="array" ref="CS19">PRODUCT(1 + 預測IC!$C19:CS19) - 1</f>
        <v>22.978871839381018</v>
      </c>
      <c r="CT19" s="7" cm="1">
        <f t="array" ref="CT19">PRODUCT(1 + 預測IC!$C19:CT19) - 1</f>
        <v>23.612422438914667</v>
      </c>
      <c r="CU19" s="7" cm="1">
        <f t="array" ref="CU19">PRODUCT(1 + 預測IC!$C19:CU19) - 1</f>
        <v>21.558850586366493</v>
      </c>
      <c r="CV19" s="7" cm="1">
        <f t="array" ref="CV19">PRODUCT(1 + 預測IC!$C19:CV19) - 1</f>
        <v>23.859399045133387</v>
      </c>
      <c r="CW19" s="7" cm="1">
        <f t="array" ref="CW19">PRODUCT(1 + 預測IC!$C19:CW19) - 1</f>
        <v>23.059121955131516</v>
      </c>
      <c r="CX19" s="7" cm="1">
        <f t="array" ref="CX19">PRODUCT(1 + 預測IC!$C19:CX19) - 1</f>
        <v>23.086250891547355</v>
      </c>
      <c r="CY19" s="7" cm="1">
        <f t="array" ref="CY19">PRODUCT(1 + 預測IC!$C19:CY19) - 1</f>
        <v>24.848192354999156</v>
      </c>
      <c r="CZ19" s="7" cm="1">
        <f t="array" ref="CZ19">PRODUCT(1 + 預測IC!$C19:CZ19) - 1</f>
        <v>27.765208129337118</v>
      </c>
      <c r="DA19" s="7" cm="1">
        <f t="array" ref="DA19">PRODUCT(1 + 預測IC!$C19:DA19) - 1</f>
        <v>26.090386197871648</v>
      </c>
      <c r="DB19" s="7" cm="1">
        <f t="array" ref="DB19">PRODUCT(1 + 預測IC!$C19:DB19) - 1</f>
        <v>25.122693247943378</v>
      </c>
      <c r="DC19" s="7" cm="1">
        <f t="array" ref="DC19">PRODUCT(1 + 預測IC!$C19:DC19) - 1</f>
        <v>25.913595851442771</v>
      </c>
      <c r="DD19" s="7" cm="1">
        <f t="array" ref="DD19">PRODUCT(1 + 預測IC!$C19:DD19) - 1</f>
        <v>24.203305083858272</v>
      </c>
      <c r="DE19" s="7" cm="1">
        <f t="array" ref="DE19">PRODUCT(1 + 預測IC!$C19:DE19) - 1</f>
        <v>24.051941336193092</v>
      </c>
      <c r="DF19" s="7" cm="1">
        <f t="array" ref="DF19">PRODUCT(1 + 預測IC!$C19:DF19) - 1</f>
        <v>22.305995213888533</v>
      </c>
      <c r="DG19" s="7" cm="1">
        <f t="array" ref="DG19">PRODUCT(1 + 預測IC!$C19:DG19) - 1</f>
        <v>22.008925930626997</v>
      </c>
      <c r="DH19" s="7" cm="1">
        <f t="array" ref="DH19">PRODUCT(1 + 預測IC!$C19:DH19) - 1</f>
        <v>27.176495559977457</v>
      </c>
      <c r="DI19" s="7" cm="1">
        <f t="array" ref="DI19">PRODUCT(1 + 預測IC!$C19:DI19) - 1</f>
        <v>30.232558809733845</v>
      </c>
      <c r="DJ19" s="7" cm="1">
        <f t="array" ref="DJ19">PRODUCT(1 + 預測IC!$C19:DJ19) - 1</f>
        <v>28.717331497662425</v>
      </c>
      <c r="DK19" s="7" cm="1">
        <f t="array" ref="DK19">PRODUCT(1 + 預測IC!$C19:DK19) - 1</f>
        <v>25.108390128098637</v>
      </c>
      <c r="DL19" s="7" cm="1">
        <f t="array" ref="DL19">PRODUCT(1 + 預測IC!$C19:DL19) - 1</f>
        <v>24.499710999066643</v>
      </c>
      <c r="DM19" s="7" cm="1">
        <f t="array" ref="DM19">PRODUCT(1 + 預測IC!$C19:DM19) - 1</f>
        <v>25.960855435765961</v>
      </c>
      <c r="DN19" s="7" cm="1">
        <f t="array" ref="DN19">PRODUCT(1 + 預測IC!$C19:DN19) - 1</f>
        <v>24.227423564772103</v>
      </c>
      <c r="DO19" s="7" cm="1">
        <f t="array" ref="DO19">PRODUCT(1 + 預測IC!$C19:DO19) - 1</f>
        <v>30.515660399135591</v>
      </c>
      <c r="DP19" s="7" cm="1">
        <f t="array" ref="DP19">PRODUCT(1 + 預測IC!$C19:DP19) - 1</f>
        <v>30.389520199664187</v>
      </c>
      <c r="DQ19" s="7" cm="1">
        <f t="array" ref="DQ19">PRODUCT(1 + 預測IC!$C19:DQ19) - 1</f>
        <v>28.800483136871733</v>
      </c>
      <c r="DR19" s="7" cm="1">
        <f t="array" ref="DR19">PRODUCT(1 + 預測IC!$C19:DR19) - 1</f>
        <v>28.277639641913211</v>
      </c>
      <c r="DS19" s="7" cm="1">
        <f t="array" ref="DS19">PRODUCT(1 + 預測IC!$C19:DS19) - 1</f>
        <v>23.066350160329627</v>
      </c>
      <c r="DT19" s="7" cm="1">
        <f t="array" ref="DT19">PRODUCT(1 + 預測IC!$C19:DT19) - 1</f>
        <v>22.992319006183735</v>
      </c>
      <c r="DU19" s="7" cm="1">
        <f t="array" ref="DU19">PRODUCT(1 + 預測IC!$C19:DU19) - 1</f>
        <v>19.379509498043621</v>
      </c>
      <c r="DV19" s="7" cm="1">
        <f t="array" ref="DV19">PRODUCT(1 + 預測IC!$C19:DV19) - 1</f>
        <v>20.156460589512378</v>
      </c>
      <c r="DW19" s="7" cm="1">
        <f t="array" ref="DW19">PRODUCT(1 + 預測IC!$C19:DW19) - 1</f>
        <v>18.013396414573482</v>
      </c>
      <c r="DX19" s="7" cm="1">
        <f t="array" ref="DX19">PRODUCT(1 + 預測IC!$C19:DX19) - 1</f>
        <v>15.382605267347333</v>
      </c>
      <c r="DY19" s="7" cm="1">
        <f t="array" ref="DY19">PRODUCT(1 + 預測IC!$C19:DY19) - 1</f>
        <v>16.531182804068997</v>
      </c>
      <c r="DZ19" s="7" cm="1">
        <f t="array" ref="DZ19">PRODUCT(1 + 預測IC!$C19:DZ19) - 1</f>
        <v>17.908045920896022</v>
      </c>
      <c r="EA19" s="7" cm="1">
        <f t="array" ref="EA19">PRODUCT(1 + 預測IC!$C19:EA19) - 1</f>
        <v>17.377120215949031</v>
      </c>
      <c r="EB19" s="7" cm="1">
        <f t="array" ref="EB19">PRODUCT(1 + 預測IC!$C19:EB19) - 1</f>
        <v>15.424627310568781</v>
      </c>
      <c r="EC19" s="7" cm="1">
        <f t="array" ref="EC19">PRODUCT(1 + 預測IC!$C19:EC19) - 1</f>
        <v>15.224410393719747</v>
      </c>
      <c r="ED19" s="7" cm="1">
        <f t="array" ref="ED19">PRODUCT(1 + 預測IC!$C19:ED19) - 1</f>
        <v>13.826522482231622</v>
      </c>
      <c r="EE19" s="7" cm="1">
        <f t="array" ref="EE19">PRODUCT(1 + 預測IC!$C19:EE19) - 1</f>
        <v>13.934852864277081</v>
      </c>
      <c r="EF19" s="7" cm="1">
        <f t="array" ref="EF19">PRODUCT(1 + 預測IC!$C19:EF19) - 1</f>
        <v>14.188416122268093</v>
      </c>
    </row>
    <row r="20" spans="1:136" x14ac:dyDescent="0.3">
      <c r="A20" s="1">
        <v>5</v>
      </c>
      <c r="B20" s="1" t="s">
        <v>178</v>
      </c>
      <c r="C20" s="7" cm="1">
        <f t="array" ref="C20">PRODUCT(1 + 預測IC!$C20:C20) - 1</f>
        <v>-0.20155104786391576</v>
      </c>
      <c r="D20" s="7" cm="1">
        <f t="array" ref="D20">PRODUCT(1 + 預測IC!$C20:D20) - 1</f>
        <v>0.10347642908265731</v>
      </c>
      <c r="E20" s="7" cm="1">
        <f t="array" ref="E20">PRODUCT(1 + 預測IC!$C20:E20) - 1</f>
        <v>0.12058030065099068</v>
      </c>
      <c r="F20" s="7" cm="1">
        <f t="array" ref="F20">PRODUCT(1 + 預測IC!$C20:F20) - 1</f>
        <v>0.32499613181078968</v>
      </c>
      <c r="G20" s="7" cm="1">
        <f t="array" ref="G20">PRODUCT(1 + 預測IC!$C20:G20) - 1</f>
        <v>0.53438177726405778</v>
      </c>
      <c r="H20" s="7" cm="1">
        <f t="array" ref="H20">PRODUCT(1 + 預測IC!$C20:H20) - 1</f>
        <v>0.75522884831719317</v>
      </c>
      <c r="I20" s="7" cm="1">
        <f t="array" ref="I20">PRODUCT(1 + 預測IC!$C20:I20) - 1</f>
        <v>1.0328175229433927</v>
      </c>
      <c r="J20" s="7" cm="1">
        <f t="array" ref="J20">PRODUCT(1 + 預測IC!$C20:J20) - 1</f>
        <v>0.76203140339255571</v>
      </c>
      <c r="K20" s="7" cm="1">
        <f t="array" ref="K20">PRODUCT(1 + 預測IC!$C20:K20) - 1</f>
        <v>0.82793963273597826</v>
      </c>
      <c r="L20" s="7" cm="1">
        <f t="array" ref="L20">PRODUCT(1 + 預測IC!$C20:L20) - 1</f>
        <v>0.8840491226596543</v>
      </c>
      <c r="M20" s="7" cm="1">
        <f t="array" ref="M20">PRODUCT(1 + 預測IC!$C20:M20) - 1</f>
        <v>0.37781675714438356</v>
      </c>
      <c r="N20" s="7" cm="1">
        <f t="array" ref="N20">PRODUCT(1 + 預測IC!$C20:N20) - 1</f>
        <v>1.0667409503103671</v>
      </c>
      <c r="O20" s="7" cm="1">
        <f t="array" ref="O20">PRODUCT(1 + 預測IC!$C20:O20) - 1</f>
        <v>1.2715580458282845</v>
      </c>
      <c r="P20" s="7" cm="1">
        <f t="array" ref="P20">PRODUCT(1 + 預測IC!$C20:P20) - 1</f>
        <v>1.3624850951440632</v>
      </c>
      <c r="Q20" s="7" cm="1">
        <f t="array" ref="Q20">PRODUCT(1 + 預測IC!$C20:Q20) - 1</f>
        <v>1.8936303601321778</v>
      </c>
      <c r="R20" s="7" cm="1">
        <f t="array" ref="R20">PRODUCT(1 + 預測IC!$C20:R20) - 1</f>
        <v>2.0859689084649395</v>
      </c>
      <c r="S20" s="7" cm="1">
        <f t="array" ref="S20">PRODUCT(1 + 預測IC!$C20:S20) - 1</f>
        <v>1.909016110467554</v>
      </c>
      <c r="T20" s="7" cm="1">
        <f t="array" ref="T20">PRODUCT(1 + 預測IC!$C20:T20) - 1</f>
        <v>1.6156548301754041</v>
      </c>
      <c r="U20" s="7" cm="1">
        <f t="array" ref="U20">PRODUCT(1 + 預測IC!$C20:U20) - 1</f>
        <v>1.6999774171339328</v>
      </c>
      <c r="V20" s="7" cm="1">
        <f t="array" ref="V20">PRODUCT(1 + 預測IC!$C20:V20) - 1</f>
        <v>1.3320027238165575</v>
      </c>
      <c r="W20" s="7" cm="1">
        <f t="array" ref="W20">PRODUCT(1 + 預測IC!$C20:W20) - 1</f>
        <v>1.5444128874317276</v>
      </c>
      <c r="X20" s="7" cm="1">
        <f t="array" ref="X20">PRODUCT(1 + 預測IC!$C20:X20) - 1</f>
        <v>1.9261824787968842</v>
      </c>
      <c r="Y20" s="7" cm="1">
        <f t="array" ref="Y20">PRODUCT(1 + 預測IC!$C20:Y20) - 1</f>
        <v>1.9119736452247484</v>
      </c>
      <c r="Z20" s="7" cm="1">
        <f t="array" ref="Z20">PRODUCT(1 + 預測IC!$C20:Z20) - 1</f>
        <v>1.9968790801475977</v>
      </c>
      <c r="AA20" s="7" cm="1">
        <f t="array" ref="AA20">PRODUCT(1 + 預測IC!$C20:AA20) - 1</f>
        <v>1.9321628148560768</v>
      </c>
      <c r="AB20" s="7" cm="1">
        <f t="array" ref="AB20">PRODUCT(1 + 預測IC!$C20:AB20) - 1</f>
        <v>1.7549909105798811</v>
      </c>
      <c r="AC20" s="7" cm="1">
        <f t="array" ref="AC20">PRODUCT(1 + 預測IC!$C20:AC20) - 1</f>
        <v>1.4896603729895341</v>
      </c>
      <c r="AD20" s="7" cm="1">
        <f t="array" ref="AD20">PRODUCT(1 + 預測IC!$C20:AD20) - 1</f>
        <v>1.8129263872544321</v>
      </c>
      <c r="AE20" s="7" cm="1">
        <f t="array" ref="AE20">PRODUCT(1 + 預測IC!$C20:AE20) - 1</f>
        <v>1.8616213768340351</v>
      </c>
      <c r="AF20" s="7" cm="1">
        <f t="array" ref="AF20">PRODUCT(1 + 預測IC!$C20:AF20) - 1</f>
        <v>1.8431087426486812</v>
      </c>
      <c r="AG20" s="7" cm="1">
        <f t="array" ref="AG20">PRODUCT(1 + 預測IC!$C20:AG20) - 1</f>
        <v>1.7644705766030828</v>
      </c>
      <c r="AH20" s="7" cm="1">
        <f t="array" ref="AH20">PRODUCT(1 + 預測IC!$C20:AH20) - 1</f>
        <v>1.5151755940760592</v>
      </c>
      <c r="AI20" s="7" cm="1">
        <f t="array" ref="AI20">PRODUCT(1 + 預測IC!$C20:AI20) - 1</f>
        <v>1.7117479980279033</v>
      </c>
      <c r="AJ20" s="7" cm="1">
        <f t="array" ref="AJ20">PRODUCT(1 + 預測IC!$C20:AJ20) - 1</f>
        <v>1.5436466459459104</v>
      </c>
      <c r="AK20" s="7" cm="1">
        <f t="array" ref="AK20">PRODUCT(1 + 預測IC!$C20:AK20) - 1</f>
        <v>1.5090654760132551</v>
      </c>
      <c r="AL20" s="7" cm="1">
        <f t="array" ref="AL20">PRODUCT(1 + 預測IC!$C20:AL20) - 1</f>
        <v>1.6919599199466617</v>
      </c>
      <c r="AM20" s="7" cm="1">
        <f t="array" ref="AM20">PRODUCT(1 + 預測IC!$C20:AM20) - 1</f>
        <v>1.781052973633765</v>
      </c>
      <c r="AN20" s="7" cm="1">
        <f t="array" ref="AN20">PRODUCT(1 + 預測IC!$C20:AN20) - 1</f>
        <v>1.9909395797404912</v>
      </c>
      <c r="AO20" s="7" cm="1">
        <f t="array" ref="AO20">PRODUCT(1 + 預測IC!$C20:AO20) - 1</f>
        <v>2.1263845237604699</v>
      </c>
      <c r="AP20" s="7" cm="1">
        <f t="array" ref="AP20">PRODUCT(1 + 預測IC!$C20:AP20) - 1</f>
        <v>1.7145444483837973</v>
      </c>
      <c r="AQ20" s="7" cm="1">
        <f t="array" ref="AQ20">PRODUCT(1 + 預測IC!$C20:AQ20) - 1</f>
        <v>1.7890654400386969</v>
      </c>
      <c r="AR20" s="7" cm="1">
        <f t="array" ref="AR20">PRODUCT(1 + 預測IC!$C20:AR20) - 1</f>
        <v>1.8261300923367898</v>
      </c>
      <c r="AS20" s="7" cm="1">
        <f t="array" ref="AS20">PRODUCT(1 + 預測IC!$C20:AS20) - 1</f>
        <v>2.1429274333062569</v>
      </c>
      <c r="AT20" s="7" cm="1">
        <f t="array" ref="AT20">PRODUCT(1 + 預測IC!$C20:AT20) - 1</f>
        <v>2.1339715386469624</v>
      </c>
      <c r="AU20" s="7" cm="1">
        <f t="array" ref="AU20">PRODUCT(1 + 預測IC!$C20:AU20) - 1</f>
        <v>2.3711893248685412</v>
      </c>
      <c r="AV20" s="7" cm="1">
        <f t="array" ref="AV20">PRODUCT(1 + 預測IC!$C20:AV20) - 1</f>
        <v>2.6121389653594291</v>
      </c>
      <c r="AW20" s="7" cm="1">
        <f t="array" ref="AW20">PRODUCT(1 + 預測IC!$C20:AW20) - 1</f>
        <v>2.6369372680569825</v>
      </c>
      <c r="AX20" s="7" cm="1">
        <f t="array" ref="AX20">PRODUCT(1 + 預測IC!$C20:AX20) - 1</f>
        <v>3.0396645986603685</v>
      </c>
      <c r="AY20" s="7" cm="1">
        <f t="array" ref="AY20">PRODUCT(1 + 預測IC!$C20:AY20) - 1</f>
        <v>2.7880516903675634</v>
      </c>
      <c r="AZ20" s="7" cm="1">
        <f t="array" ref="AZ20">PRODUCT(1 + 預測IC!$C20:AZ20) - 1</f>
        <v>3.1661155500842453</v>
      </c>
      <c r="BA20" s="7" cm="1">
        <f t="array" ref="BA20">PRODUCT(1 + 預測IC!$C20:BA20) - 1</f>
        <v>3.7966060016288097</v>
      </c>
      <c r="BB20" s="7" cm="1">
        <f t="array" ref="BB20">PRODUCT(1 + 預測IC!$C20:BB20) - 1</f>
        <v>4.9056466686608982</v>
      </c>
      <c r="BC20" s="7" cm="1">
        <f t="array" ref="BC20">PRODUCT(1 + 預測IC!$C20:BC20) - 1</f>
        <v>4.4929291769899766</v>
      </c>
      <c r="BD20" s="7" cm="1">
        <f t="array" ref="BD20">PRODUCT(1 + 預測IC!$C20:BD20) - 1</f>
        <v>4.5388510171996277</v>
      </c>
      <c r="BE20" s="7" cm="1">
        <f t="array" ref="BE20">PRODUCT(1 + 預測IC!$C20:BE20) - 1</f>
        <v>4.3257889631807735</v>
      </c>
      <c r="BF20" s="7" cm="1">
        <f t="array" ref="BF20">PRODUCT(1 + 預測IC!$C20:BF20) - 1</f>
        <v>4.031715405651596</v>
      </c>
      <c r="BG20" s="7" cm="1">
        <f t="array" ref="BG20">PRODUCT(1 + 預測IC!$C20:BG20) - 1</f>
        <v>3.7714388901415994</v>
      </c>
      <c r="BH20" s="7" cm="1">
        <f t="array" ref="BH20">PRODUCT(1 + 預測IC!$C20:BH20) - 1</f>
        <v>4.1131046766867358</v>
      </c>
      <c r="BI20" s="7" cm="1">
        <f t="array" ref="BI20">PRODUCT(1 + 預測IC!$C20:BI20) - 1</f>
        <v>4.2315834247038611</v>
      </c>
      <c r="BJ20" s="7" cm="1">
        <f t="array" ref="BJ20">PRODUCT(1 + 預測IC!$C20:BJ20) - 1</f>
        <v>4.5201362247877537</v>
      </c>
      <c r="BK20" s="7" cm="1">
        <f t="array" ref="BK20">PRODUCT(1 + 預測IC!$C20:BK20) - 1</f>
        <v>5.1695823073604847</v>
      </c>
      <c r="BL20" s="7" cm="1">
        <f t="array" ref="BL20">PRODUCT(1 + 預測IC!$C20:BL20) - 1</f>
        <v>5.2916372610854161</v>
      </c>
      <c r="BM20" s="7" cm="1">
        <f t="array" ref="BM20">PRODUCT(1 + 預測IC!$C20:BM20) - 1</f>
        <v>4.948391262850679</v>
      </c>
      <c r="BN20" s="7" cm="1">
        <f t="array" ref="BN20">PRODUCT(1 + 預測IC!$C20:BN20) - 1</f>
        <v>4.8375249843811714</v>
      </c>
      <c r="BO20" s="7" cm="1">
        <f t="array" ref="BO20">PRODUCT(1 + 預測IC!$C20:BO20) - 1</f>
        <v>4.7930982381154079</v>
      </c>
      <c r="BP20" s="7" cm="1">
        <f t="array" ref="BP20">PRODUCT(1 + 預測IC!$C20:BP20) - 1</f>
        <v>4.7509114629169984</v>
      </c>
      <c r="BQ20" s="7" cm="1">
        <f t="array" ref="BQ20">PRODUCT(1 + 預測IC!$C20:BQ20) - 1</f>
        <v>4.8397728615997453</v>
      </c>
      <c r="BR20" s="7" cm="1">
        <f t="array" ref="BR20">PRODUCT(1 + 預測IC!$C20:BR20) - 1</f>
        <v>4.9102801285203084</v>
      </c>
      <c r="BS20" s="7" cm="1">
        <f t="array" ref="BS20">PRODUCT(1 + 預測IC!$C20:BS20) - 1</f>
        <v>4.9422400049069557</v>
      </c>
      <c r="BT20" s="7" cm="1">
        <f t="array" ref="BT20">PRODUCT(1 + 預測IC!$C20:BT20) - 1</f>
        <v>5.2540152149350829</v>
      </c>
      <c r="BU20" s="7" cm="1">
        <f t="array" ref="BU20">PRODUCT(1 + 預測IC!$C20:BU20) - 1</f>
        <v>4.319408901900462</v>
      </c>
      <c r="BV20" s="7" cm="1">
        <f t="array" ref="BV20">PRODUCT(1 + 預測IC!$C20:BV20) - 1</f>
        <v>5.0306666644358895</v>
      </c>
      <c r="BW20" s="7" cm="1">
        <f t="array" ref="BW20">PRODUCT(1 + 預測IC!$C20:BW20) - 1</f>
        <v>7.0934120457675416</v>
      </c>
      <c r="BX20" s="7" cm="1">
        <f t="array" ref="BX20">PRODUCT(1 + 預測IC!$C20:BX20) - 1</f>
        <v>6.6655827783773098</v>
      </c>
      <c r="BY20" s="7" cm="1">
        <f t="array" ref="BY20">PRODUCT(1 + 預測IC!$C20:BY20) - 1</f>
        <v>6.334556217179677</v>
      </c>
      <c r="BZ20" s="7" cm="1">
        <f t="array" ref="BZ20">PRODUCT(1 + 預測IC!$C20:BZ20) - 1</f>
        <v>6.9966569065304807</v>
      </c>
      <c r="CA20" s="7" cm="1">
        <f t="array" ref="CA20">PRODUCT(1 + 預測IC!$C20:CA20) - 1</f>
        <v>7.3982236357157056</v>
      </c>
      <c r="CB20" s="7" cm="1">
        <f t="array" ref="CB20">PRODUCT(1 + 預測IC!$C20:CB20) - 1</f>
        <v>8.4605573189024206</v>
      </c>
      <c r="CC20" s="7" cm="1">
        <f t="array" ref="CC20">PRODUCT(1 + 預測IC!$C20:CC20) - 1</f>
        <v>8.5827418119008811</v>
      </c>
      <c r="CD20" s="7" cm="1">
        <f t="array" ref="CD20">PRODUCT(1 + 預測IC!$C20:CD20) - 1</f>
        <v>10.317481581207806</v>
      </c>
      <c r="CE20" s="7" cm="1">
        <f t="array" ref="CE20">PRODUCT(1 + 預測IC!$C20:CE20) - 1</f>
        <v>11.288274469705591</v>
      </c>
      <c r="CF20" s="7" cm="1">
        <f t="array" ref="CF20">PRODUCT(1 + 預測IC!$C20:CF20) - 1</f>
        <v>9.6759477236938753</v>
      </c>
      <c r="CG20" s="7" cm="1">
        <f t="array" ref="CG20">PRODUCT(1 + 預測IC!$C20:CG20) - 1</f>
        <v>13.112946558005358</v>
      </c>
      <c r="CH20" s="7" cm="1">
        <f t="array" ref="CH20">PRODUCT(1 + 預測IC!$C20:CH20) - 1</f>
        <v>14.127159710700901</v>
      </c>
      <c r="CI20" s="7" cm="1">
        <f t="array" ref="CI20">PRODUCT(1 + 預測IC!$C20:CI20) - 1</f>
        <v>12.138154006577112</v>
      </c>
      <c r="CJ20" s="7" cm="1">
        <f t="array" ref="CJ20">PRODUCT(1 + 預測IC!$C20:CJ20) - 1</f>
        <v>11.976241526305316</v>
      </c>
      <c r="CK20" s="7" cm="1">
        <f t="array" ref="CK20">PRODUCT(1 + 預測IC!$C20:CK20) - 1</f>
        <v>12.784359695783534</v>
      </c>
      <c r="CL20" s="7" cm="1">
        <f t="array" ref="CL20">PRODUCT(1 + 預測IC!$C20:CL20) - 1</f>
        <v>16.891201666174112</v>
      </c>
      <c r="CM20" s="7" cm="1">
        <f t="array" ref="CM20">PRODUCT(1 + 預測IC!$C20:CM20) - 1</f>
        <v>15.159766207318885</v>
      </c>
      <c r="CN20" s="7" cm="1">
        <f t="array" ref="CN20">PRODUCT(1 + 預測IC!$C20:CN20) - 1</f>
        <v>14.847107412857815</v>
      </c>
      <c r="CO20" s="7" cm="1">
        <f t="array" ref="CO20">PRODUCT(1 + 預測IC!$C20:CO20) - 1</f>
        <v>19.546936434643467</v>
      </c>
      <c r="CP20" s="7" cm="1">
        <f t="array" ref="CP20">PRODUCT(1 + 預測IC!$C20:CP20) - 1</f>
        <v>19.69948391488899</v>
      </c>
      <c r="CQ20" s="7" cm="1">
        <f t="array" ref="CQ20">PRODUCT(1 + 預測IC!$C20:CQ20) - 1</f>
        <v>21.407601319615313</v>
      </c>
      <c r="CR20" s="7" cm="1">
        <f t="array" ref="CR20">PRODUCT(1 + 預測IC!$C20:CR20) - 1</f>
        <v>21.975915290623124</v>
      </c>
      <c r="CS20" s="7" cm="1">
        <f t="array" ref="CS20">PRODUCT(1 + 預測IC!$C20:CS20) - 1</f>
        <v>22.488118246943198</v>
      </c>
      <c r="CT20" s="7" cm="1">
        <f t="array" ref="CT20">PRODUCT(1 + 預測IC!$C20:CT20) - 1</f>
        <v>23.155519207791073</v>
      </c>
      <c r="CU20" s="7" cm="1">
        <f t="array" ref="CU20">PRODUCT(1 + 預測IC!$C20:CU20) - 1</f>
        <v>20.863941666336171</v>
      </c>
      <c r="CV20" s="7" cm="1">
        <f t="array" ref="CV20">PRODUCT(1 + 預測IC!$C20:CV20) - 1</f>
        <v>22.886598428830979</v>
      </c>
      <c r="CW20" s="7" cm="1">
        <f t="array" ref="CW20">PRODUCT(1 + 預測IC!$C20:CW20) - 1</f>
        <v>22.269932387729074</v>
      </c>
      <c r="CX20" s="7" cm="1">
        <f t="array" ref="CX20">PRODUCT(1 + 預測IC!$C20:CX20) - 1</f>
        <v>22.488347318249925</v>
      </c>
      <c r="CY20" s="7" cm="1">
        <f t="array" ref="CY20">PRODUCT(1 + 預測IC!$C20:CY20) - 1</f>
        <v>25.042301991536938</v>
      </c>
      <c r="CZ20" s="7" cm="1">
        <f t="array" ref="CZ20">PRODUCT(1 + 預測IC!$C20:CZ20) - 1</f>
        <v>29.083068412016054</v>
      </c>
      <c r="DA20" s="7" cm="1">
        <f t="array" ref="DA20">PRODUCT(1 + 預測IC!$C20:DA20) - 1</f>
        <v>27.654968202580932</v>
      </c>
      <c r="DB20" s="7" cm="1">
        <f t="array" ref="DB20">PRODUCT(1 + 預測IC!$C20:DB20) - 1</f>
        <v>26.024422863849562</v>
      </c>
      <c r="DC20" s="7" cm="1">
        <f t="array" ref="DC20">PRODUCT(1 + 預測IC!$C20:DC20) - 1</f>
        <v>26.805460051932791</v>
      </c>
      <c r="DD20" s="7" cm="1">
        <f t="array" ref="DD20">PRODUCT(1 + 預測IC!$C20:DD20) - 1</f>
        <v>24.910156136022458</v>
      </c>
      <c r="DE20" s="7" cm="1">
        <f t="array" ref="DE20">PRODUCT(1 + 預測IC!$C20:DE20) - 1</f>
        <v>24.12076257303157</v>
      </c>
      <c r="DF20" s="7" cm="1">
        <f t="array" ref="DF20">PRODUCT(1 + 預測IC!$C20:DF20) - 1</f>
        <v>24.142344361068883</v>
      </c>
      <c r="DG20" s="7" cm="1">
        <f t="array" ref="DG20">PRODUCT(1 + 預測IC!$C20:DG20) - 1</f>
        <v>24.03669093457378</v>
      </c>
      <c r="DH20" s="7" cm="1">
        <f t="array" ref="DH20">PRODUCT(1 + 預測IC!$C20:DH20) - 1</f>
        <v>31.004373308810919</v>
      </c>
      <c r="DI20" s="7" cm="1">
        <f t="array" ref="DI20">PRODUCT(1 + 預測IC!$C20:DI20) - 1</f>
        <v>35.408039355563012</v>
      </c>
      <c r="DJ20" s="7" cm="1">
        <f t="array" ref="DJ20">PRODUCT(1 + 預測IC!$C20:DJ20) - 1</f>
        <v>33.971380078836944</v>
      </c>
      <c r="DK20" s="7" cm="1">
        <f t="array" ref="DK20">PRODUCT(1 + 預測IC!$C20:DK20) - 1</f>
        <v>30.992254238798779</v>
      </c>
      <c r="DL20" s="7" cm="1">
        <f t="array" ref="DL20">PRODUCT(1 + 預測IC!$C20:DL20) - 1</f>
        <v>31.318158330837733</v>
      </c>
      <c r="DM20" s="7" cm="1">
        <f t="array" ref="DM20">PRODUCT(1 + 預測IC!$C20:DM20) - 1</f>
        <v>33.558973604408017</v>
      </c>
      <c r="DN20" s="7" cm="1">
        <f t="array" ref="DN20">PRODUCT(1 + 預測IC!$C20:DN20) - 1</f>
        <v>31.331260611520172</v>
      </c>
      <c r="DO20" s="7" cm="1">
        <f t="array" ref="DO20">PRODUCT(1 + 預測IC!$C20:DO20) - 1</f>
        <v>39.672769931641007</v>
      </c>
      <c r="DP20" s="7" cm="1">
        <f t="array" ref="DP20">PRODUCT(1 + 預測IC!$C20:DP20) - 1</f>
        <v>38.791339687740546</v>
      </c>
      <c r="DQ20" s="7" cm="1">
        <f t="array" ref="DQ20">PRODUCT(1 + 預測IC!$C20:DQ20) - 1</f>
        <v>37.257769077711245</v>
      </c>
      <c r="DR20" s="7" cm="1">
        <f t="array" ref="DR20">PRODUCT(1 + 預測IC!$C20:DR20) - 1</f>
        <v>35.132244240679682</v>
      </c>
      <c r="DS20" s="7" cm="1">
        <f t="array" ref="DS20">PRODUCT(1 + 預測IC!$C20:DS20) - 1</f>
        <v>27.686071689591227</v>
      </c>
      <c r="DT20" s="7" cm="1">
        <f t="array" ref="DT20">PRODUCT(1 + 預測IC!$C20:DT20) - 1</f>
        <v>27.824606603066655</v>
      </c>
      <c r="DU20" s="7" cm="1">
        <f t="array" ref="DU20">PRODUCT(1 + 預測IC!$C20:DU20) - 1</f>
        <v>22.740661744098553</v>
      </c>
      <c r="DV20" s="7" cm="1">
        <f t="array" ref="DV20">PRODUCT(1 + 預測IC!$C20:DV20) - 1</f>
        <v>22.023862404075746</v>
      </c>
      <c r="DW20" s="7" cm="1">
        <f t="array" ref="DW20">PRODUCT(1 + 預測IC!$C20:DW20) - 1</f>
        <v>19.639829676355578</v>
      </c>
      <c r="DX20" s="7" cm="1">
        <f t="array" ref="DX20">PRODUCT(1 + 預測IC!$C20:DX20) - 1</f>
        <v>16.464054840355253</v>
      </c>
      <c r="DY20" s="7" cm="1">
        <f t="array" ref="DY20">PRODUCT(1 + 預測IC!$C20:DY20) - 1</f>
        <v>17.400453174536032</v>
      </c>
      <c r="DZ20" s="7" cm="1">
        <f t="array" ref="DZ20">PRODUCT(1 + 預測IC!$C20:DZ20) - 1</f>
        <v>19.06016754004396</v>
      </c>
      <c r="EA20" s="7" cm="1">
        <f t="array" ref="EA20">PRODUCT(1 + 預測IC!$C20:EA20) - 1</f>
        <v>19.35940556932119</v>
      </c>
      <c r="EB20" s="7" cm="1">
        <f t="array" ref="EB20">PRODUCT(1 + 預測IC!$C20:EB20) - 1</f>
        <v>17.194951011522296</v>
      </c>
      <c r="EC20" s="7" cm="1">
        <f t="array" ref="EC20">PRODUCT(1 + 預測IC!$C20:EC20) - 1</f>
        <v>17.814481477311809</v>
      </c>
      <c r="ED20" s="7" cm="1">
        <f t="array" ref="ED20">PRODUCT(1 + 預測IC!$C20:ED20) - 1</f>
        <v>16.410438417188882</v>
      </c>
      <c r="EE20" s="7" cm="1">
        <f t="array" ref="EE20">PRODUCT(1 + 預測IC!$C20:EE20) - 1</f>
        <v>16.440749637944119</v>
      </c>
      <c r="EF20" s="7" cm="1">
        <f t="array" ref="EF20">PRODUCT(1 + 預測IC!$C20:EF20) - 1</f>
        <v>16.794472747444999</v>
      </c>
    </row>
    <row r="21" spans="1:136" x14ac:dyDescent="0.3">
      <c r="A21" s="1">
        <v>4</v>
      </c>
      <c r="B21" s="1" t="s">
        <v>179</v>
      </c>
      <c r="C21" s="7" cm="1">
        <f t="array" ref="C21">PRODUCT(1 + 預測IC!$C21:C21) - 1</f>
        <v>-0.21462957980695319</v>
      </c>
      <c r="D21" s="7" cm="1">
        <f t="array" ref="D21">PRODUCT(1 + 預測IC!$C21:D21) - 1</f>
        <v>-0.11536824850846916</v>
      </c>
      <c r="E21" s="7" cm="1">
        <f t="array" ref="E21">PRODUCT(1 + 預測IC!$C21:E21) - 1</f>
        <v>-0.11561537239706288</v>
      </c>
      <c r="F21" s="7" cm="1">
        <f t="array" ref="F21">PRODUCT(1 + 預測IC!$C21:F21) - 1</f>
        <v>6.4280397891353758E-2</v>
      </c>
      <c r="G21" s="7" cm="1">
        <f t="array" ref="G21">PRODUCT(1 + 預測IC!$C21:G21) - 1</f>
        <v>0.21895424640875816</v>
      </c>
      <c r="H21" s="7" cm="1">
        <f t="array" ref="H21">PRODUCT(1 + 預測IC!$C21:H21) - 1</f>
        <v>0.41662484984005954</v>
      </c>
      <c r="I21" s="7" cm="1">
        <f t="array" ref="I21">PRODUCT(1 + 預測IC!$C21:I21) - 1</f>
        <v>0.62523080359174754</v>
      </c>
      <c r="J21" s="7" cm="1">
        <f t="array" ref="J21">PRODUCT(1 + 預測IC!$C21:J21) - 1</f>
        <v>0.40299200540847413</v>
      </c>
      <c r="K21" s="7" cm="1">
        <f t="array" ref="K21">PRODUCT(1 + 預測IC!$C21:K21) - 1</f>
        <v>0.40505481888612915</v>
      </c>
      <c r="L21" s="7" cm="1">
        <f t="array" ref="L21">PRODUCT(1 + 預測IC!$C21:L21) - 1</f>
        <v>0.39798858279853144</v>
      </c>
      <c r="M21" s="7" cm="1">
        <f t="array" ref="M21">PRODUCT(1 + 預測IC!$C21:M21) - 1</f>
        <v>0.11855167030821723</v>
      </c>
      <c r="N21" s="7" cm="1">
        <f t="array" ref="N21">PRODUCT(1 + 預測IC!$C21:N21) - 1</f>
        <v>0.77278277129841477</v>
      </c>
      <c r="O21" s="7" cm="1">
        <f t="array" ref="O21">PRODUCT(1 + 預測IC!$C21:O21) - 1</f>
        <v>1.0028588777977765</v>
      </c>
      <c r="P21" s="7" cm="1">
        <f t="array" ref="P21">PRODUCT(1 + 預測IC!$C21:P21) - 1</f>
        <v>1.0938431346263155</v>
      </c>
      <c r="Q21" s="7" cm="1">
        <f t="array" ref="Q21">PRODUCT(1 + 預測IC!$C21:Q21) - 1</f>
        <v>1.6677308748210766</v>
      </c>
      <c r="R21" s="7" cm="1">
        <f t="array" ref="R21">PRODUCT(1 + 預測IC!$C21:R21) - 1</f>
        <v>1.8942351815093725</v>
      </c>
      <c r="S21" s="7" cm="1">
        <f t="array" ref="S21">PRODUCT(1 + 預測IC!$C21:S21) - 1</f>
        <v>1.7884124164447721</v>
      </c>
      <c r="T21" s="7" cm="1">
        <f t="array" ref="T21">PRODUCT(1 + 預測IC!$C21:T21) - 1</f>
        <v>1.4227947739553417</v>
      </c>
      <c r="U21" s="7" cm="1">
        <f t="array" ref="U21">PRODUCT(1 + 預測IC!$C21:U21) - 1</f>
        <v>1.3989916857280562</v>
      </c>
      <c r="V21" s="7" cm="1">
        <f t="array" ref="V21">PRODUCT(1 + 預測IC!$C21:V21) - 1</f>
        <v>1.0829233588600942</v>
      </c>
      <c r="W21" s="7" cm="1">
        <f t="array" ref="W21">PRODUCT(1 + 預測IC!$C21:W21) - 1</f>
        <v>1.3422444401638125</v>
      </c>
      <c r="X21" s="7" cm="1">
        <f t="array" ref="X21">PRODUCT(1 + 預測IC!$C21:X21) - 1</f>
        <v>1.8289658032811618</v>
      </c>
      <c r="Y21" s="7" cm="1">
        <f t="array" ref="Y21">PRODUCT(1 + 預測IC!$C21:Y21) - 1</f>
        <v>1.8002697349652736</v>
      </c>
      <c r="Z21" s="7" cm="1">
        <f t="array" ref="Z21">PRODUCT(1 + 預測IC!$C21:Z21) - 1</f>
        <v>1.9107619819947224</v>
      </c>
      <c r="AA21" s="7" cm="1">
        <f t="array" ref="AA21">PRODUCT(1 + 預測IC!$C21:AA21) - 1</f>
        <v>1.9674957705206313</v>
      </c>
      <c r="AB21" s="7" cm="1">
        <f t="array" ref="AB21">PRODUCT(1 + 預測IC!$C21:AB21) - 1</f>
        <v>1.7737551083990732</v>
      </c>
      <c r="AC21" s="7" cm="1">
        <f t="array" ref="AC21">PRODUCT(1 + 預測IC!$C21:AC21) - 1</f>
        <v>1.3312239151458969</v>
      </c>
      <c r="AD21" s="7" cm="1">
        <f t="array" ref="AD21">PRODUCT(1 + 預測IC!$C21:AD21) - 1</f>
        <v>1.6315430565641575</v>
      </c>
      <c r="AE21" s="7" cm="1">
        <f t="array" ref="AE21">PRODUCT(1 + 預測IC!$C21:AE21) - 1</f>
        <v>1.6586785040881038</v>
      </c>
      <c r="AF21" s="7" cm="1">
        <f t="array" ref="AF21">PRODUCT(1 + 預測IC!$C21:AF21) - 1</f>
        <v>1.5694351069892356</v>
      </c>
      <c r="AG21" s="7" cm="1">
        <f t="array" ref="AG21">PRODUCT(1 + 預測IC!$C21:AG21) - 1</f>
        <v>1.4556019943989957</v>
      </c>
      <c r="AH21" s="7" cm="1">
        <f t="array" ref="AH21">PRODUCT(1 + 預測IC!$C21:AH21) - 1</f>
        <v>1.1914249859247157</v>
      </c>
      <c r="AI21" s="7" cm="1">
        <f t="array" ref="AI21">PRODUCT(1 + 預測IC!$C21:AI21) - 1</f>
        <v>1.365849724992612</v>
      </c>
      <c r="AJ21" s="7" cm="1">
        <f t="array" ref="AJ21">PRODUCT(1 + 預測IC!$C21:AJ21) - 1</f>
        <v>1.1992812661105483</v>
      </c>
      <c r="AK21" s="7" cm="1">
        <f t="array" ref="AK21">PRODUCT(1 + 預測IC!$C21:AK21) - 1</f>
        <v>1.120540030300623</v>
      </c>
      <c r="AL21" s="7" cm="1">
        <f t="array" ref="AL21">PRODUCT(1 + 預測IC!$C21:AL21) - 1</f>
        <v>1.2591805615801426</v>
      </c>
      <c r="AM21" s="7" cm="1">
        <f t="array" ref="AM21">PRODUCT(1 + 預測IC!$C21:AM21) - 1</f>
        <v>1.414015325538029</v>
      </c>
      <c r="AN21" s="7" cm="1">
        <f t="array" ref="AN21">PRODUCT(1 + 預測IC!$C21:AN21) - 1</f>
        <v>1.6842789606611337</v>
      </c>
      <c r="AO21" s="7" cm="1">
        <f t="array" ref="AO21">PRODUCT(1 + 預測IC!$C21:AO21) - 1</f>
        <v>1.8123899203557783</v>
      </c>
      <c r="AP21" s="7" cm="1">
        <f t="array" ref="AP21">PRODUCT(1 + 預測IC!$C21:AP21) - 1</f>
        <v>1.6083928137078973</v>
      </c>
      <c r="AQ21" s="7" cm="1">
        <f t="array" ref="AQ21">PRODUCT(1 + 預測IC!$C21:AQ21) - 1</f>
        <v>1.8088882498162242</v>
      </c>
      <c r="AR21" s="7" cm="1">
        <f t="array" ref="AR21">PRODUCT(1 + 預測IC!$C21:AR21) - 1</f>
        <v>1.6740949232979472</v>
      </c>
      <c r="AS21" s="7" cm="1">
        <f t="array" ref="AS21">PRODUCT(1 + 預測IC!$C21:AS21) - 1</f>
        <v>1.8464560344226584</v>
      </c>
      <c r="AT21" s="7" cm="1">
        <f t="array" ref="AT21">PRODUCT(1 + 預測IC!$C21:AT21) - 1</f>
        <v>1.665865339972227</v>
      </c>
      <c r="AU21" s="7" cm="1">
        <f t="array" ref="AU21">PRODUCT(1 + 預測IC!$C21:AU21) - 1</f>
        <v>1.7933193795287998</v>
      </c>
      <c r="AV21" s="7" cm="1">
        <f t="array" ref="AV21">PRODUCT(1 + 預測IC!$C21:AV21) - 1</f>
        <v>1.9354925425143139</v>
      </c>
      <c r="AW21" s="7" cm="1">
        <f t="array" ref="AW21">PRODUCT(1 + 預測IC!$C21:AW21) - 1</f>
        <v>1.9642340379281009</v>
      </c>
      <c r="AX21" s="7" cm="1">
        <f t="array" ref="AX21">PRODUCT(1 + 預測IC!$C21:AX21) - 1</f>
        <v>2.3885572855766473</v>
      </c>
      <c r="AY21" s="7" cm="1">
        <f t="array" ref="AY21">PRODUCT(1 + 預測IC!$C21:AY21) - 1</f>
        <v>1.9857384895207857</v>
      </c>
      <c r="AZ21" s="7" cm="1">
        <f t="array" ref="AZ21">PRODUCT(1 + 預測IC!$C21:AZ21) - 1</f>
        <v>2.3096981572430546</v>
      </c>
      <c r="BA21" s="7" cm="1">
        <f t="array" ref="BA21">PRODUCT(1 + 預測IC!$C21:BA21) - 1</f>
        <v>2.7717078001570128</v>
      </c>
      <c r="BB21" s="7" cm="1">
        <f t="array" ref="BB21">PRODUCT(1 + 預測IC!$C21:BB21) - 1</f>
        <v>3.8825234102891875</v>
      </c>
      <c r="BC21" s="7" cm="1">
        <f t="array" ref="BC21">PRODUCT(1 + 預測IC!$C21:BC21) - 1</f>
        <v>3.4916926050754293</v>
      </c>
      <c r="BD21" s="7" cm="1">
        <f t="array" ref="BD21">PRODUCT(1 + 預測IC!$C21:BD21) - 1</f>
        <v>3.6633612662310071</v>
      </c>
      <c r="BE21" s="7" cm="1">
        <f t="array" ref="BE21">PRODUCT(1 + 預測IC!$C21:BE21) - 1</f>
        <v>3.4740832085718258</v>
      </c>
      <c r="BF21" s="7" cm="1">
        <f t="array" ref="BF21">PRODUCT(1 + 預測IC!$C21:BF21) - 1</f>
        <v>3.1953927920095069</v>
      </c>
      <c r="BG21" s="7" cm="1">
        <f t="array" ref="BG21">PRODUCT(1 + 預測IC!$C21:BG21) - 1</f>
        <v>2.8659493235507045</v>
      </c>
      <c r="BH21" s="7" cm="1">
        <f t="array" ref="BH21">PRODUCT(1 + 預測IC!$C21:BH21) - 1</f>
        <v>3.1610038457494438</v>
      </c>
      <c r="BI21" s="7" cm="1">
        <f t="array" ref="BI21">PRODUCT(1 + 預測IC!$C21:BI21) - 1</f>
        <v>3.3535491749832262</v>
      </c>
      <c r="BJ21" s="7" cm="1">
        <f t="array" ref="BJ21">PRODUCT(1 + 預測IC!$C21:BJ21) - 1</f>
        <v>3.4510428267130182</v>
      </c>
      <c r="BK21" s="7" cm="1">
        <f t="array" ref="BK21">PRODUCT(1 + 預測IC!$C21:BK21) - 1</f>
        <v>3.7747365249515088</v>
      </c>
      <c r="BL21" s="7" cm="1">
        <f t="array" ref="BL21">PRODUCT(1 + 預測IC!$C21:BL21) - 1</f>
        <v>3.792655149058656</v>
      </c>
      <c r="BM21" s="7" cm="1">
        <f t="array" ref="BM21">PRODUCT(1 + 預測IC!$C21:BM21) - 1</f>
        <v>3.3374949881920779</v>
      </c>
      <c r="BN21" s="7" cm="1">
        <f t="array" ref="BN21">PRODUCT(1 + 預測IC!$C21:BN21) - 1</f>
        <v>3.2256276679803069</v>
      </c>
      <c r="BO21" s="7" cm="1">
        <f t="array" ref="BO21">PRODUCT(1 + 預測IC!$C21:BO21) - 1</f>
        <v>3.2890294195244207</v>
      </c>
      <c r="BP21" s="7" cm="1">
        <f t="array" ref="BP21">PRODUCT(1 + 預測IC!$C21:BP21) - 1</f>
        <v>3.3069610037218391</v>
      </c>
      <c r="BQ21" s="7" cm="1">
        <f t="array" ref="BQ21">PRODUCT(1 + 預測IC!$C21:BQ21) - 1</f>
        <v>3.5418722649820467</v>
      </c>
      <c r="BR21" s="7" cm="1">
        <f t="array" ref="BR21">PRODUCT(1 + 預測IC!$C21:BR21) - 1</f>
        <v>3.5978456728324018</v>
      </c>
      <c r="BS21" s="7" cm="1">
        <f t="array" ref="BS21">PRODUCT(1 + 預測IC!$C21:BS21) - 1</f>
        <v>3.6247898427768384</v>
      </c>
      <c r="BT21" s="7" cm="1">
        <f t="array" ref="BT21">PRODUCT(1 + 預測IC!$C21:BT21) - 1</f>
        <v>3.9060729951176523</v>
      </c>
      <c r="BU21" s="7" cm="1">
        <f t="array" ref="BU21">PRODUCT(1 + 預測IC!$C21:BU21) - 1</f>
        <v>3.0684173992796371</v>
      </c>
      <c r="BV21" s="7" cm="1">
        <f t="array" ref="BV21">PRODUCT(1 + 預測IC!$C21:BV21) - 1</f>
        <v>3.1466957360488408</v>
      </c>
      <c r="BW21" s="7" cm="1">
        <f t="array" ref="BW21">PRODUCT(1 + 預測IC!$C21:BW21) - 1</f>
        <v>4.8142102900920838</v>
      </c>
      <c r="BX21" s="7" cm="1">
        <f t="array" ref="BX21">PRODUCT(1 + 預測IC!$C21:BX21) - 1</f>
        <v>4.3655567384018479</v>
      </c>
      <c r="BY21" s="7" cm="1">
        <f t="array" ref="BY21">PRODUCT(1 + 預測IC!$C21:BY21) - 1</f>
        <v>4.2855220609920579</v>
      </c>
      <c r="BZ21" s="7" cm="1">
        <f t="array" ref="BZ21">PRODUCT(1 + 預測IC!$C21:BZ21) - 1</f>
        <v>4.5374455222368919</v>
      </c>
      <c r="CA21" s="7" cm="1">
        <f t="array" ref="CA21">PRODUCT(1 + 預測IC!$C21:CA21) - 1</f>
        <v>5.0638319585424343</v>
      </c>
      <c r="CB21" s="7" cm="1">
        <f t="array" ref="CB21">PRODUCT(1 + 預測IC!$C21:CB21) - 1</f>
        <v>6.3243197854654367</v>
      </c>
      <c r="CC21" s="7" cm="1">
        <f t="array" ref="CC21">PRODUCT(1 + 預測IC!$C21:CC21) - 1</f>
        <v>6.2655864000398553</v>
      </c>
      <c r="CD21" s="7" cm="1">
        <f t="array" ref="CD21">PRODUCT(1 + 預測IC!$C21:CD21) - 1</f>
        <v>8.358482623720846</v>
      </c>
      <c r="CE21" s="7" cm="1">
        <f t="array" ref="CE21">PRODUCT(1 + 預測IC!$C21:CE21) - 1</f>
        <v>8.9341685813324307</v>
      </c>
      <c r="CF21" s="7" cm="1">
        <f t="array" ref="CF21">PRODUCT(1 + 預測IC!$C21:CF21) - 1</f>
        <v>7.6708356332700909</v>
      </c>
      <c r="CG21" s="7" cm="1">
        <f t="array" ref="CG21">PRODUCT(1 + 預測IC!$C21:CG21) - 1</f>
        <v>10.446949187194992</v>
      </c>
      <c r="CH21" s="7" cm="1">
        <f t="array" ref="CH21">PRODUCT(1 + 預測IC!$C21:CH21) - 1</f>
        <v>11.363853492432391</v>
      </c>
      <c r="CI21" s="7" cm="1">
        <f t="array" ref="CI21">PRODUCT(1 + 預測IC!$C21:CI21) - 1</f>
        <v>9.8394726208083085</v>
      </c>
      <c r="CJ21" s="7" cm="1">
        <f t="array" ref="CJ21">PRODUCT(1 + 預測IC!$C21:CJ21) - 1</f>
        <v>9.7098708258445807</v>
      </c>
      <c r="CK21" s="7" cm="1">
        <f t="array" ref="CK21">PRODUCT(1 + 預測IC!$C21:CK21) - 1</f>
        <v>9.8015862003311742</v>
      </c>
      <c r="CL21" s="7" cm="1">
        <f t="array" ref="CL21">PRODUCT(1 + 預測IC!$C21:CL21) - 1</f>
        <v>13.712665047397284</v>
      </c>
      <c r="CM21" s="7" cm="1">
        <f t="array" ref="CM21">PRODUCT(1 + 預測IC!$C21:CM21) - 1</f>
        <v>12.00258522394407</v>
      </c>
      <c r="CN21" s="7" cm="1">
        <f t="array" ref="CN21">PRODUCT(1 + 預測IC!$C21:CN21) - 1</f>
        <v>11.855891108180474</v>
      </c>
      <c r="CO21" s="7" cm="1">
        <f t="array" ref="CO21">PRODUCT(1 + 預測IC!$C21:CO21) - 1</f>
        <v>16.168833772096995</v>
      </c>
      <c r="CP21" s="7" cm="1">
        <f t="array" ref="CP21">PRODUCT(1 + 預測IC!$C21:CP21) - 1</f>
        <v>14.516277063481441</v>
      </c>
      <c r="CQ21" s="7" cm="1">
        <f t="array" ref="CQ21">PRODUCT(1 + 預測IC!$C21:CQ21) - 1</f>
        <v>13.594554083256673</v>
      </c>
      <c r="CR21" s="7" cm="1">
        <f t="array" ref="CR21">PRODUCT(1 + 預測IC!$C21:CR21) - 1</f>
        <v>13.764081341995135</v>
      </c>
      <c r="CS21" s="7" cm="1">
        <f t="array" ref="CS21">PRODUCT(1 + 預測IC!$C21:CS21) - 1</f>
        <v>14.220405813349231</v>
      </c>
      <c r="CT21" s="7" cm="1">
        <f t="array" ref="CT21">PRODUCT(1 + 預測IC!$C21:CT21) - 1</f>
        <v>14.950880333582655</v>
      </c>
      <c r="CU21" s="7" cm="1">
        <f t="array" ref="CU21">PRODUCT(1 + 預測IC!$C21:CU21) - 1</f>
        <v>13.951181875239506</v>
      </c>
      <c r="CV21" s="7" cm="1">
        <f t="array" ref="CV21">PRODUCT(1 + 預測IC!$C21:CV21) - 1</f>
        <v>15.419771164401613</v>
      </c>
      <c r="CW21" s="7" cm="1">
        <f t="array" ref="CW21">PRODUCT(1 + 預測IC!$C21:CW21) - 1</f>
        <v>14.914822458586078</v>
      </c>
      <c r="CX21" s="7" cm="1">
        <f t="array" ref="CX21">PRODUCT(1 + 預測IC!$C21:CX21) - 1</f>
        <v>15.128009844166069</v>
      </c>
      <c r="CY21" s="7" cm="1">
        <f t="array" ref="CY21">PRODUCT(1 + 預測IC!$C21:CY21) - 1</f>
        <v>16.781214091167346</v>
      </c>
      <c r="CZ21" s="7" cm="1">
        <f t="array" ref="CZ21">PRODUCT(1 + 預測IC!$C21:CZ21) - 1</f>
        <v>21.003387752062601</v>
      </c>
      <c r="DA21" s="7" cm="1">
        <f t="array" ref="DA21">PRODUCT(1 + 預測IC!$C21:DA21) - 1</f>
        <v>21.029621433179969</v>
      </c>
      <c r="DB21" s="7" cm="1">
        <f t="array" ref="DB21">PRODUCT(1 + 預測IC!$C21:DB21) - 1</f>
        <v>19.892354702591977</v>
      </c>
      <c r="DC21" s="7" cm="1">
        <f t="array" ref="DC21">PRODUCT(1 + 預測IC!$C21:DC21) - 1</f>
        <v>20.901646544731928</v>
      </c>
      <c r="DD21" s="7" cm="1">
        <f t="array" ref="DD21">PRODUCT(1 + 預測IC!$C21:DD21) - 1</f>
        <v>19.433634014164923</v>
      </c>
      <c r="DE21" s="7" cm="1">
        <f t="array" ref="DE21">PRODUCT(1 + 預測IC!$C21:DE21) - 1</f>
        <v>18.315520518444099</v>
      </c>
      <c r="DF21" s="7" cm="1">
        <f t="array" ref="DF21">PRODUCT(1 + 預測IC!$C21:DF21) - 1</f>
        <v>18.731980151959625</v>
      </c>
      <c r="DG21" s="7" cm="1">
        <f t="array" ref="DG21">PRODUCT(1 + 預測IC!$C21:DG21) - 1</f>
        <v>18.886804729456617</v>
      </c>
      <c r="DH21" s="7" cm="1">
        <f t="array" ref="DH21">PRODUCT(1 + 預測IC!$C21:DH21) - 1</f>
        <v>20.506310303692786</v>
      </c>
      <c r="DI21" s="7" cm="1">
        <f t="array" ref="DI21">PRODUCT(1 + 預測IC!$C21:DI21) - 1</f>
        <v>24.374001388704826</v>
      </c>
      <c r="DJ21" s="7" cm="1">
        <f t="array" ref="DJ21">PRODUCT(1 + 預測IC!$C21:DJ21) - 1</f>
        <v>23.412039675159932</v>
      </c>
      <c r="DK21" s="7" cm="1">
        <f t="array" ref="DK21">PRODUCT(1 + 預測IC!$C21:DK21) - 1</f>
        <v>21.193092903642462</v>
      </c>
      <c r="DL21" s="7" cm="1">
        <f t="array" ref="DL21">PRODUCT(1 + 預測IC!$C21:DL21) - 1</f>
        <v>21.907892550619358</v>
      </c>
      <c r="DM21" s="7" cm="1">
        <f t="array" ref="DM21">PRODUCT(1 + 預測IC!$C21:DM21) - 1</f>
        <v>22.480333351932686</v>
      </c>
      <c r="DN21" s="7" cm="1">
        <f t="array" ref="DN21">PRODUCT(1 + 預測IC!$C21:DN21) - 1</f>
        <v>21.379696591707127</v>
      </c>
      <c r="DO21" s="7" cm="1">
        <f t="array" ref="DO21">PRODUCT(1 + 預測IC!$C21:DO21) - 1</f>
        <v>28.801403866568485</v>
      </c>
      <c r="DP21" s="7" cm="1">
        <f t="array" ref="DP21">PRODUCT(1 + 預測IC!$C21:DP21) - 1</f>
        <v>27.695514504671728</v>
      </c>
      <c r="DQ21" s="7" cm="1">
        <f t="array" ref="DQ21">PRODUCT(1 + 預測IC!$C21:DQ21) - 1</f>
        <v>26.885840373737601</v>
      </c>
      <c r="DR21" s="7" cm="1">
        <f t="array" ref="DR21">PRODUCT(1 + 預測IC!$C21:DR21) - 1</f>
        <v>25.392358705090235</v>
      </c>
      <c r="DS21" s="7" cm="1">
        <f t="array" ref="DS21">PRODUCT(1 + 預測IC!$C21:DS21) - 1</f>
        <v>20.091731269434742</v>
      </c>
      <c r="DT21" s="7" cm="1">
        <f t="array" ref="DT21">PRODUCT(1 + 預測IC!$C21:DT21) - 1</f>
        <v>19.886959181505631</v>
      </c>
      <c r="DU21" s="7" cm="1">
        <f t="array" ref="DU21">PRODUCT(1 + 預測IC!$C21:DU21) - 1</f>
        <v>16.782849661308063</v>
      </c>
      <c r="DV21" s="7" cm="1">
        <f t="array" ref="DV21">PRODUCT(1 + 預測IC!$C21:DV21) - 1</f>
        <v>15.899675028801443</v>
      </c>
      <c r="DW21" s="7" cm="1">
        <f t="array" ref="DW21">PRODUCT(1 + 預測IC!$C21:DW21) - 1</f>
        <v>14.149975749652077</v>
      </c>
      <c r="DX21" s="7" cm="1">
        <f t="array" ref="DX21">PRODUCT(1 + 預測IC!$C21:DX21) - 1</f>
        <v>11.33259211682504</v>
      </c>
      <c r="DY21" s="7" cm="1">
        <f t="array" ref="DY21">PRODUCT(1 + 預測IC!$C21:DY21) - 1</f>
        <v>11.635924497502639</v>
      </c>
      <c r="DZ21" s="7" cm="1">
        <f t="array" ref="DZ21">PRODUCT(1 + 預測IC!$C21:DZ21) - 1</f>
        <v>12.886003756763825</v>
      </c>
      <c r="EA21" s="7" cm="1">
        <f t="array" ref="EA21">PRODUCT(1 + 預測IC!$C21:EA21) - 1</f>
        <v>12.540721018631057</v>
      </c>
      <c r="EB21" s="7" cm="1">
        <f t="array" ref="EB21">PRODUCT(1 + 預測IC!$C21:EB21) - 1</f>
        <v>11.142024671423432</v>
      </c>
      <c r="EC21" s="7" cm="1">
        <f t="array" ref="EC21">PRODUCT(1 + 預測IC!$C21:EC21) - 1</f>
        <v>11.312462940737987</v>
      </c>
      <c r="ED21" s="7" cm="1">
        <f t="array" ref="ED21">PRODUCT(1 + 預測IC!$C21:ED21) - 1</f>
        <v>10.293852296769202</v>
      </c>
      <c r="EE21" s="7" cm="1">
        <f t="array" ref="EE21">PRODUCT(1 + 預測IC!$C21:EE21) - 1</f>
        <v>10.053173614887482</v>
      </c>
      <c r="EF21" s="7" cm="1">
        <f t="array" ref="EF21">PRODUCT(1 + 預測IC!$C21:EF21) - 1</f>
        <v>9.8456915744590461</v>
      </c>
    </row>
    <row r="22" spans="1:136" x14ac:dyDescent="0.3">
      <c r="A22" s="1">
        <v>3</v>
      </c>
      <c r="B22" s="1" t="s">
        <v>180</v>
      </c>
      <c r="C22" s="7" cm="1">
        <f t="array" ref="C22">PRODUCT(1 + 預測IC!$C22:C22) - 1</f>
        <v>-0.20528030103697537</v>
      </c>
      <c r="D22" s="7" cm="1">
        <f t="array" ref="D22">PRODUCT(1 + 預測IC!$C22:D22) - 1</f>
        <v>-9.2090081310075012E-2</v>
      </c>
      <c r="E22" s="7" cm="1">
        <f t="array" ref="E22">PRODUCT(1 + 預測IC!$C22:E22) - 1</f>
        <v>-0.12933938455280536</v>
      </c>
      <c r="F22" s="7" cm="1">
        <f t="array" ref="F22">PRODUCT(1 + 預測IC!$C22:F22) - 1</f>
        <v>-0.25111646492020612</v>
      </c>
      <c r="G22" s="7" cm="1">
        <f t="array" ref="G22">PRODUCT(1 + 預測IC!$C22:G22) - 1</f>
        <v>-7.6667471868597348E-2</v>
      </c>
      <c r="H22" s="7" cm="1">
        <f t="array" ref="H22">PRODUCT(1 + 預測IC!$C22:H22) - 1</f>
        <v>3.7990172943316747E-2</v>
      </c>
      <c r="I22" s="7" cm="1">
        <f t="array" ref="I22">PRODUCT(1 + 預測IC!$C22:I22) - 1</f>
        <v>0.16617486914185808</v>
      </c>
      <c r="J22" s="7" cm="1">
        <f t="array" ref="J22">PRODUCT(1 + 預測IC!$C22:J22) - 1</f>
        <v>4.4597054230388844E-2</v>
      </c>
      <c r="K22" s="7" cm="1">
        <f t="array" ref="K22">PRODUCT(1 + 預測IC!$C22:K22) - 1</f>
        <v>7.4531842323702024E-2</v>
      </c>
      <c r="L22" s="7" cm="1">
        <f t="array" ref="L22">PRODUCT(1 + 預測IC!$C22:L22) - 1</f>
        <v>8.9868859547846514E-2</v>
      </c>
      <c r="M22" s="7" cm="1">
        <f t="array" ref="M22">PRODUCT(1 + 預測IC!$C22:M22) - 1</f>
        <v>-0.11138936189454096</v>
      </c>
      <c r="N22" s="7" cm="1">
        <f t="array" ref="N22">PRODUCT(1 + 預測IC!$C22:N22) - 1</f>
        <v>0.5605277455932165</v>
      </c>
      <c r="O22" s="7" cm="1">
        <f t="array" ref="O22">PRODUCT(1 + 預測IC!$C22:O22) - 1</f>
        <v>0.78443280648019842</v>
      </c>
      <c r="P22" s="7" cm="1">
        <f t="array" ref="P22">PRODUCT(1 + 預測IC!$C22:P22) - 1</f>
        <v>0.94615751208707177</v>
      </c>
      <c r="Q22" s="7" cm="1">
        <f t="array" ref="Q22">PRODUCT(1 + 預測IC!$C22:Q22) - 1</f>
        <v>1.193846711180901</v>
      </c>
      <c r="R22" s="7" cm="1">
        <f t="array" ref="R22">PRODUCT(1 + 預測IC!$C22:R22) - 1</f>
        <v>1.3401725410566829</v>
      </c>
      <c r="S22" s="7" cm="1">
        <f t="array" ref="S22">PRODUCT(1 + 預測IC!$C22:S22) - 1</f>
        <v>1.2483578756790998</v>
      </c>
      <c r="T22" s="7" cm="1">
        <f t="array" ref="T22">PRODUCT(1 + 預測IC!$C22:T22) - 1</f>
        <v>1.0126198746156718</v>
      </c>
      <c r="U22" s="7" cm="1">
        <f t="array" ref="U22">PRODUCT(1 + 預測IC!$C22:U22) - 1</f>
        <v>1.1182600910256038</v>
      </c>
      <c r="V22" s="7" cm="1">
        <f t="array" ref="V22">PRODUCT(1 + 預測IC!$C22:V22) - 1</f>
        <v>0.74624086913226528</v>
      </c>
      <c r="W22" s="7" cm="1">
        <f t="array" ref="W22">PRODUCT(1 + 預測IC!$C22:W22) - 1</f>
        <v>1.0222303149816843</v>
      </c>
      <c r="X22" s="7" cm="1">
        <f t="array" ref="X22">PRODUCT(1 + 預測IC!$C22:X22) - 1</f>
        <v>1.5423527066901839</v>
      </c>
      <c r="Y22" s="7" cm="1">
        <f t="array" ref="Y22">PRODUCT(1 + 預測IC!$C22:Y22) - 1</f>
        <v>1.3647608997642409</v>
      </c>
      <c r="Z22" s="7" cm="1">
        <f t="array" ref="Z22">PRODUCT(1 + 預測IC!$C22:Z22) - 1</f>
        <v>1.421198571403087</v>
      </c>
      <c r="AA22" s="7" cm="1">
        <f t="array" ref="AA22">PRODUCT(1 + 預測IC!$C22:AA22) - 1</f>
        <v>1.4382632198207692</v>
      </c>
      <c r="AB22" s="7" cm="1">
        <f t="array" ref="AB22">PRODUCT(1 + 預測IC!$C22:AB22) - 1</f>
        <v>1.3449410006512337</v>
      </c>
      <c r="AC22" s="7" cm="1">
        <f t="array" ref="AC22">PRODUCT(1 + 預測IC!$C22:AC22) - 1</f>
        <v>0.92938678784835438</v>
      </c>
      <c r="AD22" s="7" cm="1">
        <f t="array" ref="AD22">PRODUCT(1 + 預測IC!$C22:AD22) - 1</f>
        <v>0.95557394718000488</v>
      </c>
      <c r="AE22" s="7" cm="1">
        <f t="array" ref="AE22">PRODUCT(1 + 預測IC!$C22:AE22) - 1</f>
        <v>0.78906135085844809</v>
      </c>
      <c r="AF22" s="7" cm="1">
        <f t="array" ref="AF22">PRODUCT(1 + 預測IC!$C22:AF22) - 1</f>
        <v>0.63447886623731353</v>
      </c>
      <c r="AG22" s="7" cm="1">
        <f t="array" ref="AG22">PRODUCT(1 + 預測IC!$C22:AG22) - 1</f>
        <v>0.54811048556064668</v>
      </c>
      <c r="AH22" s="7" cm="1">
        <f t="array" ref="AH22">PRODUCT(1 + 預測IC!$C22:AH22) - 1</f>
        <v>0.38421828371787492</v>
      </c>
      <c r="AI22" s="7" cm="1">
        <f t="array" ref="AI22">PRODUCT(1 + 預測IC!$C22:AI22) - 1</f>
        <v>0.5145303379720787</v>
      </c>
      <c r="AJ22" s="7" cm="1">
        <f t="array" ref="AJ22">PRODUCT(1 + 預測IC!$C22:AJ22) - 1</f>
        <v>0.46651995445808958</v>
      </c>
      <c r="AK22" s="7" cm="1">
        <f t="array" ref="AK22">PRODUCT(1 + 預測IC!$C22:AK22) - 1</f>
        <v>0.61506164994222012</v>
      </c>
      <c r="AL22" s="7" cm="1">
        <f t="array" ref="AL22">PRODUCT(1 + 預測IC!$C22:AL22) - 1</f>
        <v>0.68021479835363685</v>
      </c>
      <c r="AM22" s="7" cm="1">
        <f t="array" ref="AM22">PRODUCT(1 + 預測IC!$C22:AM22) - 1</f>
        <v>0.82150221833740278</v>
      </c>
      <c r="AN22" s="7" cm="1">
        <f t="array" ref="AN22">PRODUCT(1 + 預測IC!$C22:AN22) - 1</f>
        <v>1.0239308776696445</v>
      </c>
      <c r="AO22" s="7" cm="1">
        <f t="array" ref="AO22">PRODUCT(1 + 預測IC!$C22:AO22) - 1</f>
        <v>1.1751536767795376</v>
      </c>
      <c r="AP22" s="7" cm="1">
        <f t="array" ref="AP22">PRODUCT(1 + 預測IC!$C22:AP22) - 1</f>
        <v>1.039127496687684</v>
      </c>
      <c r="AQ22" s="7" cm="1">
        <f t="array" ref="AQ22">PRODUCT(1 + 預測IC!$C22:AQ22) - 1</f>
        <v>1.2010874767934294</v>
      </c>
      <c r="AR22" s="7" cm="1">
        <f t="array" ref="AR22">PRODUCT(1 + 預測IC!$C22:AR22) - 1</f>
        <v>1.0515797375414189</v>
      </c>
      <c r="AS22" s="7" cm="1">
        <f t="array" ref="AS22">PRODUCT(1 + 預測IC!$C22:AS22) - 1</f>
        <v>1.221471956042596</v>
      </c>
      <c r="AT22" s="7" cm="1">
        <f t="array" ref="AT22">PRODUCT(1 + 預測IC!$C22:AT22) - 1</f>
        <v>1.2238571387752253</v>
      </c>
      <c r="AU22" s="7" cm="1">
        <f t="array" ref="AU22">PRODUCT(1 + 預測IC!$C22:AU22) - 1</f>
        <v>1.2983573579094094</v>
      </c>
      <c r="AV22" s="7" cm="1">
        <f t="array" ref="AV22">PRODUCT(1 + 預測IC!$C22:AV22) - 1</f>
        <v>1.4354455030484492</v>
      </c>
      <c r="AW22" s="7" cm="1">
        <f t="array" ref="AW22">PRODUCT(1 + 預測IC!$C22:AW22) - 1</f>
        <v>1.3620183086845818</v>
      </c>
      <c r="AX22" s="7" cm="1">
        <f t="array" ref="AX22">PRODUCT(1 + 預測IC!$C22:AX22) - 1</f>
        <v>1.7724506408166816</v>
      </c>
      <c r="AY22" s="7" cm="1">
        <f t="array" ref="AY22">PRODUCT(1 + 預測IC!$C22:AY22) - 1</f>
        <v>1.3185330134603817</v>
      </c>
      <c r="AZ22" s="7" cm="1">
        <f t="array" ref="AZ22">PRODUCT(1 + 預測IC!$C22:AZ22) - 1</f>
        <v>1.678342451541543</v>
      </c>
      <c r="BA22" s="7" cm="1">
        <f t="array" ref="BA22">PRODUCT(1 + 預測IC!$C22:BA22) - 1</f>
        <v>1.8116568334629508</v>
      </c>
      <c r="BB22" s="7" cm="1">
        <f t="array" ref="BB22">PRODUCT(1 + 預測IC!$C22:BB22) - 1</f>
        <v>2.8507062562987402</v>
      </c>
      <c r="BC22" s="7" cm="1">
        <f t="array" ref="BC22">PRODUCT(1 + 預測IC!$C22:BC22) - 1</f>
        <v>2.5144110554160042</v>
      </c>
      <c r="BD22" s="7" cm="1">
        <f t="array" ref="BD22">PRODUCT(1 + 預測IC!$C22:BD22) - 1</f>
        <v>2.7929616763281131</v>
      </c>
      <c r="BE22" s="7" cm="1">
        <f t="array" ref="BE22">PRODUCT(1 + 預測IC!$C22:BE22) - 1</f>
        <v>2.5332081420088417</v>
      </c>
      <c r="BF22" s="7" cm="1">
        <f t="array" ref="BF22">PRODUCT(1 + 預測IC!$C22:BF22) - 1</f>
        <v>2.3392844313279508</v>
      </c>
      <c r="BG22" s="7" cm="1">
        <f t="array" ref="BG22">PRODUCT(1 + 預測IC!$C22:BG22) - 1</f>
        <v>2.0181169663773293</v>
      </c>
      <c r="BH22" s="7" cm="1">
        <f t="array" ref="BH22">PRODUCT(1 + 預測IC!$C22:BH22) - 1</f>
        <v>2.4043168502348893</v>
      </c>
      <c r="BI22" s="7" cm="1">
        <f t="array" ref="BI22">PRODUCT(1 + 預測IC!$C22:BI22) - 1</f>
        <v>2.6846469126925832</v>
      </c>
      <c r="BJ22" s="7" cm="1">
        <f t="array" ref="BJ22">PRODUCT(1 + 預測IC!$C22:BJ22) - 1</f>
        <v>2.8353133470745178</v>
      </c>
      <c r="BK22" s="7" cm="1">
        <f t="array" ref="BK22">PRODUCT(1 + 預測IC!$C22:BK22) - 1</f>
        <v>3.0206174359470888</v>
      </c>
      <c r="BL22" s="7" cm="1">
        <f t="array" ref="BL22">PRODUCT(1 + 預測IC!$C22:BL22) - 1</f>
        <v>3.0924412719298839</v>
      </c>
      <c r="BM22" s="7" cm="1">
        <f t="array" ref="BM22">PRODUCT(1 + 預測IC!$C22:BM22) - 1</f>
        <v>2.597502916903164</v>
      </c>
      <c r="BN22" s="7" cm="1">
        <f t="array" ref="BN22">PRODUCT(1 + 預測IC!$C22:BN22) - 1</f>
        <v>2.2991335826081833</v>
      </c>
      <c r="BO22" s="7" cm="1">
        <f t="array" ref="BO22">PRODUCT(1 + 預測IC!$C22:BO22) - 1</f>
        <v>2.4256555632273358</v>
      </c>
      <c r="BP22" s="7" cm="1">
        <f t="array" ref="BP22">PRODUCT(1 + 預測IC!$C22:BP22) - 1</f>
        <v>2.4275088433136442</v>
      </c>
      <c r="BQ22" s="7" cm="1">
        <f t="array" ref="BQ22">PRODUCT(1 + 預測IC!$C22:BQ22) - 1</f>
        <v>2.5228967482566405</v>
      </c>
      <c r="BR22" s="7" cm="1">
        <f t="array" ref="BR22">PRODUCT(1 + 預測IC!$C22:BR22) - 1</f>
        <v>2.596220945365491</v>
      </c>
      <c r="BS22" s="7" cm="1">
        <f t="array" ref="BS22">PRODUCT(1 + 預測IC!$C22:BS22) - 1</f>
        <v>2.537340802448135</v>
      </c>
      <c r="BT22" s="7" cm="1">
        <f t="array" ref="BT22">PRODUCT(1 + 預測IC!$C22:BT22) - 1</f>
        <v>2.2234860149888376</v>
      </c>
      <c r="BU22" s="7" cm="1">
        <f t="array" ref="BU22">PRODUCT(1 + 預測IC!$C22:BU22) - 1</f>
        <v>1.8871133697669036</v>
      </c>
      <c r="BV22" s="7" cm="1">
        <f t="array" ref="BV22">PRODUCT(1 + 預測IC!$C22:BV22) - 1</f>
        <v>1.8890816886616326</v>
      </c>
      <c r="BW22" s="7" cm="1">
        <f t="array" ref="BW22">PRODUCT(1 + 預測IC!$C22:BW22) - 1</f>
        <v>3.1247895865353703</v>
      </c>
      <c r="BX22" s="7" cm="1">
        <f t="array" ref="BX22">PRODUCT(1 + 預測IC!$C22:BX22) - 1</f>
        <v>2.6585691613570859</v>
      </c>
      <c r="BY22" s="7" cm="1">
        <f t="array" ref="BY22">PRODUCT(1 + 預測IC!$C22:BY22) - 1</f>
        <v>2.7769343940176094</v>
      </c>
      <c r="BZ22" s="7" cm="1">
        <f t="array" ref="BZ22">PRODUCT(1 + 預測IC!$C22:BZ22) - 1</f>
        <v>2.955423761981566</v>
      </c>
      <c r="CA22" s="7" cm="1">
        <f t="array" ref="CA22">PRODUCT(1 + 預測IC!$C22:CA22) - 1</f>
        <v>3.5253162180877293</v>
      </c>
      <c r="CB22" s="7" cm="1">
        <f t="array" ref="CB22">PRODUCT(1 + 預測IC!$C22:CB22) - 1</f>
        <v>4.6780919033577879</v>
      </c>
      <c r="CC22" s="7" cm="1">
        <f t="array" ref="CC22">PRODUCT(1 + 預測IC!$C22:CC22) - 1</f>
        <v>3.9677399204533987</v>
      </c>
      <c r="CD22" s="7" cm="1">
        <f t="array" ref="CD22">PRODUCT(1 + 預測IC!$C22:CD22) - 1</f>
        <v>5.6263591719937978</v>
      </c>
      <c r="CE22" s="7" cm="1">
        <f t="array" ref="CE22">PRODUCT(1 + 預測IC!$C22:CE22) - 1</f>
        <v>6.069265984091726</v>
      </c>
      <c r="CF22" s="7" cm="1">
        <f t="array" ref="CF22">PRODUCT(1 + 預測IC!$C22:CF22) - 1</f>
        <v>4.969482118084998</v>
      </c>
      <c r="CG22" s="7" cm="1">
        <f t="array" ref="CG22">PRODUCT(1 + 預測IC!$C22:CG22) - 1</f>
        <v>7.6187431475438476</v>
      </c>
      <c r="CH22" s="7" cm="1">
        <f t="array" ref="CH22">PRODUCT(1 + 預測IC!$C22:CH22) - 1</f>
        <v>8.6178172631802958</v>
      </c>
      <c r="CI22" s="7" cm="1">
        <f t="array" ref="CI22">PRODUCT(1 + 預測IC!$C22:CI22) - 1</f>
        <v>6.4013992861549287</v>
      </c>
      <c r="CJ22" s="7" cm="1">
        <f t="array" ref="CJ22">PRODUCT(1 + 預測IC!$C22:CJ22) - 1</f>
        <v>6.2811794837237223</v>
      </c>
      <c r="CK22" s="7" cm="1">
        <f t="array" ref="CK22">PRODUCT(1 + 預測IC!$C22:CK22) - 1</f>
        <v>6.0834772827595334</v>
      </c>
      <c r="CL22" s="7" cm="1">
        <f t="array" ref="CL22">PRODUCT(1 + 預測IC!$C22:CL22) - 1</f>
        <v>10.007400445773744</v>
      </c>
      <c r="CM22" s="7" cm="1">
        <f t="array" ref="CM22">PRODUCT(1 + 預測IC!$C22:CM22) - 1</f>
        <v>7.5876162502156355</v>
      </c>
      <c r="CN22" s="7" cm="1">
        <f t="array" ref="CN22">PRODUCT(1 + 預測IC!$C22:CN22) - 1</f>
        <v>7.7752582998397433</v>
      </c>
      <c r="CO22" s="7" cm="1">
        <f t="array" ref="CO22">PRODUCT(1 + 預測IC!$C22:CO22) - 1</f>
        <v>10.162650669003343</v>
      </c>
      <c r="CP22" s="7" cm="1">
        <f t="array" ref="CP22">PRODUCT(1 + 預測IC!$C22:CP22) - 1</f>
        <v>9.2548692451682761</v>
      </c>
      <c r="CQ22" s="7" cm="1">
        <f t="array" ref="CQ22">PRODUCT(1 + 預測IC!$C22:CQ22) - 1</f>
        <v>8.4912197917295167</v>
      </c>
      <c r="CR22" s="7" cm="1">
        <f t="array" ref="CR22">PRODUCT(1 + 預測IC!$C22:CR22) - 1</f>
        <v>8.2214583963575905</v>
      </c>
      <c r="CS22" s="7" cm="1">
        <f t="array" ref="CS22">PRODUCT(1 + 預測IC!$C22:CS22) - 1</f>
        <v>8.446827029553349</v>
      </c>
      <c r="CT22" s="7" cm="1">
        <f t="array" ref="CT22">PRODUCT(1 + 預測IC!$C22:CT22) - 1</f>
        <v>8.8082873311444416</v>
      </c>
      <c r="CU22" s="7" cm="1">
        <f t="array" ref="CU22">PRODUCT(1 + 預測IC!$C22:CU22) - 1</f>
        <v>7.6290201538851736</v>
      </c>
      <c r="CV22" s="7" cm="1">
        <f t="array" ref="CV22">PRODUCT(1 + 預測IC!$C22:CV22) - 1</f>
        <v>8.5974869717718505</v>
      </c>
      <c r="CW22" s="7" cm="1">
        <f t="array" ref="CW22">PRODUCT(1 + 預測IC!$C22:CW22) - 1</f>
        <v>8.467922831201415</v>
      </c>
      <c r="CX22" s="7" cm="1">
        <f t="array" ref="CX22">PRODUCT(1 + 預測IC!$C22:CX22) - 1</f>
        <v>8.9156178536940232</v>
      </c>
      <c r="CY22" s="7" cm="1">
        <f t="array" ref="CY22">PRODUCT(1 + 預測IC!$C22:CY22) - 1</f>
        <v>9.9519072665588055</v>
      </c>
      <c r="CZ22" s="7" cm="1">
        <f t="array" ref="CZ22">PRODUCT(1 + 預測IC!$C22:CZ22) - 1</f>
        <v>12.831388032368377</v>
      </c>
      <c r="DA22" s="7" cm="1">
        <f t="array" ref="DA22">PRODUCT(1 + 預測IC!$C22:DA22) - 1</f>
        <v>12.776176535497772</v>
      </c>
      <c r="DB22" s="7" cm="1">
        <f t="array" ref="DB22">PRODUCT(1 + 預測IC!$C22:DB22) - 1</f>
        <v>11.971875038667024</v>
      </c>
      <c r="DC22" s="7" cm="1">
        <f t="array" ref="DC22">PRODUCT(1 + 預測IC!$C22:DC22) - 1</f>
        <v>12.910286860293811</v>
      </c>
      <c r="DD22" s="7" cm="1">
        <f t="array" ref="DD22">PRODUCT(1 + 預測IC!$C22:DD22) - 1</f>
        <v>12.688242823849571</v>
      </c>
      <c r="DE22" s="7" cm="1">
        <f t="array" ref="DE22">PRODUCT(1 + 預測IC!$C22:DE22) - 1</f>
        <v>10.862831553054066</v>
      </c>
      <c r="DF22" s="7" cm="1">
        <f t="array" ref="DF22">PRODUCT(1 + 預測IC!$C22:DF22) - 1</f>
        <v>11.064876634173698</v>
      </c>
      <c r="DG22" s="7" cm="1">
        <f t="array" ref="DG22">PRODUCT(1 + 預測IC!$C22:DG22) - 1</f>
        <v>11.45077223308334</v>
      </c>
      <c r="DH22" s="7" cm="1">
        <f t="array" ref="DH22">PRODUCT(1 + 預測IC!$C22:DH22) - 1</f>
        <v>12.464942185969669</v>
      </c>
      <c r="DI22" s="7" cm="1">
        <f t="array" ref="DI22">PRODUCT(1 + 預測IC!$C22:DI22) - 1</f>
        <v>13.274482938326591</v>
      </c>
      <c r="DJ22" s="7" cm="1">
        <f t="array" ref="DJ22">PRODUCT(1 + 預測IC!$C22:DJ22) - 1</f>
        <v>12.557247185343005</v>
      </c>
      <c r="DK22" s="7" cm="1">
        <f t="array" ref="DK22">PRODUCT(1 + 預測IC!$C22:DK22) - 1</f>
        <v>11.317729698189547</v>
      </c>
      <c r="DL22" s="7" cm="1">
        <f t="array" ref="DL22">PRODUCT(1 + 預測IC!$C22:DL22) - 1</f>
        <v>11.584782095571033</v>
      </c>
      <c r="DM22" s="7" cm="1">
        <f t="array" ref="DM22">PRODUCT(1 + 預測IC!$C22:DM22) - 1</f>
        <v>11.986044214162924</v>
      </c>
      <c r="DN22" s="7" cm="1">
        <f t="array" ref="DN22">PRODUCT(1 + 預測IC!$C22:DN22) - 1</f>
        <v>10.905946776597908</v>
      </c>
      <c r="DO22" s="7" cm="1">
        <f t="array" ref="DO22">PRODUCT(1 + 預測IC!$C22:DO22) - 1</f>
        <v>11.807415252694296</v>
      </c>
      <c r="DP22" s="7" cm="1">
        <f t="array" ref="DP22">PRODUCT(1 + 預測IC!$C22:DP22) - 1</f>
        <v>10.461367951161815</v>
      </c>
      <c r="DQ22" s="7" cm="1">
        <f t="array" ref="DQ22">PRODUCT(1 + 預測IC!$C22:DQ22) - 1</f>
        <v>9.86709370955883</v>
      </c>
      <c r="DR22" s="7" cm="1">
        <f t="array" ref="DR22">PRODUCT(1 + 預測IC!$C22:DR22) - 1</f>
        <v>9.0929621654886503</v>
      </c>
      <c r="DS22" s="7" cm="1">
        <f t="array" ref="DS22">PRODUCT(1 + 預測IC!$C22:DS22) - 1</f>
        <v>7.1041346694850862</v>
      </c>
      <c r="DT22" s="7" cm="1">
        <f t="array" ref="DT22">PRODUCT(1 + 預測IC!$C22:DT22) - 1</f>
        <v>6.7501343459167913</v>
      </c>
      <c r="DU22" s="7" cm="1">
        <f t="array" ref="DU22">PRODUCT(1 + 預測IC!$C22:DU22) - 1</f>
        <v>5.4981240834077862</v>
      </c>
      <c r="DV22" s="7" cm="1">
        <f t="array" ref="DV22">PRODUCT(1 + 預測IC!$C22:DV22) - 1</f>
        <v>5.8449300498098768</v>
      </c>
      <c r="DW22" s="7" cm="1">
        <f t="array" ref="DW22">PRODUCT(1 + 預測IC!$C22:DW22) - 1</f>
        <v>5.2876472402479457</v>
      </c>
      <c r="DX22" s="7" cm="1">
        <f t="array" ref="DX22">PRODUCT(1 + 預測IC!$C22:DX22) - 1</f>
        <v>3.889006587124471</v>
      </c>
      <c r="DY22" s="7" cm="1">
        <f t="array" ref="DY22">PRODUCT(1 + 預測IC!$C22:DY22) - 1</f>
        <v>3.8491752802761345</v>
      </c>
      <c r="DZ22" s="7" cm="1">
        <f t="array" ref="DZ22">PRODUCT(1 + 預測IC!$C22:DZ22) - 1</f>
        <v>4.3866312210943521</v>
      </c>
      <c r="EA22" s="7" cm="1">
        <f t="array" ref="EA22">PRODUCT(1 + 預測IC!$C22:EA22) - 1</f>
        <v>4.0066116666502403</v>
      </c>
      <c r="EB22" s="7" cm="1">
        <f t="array" ref="EB22">PRODUCT(1 + 預測IC!$C22:EB22) - 1</f>
        <v>3.2910313002064511</v>
      </c>
      <c r="EC22" s="7" cm="1">
        <f t="array" ref="EC22">PRODUCT(1 + 預測IC!$C22:EC22) - 1</f>
        <v>3.3832674538686316</v>
      </c>
      <c r="ED22" s="7" cm="1">
        <f t="array" ref="ED22">PRODUCT(1 + 預測IC!$C22:ED22) - 1</f>
        <v>3.1312330003177564</v>
      </c>
      <c r="EE22" s="7" cm="1">
        <f t="array" ref="EE22">PRODUCT(1 + 預測IC!$C22:EE22) - 1</f>
        <v>2.9344348610427922</v>
      </c>
      <c r="EF22" s="7" cm="1">
        <f t="array" ref="EF22">PRODUCT(1 + 預測IC!$C22:EF22) - 1</f>
        <v>2.79755490289185</v>
      </c>
    </row>
    <row r="23" spans="1:136" x14ac:dyDescent="0.3">
      <c r="A23" s="1">
        <v>2</v>
      </c>
      <c r="B23" s="1" t="s">
        <v>181</v>
      </c>
      <c r="C23" s="7" cm="1">
        <f t="array" ref="C23">PRODUCT(1 + 預測IC!$C23:C23) - 1</f>
        <v>-0.28298926569632887</v>
      </c>
      <c r="D23" s="7" cm="1">
        <f t="array" ref="D23">PRODUCT(1 + 預測IC!$C23:D23) - 1</f>
        <v>-0.1008021243062075</v>
      </c>
      <c r="E23" s="7" cm="1">
        <f t="array" ref="E23">PRODUCT(1 + 預測IC!$C23:E23) - 1</f>
        <v>-0.17358425473792061</v>
      </c>
      <c r="F23" s="7" cm="1">
        <f t="array" ref="F23">PRODUCT(1 + 預測IC!$C23:F23) - 1</f>
        <v>-0.17667524213206354</v>
      </c>
      <c r="G23" s="7" cm="1">
        <f t="array" ref="G23">PRODUCT(1 + 預測IC!$C23:G23) - 1</f>
        <v>0.12106543614510801</v>
      </c>
      <c r="H23" s="7" cm="1">
        <f t="array" ref="H23">PRODUCT(1 + 預測IC!$C23:H23) - 1</f>
        <v>0.10067497014838644</v>
      </c>
      <c r="I23" s="7" cm="1">
        <f t="array" ref="I23">PRODUCT(1 + 預測IC!$C23:I23) - 1</f>
        <v>0.26374219980543789</v>
      </c>
      <c r="J23" s="7" cm="1">
        <f t="array" ref="J23">PRODUCT(1 + 預測IC!$C23:J23) - 1</f>
        <v>0.11856664775273495</v>
      </c>
      <c r="K23" s="7" cm="1">
        <f t="array" ref="K23">PRODUCT(1 + 預測IC!$C23:K23) - 1</f>
        <v>5.1544500538115434E-2</v>
      </c>
      <c r="L23" s="7" cm="1">
        <f t="array" ref="L23">PRODUCT(1 + 預測IC!$C23:L23) - 1</f>
        <v>0.10493229150853578</v>
      </c>
      <c r="M23" s="7" cm="1">
        <f t="array" ref="M23">PRODUCT(1 + 預測IC!$C23:M23) - 1</f>
        <v>-5.780983558343078E-2</v>
      </c>
      <c r="N23" s="7" cm="1">
        <f t="array" ref="N23">PRODUCT(1 + 預測IC!$C23:N23) - 1</f>
        <v>0.86167490570670369</v>
      </c>
      <c r="O23" s="7" cm="1">
        <f t="array" ref="O23">PRODUCT(1 + 預測IC!$C23:O23) - 1</f>
        <v>1.242507274780543</v>
      </c>
      <c r="P23" s="7" cm="1">
        <f t="array" ref="P23">PRODUCT(1 + 預測IC!$C23:P23) - 1</f>
        <v>1.3651309947091184</v>
      </c>
      <c r="Q23" s="7" cm="1">
        <f t="array" ref="Q23">PRODUCT(1 + 預測IC!$C23:Q23) - 1</f>
        <v>2.053794448944954</v>
      </c>
      <c r="R23" s="7" cm="1">
        <f t="array" ref="R23">PRODUCT(1 + 預測IC!$C23:R23) - 1</f>
        <v>2.2456398565407545</v>
      </c>
      <c r="S23" s="7" cm="1">
        <f t="array" ref="S23">PRODUCT(1 + 預測IC!$C23:S23) - 1</f>
        <v>2.0100951243062739</v>
      </c>
      <c r="T23" s="7" cm="1">
        <f t="array" ref="T23">PRODUCT(1 + 預測IC!$C23:T23) - 1</f>
        <v>1.7552117804799225</v>
      </c>
      <c r="U23" s="7" cm="1">
        <f t="array" ref="U23">PRODUCT(1 + 預測IC!$C23:U23) - 1</f>
        <v>1.9184354567549651</v>
      </c>
      <c r="V23" s="7" cm="1">
        <f t="array" ref="V23">PRODUCT(1 + 預測IC!$C23:V23) - 1</f>
        <v>1.2399657435500235</v>
      </c>
      <c r="W23" s="7" cm="1">
        <f t="array" ref="W23">PRODUCT(1 + 預測IC!$C23:W23) - 1</f>
        <v>1.8213428574167261</v>
      </c>
      <c r="X23" s="7" cm="1">
        <f t="array" ref="X23">PRODUCT(1 + 預測IC!$C23:X23) - 1</f>
        <v>2.3702533403145232</v>
      </c>
      <c r="Y23" s="7" cm="1">
        <f t="array" ref="Y23">PRODUCT(1 + 預測IC!$C23:Y23) - 1</f>
        <v>2.141244890097163</v>
      </c>
      <c r="Z23" s="7" cm="1">
        <f t="array" ref="Z23">PRODUCT(1 + 預測IC!$C23:Z23) - 1</f>
        <v>2.2701991701573423</v>
      </c>
      <c r="AA23" s="7" cm="1">
        <f t="array" ref="AA23">PRODUCT(1 + 預測IC!$C23:AA23) - 1</f>
        <v>2.291803060673721</v>
      </c>
      <c r="AB23" s="7" cm="1">
        <f t="array" ref="AB23">PRODUCT(1 + 預測IC!$C23:AB23) - 1</f>
        <v>2.134622936657363</v>
      </c>
      <c r="AC23" s="7" cm="1">
        <f t="array" ref="AC23">PRODUCT(1 + 預測IC!$C23:AC23) - 1</f>
        <v>1.4010941460630786</v>
      </c>
      <c r="AD23" s="7" cm="1">
        <f t="array" ref="AD23">PRODUCT(1 + 預測IC!$C23:AD23) - 1</f>
        <v>1.5730818019127151</v>
      </c>
      <c r="AE23" s="7" cm="1">
        <f t="array" ref="AE23">PRODUCT(1 + 預測IC!$C23:AE23) - 1</f>
        <v>1.0025955095768473</v>
      </c>
      <c r="AF23" s="7" cm="1">
        <f t="array" ref="AF23">PRODUCT(1 + 預測IC!$C23:AF23) - 1</f>
        <v>0.95192885717351627</v>
      </c>
      <c r="AG23" s="7" cm="1">
        <f t="array" ref="AG23">PRODUCT(1 + 預測IC!$C23:AG23) - 1</f>
        <v>0.77259801359950542</v>
      </c>
      <c r="AH23" s="7" cm="1">
        <f t="array" ref="AH23">PRODUCT(1 + 預測IC!$C23:AH23) - 1</f>
        <v>0.62339563007218812</v>
      </c>
      <c r="AI23" s="7" cm="1">
        <f t="array" ref="AI23">PRODUCT(1 + 預測IC!$C23:AI23) - 1</f>
        <v>0.66110429660127701</v>
      </c>
      <c r="AJ23" s="7" cm="1">
        <f t="array" ref="AJ23">PRODUCT(1 + 預測IC!$C23:AJ23) - 1</f>
        <v>0.67047813712715931</v>
      </c>
      <c r="AK23" s="7" cm="1">
        <f t="array" ref="AK23">PRODUCT(1 + 預測IC!$C23:AK23) - 1</f>
        <v>0.86109823379018713</v>
      </c>
      <c r="AL23" s="7" cm="1">
        <f t="array" ref="AL23">PRODUCT(1 + 預測IC!$C23:AL23) - 1</f>
        <v>1.1057055630768335</v>
      </c>
      <c r="AM23" s="7" cm="1">
        <f t="array" ref="AM23">PRODUCT(1 + 預測IC!$C23:AM23) - 1</f>
        <v>1.1220658192966426</v>
      </c>
      <c r="AN23" s="7" cm="1">
        <f t="array" ref="AN23">PRODUCT(1 + 預測IC!$C23:AN23) - 1</f>
        <v>1.6362735603159124</v>
      </c>
      <c r="AO23" s="7" cm="1">
        <f t="array" ref="AO23">PRODUCT(1 + 預測IC!$C23:AO23) - 1</f>
        <v>1.6222038943609913</v>
      </c>
      <c r="AP23" s="7" cm="1">
        <f t="array" ref="AP23">PRODUCT(1 + 預測IC!$C23:AP23) - 1</f>
        <v>1.630388053237295</v>
      </c>
      <c r="AQ23" s="7" cm="1">
        <f t="array" ref="AQ23">PRODUCT(1 + 預測IC!$C23:AQ23) - 1</f>
        <v>1.8656104845378123</v>
      </c>
      <c r="AR23" s="7" cm="1">
        <f t="array" ref="AR23">PRODUCT(1 + 預測IC!$C23:AR23) - 1</f>
        <v>1.4468411598367812</v>
      </c>
      <c r="AS23" s="7" cm="1">
        <f t="array" ref="AS23">PRODUCT(1 + 預測IC!$C23:AS23) - 1</f>
        <v>1.4108557409516882</v>
      </c>
      <c r="AT23" s="7" cm="1">
        <f t="array" ref="AT23">PRODUCT(1 + 預測IC!$C23:AT23) - 1</f>
        <v>1.4517227130799903</v>
      </c>
      <c r="AU23" s="7" cm="1">
        <f t="array" ref="AU23">PRODUCT(1 + 預測IC!$C23:AU23) - 1</f>
        <v>1.5329863523262306</v>
      </c>
      <c r="AV23" s="7" cm="1">
        <f t="array" ref="AV23">PRODUCT(1 + 預測IC!$C23:AV23) - 1</f>
        <v>1.2879015575740809</v>
      </c>
      <c r="AW23" s="7" cm="1">
        <f t="array" ref="AW23">PRODUCT(1 + 預測IC!$C23:AW23) - 1</f>
        <v>1.1688691095190329</v>
      </c>
      <c r="AX23" s="7" cm="1">
        <f t="array" ref="AX23">PRODUCT(1 + 預測IC!$C23:AX23) - 1</f>
        <v>1.3203389240203474</v>
      </c>
      <c r="AY23" s="7" cm="1">
        <f t="array" ref="AY23">PRODUCT(1 + 預測IC!$C23:AY23) - 1</f>
        <v>0.9417804755671646</v>
      </c>
      <c r="AZ23" s="7" cm="1">
        <f t="array" ref="AZ23">PRODUCT(1 + 預測IC!$C23:AZ23) - 1</f>
        <v>1.093378338552792</v>
      </c>
      <c r="BA23" s="7" cm="1">
        <f t="array" ref="BA23">PRODUCT(1 + 預測IC!$C23:BA23) - 1</f>
        <v>1.2064172909583739</v>
      </c>
      <c r="BB23" s="7" cm="1">
        <f t="array" ref="BB23">PRODUCT(1 + 預測IC!$C23:BB23) - 1</f>
        <v>2.4570731390033131</v>
      </c>
      <c r="BC23" s="7" cm="1">
        <f t="array" ref="BC23">PRODUCT(1 + 預測IC!$C23:BC23) - 1</f>
        <v>1.8589992772366859</v>
      </c>
      <c r="BD23" s="7" cm="1">
        <f t="array" ref="BD23">PRODUCT(1 + 預測IC!$C23:BD23) - 1</f>
        <v>2.2191553770007619</v>
      </c>
      <c r="BE23" s="7" cm="1">
        <f t="array" ref="BE23">PRODUCT(1 + 預測IC!$C23:BE23) - 1</f>
        <v>1.9405941530277713</v>
      </c>
      <c r="BF23" s="7" cm="1">
        <f t="array" ref="BF23">PRODUCT(1 + 預測IC!$C23:BF23) - 1</f>
        <v>1.7641204419074468</v>
      </c>
      <c r="BG23" s="7" cm="1">
        <f t="array" ref="BG23">PRODUCT(1 + 預測IC!$C23:BG23) - 1</f>
        <v>1.6399874561660526</v>
      </c>
      <c r="BH23" s="7" cm="1">
        <f t="array" ref="BH23">PRODUCT(1 + 預測IC!$C23:BH23) - 1</f>
        <v>2.1771826144747375</v>
      </c>
      <c r="BI23" s="7" cm="1">
        <f t="array" ref="BI23">PRODUCT(1 + 預測IC!$C23:BI23) - 1</f>
        <v>2.5622746969474695</v>
      </c>
      <c r="BJ23" s="7" cm="1">
        <f t="array" ref="BJ23">PRODUCT(1 + 預測IC!$C23:BJ23) - 1</f>
        <v>2.7670836225246904</v>
      </c>
      <c r="BK23" s="7" cm="1">
        <f t="array" ref="BK23">PRODUCT(1 + 預測IC!$C23:BK23) - 1</f>
        <v>2.9473360246814853</v>
      </c>
      <c r="BL23" s="7" cm="1">
        <f t="array" ref="BL23">PRODUCT(1 + 預測IC!$C23:BL23) - 1</f>
        <v>2.7364210980151733</v>
      </c>
      <c r="BM23" s="7" cm="1">
        <f t="array" ref="BM23">PRODUCT(1 + 預測IC!$C23:BM23) - 1</f>
        <v>2.0483673458236415</v>
      </c>
      <c r="BN23" s="7" cm="1">
        <f t="array" ref="BN23">PRODUCT(1 + 預測IC!$C23:BN23) - 1</f>
        <v>1.9311477530791832</v>
      </c>
      <c r="BO23" s="7" cm="1">
        <f t="array" ref="BO23">PRODUCT(1 + 預測IC!$C23:BO23) - 1</f>
        <v>2.1123380582925062</v>
      </c>
      <c r="BP23" s="7" cm="1">
        <f t="array" ref="BP23">PRODUCT(1 + 預測IC!$C23:BP23) - 1</f>
        <v>2.1822901013705289</v>
      </c>
      <c r="BQ23" s="7" cm="1">
        <f t="array" ref="BQ23">PRODUCT(1 + 預測IC!$C23:BQ23) - 1</f>
        <v>2.4115674249324961</v>
      </c>
      <c r="BR23" s="7" cm="1">
        <f t="array" ref="BR23">PRODUCT(1 + 預測IC!$C23:BR23) - 1</f>
        <v>2.4724445307589753</v>
      </c>
      <c r="BS23" s="7" cm="1">
        <f t="array" ref="BS23">PRODUCT(1 + 預測IC!$C23:BS23) - 1</f>
        <v>2.2179998081745711</v>
      </c>
      <c r="BT23" s="7" cm="1">
        <f t="array" ref="BT23">PRODUCT(1 + 預測IC!$C23:BT23) - 1</f>
        <v>1.5158751262326384</v>
      </c>
      <c r="BU23" s="7" cm="1">
        <f t="array" ref="BU23">PRODUCT(1 + 預測IC!$C23:BU23) - 1</f>
        <v>1.2499841746867291</v>
      </c>
      <c r="BV23" s="7" cm="1">
        <f t="array" ref="BV23">PRODUCT(1 + 預測IC!$C23:BV23) - 1</f>
        <v>1.2116918045461205</v>
      </c>
      <c r="BW23" s="7" cm="1">
        <f t="array" ref="BW23">PRODUCT(1 + 預測IC!$C23:BW23) - 1</f>
        <v>2.5409131083114747</v>
      </c>
      <c r="BX23" s="7" cm="1">
        <f t="array" ref="BX23">PRODUCT(1 + 預測IC!$C23:BX23) - 1</f>
        <v>2.2975281294990921</v>
      </c>
      <c r="BY23" s="7" cm="1">
        <f t="array" ref="BY23">PRODUCT(1 + 預測IC!$C23:BY23) - 1</f>
        <v>2.4292295856448232</v>
      </c>
      <c r="BZ23" s="7" cm="1">
        <f t="array" ref="BZ23">PRODUCT(1 + 預測IC!$C23:BZ23) - 1</f>
        <v>2.4555309618909731</v>
      </c>
      <c r="CA23" s="7" cm="1">
        <f t="array" ref="CA23">PRODUCT(1 + 預測IC!$C23:CA23) - 1</f>
        <v>3.1686582937906644</v>
      </c>
      <c r="CB23" s="7" cm="1">
        <f t="array" ref="CB23">PRODUCT(1 + 預測IC!$C23:CB23) - 1</f>
        <v>4.4866494874172149</v>
      </c>
      <c r="CC23" s="7" cm="1">
        <f t="array" ref="CC23">PRODUCT(1 + 預測IC!$C23:CC23) - 1</f>
        <v>4.0227828204230205</v>
      </c>
      <c r="CD23" s="7" cm="1">
        <f t="array" ref="CD23">PRODUCT(1 + 預測IC!$C23:CD23) - 1</f>
        <v>4.9855320257508691</v>
      </c>
      <c r="CE23" s="7" cm="1">
        <f t="array" ref="CE23">PRODUCT(1 + 預測IC!$C23:CE23) - 1</f>
        <v>5.3422835122089962</v>
      </c>
      <c r="CF23" s="7" cm="1">
        <f t="array" ref="CF23">PRODUCT(1 + 預測IC!$C23:CF23) - 1</f>
        <v>4.1788979221239559</v>
      </c>
      <c r="CG23" s="7" cm="1">
        <f t="array" ref="CG23">PRODUCT(1 + 預測IC!$C23:CG23) - 1</f>
        <v>5.6958175186238291</v>
      </c>
      <c r="CH23" s="7" cm="1">
        <f t="array" ref="CH23">PRODUCT(1 + 預測IC!$C23:CH23) - 1</f>
        <v>6.9023800581057344</v>
      </c>
      <c r="CI23" s="7" cm="1">
        <f t="array" ref="CI23">PRODUCT(1 + 預測IC!$C23:CI23) - 1</f>
        <v>6.4351717992656265</v>
      </c>
      <c r="CJ23" s="7" cm="1">
        <f t="array" ref="CJ23">PRODUCT(1 + 預測IC!$C23:CJ23) - 1</f>
        <v>6.7196061473305173</v>
      </c>
      <c r="CK23" s="7" cm="1">
        <f t="array" ref="CK23">PRODUCT(1 + 預測IC!$C23:CK23) - 1</f>
        <v>6.282720245226864</v>
      </c>
      <c r="CL23" s="7" cm="1">
        <f t="array" ref="CL23">PRODUCT(1 + 預測IC!$C23:CL23) - 1</f>
        <v>12.262917430256488</v>
      </c>
      <c r="CM23" s="7" cm="1">
        <f t="array" ref="CM23">PRODUCT(1 + 預測IC!$C23:CM23) - 1</f>
        <v>9.1500447579785575</v>
      </c>
      <c r="CN23" s="7" cm="1">
        <f t="array" ref="CN23">PRODUCT(1 + 預測IC!$C23:CN23) - 1</f>
        <v>9.6572329084695383</v>
      </c>
      <c r="CO23" s="7" cm="1">
        <f t="array" ref="CO23">PRODUCT(1 + 預測IC!$C23:CO23) - 1</f>
        <v>12.493746435604935</v>
      </c>
      <c r="CP23" s="7" cm="1">
        <f t="array" ref="CP23">PRODUCT(1 + 預測IC!$C23:CP23) - 1</f>
        <v>10.87829786712105</v>
      </c>
      <c r="CQ23" s="7" cm="1">
        <f t="array" ref="CQ23">PRODUCT(1 + 預測IC!$C23:CQ23) - 1</f>
        <v>10.078709080360195</v>
      </c>
      <c r="CR23" s="7" cm="1">
        <f t="array" ref="CR23">PRODUCT(1 + 預測IC!$C23:CR23) - 1</f>
        <v>9.6551385778660492</v>
      </c>
      <c r="CS23" s="7" cm="1">
        <f t="array" ref="CS23">PRODUCT(1 + 預測IC!$C23:CS23) - 1</f>
        <v>10.390506918349192</v>
      </c>
      <c r="CT23" s="7" cm="1">
        <f t="array" ref="CT23">PRODUCT(1 + 預測IC!$C23:CT23) - 1</f>
        <v>11.135334619026857</v>
      </c>
      <c r="CU23" s="7" cm="1">
        <f t="array" ref="CU23">PRODUCT(1 + 預測IC!$C23:CU23) - 1</f>
        <v>10.879805784108553</v>
      </c>
      <c r="CV23" s="7" cm="1">
        <f t="array" ref="CV23">PRODUCT(1 + 預測IC!$C23:CV23) - 1</f>
        <v>10.61553787110075</v>
      </c>
      <c r="CW23" s="7" cm="1">
        <f t="array" ref="CW23">PRODUCT(1 + 預測IC!$C23:CW23) - 1</f>
        <v>11.360850160885731</v>
      </c>
      <c r="CX23" s="7" cm="1">
        <f t="array" ref="CX23">PRODUCT(1 + 預測IC!$C23:CX23) - 1</f>
        <v>10.813832114566011</v>
      </c>
      <c r="CY23" s="7" cm="1">
        <f t="array" ref="CY23">PRODUCT(1 + 預測IC!$C23:CY23) - 1</f>
        <v>12.630212744120078</v>
      </c>
      <c r="CZ23" s="7" cm="1">
        <f t="array" ref="CZ23">PRODUCT(1 + 預測IC!$C23:CZ23) - 1</f>
        <v>15.110895023569029</v>
      </c>
      <c r="DA23" s="7" cm="1">
        <f t="array" ref="DA23">PRODUCT(1 + 預測IC!$C23:DA23) - 1</f>
        <v>14.611745079227472</v>
      </c>
      <c r="DB23" s="7" cm="1">
        <f t="array" ref="DB23">PRODUCT(1 + 預測IC!$C23:DB23) - 1</f>
        <v>14.362657237520837</v>
      </c>
      <c r="DC23" s="7" cm="1">
        <f t="array" ref="DC23">PRODUCT(1 + 預測IC!$C23:DC23) - 1</f>
        <v>15.47515994108528</v>
      </c>
      <c r="DD23" s="7" cm="1">
        <f t="array" ref="DD23">PRODUCT(1 + 預測IC!$C23:DD23) - 1</f>
        <v>15.171888059069875</v>
      </c>
      <c r="DE23" s="7" cm="1">
        <f t="array" ref="DE23">PRODUCT(1 + 預測IC!$C23:DE23) - 1</f>
        <v>12.884450503259515</v>
      </c>
      <c r="DF23" s="7" cm="1">
        <f t="array" ref="DF23">PRODUCT(1 + 預測IC!$C23:DF23) - 1</f>
        <v>13.744482900281117</v>
      </c>
      <c r="DG23" s="7" cm="1">
        <f t="array" ref="DG23">PRODUCT(1 + 預測IC!$C23:DG23) - 1</f>
        <v>14.308754435961438</v>
      </c>
      <c r="DH23" s="7" cm="1">
        <f t="array" ref="DH23">PRODUCT(1 + 預測IC!$C23:DH23) - 1</f>
        <v>16.440144759620058</v>
      </c>
      <c r="DI23" s="7" cm="1">
        <f t="array" ref="DI23">PRODUCT(1 + 預測IC!$C23:DI23) - 1</f>
        <v>18.115105869602132</v>
      </c>
      <c r="DJ23" s="7" cm="1">
        <f t="array" ref="DJ23">PRODUCT(1 + 預測IC!$C23:DJ23) - 1</f>
        <v>16.450982826591016</v>
      </c>
      <c r="DK23" s="7" cm="1">
        <f t="array" ref="DK23">PRODUCT(1 + 預測IC!$C23:DK23) - 1</f>
        <v>14.858668095062358</v>
      </c>
      <c r="DL23" s="7" cm="1">
        <f t="array" ref="DL23">PRODUCT(1 + 預測IC!$C23:DL23) - 1</f>
        <v>13.960951168159601</v>
      </c>
      <c r="DM23" s="7" cm="1">
        <f t="array" ref="DM23">PRODUCT(1 + 預測IC!$C23:DM23) - 1</f>
        <v>14.656296023101774</v>
      </c>
      <c r="DN23" s="7" cm="1">
        <f t="array" ref="DN23">PRODUCT(1 + 預測IC!$C23:DN23) - 1</f>
        <v>12.805647396448826</v>
      </c>
      <c r="DO23" s="7" cm="1">
        <f t="array" ref="DO23">PRODUCT(1 + 預測IC!$C23:DO23) - 1</f>
        <v>14.518492559558178</v>
      </c>
      <c r="DP23" s="7" cm="1">
        <f t="array" ref="DP23">PRODUCT(1 + 預測IC!$C23:DP23) - 1</f>
        <v>13.922514228491872</v>
      </c>
      <c r="DQ23" s="7" cm="1">
        <f t="array" ref="DQ23">PRODUCT(1 + 預測IC!$C23:DQ23) - 1</f>
        <v>12.114919619301197</v>
      </c>
      <c r="DR23" s="7" cm="1">
        <f t="array" ref="DR23">PRODUCT(1 + 預測IC!$C23:DR23) - 1</f>
        <v>10.771613547851153</v>
      </c>
      <c r="DS23" s="7" cm="1">
        <f t="array" ref="DS23">PRODUCT(1 + 預測IC!$C23:DS23) - 1</f>
        <v>7.3802519799013666</v>
      </c>
      <c r="DT23" s="7" cm="1">
        <f t="array" ref="DT23">PRODUCT(1 + 預測IC!$C23:DT23) - 1</f>
        <v>6.9256194494726637</v>
      </c>
      <c r="DU23" s="7" cm="1">
        <f t="array" ref="DU23">PRODUCT(1 + 預測IC!$C23:DU23) - 1</f>
        <v>6.4846421148637807</v>
      </c>
      <c r="DV23" s="7" cm="1">
        <f t="array" ref="DV23">PRODUCT(1 + 預測IC!$C23:DV23) - 1</f>
        <v>6.5455166074035311</v>
      </c>
      <c r="DW23" s="7" cm="1">
        <f t="array" ref="DW23">PRODUCT(1 + 預測IC!$C23:DW23) - 1</f>
        <v>6.7194545037417397</v>
      </c>
      <c r="DX23" s="7" cm="1">
        <f t="array" ref="DX23">PRODUCT(1 + 預測IC!$C23:DX23) - 1</f>
        <v>4.2994579598671905</v>
      </c>
      <c r="DY23" s="7" cm="1">
        <f t="array" ref="DY23">PRODUCT(1 + 預測IC!$C23:DY23) - 1</f>
        <v>5.1997130716653732</v>
      </c>
      <c r="DZ23" s="7" cm="1">
        <f t="array" ref="DZ23">PRODUCT(1 + 預測IC!$C23:DZ23) - 1</f>
        <v>3.8532966609708659</v>
      </c>
      <c r="EA23" s="7" cm="1">
        <f t="array" ref="EA23">PRODUCT(1 + 預測IC!$C23:EA23) - 1</f>
        <v>3.7394921559486987</v>
      </c>
      <c r="EB23" s="7" cm="1">
        <f t="array" ref="EB23">PRODUCT(1 + 預測IC!$C23:EB23) - 1</f>
        <v>3.0843735060601576</v>
      </c>
      <c r="EC23" s="7" cm="1">
        <f t="array" ref="EC23">PRODUCT(1 + 預測IC!$C23:EC23) - 1</f>
        <v>2.9349494937216813</v>
      </c>
      <c r="ED23" s="7" cm="1">
        <f t="array" ref="ED23">PRODUCT(1 + 預測IC!$C23:ED23) - 1</f>
        <v>3.0880206918179756</v>
      </c>
      <c r="EE23" s="7" cm="1">
        <f t="array" ref="EE23">PRODUCT(1 + 預測IC!$C23:EE23) - 1</f>
        <v>2.8050802930676473</v>
      </c>
      <c r="EF23" s="7" cm="1">
        <f t="array" ref="EF23">PRODUCT(1 + 預測IC!$C23:EF23) - 1</f>
        <v>2.6232648864406545</v>
      </c>
    </row>
    <row r="24" spans="1:136" x14ac:dyDescent="0.3">
      <c r="A24" s="1">
        <v>1</v>
      </c>
      <c r="B24" s="1" t="s">
        <v>182</v>
      </c>
      <c r="C24" s="7" cm="1">
        <f t="array" ref="C24">PRODUCT(1 + 預測IC!$C24:C24) - 1</f>
        <v>-9.911336420688277E-2</v>
      </c>
      <c r="D24" s="7" cm="1">
        <f t="array" ref="D24">PRODUCT(1 + 預測IC!$C24:D24) - 1</f>
        <v>-8.4752382476581678E-3</v>
      </c>
      <c r="E24" s="7" cm="1">
        <f t="array" ref="E24">PRODUCT(1 + 預測IC!$C24:E24) - 1</f>
        <v>6.2319957112492608E-2</v>
      </c>
      <c r="F24" s="7" cm="1">
        <f t="array" ref="F24">PRODUCT(1 + 預測IC!$C24:F24) - 1</f>
        <v>0.14234079480922568</v>
      </c>
      <c r="G24" s="7" cm="1">
        <f t="array" ref="G24">PRODUCT(1 + 預測IC!$C24:G24) - 1</f>
        <v>0.4046302969226836</v>
      </c>
      <c r="H24" s="7" cm="1">
        <f t="array" ref="H24">PRODUCT(1 + 預測IC!$C24:H24) - 1</f>
        <v>0.45499443522453475</v>
      </c>
      <c r="I24" s="7" cm="1">
        <f t="array" ref="I24">PRODUCT(1 + 預測IC!$C24:I24) - 1</f>
        <v>0.45192158416639505</v>
      </c>
      <c r="J24" s="7" cm="1">
        <f t="array" ref="J24">PRODUCT(1 + 預測IC!$C24:J24) - 1</f>
        <v>0.28427865527120666</v>
      </c>
      <c r="K24" s="7" cm="1">
        <f t="array" ref="K24">PRODUCT(1 + 預測IC!$C24:K24) - 1</f>
        <v>0.35328679597597845</v>
      </c>
      <c r="L24" s="7" cm="1">
        <f t="array" ref="L24">PRODUCT(1 + 預測IC!$C24:L24) - 1</f>
        <v>0.48022468232693583</v>
      </c>
      <c r="M24" s="7" cm="1">
        <f t="array" ref="M24">PRODUCT(1 + 預測IC!$C24:M24) - 1</f>
        <v>0.1578529536392872</v>
      </c>
      <c r="N24" s="7" cm="1">
        <f t="array" ref="N24">PRODUCT(1 + 預測IC!$C24:N24) - 1</f>
        <v>2.2061311494468274</v>
      </c>
      <c r="O24" s="7" cm="1">
        <f t="array" ref="O24">PRODUCT(1 + 預測IC!$C24:O24) - 1</f>
        <v>2.9605632841751621</v>
      </c>
      <c r="P24" s="7" cm="1">
        <f t="array" ref="P24">PRODUCT(1 + 預測IC!$C24:P24) - 1</f>
        <v>2.9674399661020181</v>
      </c>
      <c r="Q24" s="7" cm="1">
        <f t="array" ref="Q24">PRODUCT(1 + 預測IC!$C24:Q24) - 1</f>
        <v>2.9561441265241553</v>
      </c>
      <c r="R24" s="7" cm="1">
        <f t="array" ref="R24">PRODUCT(1 + 預測IC!$C24:R24) - 1</f>
        <v>2.8460730252278479</v>
      </c>
      <c r="S24" s="7" cm="1">
        <f t="array" ref="S24">PRODUCT(1 + 預測IC!$C24:S24) - 1</f>
        <v>2.803556764015525</v>
      </c>
      <c r="T24" s="7" cm="1">
        <f t="array" ref="T24">PRODUCT(1 + 預測IC!$C24:T24) - 1</f>
        <v>1.7088299749030025</v>
      </c>
      <c r="U24" s="7" cm="1">
        <f t="array" ref="U24">PRODUCT(1 + 預測IC!$C24:U24) - 1</f>
        <v>2.483166061719186</v>
      </c>
      <c r="V24" s="7" cm="1">
        <f t="array" ref="V24">PRODUCT(1 + 預測IC!$C24:V24) - 1</f>
        <v>2.1394524202797136</v>
      </c>
      <c r="W24" s="7" cm="1">
        <f t="array" ref="W24">PRODUCT(1 + 預測IC!$C24:W24) - 1</f>
        <v>1.6228099472494195</v>
      </c>
      <c r="X24" s="7" cm="1">
        <f t="array" ref="X24">PRODUCT(1 + 預測IC!$C24:X24) - 1</f>
        <v>1.6204523651156242</v>
      </c>
      <c r="Y24" s="7" cm="1">
        <f t="array" ref="Y24">PRODUCT(1 + 預測IC!$C24:Y24) - 1</f>
        <v>1.3051661058498922</v>
      </c>
      <c r="Z24" s="7" cm="1">
        <f t="array" ref="Z24">PRODUCT(1 + 預測IC!$C24:Z24) - 1</f>
        <v>1.2489326189048664</v>
      </c>
      <c r="AA24" s="7" cm="1">
        <f t="array" ref="AA24">PRODUCT(1 + 預測IC!$C24:AA24) - 1</f>
        <v>1.2794006368077171</v>
      </c>
      <c r="AB24" s="7" cm="1">
        <f t="array" ref="AB24">PRODUCT(1 + 預測IC!$C24:AB24) - 1</f>
        <v>0.85941782664377575</v>
      </c>
      <c r="AC24" s="7" cm="1">
        <f t="array" ref="AC24">PRODUCT(1 + 預測IC!$C24:AC24) - 1</f>
        <v>0.40168687631316824</v>
      </c>
      <c r="AD24" s="7" cm="1">
        <f t="array" ref="AD24">PRODUCT(1 + 預測IC!$C24:AD24) - 1</f>
        <v>0.54350296548837429</v>
      </c>
      <c r="AE24" s="7" cm="1">
        <f t="array" ref="AE24">PRODUCT(1 + 預測IC!$C24:AE24) - 1</f>
        <v>0.27297502976690868</v>
      </c>
      <c r="AF24" s="7" cm="1">
        <f t="array" ref="AF24">PRODUCT(1 + 預測IC!$C24:AF24) - 1</f>
        <v>6.2038255938862363E-2</v>
      </c>
      <c r="AG24" s="7" cm="1">
        <f t="array" ref="AG24">PRODUCT(1 + 預測IC!$C24:AG24) - 1</f>
        <v>-8.5304383645758319E-2</v>
      </c>
      <c r="AH24" s="7" cm="1">
        <f t="array" ref="AH24">PRODUCT(1 + 預測IC!$C24:AH24) - 1</f>
        <v>-0.1371652103586235</v>
      </c>
      <c r="AI24" s="7" cm="1">
        <f t="array" ref="AI24">PRODUCT(1 + 預測IC!$C24:AI24) - 1</f>
        <v>-0.14476534486902659</v>
      </c>
      <c r="AJ24" s="7" cm="1">
        <f t="array" ref="AJ24">PRODUCT(1 + 預測IC!$C24:AJ24) - 1</f>
        <v>-0.21394634003394786</v>
      </c>
      <c r="AK24" s="7" cm="1">
        <f t="array" ref="AK24">PRODUCT(1 + 預測IC!$C24:AK24) - 1</f>
        <v>-0.14722299805230865</v>
      </c>
      <c r="AL24" s="7" cm="1">
        <f t="array" ref="AL24">PRODUCT(1 + 預測IC!$C24:AL24) - 1</f>
        <v>-0.19385023117569999</v>
      </c>
      <c r="AM24" s="7" cm="1">
        <f t="array" ref="AM24">PRODUCT(1 + 預測IC!$C24:AM24) - 1</f>
        <v>-0.20910200551917946</v>
      </c>
      <c r="AN24" s="7" cm="1">
        <f t="array" ref="AN24">PRODUCT(1 + 預測IC!$C24:AN24) - 1</f>
        <v>-3.4163701135372482E-2</v>
      </c>
      <c r="AO24" s="7" cm="1">
        <f t="array" ref="AO24">PRODUCT(1 + 預測IC!$C24:AO24) - 1</f>
        <v>2.9668527865088556E-2</v>
      </c>
      <c r="AP24" s="7" cm="1">
        <f t="array" ref="AP24">PRODUCT(1 + 預測IC!$C24:AP24) - 1</f>
        <v>6.1388356182388026E-3</v>
      </c>
      <c r="AQ24" s="7" cm="1">
        <f t="array" ref="AQ24">PRODUCT(1 + 預測IC!$C24:AQ24) - 1</f>
        <v>5.350480625011822E-2</v>
      </c>
      <c r="AR24" s="7" cm="1">
        <f t="array" ref="AR24">PRODUCT(1 + 預測IC!$C24:AR24) - 1</f>
        <v>-0.12646900821892526</v>
      </c>
      <c r="AS24" s="7" cm="1">
        <f t="array" ref="AS24">PRODUCT(1 + 預測IC!$C24:AS24) - 1</f>
        <v>-0.15088950811991808</v>
      </c>
      <c r="AT24" s="7" cm="1">
        <f t="array" ref="AT24">PRODUCT(1 + 預測IC!$C24:AT24) - 1</f>
        <v>-0.14585546351558987</v>
      </c>
      <c r="AU24" s="7" cm="1">
        <f t="array" ref="AU24">PRODUCT(1 + 預測IC!$C24:AU24) - 1</f>
        <v>-0.10819168696817605</v>
      </c>
      <c r="AV24" s="7" cm="1">
        <f t="array" ref="AV24">PRODUCT(1 + 預測IC!$C24:AV24) - 1</f>
        <v>-0.12560176007897272</v>
      </c>
      <c r="AW24" s="7" cm="1">
        <f t="array" ref="AW24">PRODUCT(1 + 預測IC!$C24:AW24) - 1</f>
        <v>-0.12124066256018695</v>
      </c>
      <c r="AX24" s="7" cm="1">
        <f t="array" ref="AX24">PRODUCT(1 + 預測IC!$C24:AX24) - 1</f>
        <v>-9.6366336788295426E-2</v>
      </c>
      <c r="AY24" s="7" cm="1">
        <f t="array" ref="AY24">PRODUCT(1 + 預測IC!$C24:AY24) - 1</f>
        <v>-0.49710386748175062</v>
      </c>
      <c r="AZ24" s="7" cm="1">
        <f t="array" ref="AZ24">PRODUCT(1 + 預測IC!$C24:AZ24) - 1</f>
        <v>-0.43744845491854778</v>
      </c>
      <c r="BA24" s="7" cm="1">
        <f t="array" ref="BA24">PRODUCT(1 + 預測IC!$C24:BA24) - 1</f>
        <v>-0.40904449304584078</v>
      </c>
      <c r="BB24" s="7" cm="1">
        <f t="array" ref="BB24">PRODUCT(1 + 預測IC!$C24:BB24) - 1</f>
        <v>-8.2629775174014597E-4</v>
      </c>
      <c r="BC24" s="7" cm="1">
        <f t="array" ref="BC24">PRODUCT(1 + 預測IC!$C24:BC24) - 1</f>
        <v>-0.20640588775579993</v>
      </c>
      <c r="BD24" s="7" cm="1">
        <f t="array" ref="BD24">PRODUCT(1 + 預測IC!$C24:BD24) - 1</f>
        <v>-0.19162040879944398</v>
      </c>
      <c r="BE24" s="7" cm="1">
        <f t="array" ref="BE24">PRODUCT(1 + 預測IC!$C24:BE24) - 1</f>
        <v>-0.27579788332073529</v>
      </c>
      <c r="BF24" s="7" cm="1">
        <f t="array" ref="BF24">PRODUCT(1 + 預測IC!$C24:BF24) - 1</f>
        <v>-0.34838589651632224</v>
      </c>
      <c r="BG24" s="7" cm="1">
        <f t="array" ref="BG24">PRODUCT(1 + 預測IC!$C24:BG24) - 1</f>
        <v>-0.46347628337211766</v>
      </c>
      <c r="BH24" s="7" cm="1">
        <f t="array" ref="BH24">PRODUCT(1 + 預測IC!$C24:BH24) - 1</f>
        <v>-0.25624113444391294</v>
      </c>
      <c r="BI24" s="7" cm="1">
        <f t="array" ref="BI24">PRODUCT(1 + 預測IC!$C24:BI24) - 1</f>
        <v>-0.13034587081742988</v>
      </c>
      <c r="BJ24" s="7" cm="1">
        <f t="array" ref="BJ24">PRODUCT(1 + 預測IC!$C24:BJ24) - 1</f>
        <v>4.3271908379398205E-2</v>
      </c>
      <c r="BK24" s="7" cm="1">
        <f t="array" ref="BK24">PRODUCT(1 + 預測IC!$C24:BK24) - 1</f>
        <v>7.9606614309702506E-2</v>
      </c>
      <c r="BL24" s="7" cm="1">
        <f t="array" ref="BL24">PRODUCT(1 + 預測IC!$C24:BL24) - 1</f>
        <v>4.624826894061651E-2</v>
      </c>
      <c r="BM24" s="7" cm="1">
        <f t="array" ref="BM24">PRODUCT(1 + 預測IC!$C24:BM24) - 1</f>
        <v>-0.34809981769156362</v>
      </c>
      <c r="BN24" s="7" cm="1">
        <f t="array" ref="BN24">PRODUCT(1 + 預測IC!$C24:BN24) - 1</f>
        <v>-0.41910039194772708</v>
      </c>
      <c r="BO24" s="7" cm="1">
        <f t="array" ref="BO24">PRODUCT(1 + 預測IC!$C24:BO24) - 1</f>
        <v>-0.42236761622656105</v>
      </c>
      <c r="BP24" s="7" cm="1">
        <f t="array" ref="BP24">PRODUCT(1 + 預測IC!$C24:BP24) - 1</f>
        <v>-0.44073292050057677</v>
      </c>
      <c r="BQ24" s="7" cm="1">
        <f t="array" ref="BQ24">PRODUCT(1 + 預測IC!$C24:BQ24) - 1</f>
        <v>-0.47662088392565904</v>
      </c>
      <c r="BR24" s="7" cm="1">
        <f t="array" ref="BR24">PRODUCT(1 + 預測IC!$C24:BR24) - 1</f>
        <v>-0.45445252121286883</v>
      </c>
      <c r="BS24" s="7" cm="1">
        <f t="array" ref="BS24">PRODUCT(1 + 預測IC!$C24:BS24) - 1</f>
        <v>-0.45515339559746804</v>
      </c>
      <c r="BT24" s="7" cm="1">
        <f t="array" ref="BT24">PRODUCT(1 + 預測IC!$C24:BT24) - 1</f>
        <v>-0.60592281191507003</v>
      </c>
      <c r="BU24" s="7" cm="1">
        <f t="array" ref="BU24">PRODUCT(1 + 預測IC!$C24:BU24) - 1</f>
        <v>-0.60937039316648689</v>
      </c>
      <c r="BV24" s="7" cm="1">
        <f t="array" ref="BV24">PRODUCT(1 + 預測IC!$C24:BV24) - 1</f>
        <v>-0.68878701406363663</v>
      </c>
      <c r="BW24" s="7" cm="1">
        <f t="array" ref="BW24">PRODUCT(1 + 預測IC!$C24:BW24) - 1</f>
        <v>-0.3436480563078419</v>
      </c>
      <c r="BX24" s="7" cm="1">
        <f t="array" ref="BX24">PRODUCT(1 + 預測IC!$C24:BX24) - 1</f>
        <v>-0.41187914496254752</v>
      </c>
      <c r="BY24" s="7" cm="1">
        <f t="array" ref="BY24">PRODUCT(1 + 預測IC!$C24:BY24) - 1</f>
        <v>-0.58263231610434807</v>
      </c>
      <c r="BZ24" s="7" cm="1">
        <f t="array" ref="BZ24">PRODUCT(1 + 預測IC!$C24:BZ24) - 1</f>
        <v>-0.47457878653429342</v>
      </c>
      <c r="CA24" s="7" cm="1">
        <f t="array" ref="CA24">PRODUCT(1 + 預測IC!$C24:CA24) - 1</f>
        <v>-0.42202357395619994</v>
      </c>
      <c r="CB24" s="7" cm="1">
        <f t="array" ref="CB24">PRODUCT(1 + 預測IC!$C24:CB24) - 1</f>
        <v>-5.2293132931233721E-2</v>
      </c>
      <c r="CC24" s="7" cm="1">
        <f t="array" ref="CC24">PRODUCT(1 + 預測IC!$C24:CC24) - 1</f>
        <v>-0.22522109113388877</v>
      </c>
      <c r="CD24" s="7" cm="1">
        <f t="array" ref="CD24">PRODUCT(1 + 預測IC!$C24:CD24) - 1</f>
        <v>-0.11341560515455706</v>
      </c>
      <c r="CE24" s="7" cm="1">
        <f t="array" ref="CE24">PRODUCT(1 + 預測IC!$C24:CE24) - 1</f>
        <v>3.3371628460517222E-2</v>
      </c>
      <c r="CF24" s="7" cm="1">
        <f t="array" ref="CF24">PRODUCT(1 + 預測IC!$C24:CF24) - 1</f>
        <v>-0.13727042670869072</v>
      </c>
      <c r="CG24" s="7" cm="1">
        <f t="array" ref="CG24">PRODUCT(1 + 預測IC!$C24:CG24) - 1</f>
        <v>6.7436178511498301E-2</v>
      </c>
      <c r="CH24" s="7" cm="1">
        <f t="array" ref="CH24">PRODUCT(1 + 預測IC!$C24:CH24) - 1</f>
        <v>0.4456045823864434</v>
      </c>
      <c r="CI24" s="7" cm="1">
        <f t="array" ref="CI24">PRODUCT(1 + 預測IC!$C24:CI24) - 1</f>
        <v>0.3610249221833759</v>
      </c>
      <c r="CJ24" s="7" cm="1">
        <f t="array" ref="CJ24">PRODUCT(1 + 預測IC!$C24:CJ24) - 1</f>
        <v>0.43884033743739903</v>
      </c>
      <c r="CK24" s="7" cm="1">
        <f t="array" ref="CK24">PRODUCT(1 + 預測IC!$C24:CK24) - 1</f>
        <v>0.48467483558103774</v>
      </c>
      <c r="CL24" s="7" cm="1">
        <f t="array" ref="CL24">PRODUCT(1 + 預測IC!$C24:CL24) - 1</f>
        <v>2.1900020969972545</v>
      </c>
      <c r="CM24" s="7" cm="1">
        <f t="array" ref="CM24">PRODUCT(1 + 預測IC!$C24:CM24) - 1</f>
        <v>0.15977864909160755</v>
      </c>
      <c r="CN24" s="7" cm="1">
        <f t="array" ref="CN24">PRODUCT(1 + 預測IC!$C24:CN24) - 1</f>
        <v>0.1770785223918232</v>
      </c>
      <c r="CO24" s="7" cm="1">
        <f t="array" ref="CO24">PRODUCT(1 + 預測IC!$C24:CO24) - 1</f>
        <v>0.70968000099016204</v>
      </c>
      <c r="CP24" s="7" cm="1">
        <f t="array" ref="CP24">PRODUCT(1 + 預測IC!$C24:CP24) - 1</f>
        <v>0.28339058262822925</v>
      </c>
      <c r="CQ24" s="7" cm="1">
        <f t="array" ref="CQ24">PRODUCT(1 + 預測IC!$C24:CQ24) - 1</f>
        <v>5.5453455928037521E-2</v>
      </c>
      <c r="CR24" s="7" cm="1">
        <f t="array" ref="CR24">PRODUCT(1 + 預測IC!$C24:CR24) - 1</f>
        <v>-4.6733338812780634E-2</v>
      </c>
      <c r="CS24" s="7" cm="1">
        <f t="array" ref="CS24">PRODUCT(1 + 預測IC!$C24:CS24) - 1</f>
        <v>-7.2333241140919213E-2</v>
      </c>
      <c r="CT24" s="7" cm="1">
        <f t="array" ref="CT24">PRODUCT(1 + 預測IC!$C24:CT24) - 1</f>
        <v>-0.18323059640821893</v>
      </c>
      <c r="CU24" s="7" cm="1">
        <f t="array" ref="CU24">PRODUCT(1 + 預測IC!$C24:CU24) - 1</f>
        <v>-0.24265167124428833</v>
      </c>
      <c r="CV24" s="7" cm="1">
        <f t="array" ref="CV24">PRODUCT(1 + 預測IC!$C24:CV24) - 1</f>
        <v>-0.23124294001604584</v>
      </c>
      <c r="CW24" s="7" cm="1">
        <f t="array" ref="CW24">PRODUCT(1 + 預測IC!$C24:CW24) - 1</f>
        <v>-0.2324638355505565</v>
      </c>
      <c r="CX24" s="7" cm="1">
        <f t="array" ref="CX24">PRODUCT(1 + 預測IC!$C24:CX24) - 1</f>
        <v>-0.1919645911618133</v>
      </c>
      <c r="CY24" s="7" cm="1">
        <f t="array" ref="CY24">PRODUCT(1 + 預測IC!$C24:CY24) - 1</f>
        <v>6.7534164090025106E-2</v>
      </c>
      <c r="CZ24" s="7" cm="1">
        <f t="array" ref="CZ24">PRODUCT(1 + 預測IC!$C24:CZ24) - 1</f>
        <v>0.18731857339195623</v>
      </c>
      <c r="DA24" s="7" cm="1">
        <f t="array" ref="DA24">PRODUCT(1 + 預測IC!$C24:DA24) - 1</f>
        <v>0.2164211813505974</v>
      </c>
      <c r="DB24" s="7" cm="1">
        <f t="array" ref="DB24">PRODUCT(1 + 預測IC!$C24:DB24) - 1</f>
        <v>-2.1341320814827758E-2</v>
      </c>
      <c r="DC24" s="7" cm="1">
        <f t="array" ref="DC24">PRODUCT(1 + 預測IC!$C24:DC24) - 1</f>
        <v>0.15437989378889561</v>
      </c>
      <c r="DD24" s="7" cm="1">
        <f t="array" ref="DD24">PRODUCT(1 + 預測IC!$C24:DD24) - 1</f>
        <v>0.21129056012840164</v>
      </c>
      <c r="DE24" s="7" cm="1">
        <f t="array" ref="DE24">PRODUCT(1 + 預測IC!$C24:DE24) - 1</f>
        <v>-0.16013482937670975</v>
      </c>
      <c r="DF24" s="7" cm="1">
        <f t="array" ref="DF24">PRODUCT(1 + 預測IC!$C24:DF24) - 1</f>
        <v>-0.24803929732050112</v>
      </c>
      <c r="DG24" s="7" cm="1">
        <f t="array" ref="DG24">PRODUCT(1 + 預測IC!$C24:DG24) - 1</f>
        <v>-0.20359403275990151</v>
      </c>
      <c r="DH24" s="7" cm="1">
        <f t="array" ref="DH24">PRODUCT(1 + 預測IC!$C24:DH24) - 1</f>
        <v>8.0928045089216916E-3</v>
      </c>
      <c r="DI24" s="7" cm="1">
        <f t="array" ref="DI24">PRODUCT(1 + 預測IC!$C24:DI24) - 1</f>
        <v>4.5578642976649375E-2</v>
      </c>
      <c r="DJ24" s="7" cm="1">
        <f t="array" ref="DJ24">PRODUCT(1 + 預測IC!$C24:DJ24) - 1</f>
        <v>-9.2948618609463352E-2</v>
      </c>
      <c r="DK24" s="7" cm="1">
        <f t="array" ref="DK24">PRODUCT(1 + 預測IC!$C24:DK24) - 1</f>
        <v>-0.20150469229942169</v>
      </c>
      <c r="DL24" s="7" cm="1">
        <f t="array" ref="DL24">PRODUCT(1 + 預測IC!$C24:DL24) - 1</f>
        <v>-0.22685587892921533</v>
      </c>
      <c r="DM24" s="7" cm="1">
        <f t="array" ref="DM24">PRODUCT(1 + 預測IC!$C24:DM24) - 1</f>
        <v>-0.22653622616860658</v>
      </c>
      <c r="DN24" s="7" cm="1">
        <f t="array" ref="DN24">PRODUCT(1 + 預測IC!$C24:DN24) - 1</f>
        <v>-0.34180805064885711</v>
      </c>
      <c r="DO24" s="7" cm="1">
        <f t="array" ref="DO24">PRODUCT(1 + 預測IC!$C24:DO24) - 1</f>
        <v>-0.26571319260365589</v>
      </c>
      <c r="DP24" s="7" cm="1">
        <f t="array" ref="DP24">PRODUCT(1 + 預測IC!$C24:DP24) - 1</f>
        <v>-0.37169327920659101</v>
      </c>
      <c r="DQ24" s="7" cm="1">
        <f t="array" ref="DQ24">PRODUCT(1 + 預測IC!$C24:DQ24) - 1</f>
        <v>-0.40341409199175582</v>
      </c>
      <c r="DR24" s="7" cm="1">
        <f t="array" ref="DR24">PRODUCT(1 + 預測IC!$C24:DR24) - 1</f>
        <v>-0.41736926923345896</v>
      </c>
      <c r="DS24" s="7" cm="1">
        <f t="array" ref="DS24">PRODUCT(1 + 預測IC!$C24:DS24) - 1</f>
        <v>-0.54336988892212412</v>
      </c>
      <c r="DT24" s="7" cm="1">
        <f t="array" ref="DT24">PRODUCT(1 + 預測IC!$C24:DT24) - 1</f>
        <v>-0.57749538467216111</v>
      </c>
      <c r="DU24" s="7" cm="1">
        <f t="array" ref="DU24">PRODUCT(1 + 預測IC!$C24:DU24) - 1</f>
        <v>-0.56829264460376105</v>
      </c>
      <c r="DV24" s="7" cm="1">
        <f t="array" ref="DV24">PRODUCT(1 + 預測IC!$C24:DV24) - 1</f>
        <v>-0.52596510484614756</v>
      </c>
      <c r="DW24" s="7" cm="1">
        <f t="array" ref="DW24">PRODUCT(1 + 預測IC!$C24:DW24) - 1</f>
        <v>-0.47800107065277386</v>
      </c>
      <c r="DX24" s="7" cm="1">
        <f t="array" ref="DX24">PRODUCT(1 + 預測IC!$C24:DX24) - 1</f>
        <v>-0.64065234975241436</v>
      </c>
      <c r="DY24" s="7" cm="1">
        <f t="array" ref="DY24">PRODUCT(1 + 預測IC!$C24:DY24) - 1</f>
        <v>-0.51710708714643105</v>
      </c>
      <c r="DZ24" s="7" cm="1">
        <f t="array" ref="DZ24">PRODUCT(1 + 預測IC!$C24:DZ24) - 1</f>
        <v>-0.72644434169377714</v>
      </c>
      <c r="EA24" s="7" cm="1">
        <f t="array" ref="EA24">PRODUCT(1 + 預測IC!$C24:EA24) - 1</f>
        <v>-0.70528455924328481</v>
      </c>
      <c r="EB24" s="7" cm="1">
        <f t="array" ref="EB24">PRODUCT(1 + 預測IC!$C24:EB24) - 1</f>
        <v>-0.7374759650364513</v>
      </c>
      <c r="EC24" s="7" cm="1">
        <f t="array" ref="EC24">PRODUCT(1 + 預測IC!$C24:EC24) - 1</f>
        <v>-0.74123266265213061</v>
      </c>
      <c r="ED24" s="7" cm="1">
        <f t="array" ref="ED24">PRODUCT(1 + 預測IC!$C24:ED24) - 1</f>
        <v>-0.7593037194197203</v>
      </c>
      <c r="EE24" s="7" cm="1">
        <f t="array" ref="EE24">PRODUCT(1 + 預測IC!$C24:EE24) - 1</f>
        <v>-0.78517391385036861</v>
      </c>
      <c r="EF24" s="7" cm="1">
        <f t="array" ref="EF24">PRODUCT(1 + 預測IC!$C24:EF24) - 1</f>
        <v>-0.77072112863186015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5"/>
  <sheetViews>
    <sheetView workbookViewId="0">
      <selection activeCell="A2" sqref="A2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8" x14ac:dyDescent="0.3">
      <c r="A1" t="str">
        <f>預測IC!A1</f>
        <v>NN4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8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8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8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8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8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8" x14ac:dyDescent="0.3">
      <c r="A10" s="19" t="s">
        <v>141</v>
      </c>
      <c r="B10" s="20"/>
      <c r="C10" s="1" t="s">
        <v>142</v>
      </c>
      <c r="D10" s="2">
        <v>964</v>
      </c>
    </row>
    <row r="11" spans="1:138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t="s">
        <v>150</v>
      </c>
      <c r="EH11" t="s">
        <v>151</v>
      </c>
    </row>
    <row r="12" spans="1:138" x14ac:dyDescent="0.3">
      <c r="A12" s="1">
        <v>10</v>
      </c>
      <c r="B12" s="1">
        <v>96</v>
      </c>
      <c r="C12" s="7">
        <f>IF(預測IC!C12&gt;預測IC!C$25,1,0)</f>
        <v>0</v>
      </c>
      <c r="D12" s="7">
        <f>IF(預測IC!D12&gt;預測IC!D$25,1,0)</f>
        <v>1</v>
      </c>
      <c r="E12" s="7">
        <f>IF(預測IC!E12&gt;預測IC!E$25,1,0)</f>
        <v>0</v>
      </c>
      <c r="F12" s="7">
        <f>IF(預測IC!F12&gt;預測IC!F$25,1,0)</f>
        <v>1</v>
      </c>
      <c r="G12" s="7">
        <f>IF(預測IC!G12&gt;預測IC!G$25,1,0)</f>
        <v>0</v>
      </c>
      <c r="H12" s="7">
        <f>IF(預測IC!H12&gt;預測IC!H$25,1,0)</f>
        <v>1</v>
      </c>
      <c r="I12" s="7">
        <f>IF(預測IC!I12&gt;預測IC!I$25,1,0)</f>
        <v>1</v>
      </c>
      <c r="J12" s="7">
        <f>IF(預測IC!J12&gt;預測IC!J$25,1,0)</f>
        <v>0</v>
      </c>
      <c r="K12" s="7">
        <f>IF(預測IC!K12&gt;預測IC!K$25,1,0)</f>
        <v>1</v>
      </c>
      <c r="L12" s="7">
        <f>IF(預測IC!L12&gt;預測IC!L$25,1,0)</f>
        <v>0</v>
      </c>
      <c r="M12" s="7">
        <f>IF(預測IC!M12&gt;預測IC!M$25,1,0)</f>
        <v>0</v>
      </c>
      <c r="N12" s="7">
        <f>IF(預測IC!N12&gt;預測IC!N$25,1,0)</f>
        <v>1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0</v>
      </c>
      <c r="T12" s="7">
        <f>IF(預測IC!T12&gt;預測IC!T$25,1,0)</f>
        <v>1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1</v>
      </c>
      <c r="X12" s="7">
        <f>IF(預測IC!X12&gt;預測IC!X$25,1,0)</f>
        <v>0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0</v>
      </c>
      <c r="AB12" s="7">
        <f>IF(預測IC!AB12&gt;預測IC!AB$25,1,0)</f>
        <v>0</v>
      </c>
      <c r="AC12" s="7">
        <f>IF(預測IC!AC12&gt;預測IC!AC$25,1,0)</f>
        <v>0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1</v>
      </c>
      <c r="AG12" s="7">
        <f>IF(預測IC!AG12&gt;預測IC!AG$25,1,0)</f>
        <v>0</v>
      </c>
      <c r="AH12" s="7">
        <f>IF(預測IC!AH12&gt;預測IC!AH$25,1,0)</f>
        <v>1</v>
      </c>
      <c r="AI12" s="7">
        <f>IF(預測IC!AI12&gt;預測IC!AI$25,1,0)</f>
        <v>1</v>
      </c>
      <c r="AJ12" s="7">
        <f>IF(預測IC!AJ12&gt;預測IC!AJ$25,1,0)</f>
        <v>0</v>
      </c>
      <c r="AK12" s="7">
        <f>IF(預測IC!AK12&gt;預測IC!AK$25,1,0)</f>
        <v>1</v>
      </c>
      <c r="AL12" s="7">
        <f>IF(預測IC!AL12&gt;預測IC!AL$25,1,0)</f>
        <v>1</v>
      </c>
      <c r="AM12" s="7">
        <f>IF(預測IC!AM12&gt;預測IC!AM$25,1,0)</f>
        <v>1</v>
      </c>
      <c r="AN12" s="7">
        <f>IF(預測IC!AN12&gt;預測IC!AN$25,1,0)</f>
        <v>1</v>
      </c>
      <c r="AO12" s="7">
        <f>IF(預測IC!AO12&gt;預測IC!AO$25,1,0)</f>
        <v>0</v>
      </c>
      <c r="AP12" s="7">
        <f>IF(預測IC!AP12&gt;預測IC!AP$25,1,0)</f>
        <v>0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1</v>
      </c>
      <c r="AT12" s="7">
        <f>IF(預測IC!AT12&gt;預測IC!AT$25,1,0)</f>
        <v>0</v>
      </c>
      <c r="AU12" s="7">
        <f>IF(預測IC!AU12&gt;預測IC!AU$25,1,0)</f>
        <v>1</v>
      </c>
      <c r="AV12" s="7">
        <f>IF(預測IC!AV12&gt;預測IC!AV$25,1,0)</f>
        <v>0</v>
      </c>
      <c r="AW12" s="7">
        <f>IF(預測IC!AW12&gt;預測IC!AW$25,1,0)</f>
        <v>1</v>
      </c>
      <c r="AX12" s="7">
        <f>IF(預測IC!AX12&gt;預測IC!AX$25,1,0)</f>
        <v>1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1</v>
      </c>
      <c r="BB12" s="7">
        <f>IF(預測IC!BB12&gt;預測IC!BB$25,1,0)</f>
        <v>1</v>
      </c>
      <c r="BC12" s="7">
        <f>IF(預測IC!BC12&gt;預測IC!BC$25,1,0)</f>
        <v>0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0</v>
      </c>
      <c r="BG12" s="7">
        <f>IF(預測IC!BG12&gt;預測IC!BG$25,1,0)</f>
        <v>1</v>
      </c>
      <c r="BH12" s="7">
        <f>IF(預測IC!BH12&gt;預測IC!BH$25,1,0)</f>
        <v>1</v>
      </c>
      <c r="BI12" s="7">
        <f>IF(預測IC!BI12&gt;預測IC!BI$25,1,0)</f>
        <v>1</v>
      </c>
      <c r="BJ12" s="7">
        <f>IF(預測IC!BJ12&gt;預測IC!BJ$25,1,0)</f>
        <v>1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1</v>
      </c>
      <c r="CB12" s="7">
        <f>IF(預測IC!CB12&gt;預測IC!CB$25,1,0)</f>
        <v>1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1</v>
      </c>
      <c r="CF12" s="7">
        <f>IF(預測IC!CF12&gt;預測IC!CF$25,1,0)</f>
        <v>1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0</v>
      </c>
      <c r="CJ12" s="7">
        <f>IF(預測IC!CJ12&gt;預測IC!CJ$25,1,0)</f>
        <v>0</v>
      </c>
      <c r="CK12" s="7">
        <f>IF(預測IC!CK12&gt;預測IC!CK$25,1,0)</f>
        <v>1</v>
      </c>
      <c r="CL12" s="7">
        <f>IF(預測IC!CL12&gt;預測IC!CL$25,1,0)</f>
        <v>0</v>
      </c>
      <c r="CM12" s="7">
        <f>IF(預測IC!CM12&gt;預測IC!CM$25,1,0)</f>
        <v>0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0</v>
      </c>
      <c r="CQ12" s="7">
        <f>IF(預測IC!CQ12&gt;預測IC!CQ$25,1,0)</f>
        <v>1</v>
      </c>
      <c r="CR12" s="7">
        <f>IF(預測IC!CR12&gt;預測IC!CR$25,1,0)</f>
        <v>1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1</v>
      </c>
      <c r="CV12" s="7">
        <f>IF(預測IC!CV12&gt;預測IC!CV$25,1,0)</f>
        <v>1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1</v>
      </c>
      <c r="CZ12" s="7">
        <f>IF(預測IC!CZ12&gt;預測IC!CZ$25,1,0)</f>
        <v>1</v>
      </c>
      <c r="DA12" s="7">
        <f>IF(預測IC!DA12&gt;預測IC!DA$25,1,0)</f>
        <v>0</v>
      </c>
      <c r="DB12" s="7">
        <f>IF(預測IC!DB12&gt;預測IC!DB$25,1,0)</f>
        <v>0</v>
      </c>
      <c r="DC12" s="7">
        <f>IF(預測IC!DC12&gt;預測IC!DC$25,1,0)</f>
        <v>1</v>
      </c>
      <c r="DD12" s="7">
        <f>IF(預測IC!DD12&gt;預測IC!DD$25,1,0)</f>
        <v>0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1</v>
      </c>
      <c r="DI12" s="7">
        <f>IF(預測IC!DI12&gt;預測IC!DI$25,1,0)</f>
        <v>1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1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1</v>
      </c>
      <c r="DW12" s="7">
        <f>IF(預測IC!DW12&gt;預測IC!DW$25,1,0)</f>
        <v>1</v>
      </c>
      <c r="DX12" s="7">
        <f>IF(預測IC!DX12&gt;預測IC!DX$25,1,0)</f>
        <v>0</v>
      </c>
      <c r="DY12" s="7">
        <f>IF(預測IC!DY12&gt;預測IC!DY$25,1,0)</f>
        <v>1</v>
      </c>
      <c r="DZ12" s="7">
        <f>IF(預測IC!DZ12&gt;預測IC!DZ$25,1,0)</f>
        <v>1</v>
      </c>
      <c r="EA12" s="7">
        <f>IF(預測IC!EA12&gt;預測IC!EA$25,1,0)</f>
        <v>1</v>
      </c>
      <c r="EB12" s="7">
        <f>IF(預測IC!EB12&gt;預測IC!EB$25,1,0)</f>
        <v>0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1</v>
      </c>
      <c r="EG12">
        <f t="shared" ref="EG12:EG24" si="10">SUM(C12:EF12)</f>
        <v>70</v>
      </c>
      <c r="EH12" s="11">
        <f t="shared" ref="EH12:EH24" si="11">SUM(C12:EE12)/134</f>
        <v>0.5149253731343284</v>
      </c>
    </row>
    <row r="13" spans="1:138" x14ac:dyDescent="0.3">
      <c r="A13" s="1">
        <v>20</v>
      </c>
      <c r="B13" s="1">
        <v>48</v>
      </c>
      <c r="C13" s="7">
        <f>IF(預測IC!C13&gt;預測IC!C$25,1,0)</f>
        <v>0</v>
      </c>
      <c r="D13" s="7">
        <f>IF(預測IC!D13&gt;預測IC!D$25,1,0)</f>
        <v>1</v>
      </c>
      <c r="E13" s="7">
        <f>IF(預測IC!E13&gt;預測IC!E$25,1,0)</f>
        <v>0</v>
      </c>
      <c r="F13" s="7">
        <f>IF(預測IC!F13&gt;預測IC!F$25,1,0)</f>
        <v>0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1</v>
      </c>
      <c r="J13" s="7">
        <f>IF(預測IC!J13&gt;預測IC!J$25,1,0)</f>
        <v>0</v>
      </c>
      <c r="K13" s="7">
        <f>IF(預測IC!K13&gt;預測IC!K$25,1,0)</f>
        <v>1</v>
      </c>
      <c r="L13" s="7">
        <f>IF(預測IC!L13&gt;預測IC!L$25,1,0)</f>
        <v>0</v>
      </c>
      <c r="M13" s="7">
        <f>IF(預測IC!M13&gt;預測IC!M$25,1,0)</f>
        <v>1</v>
      </c>
      <c r="N13" s="7">
        <f>IF(預測IC!N13&gt;預測IC!N$25,1,0)</f>
        <v>1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1</v>
      </c>
      <c r="R13" s="7">
        <f>IF(預測IC!R13&gt;預測IC!R$25,1,0)</f>
        <v>0</v>
      </c>
      <c r="S13" s="7">
        <f>IF(預測IC!S13&gt;預測IC!S$25,1,0)</f>
        <v>0</v>
      </c>
      <c r="T13" s="7">
        <f>IF(預測IC!T13&gt;預測IC!T$25,1,0)</f>
        <v>1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1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0</v>
      </c>
      <c r="AB13" s="7">
        <f>IF(預測IC!AB13&gt;預測IC!AB$25,1,0)</f>
        <v>0</v>
      </c>
      <c r="AC13" s="7">
        <f>IF(預測IC!AC13&gt;預測IC!AC$25,1,0)</f>
        <v>0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1</v>
      </c>
      <c r="AG13" s="7">
        <f>IF(預測IC!AG13&gt;預測IC!AG$25,1,0)</f>
        <v>0</v>
      </c>
      <c r="AH13" s="7">
        <f>IF(預測IC!AH13&gt;預測IC!AH$25,1,0)</f>
        <v>1</v>
      </c>
      <c r="AI13" s="7">
        <f>IF(預測IC!AI13&gt;預測IC!AI$25,1,0)</f>
        <v>1</v>
      </c>
      <c r="AJ13" s="7">
        <f>IF(預測IC!AJ13&gt;預測IC!AJ$25,1,0)</f>
        <v>0</v>
      </c>
      <c r="AK13" s="7">
        <f>IF(預測IC!AK13&gt;預測IC!AK$25,1,0)</f>
        <v>1</v>
      </c>
      <c r="AL13" s="7">
        <f>IF(預測IC!AL13&gt;預測IC!AL$25,1,0)</f>
        <v>1</v>
      </c>
      <c r="AM13" s="7">
        <f>IF(預測IC!AM13&gt;預測IC!AM$25,1,0)</f>
        <v>1</v>
      </c>
      <c r="AN13" s="7">
        <f>IF(預測IC!AN13&gt;預測IC!AN$25,1,0)</f>
        <v>1</v>
      </c>
      <c r="AO13" s="7">
        <f>IF(預測IC!AO13&gt;預測IC!AO$25,1,0)</f>
        <v>1</v>
      </c>
      <c r="AP13" s="7">
        <f>IF(預測IC!AP13&gt;預測IC!AP$25,1,0)</f>
        <v>0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1</v>
      </c>
      <c r="AT13" s="7">
        <f>IF(預測IC!AT13&gt;預測IC!AT$25,1,0)</f>
        <v>0</v>
      </c>
      <c r="AU13" s="7">
        <f>IF(預測IC!AU13&gt;預測IC!AU$25,1,0)</f>
        <v>1</v>
      </c>
      <c r="AV13" s="7">
        <f>IF(預測IC!AV13&gt;預測IC!AV$25,1,0)</f>
        <v>0</v>
      </c>
      <c r="AW13" s="7">
        <f>IF(預測IC!AW13&gt;預測IC!AW$25,1,0)</f>
        <v>1</v>
      </c>
      <c r="AX13" s="7">
        <f>IF(預測IC!AX13&gt;預測IC!AX$25,1,0)</f>
        <v>1</v>
      </c>
      <c r="AY13" s="7">
        <f>IF(預測IC!AY13&gt;預測IC!AY$25,1,0)</f>
        <v>0</v>
      </c>
      <c r="AZ13" s="7">
        <f>IF(預測IC!AZ13&gt;預測IC!AZ$25,1,0)</f>
        <v>1</v>
      </c>
      <c r="BA13" s="7">
        <f>IF(預測IC!BA13&gt;預測IC!BA$25,1,0)</f>
        <v>1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0</v>
      </c>
      <c r="BF13" s="7">
        <f>IF(預測IC!BF13&gt;預測IC!BF$25,1,0)</f>
        <v>0</v>
      </c>
      <c r="BG13" s="7">
        <f>IF(預測IC!BG13&gt;預測IC!BG$25,1,0)</f>
        <v>1</v>
      </c>
      <c r="BH13" s="7">
        <f>IF(預測IC!BH13&gt;預測IC!BH$25,1,0)</f>
        <v>1</v>
      </c>
      <c r="BI13" s="7">
        <f>IF(預測IC!BI13&gt;預測IC!BI$25,1,0)</f>
        <v>1</v>
      </c>
      <c r="BJ13" s="7">
        <f>IF(預測IC!BJ13&gt;預測IC!BJ$25,1,0)</f>
        <v>1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1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0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1</v>
      </c>
      <c r="CB13" s="7">
        <f>IF(預測IC!CB13&gt;預測IC!CB$25,1,0)</f>
        <v>1</v>
      </c>
      <c r="CC13" s="7">
        <f>IF(預測IC!CC13&gt;預測IC!CC$25,1,0)</f>
        <v>1</v>
      </c>
      <c r="CD13" s="7">
        <f>IF(預測IC!CD13&gt;預測IC!CD$25,1,0)</f>
        <v>1</v>
      </c>
      <c r="CE13" s="7">
        <f>IF(預測IC!CE13&gt;預測IC!CE$25,1,0)</f>
        <v>1</v>
      </c>
      <c r="CF13" s="7">
        <f>IF(預測IC!CF13&gt;預測IC!CF$25,1,0)</f>
        <v>1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0</v>
      </c>
      <c r="CM13" s="7">
        <f>IF(預測IC!CM13&gt;預測IC!CM$25,1,0)</f>
        <v>0</v>
      </c>
      <c r="CN13" s="7">
        <f>IF(預測IC!CN13&gt;預測IC!CN$25,1,0)</f>
        <v>0</v>
      </c>
      <c r="CO13" s="7">
        <f>IF(預測IC!CO13&gt;預測IC!CO$25,1,0)</f>
        <v>1</v>
      </c>
      <c r="CP13" s="7">
        <f>IF(預測IC!CP13&gt;預測IC!CP$25,1,0)</f>
        <v>0</v>
      </c>
      <c r="CQ13" s="7">
        <f>IF(預測IC!CQ13&gt;預測IC!CQ$25,1,0)</f>
        <v>1</v>
      </c>
      <c r="CR13" s="7">
        <f>IF(預測IC!CR13&gt;預測IC!CR$25,1,0)</f>
        <v>1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1</v>
      </c>
      <c r="CV13" s="7">
        <f>IF(預測IC!CV13&gt;預測IC!CV$25,1,0)</f>
        <v>0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1</v>
      </c>
      <c r="CZ13" s="7">
        <f>IF(預測IC!CZ13&gt;預測IC!CZ$25,1,0)</f>
        <v>1</v>
      </c>
      <c r="DA13" s="7">
        <f>IF(預測IC!DA13&gt;預測IC!DA$25,1,0)</f>
        <v>0</v>
      </c>
      <c r="DB13" s="7">
        <f>IF(預測IC!DB13&gt;預測IC!DB$25,1,0)</f>
        <v>0</v>
      </c>
      <c r="DC13" s="7">
        <f>IF(預測IC!DC13&gt;預測IC!DC$25,1,0)</f>
        <v>1</v>
      </c>
      <c r="DD13" s="7">
        <f>IF(預測IC!DD13&gt;預測IC!DD$25,1,0)</f>
        <v>0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1</v>
      </c>
      <c r="DI13" s="7">
        <f>IF(預測IC!DI13&gt;預測IC!DI$25,1,0)</f>
        <v>1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1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1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1</v>
      </c>
      <c r="DW13" s="7">
        <f>IF(預測IC!DW13&gt;預測IC!DW$25,1,0)</f>
        <v>1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1</v>
      </c>
      <c r="EA13" s="7">
        <f>IF(預測IC!EA13&gt;預測IC!EA$25,1,0)</f>
        <v>1</v>
      </c>
      <c r="EB13" s="7">
        <f>IF(預測IC!EB13&gt;預測IC!EB$25,1,0)</f>
        <v>0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1</v>
      </c>
      <c r="EG13">
        <f t="shared" si="10"/>
        <v>72</v>
      </c>
      <c r="EH13" s="11">
        <f t="shared" si="11"/>
        <v>0.52985074626865669</v>
      </c>
    </row>
    <row r="14" spans="1:138" x14ac:dyDescent="0.3">
      <c r="A14" s="1">
        <v>50</v>
      </c>
      <c r="B14" s="1">
        <v>19</v>
      </c>
      <c r="C14" s="7">
        <f>IF(預測IC!C14&gt;預測IC!C$25,1,0)</f>
        <v>0</v>
      </c>
      <c r="D14" s="7">
        <f>IF(預測IC!D14&gt;預測IC!D$25,1,0)</f>
        <v>1</v>
      </c>
      <c r="E14" s="7">
        <f>IF(預測IC!E14&gt;預測IC!E$25,1,0)</f>
        <v>0</v>
      </c>
      <c r="F14" s="7">
        <f>IF(預測IC!F14&gt;預測IC!F$25,1,0)</f>
        <v>1</v>
      </c>
      <c r="G14" s="7">
        <f>IF(預測IC!G14&gt;預測IC!G$25,1,0)</f>
        <v>1</v>
      </c>
      <c r="H14" s="7">
        <f>IF(預測IC!H14&gt;預測IC!H$25,1,0)</f>
        <v>1</v>
      </c>
      <c r="I14" s="7">
        <f>IF(預測IC!I14&gt;預測IC!I$25,1,0)</f>
        <v>1</v>
      </c>
      <c r="J14" s="7">
        <f>IF(預測IC!J14&gt;預測IC!J$25,1,0)</f>
        <v>0</v>
      </c>
      <c r="K14" s="7">
        <f>IF(預測IC!K14&gt;預測IC!K$25,1,0)</f>
        <v>1</v>
      </c>
      <c r="L14" s="7">
        <f>IF(預測IC!L14&gt;預測IC!L$25,1,0)</f>
        <v>0</v>
      </c>
      <c r="M14" s="7">
        <f>IF(預測IC!M14&gt;預測IC!M$25,1,0)</f>
        <v>0</v>
      </c>
      <c r="N14" s="7">
        <f>IF(預測IC!N14&gt;預測IC!N$25,1,0)</f>
        <v>1</v>
      </c>
      <c r="O14" s="7">
        <f>IF(預測IC!O14&gt;預測IC!O$25,1,0)</f>
        <v>1</v>
      </c>
      <c r="P14" s="7">
        <f>IF(預測IC!P14&gt;預測IC!P$25,1,0)</f>
        <v>1</v>
      </c>
      <c r="Q14" s="7">
        <f>IF(預測IC!Q14&gt;預測IC!Q$25,1,0)</f>
        <v>1</v>
      </c>
      <c r="R14" s="7">
        <f>IF(預測IC!R14&gt;預測IC!R$25,1,0)</f>
        <v>0</v>
      </c>
      <c r="S14" s="7">
        <f>IF(預測IC!S14&gt;預測IC!S$25,1,0)</f>
        <v>1</v>
      </c>
      <c r="T14" s="7">
        <f>IF(預測IC!T14&gt;預測IC!T$25,1,0)</f>
        <v>1</v>
      </c>
      <c r="U14" s="7">
        <f>IF(預測IC!U14&gt;預測IC!U$25,1,0)</f>
        <v>1</v>
      </c>
      <c r="V14" s="7">
        <f>IF(預測IC!V14&gt;預測IC!V$25,1,0)</f>
        <v>1</v>
      </c>
      <c r="W14" s="7">
        <f>IF(預測IC!W14&gt;預測IC!W$25,1,0)</f>
        <v>1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1</v>
      </c>
      <c r="AA14" s="7">
        <f>IF(預測IC!AA14&gt;預測IC!AA$25,1,0)</f>
        <v>0</v>
      </c>
      <c r="AB14" s="7">
        <f>IF(預測IC!AB14&gt;預測IC!AB$25,1,0)</f>
        <v>0</v>
      </c>
      <c r="AC14" s="7">
        <f>IF(預測IC!AC14&gt;預測IC!AC$25,1,0)</f>
        <v>0</v>
      </c>
      <c r="AD14" s="7">
        <f>IF(預測IC!AD14&gt;預測IC!AD$25,1,0)</f>
        <v>1</v>
      </c>
      <c r="AE14" s="7">
        <f>IF(預測IC!AE14&gt;預測IC!AE$25,1,0)</f>
        <v>0</v>
      </c>
      <c r="AF14" s="7">
        <f>IF(預測IC!AF14&gt;預測IC!AF$25,1,0)</f>
        <v>1</v>
      </c>
      <c r="AG14" s="7">
        <f>IF(預測IC!AG14&gt;預測IC!AG$25,1,0)</f>
        <v>0</v>
      </c>
      <c r="AH14" s="7">
        <f>IF(預測IC!AH14&gt;預測IC!AH$25,1,0)</f>
        <v>0</v>
      </c>
      <c r="AI14" s="7">
        <f>IF(預測IC!AI14&gt;預測IC!AI$25,1,0)</f>
        <v>1</v>
      </c>
      <c r="AJ14" s="7">
        <f>IF(預測IC!AJ14&gt;預測IC!AJ$25,1,0)</f>
        <v>1</v>
      </c>
      <c r="AK14" s="7">
        <f>IF(預測IC!AK14&gt;預測IC!AK$25,1,0)</f>
        <v>1</v>
      </c>
      <c r="AL14" s="7">
        <f>IF(預測IC!AL14&gt;預測IC!AL$25,1,0)</f>
        <v>1</v>
      </c>
      <c r="AM14" s="7">
        <f>IF(預測IC!AM14&gt;預測IC!AM$25,1,0)</f>
        <v>1</v>
      </c>
      <c r="AN14" s="7">
        <f>IF(預測IC!AN14&gt;預測IC!AN$25,1,0)</f>
        <v>1</v>
      </c>
      <c r="AO14" s="7">
        <f>IF(預測IC!AO14&gt;預測IC!AO$25,1,0)</f>
        <v>1</v>
      </c>
      <c r="AP14" s="7">
        <f>IF(預測IC!AP14&gt;預測IC!AP$25,1,0)</f>
        <v>0</v>
      </c>
      <c r="AQ14" s="7">
        <f>IF(預測IC!AQ14&gt;預測IC!AQ$25,1,0)</f>
        <v>0</v>
      </c>
      <c r="AR14" s="7">
        <f>IF(預測IC!AR14&gt;預測IC!AR$25,1,0)</f>
        <v>0</v>
      </c>
      <c r="AS14" s="7">
        <f>IF(預測IC!AS14&gt;預測IC!AS$25,1,0)</f>
        <v>1</v>
      </c>
      <c r="AT14" s="7">
        <f>IF(預測IC!AT14&gt;預測IC!AT$25,1,0)</f>
        <v>0</v>
      </c>
      <c r="AU14" s="7">
        <f>IF(預測IC!AU14&gt;預測IC!AU$25,1,0)</f>
        <v>1</v>
      </c>
      <c r="AV14" s="7">
        <f>IF(預測IC!AV14&gt;預測IC!AV$25,1,0)</f>
        <v>0</v>
      </c>
      <c r="AW14" s="7">
        <f>IF(預測IC!AW14&gt;預測IC!AW$25,1,0)</f>
        <v>1</v>
      </c>
      <c r="AX14" s="7">
        <f>IF(預測IC!AX14&gt;預測IC!AX$25,1,0)</f>
        <v>1</v>
      </c>
      <c r="AY14" s="7">
        <f>IF(預測IC!AY14&gt;預測IC!AY$25,1,0)</f>
        <v>0</v>
      </c>
      <c r="AZ14" s="7">
        <f>IF(預測IC!AZ14&gt;預測IC!AZ$25,1,0)</f>
        <v>1</v>
      </c>
      <c r="BA14" s="7">
        <f>IF(預測IC!BA14&gt;預測IC!BA$25,1,0)</f>
        <v>1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0</v>
      </c>
      <c r="BF14" s="7">
        <f>IF(預測IC!BF14&gt;預測IC!BF$25,1,0)</f>
        <v>0</v>
      </c>
      <c r="BG14" s="7">
        <f>IF(預測IC!BG14&gt;預測IC!BG$25,1,0)</f>
        <v>1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1</v>
      </c>
      <c r="BK14" s="7">
        <f>IF(預測IC!BK14&gt;預測IC!BK$25,1,0)</f>
        <v>1</v>
      </c>
      <c r="BL14" s="7">
        <f>IF(預測IC!BL14&gt;預測IC!BL$25,1,0)</f>
        <v>0</v>
      </c>
      <c r="BM14" s="7">
        <f>IF(預測IC!BM14&gt;預測IC!BM$25,1,0)</f>
        <v>0</v>
      </c>
      <c r="BN14" s="7">
        <f>IF(預測IC!BN14&gt;預測IC!BN$25,1,0)</f>
        <v>1</v>
      </c>
      <c r="BO14" s="7">
        <f>IF(預測IC!BO14&gt;預測IC!BO$25,1,0)</f>
        <v>1</v>
      </c>
      <c r="BP14" s="7">
        <f>IF(預測IC!BP14&gt;預測IC!BP$25,1,0)</f>
        <v>1</v>
      </c>
      <c r="BQ14" s="7">
        <f>IF(預測IC!BQ14&gt;預測IC!BQ$25,1,0)</f>
        <v>1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0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1</v>
      </c>
      <c r="CB14" s="7">
        <f>IF(預測IC!CB14&gt;預測IC!CB$25,1,0)</f>
        <v>1</v>
      </c>
      <c r="CC14" s="7">
        <f>IF(預測IC!CC14&gt;預測IC!CC$25,1,0)</f>
        <v>1</v>
      </c>
      <c r="CD14" s="7">
        <f>IF(預測IC!CD14&gt;預測IC!CD$25,1,0)</f>
        <v>1</v>
      </c>
      <c r="CE14" s="7">
        <f>IF(預測IC!CE14&gt;預測IC!CE$25,1,0)</f>
        <v>1</v>
      </c>
      <c r="CF14" s="7">
        <f>IF(預測IC!CF14&gt;預測IC!CF$25,1,0)</f>
        <v>0</v>
      </c>
      <c r="CG14" s="7">
        <f>IF(預測IC!CG14&gt;預測IC!CG$25,1,0)</f>
        <v>1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1</v>
      </c>
      <c r="CM14" s="7">
        <f>IF(預測IC!CM14&gt;預測IC!CM$25,1,0)</f>
        <v>0</v>
      </c>
      <c r="CN14" s="7">
        <f>IF(預測IC!CN14&gt;預測IC!CN$25,1,0)</f>
        <v>0</v>
      </c>
      <c r="CO14" s="7">
        <f>IF(預測IC!CO14&gt;預測IC!CO$25,1,0)</f>
        <v>1</v>
      </c>
      <c r="CP14" s="7">
        <f>IF(預測IC!CP14&gt;預測IC!CP$25,1,0)</f>
        <v>0</v>
      </c>
      <c r="CQ14" s="7">
        <f>IF(預測IC!CQ14&gt;預測IC!CQ$25,1,0)</f>
        <v>1</v>
      </c>
      <c r="CR14" s="7">
        <f>IF(預測IC!CR14&gt;預測IC!CR$25,1,0)</f>
        <v>1</v>
      </c>
      <c r="CS14" s="7">
        <f>IF(預測IC!CS14&gt;預測IC!CS$25,1,0)</f>
        <v>0</v>
      </c>
      <c r="CT14" s="7">
        <f>IF(預測IC!CT14&gt;預測IC!CT$25,1,0)</f>
        <v>1</v>
      </c>
      <c r="CU14" s="7">
        <f>IF(預測IC!CU14&gt;預測IC!CU$25,1,0)</f>
        <v>0</v>
      </c>
      <c r="CV14" s="7">
        <f>IF(預測IC!CV14&gt;預測IC!CV$25,1,0)</f>
        <v>1</v>
      </c>
      <c r="CW14" s="7">
        <f>IF(預測IC!CW14&gt;預測IC!CW$25,1,0)</f>
        <v>1</v>
      </c>
      <c r="CX14" s="7">
        <f>IF(預測IC!CX14&gt;預測IC!CX$25,1,0)</f>
        <v>1</v>
      </c>
      <c r="CY14" s="7">
        <f>IF(預測IC!CY14&gt;預測IC!CY$25,1,0)</f>
        <v>1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0</v>
      </c>
      <c r="DC14" s="7">
        <f>IF(預測IC!DC14&gt;預測IC!DC$25,1,0)</f>
        <v>1</v>
      </c>
      <c r="DD14" s="7">
        <f>IF(預測IC!DD14&gt;預測IC!DD$25,1,0)</f>
        <v>0</v>
      </c>
      <c r="DE14" s="7">
        <f>IF(預測IC!DE14&gt;預測IC!DE$25,1,0)</f>
        <v>0</v>
      </c>
      <c r="DF14" s="7">
        <f>IF(預測IC!DF14&gt;預測IC!DF$25,1,0)</f>
        <v>1</v>
      </c>
      <c r="DG14" s="7">
        <f>IF(預測IC!DG14&gt;預測IC!DG$25,1,0)</f>
        <v>0</v>
      </c>
      <c r="DH14" s="7">
        <f>IF(預測IC!DH14&gt;預測IC!DH$25,1,0)</f>
        <v>1</v>
      </c>
      <c r="DI14" s="7">
        <f>IF(預測IC!DI14&gt;預測IC!DI$25,1,0)</f>
        <v>1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0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0</v>
      </c>
      <c r="DS14" s="7">
        <f>IF(預測IC!DS14&gt;預測IC!DS$25,1,0)</f>
        <v>0</v>
      </c>
      <c r="DT14" s="7">
        <f>IF(預測IC!DT14&gt;預測IC!DT$25,1,0)</f>
        <v>1</v>
      </c>
      <c r="DU14" s="7">
        <f>IF(預測IC!DU14&gt;預測IC!DU$25,1,0)</f>
        <v>0</v>
      </c>
      <c r="DV14" s="7">
        <f>IF(預測IC!DV14&gt;預測IC!DV$25,1,0)</f>
        <v>1</v>
      </c>
      <c r="DW14" s="7">
        <f>IF(預測IC!DW14&gt;預測IC!DW$25,1,0)</f>
        <v>0</v>
      </c>
      <c r="DX14" s="7">
        <f>IF(預測IC!DX14&gt;預測IC!DX$25,1,0)</f>
        <v>0</v>
      </c>
      <c r="DY14" s="7">
        <f>IF(預測IC!DY14&gt;預測IC!DY$25,1,0)</f>
        <v>1</v>
      </c>
      <c r="DZ14" s="7">
        <f>IF(預測IC!DZ14&gt;預測IC!DZ$25,1,0)</f>
        <v>1</v>
      </c>
      <c r="EA14" s="7">
        <f>IF(預測IC!EA14&gt;預測IC!EA$25,1,0)</f>
        <v>1</v>
      </c>
      <c r="EB14" s="7">
        <f>IF(預測IC!EB14&gt;預測IC!EB$25,1,0)</f>
        <v>0</v>
      </c>
      <c r="EC14" s="7">
        <f>IF(預測IC!EC14&gt;預測IC!EC$25,1,0)</f>
        <v>1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1</v>
      </c>
      <c r="EG14">
        <f t="shared" si="10"/>
        <v>78</v>
      </c>
      <c r="EH14" s="13">
        <f t="shared" si="11"/>
        <v>0.57462686567164178</v>
      </c>
    </row>
    <row r="15" spans="1:138" x14ac:dyDescent="0.3">
      <c r="A15" s="1">
        <v>100</v>
      </c>
      <c r="B15" s="1">
        <v>10</v>
      </c>
      <c r="C15" s="7">
        <f>IF(預測IC!C15&gt;預測IC!C$25,1,0)</f>
        <v>0</v>
      </c>
      <c r="D15" s="7">
        <f>IF(預測IC!D15&gt;預測IC!D$25,1,0)</f>
        <v>1</v>
      </c>
      <c r="E15" s="7">
        <f>IF(預測IC!E15&gt;預測IC!E$25,1,0)</f>
        <v>0</v>
      </c>
      <c r="F15" s="7">
        <f>IF(預測IC!F15&gt;預測IC!F$25,1,0)</f>
        <v>1</v>
      </c>
      <c r="G15" s="7">
        <f>IF(預測IC!G15&gt;預測IC!G$25,1,0)</f>
        <v>1</v>
      </c>
      <c r="H15" s="7">
        <f>IF(預測IC!H15&gt;預測IC!H$25,1,0)</f>
        <v>1</v>
      </c>
      <c r="I15" s="7">
        <f>IF(預測IC!I15&gt;預測IC!I$25,1,0)</f>
        <v>1</v>
      </c>
      <c r="J15" s="7">
        <f>IF(預測IC!J15&gt;預測IC!J$25,1,0)</f>
        <v>0</v>
      </c>
      <c r="K15" s="7">
        <f>IF(預測IC!K15&gt;預測IC!K$25,1,0)</f>
        <v>1</v>
      </c>
      <c r="L15" s="7">
        <f>IF(預測IC!L15&gt;預測IC!L$25,1,0)</f>
        <v>1</v>
      </c>
      <c r="M15" s="7">
        <f>IF(預測IC!M15&gt;預測IC!M$25,1,0)</f>
        <v>0</v>
      </c>
      <c r="N15" s="7">
        <f>IF(預測IC!N15&gt;預測IC!N$25,1,0)</f>
        <v>1</v>
      </c>
      <c r="O15" s="7">
        <f>IF(預測IC!O15&gt;預測IC!O$25,1,0)</f>
        <v>1</v>
      </c>
      <c r="P15" s="7">
        <f>IF(預測IC!P15&gt;預測IC!P$25,1,0)</f>
        <v>1</v>
      </c>
      <c r="Q15" s="7">
        <f>IF(預測IC!Q15&gt;預測IC!Q$25,1,0)</f>
        <v>1</v>
      </c>
      <c r="R15" s="7">
        <f>IF(預測IC!R15&gt;預測IC!R$25,1,0)</f>
        <v>0</v>
      </c>
      <c r="S15" s="7">
        <f>IF(預測IC!S15&gt;預測IC!S$25,1,0)</f>
        <v>0</v>
      </c>
      <c r="T15" s="7">
        <f>IF(預測IC!T15&gt;預測IC!T$25,1,0)</f>
        <v>0</v>
      </c>
      <c r="U15" s="7">
        <f>IF(預測IC!U15&gt;預測IC!U$25,1,0)</f>
        <v>1</v>
      </c>
      <c r="V15" s="7">
        <f>IF(預測IC!V15&gt;預測IC!V$25,1,0)</f>
        <v>0</v>
      </c>
      <c r="W15" s="7">
        <f>IF(預測IC!W15&gt;預測IC!W$25,1,0)</f>
        <v>1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0</v>
      </c>
      <c r="AA15" s="7">
        <f>IF(預測IC!AA15&gt;預測IC!AA$25,1,0)</f>
        <v>0</v>
      </c>
      <c r="AB15" s="7">
        <f>IF(預測IC!AB15&gt;預測IC!AB$25,1,0)</f>
        <v>0</v>
      </c>
      <c r="AC15" s="7">
        <f>IF(預測IC!AC15&gt;預測IC!AC$25,1,0)</f>
        <v>0</v>
      </c>
      <c r="AD15" s="7">
        <f>IF(預測IC!AD15&gt;預測IC!AD$25,1,0)</f>
        <v>1</v>
      </c>
      <c r="AE15" s="7">
        <f>IF(預測IC!AE15&gt;預測IC!AE$25,1,0)</f>
        <v>1</v>
      </c>
      <c r="AF15" s="7">
        <f>IF(預測IC!AF15&gt;預測IC!AF$25,1,0)</f>
        <v>1</v>
      </c>
      <c r="AG15" s="7">
        <f>IF(預測IC!AG15&gt;預測IC!AG$25,1,0)</f>
        <v>0</v>
      </c>
      <c r="AH15" s="7">
        <f>IF(預測IC!AH15&gt;預測IC!AH$25,1,0)</f>
        <v>0</v>
      </c>
      <c r="AI15" s="7">
        <f>IF(預測IC!AI15&gt;預測IC!AI$25,1,0)</f>
        <v>1</v>
      </c>
      <c r="AJ15" s="7">
        <f>IF(預測IC!AJ15&gt;預測IC!AJ$25,1,0)</f>
        <v>0</v>
      </c>
      <c r="AK15" s="7">
        <f>IF(預測IC!AK15&gt;預測IC!AK$25,1,0)</f>
        <v>1</v>
      </c>
      <c r="AL15" s="7">
        <f>IF(預測IC!AL15&gt;預測IC!AL$25,1,0)</f>
        <v>1</v>
      </c>
      <c r="AM15" s="7">
        <f>IF(預測IC!AM15&gt;預測IC!AM$25,1,0)</f>
        <v>1</v>
      </c>
      <c r="AN15" s="7">
        <f>IF(預測IC!AN15&gt;預測IC!AN$25,1,0)</f>
        <v>1</v>
      </c>
      <c r="AO15" s="7">
        <f>IF(預測IC!AO15&gt;預測IC!AO$25,1,0)</f>
        <v>1</v>
      </c>
      <c r="AP15" s="7">
        <f>IF(預測IC!AP15&gt;預測IC!AP$25,1,0)</f>
        <v>0</v>
      </c>
      <c r="AQ15" s="7">
        <f>IF(預測IC!AQ15&gt;預測IC!AQ$25,1,0)</f>
        <v>0</v>
      </c>
      <c r="AR15" s="7">
        <f>IF(預測IC!AR15&gt;預測IC!AR$25,1,0)</f>
        <v>0</v>
      </c>
      <c r="AS15" s="7">
        <f>IF(預測IC!AS15&gt;預測IC!AS$25,1,0)</f>
        <v>1</v>
      </c>
      <c r="AT15" s="7">
        <f>IF(預測IC!AT15&gt;預測IC!AT$25,1,0)</f>
        <v>0</v>
      </c>
      <c r="AU15" s="7">
        <f>IF(預測IC!AU15&gt;預測IC!AU$25,1,0)</f>
        <v>1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1</v>
      </c>
      <c r="AY15" s="7">
        <f>IF(預測IC!AY15&gt;預測IC!AY$25,1,0)</f>
        <v>0</v>
      </c>
      <c r="AZ15" s="7">
        <f>IF(預測IC!AZ15&gt;預測IC!AZ$25,1,0)</f>
        <v>1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0</v>
      </c>
      <c r="BD15" s="7">
        <f>IF(預測IC!BD15&gt;預測IC!BD$25,1,0)</f>
        <v>1</v>
      </c>
      <c r="BE15" s="7">
        <f>IF(預測IC!BE15&gt;預測IC!BE$25,1,0)</f>
        <v>0</v>
      </c>
      <c r="BF15" s="7">
        <f>IF(預測IC!BF15&gt;預測IC!BF$25,1,0)</f>
        <v>0</v>
      </c>
      <c r="BG15" s="7">
        <f>IF(預測IC!BG15&gt;預測IC!BG$25,1,0)</f>
        <v>1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1</v>
      </c>
      <c r="BK15" s="7">
        <f>IF(預測IC!BK15&gt;預測IC!BK$25,1,0)</f>
        <v>1</v>
      </c>
      <c r="BL15" s="7">
        <f>IF(預測IC!BL15&gt;預測IC!BL$25,1,0)</f>
        <v>0</v>
      </c>
      <c r="BM15" s="7">
        <f>IF(預測IC!BM15&gt;預測IC!BM$25,1,0)</f>
        <v>0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1</v>
      </c>
      <c r="BQ15" s="7">
        <f>IF(預測IC!BQ15&gt;預測IC!BQ$25,1,0)</f>
        <v>1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0</v>
      </c>
      <c r="BU15" s="7">
        <f>IF(預測IC!BU15&gt;預測IC!BU$25,1,0)</f>
        <v>0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1</v>
      </c>
      <c r="BY15" s="7">
        <f>IF(預測IC!BY15&gt;預測IC!BY$25,1,0)</f>
        <v>1</v>
      </c>
      <c r="BZ15" s="7">
        <f>IF(預測IC!BZ15&gt;預測IC!BZ$25,1,0)</f>
        <v>0</v>
      </c>
      <c r="CA15" s="7">
        <f>IF(預測IC!CA15&gt;預測IC!CA$25,1,0)</f>
        <v>1</v>
      </c>
      <c r="CB15" s="7">
        <f>IF(預測IC!CB15&gt;預測IC!CB$25,1,0)</f>
        <v>1</v>
      </c>
      <c r="CC15" s="7">
        <f>IF(預測IC!CC15&gt;預測IC!CC$25,1,0)</f>
        <v>1</v>
      </c>
      <c r="CD15" s="7">
        <f>IF(預測IC!CD15&gt;預測IC!CD$25,1,0)</f>
        <v>1</v>
      </c>
      <c r="CE15" s="7">
        <f>IF(預測IC!CE15&gt;預測IC!CE$25,1,0)</f>
        <v>1</v>
      </c>
      <c r="CF15" s="7">
        <f>IF(預測IC!CF15&gt;預測IC!CF$25,1,0)</f>
        <v>0</v>
      </c>
      <c r="CG15" s="7">
        <f>IF(預測IC!CG15&gt;預測IC!CG$25,1,0)</f>
        <v>1</v>
      </c>
      <c r="CH15" s="7">
        <f>IF(預測IC!CH15&gt;預測IC!CH$25,1,0)</f>
        <v>0</v>
      </c>
      <c r="CI15" s="7">
        <f>IF(預測IC!CI15&gt;預測IC!CI$25,1,0)</f>
        <v>0</v>
      </c>
      <c r="CJ15" s="7">
        <f>IF(預測IC!CJ15&gt;預測IC!CJ$25,1,0)</f>
        <v>0</v>
      </c>
      <c r="CK15" s="7">
        <f>IF(預測IC!CK15&gt;預測IC!CK$25,1,0)</f>
        <v>1</v>
      </c>
      <c r="CL15" s="7">
        <f>IF(預測IC!CL15&gt;預測IC!CL$25,1,0)</f>
        <v>1</v>
      </c>
      <c r="CM15" s="7">
        <f>IF(預測IC!CM15&gt;預測IC!CM$25,1,0)</f>
        <v>0</v>
      </c>
      <c r="CN15" s="7">
        <f>IF(預測IC!CN15&gt;預測IC!CN$25,1,0)</f>
        <v>0</v>
      </c>
      <c r="CO15" s="7">
        <f>IF(預測IC!CO15&gt;預測IC!CO$25,1,0)</f>
        <v>1</v>
      </c>
      <c r="CP15" s="7">
        <f>IF(預測IC!CP15&gt;預測IC!CP$25,1,0)</f>
        <v>0</v>
      </c>
      <c r="CQ15" s="7">
        <f>IF(預測IC!CQ15&gt;預測IC!CQ$25,1,0)</f>
        <v>1</v>
      </c>
      <c r="CR15" s="7">
        <f>IF(預測IC!CR15&gt;預測IC!CR$25,1,0)</f>
        <v>1</v>
      </c>
      <c r="CS15" s="7">
        <f>IF(預測IC!CS15&gt;預測IC!CS$25,1,0)</f>
        <v>0</v>
      </c>
      <c r="CT15" s="7">
        <f>IF(預測IC!CT15&gt;預測IC!CT$25,1,0)</f>
        <v>0</v>
      </c>
      <c r="CU15" s="7">
        <f>IF(預測IC!CU15&gt;預測IC!CU$25,1,0)</f>
        <v>0</v>
      </c>
      <c r="CV15" s="7">
        <f>IF(預測IC!CV15&gt;預測IC!CV$25,1,0)</f>
        <v>0</v>
      </c>
      <c r="CW15" s="7">
        <f>IF(預測IC!CW15&gt;預測IC!CW$25,1,0)</f>
        <v>0</v>
      </c>
      <c r="CX15" s="7">
        <f>IF(預測IC!CX15&gt;預測IC!CX$25,1,0)</f>
        <v>1</v>
      </c>
      <c r="CY15" s="7">
        <f>IF(預測IC!CY15&gt;預測IC!CY$25,1,0)</f>
        <v>1</v>
      </c>
      <c r="CZ15" s="7">
        <f>IF(預測IC!CZ15&gt;預測IC!CZ$25,1,0)</f>
        <v>1</v>
      </c>
      <c r="DA15" s="7">
        <f>IF(預測IC!DA15&gt;預測IC!DA$25,1,0)</f>
        <v>0</v>
      </c>
      <c r="DB15" s="7">
        <f>IF(預測IC!DB15&gt;預測IC!DB$25,1,0)</f>
        <v>0</v>
      </c>
      <c r="DC15" s="7">
        <f>IF(預測IC!DC15&gt;預測IC!DC$25,1,0)</f>
        <v>1</v>
      </c>
      <c r="DD15" s="7">
        <f>IF(預測IC!DD15&gt;預測IC!DD$25,1,0)</f>
        <v>0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0</v>
      </c>
      <c r="DH15" s="7">
        <f>IF(預測IC!DH15&gt;預測IC!DH$25,1,0)</f>
        <v>1</v>
      </c>
      <c r="DI15" s="7">
        <f>IF(預測IC!DI15&gt;預測IC!DI$25,1,0)</f>
        <v>1</v>
      </c>
      <c r="DJ15" s="7">
        <f>IF(預測IC!DJ15&gt;預測IC!DJ$25,1,0)</f>
        <v>0</v>
      </c>
      <c r="DK15" s="7">
        <f>IF(預測IC!DK15&gt;預測IC!DK$25,1,0)</f>
        <v>0</v>
      </c>
      <c r="DL15" s="7">
        <f>IF(預測IC!DL15&gt;預測IC!DL$25,1,0)</f>
        <v>0</v>
      </c>
      <c r="DM15" s="7">
        <f>IF(預測IC!DM15&gt;預測IC!DM$25,1,0)</f>
        <v>0</v>
      </c>
      <c r="DN15" s="7">
        <f>IF(預測IC!DN15&gt;預測IC!DN$25,1,0)</f>
        <v>0</v>
      </c>
      <c r="DO15" s="7">
        <f>IF(預測IC!DO15&gt;預測IC!DO$25,1,0)</f>
        <v>1</v>
      </c>
      <c r="DP15" s="7">
        <f>IF(預測IC!DP15&gt;預測IC!DP$25,1,0)</f>
        <v>0</v>
      </c>
      <c r="DQ15" s="7">
        <f>IF(預測IC!DQ15&gt;預測IC!DQ$25,1,0)</f>
        <v>0</v>
      </c>
      <c r="DR15" s="7">
        <f>IF(預測IC!DR15&gt;預測IC!DR$25,1,0)</f>
        <v>0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0</v>
      </c>
      <c r="DV15" s="7">
        <f>IF(預測IC!DV15&gt;預測IC!DV$25,1,0)</f>
        <v>1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1</v>
      </c>
      <c r="EA15" s="7">
        <f>IF(預測IC!EA15&gt;預測IC!EA$25,1,0)</f>
        <v>1</v>
      </c>
      <c r="EB15" s="7">
        <f>IF(預測IC!EB15&gt;預測IC!EB$25,1,0)</f>
        <v>0</v>
      </c>
      <c r="EC15" s="7">
        <f>IF(預測IC!EC15&gt;預測IC!EC$25,1,0)</f>
        <v>1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1</v>
      </c>
      <c r="EG15">
        <f t="shared" si="10"/>
        <v>70</v>
      </c>
      <c r="EH15" s="11">
        <f t="shared" si="11"/>
        <v>0.5149253731343284</v>
      </c>
    </row>
    <row r="16" spans="1:138" x14ac:dyDescent="0.3">
      <c r="A16" s="1">
        <v>107</v>
      </c>
      <c r="B16" s="1">
        <v>9</v>
      </c>
      <c r="C16" s="7">
        <f>IF(預測IC!C16&gt;預測IC!C$25,1,0)</f>
        <v>0</v>
      </c>
      <c r="D16" s="7">
        <f>IF(預測IC!D16&gt;預測IC!D$25,1,0)</f>
        <v>1</v>
      </c>
      <c r="E16" s="7">
        <f>IF(預測IC!E16&gt;預測IC!E$25,1,0)</f>
        <v>0</v>
      </c>
      <c r="F16" s="7">
        <f>IF(預測IC!F16&gt;預測IC!F$25,1,0)</f>
        <v>1</v>
      </c>
      <c r="G16" s="7">
        <f>IF(預測IC!G16&gt;預測IC!G$25,1,0)</f>
        <v>1</v>
      </c>
      <c r="H16" s="7">
        <f>IF(預測IC!H16&gt;預測IC!H$25,1,0)</f>
        <v>1</v>
      </c>
      <c r="I16" s="7">
        <f>IF(預測IC!I16&gt;預測IC!I$25,1,0)</f>
        <v>1</v>
      </c>
      <c r="J16" s="7">
        <f>IF(預測IC!J16&gt;預測IC!J$25,1,0)</f>
        <v>0</v>
      </c>
      <c r="K16" s="7">
        <f>IF(預測IC!K16&gt;預測IC!K$25,1,0)</f>
        <v>1</v>
      </c>
      <c r="L16" s="7">
        <f>IF(預測IC!L16&gt;預測IC!L$25,1,0)</f>
        <v>1</v>
      </c>
      <c r="M16" s="7">
        <f>IF(預測IC!M16&gt;預測IC!M$25,1,0)</f>
        <v>0</v>
      </c>
      <c r="N16" s="7">
        <f>IF(預測IC!N16&gt;預測IC!N$25,1,0)</f>
        <v>1</v>
      </c>
      <c r="O16" s="7">
        <f>IF(預測IC!O16&gt;預測IC!O$25,1,0)</f>
        <v>1</v>
      </c>
      <c r="P16" s="7">
        <f>IF(預測IC!P16&gt;預測IC!P$25,1,0)</f>
        <v>1</v>
      </c>
      <c r="Q16" s="7">
        <f>IF(預測IC!Q16&gt;預測IC!Q$25,1,0)</f>
        <v>1</v>
      </c>
      <c r="R16" s="7">
        <f>IF(預測IC!R16&gt;預測IC!R$25,1,0)</f>
        <v>0</v>
      </c>
      <c r="S16" s="7">
        <f>IF(預測IC!S16&gt;預測IC!S$25,1,0)</f>
        <v>0</v>
      </c>
      <c r="T16" s="7">
        <f>IF(預測IC!T16&gt;預測IC!T$25,1,0)</f>
        <v>1</v>
      </c>
      <c r="U16" s="7">
        <f>IF(預測IC!U16&gt;預測IC!U$25,1,0)</f>
        <v>1</v>
      </c>
      <c r="V16" s="7">
        <f>IF(預測IC!V16&gt;預測IC!V$25,1,0)</f>
        <v>0</v>
      </c>
      <c r="W16" s="7">
        <f>IF(預測IC!W16&gt;預測IC!W$25,1,0)</f>
        <v>1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0</v>
      </c>
      <c r="AA16" s="7">
        <f>IF(預測IC!AA16&gt;預測IC!AA$25,1,0)</f>
        <v>0</v>
      </c>
      <c r="AB16" s="7">
        <f>IF(預測IC!AB16&gt;預測IC!AB$25,1,0)</f>
        <v>0</v>
      </c>
      <c r="AC16" s="7">
        <f>IF(預測IC!AC16&gt;預測IC!AC$25,1,0)</f>
        <v>0</v>
      </c>
      <c r="AD16" s="7">
        <f>IF(預測IC!AD16&gt;預測IC!AD$25,1,0)</f>
        <v>1</v>
      </c>
      <c r="AE16" s="7">
        <f>IF(預測IC!AE16&gt;預測IC!AE$25,1,0)</f>
        <v>1</v>
      </c>
      <c r="AF16" s="7">
        <f>IF(預測IC!AF16&gt;預測IC!AF$25,1,0)</f>
        <v>0</v>
      </c>
      <c r="AG16" s="7">
        <f>IF(預測IC!AG16&gt;預測IC!AG$25,1,0)</f>
        <v>0</v>
      </c>
      <c r="AH16" s="7">
        <f>IF(預測IC!AH16&gt;預測IC!AH$25,1,0)</f>
        <v>0</v>
      </c>
      <c r="AI16" s="7">
        <f>IF(預測IC!AI16&gt;預測IC!AI$25,1,0)</f>
        <v>1</v>
      </c>
      <c r="AJ16" s="7">
        <f>IF(預測IC!AJ16&gt;預測IC!AJ$25,1,0)</f>
        <v>0</v>
      </c>
      <c r="AK16" s="7">
        <f>IF(預測IC!AK16&gt;預測IC!AK$25,1,0)</f>
        <v>1</v>
      </c>
      <c r="AL16" s="7">
        <f>IF(預測IC!AL16&gt;預測IC!AL$25,1,0)</f>
        <v>1</v>
      </c>
      <c r="AM16" s="7">
        <f>IF(預測IC!AM16&gt;預測IC!AM$25,1,0)</f>
        <v>1</v>
      </c>
      <c r="AN16" s="7">
        <f>IF(預測IC!AN16&gt;預測IC!AN$25,1,0)</f>
        <v>1</v>
      </c>
      <c r="AO16" s="7">
        <f>IF(預測IC!AO16&gt;預測IC!AO$25,1,0)</f>
        <v>1</v>
      </c>
      <c r="AP16" s="7">
        <f>IF(預測IC!AP16&gt;預測IC!AP$25,1,0)</f>
        <v>0</v>
      </c>
      <c r="AQ16" s="7">
        <f>IF(預測IC!AQ16&gt;預測IC!AQ$25,1,0)</f>
        <v>0</v>
      </c>
      <c r="AR16" s="7">
        <f>IF(預測IC!AR16&gt;預測IC!AR$25,1,0)</f>
        <v>0</v>
      </c>
      <c r="AS16" s="7">
        <f>IF(預測IC!AS16&gt;預測IC!AS$25,1,0)</f>
        <v>1</v>
      </c>
      <c r="AT16" s="7">
        <f>IF(預測IC!AT16&gt;預測IC!AT$25,1,0)</f>
        <v>0</v>
      </c>
      <c r="AU16" s="7">
        <f>IF(預測IC!AU16&gt;預測IC!AU$25,1,0)</f>
        <v>1</v>
      </c>
      <c r="AV16" s="7">
        <f>IF(預測IC!AV16&gt;預測IC!AV$25,1,0)</f>
        <v>0</v>
      </c>
      <c r="AW16" s="7">
        <f>IF(預測IC!AW16&gt;預測IC!AW$25,1,0)</f>
        <v>1</v>
      </c>
      <c r="AX16" s="7">
        <f>IF(預測IC!AX16&gt;預測IC!AX$25,1,0)</f>
        <v>1</v>
      </c>
      <c r="AY16" s="7">
        <f>IF(預測IC!AY16&gt;預測IC!AY$25,1,0)</f>
        <v>0</v>
      </c>
      <c r="AZ16" s="7">
        <f>IF(預測IC!AZ16&gt;預測IC!AZ$25,1,0)</f>
        <v>1</v>
      </c>
      <c r="BA16" s="7">
        <f>IF(預測IC!BA16&gt;預測IC!BA$25,1,0)</f>
        <v>1</v>
      </c>
      <c r="BB16" s="7">
        <f>IF(預測IC!BB16&gt;預測IC!BB$25,1,0)</f>
        <v>1</v>
      </c>
      <c r="BC16" s="7">
        <f>IF(預測IC!BC16&gt;預測IC!BC$25,1,0)</f>
        <v>0</v>
      </c>
      <c r="BD16" s="7">
        <f>IF(預測IC!BD16&gt;預測IC!BD$25,1,0)</f>
        <v>1</v>
      </c>
      <c r="BE16" s="7">
        <f>IF(預測IC!BE16&gt;預測IC!BE$25,1,0)</f>
        <v>0</v>
      </c>
      <c r="BF16" s="7">
        <f>IF(預測IC!BF16&gt;預測IC!BF$25,1,0)</f>
        <v>0</v>
      </c>
      <c r="BG16" s="7">
        <f>IF(預測IC!BG16&gt;預測IC!BG$25,1,0)</f>
        <v>1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1</v>
      </c>
      <c r="BK16" s="7">
        <f>IF(預測IC!BK16&gt;預測IC!BK$25,1,0)</f>
        <v>1</v>
      </c>
      <c r="BL16" s="7">
        <f>IF(預測IC!BL16&gt;預測IC!BL$25,1,0)</f>
        <v>0</v>
      </c>
      <c r="BM16" s="7">
        <f>IF(預測IC!BM16&gt;預測IC!BM$25,1,0)</f>
        <v>0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1</v>
      </c>
      <c r="BQ16" s="7">
        <f>IF(預測IC!BQ16&gt;預測IC!BQ$25,1,0)</f>
        <v>1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0</v>
      </c>
      <c r="BU16" s="7">
        <f>IF(預測IC!BU16&gt;預測IC!BU$25,1,0)</f>
        <v>0</v>
      </c>
      <c r="BV16" s="7">
        <f>IF(預測IC!BV16&gt;預測IC!BV$25,1,0)</f>
        <v>1</v>
      </c>
      <c r="BW16" s="7">
        <f>IF(預測IC!BW16&gt;預測IC!BW$25,1,0)</f>
        <v>1</v>
      </c>
      <c r="BX16" s="7">
        <f>IF(預測IC!BX16&gt;預測IC!BX$25,1,0)</f>
        <v>1</v>
      </c>
      <c r="BY16" s="7">
        <f>IF(預測IC!BY16&gt;預測IC!BY$25,1,0)</f>
        <v>1</v>
      </c>
      <c r="BZ16" s="7">
        <f>IF(預測IC!BZ16&gt;預測IC!BZ$25,1,0)</f>
        <v>0</v>
      </c>
      <c r="CA16" s="7">
        <f>IF(預測IC!CA16&gt;預測IC!CA$25,1,0)</f>
        <v>1</v>
      </c>
      <c r="CB16" s="7">
        <f>IF(預測IC!CB16&gt;預測IC!CB$25,1,0)</f>
        <v>1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1</v>
      </c>
      <c r="CF16" s="7">
        <f>IF(預測IC!CF16&gt;預測IC!CF$25,1,0)</f>
        <v>0</v>
      </c>
      <c r="CG16" s="7">
        <f>IF(預測IC!CG16&gt;預測IC!CG$25,1,0)</f>
        <v>1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1</v>
      </c>
      <c r="CM16" s="7">
        <f>IF(預測IC!CM16&gt;預測IC!CM$25,1,0)</f>
        <v>0</v>
      </c>
      <c r="CN16" s="7">
        <f>IF(預測IC!CN16&gt;預測IC!CN$25,1,0)</f>
        <v>0</v>
      </c>
      <c r="CO16" s="7">
        <f>IF(預測IC!CO16&gt;預測IC!CO$25,1,0)</f>
        <v>1</v>
      </c>
      <c r="CP16" s="7">
        <f>IF(預測IC!CP16&gt;預測IC!CP$25,1,0)</f>
        <v>0</v>
      </c>
      <c r="CQ16" s="7">
        <f>IF(預測IC!CQ16&gt;預測IC!CQ$25,1,0)</f>
        <v>1</v>
      </c>
      <c r="CR16" s="7">
        <f>IF(預測IC!CR16&gt;預測IC!CR$25,1,0)</f>
        <v>1</v>
      </c>
      <c r="CS16" s="7">
        <f>IF(預測IC!CS16&gt;預測IC!CS$25,1,0)</f>
        <v>0</v>
      </c>
      <c r="CT16" s="7">
        <f>IF(預測IC!CT16&gt;預測IC!CT$25,1,0)</f>
        <v>1</v>
      </c>
      <c r="CU16" s="7">
        <f>IF(預測IC!CU16&gt;預測IC!CU$25,1,0)</f>
        <v>0</v>
      </c>
      <c r="CV16" s="7">
        <f>IF(預測IC!CV16&gt;預測IC!CV$25,1,0)</f>
        <v>0</v>
      </c>
      <c r="CW16" s="7">
        <f>IF(預測IC!CW16&gt;預測IC!CW$25,1,0)</f>
        <v>0</v>
      </c>
      <c r="CX16" s="7">
        <f>IF(預測IC!CX16&gt;預測IC!CX$25,1,0)</f>
        <v>1</v>
      </c>
      <c r="CY16" s="7">
        <f>IF(預測IC!CY16&gt;預測IC!CY$25,1,0)</f>
        <v>1</v>
      </c>
      <c r="CZ16" s="7">
        <f>IF(預測IC!CZ16&gt;預測IC!CZ$25,1,0)</f>
        <v>1</v>
      </c>
      <c r="DA16" s="7">
        <f>IF(預測IC!DA16&gt;預測IC!DA$25,1,0)</f>
        <v>0</v>
      </c>
      <c r="DB16" s="7">
        <f>IF(預測IC!DB16&gt;預測IC!DB$25,1,0)</f>
        <v>0</v>
      </c>
      <c r="DC16" s="7">
        <f>IF(預測IC!DC16&gt;預測IC!DC$25,1,0)</f>
        <v>1</v>
      </c>
      <c r="DD16" s="7">
        <f>IF(預測IC!DD16&gt;預測IC!DD$25,1,0)</f>
        <v>0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0</v>
      </c>
      <c r="DH16" s="7">
        <f>IF(預測IC!DH16&gt;預測IC!DH$25,1,0)</f>
        <v>1</v>
      </c>
      <c r="DI16" s="7">
        <f>IF(預測IC!DI16&gt;預測IC!DI$25,1,0)</f>
        <v>1</v>
      </c>
      <c r="DJ16" s="7">
        <f>IF(預測IC!DJ16&gt;預測IC!DJ$25,1,0)</f>
        <v>0</v>
      </c>
      <c r="DK16" s="7">
        <f>IF(預測IC!DK16&gt;預測IC!DK$25,1,0)</f>
        <v>0</v>
      </c>
      <c r="DL16" s="7">
        <f>IF(預測IC!DL16&gt;預測IC!DL$25,1,0)</f>
        <v>0</v>
      </c>
      <c r="DM16" s="7">
        <f>IF(預測IC!DM16&gt;預測IC!DM$25,1,0)</f>
        <v>1</v>
      </c>
      <c r="DN16" s="7">
        <f>IF(預測IC!DN16&gt;預測IC!DN$25,1,0)</f>
        <v>0</v>
      </c>
      <c r="DO16" s="7">
        <f>IF(預測IC!DO16&gt;預測IC!DO$25,1,0)</f>
        <v>1</v>
      </c>
      <c r="DP16" s="7">
        <f>IF(預測IC!DP16&gt;預測IC!DP$25,1,0)</f>
        <v>0</v>
      </c>
      <c r="DQ16" s="7">
        <f>IF(預測IC!DQ16&gt;預測IC!DQ$25,1,0)</f>
        <v>0</v>
      </c>
      <c r="DR16" s="7">
        <f>IF(預測IC!DR16&gt;預測IC!DR$25,1,0)</f>
        <v>0</v>
      </c>
      <c r="DS16" s="7">
        <f>IF(預測IC!DS16&gt;預測IC!DS$25,1,0)</f>
        <v>0</v>
      </c>
      <c r="DT16" s="7">
        <f>IF(預測IC!DT16&gt;預測IC!DT$25,1,0)</f>
        <v>0</v>
      </c>
      <c r="DU16" s="7">
        <f>IF(預測IC!DU16&gt;預測IC!DU$25,1,0)</f>
        <v>0</v>
      </c>
      <c r="DV16" s="7">
        <f>IF(預測IC!DV16&gt;預測IC!DV$25,1,0)</f>
        <v>1</v>
      </c>
      <c r="DW16" s="7">
        <f>IF(預測IC!DW16&gt;預測IC!DW$25,1,0)</f>
        <v>0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1</v>
      </c>
      <c r="EA16" s="7">
        <f>IF(預測IC!EA16&gt;預測IC!EA$25,1,0)</f>
        <v>1</v>
      </c>
      <c r="EB16" s="7">
        <f>IF(預測IC!EB16&gt;預測IC!EB$25,1,0)</f>
        <v>0</v>
      </c>
      <c r="EC16" s="7">
        <f>IF(預測IC!EC16&gt;預測IC!EC$25,1,0)</f>
        <v>1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1</v>
      </c>
      <c r="EG16">
        <f t="shared" si="10"/>
        <v>71</v>
      </c>
      <c r="EH16" s="13">
        <f t="shared" si="11"/>
        <v>0.52238805970149249</v>
      </c>
    </row>
    <row r="17" spans="1:138" x14ac:dyDescent="0.3">
      <c r="A17" s="1">
        <v>120</v>
      </c>
      <c r="B17" s="1">
        <v>8</v>
      </c>
      <c r="C17" s="7">
        <f>IF(預測IC!C17&gt;預測IC!C$25,1,0)</f>
        <v>0</v>
      </c>
      <c r="D17" s="7">
        <f>IF(預測IC!D17&gt;預測IC!D$25,1,0)</f>
        <v>1</v>
      </c>
      <c r="E17" s="7">
        <f>IF(預測IC!E17&gt;預測IC!E$25,1,0)</f>
        <v>0</v>
      </c>
      <c r="F17" s="7">
        <f>IF(預測IC!F17&gt;預測IC!F$25,1,0)</f>
        <v>1</v>
      </c>
      <c r="G17" s="7">
        <f>IF(預測IC!G17&gt;預測IC!G$25,1,0)</f>
        <v>1</v>
      </c>
      <c r="H17" s="7">
        <f>IF(預測IC!H17&gt;預測IC!H$25,1,0)</f>
        <v>1</v>
      </c>
      <c r="I17" s="7">
        <f>IF(預測IC!I17&gt;預測IC!I$25,1,0)</f>
        <v>1</v>
      </c>
      <c r="J17" s="7">
        <f>IF(預測IC!J17&gt;預測IC!J$25,1,0)</f>
        <v>0</v>
      </c>
      <c r="K17" s="7">
        <f>IF(預測IC!K17&gt;預測IC!K$25,1,0)</f>
        <v>1</v>
      </c>
      <c r="L17" s="7">
        <f>IF(預測IC!L17&gt;預測IC!L$25,1,0)</f>
        <v>1</v>
      </c>
      <c r="M17" s="7">
        <f>IF(預測IC!M17&gt;預測IC!M$25,1,0)</f>
        <v>0</v>
      </c>
      <c r="N17" s="7">
        <f>IF(預測IC!N17&gt;預測IC!N$25,1,0)</f>
        <v>1</v>
      </c>
      <c r="O17" s="7">
        <f>IF(預測IC!O17&gt;預測IC!O$25,1,0)</f>
        <v>1</v>
      </c>
      <c r="P17" s="7">
        <f>IF(預測IC!P17&gt;預測IC!P$25,1,0)</f>
        <v>1</v>
      </c>
      <c r="Q17" s="7">
        <f>IF(預測IC!Q17&gt;預測IC!Q$25,1,0)</f>
        <v>1</v>
      </c>
      <c r="R17" s="7">
        <f>IF(預測IC!R17&gt;預測IC!R$25,1,0)</f>
        <v>0</v>
      </c>
      <c r="S17" s="7">
        <f>IF(預測IC!S17&gt;預測IC!S$25,1,0)</f>
        <v>0</v>
      </c>
      <c r="T17" s="7">
        <f>IF(預測IC!T17&gt;預測IC!T$25,1,0)</f>
        <v>1</v>
      </c>
      <c r="U17" s="7">
        <f>IF(預測IC!U17&gt;預測IC!U$25,1,0)</f>
        <v>1</v>
      </c>
      <c r="V17" s="7">
        <f>IF(預測IC!V17&gt;預測IC!V$25,1,0)</f>
        <v>0</v>
      </c>
      <c r="W17" s="7">
        <f>IF(預測IC!W17&gt;預測IC!W$25,1,0)</f>
        <v>1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0</v>
      </c>
      <c r="AA17" s="7">
        <f>IF(預測IC!AA17&gt;預測IC!AA$25,1,0)</f>
        <v>0</v>
      </c>
      <c r="AB17" s="7">
        <f>IF(預測IC!AB17&gt;預測IC!AB$25,1,0)</f>
        <v>0</v>
      </c>
      <c r="AC17" s="7">
        <f>IF(預測IC!AC17&gt;預測IC!AC$25,1,0)</f>
        <v>0</v>
      </c>
      <c r="AD17" s="7">
        <f>IF(預測IC!AD17&gt;預測IC!AD$25,1,0)</f>
        <v>1</v>
      </c>
      <c r="AE17" s="7">
        <f>IF(預測IC!AE17&gt;預測IC!AE$25,1,0)</f>
        <v>1</v>
      </c>
      <c r="AF17" s="7">
        <f>IF(預測IC!AF17&gt;預測IC!AF$25,1,0)</f>
        <v>0</v>
      </c>
      <c r="AG17" s="7">
        <f>IF(預測IC!AG17&gt;預測IC!AG$25,1,0)</f>
        <v>0</v>
      </c>
      <c r="AH17" s="7">
        <f>IF(預測IC!AH17&gt;預測IC!AH$25,1,0)</f>
        <v>0</v>
      </c>
      <c r="AI17" s="7">
        <f>IF(預測IC!AI17&gt;預測IC!AI$25,1,0)</f>
        <v>1</v>
      </c>
      <c r="AJ17" s="7">
        <f>IF(預測IC!AJ17&gt;預測IC!AJ$25,1,0)</f>
        <v>0</v>
      </c>
      <c r="AK17" s="7">
        <f>IF(預測IC!AK17&gt;預測IC!AK$25,1,0)</f>
        <v>1</v>
      </c>
      <c r="AL17" s="7">
        <f>IF(預測IC!AL17&gt;預測IC!AL$25,1,0)</f>
        <v>1</v>
      </c>
      <c r="AM17" s="7">
        <f>IF(預測IC!AM17&gt;預測IC!AM$25,1,0)</f>
        <v>1</v>
      </c>
      <c r="AN17" s="7">
        <f>IF(預測IC!AN17&gt;預測IC!AN$25,1,0)</f>
        <v>1</v>
      </c>
      <c r="AO17" s="7">
        <f>IF(預測IC!AO17&gt;預測IC!AO$25,1,0)</f>
        <v>1</v>
      </c>
      <c r="AP17" s="7">
        <f>IF(預測IC!AP17&gt;預測IC!AP$25,1,0)</f>
        <v>0</v>
      </c>
      <c r="AQ17" s="7">
        <f>IF(預測IC!AQ17&gt;預測IC!AQ$25,1,0)</f>
        <v>0</v>
      </c>
      <c r="AR17" s="7">
        <f>IF(預測IC!AR17&gt;預測IC!AR$25,1,0)</f>
        <v>1</v>
      </c>
      <c r="AS17" s="7">
        <f>IF(預測IC!AS17&gt;預測IC!AS$25,1,0)</f>
        <v>1</v>
      </c>
      <c r="AT17" s="7">
        <f>IF(預測IC!AT17&gt;預測IC!AT$25,1,0)</f>
        <v>0</v>
      </c>
      <c r="AU17" s="7">
        <f>IF(預測IC!AU17&gt;預測IC!AU$25,1,0)</f>
        <v>1</v>
      </c>
      <c r="AV17" s="7">
        <f>IF(預測IC!AV17&gt;預測IC!AV$25,1,0)</f>
        <v>0</v>
      </c>
      <c r="AW17" s="7">
        <f>IF(預測IC!AW17&gt;預測IC!AW$25,1,0)</f>
        <v>1</v>
      </c>
      <c r="AX17" s="7">
        <f>IF(預測IC!AX17&gt;預測IC!AX$25,1,0)</f>
        <v>1</v>
      </c>
      <c r="AY17" s="7">
        <f>IF(預測IC!AY17&gt;預測IC!AY$25,1,0)</f>
        <v>0</v>
      </c>
      <c r="AZ17" s="7">
        <f>IF(預測IC!AZ17&gt;預測IC!AZ$25,1,0)</f>
        <v>1</v>
      </c>
      <c r="BA17" s="7">
        <f>IF(預測IC!BA17&gt;預測IC!BA$25,1,0)</f>
        <v>1</v>
      </c>
      <c r="BB17" s="7">
        <f>IF(預測IC!BB17&gt;預測IC!BB$25,1,0)</f>
        <v>1</v>
      </c>
      <c r="BC17" s="7">
        <f>IF(預測IC!BC17&gt;預測IC!BC$25,1,0)</f>
        <v>0</v>
      </c>
      <c r="BD17" s="7">
        <f>IF(預測IC!BD17&gt;預測IC!BD$25,1,0)</f>
        <v>1</v>
      </c>
      <c r="BE17" s="7">
        <f>IF(預測IC!BE17&gt;預測IC!BE$25,1,0)</f>
        <v>0</v>
      </c>
      <c r="BF17" s="7">
        <f>IF(預測IC!BF17&gt;預測IC!BF$25,1,0)</f>
        <v>0</v>
      </c>
      <c r="BG17" s="7">
        <f>IF(預測IC!BG17&gt;預測IC!BG$25,1,0)</f>
        <v>0</v>
      </c>
      <c r="BH17" s="7">
        <f>IF(預測IC!BH17&gt;預測IC!BH$25,1,0)</f>
        <v>1</v>
      </c>
      <c r="BI17" s="7">
        <f>IF(預測IC!BI17&gt;預測IC!BI$25,1,0)</f>
        <v>1</v>
      </c>
      <c r="BJ17" s="7">
        <f>IF(預測IC!BJ17&gt;預測IC!BJ$25,1,0)</f>
        <v>1</v>
      </c>
      <c r="BK17" s="7">
        <f>IF(預測IC!BK17&gt;預測IC!BK$25,1,0)</f>
        <v>1</v>
      </c>
      <c r="BL17" s="7">
        <f>IF(預測IC!BL17&gt;預測IC!BL$25,1,0)</f>
        <v>0</v>
      </c>
      <c r="BM17" s="7">
        <f>IF(預測IC!BM17&gt;預測IC!BM$25,1,0)</f>
        <v>0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0</v>
      </c>
      <c r="BU17" s="7">
        <f>IF(預測IC!BU17&gt;預測IC!BU$25,1,0)</f>
        <v>0</v>
      </c>
      <c r="BV17" s="7">
        <f>IF(預測IC!BV17&gt;預測IC!BV$25,1,0)</f>
        <v>1</v>
      </c>
      <c r="BW17" s="7">
        <f>IF(預測IC!BW17&gt;預測IC!BW$25,1,0)</f>
        <v>1</v>
      </c>
      <c r="BX17" s="7">
        <f>IF(預測IC!BX17&gt;預測IC!BX$25,1,0)</f>
        <v>1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1</v>
      </c>
      <c r="CB17" s="7">
        <f>IF(預測IC!CB17&gt;預測IC!CB$25,1,0)</f>
        <v>1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1</v>
      </c>
      <c r="CF17" s="7">
        <f>IF(預測IC!CF17&gt;預測IC!CF$25,1,0)</f>
        <v>0</v>
      </c>
      <c r="CG17" s="7">
        <f>IF(預測IC!CG17&gt;預測IC!CG$25,1,0)</f>
        <v>1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1</v>
      </c>
      <c r="CM17" s="7">
        <f>IF(預測IC!CM17&gt;預測IC!CM$25,1,0)</f>
        <v>0</v>
      </c>
      <c r="CN17" s="7">
        <f>IF(預測IC!CN17&gt;預測IC!CN$25,1,0)</f>
        <v>0</v>
      </c>
      <c r="CO17" s="7">
        <f>IF(預測IC!CO17&gt;預測IC!CO$25,1,0)</f>
        <v>1</v>
      </c>
      <c r="CP17" s="7">
        <f>IF(預測IC!CP17&gt;預測IC!CP$25,1,0)</f>
        <v>0</v>
      </c>
      <c r="CQ17" s="7">
        <f>IF(預測IC!CQ17&gt;預測IC!CQ$25,1,0)</f>
        <v>1</v>
      </c>
      <c r="CR17" s="7">
        <f>IF(預測IC!CR17&gt;預測IC!CR$25,1,0)</f>
        <v>1</v>
      </c>
      <c r="CS17" s="7">
        <f>IF(預測IC!CS17&gt;預測IC!CS$25,1,0)</f>
        <v>0</v>
      </c>
      <c r="CT17" s="7">
        <f>IF(預測IC!CT17&gt;預測IC!CT$25,1,0)</f>
        <v>1</v>
      </c>
      <c r="CU17" s="7">
        <f>IF(預測IC!CU17&gt;預測IC!CU$25,1,0)</f>
        <v>0</v>
      </c>
      <c r="CV17" s="7">
        <f>IF(預測IC!CV17&gt;預測IC!CV$25,1,0)</f>
        <v>1</v>
      </c>
      <c r="CW17" s="7">
        <f>IF(預測IC!CW17&gt;預測IC!CW$25,1,0)</f>
        <v>0</v>
      </c>
      <c r="CX17" s="7">
        <f>IF(預測IC!CX17&gt;預測IC!CX$25,1,0)</f>
        <v>1</v>
      </c>
      <c r="CY17" s="7">
        <f>IF(預測IC!CY17&gt;預測IC!CY$25,1,0)</f>
        <v>1</v>
      </c>
      <c r="CZ17" s="7">
        <f>IF(預測IC!CZ17&gt;預測IC!CZ$25,1,0)</f>
        <v>1</v>
      </c>
      <c r="DA17" s="7">
        <f>IF(預測IC!DA17&gt;預測IC!DA$25,1,0)</f>
        <v>0</v>
      </c>
      <c r="DB17" s="7">
        <f>IF(預測IC!DB17&gt;預測IC!DB$25,1,0)</f>
        <v>0</v>
      </c>
      <c r="DC17" s="7">
        <f>IF(預測IC!DC17&gt;預測IC!DC$25,1,0)</f>
        <v>1</v>
      </c>
      <c r="DD17" s="7">
        <f>IF(預測IC!DD17&gt;預測IC!DD$25,1,0)</f>
        <v>0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0</v>
      </c>
      <c r="DH17" s="7">
        <f>IF(預測IC!DH17&gt;預測IC!DH$25,1,0)</f>
        <v>1</v>
      </c>
      <c r="DI17" s="7">
        <f>IF(預測IC!DI17&gt;預測IC!DI$25,1,0)</f>
        <v>1</v>
      </c>
      <c r="DJ17" s="7">
        <f>IF(預測IC!DJ17&gt;預測IC!DJ$25,1,0)</f>
        <v>0</v>
      </c>
      <c r="DK17" s="7">
        <f>IF(預測IC!DK17&gt;預測IC!DK$25,1,0)</f>
        <v>0</v>
      </c>
      <c r="DL17" s="7">
        <f>IF(預測IC!DL17&gt;預測IC!DL$25,1,0)</f>
        <v>0</v>
      </c>
      <c r="DM17" s="7">
        <f>IF(預測IC!DM17&gt;預測IC!DM$25,1,0)</f>
        <v>1</v>
      </c>
      <c r="DN17" s="7">
        <f>IF(預測IC!DN17&gt;預測IC!DN$25,1,0)</f>
        <v>0</v>
      </c>
      <c r="DO17" s="7">
        <f>IF(預測IC!DO17&gt;預測IC!DO$25,1,0)</f>
        <v>1</v>
      </c>
      <c r="DP17" s="7">
        <f>IF(預測IC!DP17&gt;預測IC!DP$25,1,0)</f>
        <v>0</v>
      </c>
      <c r="DQ17" s="7">
        <f>IF(預測IC!DQ17&gt;預測IC!DQ$25,1,0)</f>
        <v>0</v>
      </c>
      <c r="DR17" s="7">
        <f>IF(預測IC!DR17&gt;預測IC!DR$25,1,0)</f>
        <v>0</v>
      </c>
      <c r="DS17" s="7">
        <f>IF(預測IC!DS17&gt;預測IC!DS$25,1,0)</f>
        <v>0</v>
      </c>
      <c r="DT17" s="7">
        <f>IF(預測IC!DT17&gt;預測IC!DT$25,1,0)</f>
        <v>0</v>
      </c>
      <c r="DU17" s="7">
        <f>IF(預測IC!DU17&gt;預測IC!DU$25,1,0)</f>
        <v>0</v>
      </c>
      <c r="DV17" s="7">
        <f>IF(預測IC!DV17&gt;預測IC!DV$25,1,0)</f>
        <v>1</v>
      </c>
      <c r="DW17" s="7">
        <f>IF(預測IC!DW17&gt;預測IC!DW$25,1,0)</f>
        <v>0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1</v>
      </c>
      <c r="EA17" s="7">
        <f>IF(預測IC!EA17&gt;預測IC!EA$25,1,0)</f>
        <v>1</v>
      </c>
      <c r="EB17" s="7">
        <f>IF(預測IC!EB17&gt;預測IC!EB$25,1,0)</f>
        <v>0</v>
      </c>
      <c r="EC17" s="7">
        <f>IF(預測IC!EC17&gt;預測IC!EC$25,1,0)</f>
        <v>1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1</v>
      </c>
      <c r="EG17">
        <f t="shared" si="10"/>
        <v>73</v>
      </c>
      <c r="EH17" s="13">
        <f t="shared" si="11"/>
        <v>0.53731343283582089</v>
      </c>
    </row>
    <row r="18" spans="1:138" x14ac:dyDescent="0.3">
      <c r="A18" s="1">
        <v>137</v>
      </c>
      <c r="B18" s="1">
        <v>7</v>
      </c>
      <c r="C18" s="7">
        <f>IF(預測IC!C18&gt;預測IC!C$25,1,0)</f>
        <v>0</v>
      </c>
      <c r="D18" s="7">
        <f>IF(預測IC!D18&gt;預測IC!D$25,1,0)</f>
        <v>1</v>
      </c>
      <c r="E18" s="7">
        <f>IF(預測IC!E18&gt;預測IC!E$25,1,0)</f>
        <v>0</v>
      </c>
      <c r="F18" s="7">
        <f>IF(預測IC!F18&gt;預測IC!F$25,1,0)</f>
        <v>1</v>
      </c>
      <c r="G18" s="7">
        <f>IF(預測IC!G18&gt;預測IC!G$25,1,0)</f>
        <v>1</v>
      </c>
      <c r="H18" s="7">
        <f>IF(預測IC!H18&gt;預測IC!H$25,1,0)</f>
        <v>1</v>
      </c>
      <c r="I18" s="7">
        <f>IF(預測IC!I18&gt;預測IC!I$25,1,0)</f>
        <v>1</v>
      </c>
      <c r="J18" s="7">
        <f>IF(預測IC!J18&gt;預測IC!J$25,1,0)</f>
        <v>0</v>
      </c>
      <c r="K18" s="7">
        <f>IF(預測IC!K18&gt;預測IC!K$25,1,0)</f>
        <v>1</v>
      </c>
      <c r="L18" s="7">
        <f>IF(預測IC!L18&gt;預測IC!L$25,1,0)</f>
        <v>1</v>
      </c>
      <c r="M18" s="7">
        <f>IF(預測IC!M18&gt;預測IC!M$25,1,0)</f>
        <v>0</v>
      </c>
      <c r="N18" s="7">
        <f>IF(預測IC!N18&gt;預測IC!N$25,1,0)</f>
        <v>1</v>
      </c>
      <c r="O18" s="7">
        <f>IF(預測IC!O18&gt;預測IC!O$25,1,0)</f>
        <v>1</v>
      </c>
      <c r="P18" s="7">
        <f>IF(預測IC!P18&gt;預測IC!P$25,1,0)</f>
        <v>1</v>
      </c>
      <c r="Q18" s="7">
        <f>IF(預測IC!Q18&gt;預測IC!Q$25,1,0)</f>
        <v>1</v>
      </c>
      <c r="R18" s="7">
        <f>IF(預測IC!R18&gt;預測IC!R$25,1,0)</f>
        <v>0</v>
      </c>
      <c r="S18" s="7">
        <f>IF(預測IC!S18&gt;預測IC!S$25,1,0)</f>
        <v>0</v>
      </c>
      <c r="T18" s="7">
        <f>IF(預測IC!T18&gt;預測IC!T$25,1,0)</f>
        <v>1</v>
      </c>
      <c r="U18" s="7">
        <f>IF(預測IC!U18&gt;預測IC!U$25,1,0)</f>
        <v>1</v>
      </c>
      <c r="V18" s="7">
        <f>IF(預測IC!V18&gt;預測IC!V$25,1,0)</f>
        <v>0</v>
      </c>
      <c r="W18" s="7">
        <f>IF(預測IC!W18&gt;預測IC!W$25,1,0)</f>
        <v>1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0</v>
      </c>
      <c r="AA18" s="7">
        <f>IF(預測IC!AA18&gt;預測IC!AA$25,1,0)</f>
        <v>0</v>
      </c>
      <c r="AB18" s="7">
        <f>IF(預測IC!AB18&gt;預測IC!AB$25,1,0)</f>
        <v>0</v>
      </c>
      <c r="AC18" s="7">
        <f>IF(預測IC!AC18&gt;預測IC!AC$25,1,0)</f>
        <v>0</v>
      </c>
      <c r="AD18" s="7">
        <f>IF(預測IC!AD18&gt;預測IC!AD$25,1,0)</f>
        <v>1</v>
      </c>
      <c r="AE18" s="7">
        <f>IF(預測IC!AE18&gt;預測IC!AE$25,1,0)</f>
        <v>1</v>
      </c>
      <c r="AF18" s="7">
        <f>IF(預測IC!AF18&gt;預測IC!AF$25,1,0)</f>
        <v>0</v>
      </c>
      <c r="AG18" s="7">
        <f>IF(預測IC!AG18&gt;預測IC!AG$25,1,0)</f>
        <v>0</v>
      </c>
      <c r="AH18" s="7">
        <f>IF(預測IC!AH18&gt;預測IC!AH$25,1,0)</f>
        <v>0</v>
      </c>
      <c r="AI18" s="7">
        <f>IF(預測IC!AI18&gt;預測IC!AI$25,1,0)</f>
        <v>1</v>
      </c>
      <c r="AJ18" s="7">
        <f>IF(預測IC!AJ18&gt;預測IC!AJ$25,1,0)</f>
        <v>0</v>
      </c>
      <c r="AK18" s="7">
        <f>IF(預測IC!AK18&gt;預測IC!AK$25,1,0)</f>
        <v>1</v>
      </c>
      <c r="AL18" s="7">
        <f>IF(預測IC!AL18&gt;預測IC!AL$25,1,0)</f>
        <v>1</v>
      </c>
      <c r="AM18" s="7">
        <f>IF(預測IC!AM18&gt;預測IC!AM$25,1,0)</f>
        <v>1</v>
      </c>
      <c r="AN18" s="7">
        <f>IF(預測IC!AN18&gt;預測IC!AN$25,1,0)</f>
        <v>1</v>
      </c>
      <c r="AO18" s="7">
        <f>IF(預測IC!AO18&gt;預測IC!AO$25,1,0)</f>
        <v>0</v>
      </c>
      <c r="AP18" s="7">
        <f>IF(預測IC!AP18&gt;預測IC!AP$25,1,0)</f>
        <v>0</v>
      </c>
      <c r="AQ18" s="7">
        <f>IF(預測IC!AQ18&gt;預測IC!AQ$25,1,0)</f>
        <v>0</v>
      </c>
      <c r="AR18" s="7">
        <f>IF(預測IC!AR18&gt;預測IC!AR$25,1,0)</f>
        <v>1</v>
      </c>
      <c r="AS18" s="7">
        <f>IF(預測IC!AS18&gt;預測IC!AS$25,1,0)</f>
        <v>1</v>
      </c>
      <c r="AT18" s="7">
        <f>IF(預測IC!AT18&gt;預測IC!AT$25,1,0)</f>
        <v>1</v>
      </c>
      <c r="AU18" s="7">
        <f>IF(預測IC!AU18&gt;預測IC!AU$25,1,0)</f>
        <v>1</v>
      </c>
      <c r="AV18" s="7">
        <f>IF(預測IC!AV18&gt;預測IC!AV$25,1,0)</f>
        <v>0</v>
      </c>
      <c r="AW18" s="7">
        <f>IF(預測IC!AW18&gt;預測IC!AW$25,1,0)</f>
        <v>1</v>
      </c>
      <c r="AX18" s="7">
        <f>IF(預測IC!AX18&gt;預測IC!AX$25,1,0)</f>
        <v>1</v>
      </c>
      <c r="AY18" s="7">
        <f>IF(預測IC!AY18&gt;預測IC!AY$25,1,0)</f>
        <v>0</v>
      </c>
      <c r="AZ18" s="7">
        <f>IF(預測IC!AZ18&gt;預測IC!AZ$25,1,0)</f>
        <v>1</v>
      </c>
      <c r="BA18" s="7">
        <f>IF(預測IC!BA18&gt;預測IC!BA$25,1,0)</f>
        <v>1</v>
      </c>
      <c r="BB18" s="7">
        <f>IF(預測IC!BB18&gt;預測IC!BB$25,1,0)</f>
        <v>1</v>
      </c>
      <c r="BC18" s="7">
        <f>IF(預測IC!BC18&gt;預測IC!BC$25,1,0)</f>
        <v>0</v>
      </c>
      <c r="BD18" s="7">
        <f>IF(預測IC!BD18&gt;預測IC!BD$25,1,0)</f>
        <v>1</v>
      </c>
      <c r="BE18" s="7">
        <f>IF(預測IC!BE18&gt;預測IC!BE$25,1,0)</f>
        <v>0</v>
      </c>
      <c r="BF18" s="7">
        <f>IF(預測IC!BF18&gt;預測IC!BF$25,1,0)</f>
        <v>0</v>
      </c>
      <c r="BG18" s="7">
        <f>IF(預測IC!BG18&gt;預測IC!BG$25,1,0)</f>
        <v>1</v>
      </c>
      <c r="BH18" s="7">
        <f>IF(預測IC!BH18&gt;預測IC!BH$25,1,0)</f>
        <v>1</v>
      </c>
      <c r="BI18" s="7">
        <f>IF(預測IC!BI18&gt;預測IC!BI$25,1,0)</f>
        <v>1</v>
      </c>
      <c r="BJ18" s="7">
        <f>IF(預測IC!BJ18&gt;預測IC!BJ$25,1,0)</f>
        <v>1</v>
      </c>
      <c r="BK18" s="7">
        <f>IF(預測IC!BK18&gt;預測IC!BK$25,1,0)</f>
        <v>1</v>
      </c>
      <c r="BL18" s="7">
        <f>IF(預測IC!BL18&gt;預測IC!BL$25,1,0)</f>
        <v>0</v>
      </c>
      <c r="BM18" s="7">
        <f>IF(預測IC!BM18&gt;預測IC!BM$25,1,0)</f>
        <v>0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0</v>
      </c>
      <c r="BU18" s="7">
        <f>IF(預測IC!BU18&gt;預測IC!BU$25,1,0)</f>
        <v>0</v>
      </c>
      <c r="BV18" s="7">
        <f>IF(預測IC!BV18&gt;預測IC!BV$25,1,0)</f>
        <v>1</v>
      </c>
      <c r="BW18" s="7">
        <f>IF(預測IC!BW18&gt;預測IC!BW$25,1,0)</f>
        <v>1</v>
      </c>
      <c r="BX18" s="7">
        <f>IF(預測IC!BX18&gt;預測IC!BX$25,1,0)</f>
        <v>1</v>
      </c>
      <c r="BY18" s="7">
        <f>IF(預測IC!BY18&gt;預測IC!BY$25,1,0)</f>
        <v>1</v>
      </c>
      <c r="BZ18" s="7">
        <f>IF(預測IC!BZ18&gt;預測IC!BZ$25,1,0)</f>
        <v>1</v>
      </c>
      <c r="CA18" s="7">
        <f>IF(預測IC!CA18&gt;預測IC!CA$25,1,0)</f>
        <v>1</v>
      </c>
      <c r="CB18" s="7">
        <f>IF(預測IC!CB18&gt;預測IC!CB$25,1,0)</f>
        <v>1</v>
      </c>
      <c r="CC18" s="7">
        <f>IF(預測IC!CC18&gt;預測IC!CC$25,1,0)</f>
        <v>1</v>
      </c>
      <c r="CD18" s="7">
        <f>IF(預測IC!CD18&gt;預測IC!CD$25,1,0)</f>
        <v>1</v>
      </c>
      <c r="CE18" s="7">
        <f>IF(預測IC!CE18&gt;預測IC!CE$25,1,0)</f>
        <v>1</v>
      </c>
      <c r="CF18" s="7">
        <f>IF(預測IC!CF18&gt;預測IC!CF$25,1,0)</f>
        <v>0</v>
      </c>
      <c r="CG18" s="7">
        <f>IF(預測IC!CG18&gt;預測IC!CG$25,1,0)</f>
        <v>1</v>
      </c>
      <c r="CH18" s="7">
        <f>IF(預測IC!CH18&gt;預測IC!CH$25,1,0)</f>
        <v>1</v>
      </c>
      <c r="CI18" s="7">
        <f>IF(預測IC!CI18&gt;預測IC!CI$25,1,0)</f>
        <v>0</v>
      </c>
      <c r="CJ18" s="7">
        <f>IF(預測IC!CJ18&gt;預測IC!CJ$25,1,0)</f>
        <v>0</v>
      </c>
      <c r="CK18" s="7">
        <f>IF(預測IC!CK18&gt;預測IC!CK$25,1,0)</f>
        <v>1</v>
      </c>
      <c r="CL18" s="7">
        <f>IF(預測IC!CL18&gt;預測IC!CL$25,1,0)</f>
        <v>1</v>
      </c>
      <c r="CM18" s="7">
        <f>IF(預測IC!CM18&gt;預測IC!CM$25,1,0)</f>
        <v>0</v>
      </c>
      <c r="CN18" s="7">
        <f>IF(預測IC!CN18&gt;預測IC!CN$25,1,0)</f>
        <v>0</v>
      </c>
      <c r="CO18" s="7">
        <f>IF(預測IC!CO18&gt;預測IC!CO$25,1,0)</f>
        <v>1</v>
      </c>
      <c r="CP18" s="7">
        <f>IF(預測IC!CP18&gt;預測IC!CP$25,1,0)</f>
        <v>0</v>
      </c>
      <c r="CQ18" s="7">
        <f>IF(預測IC!CQ18&gt;預測IC!CQ$25,1,0)</f>
        <v>1</v>
      </c>
      <c r="CR18" s="7">
        <f>IF(預測IC!CR18&gt;預測IC!CR$25,1,0)</f>
        <v>1</v>
      </c>
      <c r="CS18" s="7">
        <f>IF(預測IC!CS18&gt;預測IC!CS$25,1,0)</f>
        <v>1</v>
      </c>
      <c r="CT18" s="7">
        <f>IF(預測IC!CT18&gt;預測IC!CT$25,1,0)</f>
        <v>1</v>
      </c>
      <c r="CU18" s="7">
        <f>IF(預測IC!CU18&gt;預測IC!CU$25,1,0)</f>
        <v>0</v>
      </c>
      <c r="CV18" s="7">
        <f>IF(預測IC!CV18&gt;預測IC!CV$25,1,0)</f>
        <v>1</v>
      </c>
      <c r="CW18" s="7">
        <f>IF(預測IC!CW18&gt;預測IC!CW$25,1,0)</f>
        <v>0</v>
      </c>
      <c r="CX18" s="7">
        <f>IF(預測IC!CX18&gt;預測IC!CX$25,1,0)</f>
        <v>1</v>
      </c>
      <c r="CY18" s="7">
        <f>IF(預測IC!CY18&gt;預測IC!CY$25,1,0)</f>
        <v>1</v>
      </c>
      <c r="CZ18" s="7">
        <f>IF(預測IC!CZ18&gt;預測IC!CZ$25,1,0)</f>
        <v>1</v>
      </c>
      <c r="DA18" s="7">
        <f>IF(預測IC!DA18&gt;預測IC!DA$25,1,0)</f>
        <v>0</v>
      </c>
      <c r="DB18" s="7">
        <f>IF(預測IC!DB18&gt;預測IC!DB$25,1,0)</f>
        <v>0</v>
      </c>
      <c r="DC18" s="7">
        <f>IF(預測IC!DC18&gt;預測IC!DC$25,1,0)</f>
        <v>1</v>
      </c>
      <c r="DD18" s="7">
        <f>IF(預測IC!DD18&gt;預測IC!DD$25,1,0)</f>
        <v>0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0</v>
      </c>
      <c r="DH18" s="7">
        <f>IF(預測IC!DH18&gt;預測IC!DH$25,1,0)</f>
        <v>1</v>
      </c>
      <c r="DI18" s="7">
        <f>IF(預測IC!DI18&gt;預測IC!DI$25,1,0)</f>
        <v>1</v>
      </c>
      <c r="DJ18" s="7">
        <f>IF(預測IC!DJ18&gt;預測IC!DJ$25,1,0)</f>
        <v>0</v>
      </c>
      <c r="DK18" s="7">
        <f>IF(預測IC!DK18&gt;預測IC!DK$25,1,0)</f>
        <v>0</v>
      </c>
      <c r="DL18" s="7">
        <f>IF(預測IC!DL18&gt;預測IC!DL$25,1,0)</f>
        <v>0</v>
      </c>
      <c r="DM18" s="7">
        <f>IF(預測IC!DM18&gt;預測IC!DM$25,1,0)</f>
        <v>1</v>
      </c>
      <c r="DN18" s="7">
        <f>IF(預測IC!DN18&gt;預測IC!DN$25,1,0)</f>
        <v>0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0</v>
      </c>
      <c r="DS18" s="7">
        <f>IF(預測IC!DS18&gt;預測IC!DS$25,1,0)</f>
        <v>0</v>
      </c>
      <c r="DT18" s="7">
        <f>IF(預測IC!DT18&gt;預測IC!DT$25,1,0)</f>
        <v>0</v>
      </c>
      <c r="DU18" s="7">
        <f>IF(預測IC!DU18&gt;預測IC!DU$25,1,0)</f>
        <v>0</v>
      </c>
      <c r="DV18" s="7">
        <f>IF(預測IC!DV18&gt;預測IC!DV$25,1,0)</f>
        <v>1</v>
      </c>
      <c r="DW18" s="7">
        <f>IF(預測IC!DW18&gt;預測IC!DW$25,1,0)</f>
        <v>0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1</v>
      </c>
      <c r="EA18" s="7">
        <f>IF(預測IC!EA18&gt;預測IC!EA$25,1,0)</f>
        <v>0</v>
      </c>
      <c r="EB18" s="7">
        <f>IF(預測IC!EB18&gt;預測IC!EB$25,1,0)</f>
        <v>0</v>
      </c>
      <c r="EC18" s="7">
        <f>IF(預測IC!EC18&gt;預測IC!EC$25,1,0)</f>
        <v>1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1</v>
      </c>
      <c r="EG18">
        <f t="shared" si="10"/>
        <v>77</v>
      </c>
      <c r="EH18" s="13">
        <f t="shared" si="11"/>
        <v>0.56716417910447758</v>
      </c>
    </row>
    <row r="19" spans="1:138" x14ac:dyDescent="0.3">
      <c r="A19" s="1">
        <v>160</v>
      </c>
      <c r="B19" s="1">
        <v>6</v>
      </c>
      <c r="C19" s="7">
        <f>IF(預測IC!C19&gt;預測IC!C$25,1,0)</f>
        <v>0</v>
      </c>
      <c r="D19" s="7">
        <f>IF(預測IC!D19&gt;預測IC!D$25,1,0)</f>
        <v>1</v>
      </c>
      <c r="E19" s="7">
        <f>IF(預測IC!E19&gt;預測IC!E$25,1,0)</f>
        <v>0</v>
      </c>
      <c r="F19" s="7">
        <f>IF(預測IC!F19&gt;預測IC!F$25,1,0)</f>
        <v>1</v>
      </c>
      <c r="G19" s="7">
        <f>IF(預測IC!G19&gt;預測IC!G$25,1,0)</f>
        <v>1</v>
      </c>
      <c r="H19" s="7">
        <f>IF(預測IC!H19&gt;預測IC!H$25,1,0)</f>
        <v>1</v>
      </c>
      <c r="I19" s="7">
        <f>IF(預測IC!I19&gt;預測IC!I$25,1,0)</f>
        <v>1</v>
      </c>
      <c r="J19" s="7">
        <f>IF(預測IC!J19&gt;預測IC!J$25,1,0)</f>
        <v>0</v>
      </c>
      <c r="K19" s="7">
        <f>IF(預測IC!K19&gt;預測IC!K$25,1,0)</f>
        <v>1</v>
      </c>
      <c r="L19" s="7">
        <f>IF(預測IC!L19&gt;預測IC!L$25,1,0)</f>
        <v>1</v>
      </c>
      <c r="M19" s="7">
        <f>IF(預測IC!M19&gt;預測IC!M$25,1,0)</f>
        <v>0</v>
      </c>
      <c r="N19" s="7">
        <f>IF(預測IC!N19&gt;預測IC!N$25,1,0)</f>
        <v>1</v>
      </c>
      <c r="O19" s="7">
        <f>IF(預測IC!O19&gt;預測IC!O$25,1,0)</f>
        <v>1</v>
      </c>
      <c r="P19" s="7">
        <f>IF(預測IC!P19&gt;預測IC!P$25,1,0)</f>
        <v>0</v>
      </c>
      <c r="Q19" s="7">
        <f>IF(預測IC!Q19&gt;預測IC!Q$25,1,0)</f>
        <v>1</v>
      </c>
      <c r="R19" s="7">
        <f>IF(預測IC!R19&gt;預測IC!R$25,1,0)</f>
        <v>1</v>
      </c>
      <c r="S19" s="7">
        <f>IF(預測IC!S19&gt;預測IC!S$25,1,0)</f>
        <v>0</v>
      </c>
      <c r="T19" s="7">
        <f>IF(預測IC!T19&gt;預測IC!T$25,1,0)</f>
        <v>0</v>
      </c>
      <c r="U19" s="7">
        <f>IF(預測IC!U19&gt;預測IC!U$25,1,0)</f>
        <v>1</v>
      </c>
      <c r="V19" s="7">
        <f>IF(預測IC!V19&gt;預測IC!V$25,1,0)</f>
        <v>0</v>
      </c>
      <c r="W19" s="7">
        <f>IF(預測IC!W19&gt;預測IC!W$25,1,0)</f>
        <v>1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0</v>
      </c>
      <c r="AA19" s="7">
        <f>IF(預測IC!AA19&gt;預測IC!AA$25,1,0)</f>
        <v>0</v>
      </c>
      <c r="AB19" s="7">
        <f>IF(預測IC!AB19&gt;預測IC!AB$25,1,0)</f>
        <v>0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1</v>
      </c>
      <c r="AF19" s="7">
        <f>IF(預測IC!AF19&gt;預測IC!AF$25,1,0)</f>
        <v>0</v>
      </c>
      <c r="AG19" s="7">
        <f>IF(預測IC!AG19&gt;預測IC!AG$25,1,0)</f>
        <v>0</v>
      </c>
      <c r="AH19" s="7">
        <f>IF(預測IC!AH19&gt;預測IC!AH$25,1,0)</f>
        <v>0</v>
      </c>
      <c r="AI19" s="7">
        <f>IF(預測IC!AI19&gt;預測IC!AI$25,1,0)</f>
        <v>1</v>
      </c>
      <c r="AJ19" s="7">
        <f>IF(預測IC!AJ19&gt;預測IC!AJ$25,1,0)</f>
        <v>0</v>
      </c>
      <c r="AK19" s="7">
        <f>IF(預測IC!AK19&gt;預測IC!AK$25,1,0)</f>
        <v>1</v>
      </c>
      <c r="AL19" s="7">
        <f>IF(預測IC!AL19&gt;預測IC!AL$25,1,0)</f>
        <v>1</v>
      </c>
      <c r="AM19" s="7">
        <f>IF(預測IC!AM19&gt;預測IC!AM$25,1,0)</f>
        <v>1</v>
      </c>
      <c r="AN19" s="7">
        <f>IF(預測IC!AN19&gt;預測IC!AN$25,1,0)</f>
        <v>1</v>
      </c>
      <c r="AO19" s="7">
        <f>IF(預測IC!AO19&gt;預測IC!AO$25,1,0)</f>
        <v>1</v>
      </c>
      <c r="AP19" s="7">
        <f>IF(預測IC!AP19&gt;預測IC!AP$25,1,0)</f>
        <v>0</v>
      </c>
      <c r="AQ19" s="7">
        <f>IF(預測IC!AQ19&gt;預測IC!AQ$25,1,0)</f>
        <v>0</v>
      </c>
      <c r="AR19" s="7">
        <f>IF(預測IC!AR19&gt;預測IC!AR$25,1,0)</f>
        <v>1</v>
      </c>
      <c r="AS19" s="7">
        <f>IF(預測IC!AS19&gt;預測IC!AS$25,1,0)</f>
        <v>1</v>
      </c>
      <c r="AT19" s="7">
        <f>IF(預測IC!AT19&gt;預測IC!AT$25,1,0)</f>
        <v>0</v>
      </c>
      <c r="AU19" s="7">
        <f>IF(預測IC!AU19&gt;預測IC!AU$25,1,0)</f>
        <v>1</v>
      </c>
      <c r="AV19" s="7">
        <f>IF(預測IC!AV19&gt;預測IC!AV$25,1,0)</f>
        <v>1</v>
      </c>
      <c r="AW19" s="7">
        <f>IF(預測IC!AW19&gt;預測IC!AW$25,1,0)</f>
        <v>1</v>
      </c>
      <c r="AX19" s="7">
        <f>IF(預測IC!AX19&gt;預測IC!AX$25,1,0)</f>
        <v>1</v>
      </c>
      <c r="AY19" s="7">
        <f>IF(預測IC!AY19&gt;預測IC!AY$25,1,0)</f>
        <v>0</v>
      </c>
      <c r="AZ19" s="7">
        <f>IF(預測IC!AZ19&gt;預測IC!AZ$25,1,0)</f>
        <v>1</v>
      </c>
      <c r="BA19" s="7">
        <f>IF(預測IC!BA19&gt;預測IC!BA$25,1,0)</f>
        <v>1</v>
      </c>
      <c r="BB19" s="7">
        <f>IF(預測IC!BB19&gt;預測IC!BB$25,1,0)</f>
        <v>1</v>
      </c>
      <c r="BC19" s="7">
        <f>IF(預測IC!BC19&gt;預測IC!BC$25,1,0)</f>
        <v>0</v>
      </c>
      <c r="BD19" s="7">
        <f>IF(預測IC!BD19&gt;預測IC!BD$25,1,0)</f>
        <v>1</v>
      </c>
      <c r="BE19" s="7">
        <f>IF(預測IC!BE19&gt;預測IC!BE$25,1,0)</f>
        <v>0</v>
      </c>
      <c r="BF19" s="7">
        <f>IF(預測IC!BF19&gt;預測IC!BF$25,1,0)</f>
        <v>0</v>
      </c>
      <c r="BG19" s="7">
        <f>IF(預測IC!BG19&gt;預測IC!BG$25,1,0)</f>
        <v>1</v>
      </c>
      <c r="BH19" s="7">
        <f>IF(預測IC!BH19&gt;預測IC!BH$25,1,0)</f>
        <v>1</v>
      </c>
      <c r="BI19" s="7">
        <f>IF(預測IC!BI19&gt;預測IC!BI$25,1,0)</f>
        <v>1</v>
      </c>
      <c r="BJ19" s="7">
        <f>IF(預測IC!BJ19&gt;預測IC!BJ$25,1,0)</f>
        <v>1</v>
      </c>
      <c r="BK19" s="7">
        <f>IF(預測IC!BK19&gt;預測IC!BK$25,1,0)</f>
        <v>1</v>
      </c>
      <c r="BL19" s="7">
        <f>IF(預測IC!BL19&gt;預測IC!BL$25,1,0)</f>
        <v>0</v>
      </c>
      <c r="BM19" s="7">
        <f>IF(預測IC!BM19&gt;預測IC!BM$25,1,0)</f>
        <v>0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0</v>
      </c>
      <c r="BQ19" s="7">
        <f>IF(預測IC!BQ19&gt;預測IC!BQ$25,1,0)</f>
        <v>1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0</v>
      </c>
      <c r="BU19" s="7">
        <f>IF(預測IC!BU19&gt;預測IC!BU$25,1,0)</f>
        <v>0</v>
      </c>
      <c r="BV19" s="7">
        <f>IF(預測IC!BV19&gt;預測IC!BV$25,1,0)</f>
        <v>1</v>
      </c>
      <c r="BW19" s="7">
        <f>IF(預測IC!BW19&gt;預測IC!BW$25,1,0)</f>
        <v>1</v>
      </c>
      <c r="BX19" s="7">
        <f>IF(預測IC!BX19&gt;預測IC!BX$25,1,0)</f>
        <v>0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1</v>
      </c>
      <c r="CB19" s="7">
        <f>IF(預測IC!CB19&gt;預測IC!CB$25,1,0)</f>
        <v>1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1</v>
      </c>
      <c r="CF19" s="7">
        <f>IF(預測IC!CF19&gt;預測IC!CF$25,1,0)</f>
        <v>0</v>
      </c>
      <c r="CG19" s="7">
        <f>IF(預測IC!CG19&gt;預測IC!CG$25,1,0)</f>
        <v>1</v>
      </c>
      <c r="CH19" s="7">
        <f>IF(預測IC!CH19&gt;預測IC!CH$25,1,0)</f>
        <v>1</v>
      </c>
      <c r="CI19" s="7">
        <f>IF(預測IC!CI19&gt;預測IC!CI$25,1,0)</f>
        <v>0</v>
      </c>
      <c r="CJ19" s="7">
        <f>IF(預測IC!CJ19&gt;預測IC!CJ$25,1,0)</f>
        <v>0</v>
      </c>
      <c r="CK19" s="7">
        <f>IF(預測IC!CK19&gt;預測IC!CK$25,1,0)</f>
        <v>1</v>
      </c>
      <c r="CL19" s="7">
        <f>IF(預測IC!CL19&gt;預測IC!CL$25,1,0)</f>
        <v>1</v>
      </c>
      <c r="CM19" s="7">
        <f>IF(預測IC!CM19&gt;預測IC!CM$25,1,0)</f>
        <v>0</v>
      </c>
      <c r="CN19" s="7">
        <f>IF(預測IC!CN19&gt;預測IC!CN$25,1,0)</f>
        <v>0</v>
      </c>
      <c r="CO19" s="7">
        <f>IF(預測IC!CO19&gt;預測IC!CO$25,1,0)</f>
        <v>1</v>
      </c>
      <c r="CP19" s="7">
        <f>IF(預測IC!CP19&gt;預測IC!CP$25,1,0)</f>
        <v>0</v>
      </c>
      <c r="CQ19" s="7">
        <f>IF(預測IC!CQ19&gt;預測IC!CQ$25,1,0)</f>
        <v>1</v>
      </c>
      <c r="CR19" s="7">
        <f>IF(預測IC!CR19&gt;預測IC!CR$25,1,0)</f>
        <v>1</v>
      </c>
      <c r="CS19" s="7">
        <f>IF(預測IC!CS19&gt;預測IC!CS$25,1,0)</f>
        <v>1</v>
      </c>
      <c r="CT19" s="7">
        <f>IF(預測IC!CT19&gt;預測IC!CT$25,1,0)</f>
        <v>0</v>
      </c>
      <c r="CU19" s="7">
        <f>IF(預測IC!CU19&gt;預測IC!CU$25,1,0)</f>
        <v>0</v>
      </c>
      <c r="CV19" s="7">
        <f>IF(預測IC!CV19&gt;預測IC!CV$25,1,0)</f>
        <v>1</v>
      </c>
      <c r="CW19" s="7">
        <f>IF(預測IC!CW19&gt;預測IC!CW$25,1,0)</f>
        <v>0</v>
      </c>
      <c r="CX19" s="7">
        <f>IF(預測IC!CX19&gt;預測IC!CX$25,1,0)</f>
        <v>1</v>
      </c>
      <c r="CY19" s="7">
        <f>IF(預測IC!CY19&gt;預測IC!CY$25,1,0)</f>
        <v>1</v>
      </c>
      <c r="CZ19" s="7">
        <f>IF(預測IC!CZ19&gt;預測IC!CZ$25,1,0)</f>
        <v>1</v>
      </c>
      <c r="DA19" s="7">
        <f>IF(預測IC!DA19&gt;預測IC!DA$25,1,0)</f>
        <v>0</v>
      </c>
      <c r="DB19" s="7">
        <f>IF(預測IC!DB19&gt;預測IC!DB$25,1,0)</f>
        <v>0</v>
      </c>
      <c r="DC19" s="7">
        <f>IF(預測IC!DC19&gt;預測IC!DC$25,1,0)</f>
        <v>1</v>
      </c>
      <c r="DD19" s="7">
        <f>IF(預測IC!DD19&gt;預測IC!DD$25,1,0)</f>
        <v>0</v>
      </c>
      <c r="DE19" s="7">
        <f>IF(預測IC!DE19&gt;預測IC!DE$25,1,0)</f>
        <v>0</v>
      </c>
      <c r="DF19" s="7">
        <f>IF(預測IC!DF19&gt;預測IC!DF$25,1,0)</f>
        <v>0</v>
      </c>
      <c r="DG19" s="7">
        <f>IF(預測IC!DG19&gt;預測IC!DG$25,1,0)</f>
        <v>0</v>
      </c>
      <c r="DH19" s="7">
        <f>IF(預測IC!DH19&gt;預測IC!DH$25,1,0)</f>
        <v>1</v>
      </c>
      <c r="DI19" s="7">
        <f>IF(預測IC!DI19&gt;預測IC!DI$25,1,0)</f>
        <v>1</v>
      </c>
      <c r="DJ19" s="7">
        <f>IF(預測IC!DJ19&gt;預測IC!DJ$25,1,0)</f>
        <v>0</v>
      </c>
      <c r="DK19" s="7">
        <f>IF(預測IC!DK19&gt;預測IC!DK$25,1,0)</f>
        <v>0</v>
      </c>
      <c r="DL19" s="7">
        <f>IF(預測IC!DL19&gt;預測IC!DL$25,1,0)</f>
        <v>0</v>
      </c>
      <c r="DM19" s="7">
        <f>IF(預測IC!DM19&gt;預測IC!DM$25,1,0)</f>
        <v>1</v>
      </c>
      <c r="DN19" s="7">
        <f>IF(預測IC!DN19&gt;預測IC!DN$25,1,0)</f>
        <v>0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0</v>
      </c>
      <c r="DS19" s="7">
        <f>IF(預測IC!DS19&gt;預測IC!DS$25,1,0)</f>
        <v>0</v>
      </c>
      <c r="DT19" s="7">
        <f>IF(預測IC!DT19&gt;預測IC!DT$25,1,0)</f>
        <v>0</v>
      </c>
      <c r="DU19" s="7">
        <f>IF(預測IC!DU19&gt;預測IC!DU$25,1,0)</f>
        <v>0</v>
      </c>
      <c r="DV19" s="7">
        <f>IF(預測IC!DV19&gt;預測IC!DV$25,1,0)</f>
        <v>1</v>
      </c>
      <c r="DW19" s="7">
        <f>IF(預測IC!DW19&gt;預測IC!DW$25,1,0)</f>
        <v>0</v>
      </c>
      <c r="DX19" s="7">
        <f>IF(預測IC!DX19&gt;預測IC!DX$25,1,0)</f>
        <v>0</v>
      </c>
      <c r="DY19" s="7">
        <f>IF(預測IC!DY19&gt;預測IC!DY$25,1,0)</f>
        <v>1</v>
      </c>
      <c r="DZ19" s="7">
        <f>IF(預測IC!DZ19&gt;預測IC!DZ$25,1,0)</f>
        <v>1</v>
      </c>
      <c r="EA19" s="7">
        <f>IF(預測IC!EA19&gt;預測IC!EA$25,1,0)</f>
        <v>0</v>
      </c>
      <c r="EB19" s="7">
        <f>IF(預測IC!EB19&gt;預測IC!EB$25,1,0)</f>
        <v>0</v>
      </c>
      <c r="EC19" s="7">
        <f>IF(預測IC!EC19&gt;預測IC!EC$25,1,0)</f>
        <v>1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1</v>
      </c>
      <c r="EG19">
        <f t="shared" si="10"/>
        <v>72</v>
      </c>
      <c r="EH19" s="11">
        <f t="shared" si="11"/>
        <v>0.52985074626865669</v>
      </c>
    </row>
    <row r="20" spans="1:138" x14ac:dyDescent="0.3">
      <c r="A20" s="1">
        <v>192</v>
      </c>
      <c r="B20" s="1">
        <v>5</v>
      </c>
      <c r="C20" s="7">
        <f>IF(預測IC!C20&gt;預測IC!C$25,1,0)</f>
        <v>0</v>
      </c>
      <c r="D20" s="7">
        <f>IF(預測IC!D20&gt;預測IC!D$25,1,0)</f>
        <v>1</v>
      </c>
      <c r="E20" s="7">
        <f>IF(預測IC!E20&gt;預測IC!E$25,1,0)</f>
        <v>0</v>
      </c>
      <c r="F20" s="7">
        <f>IF(預測IC!F20&gt;預測IC!F$25,1,0)</f>
        <v>1</v>
      </c>
      <c r="G20" s="7">
        <f>IF(預測IC!G20&gt;預測IC!G$25,1,0)</f>
        <v>1</v>
      </c>
      <c r="H20" s="7">
        <f>IF(預測IC!H20&gt;預測IC!H$25,1,0)</f>
        <v>1</v>
      </c>
      <c r="I20" s="7">
        <f>IF(預測IC!I20&gt;預測IC!I$25,1,0)</f>
        <v>1</v>
      </c>
      <c r="J20" s="7">
        <f>IF(預測IC!J20&gt;預測IC!J$25,1,0)</f>
        <v>0</v>
      </c>
      <c r="K20" s="7">
        <f>IF(預測IC!K20&gt;預測IC!K$25,1,0)</f>
        <v>1</v>
      </c>
      <c r="L20" s="7">
        <f>IF(預測IC!L20&gt;預測IC!L$25,1,0)</f>
        <v>1</v>
      </c>
      <c r="M20" s="7">
        <f>IF(預測IC!M20&gt;預測IC!M$25,1,0)</f>
        <v>0</v>
      </c>
      <c r="N20" s="7">
        <f>IF(預測IC!N20&gt;預測IC!N$25,1,0)</f>
        <v>1</v>
      </c>
      <c r="O20" s="7">
        <f>IF(預測IC!O20&gt;預測IC!O$25,1,0)</f>
        <v>1</v>
      </c>
      <c r="P20" s="7">
        <f>IF(預測IC!P20&gt;預測IC!P$25,1,0)</f>
        <v>1</v>
      </c>
      <c r="Q20" s="7">
        <f>IF(預測IC!Q20&gt;預測IC!Q$25,1,0)</f>
        <v>1</v>
      </c>
      <c r="R20" s="7">
        <f>IF(預測IC!R20&gt;預測IC!R$25,1,0)</f>
        <v>1</v>
      </c>
      <c r="S20" s="7">
        <f>IF(預測IC!S20&gt;預測IC!S$25,1,0)</f>
        <v>0</v>
      </c>
      <c r="T20" s="7">
        <f>IF(預測IC!T20&gt;預測IC!T$25,1,0)</f>
        <v>0</v>
      </c>
      <c r="U20" s="7">
        <f>IF(預測IC!U20&gt;預測IC!U$25,1,0)</f>
        <v>1</v>
      </c>
      <c r="V20" s="7">
        <f>IF(預測IC!V20&gt;預測IC!V$25,1,0)</f>
        <v>0</v>
      </c>
      <c r="W20" s="7">
        <f>IF(預測IC!W20&gt;預測IC!W$25,1,0)</f>
        <v>1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0</v>
      </c>
      <c r="AC20" s="7">
        <f>IF(預測IC!AC20&gt;預測IC!AC$25,1,0)</f>
        <v>0</v>
      </c>
      <c r="AD20" s="7">
        <f>IF(預測IC!AD20&gt;預測IC!AD$25,1,0)</f>
        <v>1</v>
      </c>
      <c r="AE20" s="7">
        <f>IF(預測IC!AE20&gt;預測IC!AE$25,1,0)</f>
        <v>0</v>
      </c>
      <c r="AF20" s="7">
        <f>IF(預測IC!AF20&gt;預測IC!AF$25,1,0)</f>
        <v>0</v>
      </c>
      <c r="AG20" s="7">
        <f>IF(預測IC!AG20&gt;預測IC!AG$25,1,0)</f>
        <v>0</v>
      </c>
      <c r="AH20" s="7">
        <f>IF(預測IC!AH20&gt;預測IC!AH$25,1,0)</f>
        <v>0</v>
      </c>
      <c r="AI20" s="7">
        <f>IF(預測IC!AI20&gt;預測IC!AI$25,1,0)</f>
        <v>1</v>
      </c>
      <c r="AJ20" s="7">
        <f>IF(預測IC!AJ20&gt;預測IC!AJ$25,1,0)</f>
        <v>0</v>
      </c>
      <c r="AK20" s="7">
        <f>IF(預測IC!AK20&gt;預測IC!AK$25,1,0)</f>
        <v>0</v>
      </c>
      <c r="AL20" s="7">
        <f>IF(預測IC!AL20&gt;預測IC!AL$25,1,0)</f>
        <v>1</v>
      </c>
      <c r="AM20" s="7">
        <f>IF(預測IC!AM20&gt;預測IC!AM$25,1,0)</f>
        <v>1</v>
      </c>
      <c r="AN20" s="7">
        <f>IF(預測IC!AN20&gt;預測IC!AN$25,1,0)</f>
        <v>1</v>
      </c>
      <c r="AO20" s="7">
        <f>IF(預測IC!AO20&gt;預測IC!AO$25,1,0)</f>
        <v>1</v>
      </c>
      <c r="AP20" s="7">
        <f>IF(預測IC!AP20&gt;預測IC!AP$25,1,0)</f>
        <v>0</v>
      </c>
      <c r="AQ20" s="7">
        <f>IF(預測IC!AQ20&gt;預測IC!AQ$25,1,0)</f>
        <v>1</v>
      </c>
      <c r="AR20" s="7">
        <f>IF(預測IC!AR20&gt;預測IC!AR$25,1,0)</f>
        <v>0</v>
      </c>
      <c r="AS20" s="7">
        <f>IF(預測IC!AS20&gt;預測IC!AS$25,1,0)</f>
        <v>1</v>
      </c>
      <c r="AT20" s="7">
        <f>IF(預測IC!AT20&gt;預測IC!AT$25,1,0)</f>
        <v>0</v>
      </c>
      <c r="AU20" s="7">
        <f>IF(預測IC!AU20&gt;預測IC!AU$25,1,0)</f>
        <v>1</v>
      </c>
      <c r="AV20" s="7">
        <f>IF(預測IC!AV20&gt;預測IC!AV$25,1,0)</f>
        <v>1</v>
      </c>
      <c r="AW20" s="7">
        <f>IF(預測IC!AW20&gt;預測IC!AW$25,1,0)</f>
        <v>1</v>
      </c>
      <c r="AX20" s="7">
        <f>IF(預測IC!AX20&gt;預測IC!AX$25,1,0)</f>
        <v>1</v>
      </c>
      <c r="AY20" s="7">
        <f>IF(預測IC!AY20&gt;預測IC!AY$25,1,0)</f>
        <v>0</v>
      </c>
      <c r="AZ20" s="7">
        <f>IF(預測IC!AZ20&gt;預測IC!AZ$25,1,0)</f>
        <v>1</v>
      </c>
      <c r="BA20" s="7">
        <f>IF(預測IC!BA20&gt;預測IC!BA$25,1,0)</f>
        <v>1</v>
      </c>
      <c r="BB20" s="7">
        <f>IF(預測IC!BB20&gt;預測IC!BB$25,1,0)</f>
        <v>1</v>
      </c>
      <c r="BC20" s="7">
        <f>IF(預測IC!BC20&gt;預測IC!BC$25,1,0)</f>
        <v>0</v>
      </c>
      <c r="BD20" s="7">
        <f>IF(預測IC!BD20&gt;預測IC!BD$25,1,0)</f>
        <v>1</v>
      </c>
      <c r="BE20" s="7">
        <f>IF(預測IC!BE20&gt;預測IC!BE$25,1,0)</f>
        <v>0</v>
      </c>
      <c r="BF20" s="7">
        <f>IF(預測IC!BF20&gt;預測IC!BF$25,1,0)</f>
        <v>0</v>
      </c>
      <c r="BG20" s="7">
        <f>IF(預測IC!BG20&gt;預測IC!BG$25,1,0)</f>
        <v>0</v>
      </c>
      <c r="BH20" s="7">
        <f>IF(預測IC!BH20&gt;預測IC!BH$25,1,0)</f>
        <v>1</v>
      </c>
      <c r="BI20" s="7">
        <f>IF(預測IC!BI20&gt;預測IC!BI$25,1,0)</f>
        <v>1</v>
      </c>
      <c r="BJ20" s="7">
        <f>IF(預測IC!BJ20&gt;預測IC!BJ$25,1,0)</f>
        <v>1</v>
      </c>
      <c r="BK20" s="7">
        <f>IF(預測IC!BK20&gt;預測IC!BK$25,1,0)</f>
        <v>1</v>
      </c>
      <c r="BL20" s="7">
        <f>IF(預測IC!BL20&gt;預測IC!BL$25,1,0)</f>
        <v>0</v>
      </c>
      <c r="BM20" s="7">
        <f>IF(預測IC!BM20&gt;預測IC!BM$25,1,0)</f>
        <v>0</v>
      </c>
      <c r="BN20" s="7">
        <f>IF(預測IC!BN20&gt;預測IC!BN$25,1,0)</f>
        <v>0</v>
      </c>
      <c r="BO20" s="7">
        <f>IF(預測IC!BO20&gt;預測IC!BO$25,1,0)</f>
        <v>1</v>
      </c>
      <c r="BP20" s="7">
        <f>IF(預測IC!BP20&gt;預測IC!BP$25,1,0)</f>
        <v>0</v>
      </c>
      <c r="BQ20" s="7">
        <f>IF(預測IC!BQ20&gt;預測IC!BQ$25,1,0)</f>
        <v>1</v>
      </c>
      <c r="BR20" s="7">
        <f>IF(預測IC!BR20&gt;預測IC!BR$25,1,0)</f>
        <v>1</v>
      </c>
      <c r="BS20" s="7">
        <f>IF(預測IC!BS20&gt;預測IC!BS$25,1,0)</f>
        <v>0</v>
      </c>
      <c r="BT20" s="7">
        <f>IF(預測IC!BT20&gt;預測IC!BT$25,1,0)</f>
        <v>1</v>
      </c>
      <c r="BU20" s="7">
        <f>IF(預測IC!BU20&gt;預測IC!BU$25,1,0)</f>
        <v>0</v>
      </c>
      <c r="BV20" s="7">
        <f>IF(預測IC!BV20&gt;預測IC!BV$25,1,0)</f>
        <v>1</v>
      </c>
      <c r="BW20" s="7">
        <f>IF(預測IC!BW20&gt;預測IC!BW$25,1,0)</f>
        <v>1</v>
      </c>
      <c r="BX20" s="7">
        <f>IF(預測IC!BX20&gt;預測IC!BX$25,1,0)</f>
        <v>0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1</v>
      </c>
      <c r="CB20" s="7">
        <f>IF(預測IC!CB20&gt;預測IC!CB$25,1,0)</f>
        <v>1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1</v>
      </c>
      <c r="CF20" s="7">
        <f>IF(預測IC!CF20&gt;預測IC!CF$25,1,0)</f>
        <v>0</v>
      </c>
      <c r="CG20" s="7">
        <f>IF(預測IC!CG20&gt;預測IC!CG$25,1,0)</f>
        <v>1</v>
      </c>
      <c r="CH20" s="7">
        <f>IF(預測IC!CH20&gt;預測IC!CH$25,1,0)</f>
        <v>1</v>
      </c>
      <c r="CI20" s="7">
        <f>IF(預測IC!CI20&gt;預測IC!CI$25,1,0)</f>
        <v>0</v>
      </c>
      <c r="CJ20" s="7">
        <f>IF(預測IC!CJ20&gt;預測IC!CJ$25,1,0)</f>
        <v>0</v>
      </c>
      <c r="CK20" s="7">
        <f>IF(預測IC!CK20&gt;預測IC!CK$25,1,0)</f>
        <v>1</v>
      </c>
      <c r="CL20" s="7">
        <f>IF(預測IC!CL20&gt;預測IC!CL$25,1,0)</f>
        <v>1</v>
      </c>
      <c r="CM20" s="7">
        <f>IF(預測IC!CM20&gt;預測IC!CM$25,1,0)</f>
        <v>0</v>
      </c>
      <c r="CN20" s="7">
        <f>IF(預測IC!CN20&gt;預測IC!CN$25,1,0)</f>
        <v>0</v>
      </c>
      <c r="CO20" s="7">
        <f>IF(預測IC!CO20&gt;預測IC!CO$25,1,0)</f>
        <v>1</v>
      </c>
      <c r="CP20" s="7">
        <f>IF(預測IC!CP20&gt;預測IC!CP$25,1,0)</f>
        <v>0</v>
      </c>
      <c r="CQ20" s="7">
        <f>IF(預測IC!CQ20&gt;預測IC!CQ$25,1,0)</f>
        <v>1</v>
      </c>
      <c r="CR20" s="7">
        <f>IF(預測IC!CR20&gt;預測IC!CR$25,1,0)</f>
        <v>1</v>
      </c>
      <c r="CS20" s="7">
        <f>IF(預測IC!CS20&gt;預測IC!CS$25,1,0)</f>
        <v>0</v>
      </c>
      <c r="CT20" s="7">
        <f>IF(預測IC!CT20&gt;預測IC!CT$25,1,0)</f>
        <v>0</v>
      </c>
      <c r="CU20" s="7">
        <f>IF(預測IC!CU20&gt;預測IC!CU$25,1,0)</f>
        <v>0</v>
      </c>
      <c r="CV20" s="7">
        <f>IF(預測IC!CV20&gt;預測IC!CV$25,1,0)</f>
        <v>1</v>
      </c>
      <c r="CW20" s="7">
        <f>IF(預測IC!CW20&gt;預測IC!CW$25,1,0)</f>
        <v>0</v>
      </c>
      <c r="CX20" s="7">
        <f>IF(預測IC!CX20&gt;預測IC!CX$25,1,0)</f>
        <v>1</v>
      </c>
      <c r="CY20" s="7">
        <f>IF(預測IC!CY20&gt;預測IC!CY$25,1,0)</f>
        <v>1</v>
      </c>
      <c r="CZ20" s="7">
        <f>IF(預測IC!CZ20&gt;預測IC!CZ$25,1,0)</f>
        <v>1</v>
      </c>
      <c r="DA20" s="7">
        <f>IF(預測IC!DA20&gt;預測IC!DA$25,1,0)</f>
        <v>0</v>
      </c>
      <c r="DB20" s="7">
        <f>IF(預測IC!DB20&gt;預測IC!DB$25,1,0)</f>
        <v>0</v>
      </c>
      <c r="DC20" s="7">
        <f>IF(預測IC!DC20&gt;預測IC!DC$25,1,0)</f>
        <v>1</v>
      </c>
      <c r="DD20" s="7">
        <f>IF(預測IC!DD20&gt;預測IC!DD$25,1,0)</f>
        <v>0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0</v>
      </c>
      <c r="DH20" s="7">
        <f>IF(預測IC!DH20&gt;預測IC!DH$25,1,0)</f>
        <v>1</v>
      </c>
      <c r="DI20" s="7">
        <f>IF(預測IC!DI20&gt;預測IC!DI$25,1,0)</f>
        <v>1</v>
      </c>
      <c r="DJ20" s="7">
        <f>IF(預測IC!DJ20&gt;預測IC!DJ$25,1,0)</f>
        <v>0</v>
      </c>
      <c r="DK20" s="7">
        <f>IF(預測IC!DK20&gt;預測IC!DK$25,1,0)</f>
        <v>0</v>
      </c>
      <c r="DL20" s="7">
        <f>IF(預測IC!DL20&gt;預測IC!DL$25,1,0)</f>
        <v>0</v>
      </c>
      <c r="DM20" s="7">
        <f>IF(預測IC!DM20&gt;預測IC!DM$25,1,0)</f>
        <v>1</v>
      </c>
      <c r="DN20" s="7">
        <f>IF(預測IC!DN20&gt;預測IC!DN$25,1,0)</f>
        <v>0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0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0</v>
      </c>
      <c r="DV20" s="7">
        <f>IF(預測IC!DV20&gt;預測IC!DV$25,1,0)</f>
        <v>0</v>
      </c>
      <c r="DW20" s="7">
        <f>IF(預測IC!DW20&gt;預測IC!DW$25,1,0)</f>
        <v>0</v>
      </c>
      <c r="DX20" s="7">
        <f>IF(預測IC!DX20&gt;預測IC!DX$25,1,0)</f>
        <v>0</v>
      </c>
      <c r="DY20" s="7">
        <f>IF(預測IC!DY20&gt;預測IC!DY$25,1,0)</f>
        <v>1</v>
      </c>
      <c r="DZ20" s="7">
        <f>IF(預測IC!DZ20&gt;預測IC!DZ$25,1,0)</f>
        <v>1</v>
      </c>
      <c r="EA20" s="7">
        <f>IF(預測IC!EA20&gt;預測IC!EA$25,1,0)</f>
        <v>1</v>
      </c>
      <c r="EB20" s="7">
        <f>IF(預測IC!EB20&gt;預測IC!EB$25,1,0)</f>
        <v>0</v>
      </c>
      <c r="EC20" s="7">
        <f>IF(預測IC!EC20&gt;預測IC!EC$25,1,0)</f>
        <v>1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1</v>
      </c>
      <c r="EG20">
        <f t="shared" si="10"/>
        <v>72</v>
      </c>
      <c r="EH20" s="11">
        <f t="shared" si="11"/>
        <v>0.52985074626865669</v>
      </c>
    </row>
    <row r="21" spans="1:138" x14ac:dyDescent="0.3">
      <c r="A21" s="1">
        <v>241</v>
      </c>
      <c r="B21" s="1">
        <v>4</v>
      </c>
      <c r="C21" s="7">
        <f>IF(預測IC!C21&gt;預測IC!C$25,1,0)</f>
        <v>0</v>
      </c>
      <c r="D21" s="7">
        <f>IF(預測IC!D21&gt;預測IC!D$25,1,0)</f>
        <v>1</v>
      </c>
      <c r="E21" s="7">
        <f>IF(預測IC!E21&gt;預測IC!E$25,1,0)</f>
        <v>0</v>
      </c>
      <c r="F21" s="7">
        <f>IF(預測IC!F21&gt;預測IC!F$25,1,0)</f>
        <v>1</v>
      </c>
      <c r="G21" s="7">
        <f>IF(預測IC!G21&gt;預測IC!G$25,1,0)</f>
        <v>1</v>
      </c>
      <c r="H21" s="7">
        <f>IF(預測IC!H21&gt;預測IC!H$25,1,0)</f>
        <v>1</v>
      </c>
      <c r="I21" s="7">
        <f>IF(預測IC!I21&gt;預測IC!I$25,1,0)</f>
        <v>1</v>
      </c>
      <c r="J21" s="7">
        <f>IF(預測IC!J21&gt;預測IC!J$25,1,0)</f>
        <v>0</v>
      </c>
      <c r="K21" s="7">
        <f>IF(預測IC!K21&gt;預測IC!K$25,1,0)</f>
        <v>1</v>
      </c>
      <c r="L21" s="7">
        <f>IF(預測IC!L21&gt;預測IC!L$25,1,0)</f>
        <v>0</v>
      </c>
      <c r="M21" s="7">
        <f>IF(預測IC!M21&gt;預測IC!M$25,1,0)</f>
        <v>0</v>
      </c>
      <c r="N21" s="7">
        <f>IF(預測IC!N21&gt;預測IC!N$25,1,0)</f>
        <v>1</v>
      </c>
      <c r="O21" s="7">
        <f>IF(預測IC!O21&gt;預測IC!O$25,1,0)</f>
        <v>1</v>
      </c>
      <c r="P21" s="7">
        <f>IF(預測IC!P21&gt;預測IC!P$25,1,0)</f>
        <v>1</v>
      </c>
      <c r="Q21" s="7">
        <f>IF(預測IC!Q21&gt;預測IC!Q$25,1,0)</f>
        <v>1</v>
      </c>
      <c r="R21" s="7">
        <f>IF(預測IC!R21&gt;預測IC!R$25,1,0)</f>
        <v>1</v>
      </c>
      <c r="S21" s="7">
        <f>IF(預測IC!S21&gt;預測IC!S$25,1,0)</f>
        <v>0</v>
      </c>
      <c r="T21" s="7">
        <f>IF(預測IC!T21&gt;預測IC!T$25,1,0)</f>
        <v>0</v>
      </c>
      <c r="U21" s="7">
        <f>IF(預測IC!U21&gt;預測IC!U$25,1,0)</f>
        <v>1</v>
      </c>
      <c r="V21" s="7">
        <f>IF(預測IC!V21&gt;預測IC!V$25,1,0)</f>
        <v>0</v>
      </c>
      <c r="W21" s="7">
        <f>IF(預測IC!W21&gt;預測IC!W$25,1,0)</f>
        <v>1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0</v>
      </c>
      <c r="AC21" s="7">
        <f>IF(預測IC!AC21&gt;預測IC!AC$25,1,0)</f>
        <v>0</v>
      </c>
      <c r="AD21" s="7">
        <f>IF(預測IC!AD21&gt;預測IC!AD$25,1,0)</f>
        <v>1</v>
      </c>
      <c r="AE21" s="7">
        <f>IF(預測IC!AE21&gt;預測IC!AE$25,1,0)</f>
        <v>0</v>
      </c>
      <c r="AF21" s="7">
        <f>IF(預測IC!AF21&gt;預測IC!AF$25,1,0)</f>
        <v>0</v>
      </c>
      <c r="AG21" s="7">
        <f>IF(預測IC!AG21&gt;預測IC!AG$25,1,0)</f>
        <v>0</v>
      </c>
      <c r="AH21" s="7">
        <f>IF(預測IC!AH21&gt;預測IC!AH$25,1,0)</f>
        <v>0</v>
      </c>
      <c r="AI21" s="7">
        <f>IF(預測IC!AI21&gt;預測IC!AI$25,1,0)</f>
        <v>1</v>
      </c>
      <c r="AJ21" s="7">
        <f>IF(預測IC!AJ21&gt;預測IC!AJ$25,1,0)</f>
        <v>0</v>
      </c>
      <c r="AK21" s="7">
        <f>IF(預測IC!AK21&gt;預測IC!AK$25,1,0)</f>
        <v>0</v>
      </c>
      <c r="AL21" s="7">
        <f>IF(預測IC!AL21&gt;預測IC!AL$25,1,0)</f>
        <v>1</v>
      </c>
      <c r="AM21" s="7">
        <f>IF(預測IC!AM21&gt;預測IC!AM$25,1,0)</f>
        <v>1</v>
      </c>
      <c r="AN21" s="7">
        <f>IF(預測IC!AN21&gt;預測IC!AN$25,1,0)</f>
        <v>1</v>
      </c>
      <c r="AO21" s="7">
        <f>IF(預測IC!AO21&gt;預測IC!AO$25,1,0)</f>
        <v>1</v>
      </c>
      <c r="AP21" s="7">
        <f>IF(預測IC!AP21&gt;預測IC!AP$25,1,0)</f>
        <v>0</v>
      </c>
      <c r="AQ21" s="7">
        <f>IF(預測IC!AQ21&gt;預測IC!AQ$25,1,0)</f>
        <v>1</v>
      </c>
      <c r="AR21" s="7">
        <f>IF(預測IC!AR21&gt;預測IC!AR$25,1,0)</f>
        <v>0</v>
      </c>
      <c r="AS21" s="7">
        <f>IF(預測IC!AS21&gt;預測IC!AS$25,1,0)</f>
        <v>1</v>
      </c>
      <c r="AT21" s="7">
        <f>IF(預測IC!AT21&gt;預測IC!AT$25,1,0)</f>
        <v>0</v>
      </c>
      <c r="AU21" s="7">
        <f>IF(預測IC!AU21&gt;預測IC!AU$25,1,0)</f>
        <v>1</v>
      </c>
      <c r="AV21" s="7">
        <f>IF(預測IC!AV21&gt;預測IC!AV$25,1,0)</f>
        <v>1</v>
      </c>
      <c r="AW21" s="7">
        <f>IF(預測IC!AW21&gt;預測IC!AW$25,1,0)</f>
        <v>1</v>
      </c>
      <c r="AX21" s="7">
        <f>IF(預測IC!AX21&gt;預測IC!AX$25,1,0)</f>
        <v>1</v>
      </c>
      <c r="AY21" s="7">
        <f>IF(預測IC!AY21&gt;預測IC!AY$25,1,0)</f>
        <v>0</v>
      </c>
      <c r="AZ21" s="7">
        <f>IF(預測IC!AZ21&gt;預測IC!AZ$25,1,0)</f>
        <v>1</v>
      </c>
      <c r="BA21" s="7">
        <f>IF(預測IC!BA21&gt;預測IC!BA$25,1,0)</f>
        <v>1</v>
      </c>
      <c r="BB21" s="7">
        <f>IF(預測IC!BB21&gt;預測IC!BB$25,1,0)</f>
        <v>1</v>
      </c>
      <c r="BC21" s="7">
        <f>IF(預測IC!BC21&gt;預測IC!BC$25,1,0)</f>
        <v>0</v>
      </c>
      <c r="BD21" s="7">
        <f>IF(預測IC!BD21&gt;預測IC!BD$25,1,0)</f>
        <v>1</v>
      </c>
      <c r="BE21" s="7">
        <f>IF(預測IC!BE21&gt;預測IC!BE$25,1,0)</f>
        <v>0</v>
      </c>
      <c r="BF21" s="7">
        <f>IF(預測IC!BF21&gt;預測IC!BF$25,1,0)</f>
        <v>0</v>
      </c>
      <c r="BG21" s="7">
        <f>IF(預測IC!BG21&gt;預測IC!BG$25,1,0)</f>
        <v>0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1</v>
      </c>
      <c r="BK21" s="7">
        <f>IF(預測IC!BK21&gt;預測IC!BK$25,1,0)</f>
        <v>1</v>
      </c>
      <c r="BL21" s="7">
        <f>IF(預測IC!BL21&gt;預測IC!BL$25,1,0)</f>
        <v>0</v>
      </c>
      <c r="BM21" s="7">
        <f>IF(預測IC!BM21&gt;預測IC!BM$25,1,0)</f>
        <v>0</v>
      </c>
      <c r="BN21" s="7">
        <f>IF(預測IC!BN21&gt;預測IC!BN$25,1,0)</f>
        <v>0</v>
      </c>
      <c r="BO21" s="7">
        <f>IF(預測IC!BO21&gt;預測IC!BO$25,1,0)</f>
        <v>1</v>
      </c>
      <c r="BP21" s="7">
        <f>IF(預測IC!BP21&gt;預測IC!BP$25,1,0)</f>
        <v>0</v>
      </c>
      <c r="BQ21" s="7">
        <f>IF(預測IC!BQ21&gt;預測IC!BQ$25,1,0)</f>
        <v>1</v>
      </c>
      <c r="BR21" s="7">
        <f>IF(預測IC!BR21&gt;預測IC!BR$25,1,0)</f>
        <v>1</v>
      </c>
      <c r="BS21" s="7">
        <f>IF(預測IC!BS21&gt;預測IC!BS$25,1,0)</f>
        <v>0</v>
      </c>
      <c r="BT21" s="7">
        <f>IF(預測IC!BT21&gt;預測IC!BT$25,1,0)</f>
        <v>1</v>
      </c>
      <c r="BU21" s="7">
        <f>IF(預測IC!BU21&gt;預測IC!BU$25,1,0)</f>
        <v>0</v>
      </c>
      <c r="BV21" s="7">
        <f>IF(預測IC!BV21&gt;預測IC!BV$25,1,0)</f>
        <v>0</v>
      </c>
      <c r="BW21" s="7">
        <f>IF(預測IC!BW21&gt;預測IC!BW$25,1,0)</f>
        <v>1</v>
      </c>
      <c r="BX21" s="7">
        <f>IF(預測IC!BX21&gt;預測IC!BX$25,1,0)</f>
        <v>0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1</v>
      </c>
      <c r="CB21" s="7">
        <f>IF(預測IC!CB21&gt;預測IC!CB$25,1,0)</f>
        <v>1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1</v>
      </c>
      <c r="CF21" s="7">
        <f>IF(預測IC!CF21&gt;預測IC!CF$25,1,0)</f>
        <v>0</v>
      </c>
      <c r="CG21" s="7">
        <f>IF(預測IC!CG21&gt;預測IC!CG$25,1,0)</f>
        <v>1</v>
      </c>
      <c r="CH21" s="7">
        <f>IF(預測IC!CH21&gt;預測IC!CH$25,1,0)</f>
        <v>1</v>
      </c>
      <c r="CI21" s="7">
        <f>IF(預測IC!CI21&gt;預測IC!CI$25,1,0)</f>
        <v>0</v>
      </c>
      <c r="CJ21" s="7">
        <f>IF(預測IC!CJ21&gt;預測IC!CJ$25,1,0)</f>
        <v>0</v>
      </c>
      <c r="CK21" s="7">
        <f>IF(預測IC!CK21&gt;預測IC!CK$25,1,0)</f>
        <v>0</v>
      </c>
      <c r="CL21" s="7">
        <f>IF(預測IC!CL21&gt;預測IC!CL$25,1,0)</f>
        <v>1</v>
      </c>
      <c r="CM21" s="7">
        <f>IF(預測IC!CM21&gt;預測IC!CM$25,1,0)</f>
        <v>0</v>
      </c>
      <c r="CN21" s="7">
        <f>IF(預測IC!CN21&gt;預測IC!CN$25,1,0)</f>
        <v>0</v>
      </c>
      <c r="CO21" s="7">
        <f>IF(預測IC!CO21&gt;預測IC!CO$25,1,0)</f>
        <v>1</v>
      </c>
      <c r="CP21" s="7">
        <f>IF(預測IC!CP21&gt;預測IC!CP$25,1,0)</f>
        <v>0</v>
      </c>
      <c r="CQ21" s="7">
        <f>IF(預測IC!CQ21&gt;預測IC!CQ$25,1,0)</f>
        <v>0</v>
      </c>
      <c r="CR21" s="7">
        <f>IF(預測IC!CR21&gt;預測IC!CR$25,1,0)</f>
        <v>1</v>
      </c>
      <c r="CS21" s="7">
        <f>IF(預測IC!CS21&gt;預測IC!CS$25,1,0)</f>
        <v>1</v>
      </c>
      <c r="CT21" s="7">
        <f>IF(預測IC!CT21&gt;預測IC!CT$25,1,0)</f>
        <v>1</v>
      </c>
      <c r="CU21" s="7">
        <f>IF(預測IC!CU21&gt;預測IC!CU$25,1,0)</f>
        <v>0</v>
      </c>
      <c r="CV21" s="7">
        <f>IF(預測IC!CV21&gt;預測IC!CV$25,1,0)</f>
        <v>1</v>
      </c>
      <c r="CW21" s="7">
        <f>IF(預測IC!CW21&gt;預測IC!CW$25,1,0)</f>
        <v>0</v>
      </c>
      <c r="CX21" s="7">
        <f>IF(預測IC!CX21&gt;預測IC!CX$25,1,0)</f>
        <v>1</v>
      </c>
      <c r="CY21" s="7">
        <f>IF(預測IC!CY21&gt;預測IC!CY$25,1,0)</f>
        <v>1</v>
      </c>
      <c r="CZ21" s="7">
        <f>IF(預測IC!CZ21&gt;預測IC!CZ$25,1,0)</f>
        <v>1</v>
      </c>
      <c r="DA21" s="7">
        <f>IF(預測IC!DA21&gt;預測IC!DA$25,1,0)</f>
        <v>0</v>
      </c>
      <c r="DB21" s="7">
        <f>IF(預測IC!DB21&gt;預測IC!DB$25,1,0)</f>
        <v>0</v>
      </c>
      <c r="DC21" s="7">
        <f>IF(預測IC!DC21&gt;預測IC!DC$25,1,0)</f>
        <v>1</v>
      </c>
      <c r="DD21" s="7">
        <f>IF(預測IC!DD21&gt;預測IC!DD$25,1,0)</f>
        <v>0</v>
      </c>
      <c r="DE21" s="7">
        <f>IF(預測IC!DE21&gt;預測IC!DE$25,1,0)</f>
        <v>0</v>
      </c>
      <c r="DF21" s="7">
        <f>IF(預測IC!DF21&gt;預測IC!DF$25,1,0)</f>
        <v>1</v>
      </c>
      <c r="DG21" s="7">
        <f>IF(預測IC!DG21&gt;預測IC!DG$25,1,0)</f>
        <v>0</v>
      </c>
      <c r="DH21" s="7">
        <f>IF(預測IC!DH21&gt;預測IC!DH$25,1,0)</f>
        <v>1</v>
      </c>
      <c r="DI21" s="7">
        <f>IF(預測IC!DI21&gt;預測IC!DI$25,1,0)</f>
        <v>1</v>
      </c>
      <c r="DJ21" s="7">
        <f>IF(預測IC!DJ21&gt;預測IC!DJ$25,1,0)</f>
        <v>0</v>
      </c>
      <c r="DK21" s="7">
        <f>IF(預測IC!DK21&gt;預測IC!DK$25,1,0)</f>
        <v>0</v>
      </c>
      <c r="DL21" s="7">
        <f>IF(預測IC!DL21&gt;預測IC!DL$25,1,0)</f>
        <v>1</v>
      </c>
      <c r="DM21" s="7">
        <f>IF(預測IC!DM21&gt;預測IC!DM$25,1,0)</f>
        <v>1</v>
      </c>
      <c r="DN21" s="7">
        <f>IF(預測IC!DN21&gt;預測IC!DN$25,1,0)</f>
        <v>0</v>
      </c>
      <c r="DO21" s="7">
        <f>IF(預測IC!DO21&gt;預測IC!DO$25,1,0)</f>
        <v>1</v>
      </c>
      <c r="DP21" s="7">
        <f>IF(預測IC!DP21&gt;預測IC!DP$25,1,0)</f>
        <v>0</v>
      </c>
      <c r="DQ21" s="7">
        <f>IF(預測IC!DQ21&gt;預測IC!DQ$25,1,0)</f>
        <v>0</v>
      </c>
      <c r="DR21" s="7">
        <f>IF(預測IC!DR21&gt;預測IC!DR$25,1,0)</f>
        <v>0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0</v>
      </c>
      <c r="DV21" s="7">
        <f>IF(預測IC!DV21&gt;預測IC!DV$25,1,0)</f>
        <v>0</v>
      </c>
      <c r="DW21" s="7">
        <f>IF(預測IC!DW21&gt;預測IC!DW$25,1,0)</f>
        <v>0</v>
      </c>
      <c r="DX21" s="7">
        <f>IF(預測IC!DX21&gt;預測IC!DX$25,1,0)</f>
        <v>0</v>
      </c>
      <c r="DY21" s="7">
        <f>IF(預測IC!DY21&gt;預測IC!DY$25,1,0)</f>
        <v>1</v>
      </c>
      <c r="DZ21" s="7">
        <f>IF(預測IC!DZ21&gt;預測IC!DZ$25,1,0)</f>
        <v>1</v>
      </c>
      <c r="EA21" s="7">
        <f>IF(預測IC!EA21&gt;預測IC!EA$25,1,0)</f>
        <v>0</v>
      </c>
      <c r="EB21" s="7">
        <f>IF(預測IC!EB21&gt;預測IC!EB$25,1,0)</f>
        <v>0</v>
      </c>
      <c r="EC21" s="7">
        <f>IF(預測IC!EC21&gt;預測IC!EC$25,1,0)</f>
        <v>1</v>
      </c>
      <c r="ED21" s="7">
        <f>IF(預測IC!ED21&gt;預測IC!ED$25,1,0)</f>
        <v>0</v>
      </c>
      <c r="EE21" s="7">
        <f>IF(預測IC!EE21&gt;預測IC!EE$25,1,0)</f>
        <v>0</v>
      </c>
      <c r="EF21" s="7">
        <f>IF(預測IC!EF21&gt;預測IC!EF$25,1,0)</f>
        <v>1</v>
      </c>
      <c r="EG21">
        <f t="shared" si="10"/>
        <v>69</v>
      </c>
      <c r="EH21" s="11">
        <f t="shared" si="11"/>
        <v>0.5074626865671642</v>
      </c>
    </row>
    <row r="22" spans="1:138" x14ac:dyDescent="0.3">
      <c r="A22" s="1">
        <v>321</v>
      </c>
      <c r="B22" s="1">
        <v>3</v>
      </c>
      <c r="C22" s="7">
        <f>IF(預測IC!C22&gt;預測IC!C$25,1,0)</f>
        <v>0</v>
      </c>
      <c r="D22" s="7">
        <f>IF(預測IC!D22&gt;預測IC!D$25,1,0)</f>
        <v>1</v>
      </c>
      <c r="E22" s="7">
        <f>IF(預測IC!E22&gt;預測IC!E$25,1,0)</f>
        <v>0</v>
      </c>
      <c r="F22" s="7">
        <f>IF(預測IC!F22&gt;預測IC!F$25,1,0)</f>
        <v>0</v>
      </c>
      <c r="G22" s="7">
        <f>IF(預測IC!G22&gt;預測IC!G$25,1,0)</f>
        <v>1</v>
      </c>
      <c r="H22" s="7">
        <f>IF(預測IC!H22&gt;預測IC!H$25,1,0)</f>
        <v>1</v>
      </c>
      <c r="I22" s="7">
        <f>IF(預測IC!I22&gt;預測IC!I$25,1,0)</f>
        <v>1</v>
      </c>
      <c r="J22" s="7">
        <f>IF(預測IC!J22&gt;預測IC!J$25,1,0)</f>
        <v>0</v>
      </c>
      <c r="K22" s="7">
        <f>IF(預測IC!K22&gt;預測IC!K$25,1,0)</f>
        <v>1</v>
      </c>
      <c r="L22" s="7">
        <f>IF(預測IC!L22&gt;預測IC!L$25,1,0)</f>
        <v>1</v>
      </c>
      <c r="M22" s="7">
        <f>IF(預測IC!M22&gt;預測IC!M$25,1,0)</f>
        <v>0</v>
      </c>
      <c r="N22" s="7">
        <f>IF(預測IC!N22&gt;預測IC!N$25,1,0)</f>
        <v>1</v>
      </c>
      <c r="O22" s="7">
        <f>IF(預測IC!O22&gt;預測IC!O$25,1,0)</f>
        <v>1</v>
      </c>
      <c r="P22" s="7">
        <f>IF(預測IC!P22&gt;預測IC!P$25,1,0)</f>
        <v>1</v>
      </c>
      <c r="Q22" s="7">
        <f>IF(預測IC!Q22&gt;預測IC!Q$25,1,0)</f>
        <v>1</v>
      </c>
      <c r="R22" s="7">
        <f>IF(預測IC!R22&gt;預測IC!R$25,1,0)</f>
        <v>1</v>
      </c>
      <c r="S22" s="7">
        <f>IF(預測IC!S22&gt;預測IC!S$25,1,0)</f>
        <v>0</v>
      </c>
      <c r="T22" s="7">
        <f>IF(預測IC!T22&gt;預測IC!T$25,1,0)</f>
        <v>0</v>
      </c>
      <c r="U22" s="7">
        <f>IF(預測IC!U22&gt;預測IC!U$25,1,0)</f>
        <v>1</v>
      </c>
      <c r="V22" s="7">
        <f>IF(預測IC!V22&gt;預測IC!V$25,1,0)</f>
        <v>0</v>
      </c>
      <c r="W22" s="7">
        <f>IF(預測IC!W22&gt;預測IC!W$25,1,0)</f>
        <v>1</v>
      </c>
      <c r="X22" s="7">
        <f>IF(預測IC!X22&gt;預測IC!X$25,1,0)</f>
        <v>1</v>
      </c>
      <c r="Y22" s="7">
        <f>IF(預測IC!Y22&gt;預測IC!Y$25,1,0)</f>
        <v>0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0</v>
      </c>
      <c r="AC22" s="7">
        <f>IF(預測IC!AC22&gt;預測IC!AC$25,1,0)</f>
        <v>0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0</v>
      </c>
      <c r="AG22" s="7">
        <f>IF(預測IC!AG22&gt;預測IC!AG$25,1,0)</f>
        <v>0</v>
      </c>
      <c r="AH22" s="7">
        <f>IF(預測IC!AH22&gt;預測IC!AH$25,1,0)</f>
        <v>0</v>
      </c>
      <c r="AI22" s="7">
        <f>IF(預測IC!AI22&gt;預測IC!AI$25,1,0)</f>
        <v>1</v>
      </c>
      <c r="AJ22" s="7">
        <f>IF(預測IC!AJ22&gt;預測IC!AJ$25,1,0)</f>
        <v>0</v>
      </c>
      <c r="AK22" s="7">
        <f>IF(預測IC!AK22&gt;預測IC!AK$25,1,0)</f>
        <v>1</v>
      </c>
      <c r="AL22" s="7">
        <f>IF(預測IC!AL22&gt;預測IC!AL$25,1,0)</f>
        <v>1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1</v>
      </c>
      <c r="AP22" s="7">
        <f>IF(預測IC!AP22&gt;預測IC!AP$25,1,0)</f>
        <v>0</v>
      </c>
      <c r="AQ22" s="7">
        <f>IF(預測IC!AQ22&gt;預測IC!AQ$25,1,0)</f>
        <v>1</v>
      </c>
      <c r="AR22" s="7">
        <f>IF(預測IC!AR22&gt;預測IC!AR$25,1,0)</f>
        <v>0</v>
      </c>
      <c r="AS22" s="7">
        <f>IF(預測IC!AS22&gt;預測IC!AS$25,1,0)</f>
        <v>1</v>
      </c>
      <c r="AT22" s="7">
        <f>IF(預測IC!AT22&gt;預測IC!AT$25,1,0)</f>
        <v>0</v>
      </c>
      <c r="AU22" s="7">
        <f>IF(預測IC!AU22&gt;預測IC!AU$25,1,0)</f>
        <v>1</v>
      </c>
      <c r="AV22" s="7">
        <f>IF(預測IC!AV22&gt;預測IC!AV$25,1,0)</f>
        <v>1</v>
      </c>
      <c r="AW22" s="7">
        <f>IF(預測IC!AW22&gt;預測IC!AW$25,1,0)</f>
        <v>0</v>
      </c>
      <c r="AX22" s="7">
        <f>IF(預測IC!AX22&gt;預測IC!AX$25,1,0)</f>
        <v>1</v>
      </c>
      <c r="AY22" s="7">
        <f>IF(預測IC!AY22&gt;預測IC!AY$25,1,0)</f>
        <v>0</v>
      </c>
      <c r="AZ22" s="7">
        <f>IF(預測IC!AZ22&gt;預測IC!AZ$25,1,0)</f>
        <v>1</v>
      </c>
      <c r="BA22" s="7">
        <f>IF(預測IC!BA22&gt;預測IC!BA$25,1,0)</f>
        <v>1</v>
      </c>
      <c r="BB22" s="7">
        <f>IF(預測IC!BB22&gt;預測IC!BB$25,1,0)</f>
        <v>1</v>
      </c>
      <c r="BC22" s="7">
        <f>IF(預測IC!BC22&gt;預測IC!BC$25,1,0)</f>
        <v>0</v>
      </c>
      <c r="BD22" s="7">
        <f>IF(預測IC!BD22&gt;預測IC!BD$25,1,0)</f>
        <v>1</v>
      </c>
      <c r="BE22" s="7">
        <f>IF(預測IC!BE22&gt;預測IC!BE$25,1,0)</f>
        <v>0</v>
      </c>
      <c r="BF22" s="7">
        <f>IF(預測IC!BF22&gt;預測IC!BF$25,1,0)</f>
        <v>0</v>
      </c>
      <c r="BG22" s="7">
        <f>IF(預測IC!BG22&gt;預測IC!BG$25,1,0)</f>
        <v>0</v>
      </c>
      <c r="BH22" s="7">
        <f>IF(預測IC!BH22&gt;預測IC!BH$25,1,0)</f>
        <v>1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1</v>
      </c>
      <c r="BL22" s="7">
        <f>IF(預測IC!BL22&gt;預測IC!BL$25,1,0)</f>
        <v>0</v>
      </c>
      <c r="BM22" s="7">
        <f>IF(預測IC!BM22&gt;預測IC!BM$25,1,0)</f>
        <v>0</v>
      </c>
      <c r="BN22" s="7">
        <f>IF(預測IC!BN22&gt;預測IC!BN$25,1,0)</f>
        <v>0</v>
      </c>
      <c r="BO22" s="7">
        <f>IF(預測IC!BO22&gt;預測IC!BO$25,1,0)</f>
        <v>1</v>
      </c>
      <c r="BP22" s="7">
        <f>IF(預測IC!BP22&gt;預測IC!BP$25,1,0)</f>
        <v>0</v>
      </c>
      <c r="BQ22" s="7">
        <f>IF(預測IC!BQ22&gt;預測IC!BQ$25,1,0)</f>
        <v>1</v>
      </c>
      <c r="BR22" s="7">
        <f>IF(預測IC!BR22&gt;預測IC!BR$25,1,0)</f>
        <v>1</v>
      </c>
      <c r="BS22" s="7">
        <f>IF(預測IC!BS22&gt;預測IC!BS$25,1,0)</f>
        <v>0</v>
      </c>
      <c r="BT22" s="7">
        <f>IF(預測IC!BT22&gt;預測IC!BT$25,1,0)</f>
        <v>0</v>
      </c>
      <c r="BU22" s="7">
        <f>IF(預測IC!BU22&gt;預測IC!BU$25,1,0)</f>
        <v>0</v>
      </c>
      <c r="BV22" s="7">
        <f>IF(預測IC!BV22&gt;預測IC!BV$25,1,0)</f>
        <v>0</v>
      </c>
      <c r="BW22" s="7">
        <f>IF(預測IC!BW22&gt;預測IC!BW$25,1,0)</f>
        <v>1</v>
      </c>
      <c r="BX22" s="7">
        <f>IF(預測IC!BX22&gt;預測IC!BX$25,1,0)</f>
        <v>0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1</v>
      </c>
      <c r="CB22" s="7">
        <f>IF(預測IC!CB22&gt;預測IC!CB$25,1,0)</f>
        <v>1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1</v>
      </c>
      <c r="CF22" s="7">
        <f>IF(預測IC!CF22&gt;預測IC!CF$25,1,0)</f>
        <v>0</v>
      </c>
      <c r="CG22" s="7">
        <f>IF(預測IC!CG22&gt;預測IC!CG$25,1,0)</f>
        <v>1</v>
      </c>
      <c r="CH22" s="7">
        <f>IF(預測IC!CH22&gt;預測IC!CH$25,1,0)</f>
        <v>1</v>
      </c>
      <c r="CI22" s="7">
        <f>IF(預測IC!CI22&gt;預測IC!CI$25,1,0)</f>
        <v>0</v>
      </c>
      <c r="CJ22" s="7">
        <f>IF(預測IC!CJ22&gt;預測IC!CJ$25,1,0)</f>
        <v>0</v>
      </c>
      <c r="CK22" s="7">
        <f>IF(預測IC!CK22&gt;預測IC!CK$25,1,0)</f>
        <v>0</v>
      </c>
      <c r="CL22" s="7">
        <f>IF(預測IC!CL22&gt;預測IC!CL$25,1,0)</f>
        <v>1</v>
      </c>
      <c r="CM22" s="7">
        <f>IF(預測IC!CM22&gt;預測IC!CM$25,1,0)</f>
        <v>0</v>
      </c>
      <c r="CN22" s="7">
        <f>IF(預測IC!CN22&gt;預測IC!CN$25,1,0)</f>
        <v>0</v>
      </c>
      <c r="CO22" s="7">
        <f>IF(預測IC!CO22&gt;預測IC!CO$25,1,0)</f>
        <v>1</v>
      </c>
      <c r="CP22" s="7">
        <f>IF(預測IC!CP22&gt;預測IC!CP$25,1,0)</f>
        <v>0</v>
      </c>
      <c r="CQ22" s="7">
        <f>IF(預測IC!CQ22&gt;預測IC!CQ$25,1,0)</f>
        <v>0</v>
      </c>
      <c r="CR22" s="7">
        <f>IF(預測IC!CR22&gt;預測IC!CR$25,1,0)</f>
        <v>0</v>
      </c>
      <c r="CS22" s="7">
        <f>IF(預測IC!CS22&gt;預測IC!CS$25,1,0)</f>
        <v>0</v>
      </c>
      <c r="CT22" s="7">
        <f>IF(預測IC!CT22&gt;預測IC!CT$25,1,0)</f>
        <v>0</v>
      </c>
      <c r="CU22" s="7">
        <f>IF(預測IC!CU22&gt;預測IC!CU$25,1,0)</f>
        <v>0</v>
      </c>
      <c r="CV22" s="7">
        <f>IF(預測IC!CV22&gt;預測IC!CV$25,1,0)</f>
        <v>1</v>
      </c>
      <c r="CW22" s="7">
        <f>IF(預測IC!CW22&gt;預測IC!CW$25,1,0)</f>
        <v>0</v>
      </c>
      <c r="CX22" s="7">
        <f>IF(預測IC!CX22&gt;預測IC!CX$25,1,0)</f>
        <v>1</v>
      </c>
      <c r="CY22" s="7">
        <f>IF(預測IC!CY22&gt;預測IC!CY$25,1,0)</f>
        <v>1</v>
      </c>
      <c r="CZ22" s="7">
        <f>IF(預測IC!CZ22&gt;預測IC!CZ$25,1,0)</f>
        <v>1</v>
      </c>
      <c r="DA22" s="7">
        <f>IF(預測IC!DA22&gt;預測IC!DA$25,1,0)</f>
        <v>0</v>
      </c>
      <c r="DB22" s="7">
        <f>IF(預測IC!DB22&gt;預測IC!DB$25,1,0)</f>
        <v>0</v>
      </c>
      <c r="DC22" s="7">
        <f>IF(預測IC!DC22&gt;預測IC!DC$25,1,0)</f>
        <v>1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1</v>
      </c>
      <c r="DG22" s="7">
        <f>IF(預測IC!DG22&gt;預測IC!DG$25,1,0)</f>
        <v>0</v>
      </c>
      <c r="DH22" s="7">
        <f>IF(預測IC!DH22&gt;預測IC!DH$25,1,0)</f>
        <v>1</v>
      </c>
      <c r="DI22" s="7">
        <f>IF(預測IC!DI22&gt;預測IC!DI$25,1,0)</f>
        <v>1</v>
      </c>
      <c r="DJ22" s="7">
        <f>IF(預測IC!DJ22&gt;預測IC!DJ$25,1,0)</f>
        <v>0</v>
      </c>
      <c r="DK22" s="7">
        <f>IF(預測IC!DK22&gt;預測IC!DK$25,1,0)</f>
        <v>0</v>
      </c>
      <c r="DL22" s="7">
        <f>IF(預測IC!DL22&gt;預測IC!DL$25,1,0)</f>
        <v>1</v>
      </c>
      <c r="DM22" s="7">
        <f>IF(預測IC!DM22&gt;預測IC!DM$25,1,0)</f>
        <v>1</v>
      </c>
      <c r="DN22" s="7">
        <f>IF(預測IC!DN22&gt;預測IC!DN$25,1,0)</f>
        <v>0</v>
      </c>
      <c r="DO22" s="7">
        <f>IF(預測IC!DO22&gt;預測IC!DO$25,1,0)</f>
        <v>1</v>
      </c>
      <c r="DP22" s="7">
        <f>IF(預測IC!DP22&gt;預測IC!DP$25,1,0)</f>
        <v>0</v>
      </c>
      <c r="DQ22" s="7">
        <f>IF(預測IC!DQ22&gt;預測IC!DQ$25,1,0)</f>
        <v>0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1</v>
      </c>
      <c r="DW22" s="7">
        <f>IF(預測IC!DW22&gt;預測IC!DW$25,1,0)</f>
        <v>0</v>
      </c>
      <c r="DX22" s="7">
        <f>IF(預測IC!DX22&gt;預測IC!DX$25,1,0)</f>
        <v>0</v>
      </c>
      <c r="DY22" s="7">
        <f>IF(預測IC!DY22&gt;預測IC!DY$25,1,0)</f>
        <v>1</v>
      </c>
      <c r="DZ22" s="7">
        <f>IF(預測IC!DZ22&gt;預測IC!DZ$25,1,0)</f>
        <v>1</v>
      </c>
      <c r="EA22" s="7">
        <f>IF(預測IC!EA22&gt;預測IC!EA$25,1,0)</f>
        <v>0</v>
      </c>
      <c r="EB22" s="7">
        <f>IF(預測IC!EB22&gt;預測IC!EB$25,1,0)</f>
        <v>0</v>
      </c>
      <c r="EC22" s="7">
        <f>IF(預測IC!EC22&gt;預測IC!EC$25,1,0)</f>
        <v>1</v>
      </c>
      <c r="ED22" s="7">
        <f>IF(預測IC!ED22&gt;預測IC!ED$25,1,0)</f>
        <v>0</v>
      </c>
      <c r="EE22" s="7">
        <f>IF(預測IC!EE22&gt;預測IC!EE$25,1,0)</f>
        <v>0</v>
      </c>
      <c r="EF22" s="7">
        <f>IF(預測IC!EF22&gt;預測IC!EF$25,1,0)</f>
        <v>0</v>
      </c>
      <c r="EG22">
        <f t="shared" si="10"/>
        <v>65</v>
      </c>
      <c r="EH22" s="11">
        <f t="shared" si="11"/>
        <v>0.48507462686567165</v>
      </c>
    </row>
    <row r="23" spans="1:138" x14ac:dyDescent="0.3">
      <c r="A23" s="1">
        <v>482</v>
      </c>
      <c r="B23" s="1">
        <v>2</v>
      </c>
      <c r="C23" s="7">
        <f>IF(預測IC!C23&gt;預測IC!C$25,1,0)</f>
        <v>0</v>
      </c>
      <c r="D23" s="7">
        <f>IF(預測IC!D23&gt;預測IC!D$25,1,0)</f>
        <v>1</v>
      </c>
      <c r="E23" s="7">
        <f>IF(預測IC!E23&gt;預測IC!E$25,1,0)</f>
        <v>0</v>
      </c>
      <c r="F23" s="7">
        <f>IF(預測IC!F23&gt;預測IC!F$25,1,0)</f>
        <v>1</v>
      </c>
      <c r="G23" s="7">
        <f>IF(預測IC!G23&gt;預測IC!G$25,1,0)</f>
        <v>1</v>
      </c>
      <c r="H23" s="7">
        <f>IF(預測IC!H23&gt;預測IC!H$25,1,0)</f>
        <v>0</v>
      </c>
      <c r="I23" s="7">
        <f>IF(預測IC!I23&gt;預測IC!I$25,1,0)</f>
        <v>1</v>
      </c>
      <c r="J23" s="7">
        <f>IF(預測IC!J23&gt;預測IC!J$25,1,0)</f>
        <v>0</v>
      </c>
      <c r="K23" s="7">
        <f>IF(預測IC!K23&gt;預測IC!K$25,1,0)</f>
        <v>0</v>
      </c>
      <c r="L23" s="7">
        <f>IF(預測IC!L23&gt;預測IC!L$25,1,0)</f>
        <v>1</v>
      </c>
      <c r="M23" s="7">
        <f>IF(預測IC!M23&gt;預測IC!M$25,1,0)</f>
        <v>0</v>
      </c>
      <c r="N23" s="7">
        <f>IF(預測IC!N23&gt;預測IC!N$25,1,0)</f>
        <v>1</v>
      </c>
      <c r="O23" s="7">
        <f>IF(預測IC!O23&gt;預測IC!O$25,1,0)</f>
        <v>1</v>
      </c>
      <c r="P23" s="7">
        <f>IF(預測IC!P23&gt;預測IC!P$25,1,0)</f>
        <v>1</v>
      </c>
      <c r="Q23" s="7">
        <f>IF(預測IC!Q23&gt;預測IC!Q$25,1,0)</f>
        <v>1</v>
      </c>
      <c r="R23" s="7">
        <f>IF(預測IC!R23&gt;預測IC!R$25,1,0)</f>
        <v>1</v>
      </c>
      <c r="S23" s="7">
        <f>IF(預測IC!S23&gt;預測IC!S$25,1,0)</f>
        <v>0</v>
      </c>
      <c r="T23" s="7">
        <f>IF(預測IC!T23&gt;預測IC!T$25,1,0)</f>
        <v>0</v>
      </c>
      <c r="U23" s="7">
        <f>IF(預測IC!U23&gt;預測IC!U$25,1,0)</f>
        <v>1</v>
      </c>
      <c r="V23" s="7">
        <f>IF(預測IC!V23&gt;預測IC!V$25,1,0)</f>
        <v>0</v>
      </c>
      <c r="W23" s="7">
        <f>IF(預測IC!W23&gt;預測IC!W$25,1,0)</f>
        <v>1</v>
      </c>
      <c r="X23" s="7">
        <f>IF(預測IC!X23&gt;預測IC!X$25,1,0)</f>
        <v>1</v>
      </c>
      <c r="Y23" s="7">
        <f>IF(預測IC!Y23&gt;預測IC!Y$25,1,0)</f>
        <v>0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0</v>
      </c>
      <c r="AC23" s="7">
        <f>IF(預測IC!AC23&gt;預測IC!AC$25,1,0)</f>
        <v>0</v>
      </c>
      <c r="AD23" s="7">
        <f>IF(預測IC!AD23&gt;預測IC!AD$25,1,0)</f>
        <v>1</v>
      </c>
      <c r="AE23" s="7">
        <f>IF(預測IC!AE23&gt;預測IC!AE$25,1,0)</f>
        <v>0</v>
      </c>
      <c r="AF23" s="7">
        <f>IF(預測IC!AF23&gt;預測IC!AF$25,1,0)</f>
        <v>0</v>
      </c>
      <c r="AG23" s="7">
        <f>IF(預測IC!AG23&gt;預測IC!AG$25,1,0)</f>
        <v>0</v>
      </c>
      <c r="AH23" s="7">
        <f>IF(預測IC!AH23&gt;預測IC!AH$25,1,0)</f>
        <v>0</v>
      </c>
      <c r="AI23" s="7">
        <f>IF(預測IC!AI23&gt;預測IC!AI$25,1,0)</f>
        <v>1</v>
      </c>
      <c r="AJ23" s="7">
        <f>IF(預測IC!AJ23&gt;預測IC!AJ$25,1,0)</f>
        <v>0</v>
      </c>
      <c r="AK23" s="7">
        <f>IF(預測IC!AK23&gt;預測IC!AK$25,1,0)</f>
        <v>1</v>
      </c>
      <c r="AL23" s="7">
        <f>IF(預測IC!AL23&gt;預測IC!AL$25,1,0)</f>
        <v>1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0</v>
      </c>
      <c r="AP23" s="7">
        <f>IF(預測IC!AP23&gt;預測IC!AP$25,1,0)</f>
        <v>0</v>
      </c>
      <c r="AQ23" s="7">
        <f>IF(預測IC!AQ23&gt;預測IC!AQ$25,1,0)</f>
        <v>1</v>
      </c>
      <c r="AR23" s="7">
        <f>IF(預測IC!AR23&gt;預測IC!AR$25,1,0)</f>
        <v>0</v>
      </c>
      <c r="AS23" s="7">
        <f>IF(預測IC!AS23&gt;預測IC!AS$25,1,0)</f>
        <v>0</v>
      </c>
      <c r="AT23" s="7">
        <f>IF(預測IC!AT23&gt;預測IC!AT$25,1,0)</f>
        <v>1</v>
      </c>
      <c r="AU23" s="7">
        <f>IF(預測IC!AU23&gt;預測IC!AU$25,1,0)</f>
        <v>1</v>
      </c>
      <c r="AV23" s="7">
        <f>IF(預測IC!AV23&gt;預測IC!AV$25,1,0)</f>
        <v>0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0</v>
      </c>
      <c r="AZ23" s="7">
        <f>IF(預測IC!AZ23&gt;預測IC!AZ$25,1,0)</f>
        <v>1</v>
      </c>
      <c r="BA23" s="7">
        <f>IF(預測IC!BA23&gt;預測IC!BA$25,1,0)</f>
        <v>1</v>
      </c>
      <c r="BB23" s="7">
        <f>IF(預測IC!BB23&gt;預測IC!BB$25,1,0)</f>
        <v>1</v>
      </c>
      <c r="BC23" s="7">
        <f>IF(預測IC!BC23&gt;預測IC!BC$25,1,0)</f>
        <v>0</v>
      </c>
      <c r="BD23" s="7">
        <f>IF(預測IC!BD23&gt;預測IC!BD$25,1,0)</f>
        <v>1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0</v>
      </c>
      <c r="BH23" s="7">
        <f>IF(預測IC!BH23&gt;預測IC!BH$25,1,0)</f>
        <v>1</v>
      </c>
      <c r="BI23" s="7">
        <f>IF(預測IC!BI23&gt;預測IC!BI$25,1,0)</f>
        <v>1</v>
      </c>
      <c r="BJ23" s="7">
        <f>IF(預測IC!BJ23&gt;預測IC!BJ$25,1,0)</f>
        <v>1</v>
      </c>
      <c r="BK23" s="7">
        <f>IF(預測IC!BK23&gt;預測IC!BK$25,1,0)</f>
        <v>1</v>
      </c>
      <c r="BL23" s="7">
        <f>IF(預測IC!BL23&gt;預測IC!BL$25,1,0)</f>
        <v>0</v>
      </c>
      <c r="BM23" s="7">
        <f>IF(預測IC!BM23&gt;預測IC!BM$25,1,0)</f>
        <v>0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1</v>
      </c>
      <c r="BS23" s="7">
        <f>IF(預測IC!BS23&gt;預測IC!BS$25,1,0)</f>
        <v>0</v>
      </c>
      <c r="BT23" s="7">
        <f>IF(預測IC!BT23&gt;預測IC!BT$25,1,0)</f>
        <v>0</v>
      </c>
      <c r="BU23" s="7">
        <f>IF(預測IC!BU23&gt;預測IC!BU$25,1,0)</f>
        <v>0</v>
      </c>
      <c r="BV23" s="7">
        <f>IF(預測IC!BV23&gt;預測IC!BV$25,1,0)</f>
        <v>0</v>
      </c>
      <c r="BW23" s="7">
        <f>IF(預測IC!BW23&gt;預測IC!BW$25,1,0)</f>
        <v>1</v>
      </c>
      <c r="BX23" s="7">
        <f>IF(預測IC!BX23&gt;預測IC!BX$25,1,0)</f>
        <v>0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1</v>
      </c>
      <c r="CB23" s="7">
        <f>IF(預測IC!CB23&gt;預測IC!CB$25,1,0)</f>
        <v>1</v>
      </c>
      <c r="CC23" s="7">
        <f>IF(預測IC!CC23&gt;預測IC!CC$25,1,0)</f>
        <v>0</v>
      </c>
      <c r="CD23" s="7">
        <f>IF(預測IC!CD23&gt;預測IC!CD$25,1,0)</f>
        <v>1</v>
      </c>
      <c r="CE23" s="7">
        <f>IF(預測IC!CE23&gt;預測IC!CE$25,1,0)</f>
        <v>1</v>
      </c>
      <c r="CF23" s="7">
        <f>IF(預測IC!CF23&gt;預測IC!CF$25,1,0)</f>
        <v>0</v>
      </c>
      <c r="CG23" s="7">
        <f>IF(預測IC!CG23&gt;預測IC!CG$25,1,0)</f>
        <v>1</v>
      </c>
      <c r="CH23" s="7">
        <f>IF(預測IC!CH23&gt;預測IC!CH$25,1,0)</f>
        <v>1</v>
      </c>
      <c r="CI23" s="7">
        <f>IF(預測IC!CI23&gt;預測IC!CI$25,1,0)</f>
        <v>0</v>
      </c>
      <c r="CJ23" s="7">
        <f>IF(預測IC!CJ23&gt;預測IC!CJ$25,1,0)</f>
        <v>0</v>
      </c>
      <c r="CK23" s="7">
        <f>IF(預測IC!CK23&gt;預測IC!CK$25,1,0)</f>
        <v>0</v>
      </c>
      <c r="CL23" s="7">
        <f>IF(預測IC!CL23&gt;預測IC!CL$25,1,0)</f>
        <v>1</v>
      </c>
      <c r="CM23" s="7">
        <f>IF(預測IC!CM23&gt;預測IC!CM$25,1,0)</f>
        <v>0</v>
      </c>
      <c r="CN23" s="7">
        <f>IF(預測IC!CN23&gt;預測IC!CN$25,1,0)</f>
        <v>1</v>
      </c>
      <c r="CO23" s="7">
        <f>IF(預測IC!CO23&gt;預測IC!CO$25,1,0)</f>
        <v>1</v>
      </c>
      <c r="CP23" s="7">
        <f>IF(預測IC!CP23&gt;預測IC!CP$25,1,0)</f>
        <v>0</v>
      </c>
      <c r="CQ23" s="7">
        <f>IF(預測IC!CQ23&gt;預測IC!CQ$25,1,0)</f>
        <v>0</v>
      </c>
      <c r="CR23" s="7">
        <f>IF(預測IC!CR23&gt;預測IC!CR$25,1,0)</f>
        <v>0</v>
      </c>
      <c r="CS23" s="7">
        <f>IF(預測IC!CS23&gt;預測IC!CS$25,1,0)</f>
        <v>1</v>
      </c>
      <c r="CT23" s="7">
        <f>IF(預測IC!CT23&gt;預測IC!CT$25,1,0)</f>
        <v>1</v>
      </c>
      <c r="CU23" s="7">
        <f>IF(預測IC!CU23&gt;預測IC!CU$25,1,0)</f>
        <v>1</v>
      </c>
      <c r="CV23" s="7">
        <f>IF(預測IC!CV23&gt;預測IC!CV$25,1,0)</f>
        <v>0</v>
      </c>
      <c r="CW23" s="7">
        <f>IF(預測IC!CW23&gt;預測IC!CW$25,1,0)</f>
        <v>1</v>
      </c>
      <c r="CX23" s="7">
        <f>IF(預測IC!CX23&gt;預測IC!CX$25,1,0)</f>
        <v>1</v>
      </c>
      <c r="CY23" s="7">
        <f>IF(預測IC!CY23&gt;預測IC!CY$25,1,0)</f>
        <v>1</v>
      </c>
      <c r="CZ23" s="7">
        <f>IF(預測IC!CZ23&gt;預測IC!CZ$25,1,0)</f>
        <v>1</v>
      </c>
      <c r="DA23" s="7">
        <f>IF(預測IC!DA23&gt;預測IC!DA$25,1,0)</f>
        <v>0</v>
      </c>
      <c r="DB23" s="7">
        <f>IF(預測IC!DB23&gt;預測IC!DB$25,1,0)</f>
        <v>0</v>
      </c>
      <c r="DC23" s="7">
        <f>IF(預測IC!DC23&gt;預測IC!DC$25,1,0)</f>
        <v>1</v>
      </c>
      <c r="DD23" s="7">
        <f>IF(預測IC!DD23&gt;預測IC!DD$25,1,0)</f>
        <v>1</v>
      </c>
      <c r="DE23" s="7">
        <f>IF(預測IC!DE23&gt;預測IC!DE$25,1,0)</f>
        <v>0</v>
      </c>
      <c r="DF23" s="7">
        <f>IF(預測IC!DF23&gt;預測IC!DF$25,1,0)</f>
        <v>1</v>
      </c>
      <c r="DG23" s="7">
        <f>IF(預測IC!DG23&gt;預測IC!DG$25,1,0)</f>
        <v>0</v>
      </c>
      <c r="DH23" s="7">
        <f>IF(預測IC!DH23&gt;預測IC!DH$25,1,0)</f>
        <v>1</v>
      </c>
      <c r="DI23" s="7">
        <f>IF(預測IC!DI23&gt;預測IC!DI$25,1,0)</f>
        <v>1</v>
      </c>
      <c r="DJ23" s="7">
        <f>IF(預測IC!DJ23&gt;預測IC!DJ$25,1,0)</f>
        <v>0</v>
      </c>
      <c r="DK23" s="7">
        <f>IF(預測IC!DK23&gt;預測IC!DK$25,1,0)</f>
        <v>0</v>
      </c>
      <c r="DL23" s="7">
        <f>IF(預測IC!DL23&gt;預測IC!DL$25,1,0)</f>
        <v>0</v>
      </c>
      <c r="DM23" s="7">
        <f>IF(預測IC!DM23&gt;預測IC!DM$25,1,0)</f>
        <v>1</v>
      </c>
      <c r="DN23" s="7">
        <f>IF(預測IC!DN23&gt;預測IC!DN$25,1,0)</f>
        <v>0</v>
      </c>
      <c r="DO23" s="7">
        <f>IF(預測IC!DO23&gt;預測IC!DO$25,1,0)</f>
        <v>1</v>
      </c>
      <c r="DP23" s="7">
        <f>IF(預測IC!DP23&gt;預測IC!DP$25,1,0)</f>
        <v>0</v>
      </c>
      <c r="DQ23" s="7">
        <f>IF(預測IC!DQ23&gt;預測IC!DQ$25,1,0)</f>
        <v>0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0</v>
      </c>
      <c r="DV23" s="7">
        <f>IF(預測IC!DV23&gt;預測IC!DV$25,1,0)</f>
        <v>1</v>
      </c>
      <c r="DW23" s="7">
        <f>IF(預測IC!DW23&gt;預測IC!DW$25,1,0)</f>
        <v>0</v>
      </c>
      <c r="DX23" s="7">
        <f>IF(預測IC!DX23&gt;預測IC!DX$25,1,0)</f>
        <v>0</v>
      </c>
      <c r="DY23" s="7">
        <f>IF(預測IC!DY23&gt;預測IC!DY$25,1,0)</f>
        <v>1</v>
      </c>
      <c r="DZ23" s="7">
        <f>IF(預測IC!DZ23&gt;預測IC!DZ$25,1,0)</f>
        <v>0</v>
      </c>
      <c r="EA23" s="7">
        <f>IF(預測IC!EA23&gt;預測IC!EA$25,1,0)</f>
        <v>0</v>
      </c>
      <c r="EB23" s="7">
        <f>IF(預測IC!EB23&gt;預測IC!EB$25,1,0)</f>
        <v>0</v>
      </c>
      <c r="EC23" s="7">
        <f>IF(預測IC!EC23&gt;預測IC!EC$25,1,0)</f>
        <v>0</v>
      </c>
      <c r="ED23" s="7">
        <f>IF(預測IC!ED23&gt;預測IC!ED$25,1,0)</f>
        <v>1</v>
      </c>
      <c r="EE23" s="7">
        <f>IF(預測IC!EE23&gt;預測IC!EE$25,1,0)</f>
        <v>0</v>
      </c>
      <c r="EF23" s="7">
        <f>IF(預測IC!EF23&gt;預測IC!EF$25,1,0)</f>
        <v>0</v>
      </c>
      <c r="EG23">
        <f t="shared" si="10"/>
        <v>64</v>
      </c>
      <c r="EH23" s="11">
        <f t="shared" si="11"/>
        <v>0.47761194029850745</v>
      </c>
    </row>
    <row r="24" spans="1:138" x14ac:dyDescent="0.3">
      <c r="A24" s="1">
        <v>964</v>
      </c>
      <c r="B24" s="1">
        <v>1</v>
      </c>
      <c r="C24" s="7">
        <f>IF(預測IC!C24&gt;預測IC!C$25,1,0)</f>
        <v>0</v>
      </c>
      <c r="D24" s="7">
        <f>IF(預測IC!D24&gt;預測IC!D$25,1,0)</f>
        <v>1</v>
      </c>
      <c r="E24" s="7">
        <f>IF(預測IC!E24&gt;預測IC!E$25,1,0)</f>
        <v>1</v>
      </c>
      <c r="F24" s="7">
        <f>IF(預測IC!F24&gt;預測IC!F$25,1,0)</f>
        <v>1</v>
      </c>
      <c r="G24" s="7">
        <f>IF(預測IC!G24&gt;預測IC!G$25,1,0)</f>
        <v>1</v>
      </c>
      <c r="H24" s="7">
        <f>IF(預測IC!H24&gt;預測IC!H$25,1,0)</f>
        <v>1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1</v>
      </c>
      <c r="M24" s="7">
        <f>IF(預測IC!M24&gt;預測IC!M$25,1,0)</f>
        <v>0</v>
      </c>
      <c r="N24" s="7">
        <f>IF(預測IC!N24&gt;預測IC!N$25,1,0)</f>
        <v>1</v>
      </c>
      <c r="O24" s="7">
        <f>IF(預測IC!O24&gt;預測IC!O$25,1,0)</f>
        <v>1</v>
      </c>
      <c r="P24" s="7">
        <f>IF(預測IC!P24&gt;預測IC!P$25,1,0)</f>
        <v>0</v>
      </c>
      <c r="Q24" s="7">
        <f>IF(預測IC!Q24&gt;預測IC!Q$25,1,0)</f>
        <v>1</v>
      </c>
      <c r="R24" s="7">
        <f>IF(預測IC!R24&gt;預測IC!R$25,1,0)</f>
        <v>0</v>
      </c>
      <c r="S24" s="7">
        <f>IF(預測IC!S24&gt;預測IC!S$25,1,0)</f>
        <v>1</v>
      </c>
      <c r="T24" s="7">
        <f>IF(預測IC!T24&gt;預測IC!T$25,1,0)</f>
        <v>0</v>
      </c>
      <c r="U24" s="7">
        <f>IF(預測IC!U24&gt;預測IC!U$25,1,0)</f>
        <v>1</v>
      </c>
      <c r="V24" s="7">
        <f>IF(預測IC!V24&gt;預測IC!V$25,1,0)</f>
        <v>0</v>
      </c>
      <c r="W24" s="7">
        <f>IF(預測IC!W24&gt;預測IC!W$25,1,0)</f>
        <v>0</v>
      </c>
      <c r="X24" s="7">
        <f>IF(預測IC!X24&gt;預測IC!X$25,1,0)</f>
        <v>0</v>
      </c>
      <c r="Y24" s="7">
        <f>IF(預測IC!Y24&gt;預測IC!Y$25,1,0)</f>
        <v>0</v>
      </c>
      <c r="Z24" s="7">
        <f>IF(預測IC!Z24&gt;預測IC!Z$25,1,0)</f>
        <v>0</v>
      </c>
      <c r="AA24" s="7">
        <f>IF(預測IC!AA24&gt;預測IC!AA$25,1,0)</f>
        <v>1</v>
      </c>
      <c r="AB24" s="7">
        <f>IF(預測IC!AB24&gt;預測IC!AB$25,1,0)</f>
        <v>0</v>
      </c>
      <c r="AC24" s="7">
        <f>IF(預測IC!AC24&gt;預測IC!AC$25,1,0)</f>
        <v>0</v>
      </c>
      <c r="AD24" s="7">
        <f>IF(預測IC!AD24&gt;預測IC!AD$25,1,0)</f>
        <v>1</v>
      </c>
      <c r="AE24" s="7">
        <f>IF(預測IC!AE24&gt;預測IC!AE$25,1,0)</f>
        <v>0</v>
      </c>
      <c r="AF24" s="7">
        <f>IF(預測IC!AF24&gt;預測IC!AF$25,1,0)</f>
        <v>0</v>
      </c>
      <c r="AG24" s="7">
        <f>IF(預測IC!AG24&gt;預測IC!AG$25,1,0)</f>
        <v>0</v>
      </c>
      <c r="AH24" s="7">
        <f>IF(預測IC!AH24&gt;預測IC!AH$25,1,0)</f>
        <v>0</v>
      </c>
      <c r="AI24" s="7">
        <f>IF(預測IC!AI24&gt;預測IC!AI$25,1,0)</f>
        <v>0</v>
      </c>
      <c r="AJ24" s="7">
        <f>IF(預測IC!AJ24&gt;預測IC!AJ$25,1,0)</f>
        <v>0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1</v>
      </c>
      <c r="AP24" s="7">
        <f>IF(預測IC!AP24&gt;預測IC!AP$25,1,0)</f>
        <v>0</v>
      </c>
      <c r="AQ24" s="7">
        <f>IF(預測IC!AQ24&gt;預測IC!AQ$25,1,0)</f>
        <v>1</v>
      </c>
      <c r="AR24" s="7">
        <f>IF(預測IC!AR24&gt;預測IC!AR$25,1,0)</f>
        <v>0</v>
      </c>
      <c r="AS24" s="7">
        <f>IF(預測IC!AS24&gt;預測IC!AS$25,1,0)</f>
        <v>0</v>
      </c>
      <c r="AT24" s="7">
        <f>IF(預測IC!AT24&gt;預測IC!AT$25,1,0)</f>
        <v>0</v>
      </c>
      <c r="AU24" s="7">
        <f>IF(預測IC!AU24&gt;預測IC!AU$25,1,0)</f>
        <v>1</v>
      </c>
      <c r="AV24" s="7">
        <f>IF(預測IC!AV24&gt;預測IC!AV$25,1,0)</f>
        <v>0</v>
      </c>
      <c r="AW24" s="7">
        <f>IF(預測IC!AW24&gt;預測IC!AW$25,1,0)</f>
        <v>1</v>
      </c>
      <c r="AX24" s="7">
        <f>IF(預測IC!AX24&gt;預測IC!AX$25,1,0)</f>
        <v>1</v>
      </c>
      <c r="AY24" s="7">
        <f>IF(預測IC!AY24&gt;預測IC!AY$25,1,0)</f>
        <v>0</v>
      </c>
      <c r="AZ24" s="7">
        <f>IF(預測IC!AZ24&gt;預測IC!AZ$25,1,0)</f>
        <v>1</v>
      </c>
      <c r="BA24" s="7">
        <f>IF(預測IC!BA24&gt;預測IC!BA$25,1,0)</f>
        <v>1</v>
      </c>
      <c r="BB24" s="7">
        <f>IF(預測IC!BB24&gt;預測IC!BB$25,1,0)</f>
        <v>1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0</v>
      </c>
      <c r="BF24" s="7">
        <f>IF(預測IC!BF24&gt;預測IC!BF$25,1,0)</f>
        <v>0</v>
      </c>
      <c r="BG24" s="7">
        <f>IF(預測IC!BG24&gt;預測IC!BG$25,1,0)</f>
        <v>0</v>
      </c>
      <c r="BH24" s="7">
        <f>IF(預測IC!BH24&gt;預測IC!BH$25,1,0)</f>
        <v>1</v>
      </c>
      <c r="BI24" s="7">
        <f>IF(預測IC!BI24&gt;預測IC!BI$25,1,0)</f>
        <v>1</v>
      </c>
      <c r="BJ24" s="7">
        <f>IF(預測IC!BJ24&gt;預測IC!BJ$25,1,0)</f>
        <v>1</v>
      </c>
      <c r="BK24" s="7">
        <f>IF(預測IC!BK24&gt;預測IC!BK$25,1,0)</f>
        <v>1</v>
      </c>
      <c r="BL24" s="7">
        <f>IF(預測IC!BL24&gt;預測IC!BL$25,1,0)</f>
        <v>0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1</v>
      </c>
      <c r="BP24" s="7">
        <f>IF(預測IC!BP24&gt;預測IC!BP$25,1,0)</f>
        <v>0</v>
      </c>
      <c r="BQ24" s="7">
        <f>IF(預測IC!BQ24&gt;預測IC!BQ$25,1,0)</f>
        <v>0</v>
      </c>
      <c r="BR24" s="7">
        <f>IF(預測IC!BR24&gt;預測IC!BR$25,1,0)</f>
        <v>1</v>
      </c>
      <c r="BS24" s="7">
        <f>IF(預測IC!BS24&gt;預測IC!BS$25,1,0)</f>
        <v>0</v>
      </c>
      <c r="BT24" s="7">
        <f>IF(預測IC!BT24&gt;預測IC!BT$25,1,0)</f>
        <v>0</v>
      </c>
      <c r="BU24" s="7">
        <f>IF(預測IC!BU24&gt;預測IC!BU$25,1,0)</f>
        <v>0</v>
      </c>
      <c r="BV24" s="7">
        <f>IF(預測IC!BV24&gt;預測IC!BV$25,1,0)</f>
        <v>0</v>
      </c>
      <c r="BW24" s="7">
        <f>IF(預測IC!BW24&gt;預測IC!BW$25,1,0)</f>
        <v>1</v>
      </c>
      <c r="BX24" s="7">
        <f>IF(預測IC!BX24&gt;預測IC!BX$25,1,0)</f>
        <v>0</v>
      </c>
      <c r="BY24" s="7">
        <f>IF(預測IC!BY24&gt;預測IC!BY$25,1,0)</f>
        <v>0</v>
      </c>
      <c r="BZ24" s="7">
        <f>IF(預測IC!BZ24&gt;預測IC!BZ$25,1,0)</f>
        <v>1</v>
      </c>
      <c r="CA24" s="7">
        <f>IF(預測IC!CA24&gt;預測IC!CA$25,1,0)</f>
        <v>1</v>
      </c>
      <c r="CB24" s="7">
        <f>IF(預測IC!CB24&gt;預測IC!CB$25,1,0)</f>
        <v>1</v>
      </c>
      <c r="CC24" s="7">
        <f>IF(預測IC!CC24&gt;預測IC!CC$25,1,0)</f>
        <v>0</v>
      </c>
      <c r="CD24" s="7">
        <f>IF(預測IC!CD24&gt;預測IC!CD$25,1,0)</f>
        <v>1</v>
      </c>
      <c r="CE24" s="7">
        <f>IF(預測IC!CE24&gt;預測IC!CE$25,1,0)</f>
        <v>1</v>
      </c>
      <c r="CF24" s="7">
        <f>IF(預測IC!CF24&gt;預測IC!CF$25,1,0)</f>
        <v>0</v>
      </c>
      <c r="CG24" s="7">
        <f>IF(預測IC!CG24&gt;預測IC!CG$25,1,0)</f>
        <v>1</v>
      </c>
      <c r="CH24" s="7">
        <f>IF(預測IC!CH24&gt;預測IC!CH$25,1,0)</f>
        <v>1</v>
      </c>
      <c r="CI24" s="7">
        <f>IF(預測IC!CI24&gt;預測IC!CI$25,1,0)</f>
        <v>0</v>
      </c>
      <c r="CJ24" s="7">
        <f>IF(預測IC!CJ24&gt;預測IC!CJ$25,1,0)</f>
        <v>1</v>
      </c>
      <c r="CK24" s="7">
        <f>IF(預測IC!CK24&gt;預測IC!CK$25,1,0)</f>
        <v>1</v>
      </c>
      <c r="CL24" s="7">
        <f>IF(預測IC!CL24&gt;預測IC!CL$25,1,0)</f>
        <v>1</v>
      </c>
      <c r="CM24" s="7">
        <f>IF(預測IC!CM24&gt;預測IC!CM$25,1,0)</f>
        <v>0</v>
      </c>
      <c r="CN24" s="7">
        <f>IF(預測IC!CN24&gt;預測IC!CN$25,1,0)</f>
        <v>0</v>
      </c>
      <c r="CO24" s="7">
        <f>IF(預測IC!CO24&gt;預測IC!CO$25,1,0)</f>
        <v>1</v>
      </c>
      <c r="CP24" s="7">
        <f>IF(預測IC!CP24&gt;預測IC!CP$25,1,0)</f>
        <v>0</v>
      </c>
      <c r="CQ24" s="7">
        <f>IF(預測IC!CQ24&gt;預測IC!CQ$25,1,0)</f>
        <v>0</v>
      </c>
      <c r="CR24" s="7">
        <f>IF(預測IC!CR24&gt;預測IC!CR$25,1,0)</f>
        <v>0</v>
      </c>
      <c r="CS24" s="7">
        <f>IF(預測IC!CS24&gt;預測IC!CS$25,1,0)</f>
        <v>0</v>
      </c>
      <c r="CT24" s="7">
        <f>IF(預測IC!CT24&gt;預測IC!CT$25,1,0)</f>
        <v>0</v>
      </c>
      <c r="CU24" s="7">
        <f>IF(預測IC!CU24&gt;預測IC!CU$25,1,0)</f>
        <v>0</v>
      </c>
      <c r="CV24" s="7">
        <f>IF(預測IC!CV24&gt;預測IC!CV$25,1,0)</f>
        <v>1</v>
      </c>
      <c r="CW24" s="7">
        <f>IF(預測IC!CW24&gt;預測IC!CW$25,1,0)</f>
        <v>0</v>
      </c>
      <c r="CX24" s="7">
        <f>IF(預測IC!CX24&gt;預測IC!CX$25,1,0)</f>
        <v>1</v>
      </c>
      <c r="CY24" s="7">
        <f>IF(預測IC!CY24&gt;預測IC!CY$25,1,0)</f>
        <v>1</v>
      </c>
      <c r="CZ24" s="7">
        <f>IF(預測IC!CZ24&gt;預測IC!CZ$25,1,0)</f>
        <v>1</v>
      </c>
      <c r="DA24" s="7">
        <f>IF(預測IC!DA24&gt;預測IC!DA$25,1,0)</f>
        <v>1</v>
      </c>
      <c r="DB24" s="7">
        <f>IF(預測IC!DB24&gt;預測IC!DB$25,1,0)</f>
        <v>0</v>
      </c>
      <c r="DC24" s="7">
        <f>IF(預測IC!DC24&gt;預測IC!DC$25,1,0)</f>
        <v>1</v>
      </c>
      <c r="DD24" s="7">
        <f>IF(預測IC!DD24&gt;預測IC!DD$25,1,0)</f>
        <v>1</v>
      </c>
      <c r="DE24" s="7">
        <f>IF(預測IC!DE24&gt;預測IC!DE$25,1,0)</f>
        <v>0</v>
      </c>
      <c r="DF24" s="7">
        <f>IF(預測IC!DF24&gt;預測IC!DF$25,1,0)</f>
        <v>0</v>
      </c>
      <c r="DG24" s="7">
        <f>IF(預測IC!DG24&gt;預測IC!DG$25,1,0)</f>
        <v>0</v>
      </c>
      <c r="DH24" s="7">
        <f>IF(預測IC!DH24&gt;預測IC!DH$25,1,0)</f>
        <v>1</v>
      </c>
      <c r="DI24" s="7">
        <f>IF(預測IC!DI24&gt;預測IC!DI$25,1,0)</f>
        <v>1</v>
      </c>
      <c r="DJ24" s="7">
        <f>IF(預測IC!DJ24&gt;預測IC!DJ$25,1,0)</f>
        <v>0</v>
      </c>
      <c r="DK24" s="7">
        <f>IF(預測IC!DK24&gt;預測IC!DK$25,1,0)</f>
        <v>0</v>
      </c>
      <c r="DL24" s="7">
        <f>IF(預測IC!DL24&gt;預測IC!DL$25,1,0)</f>
        <v>0</v>
      </c>
      <c r="DM24" s="7">
        <f>IF(預測IC!DM24&gt;預測IC!DM$25,1,0)</f>
        <v>0</v>
      </c>
      <c r="DN24" s="7">
        <f>IF(預測IC!DN24&gt;預測IC!DN$25,1,0)</f>
        <v>0</v>
      </c>
      <c r="DO24" s="7">
        <f>IF(預測IC!DO24&gt;預測IC!DO$25,1,0)</f>
        <v>1</v>
      </c>
      <c r="DP24" s="7">
        <f>IF(預測IC!DP24&gt;預測IC!DP$25,1,0)</f>
        <v>0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1</v>
      </c>
      <c r="DW24" s="7">
        <f>IF(預測IC!DW24&gt;預測IC!DW$25,1,0)</f>
        <v>1</v>
      </c>
      <c r="DX24" s="7">
        <f>IF(預測IC!DX24&gt;預測IC!DX$25,1,0)</f>
        <v>0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1</v>
      </c>
      <c r="EB24" s="7">
        <f>IF(預測IC!EB24&gt;預測IC!EB$25,1,0)</f>
        <v>0</v>
      </c>
      <c r="EC24" s="7">
        <f>IF(預測IC!EC24&gt;預測IC!EC$25,1,0)</f>
        <v>1</v>
      </c>
      <c r="ED24" s="7">
        <f>IF(預測IC!ED24&gt;預測IC!ED$25,1,0)</f>
        <v>0</v>
      </c>
      <c r="EE24" s="7">
        <f>IF(預測IC!EE24&gt;預測IC!EE$25,1,0)</f>
        <v>0</v>
      </c>
      <c r="EF24" s="7">
        <f>IF(預測IC!EF24&gt;預測IC!EF$25,1,0)</f>
        <v>1</v>
      </c>
      <c r="EG24">
        <f t="shared" si="10"/>
        <v>60</v>
      </c>
      <c r="EH24" s="11">
        <f t="shared" si="11"/>
        <v>0.44029850746268656</v>
      </c>
    </row>
    <row r="25" spans="1:138" s="12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25"/>
  <sheetViews>
    <sheetView zoomScale="79" workbookViewId="0"/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7" x14ac:dyDescent="0.3">
      <c r="A1" t="str">
        <f>預測IC!A1</f>
        <v>NN4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FF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f>C12+預測IC!D12</f>
        <v>0.19934197579322305</v>
      </c>
      <c r="E12" s="7">
        <f>D12+預測IC!E12</f>
        <v>0.19258794743486513</v>
      </c>
      <c r="F12" s="7">
        <f>E12+預測IC!F12</f>
        <v>0.20600905182442358</v>
      </c>
      <c r="G12" s="7">
        <f>F12+預測IC!G12</f>
        <v>0.21773371960044829</v>
      </c>
      <c r="H12" s="7">
        <f>G12+預測IC!H12</f>
        <v>0.2562642318503362</v>
      </c>
      <c r="I12" s="7">
        <f>H12+預測IC!I12</f>
        <v>0.29256816869938823</v>
      </c>
      <c r="J12" s="7">
        <f>I12+預測IC!J12</f>
        <v>0.26316004586039837</v>
      </c>
      <c r="K12" s="7">
        <f>J12+預測IC!K12</f>
        <v>0.28193442599772955</v>
      </c>
      <c r="L12" s="7">
        <f>K12+預測IC!L12</f>
        <v>0.24004348494775588</v>
      </c>
      <c r="M12" s="7">
        <f>L12+預測IC!M12</f>
        <v>0.23964700793983282</v>
      </c>
      <c r="N12" s="7">
        <f>M12+預測IC!N12</f>
        <v>0.30897399471818565</v>
      </c>
      <c r="O12" s="7">
        <f>N12+預測IC!O12</f>
        <v>0.32760388336416463</v>
      </c>
      <c r="P12" s="7">
        <f>O12+預測IC!P12</f>
        <v>0.32783385465209919</v>
      </c>
      <c r="Q12" s="7">
        <f>P12+預測IC!Q12</f>
        <v>0.36310374010457758</v>
      </c>
      <c r="R12" s="7">
        <f>Q12+預測IC!R12</f>
        <v>0.36976662389981446</v>
      </c>
      <c r="S12" s="7">
        <f>R12+預測IC!S12</f>
        <v>0.35329422915788244</v>
      </c>
      <c r="T12" s="7">
        <f>S12+預測IC!T12</f>
        <v>0.34555442908886946</v>
      </c>
      <c r="U12" s="7">
        <f>T12+預測IC!U12</f>
        <v>0.32937583020599059</v>
      </c>
      <c r="V12" s="7">
        <f>U12+預測IC!V12</f>
        <v>0.33558030027533503</v>
      </c>
      <c r="W12" s="7">
        <f>V12+預測IC!W12</f>
        <v>0.39961971526071605</v>
      </c>
      <c r="X12" s="7">
        <f>W12+預測IC!X12</f>
        <v>0.42669360568526316</v>
      </c>
      <c r="Y12" s="7">
        <f>X12+預測IC!Y12</f>
        <v>0.44213397409882393</v>
      </c>
      <c r="Z12" s="7">
        <f>Y12+預測IC!Z12</f>
        <v>0.44729988170862744</v>
      </c>
      <c r="AA12" s="7">
        <f>Z12+預測IC!AA12</f>
        <v>0.40789622030751566</v>
      </c>
      <c r="AB12" s="7">
        <f>AA12+預測IC!AB12</f>
        <v>0.40418480189218225</v>
      </c>
      <c r="AC12" s="7">
        <f>AB12+預測IC!AC12</f>
        <v>0.40935218165263881</v>
      </c>
      <c r="AD12" s="7">
        <f>AC12+預測IC!AD12</f>
        <v>0.41874442498431858</v>
      </c>
      <c r="AE12" s="7">
        <f>AD12+預測IC!AE12</f>
        <v>0.36042746191321973</v>
      </c>
      <c r="AF12" s="7">
        <f>AE12+預測IC!AF12</f>
        <v>0.40660897083305325</v>
      </c>
      <c r="AG12" s="7">
        <f>AF12+預測IC!AG12</f>
        <v>0.37662682590032887</v>
      </c>
      <c r="AH12" s="7">
        <f>AG12+預測IC!AH12</f>
        <v>0.39003263054996207</v>
      </c>
      <c r="AI12" s="7">
        <f>AH12+預測IC!AI12</f>
        <v>0.40953868173014801</v>
      </c>
      <c r="AJ12" s="7">
        <f>AI12+預測IC!AJ12</f>
        <v>0.42252242927620259</v>
      </c>
      <c r="AK12" s="7">
        <f>AJ12+預測IC!AK12</f>
        <v>0.470646133428337</v>
      </c>
      <c r="AL12" s="7">
        <f>AK12+預測IC!AL12</f>
        <v>0.48850513645025906</v>
      </c>
      <c r="AM12" s="7">
        <f>AL12+預測IC!AM12</f>
        <v>0.51859125206285694</v>
      </c>
      <c r="AN12" s="7">
        <f>AM12+預測IC!AN12</f>
        <v>0.58782448637628548</v>
      </c>
      <c r="AO12" s="7">
        <f>AN12+預測IC!AO12</f>
        <v>0.59005327941595853</v>
      </c>
      <c r="AP12" s="7">
        <f>AO12+預測IC!AP12</f>
        <v>0.55633493463410932</v>
      </c>
      <c r="AQ12" s="7">
        <f>AP12+預測IC!AQ12</f>
        <v>0.54871299824552555</v>
      </c>
      <c r="AR12" s="7">
        <f>AQ12+預測IC!AR12</f>
        <v>0.54120857015676549</v>
      </c>
      <c r="AS12" s="7">
        <f>AR12+預測IC!AS12</f>
        <v>0.56030828861146609</v>
      </c>
      <c r="AT12" s="7">
        <f>AS12+預測IC!AT12</f>
        <v>0.53801162811012715</v>
      </c>
      <c r="AU12" s="7">
        <f>AT12+預測IC!AU12</f>
        <v>0.55872028679100261</v>
      </c>
      <c r="AV12" s="7">
        <f>AU12+預測IC!AV12</f>
        <v>0.53693039156657607</v>
      </c>
      <c r="AW12" s="7">
        <f>AV12+預測IC!AW12</f>
        <v>0.53755186858459214</v>
      </c>
      <c r="AX12" s="7">
        <f>AW12+預測IC!AX12</f>
        <v>0.58115033583801501</v>
      </c>
      <c r="AY12" s="7">
        <f>AX12+預測IC!AY12</f>
        <v>0.57343618656367168</v>
      </c>
      <c r="AZ12" s="7">
        <f>AY12+預測IC!AZ12</f>
        <v>0.63999998974296357</v>
      </c>
      <c r="BA12" s="7">
        <f>AZ12+預測IC!BA12</f>
        <v>0.71127614602389855</v>
      </c>
      <c r="BB12" s="7">
        <f>BA12+預測IC!BB12</f>
        <v>0.71706154093817376</v>
      </c>
      <c r="BC12" s="7">
        <f>BB12+預測IC!BC12</f>
        <v>0.72063681183077732</v>
      </c>
      <c r="BD12" s="7">
        <f>BC12+預測IC!BD12</f>
        <v>0.76987043345174822</v>
      </c>
      <c r="BE12" s="7">
        <f>BD12+預測IC!BE12</f>
        <v>0.72427188846668111</v>
      </c>
      <c r="BF12" s="7">
        <f>BE12+預測IC!BF12</f>
        <v>0.70067082851807805</v>
      </c>
      <c r="BG12" s="7">
        <f>BF12+預測IC!BG12</f>
        <v>0.71067488717202976</v>
      </c>
      <c r="BH12" s="7">
        <f>BG12+預測IC!BH12</f>
        <v>0.6964515271607078</v>
      </c>
      <c r="BI12" s="7">
        <f>BH12+預測IC!BI12</f>
        <v>0.71728928849662066</v>
      </c>
      <c r="BJ12" s="7">
        <f>BI12+預測IC!BJ12</f>
        <v>0.76071178760429303</v>
      </c>
      <c r="BK12" s="7">
        <f>BJ12+預測IC!BK12</f>
        <v>0.74063613560101493</v>
      </c>
      <c r="BL12" s="7">
        <f>BK12+預測IC!BL12</f>
        <v>0.75169650431205426</v>
      </c>
      <c r="BM12" s="7">
        <f>BL12+預測IC!BM12</f>
        <v>0.72152459577506478</v>
      </c>
      <c r="BN12" s="7">
        <f>BM12+預測IC!BN12</f>
        <v>0.70202205756494507</v>
      </c>
      <c r="BO12" s="7">
        <f>BN12+預測IC!BO12</f>
        <v>0.7189358265642759</v>
      </c>
      <c r="BP12" s="7">
        <f>BO12+預測IC!BP12</f>
        <v>0.6925138692301086</v>
      </c>
      <c r="BQ12" s="7">
        <f>BP12+預測IC!BQ12</f>
        <v>0.70641061884885525</v>
      </c>
      <c r="BR12" s="7">
        <f>BQ12+預測IC!BR12</f>
        <v>0.70414961039545643</v>
      </c>
      <c r="BS12" s="7">
        <f>BR12+預測IC!BS12</f>
        <v>0.72301290377985239</v>
      </c>
      <c r="BT12" s="7">
        <f>BS12+預測IC!BT12</f>
        <v>0.70172480654775371</v>
      </c>
      <c r="BU12" s="7">
        <f>BT12+預測IC!BU12</f>
        <v>0.65364143697157806</v>
      </c>
      <c r="BV12" s="7">
        <f>BU12+預測IC!BV12</f>
        <v>0.68569466314197258</v>
      </c>
      <c r="BW12" s="7">
        <f>BV12+預測IC!BW12</f>
        <v>0.74118222265160816</v>
      </c>
      <c r="BX12" s="7">
        <f>BW12+預測IC!BX12</f>
        <v>0.75716637429233813</v>
      </c>
      <c r="BY12" s="7">
        <f>BX12+預測IC!BY12</f>
        <v>0.71135038805950779</v>
      </c>
      <c r="BZ12" s="7">
        <f>BY12+預測IC!BZ12</f>
        <v>0.75670733375078081</v>
      </c>
      <c r="CA12" s="7">
        <f>BZ12+預測IC!CA12</f>
        <v>0.77128789130418363</v>
      </c>
      <c r="CB12" s="7">
        <f>CA12+預測IC!CB12</f>
        <v>0.84376376737636294</v>
      </c>
      <c r="CC12" s="7">
        <f>CB12+預測IC!CC12</f>
        <v>0.90933038000405286</v>
      </c>
      <c r="CD12" s="7">
        <f>CC12+預測IC!CD12</f>
        <v>1.0202640135885053</v>
      </c>
      <c r="CE12" s="7">
        <f>CD12+預測IC!CE12</f>
        <v>1.1742710264782472</v>
      </c>
      <c r="CF12" s="7">
        <f>CE12+預測IC!CF12</f>
        <v>1.178348921762022</v>
      </c>
      <c r="CG12" s="7">
        <f>CF12+預測IC!CG12</f>
        <v>1.178657570259374</v>
      </c>
      <c r="CH12" s="7">
        <f>CG12+預測IC!CH12</f>
        <v>1.241954942637334</v>
      </c>
      <c r="CI12" s="7">
        <f>CH12+預測IC!CI12</f>
        <v>1.2176134445857201</v>
      </c>
      <c r="CJ12" s="7">
        <f>CI12+預測IC!CJ12</f>
        <v>1.2211819247576294</v>
      </c>
      <c r="CK12" s="7">
        <f>CJ12+預測IC!CK12</f>
        <v>1.2556966795949271</v>
      </c>
      <c r="CL12" s="7">
        <f>CK12+預測IC!CL12</f>
        <v>1.2888306900264028</v>
      </c>
      <c r="CM12" s="7">
        <f>CL12+預測IC!CM12</f>
        <v>1.2171223020091906</v>
      </c>
      <c r="CN12" s="7">
        <f>CM12+預測IC!CN12</f>
        <v>1.1938147609772716</v>
      </c>
      <c r="CO12" s="7">
        <f>CN12+預測IC!CO12</f>
        <v>1.2651070038508634</v>
      </c>
      <c r="CP12" s="7">
        <f>CO12+預測IC!CP12</f>
        <v>1.2523108456584597</v>
      </c>
      <c r="CQ12" s="7">
        <f>CP12+預測IC!CQ12</f>
        <v>1.322287592382565</v>
      </c>
      <c r="CR12" s="7">
        <f>CQ12+預測IC!CR12</f>
        <v>1.3704342176698667</v>
      </c>
      <c r="CS12" s="7">
        <f>CR12+預測IC!CS12</f>
        <v>1.3559245672313971</v>
      </c>
      <c r="CT12" s="7">
        <f>CS12+預測IC!CT12</f>
        <v>1.3880385778394464</v>
      </c>
      <c r="CU12" s="7">
        <f>CT12+預測IC!CU12</f>
        <v>1.4236622935016416</v>
      </c>
      <c r="CV12" s="7">
        <f>CU12+預測IC!CV12</f>
        <v>1.4317749198771788</v>
      </c>
      <c r="CW12" s="7">
        <f>CV12+預測IC!CW12</f>
        <v>1.4615326093055463</v>
      </c>
      <c r="CX12" s="7">
        <f>CW12+預測IC!CX12</f>
        <v>1.508080067770015</v>
      </c>
      <c r="CY12" s="7">
        <f>CX12+預測IC!CY12</f>
        <v>1.5541530454354699</v>
      </c>
      <c r="CZ12" s="7">
        <f>CY12+預測IC!CZ12</f>
        <v>1.6319453727749706</v>
      </c>
      <c r="DA12" s="7">
        <f>CZ12+預測IC!DA12</f>
        <v>1.6375491568453311</v>
      </c>
      <c r="DB12" s="7">
        <f>DA12+預測IC!DB12</f>
        <v>1.6145672808912042</v>
      </c>
      <c r="DC12" s="7">
        <f>DB12+預測IC!DC12</f>
        <v>1.6260402541826942</v>
      </c>
      <c r="DD12" s="7">
        <f>DC12+預測IC!DD12</f>
        <v>1.586948256851187</v>
      </c>
      <c r="DE12" s="7">
        <f>DD12+預測IC!DE12</f>
        <v>1.5497127120239222</v>
      </c>
      <c r="DF12" s="7">
        <f>DE12+預測IC!DF12</f>
        <v>1.5428781862878818</v>
      </c>
      <c r="DG12" s="7">
        <f>DF12+預測IC!DG12</f>
        <v>1.5419304773485649</v>
      </c>
      <c r="DH12" s="7">
        <f>DG12+預測IC!DH12</f>
        <v>1.6031256321368819</v>
      </c>
      <c r="DI12" s="7">
        <f>DH12+預測IC!DI12</f>
        <v>1.6628746999166306</v>
      </c>
      <c r="DJ12" s="7">
        <f>DI12+預測IC!DJ12</f>
        <v>1.670937298171401</v>
      </c>
      <c r="DK12" s="7">
        <f>DJ12+預測IC!DK12</f>
        <v>1.6390090988388055</v>
      </c>
      <c r="DL12" s="7">
        <f>DK12+預測IC!DL12</f>
        <v>1.6420982103487349</v>
      </c>
      <c r="DM12" s="7">
        <f>DL12+預測IC!DM12</f>
        <v>1.622860516768174</v>
      </c>
      <c r="DN12" s="7">
        <f>DM12+預測IC!DN12</f>
        <v>1.6447772483629364</v>
      </c>
      <c r="DO12" s="7">
        <f>DN12+預測IC!DO12</f>
        <v>1.6753341904644272</v>
      </c>
      <c r="DP12" s="7">
        <f>DO12+預測IC!DP12</f>
        <v>1.7212877384793452</v>
      </c>
      <c r="DQ12" s="7">
        <f>DP12+預測IC!DQ12</f>
        <v>1.6874256181262968</v>
      </c>
      <c r="DR12" s="7">
        <f>DQ12+預測IC!DR12</f>
        <v>1.7044905975764149</v>
      </c>
      <c r="DS12" s="7">
        <f>DR12+預測IC!DS12</f>
        <v>1.668764442124717</v>
      </c>
      <c r="DT12" s="7">
        <f>DS12+預測IC!DT12</f>
        <v>1.6938820581555531</v>
      </c>
      <c r="DU12" s="7">
        <f>DT12+預測IC!DU12</f>
        <v>1.6366517750112446</v>
      </c>
      <c r="DV12" s="7">
        <f>DU12+預測IC!DV12</f>
        <v>1.6661918358122529</v>
      </c>
      <c r="DW12" s="7">
        <f>DV12+預測IC!DW12</f>
        <v>1.7111596700247784</v>
      </c>
      <c r="DX12" s="7">
        <f>DW12+預測IC!DX12</f>
        <v>1.6610075894824168</v>
      </c>
      <c r="DY12" s="7">
        <f>DX12+預測IC!DY12</f>
        <v>1.6763648596009117</v>
      </c>
      <c r="DZ12" s="7">
        <f>DY12+預測IC!DZ12</f>
        <v>1.6825920089494</v>
      </c>
      <c r="EA12" s="7">
        <f>DZ12+預測IC!EA12</f>
        <v>1.746595950272597</v>
      </c>
      <c r="EB12" s="7">
        <f>EA12+預測IC!EB12</f>
        <v>1.7523819208329776</v>
      </c>
      <c r="EC12" s="7">
        <f>EB12+預測IC!EC12</f>
        <v>1.7790334304126429</v>
      </c>
      <c r="ED12" s="7">
        <f>EC12+預測IC!ED12</f>
        <v>1.7720759488849187</v>
      </c>
      <c r="EE12" s="7">
        <f>ED12+預測IC!EE12</f>
        <v>1.7455690567237709</v>
      </c>
      <c r="EF12" s="7">
        <f>EE12+預測IC!EF12</f>
        <v>1.7848024047625666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f>C13+預測IC!D13</f>
        <v>0.22785777904553428</v>
      </c>
      <c r="E13" s="7">
        <f>D13+預測IC!E13</f>
        <v>0.19336115955418123</v>
      </c>
      <c r="F13" s="7">
        <f>E13+預測IC!F13</f>
        <v>0.18190591967880443</v>
      </c>
      <c r="G13" s="7">
        <f>F13+預測IC!G13</f>
        <v>0.19765034573325496</v>
      </c>
      <c r="H13" s="7">
        <f>G13+預測IC!H13</f>
        <v>0.22763997745897624</v>
      </c>
      <c r="I13" s="7">
        <f>H13+預測IC!I13</f>
        <v>0.26032284044369858</v>
      </c>
      <c r="J13" s="7">
        <f>I13+預測IC!J13</f>
        <v>0.21642361336628646</v>
      </c>
      <c r="K13" s="7">
        <f>J13+預測IC!K13</f>
        <v>0.21505630653983898</v>
      </c>
      <c r="L13" s="7">
        <f>K13+預測IC!L13</f>
        <v>0.20903114524618535</v>
      </c>
      <c r="M13" s="7">
        <f>L13+預測IC!M13</f>
        <v>0.23471824739242067</v>
      </c>
      <c r="N13" s="7">
        <f>M13+預測IC!N13</f>
        <v>0.33452516434909124</v>
      </c>
      <c r="O13" s="7">
        <f>N13+預測IC!O13</f>
        <v>0.37079844006901375</v>
      </c>
      <c r="P13" s="7">
        <f>O13+預測IC!P13</f>
        <v>0.38759006780710437</v>
      </c>
      <c r="Q13" s="7">
        <f>P13+預測IC!Q13</f>
        <v>0.46081443629466179</v>
      </c>
      <c r="R13" s="7">
        <f>Q13+預測IC!R13</f>
        <v>0.47497438078069831</v>
      </c>
      <c r="S13" s="7">
        <f>R13+預測IC!S13</f>
        <v>0.4627307095717853</v>
      </c>
      <c r="T13" s="7">
        <f>S13+預測IC!T13</f>
        <v>0.44062668915261305</v>
      </c>
      <c r="U13" s="7">
        <f>T13+預測IC!U13</f>
        <v>0.44222370538579886</v>
      </c>
      <c r="V13" s="7">
        <f>U13+預測IC!V13</f>
        <v>0.42212937737192435</v>
      </c>
      <c r="W13" s="7">
        <f>V13+預測IC!W13</f>
        <v>0.49760593923207458</v>
      </c>
      <c r="X13" s="7">
        <f>W13+預測IC!X13</f>
        <v>0.55088283395801818</v>
      </c>
      <c r="Y13" s="7">
        <f>X13+預測IC!Y13</f>
        <v>0.56480382651566685</v>
      </c>
      <c r="Z13" s="7">
        <f>Y13+預測IC!Z13</f>
        <v>0.58538758768479515</v>
      </c>
      <c r="AA13" s="7">
        <f>Z13+預測IC!AA13</f>
        <v>0.55326807734632388</v>
      </c>
      <c r="AB13" s="7">
        <f>AA13+預測IC!AB13</f>
        <v>0.53723197866110295</v>
      </c>
      <c r="AC13" s="7">
        <f>AB13+預測IC!AC13</f>
        <v>0.54526341845705339</v>
      </c>
      <c r="AD13" s="7">
        <f>AC13+預測IC!AD13</f>
        <v>0.56680710824232883</v>
      </c>
      <c r="AE13" s="7">
        <f>AD13+預測IC!AE13</f>
        <v>0.50108772621471831</v>
      </c>
      <c r="AF13" s="7">
        <f>AE13+預測IC!AF13</f>
        <v>0.55302328403785528</v>
      </c>
      <c r="AG13" s="7">
        <f>AF13+預測IC!AG13</f>
        <v>0.52134150098285237</v>
      </c>
      <c r="AH13" s="7">
        <f>AG13+預測IC!AH13</f>
        <v>0.53098284022236875</v>
      </c>
      <c r="AI13" s="7">
        <f>AH13+預測IC!AI13</f>
        <v>0.54305039029644153</v>
      </c>
      <c r="AJ13" s="7">
        <f>AI13+預測IC!AJ13</f>
        <v>0.52676992030816583</v>
      </c>
      <c r="AK13" s="7">
        <f>AJ13+預測IC!AK13</f>
        <v>0.5927578331188218</v>
      </c>
      <c r="AL13" s="7">
        <f>AK13+預測IC!AL13</f>
        <v>0.61590926171399285</v>
      </c>
      <c r="AM13" s="7">
        <f>AL13+預測IC!AM13</f>
        <v>0.66219170525082183</v>
      </c>
      <c r="AN13" s="7">
        <f>AM13+預測IC!AN13</f>
        <v>0.76752194338685586</v>
      </c>
      <c r="AO13" s="7">
        <f>AN13+預測IC!AO13</f>
        <v>0.77683313128627085</v>
      </c>
      <c r="AP13" s="7">
        <f>AO13+預測IC!AP13</f>
        <v>0.71728229092427309</v>
      </c>
      <c r="AQ13" s="7">
        <f>AP13+預測IC!AQ13</f>
        <v>0.71123300215537344</v>
      </c>
      <c r="AR13" s="7">
        <f>AQ13+預測IC!AR13</f>
        <v>0.72048373463864968</v>
      </c>
      <c r="AS13" s="7">
        <f>AR13+預測IC!AS13</f>
        <v>0.76179685312288381</v>
      </c>
      <c r="AT13" s="7">
        <f>AS13+預測IC!AT13</f>
        <v>0.7634868160637025</v>
      </c>
      <c r="AU13" s="7">
        <f>AT13+預測IC!AU13</f>
        <v>0.80446294253968131</v>
      </c>
      <c r="AV13" s="7">
        <f>AU13+預測IC!AV13</f>
        <v>0.79350403230938082</v>
      </c>
      <c r="AW13" s="7">
        <f>AV13+預測IC!AW13</f>
        <v>0.79758404589244425</v>
      </c>
      <c r="AX13" s="7">
        <f>AW13+預測IC!AX13</f>
        <v>0.86473783367555457</v>
      </c>
      <c r="AY13" s="7">
        <f>AX13+預測IC!AY13</f>
        <v>0.84106522495218716</v>
      </c>
      <c r="AZ13" s="7">
        <f>AY13+預測IC!AZ13</f>
        <v>0.89651500090775227</v>
      </c>
      <c r="BA13" s="7">
        <f>AZ13+預測IC!BA13</f>
        <v>0.97634412125154058</v>
      </c>
      <c r="BB13" s="7">
        <f>BA13+預測IC!BB13</f>
        <v>1.0023904667844366</v>
      </c>
      <c r="BC13" s="7">
        <f>BB13+預測IC!BC13</f>
        <v>1.0038741053181914</v>
      </c>
      <c r="BD13" s="7">
        <f>BC13+預測IC!BD13</f>
        <v>1.0455504190648612</v>
      </c>
      <c r="BE13" s="7">
        <f>BD13+預測IC!BE13</f>
        <v>0.99950216247738277</v>
      </c>
      <c r="BF13" s="7">
        <f>BE13+預測IC!BF13</f>
        <v>0.9731992656871653</v>
      </c>
      <c r="BG13" s="7">
        <f>BF13+預測IC!BG13</f>
        <v>0.98153033130301304</v>
      </c>
      <c r="BH13" s="7">
        <f>BG13+預測IC!BH13</f>
        <v>0.973054601491394</v>
      </c>
      <c r="BI13" s="7">
        <f>BH13+預測IC!BI13</f>
        <v>0.99888697137154303</v>
      </c>
      <c r="BJ13" s="7">
        <f>BI13+預測IC!BJ13</f>
        <v>1.0503388903314652</v>
      </c>
      <c r="BK13" s="7">
        <f>BJ13+預測IC!BK13</f>
        <v>1.0252131169682732</v>
      </c>
      <c r="BL13" s="7">
        <f>BK13+預測IC!BL13</f>
        <v>1.0388322953278886</v>
      </c>
      <c r="BM13" s="7">
        <f>BL13+預測IC!BM13</f>
        <v>1.0116284279432779</v>
      </c>
      <c r="BN13" s="7">
        <f>BM13+預測IC!BN13</f>
        <v>1.0164860310016912</v>
      </c>
      <c r="BO13" s="7">
        <f>BN13+預測IC!BO13</f>
        <v>1.0198927455099596</v>
      </c>
      <c r="BP13" s="7">
        <f>BO13+預測IC!BP13</f>
        <v>1.011941599092185</v>
      </c>
      <c r="BQ13" s="7">
        <f>BP13+預測IC!BQ13</f>
        <v>1.0535946628816106</v>
      </c>
      <c r="BR13" s="7">
        <f>BQ13+預測IC!BR13</f>
        <v>1.0469132453980532</v>
      </c>
      <c r="BS13" s="7">
        <f>BR13+預測IC!BS13</f>
        <v>1.0543327172382728</v>
      </c>
      <c r="BT13" s="7">
        <f>BS13+預測IC!BT13</f>
        <v>1.0206649474803535</v>
      </c>
      <c r="BU13" s="7">
        <f>BT13+預測IC!BU13</f>
        <v>0.94600677947057965</v>
      </c>
      <c r="BV13" s="7">
        <f>BU13+預測IC!BV13</f>
        <v>0.97744751790619233</v>
      </c>
      <c r="BW13" s="7">
        <f>BV13+預測IC!BW13</f>
        <v>1.0636776725574846</v>
      </c>
      <c r="BX13" s="7">
        <f>BW13+預測IC!BX13</f>
        <v>1.0651551073337266</v>
      </c>
      <c r="BY13" s="7">
        <f>BX13+預測IC!BY13</f>
        <v>1.0343273476693535</v>
      </c>
      <c r="BZ13" s="7">
        <f>BY13+預測IC!BZ13</f>
        <v>1.1104654707284038</v>
      </c>
      <c r="CA13" s="7">
        <f>BZ13+預測IC!CA13</f>
        <v>1.1344781445205285</v>
      </c>
      <c r="CB13" s="7">
        <f>CA13+預測IC!CB13</f>
        <v>1.2549051162525637</v>
      </c>
      <c r="CC13" s="7">
        <f>CB13+預測IC!CC13</f>
        <v>1.375023289990797</v>
      </c>
      <c r="CD13" s="7">
        <f>CC13+預測IC!CD13</f>
        <v>1.4801091228831245</v>
      </c>
      <c r="CE13" s="7">
        <f>CD13+預測IC!CE13</f>
        <v>1.6639369593387332</v>
      </c>
      <c r="CF13" s="7">
        <f>CE13+預測IC!CF13</f>
        <v>1.6821659001753606</v>
      </c>
      <c r="CG13" s="7">
        <f>CF13+預測IC!CG13</f>
        <v>1.6897261688517349</v>
      </c>
      <c r="CH13" s="7">
        <f>CG13+預測IC!CH13</f>
        <v>1.7480607806789421</v>
      </c>
      <c r="CI13" s="7">
        <f>CH13+預測IC!CI13</f>
        <v>1.7401652462430339</v>
      </c>
      <c r="CJ13" s="7">
        <f>CI13+預測IC!CJ13</f>
        <v>1.76104657335896</v>
      </c>
      <c r="CK13" s="7">
        <f>CJ13+預測IC!CK13</f>
        <v>1.7929061703940219</v>
      </c>
      <c r="CL13" s="7">
        <f>CK13+預測IC!CL13</f>
        <v>1.8369065616414104</v>
      </c>
      <c r="CM13" s="7">
        <f>CL13+預測IC!CM13</f>
        <v>1.7354543429273919</v>
      </c>
      <c r="CN13" s="7">
        <f>CM13+預測IC!CN13</f>
        <v>1.7053233180821012</v>
      </c>
      <c r="CO13" s="7">
        <f>CN13+預測IC!CO13</f>
        <v>1.7908895573901777</v>
      </c>
      <c r="CP13" s="7">
        <f>CO13+預測IC!CP13</f>
        <v>1.7565120182141674</v>
      </c>
      <c r="CQ13" s="7">
        <f>CP13+預測IC!CQ13</f>
        <v>1.8236249233083124</v>
      </c>
      <c r="CR13" s="7">
        <f>CQ13+預測IC!CR13</f>
        <v>1.8880055720457247</v>
      </c>
      <c r="CS13" s="7">
        <f>CR13+預測IC!CS13</f>
        <v>1.8919532227086853</v>
      </c>
      <c r="CT13" s="7">
        <f>CS13+預測IC!CT13</f>
        <v>1.9354154906777374</v>
      </c>
      <c r="CU13" s="7">
        <f>CT13+預測IC!CU13</f>
        <v>1.9725768929600487</v>
      </c>
      <c r="CV13" s="7">
        <f>CU13+預測IC!CV13</f>
        <v>1.9696235807867908</v>
      </c>
      <c r="CW13" s="7">
        <f>CV13+預測IC!CW13</f>
        <v>1.9800805437181095</v>
      </c>
      <c r="CX13" s="7">
        <f>CW13+預測IC!CX13</f>
        <v>1.9850678392692227</v>
      </c>
      <c r="CY13" s="7">
        <f>CX13+預測IC!CY13</f>
        <v>2.0473647862745854</v>
      </c>
      <c r="CZ13" s="7">
        <f>CY13+預測IC!CZ13</f>
        <v>2.1045890066280704</v>
      </c>
      <c r="DA13" s="7">
        <f>CZ13+預測IC!DA13</f>
        <v>2.0990053297022491</v>
      </c>
      <c r="DB13" s="7">
        <f>DA13+預測IC!DB13</f>
        <v>2.0572437599854645</v>
      </c>
      <c r="DC13" s="7">
        <f>DB13+預測IC!DC13</f>
        <v>2.0807847586539028</v>
      </c>
      <c r="DD13" s="7">
        <f>DC13+預測IC!DD13</f>
        <v>2.0293781050510842</v>
      </c>
      <c r="DE13" s="7">
        <f>DD13+預測IC!DE13</f>
        <v>1.9868139261198334</v>
      </c>
      <c r="DF13" s="7">
        <f>DE13+預測IC!DF13</f>
        <v>1.9582951293261988</v>
      </c>
      <c r="DG13" s="7">
        <f>DF13+預測IC!DG13</f>
        <v>1.9566644721533089</v>
      </c>
      <c r="DH13" s="7">
        <f>DG13+預測IC!DH13</f>
        <v>2.0453850730996157</v>
      </c>
      <c r="DI13" s="7">
        <f>DH13+預測IC!DI13</f>
        <v>2.1351336366471099</v>
      </c>
      <c r="DJ13" s="7">
        <f>DI13+預測IC!DJ13</f>
        <v>2.1318018804675991</v>
      </c>
      <c r="DK13" s="7">
        <f>DJ13+預測IC!DK13</f>
        <v>2.11241524660374</v>
      </c>
      <c r="DL13" s="7">
        <f>DK13+預測IC!DL13</f>
        <v>2.1395371860352808</v>
      </c>
      <c r="DM13" s="7">
        <f>DL13+預測IC!DM13</f>
        <v>2.1400688086457538</v>
      </c>
      <c r="DN13" s="7">
        <f>DM13+預測IC!DN13</f>
        <v>2.1570040435463582</v>
      </c>
      <c r="DO13" s="7">
        <f>DN13+預測IC!DO13</f>
        <v>2.1948675086311509</v>
      </c>
      <c r="DP13" s="7">
        <f>DO13+預測IC!DP13</f>
        <v>2.2398646592931999</v>
      </c>
      <c r="DQ13" s="7">
        <f>DP13+預測IC!DQ13</f>
        <v>2.205898197041237</v>
      </c>
      <c r="DR13" s="7">
        <f>DQ13+預測IC!DR13</f>
        <v>2.2210667471871979</v>
      </c>
      <c r="DS13" s="7">
        <f>DR13+預測IC!DS13</f>
        <v>2.182179119347528</v>
      </c>
      <c r="DT13" s="7">
        <f>DS13+預測IC!DT13</f>
        <v>2.2330103792380331</v>
      </c>
      <c r="DU13" s="7">
        <f>DT13+預測IC!DU13</f>
        <v>2.2000042197954146</v>
      </c>
      <c r="DV13" s="7">
        <f>DU13+預測IC!DV13</f>
        <v>2.2432589985810036</v>
      </c>
      <c r="DW13" s="7">
        <f>DV13+預測IC!DW13</f>
        <v>2.2852876842932042</v>
      </c>
      <c r="DX13" s="7">
        <f>DW13+預測IC!DX13</f>
        <v>2.2207643047147081</v>
      </c>
      <c r="DY13" s="7">
        <f>DX13+預測IC!DY13</f>
        <v>2.2561503493685415</v>
      </c>
      <c r="DZ13" s="7">
        <f>DY13+預測IC!DZ13</f>
        <v>2.274452473514843</v>
      </c>
      <c r="EA13" s="7">
        <f>DZ13+預測IC!EA13</f>
        <v>2.3476953425575253</v>
      </c>
      <c r="EB13" s="7">
        <f>EA13+預測IC!EB13</f>
        <v>2.3478965487764505</v>
      </c>
      <c r="EC13" s="7">
        <f>EB13+預測IC!EC13</f>
        <v>2.3895563022116795</v>
      </c>
      <c r="ED13" s="7">
        <f>EC13+預測IC!ED13</f>
        <v>2.3966410222248729</v>
      </c>
      <c r="EE13" s="7">
        <f>ED13+預測IC!EE13</f>
        <v>2.3554066382289611</v>
      </c>
      <c r="EF13" s="7">
        <f>EE13+預測IC!EF13</f>
        <v>2.4219838535925176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f>C14+預測IC!D14</f>
        <v>0.34224993829333211</v>
      </c>
      <c r="E14" s="7">
        <f>D14+預測IC!E14</f>
        <v>0.2947239950260761</v>
      </c>
      <c r="F14" s="7">
        <f>E14+預測IC!F14</f>
        <v>0.32926645919177572</v>
      </c>
      <c r="G14" s="7">
        <f>F14+預測IC!G14</f>
        <v>0.41441522097550976</v>
      </c>
      <c r="H14" s="7">
        <f>G14+預測IC!H14</f>
        <v>0.47400302741094985</v>
      </c>
      <c r="I14" s="7">
        <f>H14+預測IC!I14</f>
        <v>0.5177903872340921</v>
      </c>
      <c r="J14" s="7">
        <f>I14+預測IC!J14</f>
        <v>0.41269600045138388</v>
      </c>
      <c r="K14" s="7">
        <f>J14+預測IC!K14</f>
        <v>0.42514716196717628</v>
      </c>
      <c r="L14" s="7">
        <f>K14+預測IC!L14</f>
        <v>0.41666671440162778</v>
      </c>
      <c r="M14" s="7">
        <f>L14+預測IC!M14</f>
        <v>0.34071517141758301</v>
      </c>
      <c r="N14" s="7">
        <f>M14+預測IC!N14</f>
        <v>0.54554774655880889</v>
      </c>
      <c r="O14" s="7">
        <f>N14+預測IC!O14</f>
        <v>0.58302353357181536</v>
      </c>
      <c r="P14" s="7">
        <f>O14+預測IC!P14</f>
        <v>0.63080329785462264</v>
      </c>
      <c r="Q14" s="7">
        <f>P14+預測IC!Q14</f>
        <v>0.68904124400925748</v>
      </c>
      <c r="R14" s="7">
        <f>Q14+預測IC!R14</f>
        <v>0.67488944770373283</v>
      </c>
      <c r="S14" s="7">
        <f>R14+預測IC!S14</f>
        <v>0.71342354722975054</v>
      </c>
      <c r="T14" s="7">
        <f>S14+預測IC!T14</f>
        <v>0.69606281599519082</v>
      </c>
      <c r="U14" s="7">
        <f>T14+預測IC!U14</f>
        <v>0.7326419455148927</v>
      </c>
      <c r="V14" s="7">
        <f>U14+預測IC!V14</f>
        <v>0.69426639925038813</v>
      </c>
      <c r="W14" s="7">
        <f>V14+預測IC!W14</f>
        <v>0.81043218978228482</v>
      </c>
      <c r="X14" s="7">
        <f>W14+預測IC!X14</f>
        <v>0.86401389829646802</v>
      </c>
      <c r="Y14" s="7">
        <f>X14+預測IC!Y14</f>
        <v>0.84725123493977861</v>
      </c>
      <c r="Z14" s="7">
        <f>Y14+預測IC!Z14</f>
        <v>0.86850343604322955</v>
      </c>
      <c r="AA14" s="7">
        <f>Z14+預測IC!AA14</f>
        <v>0.82905325574114741</v>
      </c>
      <c r="AB14" s="7">
        <f>AA14+預測IC!AB14</f>
        <v>0.7540703429690272</v>
      </c>
      <c r="AC14" s="7">
        <f>AB14+預測IC!AC14</f>
        <v>0.7247782592034635</v>
      </c>
      <c r="AD14" s="7">
        <f>AC14+預測IC!AD14</f>
        <v>0.76410615139349336</v>
      </c>
      <c r="AE14" s="7">
        <f>AD14+預測IC!AE14</f>
        <v>0.76008724457061283</v>
      </c>
      <c r="AF14" s="7">
        <f>AE14+預測IC!AF14</f>
        <v>0.84440425374728689</v>
      </c>
      <c r="AG14" s="7">
        <f>AF14+預測IC!AG14</f>
        <v>0.82388335910072441</v>
      </c>
      <c r="AH14" s="7">
        <f>AG14+預測IC!AH14</f>
        <v>0.82913363703123044</v>
      </c>
      <c r="AI14" s="7">
        <f>AH14+預測IC!AI14</f>
        <v>0.90120658795835129</v>
      </c>
      <c r="AJ14" s="7">
        <f>AI14+預測IC!AJ14</f>
        <v>0.91626562404150225</v>
      </c>
      <c r="AK14" s="7">
        <f>AJ14+預測IC!AK14</f>
        <v>0.99317705489980423</v>
      </c>
      <c r="AL14" s="7">
        <f>AK14+預測IC!AL14</f>
        <v>1.031146244622265</v>
      </c>
      <c r="AM14" s="7">
        <f>AL14+預測IC!AM14</f>
        <v>1.0923884110008903</v>
      </c>
      <c r="AN14" s="7">
        <f>AM14+預測IC!AN14</f>
        <v>1.190983077770434</v>
      </c>
      <c r="AO14" s="7">
        <f>AN14+預測IC!AO14</f>
        <v>1.2518887832358438</v>
      </c>
      <c r="AP14" s="7">
        <f>AO14+預測IC!AP14</f>
        <v>1.1819122580837595</v>
      </c>
      <c r="AQ14" s="7">
        <f>AP14+預測IC!AQ14</f>
        <v>1.1815442903459996</v>
      </c>
      <c r="AR14" s="7">
        <f>AQ14+預測IC!AR14</f>
        <v>1.1997151133648849</v>
      </c>
      <c r="AS14" s="7">
        <f>AR14+預測IC!AS14</f>
        <v>1.2850920993179318</v>
      </c>
      <c r="AT14" s="7">
        <f>AS14+預測IC!AT14</f>
        <v>1.2666846731486894</v>
      </c>
      <c r="AU14" s="7">
        <f>AT14+預測IC!AU14</f>
        <v>1.3066763221519933</v>
      </c>
      <c r="AV14" s="7">
        <f>AU14+預測IC!AV14</f>
        <v>1.3151027754569666</v>
      </c>
      <c r="AW14" s="7">
        <f>AV14+預測IC!AW14</f>
        <v>1.2967398439510092</v>
      </c>
      <c r="AX14" s="7">
        <f>AW14+預測IC!AX14</f>
        <v>1.4336908722454018</v>
      </c>
      <c r="AY14" s="7">
        <f>AX14+預測IC!AY14</f>
        <v>1.3748514959482019</v>
      </c>
      <c r="AZ14" s="7">
        <f>AY14+預測IC!AZ14</f>
        <v>1.4004804234576664</v>
      </c>
      <c r="BA14" s="7">
        <f>AZ14+預測IC!BA14</f>
        <v>1.4968177488136405</v>
      </c>
      <c r="BB14" s="7">
        <f>BA14+預測IC!BB14</f>
        <v>1.5987160890720984</v>
      </c>
      <c r="BC14" s="7">
        <f>BB14+預測IC!BC14</f>
        <v>1.6107904107952498</v>
      </c>
      <c r="BD14" s="7">
        <f>BC14+預測IC!BD14</f>
        <v>1.6272079206061953</v>
      </c>
      <c r="BE14" s="7">
        <f>BD14+預測IC!BE14</f>
        <v>1.6030909021095932</v>
      </c>
      <c r="BF14" s="7">
        <f>BE14+預測IC!BF14</f>
        <v>1.5978480142077101</v>
      </c>
      <c r="BG14" s="7">
        <f>BF14+預測IC!BG14</f>
        <v>1.6083446221088535</v>
      </c>
      <c r="BH14" s="7">
        <f>BG14+預測IC!BH14</f>
        <v>1.6030018665402528</v>
      </c>
      <c r="BI14" s="7">
        <f>BH14+預測IC!BI14</f>
        <v>1.6352719974408203</v>
      </c>
      <c r="BJ14" s="7">
        <f>BI14+預測IC!BJ14</f>
        <v>1.6592889311264565</v>
      </c>
      <c r="BK14" s="7">
        <f>BJ14+預測IC!BK14</f>
        <v>1.6925263131047874</v>
      </c>
      <c r="BL14" s="7">
        <f>BK14+預測IC!BL14</f>
        <v>1.7030981476146494</v>
      </c>
      <c r="BM14" s="7">
        <f>BL14+預測IC!BM14</f>
        <v>1.6817231009525908</v>
      </c>
      <c r="BN14" s="7">
        <f>BM14+預測IC!BN14</f>
        <v>1.7282997451490065</v>
      </c>
      <c r="BO14" s="7">
        <f>BN14+預測IC!BO14</f>
        <v>1.7432033241222553</v>
      </c>
      <c r="BP14" s="7">
        <f>BO14+預測IC!BP14</f>
        <v>1.7935356074500006</v>
      </c>
      <c r="BQ14" s="7">
        <f>BP14+預測IC!BQ14</f>
        <v>1.8093791313199514</v>
      </c>
      <c r="BR14" s="7">
        <f>BQ14+預測IC!BR14</f>
        <v>1.7814497017873334</v>
      </c>
      <c r="BS14" s="7">
        <f>BR14+預測IC!BS14</f>
        <v>1.7399557466427555</v>
      </c>
      <c r="BT14" s="7">
        <f>BS14+預測IC!BT14</f>
        <v>1.7552436745461284</v>
      </c>
      <c r="BU14" s="7">
        <f>BT14+預測IC!BU14</f>
        <v>1.6440842202323838</v>
      </c>
      <c r="BV14" s="7">
        <f>BU14+預測IC!BV14</f>
        <v>1.6853667090902822</v>
      </c>
      <c r="BW14" s="7">
        <f>BV14+預測IC!BW14</f>
        <v>1.8037747510695872</v>
      </c>
      <c r="BX14" s="7">
        <f>BW14+預測IC!BX14</f>
        <v>1.8034676168449209</v>
      </c>
      <c r="BY14" s="7">
        <f>BX14+預測IC!BY14</f>
        <v>1.7230678482611597</v>
      </c>
      <c r="BZ14" s="7">
        <f>BY14+預測IC!BZ14</f>
        <v>1.7831019050899419</v>
      </c>
      <c r="CA14" s="7">
        <f>BZ14+預測IC!CA14</f>
        <v>1.8165570633280976</v>
      </c>
      <c r="CB14" s="7">
        <f>CA14+預測IC!CB14</f>
        <v>1.9810225646500044</v>
      </c>
      <c r="CC14" s="7">
        <f>CB14+預測IC!CC14</f>
        <v>2.101618723239187</v>
      </c>
      <c r="CD14" s="7">
        <f>CC14+預測IC!CD14</f>
        <v>2.1996354331713848</v>
      </c>
      <c r="CE14" s="7">
        <f>CD14+預測IC!CE14</f>
        <v>2.3701907356599352</v>
      </c>
      <c r="CF14" s="7">
        <f>CE14+預測IC!CF14</f>
        <v>2.3498805187374154</v>
      </c>
      <c r="CG14" s="7">
        <f>CF14+預測IC!CG14</f>
        <v>2.4888071952553554</v>
      </c>
      <c r="CH14" s="7">
        <f>CG14+預測IC!CH14</f>
        <v>2.5534685875335725</v>
      </c>
      <c r="CI14" s="7">
        <f>CH14+預測IC!CI14</f>
        <v>2.5496392313988876</v>
      </c>
      <c r="CJ14" s="7">
        <f>CI14+預測IC!CJ14</f>
        <v>2.5697060561949954</v>
      </c>
      <c r="CK14" s="7">
        <f>CJ14+預測IC!CK14</f>
        <v>2.5692421966253147</v>
      </c>
      <c r="CL14" s="7">
        <f>CK14+預測IC!CL14</f>
        <v>2.6992750637109659</v>
      </c>
      <c r="CM14" s="7">
        <f>CL14+預測IC!CM14</f>
        <v>2.5892060907382564</v>
      </c>
      <c r="CN14" s="7">
        <f>CM14+預測IC!CN14</f>
        <v>2.5698045433447652</v>
      </c>
      <c r="CO14" s="7">
        <f>CN14+預測IC!CO14</f>
        <v>2.7430536972987194</v>
      </c>
      <c r="CP14" s="7">
        <f>CO14+預測IC!CP14</f>
        <v>2.6375739732413779</v>
      </c>
      <c r="CQ14" s="7">
        <f>CP14+預測IC!CQ14</f>
        <v>2.7171107145368194</v>
      </c>
      <c r="CR14" s="7">
        <f>CQ14+預測IC!CR14</f>
        <v>2.7797513699132672</v>
      </c>
      <c r="CS14" s="7">
        <f>CR14+預測IC!CS14</f>
        <v>2.7759352565697473</v>
      </c>
      <c r="CT14" s="7">
        <f>CS14+預測IC!CT14</f>
        <v>2.8378076089613486</v>
      </c>
      <c r="CU14" s="7">
        <f>CT14+預測IC!CU14</f>
        <v>2.7938905062641339</v>
      </c>
      <c r="CV14" s="7">
        <f>CU14+預測IC!CV14</f>
        <v>2.8166362214023892</v>
      </c>
      <c r="CW14" s="7">
        <f>CV14+預測IC!CW14</f>
        <v>2.8248702232827654</v>
      </c>
      <c r="CX14" s="7">
        <f>CW14+預測IC!CX14</f>
        <v>2.849114479770261</v>
      </c>
      <c r="CY14" s="7">
        <f>CX14+預測IC!CY14</f>
        <v>2.8992522232442099</v>
      </c>
      <c r="CZ14" s="7">
        <f>CY14+預測IC!CZ14</f>
        <v>2.9633157865945932</v>
      </c>
      <c r="DA14" s="7">
        <f>CZ14+預測IC!DA14</f>
        <v>2.9390114974240085</v>
      </c>
      <c r="DB14" s="7">
        <f>DA14+預測IC!DB14</f>
        <v>2.9154504242358175</v>
      </c>
      <c r="DC14" s="7">
        <f>DB14+預測IC!DC14</f>
        <v>2.9302041857328449</v>
      </c>
      <c r="DD14" s="7">
        <f>DC14+預測IC!DD14</f>
        <v>2.8763042189840511</v>
      </c>
      <c r="DE14" s="7">
        <f>DD14+預測IC!DE14</f>
        <v>2.845246551906675</v>
      </c>
      <c r="DF14" s="7">
        <f>DE14+預測IC!DF14</f>
        <v>2.8093899213496125</v>
      </c>
      <c r="DG14" s="7">
        <f>DF14+預測IC!DG14</f>
        <v>2.8208364777429296</v>
      </c>
      <c r="DH14" s="7">
        <f>DG14+預測IC!DH14</f>
        <v>2.8795776719093031</v>
      </c>
      <c r="DI14" s="7">
        <f>DH14+預測IC!DI14</f>
        <v>2.9662241202077886</v>
      </c>
      <c r="DJ14" s="7">
        <f>DI14+預測IC!DJ14</f>
        <v>2.9672478444750858</v>
      </c>
      <c r="DK14" s="7">
        <f>DJ14+預測IC!DK14</f>
        <v>2.8856262949712272</v>
      </c>
      <c r="DL14" s="7">
        <f>DK14+預測IC!DL14</f>
        <v>2.8763521126139859</v>
      </c>
      <c r="DM14" s="7">
        <f>DL14+預測IC!DM14</f>
        <v>2.8752309628762256</v>
      </c>
      <c r="DN14" s="7">
        <f>DM14+預測IC!DN14</f>
        <v>2.9055297961265421</v>
      </c>
      <c r="DO14" s="7">
        <f>DN14+預測IC!DO14</f>
        <v>3.0081219854897761</v>
      </c>
      <c r="DP14" s="7">
        <f>DO14+預測IC!DP14</f>
        <v>3.0117398437615028</v>
      </c>
      <c r="DQ14" s="7">
        <f>DP14+預測IC!DQ14</f>
        <v>2.9557205577753125</v>
      </c>
      <c r="DR14" s="7">
        <f>DQ14+預測IC!DR14</f>
        <v>2.963514979584398</v>
      </c>
      <c r="DS14" s="7">
        <f>DR14+預測IC!DS14</f>
        <v>2.9284700733134814</v>
      </c>
      <c r="DT14" s="7">
        <f>DS14+預測IC!DT14</f>
        <v>3.0461425866452378</v>
      </c>
      <c r="DU14" s="7">
        <f>DT14+預測IC!DU14</f>
        <v>2.9773473134530737</v>
      </c>
      <c r="DV14" s="7">
        <f>DU14+預測IC!DV14</f>
        <v>2.9967802573417148</v>
      </c>
      <c r="DW14" s="7">
        <f>DV14+預測IC!DW14</f>
        <v>2.9985895668502307</v>
      </c>
      <c r="DX14" s="7">
        <f>DW14+預測IC!DX14</f>
        <v>2.8966580612978094</v>
      </c>
      <c r="DY14" s="7">
        <f>DX14+預測IC!DY14</f>
        <v>2.934655141244658</v>
      </c>
      <c r="DZ14" s="7">
        <f>DY14+預測IC!DZ14</f>
        <v>2.9696861411084381</v>
      </c>
      <c r="EA14" s="7">
        <f>DZ14+預測IC!EA14</f>
        <v>3.0477914069963745</v>
      </c>
      <c r="EB14" s="7">
        <f>EA14+預測IC!EB14</f>
        <v>3.02268188637811</v>
      </c>
      <c r="EC14" s="7">
        <f>EB14+預測IC!EC14</f>
        <v>3.0287612685262428</v>
      </c>
      <c r="ED14" s="7">
        <f>EC14+預測IC!ED14</f>
        <v>2.9951639807243091</v>
      </c>
      <c r="EE14" s="7">
        <f>ED14+預測IC!EE14</f>
        <v>2.9985632342423818</v>
      </c>
      <c r="EF14" s="7">
        <f>EE14+預測IC!EF14</f>
        <v>3.0685196547409399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f>C15+預測IC!D15</f>
        <v>0.60035387438778398</v>
      </c>
      <c r="E15" s="7">
        <f>D15+預測IC!E15</f>
        <v>0.59015544811570042</v>
      </c>
      <c r="F15" s="7">
        <f>E15+預測IC!F15</f>
        <v>0.68045916112545712</v>
      </c>
      <c r="G15" s="7">
        <f>F15+預測IC!G15</f>
        <v>0.77706475167571876</v>
      </c>
      <c r="H15" s="7">
        <f>G15+預測IC!H15</f>
        <v>0.89590845538307806</v>
      </c>
      <c r="I15" s="7">
        <f>H15+預測IC!I15</f>
        <v>0.95433989966294364</v>
      </c>
      <c r="J15" s="7">
        <f>I15+預測IC!J15</f>
        <v>0.88981520955318816</v>
      </c>
      <c r="K15" s="7">
        <f>J15+預測IC!K15</f>
        <v>0.88560484316784738</v>
      </c>
      <c r="L15" s="7">
        <f>K15+預測IC!L15</f>
        <v>0.89857192812888775</v>
      </c>
      <c r="M15" s="7">
        <f>L15+預測IC!M15</f>
        <v>0.71007987841813125</v>
      </c>
      <c r="N15" s="7">
        <f>M15+預測IC!N15</f>
        <v>1.0403892152829384</v>
      </c>
      <c r="O15" s="7">
        <f>N15+預測IC!O15</f>
        <v>1.114146559529253</v>
      </c>
      <c r="P15" s="7">
        <f>O15+預測IC!P15</f>
        <v>1.1671298427216086</v>
      </c>
      <c r="Q15" s="7">
        <f>P15+預測IC!Q15</f>
        <v>1.2675051923054994</v>
      </c>
      <c r="R15" s="7">
        <f>Q15+預測IC!R15</f>
        <v>1.2842606285961176</v>
      </c>
      <c r="S15" s="7">
        <f>R15+預測IC!S15</f>
        <v>1.2412266948227861</v>
      </c>
      <c r="T15" s="7">
        <f>S15+預測IC!T15</f>
        <v>1.1918880221622712</v>
      </c>
      <c r="U15" s="7">
        <f>T15+預測IC!U15</f>
        <v>1.238678265320903</v>
      </c>
      <c r="V15" s="7">
        <f>U15+預測IC!V15</f>
        <v>1.1529973834420295</v>
      </c>
      <c r="W15" s="7">
        <f>V15+預測IC!W15</f>
        <v>1.2599319385999628</v>
      </c>
      <c r="X15" s="7">
        <f>W15+預測IC!X15</f>
        <v>1.3383683510455502</v>
      </c>
      <c r="Y15" s="7">
        <f>X15+預測IC!Y15</f>
        <v>1.3141797324983953</v>
      </c>
      <c r="Z15" s="7">
        <f>Y15+預測IC!Z15</f>
        <v>1.2905233138127246</v>
      </c>
      <c r="AA15" s="7">
        <f>Z15+預測IC!AA15</f>
        <v>1.236442166784691</v>
      </c>
      <c r="AB15" s="7">
        <f>AA15+預測IC!AB15</f>
        <v>1.1624462150005073</v>
      </c>
      <c r="AC15" s="7">
        <f>AB15+預測IC!AC15</f>
        <v>1.1223910854303911</v>
      </c>
      <c r="AD15" s="7">
        <f>AC15+預測IC!AD15</f>
        <v>1.1620815665580995</v>
      </c>
      <c r="AE15" s="7">
        <f>AD15+預測IC!AE15</f>
        <v>1.2093680428038029</v>
      </c>
      <c r="AF15" s="7">
        <f>AE15+預測IC!AF15</f>
        <v>1.2591400676789173</v>
      </c>
      <c r="AG15" s="7">
        <f>AF15+預測IC!AG15</f>
        <v>1.2490165894172618</v>
      </c>
      <c r="AH15" s="7">
        <f>AG15+預測IC!AH15</f>
        <v>1.2154122160595853</v>
      </c>
      <c r="AI15" s="7">
        <f>AH15+預測IC!AI15</f>
        <v>1.3008423268751923</v>
      </c>
      <c r="AJ15" s="7">
        <f>AI15+預測IC!AJ15</f>
        <v>1.3103071868426681</v>
      </c>
      <c r="AK15" s="7">
        <f>AJ15+預測IC!AK15</f>
        <v>1.372066806501113</v>
      </c>
      <c r="AL15" s="7">
        <f>AK15+預測IC!AL15</f>
        <v>1.4164984689969276</v>
      </c>
      <c r="AM15" s="7">
        <f>AL15+預測IC!AM15</f>
        <v>1.4716210911315546</v>
      </c>
      <c r="AN15" s="7">
        <f>AM15+預測IC!AN15</f>
        <v>1.573309797043938</v>
      </c>
      <c r="AO15" s="7">
        <f>AN15+預測IC!AO15</f>
        <v>1.6366796095074052</v>
      </c>
      <c r="AP15" s="7">
        <f>AO15+預測IC!AP15</f>
        <v>1.5583939156146509</v>
      </c>
      <c r="AQ15" s="7">
        <f>AP15+預測IC!AQ15</f>
        <v>1.5210267888185292</v>
      </c>
      <c r="AR15" s="7">
        <f>AQ15+預測IC!AR15</f>
        <v>1.5455776085168078</v>
      </c>
      <c r="AS15" s="7">
        <f>AR15+預測IC!AS15</f>
        <v>1.5993987875539217</v>
      </c>
      <c r="AT15" s="7">
        <f>AS15+預測IC!AT15</f>
        <v>1.6062553058057696</v>
      </c>
      <c r="AU15" s="7">
        <f>AT15+預測IC!AU15</f>
        <v>1.6461985668952359</v>
      </c>
      <c r="AV15" s="7">
        <f>AU15+預測IC!AV15</f>
        <v>1.6794238691136145</v>
      </c>
      <c r="AW15" s="7">
        <f>AV15+預測IC!AW15</f>
        <v>1.6950838083681954</v>
      </c>
      <c r="AX15" s="7">
        <f>AW15+預測IC!AX15</f>
        <v>1.8203177855429307</v>
      </c>
      <c r="AY15" s="7">
        <f>AX15+預測IC!AY15</f>
        <v>1.7771742876921377</v>
      </c>
      <c r="AZ15" s="7">
        <f>AY15+預測IC!AZ15</f>
        <v>1.8140216394447404</v>
      </c>
      <c r="BA15" s="7">
        <f>AZ15+預測IC!BA15</f>
        <v>1.971709587853079</v>
      </c>
      <c r="BB15" s="7">
        <f>BA15+預測IC!BB15</f>
        <v>2.0804986876692015</v>
      </c>
      <c r="BC15" s="7">
        <f>BB15+預測IC!BC15</f>
        <v>2.0420074684335643</v>
      </c>
      <c r="BD15" s="7">
        <f>BC15+預測IC!BD15</f>
        <v>2.0493703843962701</v>
      </c>
      <c r="BE15" s="7">
        <f>BD15+預測IC!BE15</f>
        <v>2.003153270413248</v>
      </c>
      <c r="BF15" s="7">
        <f>BE15+預測IC!BF15</f>
        <v>1.9461752461923363</v>
      </c>
      <c r="BG15" s="7">
        <f>BF15+預測IC!BG15</f>
        <v>1.959951396594757</v>
      </c>
      <c r="BH15" s="7">
        <f>BG15+預測IC!BH15</f>
        <v>1.9255095511130675</v>
      </c>
      <c r="BI15" s="7">
        <f>BH15+預測IC!BI15</f>
        <v>1.9518605745459603</v>
      </c>
      <c r="BJ15" s="7">
        <f>BI15+預測IC!BJ15</f>
        <v>2.0270144726596357</v>
      </c>
      <c r="BK15" s="7">
        <f>BJ15+預測IC!BK15</f>
        <v>2.0998838915422247</v>
      </c>
      <c r="BL15" s="7">
        <f>BK15+預測IC!BL15</f>
        <v>2.0999617929459711</v>
      </c>
      <c r="BM15" s="7">
        <f>BL15+預測IC!BM15</f>
        <v>2.0373633983734263</v>
      </c>
      <c r="BN15" s="7">
        <f>BM15+預測IC!BN15</f>
        <v>2.1034174335990081</v>
      </c>
      <c r="BO15" s="7">
        <f>BN15+預測IC!BO15</f>
        <v>2.1200068771251668</v>
      </c>
      <c r="BP15" s="7">
        <f>BO15+預測IC!BP15</f>
        <v>2.1716237315972315</v>
      </c>
      <c r="BQ15" s="7">
        <f>BP15+預測IC!BQ15</f>
        <v>2.1844266628875593</v>
      </c>
      <c r="BR15" s="7">
        <f>BQ15+預測IC!BR15</f>
        <v>2.1342692337654996</v>
      </c>
      <c r="BS15" s="7">
        <f>BR15+預測IC!BS15</f>
        <v>2.1174454563152132</v>
      </c>
      <c r="BT15" s="7">
        <f>BS15+預測IC!BT15</f>
        <v>2.0808117901196534</v>
      </c>
      <c r="BU15" s="7">
        <f>BT15+預測IC!BU15</f>
        <v>1.9952660563982132</v>
      </c>
      <c r="BV15" s="7">
        <f>BU15+預測IC!BV15</f>
        <v>2.0814461931141333</v>
      </c>
      <c r="BW15" s="7">
        <f>BV15+預測IC!BW15</f>
        <v>2.2855920324666181</v>
      </c>
      <c r="BX15" s="7">
        <f>BW15+預測IC!BX15</f>
        <v>2.3095414639039595</v>
      </c>
      <c r="BY15" s="7">
        <f>BX15+預測IC!BY15</f>
        <v>2.2162030714401229</v>
      </c>
      <c r="BZ15" s="7">
        <f>BY15+預測IC!BZ15</f>
        <v>2.31910954041747</v>
      </c>
      <c r="CA15" s="7">
        <f>BZ15+預測IC!CA15</f>
        <v>2.3490735496425472</v>
      </c>
      <c r="CB15" s="7">
        <f>CA15+預測IC!CB15</f>
        <v>2.4801649524266085</v>
      </c>
      <c r="CC15" s="7">
        <f>CB15+預測IC!CC15</f>
        <v>2.6538166581487284</v>
      </c>
      <c r="CD15" s="7">
        <f>CC15+預測IC!CD15</f>
        <v>2.7739687421118129</v>
      </c>
      <c r="CE15" s="7">
        <f>CD15+預測IC!CE15</f>
        <v>2.8473368621602635</v>
      </c>
      <c r="CF15" s="7">
        <f>CE15+預測IC!CF15</f>
        <v>2.8437100452299409</v>
      </c>
      <c r="CG15" s="7">
        <f>CF15+預測IC!CG15</f>
        <v>3.0694412724950682</v>
      </c>
      <c r="CH15" s="7">
        <f>CG15+預測IC!CH15</f>
        <v>3.1323272307787695</v>
      </c>
      <c r="CI15" s="7">
        <f>CH15+預測IC!CI15</f>
        <v>3.0629903860435324</v>
      </c>
      <c r="CJ15" s="7">
        <f>CI15+預測IC!CJ15</f>
        <v>3.0703730164409389</v>
      </c>
      <c r="CK15" s="7">
        <f>CJ15+預測IC!CK15</f>
        <v>3.1046532279240053</v>
      </c>
      <c r="CL15" s="7">
        <f>CK15+預測IC!CL15</f>
        <v>3.3174041154306608</v>
      </c>
      <c r="CM15" s="7">
        <f>CL15+預測IC!CM15</f>
        <v>3.2092843597177381</v>
      </c>
      <c r="CN15" s="7">
        <f>CM15+預測IC!CN15</f>
        <v>3.2095014946278395</v>
      </c>
      <c r="CO15" s="7">
        <f>CN15+預測IC!CO15</f>
        <v>3.3828614838668889</v>
      </c>
      <c r="CP15" s="7">
        <f>CO15+預測IC!CP15</f>
        <v>3.3484682690719798</v>
      </c>
      <c r="CQ15" s="7">
        <f>CP15+預測IC!CQ15</f>
        <v>3.4880718883309689</v>
      </c>
      <c r="CR15" s="7">
        <f>CQ15+預測IC!CR15</f>
        <v>3.5124462070287241</v>
      </c>
      <c r="CS15" s="7">
        <f>CR15+預測IC!CS15</f>
        <v>3.5293571937329795</v>
      </c>
      <c r="CT15" s="7">
        <f>CS15+預測IC!CT15</f>
        <v>3.5615737501780314</v>
      </c>
      <c r="CU15" s="7">
        <f>CT15+預測IC!CU15</f>
        <v>3.4983950902632586</v>
      </c>
      <c r="CV15" s="7">
        <f>CU15+預測IC!CV15</f>
        <v>3.4922532433584497</v>
      </c>
      <c r="CW15" s="7">
        <f>CV15+預測IC!CW15</f>
        <v>3.4649958018129556</v>
      </c>
      <c r="CX15" s="7">
        <f>CW15+預測IC!CX15</f>
        <v>3.4828646936297352</v>
      </c>
      <c r="CY15" s="7">
        <f>CX15+預測IC!CY15</f>
        <v>3.5385974044545629</v>
      </c>
      <c r="CZ15" s="7">
        <f>CY15+預測IC!CZ15</f>
        <v>3.6184843523989052</v>
      </c>
      <c r="DA15" s="7">
        <f>CZ15+預測IC!DA15</f>
        <v>3.5921085169570288</v>
      </c>
      <c r="DB15" s="7">
        <f>DA15+預測IC!DB15</f>
        <v>3.5618818987429051</v>
      </c>
      <c r="DC15" s="7">
        <f>DB15+預測IC!DC15</f>
        <v>3.638608923075874</v>
      </c>
      <c r="DD15" s="7">
        <f>DC15+預測IC!DD15</f>
        <v>3.5710825140081388</v>
      </c>
      <c r="DE15" s="7">
        <f>DD15+預測IC!DE15</f>
        <v>3.5054744116075449</v>
      </c>
      <c r="DF15" s="7">
        <f>DE15+預測IC!DF15</f>
        <v>3.4630831052081503</v>
      </c>
      <c r="DG15" s="7">
        <f>DF15+預測IC!DG15</f>
        <v>3.4792798368263913</v>
      </c>
      <c r="DH15" s="7">
        <f>DG15+預測IC!DH15</f>
        <v>3.608901772494248</v>
      </c>
      <c r="DI15" s="7">
        <f>DH15+預測IC!DI15</f>
        <v>3.6517135397073615</v>
      </c>
      <c r="DJ15" s="7">
        <f>DI15+預測IC!DJ15</f>
        <v>3.5998596866129544</v>
      </c>
      <c r="DK15" s="7">
        <f>DJ15+預測IC!DK15</f>
        <v>3.4995307597448715</v>
      </c>
      <c r="DL15" s="7">
        <f>DK15+預測IC!DL15</f>
        <v>3.5072685935230417</v>
      </c>
      <c r="DM15" s="7">
        <f>DL15+預測IC!DM15</f>
        <v>3.5090418582602503</v>
      </c>
      <c r="DN15" s="7">
        <f>DM15+預測IC!DN15</f>
        <v>3.4420192890317072</v>
      </c>
      <c r="DO15" s="7">
        <f>DN15+預測IC!DO15</f>
        <v>3.6015647003909792</v>
      </c>
      <c r="DP15" s="7">
        <f>DO15+預測IC!DP15</f>
        <v>3.5612345075997456</v>
      </c>
      <c r="DQ15" s="7">
        <f>DP15+預測IC!DQ15</f>
        <v>3.4882964276956026</v>
      </c>
      <c r="DR15" s="7">
        <f>DQ15+預測IC!DR15</f>
        <v>3.4662611627007287</v>
      </c>
      <c r="DS15" s="7">
        <f>DR15+預測IC!DS15</f>
        <v>3.3900192542889314</v>
      </c>
      <c r="DT15" s="7">
        <f>DS15+預測IC!DT15</f>
        <v>3.4243156532000989</v>
      </c>
      <c r="DU15" s="7">
        <f>DT15+預測IC!DU15</f>
        <v>3.3071879996894511</v>
      </c>
      <c r="DV15" s="7">
        <f>DU15+預測IC!DV15</f>
        <v>3.3583149999342781</v>
      </c>
      <c r="DW15" s="7">
        <f>DV15+預測IC!DW15</f>
        <v>3.2974886735968973</v>
      </c>
      <c r="DX15" s="7">
        <f>DW15+預測IC!DX15</f>
        <v>3.178872422946911</v>
      </c>
      <c r="DY15" s="7">
        <f>DX15+預測IC!DY15</f>
        <v>3.2854115895479206</v>
      </c>
      <c r="DZ15" s="7">
        <f>DY15+預測IC!DZ15</f>
        <v>3.3258672428519298</v>
      </c>
      <c r="EA15" s="7">
        <f>DZ15+預測IC!EA15</f>
        <v>3.3532059690617695</v>
      </c>
      <c r="EB15" s="7">
        <f>EA15+預測IC!EB15</f>
        <v>3.2970794887944446</v>
      </c>
      <c r="EC15" s="7">
        <f>EB15+預測IC!EC15</f>
        <v>3.3631613448423909</v>
      </c>
      <c r="ED15" s="7">
        <f>EC15+預測IC!ED15</f>
        <v>3.2907780255494621</v>
      </c>
      <c r="EE15" s="7">
        <f>ED15+預測IC!EE15</f>
        <v>3.2875873050479352</v>
      </c>
      <c r="EF15" s="7">
        <f>EE15+預測IC!EF15</f>
        <v>3.3532882961867774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f>C16+預測IC!D16</f>
        <v>0.61606975581550971</v>
      </c>
      <c r="E16" s="7">
        <f>D16+預測IC!E16</f>
        <v>0.61323957920542438</v>
      </c>
      <c r="F16" s="7">
        <f>E16+預測IC!F16</f>
        <v>0.73749936711312358</v>
      </c>
      <c r="G16" s="7">
        <f>F16+預測IC!G16</f>
        <v>0.84651187980989517</v>
      </c>
      <c r="H16" s="7">
        <f>G16+預測IC!H16</f>
        <v>0.91935993609754263</v>
      </c>
      <c r="I16" s="7">
        <f>H16+預測IC!I16</f>
        <v>0.97689055476316411</v>
      </c>
      <c r="J16" s="7">
        <f>I16+預測IC!J16</f>
        <v>0.90819652150993646</v>
      </c>
      <c r="K16" s="7">
        <f>J16+預測IC!K16</f>
        <v>0.92612162602819958</v>
      </c>
      <c r="L16" s="7">
        <f>K16+預測IC!L16</f>
        <v>0.95714877699367262</v>
      </c>
      <c r="M16" s="7">
        <f>L16+預測IC!M16</f>
        <v>0.76227237205127918</v>
      </c>
      <c r="N16" s="7">
        <f>M16+預測IC!N16</f>
        <v>1.1292599811738655</v>
      </c>
      <c r="O16" s="7">
        <f>N16+預測IC!O16</f>
        <v>1.2090868417449825</v>
      </c>
      <c r="P16" s="7">
        <f>O16+預測IC!P16</f>
        <v>1.2710665770258904</v>
      </c>
      <c r="Q16" s="7">
        <f>P16+預測IC!Q16</f>
        <v>1.3676847502008003</v>
      </c>
      <c r="R16" s="7">
        <f>Q16+預測IC!R16</f>
        <v>1.3868675124564354</v>
      </c>
      <c r="S16" s="7">
        <f>R16+預測IC!S16</f>
        <v>1.3444523292454813</v>
      </c>
      <c r="T16" s="7">
        <f>S16+預測IC!T16</f>
        <v>1.3212255443013419</v>
      </c>
      <c r="U16" s="7">
        <f>T16+預測IC!U16</f>
        <v>1.3698770600941437</v>
      </c>
      <c r="V16" s="7">
        <f>U16+預測IC!V16</f>
        <v>1.265560884492702</v>
      </c>
      <c r="W16" s="7">
        <f>V16+預測IC!W16</f>
        <v>1.3439343725203399</v>
      </c>
      <c r="X16" s="7">
        <f>W16+預測IC!X16</f>
        <v>1.417612650177807</v>
      </c>
      <c r="Y16" s="7">
        <f>X16+預測IC!Y16</f>
        <v>1.4133252030860706</v>
      </c>
      <c r="Z16" s="7">
        <f>Y16+預測IC!Z16</f>
        <v>1.3932494082076459</v>
      </c>
      <c r="AA16" s="7">
        <f>Z16+預測IC!AA16</f>
        <v>1.3497617723716537</v>
      </c>
      <c r="AB16" s="7">
        <f>AA16+預測IC!AB16</f>
        <v>1.2787456459543167</v>
      </c>
      <c r="AC16" s="7">
        <f>AB16+預測IC!AC16</f>
        <v>1.2377051232452336</v>
      </c>
      <c r="AD16" s="7">
        <f>AC16+預測IC!AD16</f>
        <v>1.2725162951024851</v>
      </c>
      <c r="AE16" s="7">
        <f>AD16+預測IC!AE16</f>
        <v>1.324051286984387</v>
      </c>
      <c r="AF16" s="7">
        <f>AE16+預測IC!AF16</f>
        <v>1.33905990999673</v>
      </c>
      <c r="AG16" s="7">
        <f>AF16+預測IC!AG16</f>
        <v>1.3257691569601946</v>
      </c>
      <c r="AH16" s="7">
        <f>AG16+預測IC!AH16</f>
        <v>1.2940037565107541</v>
      </c>
      <c r="AI16" s="7">
        <f>AH16+預測IC!AI16</f>
        <v>1.3430817996873221</v>
      </c>
      <c r="AJ16" s="7">
        <f>AI16+預測IC!AJ16</f>
        <v>1.336055833615446</v>
      </c>
      <c r="AK16" s="7">
        <f>AJ16+預測IC!AK16</f>
        <v>1.400477234447818</v>
      </c>
      <c r="AL16" s="7">
        <f>AK16+預測IC!AL16</f>
        <v>1.4491661675523413</v>
      </c>
      <c r="AM16" s="7">
        <f>AL16+預測IC!AM16</f>
        <v>1.5152428981541393</v>
      </c>
      <c r="AN16" s="7">
        <f>AM16+預測IC!AN16</f>
        <v>1.6216990982438149</v>
      </c>
      <c r="AO16" s="7">
        <f>AN16+預測IC!AO16</f>
        <v>1.6831237700697272</v>
      </c>
      <c r="AP16" s="7">
        <f>AO16+預測IC!AP16</f>
        <v>1.6053254019241388</v>
      </c>
      <c r="AQ16" s="7">
        <f>AP16+預測IC!AQ16</f>
        <v>1.5668592017780703</v>
      </c>
      <c r="AR16" s="7">
        <f>AQ16+預測IC!AR16</f>
        <v>1.599351961498134</v>
      </c>
      <c r="AS16" s="7">
        <f>AR16+預測IC!AS16</f>
        <v>1.6644201869721034</v>
      </c>
      <c r="AT16" s="7">
        <f>AS16+預測IC!AT16</f>
        <v>1.6683596563522201</v>
      </c>
      <c r="AU16" s="7">
        <f>AT16+預測IC!AU16</f>
        <v>1.7101864946071152</v>
      </c>
      <c r="AV16" s="7">
        <f>AU16+預測IC!AV16</f>
        <v>1.7337953709551741</v>
      </c>
      <c r="AW16" s="7">
        <f>AV16+預測IC!AW16</f>
        <v>1.7730483010298248</v>
      </c>
      <c r="AX16" s="7">
        <f>AW16+預測IC!AX16</f>
        <v>1.8738780742737977</v>
      </c>
      <c r="AY16" s="7">
        <f>AX16+預測IC!AY16</f>
        <v>1.8392043620908674</v>
      </c>
      <c r="AZ16" s="7">
        <f>AY16+預測IC!AZ16</f>
        <v>1.8860312380942441</v>
      </c>
      <c r="BA16" s="7">
        <f>AZ16+預測IC!BA16</f>
        <v>2.0460219382688649</v>
      </c>
      <c r="BB16" s="7">
        <f>BA16+預測IC!BB16</f>
        <v>2.1784966758654365</v>
      </c>
      <c r="BC16" s="7">
        <f>BB16+預測IC!BC16</f>
        <v>2.1388598598093633</v>
      </c>
      <c r="BD16" s="7">
        <f>BC16+預測IC!BD16</f>
        <v>2.1451420442342468</v>
      </c>
      <c r="BE16" s="7">
        <f>BD16+預測IC!BE16</f>
        <v>2.1010029075941778</v>
      </c>
      <c r="BF16" s="7">
        <f>BE16+預測IC!BF16</f>
        <v>2.0464179443883914</v>
      </c>
      <c r="BG16" s="7">
        <f>BF16+預測IC!BG16</f>
        <v>2.0657491513600936</v>
      </c>
      <c r="BH16" s="7">
        <f>BG16+預測IC!BH16</f>
        <v>2.0795247658440554</v>
      </c>
      <c r="BI16" s="7">
        <f>BH16+預測IC!BI16</f>
        <v>2.1051448597676128</v>
      </c>
      <c r="BJ16" s="7">
        <f>BI16+預測IC!BJ16</f>
        <v>2.1865729785435866</v>
      </c>
      <c r="BK16" s="7">
        <f>BJ16+預測IC!BK16</f>
        <v>2.2913461814641551</v>
      </c>
      <c r="BL16" s="7">
        <f>BK16+預測IC!BL16</f>
        <v>2.2829319240704242</v>
      </c>
      <c r="BM16" s="7">
        <f>BL16+預測IC!BM16</f>
        <v>2.2131260988176238</v>
      </c>
      <c r="BN16" s="7">
        <f>BM16+預測IC!BN16</f>
        <v>2.280324069222313</v>
      </c>
      <c r="BO16" s="7">
        <f>BN16+預測IC!BO16</f>
        <v>2.2962843882170487</v>
      </c>
      <c r="BP16" s="7">
        <f>BO16+預測IC!BP16</f>
        <v>2.3540344488975045</v>
      </c>
      <c r="BQ16" s="7">
        <f>BP16+預測IC!BQ16</f>
        <v>2.3705124651524332</v>
      </c>
      <c r="BR16" s="7">
        <f>BQ16+預測IC!BR16</f>
        <v>2.3442156171309887</v>
      </c>
      <c r="BS16" s="7">
        <f>BR16+預測IC!BS16</f>
        <v>2.3310240439835246</v>
      </c>
      <c r="BT16" s="7">
        <f>BS16+預測IC!BT16</f>
        <v>2.2929579657712793</v>
      </c>
      <c r="BU16" s="7">
        <f>BT16+預測IC!BU16</f>
        <v>2.1914213915429746</v>
      </c>
      <c r="BV16" s="7">
        <f>BU16+預測IC!BV16</f>
        <v>2.2859318600098999</v>
      </c>
      <c r="BW16" s="7">
        <f>BV16+預測IC!BW16</f>
        <v>2.5098767740115582</v>
      </c>
      <c r="BX16" s="7">
        <f>BW16+預測IC!BX16</f>
        <v>2.5339550458409055</v>
      </c>
      <c r="BY16" s="7">
        <f>BX16+預測IC!BY16</f>
        <v>2.414960337787627</v>
      </c>
      <c r="BZ16" s="7">
        <f>BY16+預測IC!BZ16</f>
        <v>2.5264861862892762</v>
      </c>
      <c r="CA16" s="7">
        <f>BZ16+預測IC!CA16</f>
        <v>2.5539183559409704</v>
      </c>
      <c r="CB16" s="7">
        <f>CA16+預測IC!CB16</f>
        <v>2.6932270918743044</v>
      </c>
      <c r="CC16" s="7">
        <f>CB16+預測IC!CC16</f>
        <v>2.7376152450445104</v>
      </c>
      <c r="CD16" s="7">
        <f>CC16+預測IC!CD16</f>
        <v>2.8926865166708722</v>
      </c>
      <c r="CE16" s="7">
        <f>CD16+預測IC!CE16</f>
        <v>2.9863007471387881</v>
      </c>
      <c r="CF16" s="7">
        <f>CE16+預測IC!CF16</f>
        <v>2.9716046841723589</v>
      </c>
      <c r="CG16" s="7">
        <f>CF16+預測IC!CG16</f>
        <v>3.1178007241985006</v>
      </c>
      <c r="CH16" s="7">
        <f>CG16+預測IC!CH16</f>
        <v>3.1594981389015278</v>
      </c>
      <c r="CI16" s="7">
        <f>CH16+預測IC!CI16</f>
        <v>3.10115338905702</v>
      </c>
      <c r="CJ16" s="7">
        <f>CI16+預測IC!CJ16</f>
        <v>3.1289538123799909</v>
      </c>
      <c r="CK16" s="7">
        <f>CJ16+預測IC!CK16</f>
        <v>3.1996856928966748</v>
      </c>
      <c r="CL16" s="7">
        <f>CK16+預測IC!CL16</f>
        <v>3.4436238494620968</v>
      </c>
      <c r="CM16" s="7">
        <f>CL16+預測IC!CM16</f>
        <v>3.3305680110707221</v>
      </c>
      <c r="CN16" s="7">
        <f>CM16+預測IC!CN16</f>
        <v>3.3401770588547444</v>
      </c>
      <c r="CO16" s="7">
        <f>CN16+預測IC!CO16</f>
        <v>3.5497245773144961</v>
      </c>
      <c r="CP16" s="7">
        <f>CO16+預測IC!CP16</f>
        <v>3.5190401384325942</v>
      </c>
      <c r="CQ16" s="7">
        <f>CP16+預測IC!CQ16</f>
        <v>3.6874899230365203</v>
      </c>
      <c r="CR16" s="7">
        <f>CQ16+預測IC!CR16</f>
        <v>3.7127185795486799</v>
      </c>
      <c r="CS16" s="7">
        <f>CR16+預測IC!CS16</f>
        <v>3.7345255884583022</v>
      </c>
      <c r="CT16" s="7">
        <f>CS16+預測IC!CT16</f>
        <v>3.7834291142897309</v>
      </c>
      <c r="CU16" s="7">
        <f>CT16+預測IC!CU16</f>
        <v>3.7199944599307564</v>
      </c>
      <c r="CV16" s="7">
        <f>CU16+預測IC!CV16</f>
        <v>3.7032433758500356</v>
      </c>
      <c r="CW16" s="7">
        <f>CV16+預測IC!CW16</f>
        <v>3.6715702616783528</v>
      </c>
      <c r="CX16" s="7">
        <f>CW16+預測IC!CX16</f>
        <v>3.678257039356581</v>
      </c>
      <c r="CY16" s="7">
        <f>CX16+預測IC!CY16</f>
        <v>3.7368113455278338</v>
      </c>
      <c r="CZ16" s="7">
        <f>CY16+預測IC!CZ16</f>
        <v>3.8394446047059665</v>
      </c>
      <c r="DA16" s="7">
        <f>CZ16+預測IC!DA16</f>
        <v>3.809639810738731</v>
      </c>
      <c r="DB16" s="7">
        <f>DA16+預測IC!DB16</f>
        <v>3.7669276409585049</v>
      </c>
      <c r="DC16" s="7">
        <f>DB16+預測IC!DC16</f>
        <v>3.83066829946655</v>
      </c>
      <c r="DD16" s="7">
        <f>DC16+預測IC!DD16</f>
        <v>3.7562971844639526</v>
      </c>
      <c r="DE16" s="7">
        <f>DD16+預測IC!DE16</f>
        <v>3.6999712713864428</v>
      </c>
      <c r="DF16" s="7">
        <f>DE16+預測IC!DF16</f>
        <v>3.6768248381608837</v>
      </c>
      <c r="DG16" s="7">
        <f>DF16+預測IC!DG16</f>
        <v>3.6912777857923222</v>
      </c>
      <c r="DH16" s="7">
        <f>DG16+預測IC!DH16</f>
        <v>3.8284255462048304</v>
      </c>
      <c r="DI16" s="7">
        <f>DH16+預測IC!DI16</f>
        <v>3.876255153921818</v>
      </c>
      <c r="DJ16" s="7">
        <f>DI16+預測IC!DJ16</f>
        <v>3.8471137478411883</v>
      </c>
      <c r="DK16" s="7">
        <f>DJ16+預測IC!DK16</f>
        <v>3.750859123041991</v>
      </c>
      <c r="DL16" s="7">
        <f>DK16+預測IC!DL16</f>
        <v>3.7522250951299139</v>
      </c>
      <c r="DM16" s="7">
        <f>DL16+預測IC!DM16</f>
        <v>3.7903600906904655</v>
      </c>
      <c r="DN16" s="7">
        <f>DM16+預測IC!DN16</f>
        <v>3.733652513752149</v>
      </c>
      <c r="DO16" s="7">
        <f>DN16+預測IC!DO16</f>
        <v>3.9032434601402235</v>
      </c>
      <c r="DP16" s="7">
        <f>DO16+預測IC!DP16</f>
        <v>3.8785268767624879</v>
      </c>
      <c r="DQ16" s="7">
        <f>DP16+預測IC!DQ16</f>
        <v>3.8109663568168517</v>
      </c>
      <c r="DR16" s="7">
        <f>DQ16+預測IC!DR16</f>
        <v>3.7997881891677503</v>
      </c>
      <c r="DS16" s="7">
        <f>DR16+預測IC!DS16</f>
        <v>3.706036124177996</v>
      </c>
      <c r="DT16" s="7">
        <f>DS16+預測IC!DT16</f>
        <v>3.7380956163312358</v>
      </c>
      <c r="DU16" s="7">
        <f>DT16+預測IC!DU16</f>
        <v>3.6153235698082717</v>
      </c>
      <c r="DV16" s="7">
        <f>DU16+預測IC!DV16</f>
        <v>3.6604725542176588</v>
      </c>
      <c r="DW16" s="7">
        <f>DV16+預測IC!DW16</f>
        <v>3.5891699800943022</v>
      </c>
      <c r="DX16" s="7">
        <f>DW16+預測IC!DX16</f>
        <v>3.463885273770325</v>
      </c>
      <c r="DY16" s="7">
        <f>DX16+預測IC!DY16</f>
        <v>3.5802396086806683</v>
      </c>
      <c r="DZ16" s="7">
        <f>DY16+預測IC!DZ16</f>
        <v>3.6390503568717141</v>
      </c>
      <c r="EA16" s="7">
        <f>DZ16+預測IC!EA16</f>
        <v>3.685711728427441</v>
      </c>
      <c r="EB16" s="7">
        <f>EA16+預測IC!EB16</f>
        <v>3.6148362846478901</v>
      </c>
      <c r="EC16" s="7">
        <f>EB16+預測IC!EC16</f>
        <v>3.6783683512824599</v>
      </c>
      <c r="ED16" s="7">
        <f>EC16+預測IC!ED16</f>
        <v>3.5980834386236262</v>
      </c>
      <c r="EE16" s="7">
        <f>ED16+預測IC!EE16</f>
        <v>3.5936867633168665</v>
      </c>
      <c r="EF16" s="7">
        <f>EE16+預測IC!EF16</f>
        <v>3.6361611648107739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f>C17+預測IC!D17</f>
        <v>0.64568067700382725</v>
      </c>
      <c r="E17" s="7">
        <f>D17+預測IC!E17</f>
        <v>0.6530596784991286</v>
      </c>
      <c r="F17" s="7">
        <f>E17+預測IC!F17</f>
        <v>0.7998314928116409</v>
      </c>
      <c r="G17" s="7">
        <f>F17+預測IC!G17</f>
        <v>0.91696297300677554</v>
      </c>
      <c r="H17" s="7">
        <f>G17+預測IC!H17</f>
        <v>1.0219570266345166</v>
      </c>
      <c r="I17" s="7">
        <f>H17+預測IC!I17</f>
        <v>1.1356820544367041</v>
      </c>
      <c r="J17" s="7">
        <f>I17+預測IC!J17</f>
        <v>1.0203829811947542</v>
      </c>
      <c r="K17" s="7">
        <f>J17+預測IC!K17</f>
        <v>1.0598279731124882</v>
      </c>
      <c r="L17" s="7">
        <f>K17+預測IC!L17</f>
        <v>1.0936039026511264</v>
      </c>
      <c r="M17" s="7">
        <f>L17+預測IC!M17</f>
        <v>0.86666326535880356</v>
      </c>
      <c r="N17" s="7">
        <f>M17+預測IC!N17</f>
        <v>1.2717712742982656</v>
      </c>
      <c r="O17" s="7">
        <f>N17+預測IC!O17</f>
        <v>1.3729980435706013</v>
      </c>
      <c r="P17" s="7">
        <f>O17+預測IC!P17</f>
        <v>1.4499136470735023</v>
      </c>
      <c r="Q17" s="7">
        <f>P17+預測IC!Q17</f>
        <v>1.556343900359979</v>
      </c>
      <c r="R17" s="7">
        <f>Q17+預測IC!R17</f>
        <v>1.5583191516406485</v>
      </c>
      <c r="S17" s="7">
        <f>R17+預測IC!S17</f>
        <v>1.5031871259026761</v>
      </c>
      <c r="T17" s="7">
        <f>S17+預測IC!T17</f>
        <v>1.4796795372511151</v>
      </c>
      <c r="U17" s="7">
        <f>T17+預測IC!U17</f>
        <v>1.5319697711979312</v>
      </c>
      <c r="V17" s="7">
        <f>U17+預測IC!V17</f>
        <v>1.4156134691725311</v>
      </c>
      <c r="W17" s="7">
        <f>V17+預測IC!W17</f>
        <v>1.4947554579745483</v>
      </c>
      <c r="X17" s="7">
        <f>W17+預測IC!X17</f>
        <v>1.5949414249785367</v>
      </c>
      <c r="Y17" s="7">
        <f>X17+預測IC!Y17</f>
        <v>1.596441926305074</v>
      </c>
      <c r="Z17" s="7">
        <f>Y17+預測IC!Z17</f>
        <v>1.5748334365108076</v>
      </c>
      <c r="AA17" s="7">
        <f>Z17+預測IC!AA17</f>
        <v>1.5396236469286086</v>
      </c>
      <c r="AB17" s="7">
        <f>AA17+預測IC!AB17</f>
        <v>1.4812894862378305</v>
      </c>
      <c r="AC17" s="7">
        <f>AB17+預測IC!AC17</f>
        <v>1.4404904752501484</v>
      </c>
      <c r="AD17" s="7">
        <f>AC17+預測IC!AD17</f>
        <v>1.5091102984869953</v>
      </c>
      <c r="AE17" s="7">
        <f>AD17+預測IC!AE17</f>
        <v>1.5685537981826876</v>
      </c>
      <c r="AF17" s="7">
        <f>AE17+預測IC!AF17</f>
        <v>1.5769650414309992</v>
      </c>
      <c r="AG17" s="7">
        <f>AF17+預測IC!AG17</f>
        <v>1.5542240606432089</v>
      </c>
      <c r="AH17" s="7">
        <f>AG17+預測IC!AH17</f>
        <v>1.51875144147032</v>
      </c>
      <c r="AI17" s="7">
        <f>AH17+預測IC!AI17</f>
        <v>1.5493391501118337</v>
      </c>
      <c r="AJ17" s="7">
        <f>AI17+預測IC!AJ17</f>
        <v>1.5067365195928768</v>
      </c>
      <c r="AK17" s="7">
        <f>AJ17+預測IC!AK17</f>
        <v>1.5804527943319133</v>
      </c>
      <c r="AL17" s="7">
        <f>AK17+預測IC!AL17</f>
        <v>1.6311772000804698</v>
      </c>
      <c r="AM17" s="7">
        <f>AL17+預測IC!AM17</f>
        <v>1.7065465676681268</v>
      </c>
      <c r="AN17" s="7">
        <f>AM17+預測IC!AN17</f>
        <v>1.8198336880140444</v>
      </c>
      <c r="AO17" s="7">
        <f>AN17+預測IC!AO17</f>
        <v>1.8324660226097687</v>
      </c>
      <c r="AP17" s="7">
        <f>AO17+預測IC!AP17</f>
        <v>1.7552232081901831</v>
      </c>
      <c r="AQ17" s="7">
        <f>AP17+預測IC!AQ17</f>
        <v>1.694696070788684</v>
      </c>
      <c r="AR17" s="7">
        <f>AQ17+預測IC!AR17</f>
        <v>1.7296933518237414</v>
      </c>
      <c r="AS17" s="7">
        <f>AR17+預測IC!AS17</f>
        <v>1.7860169138582171</v>
      </c>
      <c r="AT17" s="7">
        <f>AS17+預測IC!AT17</f>
        <v>1.7874495958242527</v>
      </c>
      <c r="AU17" s="7">
        <f>AT17+預測IC!AU17</f>
        <v>1.8420051031109406</v>
      </c>
      <c r="AV17" s="7">
        <f>AU17+預測IC!AV17</f>
        <v>1.8695681571862179</v>
      </c>
      <c r="AW17" s="7">
        <f>AV17+預測IC!AW17</f>
        <v>1.8779900452280547</v>
      </c>
      <c r="AX17" s="7">
        <f>AW17+預測IC!AX17</f>
        <v>1.9742306037368538</v>
      </c>
      <c r="AY17" s="7">
        <f>AX17+預測IC!AY17</f>
        <v>1.927418622356434</v>
      </c>
      <c r="AZ17" s="7">
        <f>AY17+預測IC!AZ17</f>
        <v>1.975399056165607</v>
      </c>
      <c r="BA17" s="7">
        <f>AZ17+預測IC!BA17</f>
        <v>2.1382054659753695</v>
      </c>
      <c r="BB17" s="7">
        <f>BA17+預測IC!BB17</f>
        <v>2.2914767502537541</v>
      </c>
      <c r="BC17" s="7">
        <f>BB17+預測IC!BC17</f>
        <v>2.2337120575017928</v>
      </c>
      <c r="BD17" s="7">
        <f>BC17+預測IC!BD17</f>
        <v>2.2531239293946697</v>
      </c>
      <c r="BE17" s="7">
        <f>BD17+預測IC!BE17</f>
        <v>2.2368265406241252</v>
      </c>
      <c r="BF17" s="7">
        <f>BE17+預測IC!BF17</f>
        <v>2.1594089365690525</v>
      </c>
      <c r="BG17" s="7">
        <f>BF17+預測IC!BG17</f>
        <v>2.1462556257832803</v>
      </c>
      <c r="BH17" s="7">
        <f>BG17+預測IC!BH17</f>
        <v>2.1327361649315275</v>
      </c>
      <c r="BI17" s="7">
        <f>BH17+預測IC!BI17</f>
        <v>2.1901857886699627</v>
      </c>
      <c r="BJ17" s="7">
        <f>BI17+預測IC!BJ17</f>
        <v>2.2793772662266218</v>
      </c>
      <c r="BK17" s="7">
        <f>BJ17+預測IC!BK17</f>
        <v>2.3941930582261395</v>
      </c>
      <c r="BL17" s="7">
        <f>BK17+預測IC!BL17</f>
        <v>2.401766663333087</v>
      </c>
      <c r="BM17" s="7">
        <f>BL17+預測IC!BM17</f>
        <v>2.3237993375512431</v>
      </c>
      <c r="BN17" s="7">
        <f>BM17+預測IC!BN17</f>
        <v>2.3974561054876089</v>
      </c>
      <c r="BO17" s="7">
        <f>BN17+預測IC!BO17</f>
        <v>2.4288064041709907</v>
      </c>
      <c r="BP17" s="7">
        <f>BO17+預測IC!BP17</f>
        <v>2.4894445510809078</v>
      </c>
      <c r="BQ17" s="7">
        <f>BP17+預測IC!BQ17</f>
        <v>2.5008210615273594</v>
      </c>
      <c r="BR17" s="7">
        <f>BQ17+預測IC!BR17</f>
        <v>2.4911746864026094</v>
      </c>
      <c r="BS17" s="7">
        <f>BR17+預測IC!BS17</f>
        <v>2.4870712172920029</v>
      </c>
      <c r="BT17" s="7">
        <f>BS17+預測IC!BT17</f>
        <v>2.4534236440456443</v>
      </c>
      <c r="BU17" s="7">
        <f>BT17+預測IC!BU17</f>
        <v>2.3488993445127835</v>
      </c>
      <c r="BV17" s="7">
        <f>BU17+預測IC!BV17</f>
        <v>2.4555432621461755</v>
      </c>
      <c r="BW17" s="7">
        <f>BV17+預測IC!BW17</f>
        <v>2.6827773556551384</v>
      </c>
      <c r="BX17" s="7">
        <f>BW17+預測IC!BX17</f>
        <v>2.6898731454966054</v>
      </c>
      <c r="BY17" s="7">
        <f>BX17+預測IC!BY17</f>
        <v>2.5940122735766145</v>
      </c>
      <c r="BZ17" s="7">
        <f>BY17+預測IC!BZ17</f>
        <v>2.7145904294576999</v>
      </c>
      <c r="CA17" s="7">
        <f>BZ17+預測IC!CA17</f>
        <v>2.7417872138356145</v>
      </c>
      <c r="CB17" s="7">
        <f>CA17+預測IC!CB17</f>
        <v>2.8914203715285041</v>
      </c>
      <c r="CC17" s="7">
        <f>CB17+預測IC!CC17</f>
        <v>2.9331806240027398</v>
      </c>
      <c r="CD17" s="7">
        <f>CC17+預測IC!CD17</f>
        <v>3.1061403652218882</v>
      </c>
      <c r="CE17" s="7">
        <f>CD17+預測IC!CE17</f>
        <v>3.2018484388833834</v>
      </c>
      <c r="CF17" s="7">
        <f>CE17+預測IC!CF17</f>
        <v>3.1067250899451797</v>
      </c>
      <c r="CG17" s="7">
        <f>CF17+預測IC!CG17</f>
        <v>3.2837596972685312</v>
      </c>
      <c r="CH17" s="7">
        <f>CG17+預測IC!CH17</f>
        <v>3.3423961438755811</v>
      </c>
      <c r="CI17" s="7">
        <f>CH17+預測IC!CI17</f>
        <v>3.2599432295555242</v>
      </c>
      <c r="CJ17" s="7">
        <f>CI17+預測IC!CJ17</f>
        <v>3.2982651710477411</v>
      </c>
      <c r="CK17" s="7">
        <f>CJ17+預測IC!CK17</f>
        <v>3.3740081328545037</v>
      </c>
      <c r="CL17" s="7">
        <f>CK17+預測IC!CL17</f>
        <v>3.6611872308358571</v>
      </c>
      <c r="CM17" s="7">
        <f>CL17+預測IC!CM17</f>
        <v>3.5656933600193033</v>
      </c>
      <c r="CN17" s="7">
        <f>CM17+預測IC!CN17</f>
        <v>3.5793239837333042</v>
      </c>
      <c r="CO17" s="7">
        <f>CN17+預測IC!CO17</f>
        <v>3.7774044036230929</v>
      </c>
      <c r="CP17" s="7">
        <f>CO17+預測IC!CP17</f>
        <v>3.7557948747053822</v>
      </c>
      <c r="CQ17" s="7">
        <f>CP17+預測IC!CQ17</f>
        <v>3.9289240330377768</v>
      </c>
      <c r="CR17" s="7">
        <f>CQ17+預測IC!CR17</f>
        <v>3.9519298625757751</v>
      </c>
      <c r="CS17" s="7">
        <f>CR17+預測IC!CS17</f>
        <v>3.9634753782927801</v>
      </c>
      <c r="CT17" s="7">
        <f>CS17+預測IC!CT17</f>
        <v>4.0221291748953938</v>
      </c>
      <c r="CU17" s="7">
        <f>CT17+預測IC!CU17</f>
        <v>3.9477208673121398</v>
      </c>
      <c r="CV17" s="7">
        <f>CU17+預測IC!CV17</f>
        <v>3.951600475252067</v>
      </c>
      <c r="CW17" s="7">
        <f>CV17+預測IC!CW17</f>
        <v>3.9284446304372191</v>
      </c>
      <c r="CX17" s="7">
        <f>CW17+預測IC!CX17</f>
        <v>3.9534370796427409</v>
      </c>
      <c r="CY17" s="7">
        <f>CX17+預測IC!CY17</f>
        <v>4.0129350315025638</v>
      </c>
      <c r="CZ17" s="7">
        <f>CY17+預測IC!CZ17</f>
        <v>4.1371838693501841</v>
      </c>
      <c r="DA17" s="7">
        <f>CZ17+預測IC!DA17</f>
        <v>4.0932880102050495</v>
      </c>
      <c r="DB17" s="7">
        <f>DA17+預測IC!DB17</f>
        <v>4.0584049994125815</v>
      </c>
      <c r="DC17" s="7">
        <f>DB17+預測IC!DC17</f>
        <v>4.1122933213614639</v>
      </c>
      <c r="DD17" s="7">
        <f>DC17+預測IC!DD17</f>
        <v>4.0641627320229521</v>
      </c>
      <c r="DE17" s="7">
        <f>DD17+預測IC!DE17</f>
        <v>4.0124964689558835</v>
      </c>
      <c r="DF17" s="7">
        <f>DE17+預測IC!DF17</f>
        <v>4.001265098629224</v>
      </c>
      <c r="DG17" s="7">
        <f>DF17+預測IC!DG17</f>
        <v>3.9994258167003154</v>
      </c>
      <c r="DH17" s="7">
        <f>DG17+預測IC!DH17</f>
        <v>4.1628576179123042</v>
      </c>
      <c r="DI17" s="7">
        <f>DH17+預測IC!DI17</f>
        <v>4.2330400079830328</v>
      </c>
      <c r="DJ17" s="7">
        <f>DI17+預測IC!DJ17</f>
        <v>4.1877038504422126</v>
      </c>
      <c r="DK17" s="7">
        <f>DJ17+預測IC!DK17</f>
        <v>4.0849225816939061</v>
      </c>
      <c r="DL17" s="7">
        <f>DK17+預測IC!DL17</f>
        <v>4.0791322359484132</v>
      </c>
      <c r="DM17" s="7">
        <f>DL17+預測IC!DM17</f>
        <v>4.1216958446601657</v>
      </c>
      <c r="DN17" s="7">
        <f>DM17+預測IC!DN17</f>
        <v>4.061066661867617</v>
      </c>
      <c r="DO17" s="7">
        <f>DN17+預測IC!DO17</f>
        <v>4.2408295879663456</v>
      </c>
      <c r="DP17" s="7">
        <f>DO17+預測IC!DP17</f>
        <v>4.2157321579582909</v>
      </c>
      <c r="DQ17" s="7">
        <f>DP17+預測IC!DQ17</f>
        <v>4.1504878098245284</v>
      </c>
      <c r="DR17" s="7">
        <f>DQ17+預測IC!DR17</f>
        <v>4.1247613703582546</v>
      </c>
      <c r="DS17" s="7">
        <f>DR17+預測IC!DS17</f>
        <v>4.000445210553444</v>
      </c>
      <c r="DT17" s="7">
        <f>DS17+預測IC!DT17</f>
        <v>4.0171884004726364</v>
      </c>
      <c r="DU17" s="7">
        <f>DT17+預測IC!DU17</f>
        <v>3.8876954441526466</v>
      </c>
      <c r="DV17" s="7">
        <f>DU17+預測IC!DV17</f>
        <v>3.9499652356506942</v>
      </c>
      <c r="DW17" s="7">
        <f>DV17+預測IC!DW17</f>
        <v>3.8733663226146979</v>
      </c>
      <c r="DX17" s="7">
        <f>DW17+預測IC!DX17</f>
        <v>3.7438273400182238</v>
      </c>
      <c r="DY17" s="7">
        <f>DX17+預測IC!DY17</f>
        <v>3.8559657948242978</v>
      </c>
      <c r="DZ17" s="7">
        <f>DY17+預測IC!DZ17</f>
        <v>3.9051784239941059</v>
      </c>
      <c r="EA17" s="7">
        <f>DZ17+預測IC!EA17</f>
        <v>3.9169963478598184</v>
      </c>
      <c r="EB17" s="7">
        <f>EA17+預測IC!EB17</f>
        <v>3.8432153781421654</v>
      </c>
      <c r="EC17" s="7">
        <f>EB17+預測IC!EC17</f>
        <v>3.859640595358226</v>
      </c>
      <c r="ED17" s="7">
        <f>EC17+預測IC!ED17</f>
        <v>3.7767849729547414</v>
      </c>
      <c r="EE17" s="7">
        <f>ED17+預測IC!EE17</f>
        <v>3.7769784941008209</v>
      </c>
      <c r="EF17" s="7">
        <f>EE17+預測IC!EF17</f>
        <v>3.8246882611106727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f>C18+預測IC!D18</f>
        <v>0.59163480391442624</v>
      </c>
      <c r="E18" s="7">
        <f>D18+預測IC!E18</f>
        <v>0.53263414681621846</v>
      </c>
      <c r="F18" s="7">
        <f>E18+預測IC!F18</f>
        <v>0.74472479797426094</v>
      </c>
      <c r="G18" s="7">
        <f>F18+預測IC!G18</f>
        <v>0.87778285529387179</v>
      </c>
      <c r="H18" s="7">
        <f>G18+預測IC!H18</f>
        <v>1.0063224170684431</v>
      </c>
      <c r="I18" s="7">
        <f>H18+預測IC!I18</f>
        <v>1.1418225972916842</v>
      </c>
      <c r="J18" s="7">
        <f>I18+預測IC!J18</f>
        <v>1.0166608042031424</v>
      </c>
      <c r="K18" s="7">
        <f>J18+預測IC!K18</f>
        <v>1.0482472545140562</v>
      </c>
      <c r="L18" s="7">
        <f>K18+預測IC!L18</f>
        <v>1.0949199748547294</v>
      </c>
      <c r="M18" s="7">
        <f>L18+預測IC!M18</f>
        <v>0.84140678084206888</v>
      </c>
      <c r="N18" s="7">
        <f>M18+預測IC!N18</f>
        <v>1.303226798912682</v>
      </c>
      <c r="O18" s="7">
        <f>N18+預測IC!O18</f>
        <v>1.4068972885423012</v>
      </c>
      <c r="P18" s="7">
        <f>O18+預測IC!P18</f>
        <v>1.4614669016532853</v>
      </c>
      <c r="Q18" s="7">
        <f>P18+預測IC!Q18</f>
        <v>1.5832032733179204</v>
      </c>
      <c r="R18" s="7">
        <f>Q18+預測IC!R18</f>
        <v>1.6025294722447767</v>
      </c>
      <c r="S18" s="7">
        <f>R18+預測IC!S18</f>
        <v>1.5335161318510679</v>
      </c>
      <c r="T18" s="7">
        <f>S18+預測IC!T18</f>
        <v>1.5284879916778031</v>
      </c>
      <c r="U18" s="7">
        <f>T18+預測IC!U18</f>
        <v>1.5566235193103939</v>
      </c>
      <c r="V18" s="7">
        <f>U18+預測IC!V18</f>
        <v>1.4253695923709528</v>
      </c>
      <c r="W18" s="7">
        <f>V18+預測IC!W18</f>
        <v>1.5026658724306914</v>
      </c>
      <c r="X18" s="7">
        <f>W18+預測IC!X18</f>
        <v>1.6297886810561817</v>
      </c>
      <c r="Y18" s="7">
        <f>X18+預測IC!Y18</f>
        <v>1.6540024887767626</v>
      </c>
      <c r="Z18" s="7">
        <f>Y18+預測IC!Z18</f>
        <v>1.6370967725893788</v>
      </c>
      <c r="AA18" s="7">
        <f>Z18+預測IC!AA18</f>
        <v>1.5953915274066548</v>
      </c>
      <c r="AB18" s="7">
        <f>AA18+預測IC!AB18</f>
        <v>1.5336776767329314</v>
      </c>
      <c r="AC18" s="7">
        <f>AB18+預測IC!AC18</f>
        <v>1.4589578533536647</v>
      </c>
      <c r="AD18" s="7">
        <f>AC18+預測IC!AD18</f>
        <v>1.5552436985390841</v>
      </c>
      <c r="AE18" s="7">
        <f>AD18+預測IC!AE18</f>
        <v>1.6324452901579638</v>
      </c>
      <c r="AF18" s="7">
        <f>AE18+預測IC!AF18</f>
        <v>1.6306937982094427</v>
      </c>
      <c r="AG18" s="7">
        <f>AF18+預測IC!AG18</f>
        <v>1.5982006821115666</v>
      </c>
      <c r="AH18" s="7">
        <f>AG18+預測IC!AH18</f>
        <v>1.5580032211430519</v>
      </c>
      <c r="AI18" s="7">
        <f>AH18+預測IC!AI18</f>
        <v>1.6048587624968078</v>
      </c>
      <c r="AJ18" s="7">
        <f>AI18+預測IC!AJ18</f>
        <v>1.5574650063303588</v>
      </c>
      <c r="AK18" s="7">
        <f>AJ18+預測IC!AK18</f>
        <v>1.5876174869279849</v>
      </c>
      <c r="AL18" s="7">
        <f>AK18+預測IC!AL18</f>
        <v>1.6351452505602426</v>
      </c>
      <c r="AM18" s="7">
        <f>AL18+預測IC!AM18</f>
        <v>1.7017886559850139</v>
      </c>
      <c r="AN18" s="7">
        <f>AM18+預測IC!AN18</f>
        <v>1.7810832959402156</v>
      </c>
      <c r="AO18" s="7">
        <f>AN18+預測IC!AO18</f>
        <v>1.7865108309079085</v>
      </c>
      <c r="AP18" s="7">
        <f>AO18+預測IC!AP18</f>
        <v>1.7082322389741016</v>
      </c>
      <c r="AQ18" s="7">
        <f>AP18+預測IC!AQ18</f>
        <v>1.6320013936476516</v>
      </c>
      <c r="AR18" s="7">
        <f>AQ18+預測IC!AR18</f>
        <v>1.6936959172484332</v>
      </c>
      <c r="AS18" s="7">
        <f>AR18+預測IC!AS18</f>
        <v>1.7795224688024023</v>
      </c>
      <c r="AT18" s="7">
        <f>AS18+預測IC!AT18</f>
        <v>1.8091767943693662</v>
      </c>
      <c r="AU18" s="7">
        <f>AT18+預測IC!AU18</f>
        <v>1.8737524384489577</v>
      </c>
      <c r="AV18" s="7">
        <f>AU18+預測IC!AV18</f>
        <v>1.908810126024834</v>
      </c>
      <c r="AW18" s="7">
        <f>AV18+預測IC!AW18</f>
        <v>1.9333481602659415</v>
      </c>
      <c r="AX18" s="7">
        <f>AW18+預測IC!AX18</f>
        <v>2.0409090285217775</v>
      </c>
      <c r="AY18" s="7">
        <f>AX18+預測IC!AY18</f>
        <v>1.9981314206139185</v>
      </c>
      <c r="AZ18" s="7">
        <f>AY18+預測IC!AZ18</f>
        <v>2.06447269635134</v>
      </c>
      <c r="BA18" s="7">
        <f>AZ18+預測IC!BA18</f>
        <v>2.2449524610208864</v>
      </c>
      <c r="BB18" s="7">
        <f>BA18+預測IC!BB18</f>
        <v>2.4122104795016792</v>
      </c>
      <c r="BC18" s="7">
        <f>BB18+預測IC!BC18</f>
        <v>2.3597572126842548</v>
      </c>
      <c r="BD18" s="7">
        <f>BC18+預測IC!BD18</f>
        <v>2.3800323523412819</v>
      </c>
      <c r="BE18" s="7">
        <f>BD18+預測IC!BE18</f>
        <v>2.3578018110823979</v>
      </c>
      <c r="BF18" s="7">
        <f>BE18+預測IC!BF18</f>
        <v>2.3196586599942335</v>
      </c>
      <c r="BG18" s="7">
        <f>BF18+預測IC!BG18</f>
        <v>2.3173504231047279</v>
      </c>
      <c r="BH18" s="7">
        <f>BG18+預測IC!BH18</f>
        <v>2.2968465700409224</v>
      </c>
      <c r="BI18" s="7">
        <f>BH18+預測IC!BI18</f>
        <v>2.3303341496447145</v>
      </c>
      <c r="BJ18" s="7">
        <f>BI18+預測IC!BJ18</f>
        <v>2.4298656689178619</v>
      </c>
      <c r="BK18" s="7">
        <f>BJ18+預測IC!BK18</f>
        <v>2.5033212957418676</v>
      </c>
      <c r="BL18" s="7">
        <f>BK18+預測IC!BL18</f>
        <v>2.5296740752247362</v>
      </c>
      <c r="BM18" s="7">
        <f>BL18+預測IC!BM18</f>
        <v>2.459891742495254</v>
      </c>
      <c r="BN18" s="7">
        <f>BM18+預測IC!BN18</f>
        <v>2.5381004419776292</v>
      </c>
      <c r="BO18" s="7">
        <f>BN18+預測IC!BO18</f>
        <v>2.5465071732460034</v>
      </c>
      <c r="BP18" s="7">
        <f>BO18+預測IC!BP18</f>
        <v>2.6089706052824551</v>
      </c>
      <c r="BQ18" s="7">
        <f>BP18+預測IC!BQ18</f>
        <v>2.6108873893923041</v>
      </c>
      <c r="BR18" s="7">
        <f>BQ18+預測IC!BR18</f>
        <v>2.6051391958083494</v>
      </c>
      <c r="BS18" s="7">
        <f>BR18+預測IC!BS18</f>
        <v>2.6011555707112302</v>
      </c>
      <c r="BT18" s="7">
        <f>BS18+預測IC!BT18</f>
        <v>2.5878564199335523</v>
      </c>
      <c r="BU18" s="7">
        <f>BT18+預測IC!BU18</f>
        <v>2.4763948744044497</v>
      </c>
      <c r="BV18" s="7">
        <f>BU18+預測IC!BV18</f>
        <v>2.5919003931170939</v>
      </c>
      <c r="BW18" s="7">
        <f>BV18+預測IC!BW18</f>
        <v>2.8529403234156487</v>
      </c>
      <c r="BX18" s="7">
        <f>BW18+預測IC!BX18</f>
        <v>2.8371283994698562</v>
      </c>
      <c r="BY18" s="7">
        <f>BX18+預測IC!BY18</f>
        <v>2.7744416550197712</v>
      </c>
      <c r="BZ18" s="7">
        <f>BY18+預測IC!BZ18</f>
        <v>2.9277616428223694</v>
      </c>
      <c r="CA18" s="7">
        <f>BZ18+預測IC!CA18</f>
        <v>2.9610478077228986</v>
      </c>
      <c r="CB18" s="7">
        <f>CA18+預測IC!CB18</f>
        <v>3.0678938681929719</v>
      </c>
      <c r="CC18" s="7">
        <f>CB18+預測IC!CC18</f>
        <v>3.1725544920346169</v>
      </c>
      <c r="CD18" s="7">
        <f>CC18+預測IC!CD18</f>
        <v>3.3662713106814475</v>
      </c>
      <c r="CE18" s="7">
        <f>CD18+預測IC!CE18</f>
        <v>3.4435317055596704</v>
      </c>
      <c r="CF18" s="7">
        <f>CE18+預測IC!CF18</f>
        <v>3.3416730900266765</v>
      </c>
      <c r="CG18" s="7">
        <f>CF18+預測IC!CG18</f>
        <v>3.5683144959282962</v>
      </c>
      <c r="CH18" s="7">
        <f>CG18+預測IC!CH18</f>
        <v>3.7309715426155292</v>
      </c>
      <c r="CI18" s="7">
        <f>CH18+預測IC!CI18</f>
        <v>3.6132461326832455</v>
      </c>
      <c r="CJ18" s="7">
        <f>CI18+預測IC!CJ18</f>
        <v>3.6419311393577494</v>
      </c>
      <c r="CK18" s="7">
        <f>CJ18+預測IC!CK18</f>
        <v>3.7151511734670759</v>
      </c>
      <c r="CL18" s="7">
        <f>CK18+預測IC!CL18</f>
        <v>4.0322597863855378</v>
      </c>
      <c r="CM18" s="7">
        <f>CL18+預測IC!CM18</f>
        <v>3.929490174757587</v>
      </c>
      <c r="CN18" s="7">
        <f>CM18+預測IC!CN18</f>
        <v>3.9008725849931127</v>
      </c>
      <c r="CO18" s="7">
        <f>CN18+預測IC!CO18</f>
        <v>4.1291546708685738</v>
      </c>
      <c r="CP18" s="7">
        <f>CO18+預測IC!CP18</f>
        <v>4.1136569988982661</v>
      </c>
      <c r="CQ18" s="7">
        <f>CP18+預測IC!CQ18</f>
        <v>4.3233982063209249</v>
      </c>
      <c r="CR18" s="7">
        <f>CQ18+預測IC!CR18</f>
        <v>4.3571415085921172</v>
      </c>
      <c r="CS18" s="7">
        <f>CR18+預測IC!CS18</f>
        <v>4.3852700690062063</v>
      </c>
      <c r="CT18" s="7">
        <f>CS18+預測IC!CT18</f>
        <v>4.4621402957784291</v>
      </c>
      <c r="CU18" s="7">
        <f>CT18+預測IC!CU18</f>
        <v>4.3904916045733193</v>
      </c>
      <c r="CV18" s="7">
        <f>CU18+預測IC!CV18</f>
        <v>4.4815318868036078</v>
      </c>
      <c r="CW18" s="7">
        <f>CV18+預測IC!CW18</f>
        <v>4.4532036302187983</v>
      </c>
      <c r="CX18" s="7">
        <f>CW18+預測IC!CX18</f>
        <v>4.4391248826385157</v>
      </c>
      <c r="CY18" s="7">
        <f>CX18+預測IC!CY18</f>
        <v>4.5105573415508902</v>
      </c>
      <c r="CZ18" s="7">
        <f>CY18+預測IC!CZ18</f>
        <v>4.6434002048526617</v>
      </c>
      <c r="DA18" s="7">
        <f>CZ18+預測IC!DA18</f>
        <v>4.5960192653339682</v>
      </c>
      <c r="DB18" s="7">
        <f>DA18+預測IC!DB18</f>
        <v>4.550284056655209</v>
      </c>
      <c r="DC18" s="7">
        <f>DB18+預測IC!DC18</f>
        <v>4.5994929240793212</v>
      </c>
      <c r="DD18" s="7">
        <f>DC18+預測IC!DD18</f>
        <v>4.5284216241717576</v>
      </c>
      <c r="DE18" s="7">
        <f>DD18+預測IC!DE18</f>
        <v>4.4891145491252571</v>
      </c>
      <c r="DF18" s="7">
        <f>DE18+預測IC!DF18</f>
        <v>4.4540717703428871</v>
      </c>
      <c r="DG18" s="7">
        <f>DF18+預測IC!DG18</f>
        <v>4.4464522971852594</v>
      </c>
      <c r="DH18" s="7">
        <f>DG18+預測IC!DH18</f>
        <v>4.6388536791444004</v>
      </c>
      <c r="DI18" s="7">
        <f>DH18+預測IC!DI18</f>
        <v>4.7368168066233558</v>
      </c>
      <c r="DJ18" s="7">
        <f>DI18+預測IC!DJ18</f>
        <v>4.6916127668380661</v>
      </c>
      <c r="DK18" s="7">
        <f>DJ18+預測IC!DK18</f>
        <v>4.5850855048356323</v>
      </c>
      <c r="DL18" s="7">
        <f>DK18+預測IC!DL18</f>
        <v>4.5616749766998117</v>
      </c>
      <c r="DM18" s="7">
        <f>DL18+預測IC!DM18</f>
        <v>4.6201321409899876</v>
      </c>
      <c r="DN18" s="7">
        <f>DM18+預測IC!DN18</f>
        <v>4.5632568806481535</v>
      </c>
      <c r="DO18" s="7">
        <f>DN18+預測IC!DO18</f>
        <v>4.7835770924394518</v>
      </c>
      <c r="DP18" s="7">
        <f>DO18+預測IC!DP18</f>
        <v>4.7620667576799578</v>
      </c>
      <c r="DQ18" s="7">
        <f>DP18+預測IC!DQ18</f>
        <v>4.7001112287125908</v>
      </c>
      <c r="DR18" s="7">
        <f>DQ18+預測IC!DR18</f>
        <v>4.689659979893074</v>
      </c>
      <c r="DS18" s="7">
        <f>DR18+預測IC!DS18</f>
        <v>4.5419379814413414</v>
      </c>
      <c r="DT18" s="7">
        <f>DS18+預測IC!DT18</f>
        <v>4.5345305914818468</v>
      </c>
      <c r="DU18" s="7">
        <f>DT18+預測IC!DU18</f>
        <v>4.3758157687651691</v>
      </c>
      <c r="DV18" s="7">
        <f>DU18+預測IC!DV18</f>
        <v>4.4612190530805718</v>
      </c>
      <c r="DW18" s="7">
        <f>DV18+預測IC!DW18</f>
        <v>4.3925821031284542</v>
      </c>
      <c r="DX18" s="7">
        <f>DW18+預測IC!DX18</f>
        <v>4.2389791256659723</v>
      </c>
      <c r="DY18" s="7">
        <f>DX18+預測IC!DY18</f>
        <v>4.3364071626419216</v>
      </c>
      <c r="DZ18" s="7">
        <f>DY18+預測IC!DZ18</f>
        <v>4.3910375367985033</v>
      </c>
      <c r="EA18" s="7">
        <f>DZ18+預測IC!EA18</f>
        <v>4.3846759740545211</v>
      </c>
      <c r="EB18" s="7">
        <f>EA18+預測IC!EB18</f>
        <v>4.2876332845122418</v>
      </c>
      <c r="EC18" s="7">
        <f>EB18+預測IC!EC18</f>
        <v>4.2903973999376133</v>
      </c>
      <c r="ED18" s="7">
        <f>EC18+預測IC!ED18</f>
        <v>4.2101282038100898</v>
      </c>
      <c r="EE18" s="7">
        <f>ED18+預測IC!EE18</f>
        <v>4.209016916137732</v>
      </c>
      <c r="EF18" s="7">
        <f>EE18+預測IC!EF18</f>
        <v>4.2579719332481485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f>C19+預測IC!D19</f>
        <v>0.60412097540112364</v>
      </c>
      <c r="E19" s="7">
        <f>D19+預測IC!E19</f>
        <v>0.54922288163371147</v>
      </c>
      <c r="F19" s="7">
        <f>E19+預測IC!F19</f>
        <v>0.78539334700944574</v>
      </c>
      <c r="G19" s="7">
        <f>F19+預測IC!G19</f>
        <v>0.93825768889641825</v>
      </c>
      <c r="H19" s="7">
        <f>G19+預測IC!H19</f>
        <v>1.1158680077190701</v>
      </c>
      <c r="I19" s="7">
        <f>H19+預測IC!I19</f>
        <v>1.2505223406105366</v>
      </c>
      <c r="J19" s="7">
        <f>I19+預測IC!J19</f>
        <v>1.0942919875243327</v>
      </c>
      <c r="K19" s="7">
        <f>J19+預測IC!K19</f>
        <v>1.1508329570858979</v>
      </c>
      <c r="L19" s="7">
        <f>K19+預測IC!L19</f>
        <v>1.1811957901419272</v>
      </c>
      <c r="M19" s="7">
        <f>L19+預測IC!M19</f>
        <v>0.91965394782694043</v>
      </c>
      <c r="N19" s="7">
        <f>M19+預測IC!N19</f>
        <v>1.4520279855151816</v>
      </c>
      <c r="O19" s="7">
        <f>N19+預測IC!O19</f>
        <v>1.5442493685346388</v>
      </c>
      <c r="P19" s="7">
        <f>O19+預測IC!P19</f>
        <v>1.5670345816467321</v>
      </c>
      <c r="Q19" s="7">
        <f>P19+預測IC!Q19</f>
        <v>1.7374968737267502</v>
      </c>
      <c r="R19" s="7">
        <f>Q19+預測IC!R19</f>
        <v>1.7794395031759662</v>
      </c>
      <c r="S19" s="7">
        <f>R19+預測IC!S19</f>
        <v>1.7007432418628055</v>
      </c>
      <c r="T19" s="7">
        <f>S19+預測IC!T19</f>
        <v>1.5912173803268836</v>
      </c>
      <c r="U19" s="7">
        <f>T19+預測IC!U19</f>
        <v>1.6354042383252085</v>
      </c>
      <c r="V19" s="7">
        <f>U19+預測IC!V19</f>
        <v>1.5167197798062875</v>
      </c>
      <c r="W19" s="7">
        <f>V19+預測IC!W19</f>
        <v>1.5891353491257865</v>
      </c>
      <c r="X19" s="7">
        <f>W19+預測IC!X19</f>
        <v>1.7120584953715035</v>
      </c>
      <c r="Y19" s="7">
        <f>X19+預測IC!Y19</f>
        <v>1.7361228007165612</v>
      </c>
      <c r="Z19" s="7">
        <f>Y19+預測IC!Z19</f>
        <v>1.7138995614176589</v>
      </c>
      <c r="AA19" s="7">
        <f>Z19+預測IC!AA19</f>
        <v>1.6723293768795031</v>
      </c>
      <c r="AB19" s="7">
        <f>AA19+預測IC!AB19</f>
        <v>1.6115670254129493</v>
      </c>
      <c r="AC19" s="7">
        <f>AB19+預測IC!AC19</f>
        <v>1.5280541585200706</v>
      </c>
      <c r="AD19" s="7">
        <f>AC19+預測IC!AD19</f>
        <v>1.6240475363181388</v>
      </c>
      <c r="AE19" s="7">
        <f>AD19+預測IC!AE19</f>
        <v>1.7392794062812056</v>
      </c>
      <c r="AF19" s="7">
        <f>AE19+預測IC!AF19</f>
        <v>1.7395419749995624</v>
      </c>
      <c r="AG19" s="7">
        <f>AF19+預測IC!AG19</f>
        <v>1.7174057559270146</v>
      </c>
      <c r="AH19" s="7">
        <f>AG19+預測IC!AH19</f>
        <v>1.660848040705311</v>
      </c>
      <c r="AI19" s="7">
        <f>AH19+預測IC!AI19</f>
        <v>1.7426181654948074</v>
      </c>
      <c r="AJ19" s="7">
        <f>AI19+預測IC!AJ19</f>
        <v>1.6910728751675452</v>
      </c>
      <c r="AK19" s="7">
        <f>AJ19+預測IC!AK19</f>
        <v>1.698624917673498</v>
      </c>
      <c r="AL19" s="7">
        <f>AK19+預測IC!AL19</f>
        <v>1.7688958633443035</v>
      </c>
      <c r="AM19" s="7">
        <f>AL19+預測IC!AM19</f>
        <v>1.8120018751557083</v>
      </c>
      <c r="AN19" s="7">
        <f>AM19+預測IC!AN19</f>
        <v>1.8955701695213905</v>
      </c>
      <c r="AO19" s="7">
        <f>AN19+預測IC!AO19</f>
        <v>1.9214630725668049</v>
      </c>
      <c r="AP19" s="7">
        <f>AO19+預測IC!AP19</f>
        <v>1.8338889522939528</v>
      </c>
      <c r="AQ19" s="7">
        <f>AP19+預測IC!AQ19</f>
        <v>1.7456361952333022</v>
      </c>
      <c r="AR19" s="7">
        <f>AQ19+預測IC!AR19</f>
        <v>1.820253092867961</v>
      </c>
      <c r="AS19" s="7">
        <f>AR19+預測IC!AS19</f>
        <v>1.9180500481362754</v>
      </c>
      <c r="AT19" s="7">
        <f>AS19+預測IC!AT19</f>
        <v>1.9292346410919994</v>
      </c>
      <c r="AU19" s="7">
        <f>AT19+預測IC!AU19</f>
        <v>2.0056633568056537</v>
      </c>
      <c r="AV19" s="7">
        <f>AU19+預測IC!AV19</f>
        <v>2.048340652529991</v>
      </c>
      <c r="AW19" s="7">
        <f>AV19+預測IC!AW19</f>
        <v>2.0706968206841276</v>
      </c>
      <c r="AX19" s="7">
        <f>AW19+預測IC!AX19</f>
        <v>2.1509032349945407</v>
      </c>
      <c r="AY19" s="7">
        <f>AX19+預測IC!AY19</f>
        <v>2.0900499996331701</v>
      </c>
      <c r="AZ19" s="7">
        <f>AY19+預測IC!AZ19</f>
        <v>2.1740824719068095</v>
      </c>
      <c r="BA19" s="7">
        <f>AZ19+預測IC!BA19</f>
        <v>2.3610792494615902</v>
      </c>
      <c r="BB19" s="7">
        <f>BA19+預測IC!BB19</f>
        <v>2.5628811601247978</v>
      </c>
      <c r="BC19" s="7">
        <f>BB19+預測IC!BC19</f>
        <v>2.5018094293917312</v>
      </c>
      <c r="BD19" s="7">
        <f>BC19+預測IC!BD19</f>
        <v>2.5017357224238439</v>
      </c>
      <c r="BE19" s="7">
        <f>BD19+預測IC!BE19</f>
        <v>2.4713450513555406</v>
      </c>
      <c r="BF19" s="7">
        <f>BE19+預測IC!BF19</f>
        <v>2.4219085341366982</v>
      </c>
      <c r="BG19" s="7">
        <f>BF19+預測IC!BG19</f>
        <v>2.4228717542450395</v>
      </c>
      <c r="BH19" s="7">
        <f>BG19+預測IC!BH19</f>
        <v>2.4208535525436083</v>
      </c>
      <c r="BI19" s="7">
        <f>BH19+預測IC!BI19</f>
        <v>2.4467903475500612</v>
      </c>
      <c r="BJ19" s="7">
        <f>BI19+預測IC!BJ19</f>
        <v>2.498609655978731</v>
      </c>
      <c r="BK19" s="7">
        <f>BJ19+預測IC!BK19</f>
        <v>2.5956480789241168</v>
      </c>
      <c r="BL19" s="7">
        <f>BK19+預測IC!BL19</f>
        <v>2.6216445437147389</v>
      </c>
      <c r="BM19" s="7">
        <f>BL19+預測IC!BM19</f>
        <v>2.5334877470029573</v>
      </c>
      <c r="BN19" s="7">
        <f>BM19+預測IC!BN19</f>
        <v>2.6149010072031253</v>
      </c>
      <c r="BO19" s="7">
        <f>BN19+預測IC!BO19</f>
        <v>2.5963386927627714</v>
      </c>
      <c r="BP19" s="7">
        <f>BO19+預測IC!BP19</f>
        <v>2.6087490340403723</v>
      </c>
      <c r="BQ19" s="7">
        <f>BP19+預測IC!BQ19</f>
        <v>2.6186830784946955</v>
      </c>
      <c r="BR19" s="7">
        <f>BQ19+預測IC!BR19</f>
        <v>2.6253583245182157</v>
      </c>
      <c r="BS19" s="7">
        <f>BR19+預測IC!BS19</f>
        <v>2.6011019857737336</v>
      </c>
      <c r="BT19" s="7">
        <f>BS19+預測IC!BT19</f>
        <v>2.6142956549768712</v>
      </c>
      <c r="BU19" s="7">
        <f>BT19+預測IC!BU19</f>
        <v>2.4836250200854835</v>
      </c>
      <c r="BV19" s="7">
        <f>BU19+預測IC!BV19</f>
        <v>2.5837102856670988</v>
      </c>
      <c r="BW19" s="7">
        <f>BV19+預測IC!BW19</f>
        <v>2.8796865815001302</v>
      </c>
      <c r="BX19" s="7">
        <f>BW19+預測IC!BX19</f>
        <v>2.8432876919413368</v>
      </c>
      <c r="BY19" s="7">
        <f>BX19+預測IC!BY19</f>
        <v>2.8156121995296761</v>
      </c>
      <c r="BZ19" s="7">
        <f>BY19+預測IC!BZ19</f>
        <v>2.8843143243517302</v>
      </c>
      <c r="CA19" s="7">
        <f>BZ19+預測IC!CA19</f>
        <v>2.919924119641129</v>
      </c>
      <c r="CB19" s="7">
        <f>CA19+預測IC!CB19</f>
        <v>3.0477623287420261</v>
      </c>
      <c r="CC19" s="7">
        <f>CB19+預測IC!CC19</f>
        <v>3.0702685616405434</v>
      </c>
      <c r="CD19" s="7">
        <f>CC19+預測IC!CD19</f>
        <v>3.2858877597342615</v>
      </c>
      <c r="CE19" s="7">
        <f>CD19+預測IC!CE19</f>
        <v>3.3743626186719293</v>
      </c>
      <c r="CF19" s="7">
        <f>CE19+預測IC!CF19</f>
        <v>3.2626641312069125</v>
      </c>
      <c r="CG19" s="7">
        <f>CF19+預測IC!CG19</f>
        <v>3.526557264772451</v>
      </c>
      <c r="CH19" s="7">
        <f>CG19+預測IC!CH19</f>
        <v>3.6794471318223771</v>
      </c>
      <c r="CI19" s="7">
        <f>CH19+預測IC!CI19</f>
        <v>3.5142447195514648</v>
      </c>
      <c r="CJ19" s="7">
        <f>CI19+預測IC!CJ19</f>
        <v>3.5132065324326649</v>
      </c>
      <c r="CK19" s="7">
        <f>CJ19+預測IC!CK19</f>
        <v>3.5877925211048072</v>
      </c>
      <c r="CL19" s="7">
        <f>CK19+預測IC!CL19</f>
        <v>3.8989442247090373</v>
      </c>
      <c r="CM19" s="7">
        <f>CL19+預測IC!CM19</f>
        <v>3.7887083459716697</v>
      </c>
      <c r="CN19" s="7">
        <f>CM19+預測IC!CN19</f>
        <v>3.7727646554253327</v>
      </c>
      <c r="CO19" s="7">
        <f>CN19+預測IC!CO19</f>
        <v>4.0240002866456477</v>
      </c>
      <c r="CP19" s="7">
        <f>CO19+預測IC!CP19</f>
        <v>3.9949637649956213</v>
      </c>
      <c r="CQ19" s="7">
        <f>CP19+預測IC!CQ19</f>
        <v>4.2169773363375622</v>
      </c>
      <c r="CR19" s="7">
        <f>CQ19+預測IC!CR19</f>
        <v>4.241276538801289</v>
      </c>
      <c r="CS19" s="7">
        <f>CR19+預測IC!CS19</f>
        <v>4.2850515257795934</v>
      </c>
      <c r="CT19" s="7">
        <f>CS19+預測IC!CT19</f>
        <v>4.3114727270678523</v>
      </c>
      <c r="CU19" s="7">
        <f>CT19+預測IC!CU19</f>
        <v>4.2280363299539596</v>
      </c>
      <c r="CV19" s="7">
        <f>CU19+預測IC!CV19</f>
        <v>4.3300161914703637</v>
      </c>
      <c r="CW19" s="7">
        <f>CV19+預測IC!CW19</f>
        <v>4.297824058082548</v>
      </c>
      <c r="CX19" s="7">
        <f>CW19+預測IC!CX19</f>
        <v>4.2989516526999418</v>
      </c>
      <c r="CY19" s="7">
        <f>CX19+預測IC!CY19</f>
        <v>4.3721029900079049</v>
      </c>
      <c r="CZ19" s="7">
        <f>CY19+預測IC!CZ19</f>
        <v>4.4849548186493688</v>
      </c>
      <c r="DA19" s="7">
        <f>CZ19+預測IC!DA19</f>
        <v>4.4267309419461318</v>
      </c>
      <c r="DB19" s="7">
        <f>DA19+預測IC!DB19</f>
        <v>4.3910100429209162</v>
      </c>
      <c r="DC19" s="7">
        <f>DB19+預測IC!DC19</f>
        <v>4.42128650009907</v>
      </c>
      <c r="DD19" s="7">
        <f>DC19+預測IC!DD19</f>
        <v>4.3577390359465671</v>
      </c>
      <c r="DE19" s="7">
        <f>DD19+預測IC!DE19</f>
        <v>4.3517333256969968</v>
      </c>
      <c r="DF19" s="7">
        <f>DE19+預測IC!DF19</f>
        <v>4.282040278803974</v>
      </c>
      <c r="DG19" s="7">
        <f>DF19+預測IC!DG19</f>
        <v>4.2692938038933246</v>
      </c>
      <c r="DH19" s="7">
        <f>DG19+預測IC!DH19</f>
        <v>4.4938835846128127</v>
      </c>
      <c r="DI19" s="7">
        <f>DH19+預測IC!DI19</f>
        <v>4.6023450234475725</v>
      </c>
      <c r="DJ19" s="7">
        <f>DI19+預測IC!DJ19</f>
        <v>4.5538306727245956</v>
      </c>
      <c r="DK19" s="7">
        <f>DJ19+預測IC!DK19</f>
        <v>4.4323883632141445</v>
      </c>
      <c r="DL19" s="7">
        <f>DK19+預測IC!DL19</f>
        <v>4.4090748181795574</v>
      </c>
      <c r="DM19" s="7">
        <f>DL19+預測IC!DM19</f>
        <v>4.4663752494178874</v>
      </c>
      <c r="DN19" s="7">
        <f>DM19+預測IC!DN19</f>
        <v>4.4020808550829695</v>
      </c>
      <c r="DO19" s="7">
        <f>DN19+預測IC!DO19</f>
        <v>4.6513428067927141</v>
      </c>
      <c r="DP19" s="7">
        <f>DO19+預測IC!DP19</f>
        <v>4.647340345861422</v>
      </c>
      <c r="DQ19" s="7">
        <f>DP19+預測IC!DQ19</f>
        <v>4.5967171744116895</v>
      </c>
      <c r="DR19" s="7">
        <f>DQ19+預測IC!DR19</f>
        <v>4.5791723751358813</v>
      </c>
      <c r="DS19" s="7">
        <f>DR19+預測IC!DS19</f>
        <v>4.401176828181911</v>
      </c>
      <c r="DT19" s="7">
        <f>DS19+預測IC!DT19</f>
        <v>4.3981007009896818</v>
      </c>
      <c r="DU19" s="7">
        <f>DT19+預測IC!DU19</f>
        <v>4.2475187790333688</v>
      </c>
      <c r="DV19" s="7">
        <f>DU19+預測IC!DV19</f>
        <v>4.285642910114313</v>
      </c>
      <c r="DW19" s="7">
        <f>DV19+預測IC!DW19</f>
        <v>4.1843469411656482</v>
      </c>
      <c r="DX19" s="7">
        <f>DW19+預測IC!DX19</f>
        <v>4.0459818069274709</v>
      </c>
      <c r="DY19" s="7">
        <f>DX19+預測IC!DY19</f>
        <v>4.1160913846153937</v>
      </c>
      <c r="DZ19" s="7">
        <f>DY19+預測IC!DZ19</f>
        <v>4.1946293322379269</v>
      </c>
      <c r="EA19" s="7">
        <f>DZ19+預測IC!EA19</f>
        <v>4.1665499787622595</v>
      </c>
      <c r="EB19" s="7">
        <f>EA19+預測IC!EB19</f>
        <v>4.0603041207368147</v>
      </c>
      <c r="EC19" s="7">
        <f>EB19+預測IC!EC19</f>
        <v>4.0481140775131124</v>
      </c>
      <c r="ED19" s="7">
        <f>EC19+預測IC!ED19</f>
        <v>3.9619545267149379</v>
      </c>
      <c r="EE19" s="7">
        <f>ED19+預測IC!EE19</f>
        <v>3.9692610533920654</v>
      </c>
      <c r="EF19" s="7">
        <f>EE19+預測IC!EF19</f>
        <v>3.9862390082668346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f>C20+預測IC!D20</f>
        <v>0.58357606791126559</v>
      </c>
      <c r="E20" s="7">
        <f>D20+預測IC!E20</f>
        <v>0.59907605605559955</v>
      </c>
      <c r="F20" s="7">
        <f>E20+預測IC!F20</f>
        <v>0.78149567474874071</v>
      </c>
      <c r="G20" s="7">
        <f>F20+預測IC!G20</f>
        <v>0.93952303832082429</v>
      </c>
      <c r="H20" s="7">
        <f>G20+預測IC!H20</f>
        <v>1.0834553205764996</v>
      </c>
      <c r="I20" s="7">
        <f>H20+預測IC!I20</f>
        <v>1.2416048831776014</v>
      </c>
      <c r="J20" s="7">
        <f>I20+預測IC!J20</f>
        <v>1.1083975901005743</v>
      </c>
      <c r="K20" s="7">
        <f>J20+預測IC!K20</f>
        <v>1.1458022749526859</v>
      </c>
      <c r="L20" s="7">
        <f>K20+預測IC!L20</f>
        <v>1.1764977579537814</v>
      </c>
      <c r="M20" s="7">
        <f>L20+預測IC!M20</f>
        <v>0.90780393281580518</v>
      </c>
      <c r="N20" s="7">
        <f>M20+預測IC!N20</f>
        <v>1.4078154108252794</v>
      </c>
      <c r="O20" s="7">
        <f>N20+預測IC!O20</f>
        <v>1.5069168949697531</v>
      </c>
      <c r="P20" s="7">
        <f>O20+預測IC!P20</f>
        <v>1.5469453897215233</v>
      </c>
      <c r="Q20" s="7">
        <f>P20+預測IC!Q20</f>
        <v>1.7717702007139184</v>
      </c>
      <c r="R20" s="7">
        <f>Q20+預測IC!R20</f>
        <v>1.838239833802775</v>
      </c>
      <c r="S20" s="7">
        <f>R20+預測IC!S20</f>
        <v>1.7808987512299739</v>
      </c>
      <c r="T20" s="7">
        <f>S20+預測IC!T20</f>
        <v>1.6800532181865011</v>
      </c>
      <c r="U20" s="7">
        <f>T20+預測IC!U20</f>
        <v>1.7122908766060083</v>
      </c>
      <c r="V20" s="7">
        <f>U20+預測IC!V20</f>
        <v>1.5760028132384316</v>
      </c>
      <c r="W20" s="7">
        <f>V20+預測IC!W20</f>
        <v>1.6670876826709764</v>
      </c>
      <c r="X20" s="7">
        <f>W20+預測IC!X20</f>
        <v>1.8171299942985151</v>
      </c>
      <c r="Y20" s="7">
        <f>X20+預測IC!Y20</f>
        <v>1.8122742364381994</v>
      </c>
      <c r="Z20" s="7">
        <f>Y20+預測IC!Z20</f>
        <v>1.8414315864925459</v>
      </c>
      <c r="AA20" s="7">
        <f>Z20+預測IC!AA20</f>
        <v>1.8198370331052487</v>
      </c>
      <c r="AB20" s="7">
        <f>AA20+預測IC!AB20</f>
        <v>1.7594134088172186</v>
      </c>
      <c r="AC20" s="7">
        <f>AB20+預測IC!AC20</f>
        <v>1.6631043659919196</v>
      </c>
      <c r="AD20" s="7">
        <f>AC20+預測IC!AD20</f>
        <v>1.7929477847055839</v>
      </c>
      <c r="AE20" s="7">
        <f>AD20+預測IC!AE20</f>
        <v>1.8102589343326212</v>
      </c>
      <c r="AF20" s="7">
        <f>AE20+預測IC!AF20</f>
        <v>1.803789652849326</v>
      </c>
      <c r="AG20" s="7">
        <f>AF20+預測IC!AG20</f>
        <v>1.7761304343094337</v>
      </c>
      <c r="AH20" s="7">
        <f>AG20+預測IC!AH20</f>
        <v>1.6859522335946511</v>
      </c>
      <c r="AI20" s="7">
        <f>AH20+預測IC!AI20</f>
        <v>1.7641067785158195</v>
      </c>
      <c r="AJ20" s="7">
        <f>AI20+預測IC!AJ20</f>
        <v>1.7021167439682718</v>
      </c>
      <c r="AK20" s="7">
        <f>AJ20+預測IC!AK20</f>
        <v>1.6885216284722691</v>
      </c>
      <c r="AL20" s="7">
        <f>AK20+預測IC!AL20</f>
        <v>1.7614150805092459</v>
      </c>
      <c r="AM20" s="7">
        <f>AL20+預測IC!AM20</f>
        <v>1.7945110612580486</v>
      </c>
      <c r="AN20" s="7">
        <f>AM20+預測IC!AN20</f>
        <v>1.8699812547770469</v>
      </c>
      <c r="AO20" s="7">
        <f>AN20+預測IC!AO20</f>
        <v>1.9152663367417353</v>
      </c>
      <c r="AP20" s="7">
        <f>AO20+預測IC!AP20</f>
        <v>1.7835358754863475</v>
      </c>
      <c r="AQ20" s="7">
        <f>AP20+預測IC!AQ20</f>
        <v>1.8109883608192985</v>
      </c>
      <c r="AR20" s="7">
        <f>AQ20+預測IC!AR20</f>
        <v>1.8242776339091327</v>
      </c>
      <c r="AS20" s="7">
        <f>AR20+預測IC!AS20</f>
        <v>1.9363734435919497</v>
      </c>
      <c r="AT20" s="7">
        <f>AS20+預測IC!AT20</f>
        <v>1.9335239044761601</v>
      </c>
      <c r="AU20" s="7">
        <f>AT20+預測IC!AU20</f>
        <v>2.0092162913712861</v>
      </c>
      <c r="AV20" s="7">
        <f>AU20+預測IC!AV20</f>
        <v>2.0806894770252193</v>
      </c>
      <c r="AW20" s="7">
        <f>AV20+預測IC!AW20</f>
        <v>2.0875547452043701</v>
      </c>
      <c r="AX20" s="7">
        <f>AW20+預測IC!AX20</f>
        <v>2.1982872932030717</v>
      </c>
      <c r="AY20" s="7">
        <f>AX20+預測IC!AY20</f>
        <v>2.1360016994000008</v>
      </c>
      <c r="AZ20" s="7">
        <f>AY20+預測IC!AZ20</f>
        <v>2.2358060026723243</v>
      </c>
      <c r="BA20" s="7">
        <f>AZ20+預測IC!BA20</f>
        <v>2.3871437281782373</v>
      </c>
      <c r="BB20" s="7">
        <f>BA20+預測IC!BB20</f>
        <v>2.6183573543663141</v>
      </c>
      <c r="BC20" s="7">
        <f>BB20+預測IC!BC20</f>
        <v>2.5484721216684183</v>
      </c>
      <c r="BD20" s="7">
        <f>BC20+預測IC!BD20</f>
        <v>2.5568322950349383</v>
      </c>
      <c r="BE20" s="7">
        <f>BD20+預測IC!BE20</f>
        <v>2.5183654625895016</v>
      </c>
      <c r="BF20" s="7">
        <f>BE20+預測IC!BF20</f>
        <v>2.4631485624152325</v>
      </c>
      <c r="BG20" s="7">
        <f>BF20+預測IC!BG20</f>
        <v>2.411421369097094</v>
      </c>
      <c r="BH20" s="7">
        <f>BG20+預測IC!BH20</f>
        <v>2.4830278162112052</v>
      </c>
      <c r="BI20" s="7">
        <f>BH20+預測IC!BI20</f>
        <v>2.5061994028515748</v>
      </c>
      <c r="BJ20" s="7">
        <f>BI20+預測IC!BJ20</f>
        <v>2.5613553234704316</v>
      </c>
      <c r="BK20" s="7">
        <f>BJ20+預測IC!BK20</f>
        <v>2.6790056958754533</v>
      </c>
      <c r="BL20" s="7">
        <f>BK20+預測IC!BL20</f>
        <v>2.6987890373796772</v>
      </c>
      <c r="BM20" s="7">
        <f>BL20+預測IC!BM20</f>
        <v>2.6442331270512547</v>
      </c>
      <c r="BN20" s="7">
        <f>BM20+預測IC!BN20</f>
        <v>2.6255950997980886</v>
      </c>
      <c r="BO20" s="7">
        <f>BN20+預測IC!BO20</f>
        <v>2.6179845548523057</v>
      </c>
      <c r="BP20" s="7">
        <f>BO20+預測IC!BP20</f>
        <v>2.610702307345981</v>
      </c>
      <c r="BQ20" s="7">
        <f>BP20+預測IC!BQ20</f>
        <v>2.6261540143068238</v>
      </c>
      <c r="BR20" s="7">
        <f>BQ20+預測IC!BR20</f>
        <v>2.6382276460372962</v>
      </c>
      <c r="BS20" s="7">
        <f>BR20+預測IC!BS20</f>
        <v>2.6436351522284873</v>
      </c>
      <c r="BT20" s="7">
        <f>BS20+預測IC!BT20</f>
        <v>2.696102775510393</v>
      </c>
      <c r="BU20" s="7">
        <f>BT20+預測IC!BU20</f>
        <v>2.5466617714650708</v>
      </c>
      <c r="BV20" s="7">
        <f>BU20+預測IC!BV20</f>
        <v>2.6803716959420774</v>
      </c>
      <c r="BW20" s="7">
        <f>BV20+預測IC!BW20</f>
        <v>3.0224143748213623</v>
      </c>
      <c r="BX20" s="7">
        <f>BW20+預測IC!BX20</f>
        <v>2.9695529530908371</v>
      </c>
      <c r="BY20" s="7">
        <f>BX20+預測IC!BY20</f>
        <v>2.9263694704036007</v>
      </c>
      <c r="BZ20" s="7">
        <f>BY20+預測IC!BZ20</f>
        <v>3.0166408746638842</v>
      </c>
      <c r="CA20" s="7">
        <f>BZ20+預測IC!CA20</f>
        <v>3.0668577007549582</v>
      </c>
      <c r="CB20" s="7">
        <f>CA20+預測IC!CB20</f>
        <v>3.1933527465249774</v>
      </c>
      <c r="CC20" s="7">
        <f>CB20+預測IC!CC20</f>
        <v>3.2062678940030578</v>
      </c>
      <c r="CD20" s="7">
        <f>CC20+預測IC!CD20</f>
        <v>3.3872953914936548</v>
      </c>
      <c r="CE20" s="7">
        <f>CD20+預測IC!CE20</f>
        <v>3.473073564096095</v>
      </c>
      <c r="CF20" s="7">
        <f>CE20+預測IC!CF20</f>
        <v>3.3418650083312804</v>
      </c>
      <c r="CG20" s="7">
        <f>CF20+預測IC!CG20</f>
        <v>3.6638035306306649</v>
      </c>
      <c r="CH20" s="7">
        <f>CG20+預測IC!CH20</f>
        <v>3.7356675562278032</v>
      </c>
      <c r="CI20" s="7">
        <f>CH20+預測IC!CI20</f>
        <v>3.6041818218161561</v>
      </c>
      <c r="CJ20" s="7">
        <f>CI20+預測IC!CJ20</f>
        <v>3.5918579839169547</v>
      </c>
      <c r="CK20" s="7">
        <f>CJ20+預測IC!CK20</f>
        <v>3.6541347354586091</v>
      </c>
      <c r="CL20" s="7">
        <f>CK20+預測IC!CL20</f>
        <v>3.9520696458227671</v>
      </c>
      <c r="CM20" s="7">
        <f>CL20+預測IC!CM20</f>
        <v>3.8552938399735295</v>
      </c>
      <c r="CN20" s="7">
        <f>CM20+預測IC!CN20</f>
        <v>3.8359458623821543</v>
      </c>
      <c r="CO20" s="7">
        <f>CN20+預測IC!CO20</f>
        <v>4.1325191674871835</v>
      </c>
      <c r="CP20" s="7">
        <f>CO20+預測IC!CP20</f>
        <v>4.1399435093461632</v>
      </c>
      <c r="CQ20" s="7">
        <f>CP20+預測IC!CQ20</f>
        <v>4.2224633157215132</v>
      </c>
      <c r="CR20" s="7">
        <f>CQ20+預測IC!CR20</f>
        <v>4.2478258684955268</v>
      </c>
      <c r="CS20" s="7">
        <f>CR20+預測IC!CS20</f>
        <v>4.2701189066548864</v>
      </c>
      <c r="CT20" s="7">
        <f>CS20+預測IC!CT20</f>
        <v>4.2985333140514745</v>
      </c>
      <c r="CU20" s="7">
        <f>CT20+預測IC!CU20</f>
        <v>4.2036656557849623</v>
      </c>
      <c r="CV20" s="7">
        <f>CU20+預測IC!CV20</f>
        <v>4.2961767314803883</v>
      </c>
      <c r="CW20" s="7">
        <f>CV20+預測IC!CW20</f>
        <v>4.2703603289089118</v>
      </c>
      <c r="CX20" s="7">
        <f>CW20+預測IC!CX20</f>
        <v>4.2797464726622136</v>
      </c>
      <c r="CY20" s="7">
        <f>CX20+預測IC!CY20</f>
        <v>4.3884793110642857</v>
      </c>
      <c r="CZ20" s="7">
        <f>CY20+預測IC!CZ20</f>
        <v>4.5436409562134843</v>
      </c>
      <c r="DA20" s="7">
        <f>CZ20+預測IC!DA20</f>
        <v>4.4961690630583071</v>
      </c>
      <c r="DB20" s="7">
        <f>DA20+預測IC!DB20</f>
        <v>4.4392663533011731</v>
      </c>
      <c r="DC20" s="7">
        <f>DB20+預測IC!DC20</f>
        <v>4.4681675140037767</v>
      </c>
      <c r="DD20" s="7">
        <f>DC20+預測IC!DD20</f>
        <v>4.4000045016899927</v>
      </c>
      <c r="DE20" s="7">
        <f>DD20+預測IC!DE20</f>
        <v>4.3695379325637109</v>
      </c>
      <c r="DF20" s="7">
        <f>DE20+預測IC!DF20</f>
        <v>4.3703970540961317</v>
      </c>
      <c r="DG20" s="7">
        <f>DF20+預測IC!DG20</f>
        <v>4.3661948434757614</v>
      </c>
      <c r="DH20" s="7">
        <f>DG20+預測IC!DH20</f>
        <v>4.6444936966447035</v>
      </c>
      <c r="DI20" s="7">
        <f>DH20+預測IC!DI20</f>
        <v>4.7820894559573768</v>
      </c>
      <c r="DJ20" s="7">
        <f>DI20+預測IC!DJ20</f>
        <v>4.7426295096884887</v>
      </c>
      <c r="DK20" s="7">
        <f>DJ20+預測IC!DK20</f>
        <v>4.6574419696679854</v>
      </c>
      <c r="DL20" s="7">
        <f>DK20+預測IC!DL20</f>
        <v>4.6676289383512897</v>
      </c>
      <c r="DM20" s="7">
        <f>DL20+預測IC!DM20</f>
        <v>4.7369650450264063</v>
      </c>
      <c r="DN20" s="7">
        <f>DM20+預測IC!DN20</f>
        <v>4.6725038426079495</v>
      </c>
      <c r="DO20" s="7">
        <f>DN20+預測IC!DO20</f>
        <v>4.930505206066961</v>
      </c>
      <c r="DP20" s="7">
        <f>DO20+預測IC!DP20</f>
        <v>4.9088339443018567</v>
      </c>
      <c r="DQ20" s="7">
        <f>DP20+預測IC!DQ20</f>
        <v>4.8702936332174884</v>
      </c>
      <c r="DR20" s="7">
        <f>DQ20+預測IC!DR20</f>
        <v>4.8147356409907571</v>
      </c>
      <c r="DS20" s="7">
        <f>DR20+預測IC!DS20</f>
        <v>4.6086545434124027</v>
      </c>
      <c r="DT20" s="7">
        <f>DS20+預測IC!DT20</f>
        <v>4.6134838875963853</v>
      </c>
      <c r="DU20" s="7">
        <f>DT20+預測IC!DU20</f>
        <v>4.4371087186659892</v>
      </c>
      <c r="DV20" s="7">
        <f>DU20+預測IC!DV20</f>
        <v>4.4069158222863845</v>
      </c>
      <c r="DW20" s="7">
        <f>DV20+預測IC!DW20</f>
        <v>4.3033696541465796</v>
      </c>
      <c r="DX20" s="7">
        <f>DW20+預測IC!DX20</f>
        <v>4.149503324540265</v>
      </c>
      <c r="DY20" s="7">
        <f>DX20+預測IC!DY20</f>
        <v>4.2031219338919135</v>
      </c>
      <c r="DZ20" s="7">
        <f>DY20+預測IC!DZ20</f>
        <v>4.2933215800508879</v>
      </c>
      <c r="EA20" s="7">
        <f>DZ20+預測IC!EA20</f>
        <v>4.308238605478512</v>
      </c>
      <c r="EB20" s="7">
        <f>EA20+預測IC!EB20</f>
        <v>4.2019263386282253</v>
      </c>
      <c r="EC20" s="7">
        <f>EB20+預測IC!EC20</f>
        <v>4.2359759200421667</v>
      </c>
      <c r="ED20" s="7">
        <f>EC20+預測IC!ED20</f>
        <v>4.1613502620448388</v>
      </c>
      <c r="EE20" s="7">
        <f>ED20+預測IC!EE20</f>
        <v>4.1630912417966934</v>
      </c>
      <c r="EF20" s="7">
        <f>EE20+預測IC!EF20</f>
        <v>4.1833726584126003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f>C21+預測IC!D21</f>
        <v>0.34101749657377678</v>
      </c>
      <c r="E21" s="7">
        <f>D21+預測IC!E21</f>
        <v>0.34073814430298494</v>
      </c>
      <c r="F21" s="7">
        <f>E21+預測IC!F21</f>
        <v>0.54415164186231235</v>
      </c>
      <c r="G21" s="7">
        <f>F21+預測IC!G21</f>
        <v>0.68948350066931274</v>
      </c>
      <c r="H21" s="7">
        <f>G21+預測IC!H21</f>
        <v>0.8516475884631507</v>
      </c>
      <c r="I21" s="7">
        <f>H21+預測IC!I21</f>
        <v>0.99890319659062365</v>
      </c>
      <c r="J21" s="7">
        <f>I21+預測IC!J21</f>
        <v>0.86216028125076705</v>
      </c>
      <c r="K21" s="7">
        <f>J21+預測IC!K21</f>
        <v>0.86363057721090297</v>
      </c>
      <c r="L21" s="7">
        <f>K21+預測IC!L21</f>
        <v>0.85860142390484229</v>
      </c>
      <c r="M21" s="7">
        <f>L21+預測IC!M21</f>
        <v>0.6587164492143267</v>
      </c>
      <c r="N21" s="7">
        <f>M21+預測IC!N21</f>
        <v>1.2436077138350519</v>
      </c>
      <c r="O21" s="7">
        <f>N21+預測IC!O21</f>
        <v>1.3733901723654054</v>
      </c>
      <c r="P21" s="7">
        <f>O21+預測IC!P21</f>
        <v>1.4188173653829086</v>
      </c>
      <c r="Q21" s="7">
        <f>P21+預測IC!Q21</f>
        <v>1.6929008106535983</v>
      </c>
      <c r="R21" s="7">
        <f>Q21+預測IC!R21</f>
        <v>1.7778060418469388</v>
      </c>
      <c r="S21" s="7">
        <f>R21+預測IC!S21</f>
        <v>1.7412427501902419</v>
      </c>
      <c r="T21" s="7">
        <f>S21+預測IC!T21</f>
        <v>1.6101223892518146</v>
      </c>
      <c r="U21" s="7">
        <f>T21+預測IC!U21</f>
        <v>1.6002977485174177</v>
      </c>
      <c r="V21" s="7">
        <f>U21+預測IC!V21</f>
        <v>1.4685472598649152</v>
      </c>
      <c r="W21" s="7">
        <f>V21+預測IC!W21</f>
        <v>1.5930458786934232</v>
      </c>
      <c r="X21" s="7">
        <f>W21+預測IC!X21</f>
        <v>1.800847146046761</v>
      </c>
      <c r="Y21" s="7">
        <f>X21+預測IC!Y21</f>
        <v>1.7907034856735584</v>
      </c>
      <c r="Z21" s="7">
        <f>Y21+預測IC!Z21</f>
        <v>1.8301612013535156</v>
      </c>
      <c r="AA21" s="7">
        <f>Z21+預測IC!AA21</f>
        <v>1.8496522448936095</v>
      </c>
      <c r="AB21" s="7">
        <f>AA21+預測IC!AB21</f>
        <v>1.7843646498627437</v>
      </c>
      <c r="AC21" s="7">
        <f>AB21+預測IC!AC21</f>
        <v>1.624822377398542</v>
      </c>
      <c r="AD21" s="7">
        <f>AC21+預測IC!AD21</f>
        <v>1.7536470430461</v>
      </c>
      <c r="AE21" s="7">
        <f>AD21+預測IC!AE21</f>
        <v>1.7639586537401599</v>
      </c>
      <c r="AF21" s="7">
        <f>AE21+預測IC!AF21</f>
        <v>1.7303918283561794</v>
      </c>
      <c r="AG21" s="7">
        <f>AF21+預測IC!AG21</f>
        <v>1.6860890505663853</v>
      </c>
      <c r="AH21" s="7">
        <f>AG21+預測IC!AH21</f>
        <v>1.5785076880015869</v>
      </c>
      <c r="AI21" s="7">
        <f>AH21+預測IC!AI21</f>
        <v>1.658101897334878</v>
      </c>
      <c r="AJ21" s="7">
        <f>AI21+預測IC!AJ21</f>
        <v>1.5876965553884093</v>
      </c>
      <c r="AK21" s="7">
        <f>AJ21+預測IC!AK21</f>
        <v>1.5518933877702992</v>
      </c>
      <c r="AL21" s="7">
        <f>AK21+預測IC!AL21</f>
        <v>1.6172732105034098</v>
      </c>
      <c r="AM21" s="7">
        <f>AL21+預測IC!AM21</f>
        <v>1.6858090179510403</v>
      </c>
      <c r="AN21" s="7">
        <f>AM21+預測IC!AN21</f>
        <v>1.7977650740141347</v>
      </c>
      <c r="AO21" s="7">
        <f>AN21+預測IC!AO21</f>
        <v>1.8454914696578613</v>
      </c>
      <c r="AP21" s="7">
        <f>AO21+預測IC!AP21</f>
        <v>1.772956326087842</v>
      </c>
      <c r="AQ21" s="7">
        <f>AP21+預測IC!AQ21</f>
        <v>1.8498218330983898</v>
      </c>
      <c r="AR21" s="7">
        <f>AQ21+預測IC!AR21</f>
        <v>1.8018336916950797</v>
      </c>
      <c r="AS21" s="7">
        <f>AR21+預測IC!AS21</f>
        <v>1.8662895603417091</v>
      </c>
      <c r="AT21" s="7">
        <f>AS21+預測IC!AT21</f>
        <v>1.8028455119297475</v>
      </c>
      <c r="AU21" s="7">
        <f>AT21+預測IC!AU21</f>
        <v>1.8506551434387046</v>
      </c>
      <c r="AV21" s="7">
        <f>AU21+預測IC!AV21</f>
        <v>1.9015527114101469</v>
      </c>
      <c r="AW21" s="7">
        <f>AV21+預測IC!AW21</f>
        <v>1.9113437413642442</v>
      </c>
      <c r="AX21" s="7">
        <f>AW21+預測IC!AX21</f>
        <v>2.0544914288340008</v>
      </c>
      <c r="AY21" s="7">
        <f>AX21+預測IC!AY21</f>
        <v>1.9356152340090069</v>
      </c>
      <c r="AZ21" s="7">
        <f>AY21+預測IC!AZ21</f>
        <v>2.0441175924236132</v>
      </c>
      <c r="BA21" s="7">
        <f>AZ21+預測IC!BA21</f>
        <v>2.1837102745849402</v>
      </c>
      <c r="BB21" s="7">
        <f>BA21+預測IC!BB21</f>
        <v>2.4782229115622618</v>
      </c>
      <c r="BC21" s="7">
        <f>BB21+預測IC!BC21</f>
        <v>2.3981760234326237</v>
      </c>
      <c r="BD21" s="7">
        <f>BC21+預測IC!BD21</f>
        <v>2.4363951707005373</v>
      </c>
      <c r="BE21" s="7">
        <f>BD21+預測IC!BE21</f>
        <v>2.3958068381967257</v>
      </c>
      <c r="BF21" s="7">
        <f>BE21+預測IC!BF21</f>
        <v>2.3335168888215376</v>
      </c>
      <c r="BG21" s="7">
        <f>BF21+預測IC!BG21</f>
        <v>2.2549918293595832</v>
      </c>
      <c r="BH21" s="7">
        <f>BG21+預測IC!BH21</f>
        <v>2.3313131924983383</v>
      </c>
      <c r="BI21" s="7">
        <f>BH21+預測IC!BI21</f>
        <v>2.3775869611300284</v>
      </c>
      <c r="BJ21" s="7">
        <f>BI21+預測IC!BJ21</f>
        <v>2.3999810234941381</v>
      </c>
      <c r="BK21" s="7">
        <f>BJ21+預測IC!BK21</f>
        <v>2.4727041382428521</v>
      </c>
      <c r="BL21" s="7">
        <f>BK21+預測IC!BL21</f>
        <v>2.4764569367508975</v>
      </c>
      <c r="BM21" s="7">
        <f>BL21+預測IC!BM21</f>
        <v>2.3814865817575956</v>
      </c>
      <c r="BN21" s="7">
        <f>BM21+預測IC!BN21</f>
        <v>2.3556958153091485</v>
      </c>
      <c r="BO21" s="7">
        <f>BN21+預測IC!BO21</f>
        <v>2.3706999180190351</v>
      </c>
      <c r="BP21" s="7">
        <f>BO21+預測IC!BP21</f>
        <v>2.3748807203506281</v>
      </c>
      <c r="BQ21" s="7">
        <f>BP21+預測IC!BQ21</f>
        <v>2.4294229511851331</v>
      </c>
      <c r="BR21" s="7">
        <f>BQ21+預測IC!BR21</f>
        <v>2.4417468133689977</v>
      </c>
      <c r="BS21" s="7">
        <f>BR21+預測IC!BS21</f>
        <v>2.4476069861241738</v>
      </c>
      <c r="BT21" s="7">
        <f>BS21+預測IC!BT21</f>
        <v>2.5084277286666987</v>
      </c>
      <c r="BU21" s="7">
        <f>BT21+預測IC!BU21</f>
        <v>2.3376892181162807</v>
      </c>
      <c r="BV21" s="7">
        <f>BU21+預測IC!BV21</f>
        <v>2.3569297062685202</v>
      </c>
      <c r="BW21" s="7">
        <f>BV21+預測IC!BW21</f>
        <v>2.7590606221075795</v>
      </c>
      <c r="BX21" s="7">
        <f>BW21+預測IC!BX21</f>
        <v>2.6818956195869825</v>
      </c>
      <c r="BY21" s="7">
        <f>BX21+預測IC!BY21</f>
        <v>2.6669792406701456</v>
      </c>
      <c r="BZ21" s="7">
        <f>BY21+預測IC!BZ21</f>
        <v>2.7146421693908613</v>
      </c>
      <c r="CA21" s="7">
        <f>BZ21+預測IC!CA21</f>
        <v>2.8097016032384206</v>
      </c>
      <c r="CB21" s="7">
        <f>CA21+預測IC!CB21</f>
        <v>3.0175714511400082</v>
      </c>
      <c r="CC21" s="7">
        <f>CB21+預測IC!CC21</f>
        <v>3.0095524968690421</v>
      </c>
      <c r="CD21" s="7">
        <f>CC21+預測IC!CD21</f>
        <v>3.2976085612315154</v>
      </c>
      <c r="CE21" s="7">
        <f>CD21+預測IC!CE21</f>
        <v>3.3591234435856694</v>
      </c>
      <c r="CF21" s="7">
        <f>CE21+預測IC!CF21</f>
        <v>3.231952967494061</v>
      </c>
      <c r="CG21" s="7">
        <f>CF21+預測IC!CG21</f>
        <v>3.5521197508745375</v>
      </c>
      <c r="CH21" s="7">
        <f>CG21+預測IC!CH21</f>
        <v>3.6322200719507491</v>
      </c>
      <c r="CI21" s="7">
        <f>CH21+預測IC!CI21</f>
        <v>3.5089267255392023</v>
      </c>
      <c r="CJ21" s="7">
        <f>CI21+預測IC!CJ21</f>
        <v>3.4969702586982847</v>
      </c>
      <c r="CK21" s="7">
        <f>CJ21+預測IC!CK21</f>
        <v>3.5055338890144667</v>
      </c>
      <c r="CL21" s="7">
        <f>CK21+預測IC!CL21</f>
        <v>3.8676176399126629</v>
      </c>
      <c r="CM21" s="7">
        <f>CL21+預測IC!CM21</f>
        <v>3.751385820732104</v>
      </c>
      <c r="CN21" s="7">
        <f>CM21+預測IC!CN21</f>
        <v>3.7401039015416448</v>
      </c>
      <c r="CO21" s="7">
        <f>CN21+預測IC!CO21</f>
        <v>4.0755876597365246</v>
      </c>
      <c r="CP21" s="7">
        <f>CO21+預測IC!CP21</f>
        <v>3.9793343713331324</v>
      </c>
      <c r="CQ21" s="7">
        <f>CP21+預測IC!CQ21</f>
        <v>3.9199307543150974</v>
      </c>
      <c r="CR21" s="7">
        <f>CQ21+預測IC!CR21</f>
        <v>3.9315465431752004</v>
      </c>
      <c r="CS21" s="7">
        <f>CR21+預測IC!CS21</f>
        <v>3.9624542888576979</v>
      </c>
      <c r="CT21" s="7">
        <f>CS21+預測IC!CT21</f>
        <v>4.0104473929307023</v>
      </c>
      <c r="CU21" s="7">
        <f>CT21+預測IC!CU21</f>
        <v>3.9477738327612109</v>
      </c>
      <c r="CV21" s="7">
        <f>CU21+預測IC!CV21</f>
        <v>4.0459994647825974</v>
      </c>
      <c r="CW21" s="7">
        <f>CV21+預測IC!CW21</f>
        <v>4.015246983474559</v>
      </c>
      <c r="CX21" s="7">
        <f>CW21+預測IC!CX21</f>
        <v>4.0286425074356185</v>
      </c>
      <c r="CY21" s="7">
        <f>CX21+預測IC!CY21</f>
        <v>4.1311476685171815</v>
      </c>
      <c r="CZ21" s="7">
        <f>CY21+預測IC!CZ21</f>
        <v>4.3685990393430121</v>
      </c>
      <c r="DA21" s="7">
        <f>CZ21+預測IC!DA21</f>
        <v>4.369791295799744</v>
      </c>
      <c r="DB21" s="7">
        <f>DA21+預測IC!DB21</f>
        <v>4.3181668621235891</v>
      </c>
      <c r="DC21" s="7">
        <f>DB21+預測IC!DC21</f>
        <v>4.3664760094890962</v>
      </c>
      <c r="DD21" s="7">
        <f>DC21+預測IC!DD21</f>
        <v>4.2994485132883549</v>
      </c>
      <c r="DE21" s="7">
        <f>DD21+預測IC!DE21</f>
        <v>4.2447292452939429</v>
      </c>
      <c r="DF21" s="7">
        <f>DE21+預測IC!DF21</f>
        <v>4.2662901259918176</v>
      </c>
      <c r="DG21" s="7">
        <f>DF21+預測IC!DG21</f>
        <v>4.2741365041203512</v>
      </c>
      <c r="DH21" s="7">
        <f>DG21+預測IC!DH21</f>
        <v>4.3555726924003784</v>
      </c>
      <c r="DI21" s="7">
        <f>DH21+預測IC!DI21</f>
        <v>4.5354125175677815</v>
      </c>
      <c r="DJ21" s="7">
        <f>DI21+預測IC!DJ21</f>
        <v>4.4975012043772216</v>
      </c>
      <c r="DK21" s="7">
        <f>DJ21+預測IC!DK21</f>
        <v>4.4066056134702754</v>
      </c>
      <c r="DL21" s="7">
        <f>DK21+預測IC!DL21</f>
        <v>4.4388138167198354</v>
      </c>
      <c r="DM21" s="7">
        <f>DL21+預測IC!DM21</f>
        <v>4.4638026191619815</v>
      </c>
      <c r="DN21" s="7">
        <f>DM21+預測IC!DN21</f>
        <v>4.4169277837953462</v>
      </c>
      <c r="DO21" s="7">
        <f>DN21+預測IC!DO21</f>
        <v>4.7485545886739926</v>
      </c>
      <c r="DP21" s="7">
        <f>DO21+預測IC!DP21</f>
        <v>4.7114459555757593</v>
      </c>
      <c r="DQ21" s="7">
        <f>DP21+預測IC!DQ21</f>
        <v>4.6832299035233627</v>
      </c>
      <c r="DR21" s="7">
        <f>DQ21+預測IC!DR21</f>
        <v>4.6296729137166688</v>
      </c>
      <c r="DS21" s="7">
        <f>DR21+預測IC!DS21</f>
        <v>4.4288334398793729</v>
      </c>
      <c r="DT21" s="7">
        <f>DS21+預測IC!DT21</f>
        <v>4.4191247969371101</v>
      </c>
      <c r="DU21" s="7">
        <f>DT21+預測IC!DU21</f>
        <v>4.2705100802986964</v>
      </c>
      <c r="DV21" s="7">
        <f>DU21+預測IC!DV21</f>
        <v>4.22084567614933</v>
      </c>
      <c r="DW21" s="7">
        <f>DV21+預測IC!DW21</f>
        <v>4.1173111835530269</v>
      </c>
      <c r="DX21" s="7">
        <f>DW21+預測IC!DX21</f>
        <v>3.9313449695218434</v>
      </c>
      <c r="DY21" s="7">
        <f>DX21+預測IC!DY21</f>
        <v>3.9559409650598596</v>
      </c>
      <c r="DZ21" s="7">
        <f>DY21+預測IC!DZ21</f>
        <v>4.0548715387197651</v>
      </c>
      <c r="EA21" s="7">
        <f>DZ21+預測IC!EA21</f>
        <v>4.0300060162713374</v>
      </c>
      <c r="EB21" s="7">
        <f>EA21+預測IC!EB21</f>
        <v>3.9267104572473297</v>
      </c>
      <c r="EC21" s="7">
        <f>EB21+預測IC!EC21</f>
        <v>3.9407475123453719</v>
      </c>
      <c r="ED21" s="7">
        <f>EC21+預測IC!ED21</f>
        <v>3.8580174648421606</v>
      </c>
      <c r="EE21" s="7">
        <f>ED21+預測IC!EE21</f>
        <v>3.8367068725342932</v>
      </c>
      <c r="EF21" s="7">
        <f>EE21+預測IC!EF21</f>
        <v>3.8179356084921743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f>C22+預測IC!D22</f>
        <v>0.34770815311437386</v>
      </c>
      <c r="E22" s="7">
        <f>D22+預測IC!E22</f>
        <v>0.30668062111375483</v>
      </c>
      <c r="F22" s="7">
        <f>E22+預測IC!F22</f>
        <v>0.16681317080436783</v>
      </c>
      <c r="G22" s="7">
        <f>F22+預測IC!G22</f>
        <v>0.3997585953996905</v>
      </c>
      <c r="H22" s="7">
        <f>G22+預測IC!H22</f>
        <v>0.52393665836033676</v>
      </c>
      <c r="I22" s="7">
        <f>H22+預測IC!I22</f>
        <v>0.64742982769840651</v>
      </c>
      <c r="J22" s="7">
        <f>I22+預測IC!J22</f>
        <v>0.54317632496177704</v>
      </c>
      <c r="K22" s="7">
        <f>J22+預測IC!K22</f>
        <v>0.57183310507817109</v>
      </c>
      <c r="L22" s="7">
        <f>K22+預測IC!L22</f>
        <v>0.58610631376315336</v>
      </c>
      <c r="M22" s="7">
        <f>L22+預測IC!M22</f>
        <v>0.40144352642020326</v>
      </c>
      <c r="N22" s="7">
        <f>M22+預測IC!N22</f>
        <v>1.1575869695375423</v>
      </c>
      <c r="O22" s="7">
        <f>N22+預測IC!O22</f>
        <v>1.3010673155418147</v>
      </c>
      <c r="P22" s="7">
        <f>O22+預測IC!P22</f>
        <v>1.3916981899684489</v>
      </c>
      <c r="Q22" s="7">
        <f>P22+預測IC!Q22</f>
        <v>1.518969080199839</v>
      </c>
      <c r="R22" s="7">
        <f>Q22+預測IC!R22</f>
        <v>1.5856673728061705</v>
      </c>
      <c r="S22" s="7">
        <f>R22+預測IC!S22</f>
        <v>1.5464332292689913</v>
      </c>
      <c r="T22" s="7">
        <f>S22+預測IC!T22</f>
        <v>1.4415842621123613</v>
      </c>
      <c r="U22" s="7">
        <f>T22+預測IC!U22</f>
        <v>1.4940731686079831</v>
      </c>
      <c r="V22" s="7">
        <f>U22+預測IC!V22</f>
        <v>1.3184482661375707</v>
      </c>
      <c r="W22" s="7">
        <f>V22+預測IC!W22</f>
        <v>1.4764960193015213</v>
      </c>
      <c r="X22" s="7">
        <f>W22+預測IC!X22</f>
        <v>1.7336983705150182</v>
      </c>
      <c r="Y22" s="7">
        <f>X22+預測IC!Y22</f>
        <v>1.6638450388122175</v>
      </c>
      <c r="Z22" s="7">
        <f>Y22+預測IC!Z22</f>
        <v>1.6877111606025739</v>
      </c>
      <c r="AA22" s="7">
        <f>Z22+預測IC!AA22</f>
        <v>1.6947591774894306</v>
      </c>
      <c r="AB22" s="7">
        <f>AA22+預測IC!AB22</f>
        <v>1.6564851230678594</v>
      </c>
      <c r="AC22" s="7">
        <f>AB22+預測IC!AC22</f>
        <v>1.4792720449189967</v>
      </c>
      <c r="AD22" s="7">
        <f>AC22+預測IC!AD22</f>
        <v>1.492844833691358</v>
      </c>
      <c r="AE22" s="7">
        <f>AD22+預測IC!AE22</f>
        <v>1.4076971477336508</v>
      </c>
      <c r="AF22" s="7">
        <f>AE22+預測IC!AF22</f>
        <v>1.3212929086912273</v>
      </c>
      <c r="AG22" s="7">
        <f>AF22+預測IC!AG22</f>
        <v>1.2684513685154934</v>
      </c>
      <c r="AH22" s="7">
        <f>AG22+預測IC!AH22</f>
        <v>1.1625854090950207</v>
      </c>
      <c r="AI22" s="7">
        <f>AH22+預測IC!AI22</f>
        <v>1.2567266697524069</v>
      </c>
      <c r="AJ22" s="7">
        <f>AI22+預測IC!AJ22</f>
        <v>1.2250268204259986</v>
      </c>
      <c r="AK22" s="7">
        <f>AJ22+預測IC!AK22</f>
        <v>1.3263153811663944</v>
      </c>
      <c r="AL22" s="7">
        <f>AK22+預測IC!AL22</f>
        <v>1.3666563479732947</v>
      </c>
      <c r="AM22" s="7">
        <f>AL22+預測IC!AM22</f>
        <v>1.4507452514409982</v>
      </c>
      <c r="AN22" s="7">
        <f>AM22+預測IC!AN22</f>
        <v>1.5618780611045575</v>
      </c>
      <c r="AO22" s="7">
        <f>AN22+預測IC!AO22</f>
        <v>1.6365954344982632</v>
      </c>
      <c r="AP22" s="7">
        <f>AO22+預測IC!AP22</f>
        <v>1.5740590806102706</v>
      </c>
      <c r="AQ22" s="7">
        <f>AP22+預測IC!AQ22</f>
        <v>1.6534851980888636</v>
      </c>
      <c r="AR22" s="7">
        <f>AQ22+預測IC!AR22</f>
        <v>1.5855607103852603</v>
      </c>
      <c r="AS22" s="7">
        <f>AR22+預測IC!AS22</f>
        <v>1.6683711492838103</v>
      </c>
      <c r="AT22" s="7">
        <f>AS22+預測IC!AT22</f>
        <v>1.669444844014073</v>
      </c>
      <c r="AU22" s="7">
        <f>AT22+預測IC!AU22</f>
        <v>1.7029452959249429</v>
      </c>
      <c r="AV22" s="7">
        <f>AU22+預測IC!AV22</f>
        <v>1.7625914360986084</v>
      </c>
      <c r="AW22" s="7">
        <f>AV22+預測IC!AW22</f>
        <v>1.7324420468915993</v>
      </c>
      <c r="AX22" s="7">
        <f>AW22+預測IC!AX22</f>
        <v>1.9062054468716236</v>
      </c>
      <c r="AY22" s="7">
        <f>AX22+預測IC!AY22</f>
        <v>1.7424811155260567</v>
      </c>
      <c r="AZ22" s="7">
        <f>AY22+預測IC!AZ22</f>
        <v>1.8976695195695903</v>
      </c>
      <c r="BA22" s="7">
        <f>AZ22+預測IC!BA22</f>
        <v>1.9474444771537773</v>
      </c>
      <c r="BB22" s="7">
        <f>BA22+預測IC!BB22</f>
        <v>2.3169950604502652</v>
      </c>
      <c r="BC22" s="7">
        <f>BB22+預測IC!BC22</f>
        <v>2.2296616783381795</v>
      </c>
      <c r="BD22" s="7">
        <f>BC22+預測IC!BD22</f>
        <v>2.3089212232576157</v>
      </c>
      <c r="BE22" s="7">
        <f>BD22+預測IC!BE22</f>
        <v>2.2404381863895151</v>
      </c>
      <c r="BF22" s="7">
        <f>BE22+預測IC!BF22</f>
        <v>2.1855521726347087</v>
      </c>
      <c r="BG22" s="7">
        <f>BF22+預測IC!BG22</f>
        <v>2.0893736435050707</v>
      </c>
      <c r="BH22" s="7">
        <f>BG22+預測IC!BH22</f>
        <v>2.2173341858432027</v>
      </c>
      <c r="BI22" s="7">
        <f>BH22+預測IC!BI22</f>
        <v>2.2996796533158768</v>
      </c>
      <c r="BJ22" s="7">
        <f>BI22+預測IC!BJ22</f>
        <v>2.3405699849954011</v>
      </c>
      <c r="BK22" s="7">
        <f>BJ22+預測IC!BK22</f>
        <v>2.3888852260470657</v>
      </c>
      <c r="BL22" s="7">
        <f>BK22+預測IC!BL22</f>
        <v>2.406749108181347</v>
      </c>
      <c r="BM22" s="7">
        <f>BL22+預測IC!BM22</f>
        <v>2.2858094728537712</v>
      </c>
      <c r="BN22" s="7">
        <f>BM22+預測IC!BN22</f>
        <v>2.2028715736534488</v>
      </c>
      <c r="BO22" s="7">
        <f>BN22+預測IC!BO22</f>
        <v>2.2412216366172917</v>
      </c>
      <c r="BP22" s="7">
        <f>BO22+預測IC!BP22</f>
        <v>2.2417626367418233</v>
      </c>
      <c r="BQ22" s="7">
        <f>BP22+預測IC!BQ22</f>
        <v>2.2695927341401361</v>
      </c>
      <c r="BR22" s="7">
        <f>BQ22+預測IC!BR22</f>
        <v>2.2904063436065889</v>
      </c>
      <c r="BS22" s="7">
        <f>BR22+預測IC!BS22</f>
        <v>2.2740335612297899</v>
      </c>
      <c r="BT22" s="7">
        <f>BS22+預測IC!BT22</f>
        <v>2.1853073668970064</v>
      </c>
      <c r="BU22" s="7">
        <f>BT22+預測IC!BU22</f>
        <v>2.0809567838146417</v>
      </c>
      <c r="BV22" s="7">
        <f>BU22+預測IC!BV22</f>
        <v>2.0816385439821992</v>
      </c>
      <c r="BW22" s="7">
        <f>BV22+預測IC!BW22</f>
        <v>2.5093550404465756</v>
      </c>
      <c r="BX22" s="7">
        <f>BW22+預測IC!BX22</f>
        <v>2.3963261415422106</v>
      </c>
      <c r="BY22" s="7">
        <f>BX22+預測IC!BY22</f>
        <v>2.4286790170627102</v>
      </c>
      <c r="BZ22" s="7">
        <f>BY22+預測IC!BZ22</f>
        <v>2.4759367529256022</v>
      </c>
      <c r="CA22" s="7">
        <f>BZ22+預測IC!CA22</f>
        <v>2.6200154889598575</v>
      </c>
      <c r="CB22" s="7">
        <f>CA22+預測IC!CB22</f>
        <v>2.8747547446747186</v>
      </c>
      <c r="CC22" s="7">
        <f>CB22+預測IC!CC22</f>
        <v>2.7496507493546858</v>
      </c>
      <c r="CD22" s="7">
        <f>CC22+預測IC!CD22</f>
        <v>3.0835287860674088</v>
      </c>
      <c r="CE22" s="7">
        <f>CD22+預測IC!CE22</f>
        <v>3.1503689317042265</v>
      </c>
      <c r="CF22" s="7">
        <f>CE22+預測IC!CF22</f>
        <v>2.9947963632817598</v>
      </c>
      <c r="CG22" s="7">
        <f>CF22+預測IC!CG22</f>
        <v>3.43859717833617</v>
      </c>
      <c r="CH22" s="7">
        <f>CG22+預測IC!CH22</f>
        <v>3.554515949615618</v>
      </c>
      <c r="CI22" s="7">
        <f>CH22+預測IC!CI22</f>
        <v>3.3240667825774337</v>
      </c>
      <c r="CJ22" s="7">
        <f>CI22+預測IC!CJ22</f>
        <v>3.3078239347343117</v>
      </c>
      <c r="CK22" s="7">
        <f>CJ22+預測IC!CK22</f>
        <v>3.2806714381633744</v>
      </c>
      <c r="CL22" s="7">
        <f>CK22+預測IC!CL22</f>
        <v>3.8346258035658924</v>
      </c>
      <c r="CM22" s="7">
        <f>CL22+預測IC!CM22</f>
        <v>3.6147933183684291</v>
      </c>
      <c r="CN22" s="7">
        <f>CM22+預測IC!CN22</f>
        <v>3.6366436251540168</v>
      </c>
      <c r="CO22" s="7">
        <f>CN22+預測IC!CO22</f>
        <v>3.9087031233008918</v>
      </c>
      <c r="CP22" s="7">
        <f>CO22+預測IC!CP22</f>
        <v>3.8273800172795047</v>
      </c>
      <c r="CQ22" s="7">
        <f>CP22+預測IC!CQ22</f>
        <v>3.7529130070054766</v>
      </c>
      <c r="CR22" s="7">
        <f>CQ22+預測IC!CR22</f>
        <v>3.7244908019263159</v>
      </c>
      <c r="CS22" s="7">
        <f>CR22+預測IC!CS22</f>
        <v>3.7489303887583487</v>
      </c>
      <c r="CT22" s="7">
        <f>CS22+預測IC!CT22</f>
        <v>3.7871930033336239</v>
      </c>
      <c r="CU22" s="7">
        <f>CT22+預測IC!CU22</f>
        <v>3.666961291369526</v>
      </c>
      <c r="CV22" s="7">
        <f>CU22+預測IC!CV22</f>
        <v>3.7791949865765804</v>
      </c>
      <c r="CW22" s="7">
        <f>CV22+預測IC!CW22</f>
        <v>3.7656951880406186</v>
      </c>
      <c r="CX22" s="7">
        <f>CW22+預測IC!CX22</f>
        <v>3.8129806412994092</v>
      </c>
      <c r="CY22" s="7">
        <f>CX22+預測IC!CY22</f>
        <v>3.9174914673674706</v>
      </c>
      <c r="CZ22" s="7">
        <f>CY22+預測IC!CZ22</f>
        <v>4.1804119519667093</v>
      </c>
      <c r="DA22" s="7">
        <f>CZ22+預測IC!DA22</f>
        <v>4.1764201980847853</v>
      </c>
      <c r="DB22" s="7">
        <f>DA22+預測IC!DB22</f>
        <v>4.1180366912562931</v>
      </c>
      <c r="DC22" s="7">
        <f>DB22+預測IC!DC22</f>
        <v>4.1903787249892375</v>
      </c>
      <c r="DD22" s="7">
        <f>DC22+預測IC!DD22</f>
        <v>4.1744161471736749</v>
      </c>
      <c r="DE22" s="7">
        <f>DD22+預測IC!DE22</f>
        <v>4.0410600039282452</v>
      </c>
      <c r="DF22" s="7">
        <f>DE22+預測IC!DF22</f>
        <v>4.0580917792017983</v>
      </c>
      <c r="DG22" s="7">
        <f>DF22+預測IC!DG22</f>
        <v>4.0900768222826862</v>
      </c>
      <c r="DH22" s="7">
        <f>DG22+預測IC!DH22</f>
        <v>4.1715312038985948</v>
      </c>
      <c r="DI22" s="7">
        <f>DH22+預測IC!DI22</f>
        <v>4.2316533151691846</v>
      </c>
      <c r="DJ22" s="7">
        <f>DI22+預測IC!DJ22</f>
        <v>4.1814073093360884</v>
      </c>
      <c r="DK22" s="7">
        <f>DJ22+預測IC!DK22</f>
        <v>4.0899789042765775</v>
      </c>
      <c r="DL22" s="7">
        <f>DK22+預測IC!DL22</f>
        <v>4.1116592304344683</v>
      </c>
      <c r="DM22" s="7">
        <f>DL22+預測IC!DM22</f>
        <v>4.1435439397241991</v>
      </c>
      <c r="DN22" s="7">
        <f>DM22+預測IC!DN22</f>
        <v>4.0603702326466404</v>
      </c>
      <c r="DO22" s="7">
        <f>DN22+預測IC!DO22</f>
        <v>4.1360860487015465</v>
      </c>
      <c r="DP22" s="7">
        <f>DO22+預測IC!DP22</f>
        <v>4.0309869889010681</v>
      </c>
      <c r="DQ22" s="7">
        <f>DP22+預測IC!DQ22</f>
        <v>3.9791367870634469</v>
      </c>
      <c r="DR22" s="7">
        <f>DQ22+預測IC!DR22</f>
        <v>3.9079004873903114</v>
      </c>
      <c r="DS22" s="7">
        <f>DR22+預測IC!DS22</f>
        <v>3.7108495658279521</v>
      </c>
      <c r="DT22" s="7">
        <f>DS22+預測IC!DT22</f>
        <v>3.6671681195038639</v>
      </c>
      <c r="DU22" s="7">
        <f>DT22+預測IC!DU22</f>
        <v>3.5056212086211338</v>
      </c>
      <c r="DV22" s="7">
        <f>DU22+預測IC!DV22</f>
        <v>3.5589913754493758</v>
      </c>
      <c r="DW22" s="7">
        <f>DV22+預測IC!DW22</f>
        <v>3.4775759620694524</v>
      </c>
      <c r="DX22" s="7">
        <f>DW22+預測IC!DX22</f>
        <v>3.2551333536211575</v>
      </c>
      <c r="DY22" s="7">
        <f>DX22+預測IC!DY22</f>
        <v>3.2469862369956175</v>
      </c>
      <c r="DZ22" s="7">
        <f>DY22+預測IC!DZ22</f>
        <v>3.3578207417833288</v>
      </c>
      <c r="EA22" s="7">
        <f>DZ22+預測IC!EA22</f>
        <v>3.28727209294397</v>
      </c>
      <c r="EB22" s="7">
        <f>EA22+預測IC!EB22</f>
        <v>3.1443450168916427</v>
      </c>
      <c r="EC22" s="7">
        <f>EB22+預測IC!EC22</f>
        <v>3.1658401184672811</v>
      </c>
      <c r="ED22" s="7">
        <f>EC22+預測IC!ED22</f>
        <v>3.108340899858471</v>
      </c>
      <c r="EE22" s="7">
        <f>ED22+預測IC!EE22</f>
        <v>3.0607042404737719</v>
      </c>
      <c r="EF22" s="7">
        <f>EE22+預測IC!EF22</f>
        <v>3.0259139941015993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f>C23+預測IC!D23</f>
        <v>0.53708189314779009</v>
      </c>
      <c r="E23" s="7">
        <f>D23+預測IC!E23</f>
        <v>0.45614072057711785</v>
      </c>
      <c r="F23" s="7">
        <f>E23+預測IC!F23</f>
        <v>0.45240048763520718</v>
      </c>
      <c r="G23" s="7">
        <f>F23+預測IC!G23</f>
        <v>0.81403260841364</v>
      </c>
      <c r="H23" s="7">
        <f>G23+預測IC!H23</f>
        <v>0.79584413757215533</v>
      </c>
      <c r="I23" s="7">
        <f>H23+預測IC!I23</f>
        <v>0.9439961661724493</v>
      </c>
      <c r="J23" s="7">
        <f>I23+預測IC!J23</f>
        <v>0.8291186602420042</v>
      </c>
      <c r="K23" s="7">
        <f>J23+預測IC!K23</f>
        <v>0.7692007757339413</v>
      </c>
      <c r="L23" s="7">
        <f>K23+預測IC!L23</f>
        <v>0.81997160943912428</v>
      </c>
      <c r="M23" s="7">
        <f>L23+預測IC!M23</f>
        <v>0.67268464141162743</v>
      </c>
      <c r="N23" s="7">
        <f>M23+預測IC!N23</f>
        <v>1.6485860846829075</v>
      </c>
      <c r="O23" s="7">
        <f>N23+預測IC!O23</f>
        <v>1.8531504626559094</v>
      </c>
      <c r="P23" s="7">
        <f>O23+預測IC!P23</f>
        <v>1.9078319886904573</v>
      </c>
      <c r="Q23" s="7">
        <f>P23+預測IC!Q23</f>
        <v>2.1990054821571619</v>
      </c>
      <c r="R23" s="7">
        <f>Q23+預測IC!R23</f>
        <v>2.2618274601269235</v>
      </c>
      <c r="S23" s="7">
        <f>R23+預測IC!S23</f>
        <v>2.1892547956768613</v>
      </c>
      <c r="T23" s="7">
        <f>S23+預測IC!T23</f>
        <v>2.1045786199081329</v>
      </c>
      <c r="U23" s="7">
        <f>T23+預測IC!U23</f>
        <v>2.1638204093892344</v>
      </c>
      <c r="V23" s="7">
        <f>U23+預測IC!V23</f>
        <v>1.9313432060183096</v>
      </c>
      <c r="W23" s="7">
        <f>V23+預測IC!W23</f>
        <v>2.1908905296953689</v>
      </c>
      <c r="X23" s="7">
        <f>W23+預測IC!X23</f>
        <v>2.3854469911530134</v>
      </c>
      <c r="Y23" s="7">
        <f>X23+預測IC!Y23</f>
        <v>2.3174970695616626</v>
      </c>
      <c r="Z23" s="7">
        <f>Y23+預測IC!Z23</f>
        <v>2.3585490360819139</v>
      </c>
      <c r="AA23" s="7">
        <f>Z23+預測IC!AA23</f>
        <v>2.365155328051384</v>
      </c>
      <c r="AB23" s="7">
        <f>AA23+預測IC!AB23</f>
        <v>2.3174063828322287</v>
      </c>
      <c r="AC23" s="7">
        <f>AB23+預測IC!AC23</f>
        <v>2.083397761885784</v>
      </c>
      <c r="AD23" s="7">
        <f>AC23+預測IC!AD23</f>
        <v>2.155026629971458</v>
      </c>
      <c r="AE23" s="7">
        <f>AD23+預測IC!AE23</f>
        <v>1.9333133941498089</v>
      </c>
      <c r="AF23" s="7">
        <f>AE23+預測IC!AF23</f>
        <v>1.9080129017832617</v>
      </c>
      <c r="AG23" s="7">
        <f>AF23+預測IC!AG23</f>
        <v>1.8161392441369015</v>
      </c>
      <c r="AH23" s="7">
        <f>AG23+預測IC!AH23</f>
        <v>1.7319676596137183</v>
      </c>
      <c r="AI23" s="7">
        <f>AH23+預測IC!AI23</f>
        <v>1.7551959262362002</v>
      </c>
      <c r="AJ23" s="7">
        <f>AI23+預測IC!AJ23</f>
        <v>1.7608390640843545</v>
      </c>
      <c r="AK23" s="7">
        <f>AJ23+預測IC!AK23</f>
        <v>1.8749501634315455</v>
      </c>
      <c r="AL23" s="7">
        <f>AK23+預測IC!AL23</f>
        <v>2.0063818766240811</v>
      </c>
      <c r="AM23" s="7">
        <f>AL23+預測IC!AM23</f>
        <v>2.0141513656289463</v>
      </c>
      <c r="AN23" s="7">
        <f>AM23+預測IC!AN23</f>
        <v>2.2564660649862471</v>
      </c>
      <c r="AO23" s="7">
        <f>AN23+預測IC!AO23</f>
        <v>2.251129112794823</v>
      </c>
      <c r="AP23" s="7">
        <f>AO23+預測IC!AP23</f>
        <v>2.2542502121471286</v>
      </c>
      <c r="AQ23" s="7">
        <f>AP23+預測IC!AQ23</f>
        <v>2.3436752044067393</v>
      </c>
      <c r="AR23" s="7">
        <f>AQ23+預測IC!AR23</f>
        <v>2.197539040067372</v>
      </c>
      <c r="AS23" s="7">
        <f>AR23+預測IC!AS23</f>
        <v>2.1828321520699943</v>
      </c>
      <c r="AT23" s="7">
        <f>AS23+預測IC!AT23</f>
        <v>2.1997833828857254</v>
      </c>
      <c r="AU23" s="7">
        <f>AT23+預測IC!AU23</f>
        <v>2.2329289090142299</v>
      </c>
      <c r="AV23" s="7">
        <f>AU23+預測IC!AV23</f>
        <v>2.1361716586140966</v>
      </c>
      <c r="AW23" s="7">
        <f>AV23+預測IC!AW23</f>
        <v>2.0841447487756937</v>
      </c>
      <c r="AX23" s="7">
        <f>AW23+預測IC!AX23</f>
        <v>2.1539829026027375</v>
      </c>
      <c r="AY23" s="7">
        <f>AX23+預測IC!AY23</f>
        <v>1.9908349915220271</v>
      </c>
      <c r="AZ23" s="7">
        <f>AY23+預測IC!AZ23</f>
        <v>2.0689065680432344</v>
      </c>
      <c r="BA23" s="7">
        <f>AZ23+預測IC!BA23</f>
        <v>2.1229049066730918</v>
      </c>
      <c r="BB23" s="7">
        <f>BA23+預測IC!BB23</f>
        <v>2.6897314327205324</v>
      </c>
      <c r="BC23" s="7">
        <f>BB23+預測IC!BC23</f>
        <v>2.5167313723460349</v>
      </c>
      <c r="BD23" s="7">
        <f>BC23+預測IC!BD23</f>
        <v>2.6427041568205309</v>
      </c>
      <c r="BE23" s="7">
        <f>BD23+預測IC!BE23</f>
        <v>2.556171762030528</v>
      </c>
      <c r="BF23" s="7">
        <f>BE23+預測IC!BF23</f>
        <v>2.4961588184087029</v>
      </c>
      <c r="BG23" s="7">
        <f>BF23+預測IC!BG23</f>
        <v>2.4512501437144363</v>
      </c>
      <c r="BH23" s="7">
        <f>BG23+預測IC!BH23</f>
        <v>2.6547341250697234</v>
      </c>
      <c r="BI23" s="7">
        <f>BH23+預測IC!BI23</f>
        <v>2.7759396487051333</v>
      </c>
      <c r="BJ23" s="7">
        <f>BI23+預測IC!BJ23</f>
        <v>2.8334335095106242</v>
      </c>
      <c r="BK23" s="7">
        <f>BJ23+預測IC!BK23</f>
        <v>2.8812828328118125</v>
      </c>
      <c r="BL23" s="7">
        <f>BK23+預測IC!BL23</f>
        <v>2.8278506128671395</v>
      </c>
      <c r="BM23" s="7">
        <f>BL23+預測IC!BM23</f>
        <v>2.6437028056092711</v>
      </c>
      <c r="BN23" s="7">
        <f>BM23+預測IC!BN23</f>
        <v>2.6052495683689978</v>
      </c>
      <c r="BO23" s="7">
        <f>BN23+預測IC!BO23</f>
        <v>2.6670650483368643</v>
      </c>
      <c r="BP23" s="7">
        <f>BO23+預測IC!BP23</f>
        <v>2.6895407697295464</v>
      </c>
      <c r="BQ23" s="7">
        <f>BP23+預測IC!BQ23</f>
        <v>2.7615886711648123</v>
      </c>
      <c r="BR23" s="7">
        <f>BQ23+預測IC!BR23</f>
        <v>2.7794329926287751</v>
      </c>
      <c r="BS23" s="7">
        <f>BR23+預測IC!BS23</f>
        <v>2.7061576039708632</v>
      </c>
      <c r="BT23" s="7">
        <f>BS23+預測IC!BT23</f>
        <v>2.4879709278379591</v>
      </c>
      <c r="BU23" s="7">
        <f>BT23+預測IC!BU23</f>
        <v>2.3822856540445558</v>
      </c>
      <c r="BV23" s="7">
        <f>BU23+預測IC!BV23</f>
        <v>2.3652667031686279</v>
      </c>
      <c r="BW23" s="7">
        <f>BV23+預測IC!BW23</f>
        <v>2.9662642296020789</v>
      </c>
      <c r="BX23" s="7">
        <f>BW23+預測IC!BX23</f>
        <v>2.8975291402712808</v>
      </c>
      <c r="BY23" s="7">
        <f>BX23+預測IC!BY23</f>
        <v>2.9374685891474113</v>
      </c>
      <c r="BZ23" s="7">
        <f>BY23+預測IC!BZ23</f>
        <v>2.945138351579256</v>
      </c>
      <c r="CA23" s="7">
        <f>BZ23+預測IC!CA23</f>
        <v>3.1515110739667427</v>
      </c>
      <c r="CB23" s="7">
        <f>CA23+預測IC!CB23</f>
        <v>3.4676778357254925</v>
      </c>
      <c r="CC23" s="7">
        <f>CB23+預測IC!CC23</f>
        <v>3.3831332210097171</v>
      </c>
      <c r="CD23" s="7">
        <f>CC23+預測IC!CD23</f>
        <v>3.5748096760245023</v>
      </c>
      <c r="CE23" s="7">
        <f>CD23+預測IC!CE23</f>
        <v>3.6344119778622197</v>
      </c>
      <c r="CF23" s="7">
        <f>CE23+預測IC!CF23</f>
        <v>3.4509787415766602</v>
      </c>
      <c r="CG23" s="7">
        <f>CF23+預測IC!CG23</f>
        <v>3.7438826796943974</v>
      </c>
      <c r="CH23" s="7">
        <f>CG23+預測IC!CH23</f>
        <v>3.9240791286158259</v>
      </c>
      <c r="CI23" s="7">
        <f>CH23+預測IC!CI23</f>
        <v>3.864956654702302</v>
      </c>
      <c r="CJ23" s="7">
        <f>CI23+預測IC!CJ23</f>
        <v>3.9032119036385788</v>
      </c>
      <c r="CK23" s="7">
        <f>CJ23+預測IC!CK23</f>
        <v>3.8466175782590737</v>
      </c>
      <c r="CL23" s="7">
        <f>CK23+預測IC!CL23</f>
        <v>4.6677664050246053</v>
      </c>
      <c r="CM23" s="7">
        <f>CL23+預測IC!CM23</f>
        <v>4.4330614324085067</v>
      </c>
      <c r="CN23" s="7">
        <f>CM23+預測IC!CN23</f>
        <v>4.4830304879727496</v>
      </c>
      <c r="CO23" s="7">
        <f>CN23+預測IC!CO23</f>
        <v>4.7491890256998506</v>
      </c>
      <c r="CP23" s="7">
        <f>CO23+預測IC!CP23</f>
        <v>4.6294707120207583</v>
      </c>
      <c r="CQ23" s="7">
        <f>CP23+預測IC!CQ23</f>
        <v>4.5621556138723864</v>
      </c>
      <c r="CR23" s="7">
        <f>CQ23+預測IC!CR23</f>
        <v>4.5239227747011661</v>
      </c>
      <c r="CS23" s="7">
        <f>CR23+預測IC!CS23</f>
        <v>4.5929381455580716</v>
      </c>
      <c r="CT23" s="7">
        <f>CS23+預測IC!CT23</f>
        <v>4.6583283609380217</v>
      </c>
      <c r="CU23" s="7">
        <f>CT23+預測IC!CU23</f>
        <v>4.6372717652247344</v>
      </c>
      <c r="CV23" s="7">
        <f>CU23+預測IC!CV23</f>
        <v>4.6150266277359284</v>
      </c>
      <c r="CW23" s="7">
        <f>CV23+預測IC!CW23</f>
        <v>4.6791917398517695</v>
      </c>
      <c r="CX23" s="7">
        <f>CW23+預測IC!CX23</f>
        <v>4.6349376603022341</v>
      </c>
      <c r="CY23" s="7">
        <f>CX23+預測IC!CY23</f>
        <v>4.788687993973773</v>
      </c>
      <c r="CZ23" s="7">
        <f>CY23+預測IC!CZ23</f>
        <v>4.9706867878311245</v>
      </c>
      <c r="DA23" s="7">
        <f>CZ23+預測IC!DA23</f>
        <v>4.9397046516052141</v>
      </c>
      <c r="DB23" s="7">
        <f>DA23+預測IC!DB23</f>
        <v>4.9237494947382174</v>
      </c>
      <c r="DC23" s="7">
        <f>DB23+預測IC!DC23</f>
        <v>4.9961655283946431</v>
      </c>
      <c r="DD23" s="7">
        <f>DC23+預測IC!DD23</f>
        <v>4.9777577021216421</v>
      </c>
      <c r="DE23" s="7">
        <f>DD23+預測IC!DE23</f>
        <v>4.8363124022620827</v>
      </c>
      <c r="DF23" s="7">
        <f>DE23+預測IC!DF23</f>
        <v>4.8982545293069881</v>
      </c>
      <c r="DG23" s="7">
        <f>DF23+預測IC!DG23</f>
        <v>4.9365245411817051</v>
      </c>
      <c r="DH23" s="7">
        <f>DG23+預測IC!DH23</f>
        <v>5.0757514346938137</v>
      </c>
      <c r="DI23" s="7">
        <f>DH23+預測IC!DI23</f>
        <v>5.1717919855647096</v>
      </c>
      <c r="DJ23" s="7">
        <f>DI23+預測IC!DJ23</f>
        <v>5.0847339773923617</v>
      </c>
      <c r="DK23" s="7">
        <f>DJ23+預測IC!DK23</f>
        <v>4.993488988651535</v>
      </c>
      <c r="DL23" s="7">
        <f>DK23+預測IC!DL23</f>
        <v>4.9368816543204597</v>
      </c>
      <c r="DM23" s="7">
        <f>DL23+預測IC!DM23</f>
        <v>4.9833589703097019</v>
      </c>
      <c r="DN23" s="7">
        <f>DM23+預測IC!DN23</f>
        <v>4.865154215882332</v>
      </c>
      <c r="DO23" s="7">
        <f>DN23+預測IC!DO23</f>
        <v>4.9892226578700614</v>
      </c>
      <c r="DP23" s="7">
        <f>DO23+預測IC!DP23</f>
        <v>4.9508182620320627</v>
      </c>
      <c r="DQ23" s="7">
        <f>DP23+預測IC!DQ23</f>
        <v>4.8296862207746054</v>
      </c>
      <c r="DR23" s="7">
        <f>DQ23+預測IC!DR23</f>
        <v>4.7272604255396038</v>
      </c>
      <c r="DS23" s="7">
        <f>DR23+預測IC!DS23</f>
        <v>4.4391638486205576</v>
      </c>
      <c r="DT23" s="7">
        <f>DS23+預測IC!DT23</f>
        <v>4.3849133879519453</v>
      </c>
      <c r="DU23" s="7">
        <f>DT23+預測IC!DU23</f>
        <v>4.3292739092436632</v>
      </c>
      <c r="DV23" s="7">
        <f>DU23+預測IC!DV23</f>
        <v>4.3374071628589377</v>
      </c>
      <c r="DW23" s="7">
        <f>DV23+預測IC!DW23</f>
        <v>4.3604589836139995</v>
      </c>
      <c r="DX23" s="7">
        <f>DW23+預測IC!DX23</f>
        <v>4.0469657772350329</v>
      </c>
      <c r="DY23" s="7">
        <f>DX23+預測IC!DY23</f>
        <v>4.2168426058872868</v>
      </c>
      <c r="DZ23" s="7">
        <f>DY23+預測IC!DZ23</f>
        <v>3.9996686181348453</v>
      </c>
      <c r="EA23" s="7">
        <f>DZ23+預測IC!EA23</f>
        <v>3.9762197105217258</v>
      </c>
      <c r="EB23" s="7">
        <f>EA23+預測IC!EB23</f>
        <v>3.8379942153985236</v>
      </c>
      <c r="EC23" s="7">
        <f>EB23+預測IC!EC23</f>
        <v>3.8014098990727101</v>
      </c>
      <c r="ED23" s="7">
        <f>EC23+預測IC!ED23</f>
        <v>3.8403103216424341</v>
      </c>
      <c r="EE23" s="7">
        <f>ED23+預測IC!EE23</f>
        <v>3.7710982456574413</v>
      </c>
      <c r="EF23" s="7">
        <f>EE23+預測IC!EF23</f>
        <v>3.7233159670657816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f>C24+預測IC!D24</f>
        <v>0.19972327710611135</v>
      </c>
      <c r="E24" s="7">
        <f>D24+預測IC!E24</f>
        <v>0.27112360727540824</v>
      </c>
      <c r="F24" s="7">
        <f>E24+預測IC!F24</f>
        <v>0.34645010110711494</v>
      </c>
      <c r="G24" s="7">
        <f>F24+預測IC!G24</f>
        <v>0.57605715296527871</v>
      </c>
      <c r="H24" s="7">
        <f>G24+預測IC!H24</f>
        <v>0.61191294962023535</v>
      </c>
      <c r="I24" s="7">
        <f>H24+預測IC!I24</f>
        <v>0.60980101641709183</v>
      </c>
      <c r="J24" s="7">
        <f>I24+預測IC!J24</f>
        <v>0.49433821820306934</v>
      </c>
      <c r="K24" s="7">
        <f>J24+預測IC!K24</f>
        <v>0.54807121487130339</v>
      </c>
      <c r="L24" s="7">
        <f>K24+預測IC!L24</f>
        <v>0.64187090812805381</v>
      </c>
      <c r="M24" s="7">
        <f>L24+預測IC!M24</f>
        <v>0.42408523509031232</v>
      </c>
      <c r="N24" s="7">
        <f>M24+預測IC!N24</f>
        <v>2.1931166042028813</v>
      </c>
      <c r="O24" s="7">
        <f>N24+預測IC!O24</f>
        <v>2.4284257976083046</v>
      </c>
      <c r="P24" s="7">
        <f>O24+預測IC!P24</f>
        <v>2.4301620864726519</v>
      </c>
      <c r="Q24" s="7">
        <f>P24+預測IC!Q24</f>
        <v>2.4273149508702545</v>
      </c>
      <c r="R24" s="7">
        <f>Q24+預測IC!R24</f>
        <v>2.3994921269851663</v>
      </c>
      <c r="S24" s="7">
        <f>R24+預測IC!S24</f>
        <v>2.3884376667777176</v>
      </c>
      <c r="T24" s="7">
        <f>S24+預測IC!T24</f>
        <v>2.1006210632582301</v>
      </c>
      <c r="U24" s="7">
        <f>T24+預測IC!U24</f>
        <v>2.3864773532396306</v>
      </c>
      <c r="V24" s="7">
        <f>U24+預測IC!V24</f>
        <v>2.2877988419803006</v>
      </c>
      <c r="W24" s="7">
        <f>V24+預測IC!W24</f>
        <v>2.1232343243934206</v>
      </c>
      <c r="X24" s="7">
        <f>W24+預測IC!X24</f>
        <v>2.1223354479284033</v>
      </c>
      <c r="Y24" s="7">
        <f>X24+預測IC!Y24</f>
        <v>2.0020179548638728</v>
      </c>
      <c r="Z24" s="7">
        <f>Y24+預測IC!Z24</f>
        <v>1.9776234061142965</v>
      </c>
      <c r="AA24" s="7">
        <f>Z24+預測IC!AA24</f>
        <v>1.9911711743518739</v>
      </c>
      <c r="AB24" s="7">
        <f>AA24+預測IC!AB24</f>
        <v>1.8069197516830955</v>
      </c>
      <c r="AC24" s="7">
        <f>AB24+預測IC!AC24</f>
        <v>1.5607507928983959</v>
      </c>
      <c r="AD24" s="7">
        <f>AC24+預測IC!AD24</f>
        <v>1.6619260921551189</v>
      </c>
      <c r="AE24" s="7">
        <f>AD24+預測IC!AE24</f>
        <v>1.4866572771477768</v>
      </c>
      <c r="AF24" s="7">
        <f>AE24+預測IC!AF24</f>
        <v>1.3209534975012345</v>
      </c>
      <c r="AG24" s="7">
        <f>AF24+預測IC!AG24</f>
        <v>1.182217779874597</v>
      </c>
      <c r="AH24" s="7">
        <f>AG24+預測IC!AH24</f>
        <v>1.1255204198068074</v>
      </c>
      <c r="AI24" s="7">
        <f>AH24+預測IC!AI24</f>
        <v>1.1167120887083801</v>
      </c>
      <c r="AJ24" s="7">
        <f>AI24+預測IC!AJ24</f>
        <v>1.0358208447090047</v>
      </c>
      <c r="AK24" s="7">
        <f>AJ24+預測IC!AK24</f>
        <v>1.1207047977771971</v>
      </c>
      <c r="AL24" s="7">
        <f>AK24+預測IC!AL24</f>
        <v>1.0660278622865618</v>
      </c>
      <c r="AM24" s="7">
        <f>AL24+預測IC!AM24</f>
        <v>1.047108580866035</v>
      </c>
      <c r="AN24" s="7">
        <f>AM24+預測IC!AN24</f>
        <v>1.2682980460114663</v>
      </c>
      <c r="AO24" s="7">
        <f>AN24+預測IC!AO24</f>
        <v>1.3343881578404564</v>
      </c>
      <c r="AP24" s="7">
        <f>AO24+預測IC!AP24</f>
        <v>1.31153644235136</v>
      </c>
      <c r="AQ24" s="7">
        <f>AP24+預測IC!AQ24</f>
        <v>1.3586134151856057</v>
      </c>
      <c r="AR24" s="7">
        <f>AQ24+預測IC!AR24</f>
        <v>1.1877800090147801</v>
      </c>
      <c r="AS24" s="7">
        <f>AR24+預測IC!AS24</f>
        <v>1.15982393174819</v>
      </c>
      <c r="AT24" s="7">
        <f>AS24+預測IC!AT24</f>
        <v>1.1657525413372458</v>
      </c>
      <c r="AU24" s="7">
        <f>AT24+預測IC!AU24</f>
        <v>1.2098478612024701</v>
      </c>
      <c r="AV24" s="7">
        <f>AU24+預測IC!AV24</f>
        <v>1.1903256467799461</v>
      </c>
      <c r="AW24" s="7">
        <f>AV24+預測IC!AW24</f>
        <v>1.1953131882909853</v>
      </c>
      <c r="AX24" s="7">
        <f>AW24+預測IC!AX24</f>
        <v>1.2236193748794097</v>
      </c>
      <c r="AY24" s="7">
        <f>AX24+預測IC!AY24</f>
        <v>0.78014593314291059</v>
      </c>
      <c r="AZ24" s="7">
        <f>AY24+預測IC!AZ24</f>
        <v>0.89876965821408705</v>
      </c>
      <c r="BA24" s="7">
        <f>AZ24+預測IC!BA24</f>
        <v>0.94926096362609935</v>
      </c>
      <c r="BB24" s="7">
        <f>BA24+預測IC!BB24</f>
        <v>1.6400374950067711</v>
      </c>
      <c r="BC24" s="7">
        <f>BB24+預測IC!BC24</f>
        <v>1.4342878945704494</v>
      </c>
      <c r="BD24" s="7">
        <f>BC24+預測IC!BD24</f>
        <v>1.4529189286573132</v>
      </c>
      <c r="BE24" s="7">
        <f>BD24+預測IC!BE24</f>
        <v>1.3487878058066287</v>
      </c>
      <c r="BF24" s="7">
        <f>BE24+預測IC!BF24</f>
        <v>1.2485561004252224</v>
      </c>
      <c r="BG24" s="7">
        <f>BF24+預測IC!BG24</f>
        <v>1.0719325647459055</v>
      </c>
      <c r="BH24" s="7">
        <f>BG24+預測IC!BH24</f>
        <v>1.4581879016594406</v>
      </c>
      <c r="BI24" s="7">
        <f>BH24+預測IC!BI24</f>
        <v>1.6274568266521596</v>
      </c>
      <c r="BJ24" s="7">
        <f>BI24+預測IC!BJ24</f>
        <v>1.8270968598226107</v>
      </c>
      <c r="BK24" s="7">
        <f>BJ24+預測IC!BK24</f>
        <v>1.8619245069953847</v>
      </c>
      <c r="BL24" s="7">
        <f>BK24+預測IC!BL24</f>
        <v>1.8310258954762109</v>
      </c>
      <c r="BM24" s="7">
        <f>BL24+預測IC!BM24</f>
        <v>1.4541095379165667</v>
      </c>
      <c r="BN24" s="7">
        <f>BM24+預測IC!BN24</f>
        <v>1.3451962776000193</v>
      </c>
      <c r="BO24" s="7">
        <f>BN24+預測IC!BO24</f>
        <v>1.3395718560415528</v>
      </c>
      <c r="BP24" s="7">
        <f>BO24+預測IC!BP24</f>
        <v>1.3077777517116631</v>
      </c>
      <c r="BQ24" s="7">
        <f>BP24+預測IC!BQ24</f>
        <v>1.2436081183815482</v>
      </c>
      <c r="BR24" s="7">
        <f>BQ24+預測IC!BR24</f>
        <v>1.285964341684966</v>
      </c>
      <c r="BS24" s="7">
        <f>BR24+預測IC!BS24</f>
        <v>1.284679624200509</v>
      </c>
      <c r="BT24" s="7">
        <f>BS24+預測IC!BT24</f>
        <v>1.0079606080603005</v>
      </c>
      <c r="BU24" s="7">
        <f>BT24+預測IC!BU24</f>
        <v>0.9992121157454551</v>
      </c>
      <c r="BV24" s="7">
        <f>BU24+預測IC!BV24</f>
        <v>0.79590796391500473</v>
      </c>
      <c r="BW24" s="7">
        <f>BV24+預測IC!BW24</f>
        <v>1.9049200339523669</v>
      </c>
      <c r="BX24" s="7">
        <f>BW24+預測IC!BX24</f>
        <v>1.8009649999032755</v>
      </c>
      <c r="BY24" s="7">
        <f>BX24+預測IC!BY24</f>
        <v>1.5106281249578586</v>
      </c>
      <c r="BZ24" s="7">
        <f>BY24+預測IC!BZ24</f>
        <v>1.7695210238078554</v>
      </c>
      <c r="CA24" s="7">
        <f>BZ24+預測IC!CA24</f>
        <v>1.8695459394968061</v>
      </c>
      <c r="CB24" s="7">
        <f>CA24+預測IC!CB24</f>
        <v>2.5092440731313213</v>
      </c>
      <c r="CC24" s="7">
        <f>CB24+預測IC!CC24</f>
        <v>2.3267741932437596</v>
      </c>
      <c r="CD24" s="7">
        <f>CC24+預測IC!CD24</f>
        <v>2.4710805039859545</v>
      </c>
      <c r="CE24" s="7">
        <f>CD24+預測IC!CE24</f>
        <v>2.6366453779770689</v>
      </c>
      <c r="CF24" s="7">
        <f>CE24+預測IC!CF24</f>
        <v>2.4715140249676728</v>
      </c>
      <c r="CG24" s="7">
        <f>CF24+預測IC!CG24</f>
        <v>2.7087918598275982</v>
      </c>
      <c r="CH24" s="7">
        <f>CG24+預測IC!CH24</f>
        <v>3.0630691566701014</v>
      </c>
      <c r="CI24" s="7">
        <f>CH24+預測IC!CI24</f>
        <v>3.0045609994370626</v>
      </c>
      <c r="CJ24" s="7">
        <f>CI24+預測IC!CJ24</f>
        <v>3.0617351290108186</v>
      </c>
      <c r="CK24" s="7">
        <f>CJ24+預測IC!CK24</f>
        <v>3.0935902952520364</v>
      </c>
      <c r="CL24" s="7">
        <f>CK24+預測IC!CL24</f>
        <v>4.2422103301223828</v>
      </c>
      <c r="CM24" s="7">
        <f>CL24+預測IC!CM24</f>
        <v>3.6057770657628723</v>
      </c>
      <c r="CN24" s="7">
        <f>CM24+預測IC!CN24</f>
        <v>3.6206935960109208</v>
      </c>
      <c r="CO24" s="7">
        <f>CN24+預測IC!CO24</f>
        <v>4.0731710378013739</v>
      </c>
      <c r="CP24" s="7">
        <f>CO24+預測IC!CP24</f>
        <v>3.8238323205472402</v>
      </c>
      <c r="CQ24" s="7">
        <f>CP24+預測IC!CQ24</f>
        <v>3.6462268980160855</v>
      </c>
      <c r="CR24" s="7">
        <f>CQ24+預測IC!CR24</f>
        <v>3.5494089908247468</v>
      </c>
      <c r="CS24" s="7">
        <f>CR24+預測IC!CS24</f>
        <v>3.5225540683036383</v>
      </c>
      <c r="CT24" s="7">
        <f>CS24+預測IC!CT24</f>
        <v>3.4030096799677985</v>
      </c>
      <c r="CU24" s="7">
        <f>CT24+預測IC!CU24</f>
        <v>3.3302583323110886</v>
      </c>
      <c r="CV24" s="7">
        <f>CU24+預測IC!CV24</f>
        <v>3.3453223798504639</v>
      </c>
      <c r="CW24" s="7">
        <f>CV24+預測IC!CW24</f>
        <v>3.3437342376426562</v>
      </c>
      <c r="CX24" s="7">
        <f>CW24+預測IC!CX24</f>
        <v>3.3964994964859234</v>
      </c>
      <c r="CY24" s="7">
        <f>CX24+預測IC!CY24</f>
        <v>3.7176472486926642</v>
      </c>
      <c r="CZ24" s="7">
        <f>CY24+預測IC!CZ24</f>
        <v>3.8298538771372312</v>
      </c>
      <c r="DA24" s="7">
        <f>CZ24+預測IC!DA24</f>
        <v>3.8543650812999859</v>
      </c>
      <c r="DB24" s="7">
        <f>DA24+預測IC!DB24</f>
        <v>3.6589044087873317</v>
      </c>
      <c r="DC24" s="7">
        <f>DB24+預測IC!DC24</f>
        <v>3.8384575240266798</v>
      </c>
      <c r="DD24" s="7">
        <f>DC24+預測IC!DD24</f>
        <v>3.8877572966974552</v>
      </c>
      <c r="DE24" s="7">
        <f>DD24+預測IC!DE24</f>
        <v>3.5811212163619999</v>
      </c>
      <c r="DF24" s="7">
        <f>DE24+預測IC!DF24</f>
        <v>3.4764562403414385</v>
      </c>
      <c r="DG24" s="7">
        <f>DF24+預測IC!DG24</f>
        <v>3.5355620744657825</v>
      </c>
      <c r="DH24" s="7">
        <f>DG24+預測IC!DH24</f>
        <v>3.8013647504582946</v>
      </c>
      <c r="DI24" s="7">
        <f>DH24+預測IC!DI24</f>
        <v>3.8385496587326755</v>
      </c>
      <c r="DJ24" s="7">
        <f>DI24+預測IC!DJ24</f>
        <v>3.706061048223436</v>
      </c>
      <c r="DK24" s="7">
        <f>DJ24+預測IC!DK24</f>
        <v>3.5863808670152464</v>
      </c>
      <c r="DL24" s="7">
        <f>DK24+預測IC!DL24</f>
        <v>3.5546321687006661</v>
      </c>
      <c r="DM24" s="7">
        <f>DL24+預測IC!DM24</f>
        <v>3.5550456139457336</v>
      </c>
      <c r="DN24" s="7">
        <f>DM24+預測IC!DN24</f>
        <v>3.4060123581162518</v>
      </c>
      <c r="DO24" s="7">
        <f>DN24+預測IC!DO24</f>
        <v>3.521624313139732</v>
      </c>
      <c r="DP24" s="7">
        <f>DO24+預測IC!DP24</f>
        <v>3.3772936707593759</v>
      </c>
      <c r="DQ24" s="7">
        <f>DP24+預測IC!DQ24</f>
        <v>3.3268074802804506</v>
      </c>
      <c r="DR24" s="7">
        <f>DQ24+預測IC!DR24</f>
        <v>3.3034157490069216</v>
      </c>
      <c r="DS24" s="7">
        <f>DR24+預測IC!DS24</f>
        <v>3.0871542079740761</v>
      </c>
      <c r="DT24" s="7">
        <f>DS24+預測IC!DT24</f>
        <v>3.0124208627080713</v>
      </c>
      <c r="DU24" s="7">
        <f>DT24+預測IC!DU24</f>
        <v>3.0342022580693015</v>
      </c>
      <c r="DV24" s="7">
        <f>DU24+預測IC!DV24</f>
        <v>3.1322490928719273</v>
      </c>
      <c r="DW24" s="7">
        <f>DV24+預測IC!DW24</f>
        <v>3.2334315895271715</v>
      </c>
      <c r="DX24" s="7">
        <f>DW24+預測IC!DX24</f>
        <v>2.9218384617346675</v>
      </c>
      <c r="DY24" s="7">
        <f>DX24+預測IC!DY24</f>
        <v>3.2656427485328763</v>
      </c>
      <c r="DZ24" s="7">
        <f>DY24+預測IC!DZ24</f>
        <v>2.8321361697961844</v>
      </c>
      <c r="EA24" s="7">
        <f>DZ24+預測IC!EA24</f>
        <v>2.9094870920235203</v>
      </c>
      <c r="EB24" s="7">
        <f>EA24+預測IC!EB24</f>
        <v>2.8002583196507138</v>
      </c>
      <c r="EC24" s="7">
        <f>EB24+預測IC!EC24</f>
        <v>2.7859484008800348</v>
      </c>
      <c r="ED24" s="7">
        <f>EC24+預測IC!ED24</f>
        <v>2.7161132472134182</v>
      </c>
      <c r="EE24" s="7">
        <f>ED24+預測IC!EE24</f>
        <v>2.6086325899790004</v>
      </c>
      <c r="EF24" s="7">
        <f>EE24+預測IC!EF24</f>
        <v>2.6759092670229689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zoomScale="118" workbookViewId="0"/>
  </sheetViews>
  <sheetFormatPr defaultRowHeight="15" x14ac:dyDescent="0.3"/>
  <cols>
    <col min="137" max="137" width="10" bestFit="1" customWidth="1"/>
  </cols>
  <sheetData>
    <row r="1" spans="1:137" x14ac:dyDescent="0.3">
      <c r="A1" t="str">
        <f>預測IC!A1</f>
        <v>NN4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138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139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FF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B12" s="1" t="s">
        <v>152</v>
      </c>
      <c r="C12" s="7">
        <v>8.4653346747999555E-2</v>
      </c>
      <c r="D12" s="7">
        <f>C12+預測IC!D12</f>
        <v>0.19934197579322305</v>
      </c>
      <c r="E12" s="7">
        <f>D12+預測IC!E12</f>
        <v>0.19258794743486513</v>
      </c>
      <c r="F12" s="7">
        <f>E12+預測IC!F12</f>
        <v>0.20600905182442358</v>
      </c>
      <c r="G12" s="7">
        <f>F12+預測IC!G12</f>
        <v>0.21773371960044829</v>
      </c>
      <c r="H12" s="7">
        <f>G12+預測IC!H12</f>
        <v>0.2562642318503362</v>
      </c>
      <c r="I12" s="7">
        <f>H12+預測IC!I12</f>
        <v>0.29256816869938823</v>
      </c>
      <c r="J12" s="7">
        <f>I12+預測IC!J12</f>
        <v>0.26316004586039837</v>
      </c>
      <c r="K12" s="7">
        <f>J12+預測IC!K12</f>
        <v>0.28193442599772955</v>
      </c>
      <c r="L12" s="7">
        <f>K12+預測IC!L12</f>
        <v>0.24004348494775588</v>
      </c>
      <c r="M12" s="7">
        <f>L12+預測IC!M12</f>
        <v>0.23964700793983282</v>
      </c>
      <c r="N12" s="7">
        <f>M12+預測IC!N12</f>
        <v>0.30897399471818565</v>
      </c>
      <c r="O12" s="7">
        <f>N12+預測IC!O12</f>
        <v>0.32760388336416463</v>
      </c>
      <c r="P12" s="7">
        <f>O12+預測IC!P12</f>
        <v>0.32783385465209919</v>
      </c>
      <c r="Q12" s="7">
        <f>P12+預測IC!Q12</f>
        <v>0.36310374010457758</v>
      </c>
      <c r="R12" s="7">
        <f>Q12+預測IC!R12</f>
        <v>0.36976662389981446</v>
      </c>
      <c r="S12" s="7">
        <f>R12+預測IC!S12</f>
        <v>0.35329422915788244</v>
      </c>
      <c r="T12" s="7">
        <f>S12+預測IC!T12</f>
        <v>0.34555442908886946</v>
      </c>
      <c r="U12" s="7">
        <f>T12+預測IC!U12</f>
        <v>0.32937583020599059</v>
      </c>
      <c r="V12" s="7">
        <f>U12+預測IC!V12</f>
        <v>0.33558030027533503</v>
      </c>
      <c r="W12" s="7">
        <f>V12+預測IC!W12</f>
        <v>0.39961971526071605</v>
      </c>
      <c r="X12" s="7">
        <f>W12+預測IC!X12</f>
        <v>0.42669360568526316</v>
      </c>
      <c r="Y12" s="7">
        <f>X12+預測IC!Y12</f>
        <v>0.44213397409882393</v>
      </c>
      <c r="Z12" s="7">
        <f>Y12+預測IC!Z12</f>
        <v>0.44729988170862744</v>
      </c>
      <c r="AA12" s="7">
        <f>Z12+預測IC!AA12</f>
        <v>0.40789622030751566</v>
      </c>
      <c r="AB12" s="7">
        <f>AA12+預測IC!AB12</f>
        <v>0.40418480189218225</v>
      </c>
      <c r="AC12" s="7">
        <f>AB12+預測IC!AC12</f>
        <v>0.40935218165263881</v>
      </c>
      <c r="AD12" s="7">
        <f>AC12+預測IC!AD12</f>
        <v>0.41874442498431858</v>
      </c>
      <c r="AE12" s="7">
        <f>AD12+預測IC!AE12</f>
        <v>0.36042746191321973</v>
      </c>
      <c r="AF12" s="7">
        <f>AE12+預測IC!AF12</f>
        <v>0.40660897083305325</v>
      </c>
      <c r="AG12" s="7">
        <f>AF12+預測IC!AG12</f>
        <v>0.37662682590032887</v>
      </c>
      <c r="AH12" s="7">
        <f>AG12+預測IC!AH12</f>
        <v>0.39003263054996207</v>
      </c>
      <c r="AI12" s="7">
        <f>AH12+預測IC!AI12</f>
        <v>0.40953868173014801</v>
      </c>
      <c r="AJ12" s="7">
        <f>AI12+預測IC!AJ12</f>
        <v>0.42252242927620259</v>
      </c>
      <c r="AK12" s="7">
        <f>AJ12+預測IC!AK12</f>
        <v>0.470646133428337</v>
      </c>
      <c r="AL12" s="7">
        <f>AK12+預測IC!AL12</f>
        <v>0.48850513645025906</v>
      </c>
      <c r="AM12" s="7">
        <f>AL12+預測IC!AM12</f>
        <v>0.51859125206285694</v>
      </c>
      <c r="AN12" s="7">
        <f>AM12+預測IC!AN12</f>
        <v>0.58782448637628548</v>
      </c>
      <c r="AO12" s="7">
        <f>AN12+預測IC!AO12</f>
        <v>0.59005327941595853</v>
      </c>
      <c r="AP12" s="7">
        <f>AO12+預測IC!AP12</f>
        <v>0.55633493463410932</v>
      </c>
      <c r="AQ12" s="7">
        <f>AP12+預測IC!AQ12</f>
        <v>0.54871299824552555</v>
      </c>
      <c r="AR12" s="7">
        <f>AQ12+預測IC!AR12</f>
        <v>0.54120857015676549</v>
      </c>
      <c r="AS12" s="7">
        <f>AR12+預測IC!AS12</f>
        <v>0.56030828861146609</v>
      </c>
      <c r="AT12" s="7">
        <f>AS12+預測IC!AT12</f>
        <v>0.53801162811012715</v>
      </c>
      <c r="AU12" s="7">
        <f>AT12+預測IC!AU12</f>
        <v>0.55872028679100261</v>
      </c>
      <c r="AV12" s="7">
        <f>AU12+預測IC!AV12</f>
        <v>0.53693039156657607</v>
      </c>
      <c r="AW12" s="7">
        <f>AV12+預測IC!AW12</f>
        <v>0.53755186858459214</v>
      </c>
      <c r="AX12" s="7">
        <f>AW12+預測IC!AX12</f>
        <v>0.58115033583801501</v>
      </c>
      <c r="AY12" s="7">
        <f>AX12+預測IC!AY12</f>
        <v>0.57343618656367168</v>
      </c>
      <c r="AZ12" s="7">
        <f>AY12+預測IC!AZ12</f>
        <v>0.63999998974296357</v>
      </c>
      <c r="BA12" s="7">
        <f>AZ12+預測IC!BA12</f>
        <v>0.71127614602389855</v>
      </c>
      <c r="BB12" s="7">
        <f>BA12+預測IC!BB12</f>
        <v>0.71706154093817376</v>
      </c>
      <c r="BC12" s="7">
        <f>BB12+預測IC!BC12</f>
        <v>0.72063681183077732</v>
      </c>
      <c r="BD12" s="7">
        <f>BC12+預測IC!BD12</f>
        <v>0.76987043345174822</v>
      </c>
      <c r="BE12" s="7">
        <f>BD12+預測IC!BE12</f>
        <v>0.72427188846668111</v>
      </c>
      <c r="BF12" s="7">
        <f>BE12+預測IC!BF12</f>
        <v>0.70067082851807805</v>
      </c>
      <c r="BG12" s="7">
        <f>BF12+預測IC!BG12</f>
        <v>0.71067488717202976</v>
      </c>
      <c r="BH12" s="7">
        <f>BG12+預測IC!BH12</f>
        <v>0.6964515271607078</v>
      </c>
      <c r="BI12" s="7">
        <f>BH12+預測IC!BI12</f>
        <v>0.71728928849662066</v>
      </c>
      <c r="BJ12" s="7">
        <f>BI12+預測IC!BJ12</f>
        <v>0.76071178760429303</v>
      </c>
      <c r="BK12" s="7">
        <f>BJ12+預測IC!BK12</f>
        <v>0.74063613560101493</v>
      </c>
      <c r="BL12" s="7">
        <f>BK12+預測IC!BL12</f>
        <v>0.75169650431205426</v>
      </c>
      <c r="BM12" s="7">
        <f>BL12+預測IC!BM12</f>
        <v>0.72152459577506478</v>
      </c>
      <c r="BN12" s="7">
        <f>BM12+預測IC!BN12</f>
        <v>0.70202205756494507</v>
      </c>
      <c r="BO12" s="7">
        <f>BN12+預測IC!BO12</f>
        <v>0.7189358265642759</v>
      </c>
      <c r="BP12" s="7">
        <f>BO12+預測IC!BP12</f>
        <v>0.6925138692301086</v>
      </c>
      <c r="BQ12" s="7">
        <f>BP12+預測IC!BQ12</f>
        <v>0.70641061884885525</v>
      </c>
      <c r="BR12" s="7">
        <f>BQ12+預測IC!BR12</f>
        <v>0.70414961039545643</v>
      </c>
      <c r="BS12" s="7">
        <f>BR12+預測IC!BS12</f>
        <v>0.72301290377985239</v>
      </c>
      <c r="BT12" s="7">
        <f>BS12+預測IC!BT12</f>
        <v>0.70172480654775371</v>
      </c>
      <c r="BU12" s="7">
        <f>BT12+預測IC!BU12</f>
        <v>0.65364143697157806</v>
      </c>
      <c r="BV12" s="7">
        <f>BU12+預測IC!BV12</f>
        <v>0.68569466314197258</v>
      </c>
      <c r="BW12" s="7">
        <f>BV12+預測IC!BW12</f>
        <v>0.74118222265160816</v>
      </c>
      <c r="BX12" s="7">
        <f>BW12+預測IC!BX12</f>
        <v>0.75716637429233813</v>
      </c>
      <c r="BY12" s="7">
        <f>BX12+預測IC!BY12</f>
        <v>0.71135038805950779</v>
      </c>
      <c r="BZ12" s="7">
        <f>BY12+預測IC!BZ12</f>
        <v>0.75670733375078081</v>
      </c>
      <c r="CA12" s="7">
        <f>BZ12+預測IC!CA12</f>
        <v>0.77128789130418363</v>
      </c>
      <c r="CB12" s="7">
        <f>CA12+預測IC!CB12</f>
        <v>0.84376376737636294</v>
      </c>
      <c r="CC12" s="7">
        <f>CB12+預測IC!CC12</f>
        <v>0.90933038000405286</v>
      </c>
      <c r="CD12" s="7">
        <f>CC12+預測IC!CD12</f>
        <v>1.0202640135885053</v>
      </c>
      <c r="CE12" s="7">
        <f>CD12+預測IC!CE12</f>
        <v>1.1742710264782472</v>
      </c>
      <c r="CF12" s="7">
        <f>CE12+預測IC!CF12</f>
        <v>1.178348921762022</v>
      </c>
      <c r="CG12" s="7">
        <f>CF12+預測IC!CG12</f>
        <v>1.178657570259374</v>
      </c>
      <c r="CH12" s="7">
        <f>CG12+預測IC!CH12</f>
        <v>1.241954942637334</v>
      </c>
      <c r="CI12" s="7">
        <f>CH12+預測IC!CI12</f>
        <v>1.2176134445857201</v>
      </c>
      <c r="CJ12" s="7">
        <f>CI12+預測IC!CJ12</f>
        <v>1.2211819247576294</v>
      </c>
      <c r="CK12" s="7">
        <f>CJ12+預測IC!CK12</f>
        <v>1.2556966795949271</v>
      </c>
      <c r="CL12" s="7">
        <f>CK12+預測IC!CL12</f>
        <v>1.2888306900264028</v>
      </c>
      <c r="CM12" s="7">
        <f>CL12+預測IC!CM12</f>
        <v>1.2171223020091906</v>
      </c>
      <c r="CN12" s="7">
        <f>CM12+預測IC!CN12</f>
        <v>1.1938147609772716</v>
      </c>
      <c r="CO12" s="7">
        <f>CN12+預測IC!CO12</f>
        <v>1.2651070038508634</v>
      </c>
      <c r="CP12" s="7">
        <f>CO12+預測IC!CP12</f>
        <v>1.2523108456584597</v>
      </c>
      <c r="CQ12" s="7">
        <f>CP12+預測IC!CQ12</f>
        <v>1.322287592382565</v>
      </c>
      <c r="CR12" s="7">
        <f>CQ12+預測IC!CR12</f>
        <v>1.3704342176698667</v>
      </c>
      <c r="CS12" s="7">
        <f>CR12+預測IC!CS12</f>
        <v>1.3559245672313971</v>
      </c>
      <c r="CT12" s="7">
        <f>CS12+預測IC!CT12</f>
        <v>1.3880385778394464</v>
      </c>
      <c r="CU12" s="7">
        <f>CT12+預測IC!CU12</f>
        <v>1.4236622935016416</v>
      </c>
      <c r="CV12" s="7">
        <f>CU12+預測IC!CV12</f>
        <v>1.4317749198771788</v>
      </c>
      <c r="CW12" s="7">
        <f>CV12+預測IC!CW12</f>
        <v>1.4615326093055463</v>
      </c>
      <c r="CX12" s="7">
        <f>CW12+預測IC!CX12</f>
        <v>1.508080067770015</v>
      </c>
      <c r="CY12" s="7">
        <f>CX12+預測IC!CY12</f>
        <v>1.5541530454354699</v>
      </c>
      <c r="CZ12" s="7">
        <f>CY12+預測IC!CZ12</f>
        <v>1.6319453727749706</v>
      </c>
      <c r="DA12" s="7">
        <f>CZ12+預測IC!DA12</f>
        <v>1.6375491568453311</v>
      </c>
      <c r="DB12" s="7">
        <f>DA12+預測IC!DB12</f>
        <v>1.6145672808912042</v>
      </c>
      <c r="DC12" s="7">
        <f>DB12+預測IC!DC12</f>
        <v>1.6260402541826942</v>
      </c>
      <c r="DD12" s="7">
        <f>DC12+預測IC!DD12</f>
        <v>1.586948256851187</v>
      </c>
      <c r="DE12" s="7">
        <f>DD12+預測IC!DE12</f>
        <v>1.5497127120239222</v>
      </c>
      <c r="DF12" s="7">
        <f>DE12+預測IC!DF12</f>
        <v>1.5428781862878818</v>
      </c>
      <c r="DG12" s="7">
        <f>DF12+預測IC!DG12</f>
        <v>1.5419304773485649</v>
      </c>
      <c r="DH12" s="7">
        <f>DG12+預測IC!DH12</f>
        <v>1.6031256321368819</v>
      </c>
      <c r="DI12" s="7">
        <f>DH12+預測IC!DI12</f>
        <v>1.6628746999166306</v>
      </c>
      <c r="DJ12" s="7">
        <f>DI12+預測IC!DJ12</f>
        <v>1.670937298171401</v>
      </c>
      <c r="DK12" s="7">
        <f>DJ12+預測IC!DK12</f>
        <v>1.6390090988388055</v>
      </c>
      <c r="DL12" s="7">
        <f>DK12+預測IC!DL12</f>
        <v>1.6420982103487349</v>
      </c>
      <c r="DM12" s="7">
        <f>DL12+預測IC!DM12</f>
        <v>1.622860516768174</v>
      </c>
      <c r="DN12" s="7">
        <f>DM12+預測IC!DN12</f>
        <v>1.6447772483629364</v>
      </c>
      <c r="DO12" s="7">
        <f>DN12+預測IC!DO12</f>
        <v>1.6753341904644272</v>
      </c>
      <c r="DP12" s="7">
        <f>DO12+預測IC!DP12</f>
        <v>1.7212877384793452</v>
      </c>
      <c r="DQ12" s="7">
        <f>DP12+預測IC!DQ12</f>
        <v>1.6874256181262968</v>
      </c>
      <c r="DR12" s="7">
        <f>DQ12+預測IC!DR12</f>
        <v>1.7044905975764149</v>
      </c>
      <c r="DS12" s="7">
        <f>DR12+預測IC!DS12</f>
        <v>1.668764442124717</v>
      </c>
      <c r="DT12" s="7">
        <f>DS12+預測IC!DT12</f>
        <v>1.6938820581555531</v>
      </c>
      <c r="DU12" s="7">
        <f>DT12+預測IC!DU12</f>
        <v>1.6366517750112446</v>
      </c>
      <c r="DV12" s="7">
        <f>DU12+預測IC!DV12</f>
        <v>1.6661918358122529</v>
      </c>
      <c r="DW12" s="7">
        <f>DV12+預測IC!DW12</f>
        <v>1.7111596700247784</v>
      </c>
      <c r="DX12" s="7">
        <f>DW12+預測IC!DX12</f>
        <v>1.6610075894824168</v>
      </c>
      <c r="DY12" s="7">
        <f>DX12+預測IC!DY12</f>
        <v>1.6763648596009117</v>
      </c>
      <c r="DZ12" s="7">
        <f>DY12+預測IC!DZ12</f>
        <v>1.6825920089494</v>
      </c>
      <c r="EA12" s="7">
        <f>DZ12+預測IC!EA12</f>
        <v>1.746595950272597</v>
      </c>
      <c r="EB12" s="7">
        <f>EA12+預測IC!EB12</f>
        <v>1.7523819208329776</v>
      </c>
      <c r="EC12" s="7">
        <f>EB12+預測IC!EC12</f>
        <v>1.7790334304126429</v>
      </c>
      <c r="ED12" s="7">
        <f>EC12+預測IC!ED12</f>
        <v>1.7720759488849187</v>
      </c>
      <c r="EE12" s="7">
        <f>ED12+預測IC!EE12</f>
        <v>1.7455690567237709</v>
      </c>
      <c r="EF12" s="7">
        <f>EE12+預測IC!EF12</f>
        <v>1.7848024047625666</v>
      </c>
    </row>
    <row r="13" spans="1:137" x14ac:dyDescent="0.3">
      <c r="B13" s="1" t="s">
        <v>153</v>
      </c>
      <c r="C13" s="7">
        <v>0.104112750252762</v>
      </c>
      <c r="D13" s="7">
        <f>C13+預測IC!D13</f>
        <v>0.22785777904553428</v>
      </c>
      <c r="E13" s="7">
        <f>D13+預測IC!E13</f>
        <v>0.19336115955418123</v>
      </c>
      <c r="F13" s="7">
        <f>E13+預測IC!F13</f>
        <v>0.18190591967880443</v>
      </c>
      <c r="G13" s="7">
        <f>F13+預測IC!G13</f>
        <v>0.19765034573325496</v>
      </c>
      <c r="H13" s="7">
        <f>G13+預測IC!H13</f>
        <v>0.22763997745897624</v>
      </c>
      <c r="I13" s="7">
        <f>H13+預測IC!I13</f>
        <v>0.26032284044369858</v>
      </c>
      <c r="J13" s="7">
        <f>I13+預測IC!J13</f>
        <v>0.21642361336628646</v>
      </c>
      <c r="K13" s="7">
        <f>J13+預測IC!K13</f>
        <v>0.21505630653983898</v>
      </c>
      <c r="L13" s="7">
        <f>K13+預測IC!L13</f>
        <v>0.20903114524618535</v>
      </c>
      <c r="M13" s="7">
        <f>L13+預測IC!M13</f>
        <v>0.23471824739242067</v>
      </c>
      <c r="N13" s="7">
        <f>M13+預測IC!N13</f>
        <v>0.33452516434909124</v>
      </c>
      <c r="O13" s="7">
        <f>N13+預測IC!O13</f>
        <v>0.37079844006901375</v>
      </c>
      <c r="P13" s="7">
        <f>O13+預測IC!P13</f>
        <v>0.38759006780710437</v>
      </c>
      <c r="Q13" s="7">
        <f>P13+預測IC!Q13</f>
        <v>0.46081443629466179</v>
      </c>
      <c r="R13" s="7">
        <f>Q13+預測IC!R13</f>
        <v>0.47497438078069831</v>
      </c>
      <c r="S13" s="7">
        <f>R13+預測IC!S13</f>
        <v>0.4627307095717853</v>
      </c>
      <c r="T13" s="7">
        <f>S13+預測IC!T13</f>
        <v>0.44062668915261305</v>
      </c>
      <c r="U13" s="7">
        <f>T13+預測IC!U13</f>
        <v>0.44222370538579886</v>
      </c>
      <c r="V13" s="7">
        <f>U13+預測IC!V13</f>
        <v>0.42212937737192435</v>
      </c>
      <c r="W13" s="7">
        <f>V13+預測IC!W13</f>
        <v>0.49760593923207458</v>
      </c>
      <c r="X13" s="7">
        <f>W13+預測IC!X13</f>
        <v>0.55088283395801818</v>
      </c>
      <c r="Y13" s="7">
        <f>X13+預測IC!Y13</f>
        <v>0.56480382651566685</v>
      </c>
      <c r="Z13" s="7">
        <f>Y13+預測IC!Z13</f>
        <v>0.58538758768479515</v>
      </c>
      <c r="AA13" s="7">
        <f>Z13+預測IC!AA13</f>
        <v>0.55326807734632388</v>
      </c>
      <c r="AB13" s="7">
        <f>AA13+預測IC!AB13</f>
        <v>0.53723197866110295</v>
      </c>
      <c r="AC13" s="7">
        <f>AB13+預測IC!AC13</f>
        <v>0.54526341845705339</v>
      </c>
      <c r="AD13" s="7">
        <f>AC13+預測IC!AD13</f>
        <v>0.56680710824232883</v>
      </c>
      <c r="AE13" s="7">
        <f>AD13+預測IC!AE13</f>
        <v>0.50108772621471831</v>
      </c>
      <c r="AF13" s="7">
        <f>AE13+預測IC!AF13</f>
        <v>0.55302328403785528</v>
      </c>
      <c r="AG13" s="7">
        <f>AF13+預測IC!AG13</f>
        <v>0.52134150098285237</v>
      </c>
      <c r="AH13" s="7">
        <f>AG13+預測IC!AH13</f>
        <v>0.53098284022236875</v>
      </c>
      <c r="AI13" s="7">
        <f>AH13+預測IC!AI13</f>
        <v>0.54305039029644153</v>
      </c>
      <c r="AJ13" s="7">
        <f>AI13+預測IC!AJ13</f>
        <v>0.52676992030816583</v>
      </c>
      <c r="AK13" s="7">
        <f>AJ13+預測IC!AK13</f>
        <v>0.5927578331188218</v>
      </c>
      <c r="AL13" s="7">
        <f>AK13+預測IC!AL13</f>
        <v>0.61590926171399285</v>
      </c>
      <c r="AM13" s="7">
        <f>AL13+預測IC!AM13</f>
        <v>0.66219170525082183</v>
      </c>
      <c r="AN13" s="7">
        <f>AM13+預測IC!AN13</f>
        <v>0.76752194338685586</v>
      </c>
      <c r="AO13" s="7">
        <f>AN13+預測IC!AO13</f>
        <v>0.77683313128627085</v>
      </c>
      <c r="AP13" s="7">
        <f>AO13+預測IC!AP13</f>
        <v>0.71728229092427309</v>
      </c>
      <c r="AQ13" s="7">
        <f>AP13+預測IC!AQ13</f>
        <v>0.71123300215537344</v>
      </c>
      <c r="AR13" s="7">
        <f>AQ13+預測IC!AR13</f>
        <v>0.72048373463864968</v>
      </c>
      <c r="AS13" s="7">
        <f>AR13+預測IC!AS13</f>
        <v>0.76179685312288381</v>
      </c>
      <c r="AT13" s="7">
        <f>AS13+預測IC!AT13</f>
        <v>0.7634868160637025</v>
      </c>
      <c r="AU13" s="7">
        <f>AT13+預測IC!AU13</f>
        <v>0.80446294253968131</v>
      </c>
      <c r="AV13" s="7">
        <f>AU13+預測IC!AV13</f>
        <v>0.79350403230938082</v>
      </c>
      <c r="AW13" s="7">
        <f>AV13+預測IC!AW13</f>
        <v>0.79758404589244425</v>
      </c>
      <c r="AX13" s="7">
        <f>AW13+預測IC!AX13</f>
        <v>0.86473783367555457</v>
      </c>
      <c r="AY13" s="7">
        <f>AX13+預測IC!AY13</f>
        <v>0.84106522495218716</v>
      </c>
      <c r="AZ13" s="7">
        <f>AY13+預測IC!AZ13</f>
        <v>0.89651500090775227</v>
      </c>
      <c r="BA13" s="7">
        <f>AZ13+預測IC!BA13</f>
        <v>0.97634412125154058</v>
      </c>
      <c r="BB13" s="7">
        <f>BA13+預測IC!BB13</f>
        <v>1.0023904667844366</v>
      </c>
      <c r="BC13" s="7">
        <f>BB13+預測IC!BC13</f>
        <v>1.0038741053181914</v>
      </c>
      <c r="BD13" s="7">
        <f>BC13+預測IC!BD13</f>
        <v>1.0455504190648612</v>
      </c>
      <c r="BE13" s="7">
        <f>BD13+預測IC!BE13</f>
        <v>0.99950216247738277</v>
      </c>
      <c r="BF13" s="7">
        <f>BE13+預測IC!BF13</f>
        <v>0.9731992656871653</v>
      </c>
      <c r="BG13" s="7">
        <f>BF13+預測IC!BG13</f>
        <v>0.98153033130301304</v>
      </c>
      <c r="BH13" s="7">
        <f>BG13+預測IC!BH13</f>
        <v>0.973054601491394</v>
      </c>
      <c r="BI13" s="7">
        <f>BH13+預測IC!BI13</f>
        <v>0.99888697137154303</v>
      </c>
      <c r="BJ13" s="7">
        <f>BI13+預測IC!BJ13</f>
        <v>1.0503388903314652</v>
      </c>
      <c r="BK13" s="7">
        <f>BJ13+預測IC!BK13</f>
        <v>1.0252131169682732</v>
      </c>
      <c r="BL13" s="7">
        <f>BK13+預測IC!BL13</f>
        <v>1.0388322953278886</v>
      </c>
      <c r="BM13" s="7">
        <f>BL13+預測IC!BM13</f>
        <v>1.0116284279432779</v>
      </c>
      <c r="BN13" s="7">
        <f>BM13+預測IC!BN13</f>
        <v>1.0164860310016912</v>
      </c>
      <c r="BO13" s="7">
        <f>BN13+預測IC!BO13</f>
        <v>1.0198927455099596</v>
      </c>
      <c r="BP13" s="7">
        <f>BO13+預測IC!BP13</f>
        <v>1.011941599092185</v>
      </c>
      <c r="BQ13" s="7">
        <f>BP13+預測IC!BQ13</f>
        <v>1.0535946628816106</v>
      </c>
      <c r="BR13" s="7">
        <f>BQ13+預測IC!BR13</f>
        <v>1.0469132453980532</v>
      </c>
      <c r="BS13" s="7">
        <f>BR13+預測IC!BS13</f>
        <v>1.0543327172382728</v>
      </c>
      <c r="BT13" s="7">
        <f>BS13+預測IC!BT13</f>
        <v>1.0206649474803535</v>
      </c>
      <c r="BU13" s="7">
        <f>BT13+預測IC!BU13</f>
        <v>0.94600677947057965</v>
      </c>
      <c r="BV13" s="7">
        <f>BU13+預測IC!BV13</f>
        <v>0.97744751790619233</v>
      </c>
      <c r="BW13" s="7">
        <f>BV13+預測IC!BW13</f>
        <v>1.0636776725574846</v>
      </c>
      <c r="BX13" s="7">
        <f>BW13+預測IC!BX13</f>
        <v>1.0651551073337266</v>
      </c>
      <c r="BY13" s="7">
        <f>BX13+預測IC!BY13</f>
        <v>1.0343273476693535</v>
      </c>
      <c r="BZ13" s="7">
        <f>BY13+預測IC!BZ13</f>
        <v>1.1104654707284038</v>
      </c>
      <c r="CA13" s="7">
        <f>BZ13+預測IC!CA13</f>
        <v>1.1344781445205285</v>
      </c>
      <c r="CB13" s="7">
        <f>CA13+預測IC!CB13</f>
        <v>1.2549051162525637</v>
      </c>
      <c r="CC13" s="7">
        <f>CB13+預測IC!CC13</f>
        <v>1.375023289990797</v>
      </c>
      <c r="CD13" s="7">
        <f>CC13+預測IC!CD13</f>
        <v>1.4801091228831245</v>
      </c>
      <c r="CE13" s="7">
        <f>CD13+預測IC!CE13</f>
        <v>1.6639369593387332</v>
      </c>
      <c r="CF13" s="7">
        <f>CE13+預測IC!CF13</f>
        <v>1.6821659001753606</v>
      </c>
      <c r="CG13" s="7">
        <f>CF13+預測IC!CG13</f>
        <v>1.6897261688517349</v>
      </c>
      <c r="CH13" s="7">
        <f>CG13+預測IC!CH13</f>
        <v>1.7480607806789421</v>
      </c>
      <c r="CI13" s="7">
        <f>CH13+預測IC!CI13</f>
        <v>1.7401652462430339</v>
      </c>
      <c r="CJ13" s="7">
        <f>CI13+預測IC!CJ13</f>
        <v>1.76104657335896</v>
      </c>
      <c r="CK13" s="7">
        <f>CJ13+預測IC!CK13</f>
        <v>1.7929061703940219</v>
      </c>
      <c r="CL13" s="7">
        <f>CK13+預測IC!CL13</f>
        <v>1.8369065616414104</v>
      </c>
      <c r="CM13" s="7">
        <f>CL13+預測IC!CM13</f>
        <v>1.7354543429273919</v>
      </c>
      <c r="CN13" s="7">
        <f>CM13+預測IC!CN13</f>
        <v>1.7053233180821012</v>
      </c>
      <c r="CO13" s="7">
        <f>CN13+預測IC!CO13</f>
        <v>1.7908895573901777</v>
      </c>
      <c r="CP13" s="7">
        <f>CO13+預測IC!CP13</f>
        <v>1.7565120182141674</v>
      </c>
      <c r="CQ13" s="7">
        <f>CP13+預測IC!CQ13</f>
        <v>1.8236249233083124</v>
      </c>
      <c r="CR13" s="7">
        <f>CQ13+預測IC!CR13</f>
        <v>1.8880055720457247</v>
      </c>
      <c r="CS13" s="7">
        <f>CR13+預測IC!CS13</f>
        <v>1.8919532227086853</v>
      </c>
      <c r="CT13" s="7">
        <f>CS13+預測IC!CT13</f>
        <v>1.9354154906777374</v>
      </c>
      <c r="CU13" s="7">
        <f>CT13+預測IC!CU13</f>
        <v>1.9725768929600487</v>
      </c>
      <c r="CV13" s="7">
        <f>CU13+預測IC!CV13</f>
        <v>1.9696235807867908</v>
      </c>
      <c r="CW13" s="7">
        <f>CV13+預測IC!CW13</f>
        <v>1.9800805437181095</v>
      </c>
      <c r="CX13" s="7">
        <f>CW13+預測IC!CX13</f>
        <v>1.9850678392692227</v>
      </c>
      <c r="CY13" s="7">
        <f>CX13+預測IC!CY13</f>
        <v>2.0473647862745854</v>
      </c>
      <c r="CZ13" s="7">
        <f>CY13+預測IC!CZ13</f>
        <v>2.1045890066280704</v>
      </c>
      <c r="DA13" s="7">
        <f>CZ13+預測IC!DA13</f>
        <v>2.0990053297022491</v>
      </c>
      <c r="DB13" s="7">
        <f>DA13+預測IC!DB13</f>
        <v>2.0572437599854645</v>
      </c>
      <c r="DC13" s="7">
        <f>DB13+預測IC!DC13</f>
        <v>2.0807847586539028</v>
      </c>
      <c r="DD13" s="7">
        <f>DC13+預測IC!DD13</f>
        <v>2.0293781050510842</v>
      </c>
      <c r="DE13" s="7">
        <f>DD13+預測IC!DE13</f>
        <v>1.9868139261198334</v>
      </c>
      <c r="DF13" s="7">
        <f>DE13+預測IC!DF13</f>
        <v>1.9582951293261988</v>
      </c>
      <c r="DG13" s="7">
        <f>DF13+預測IC!DG13</f>
        <v>1.9566644721533089</v>
      </c>
      <c r="DH13" s="7">
        <f>DG13+預測IC!DH13</f>
        <v>2.0453850730996157</v>
      </c>
      <c r="DI13" s="7">
        <f>DH13+預測IC!DI13</f>
        <v>2.1351336366471099</v>
      </c>
      <c r="DJ13" s="7">
        <f>DI13+預測IC!DJ13</f>
        <v>2.1318018804675991</v>
      </c>
      <c r="DK13" s="7">
        <f>DJ13+預測IC!DK13</f>
        <v>2.11241524660374</v>
      </c>
      <c r="DL13" s="7">
        <f>DK13+預測IC!DL13</f>
        <v>2.1395371860352808</v>
      </c>
      <c r="DM13" s="7">
        <f>DL13+預測IC!DM13</f>
        <v>2.1400688086457538</v>
      </c>
      <c r="DN13" s="7">
        <f>DM13+預測IC!DN13</f>
        <v>2.1570040435463582</v>
      </c>
      <c r="DO13" s="7">
        <f>DN13+預測IC!DO13</f>
        <v>2.1948675086311509</v>
      </c>
      <c r="DP13" s="7">
        <f>DO13+預測IC!DP13</f>
        <v>2.2398646592931999</v>
      </c>
      <c r="DQ13" s="7">
        <f>DP13+預測IC!DQ13</f>
        <v>2.205898197041237</v>
      </c>
      <c r="DR13" s="7">
        <f>DQ13+預測IC!DR13</f>
        <v>2.2210667471871979</v>
      </c>
      <c r="DS13" s="7">
        <f>DR13+預測IC!DS13</f>
        <v>2.182179119347528</v>
      </c>
      <c r="DT13" s="7">
        <f>DS13+預測IC!DT13</f>
        <v>2.2330103792380331</v>
      </c>
      <c r="DU13" s="7">
        <f>DT13+預測IC!DU13</f>
        <v>2.2000042197954146</v>
      </c>
      <c r="DV13" s="7">
        <f>DU13+預測IC!DV13</f>
        <v>2.2432589985810036</v>
      </c>
      <c r="DW13" s="7">
        <f>DV13+預測IC!DW13</f>
        <v>2.2852876842932042</v>
      </c>
      <c r="DX13" s="7">
        <f>DW13+預測IC!DX13</f>
        <v>2.2207643047147081</v>
      </c>
      <c r="DY13" s="7">
        <f>DX13+預測IC!DY13</f>
        <v>2.2561503493685415</v>
      </c>
      <c r="DZ13" s="7">
        <f>DY13+預測IC!DZ13</f>
        <v>2.274452473514843</v>
      </c>
      <c r="EA13" s="7">
        <f>DZ13+預測IC!EA13</f>
        <v>2.3476953425575253</v>
      </c>
      <c r="EB13" s="7">
        <f>EA13+預測IC!EB13</f>
        <v>2.3478965487764505</v>
      </c>
      <c r="EC13" s="7">
        <f>EB13+預測IC!EC13</f>
        <v>2.3895563022116795</v>
      </c>
      <c r="ED13" s="7">
        <f>EC13+預測IC!ED13</f>
        <v>2.3966410222248729</v>
      </c>
      <c r="EE13" s="7">
        <f>ED13+預測IC!EE13</f>
        <v>2.3554066382289611</v>
      </c>
      <c r="EF13" s="7">
        <f>EE13+預測IC!EF13</f>
        <v>2.4219838535925176</v>
      </c>
    </row>
    <row r="14" spans="1:137" x14ac:dyDescent="0.3">
      <c r="B14" s="1" t="s">
        <v>154</v>
      </c>
      <c r="C14" s="7">
        <v>0.1199414897527061</v>
      </c>
      <c r="D14" s="7">
        <f>C14+預測IC!D14</f>
        <v>0.34224993829333211</v>
      </c>
      <c r="E14" s="7">
        <f>D14+預測IC!E14</f>
        <v>0.2947239950260761</v>
      </c>
      <c r="F14" s="7">
        <f>E14+預測IC!F14</f>
        <v>0.32926645919177572</v>
      </c>
      <c r="G14" s="7">
        <f>F14+預測IC!G14</f>
        <v>0.41441522097550976</v>
      </c>
      <c r="H14" s="7">
        <f>G14+預測IC!H14</f>
        <v>0.47400302741094985</v>
      </c>
      <c r="I14" s="7">
        <f>H14+預測IC!I14</f>
        <v>0.5177903872340921</v>
      </c>
      <c r="J14" s="7">
        <f>I14+預測IC!J14</f>
        <v>0.41269600045138388</v>
      </c>
      <c r="K14" s="7">
        <f>J14+預測IC!K14</f>
        <v>0.42514716196717628</v>
      </c>
      <c r="L14" s="7">
        <f>K14+預測IC!L14</f>
        <v>0.41666671440162778</v>
      </c>
      <c r="M14" s="7">
        <f>L14+預測IC!M14</f>
        <v>0.34071517141758301</v>
      </c>
      <c r="N14" s="7">
        <f>M14+預測IC!N14</f>
        <v>0.54554774655880889</v>
      </c>
      <c r="O14" s="7">
        <f>N14+預測IC!O14</f>
        <v>0.58302353357181536</v>
      </c>
      <c r="P14" s="7">
        <f>O14+預測IC!P14</f>
        <v>0.63080329785462264</v>
      </c>
      <c r="Q14" s="7">
        <f>P14+預測IC!Q14</f>
        <v>0.68904124400925748</v>
      </c>
      <c r="R14" s="7">
        <f>Q14+預測IC!R14</f>
        <v>0.67488944770373283</v>
      </c>
      <c r="S14" s="7">
        <f>R14+預測IC!S14</f>
        <v>0.71342354722975054</v>
      </c>
      <c r="T14" s="7">
        <f>S14+預測IC!T14</f>
        <v>0.69606281599519082</v>
      </c>
      <c r="U14" s="7">
        <f>T14+預測IC!U14</f>
        <v>0.7326419455148927</v>
      </c>
      <c r="V14" s="7">
        <f>U14+預測IC!V14</f>
        <v>0.69426639925038813</v>
      </c>
      <c r="W14" s="7">
        <f>V14+預測IC!W14</f>
        <v>0.81043218978228482</v>
      </c>
      <c r="X14" s="7">
        <f>W14+預測IC!X14</f>
        <v>0.86401389829646802</v>
      </c>
      <c r="Y14" s="7">
        <f>X14+預測IC!Y14</f>
        <v>0.84725123493977861</v>
      </c>
      <c r="Z14" s="7">
        <f>Y14+預測IC!Z14</f>
        <v>0.86850343604322955</v>
      </c>
      <c r="AA14" s="7">
        <f>Z14+預測IC!AA14</f>
        <v>0.82905325574114741</v>
      </c>
      <c r="AB14" s="7">
        <f>AA14+預測IC!AB14</f>
        <v>0.7540703429690272</v>
      </c>
      <c r="AC14" s="7">
        <f>AB14+預測IC!AC14</f>
        <v>0.7247782592034635</v>
      </c>
      <c r="AD14" s="7">
        <f>AC14+預測IC!AD14</f>
        <v>0.76410615139349336</v>
      </c>
      <c r="AE14" s="7">
        <f>AD14+預測IC!AE14</f>
        <v>0.76008724457061283</v>
      </c>
      <c r="AF14" s="7">
        <f>AE14+預測IC!AF14</f>
        <v>0.84440425374728689</v>
      </c>
      <c r="AG14" s="7">
        <f>AF14+預測IC!AG14</f>
        <v>0.82388335910072441</v>
      </c>
      <c r="AH14" s="7">
        <f>AG14+預測IC!AH14</f>
        <v>0.82913363703123044</v>
      </c>
      <c r="AI14" s="7">
        <f>AH14+預測IC!AI14</f>
        <v>0.90120658795835129</v>
      </c>
      <c r="AJ14" s="7">
        <f>AI14+預測IC!AJ14</f>
        <v>0.91626562404150225</v>
      </c>
      <c r="AK14" s="7">
        <f>AJ14+預測IC!AK14</f>
        <v>0.99317705489980423</v>
      </c>
      <c r="AL14" s="7">
        <f>AK14+預測IC!AL14</f>
        <v>1.031146244622265</v>
      </c>
      <c r="AM14" s="7">
        <f>AL14+預測IC!AM14</f>
        <v>1.0923884110008903</v>
      </c>
      <c r="AN14" s="7">
        <f>AM14+預測IC!AN14</f>
        <v>1.190983077770434</v>
      </c>
      <c r="AO14" s="7">
        <f>AN14+預測IC!AO14</f>
        <v>1.2518887832358438</v>
      </c>
      <c r="AP14" s="7">
        <f>AO14+預測IC!AP14</f>
        <v>1.1819122580837595</v>
      </c>
      <c r="AQ14" s="7">
        <f>AP14+預測IC!AQ14</f>
        <v>1.1815442903459996</v>
      </c>
      <c r="AR14" s="7">
        <f>AQ14+預測IC!AR14</f>
        <v>1.1997151133648849</v>
      </c>
      <c r="AS14" s="7">
        <f>AR14+預測IC!AS14</f>
        <v>1.2850920993179318</v>
      </c>
      <c r="AT14" s="7">
        <f>AS14+預測IC!AT14</f>
        <v>1.2666846731486894</v>
      </c>
      <c r="AU14" s="7">
        <f>AT14+預測IC!AU14</f>
        <v>1.3066763221519933</v>
      </c>
      <c r="AV14" s="7">
        <f>AU14+預測IC!AV14</f>
        <v>1.3151027754569666</v>
      </c>
      <c r="AW14" s="7">
        <f>AV14+預測IC!AW14</f>
        <v>1.2967398439510092</v>
      </c>
      <c r="AX14" s="7">
        <f>AW14+預測IC!AX14</f>
        <v>1.4336908722454018</v>
      </c>
      <c r="AY14" s="7">
        <f>AX14+預測IC!AY14</f>
        <v>1.3748514959482019</v>
      </c>
      <c r="AZ14" s="7">
        <f>AY14+預測IC!AZ14</f>
        <v>1.4004804234576664</v>
      </c>
      <c r="BA14" s="7">
        <f>AZ14+預測IC!BA14</f>
        <v>1.4968177488136405</v>
      </c>
      <c r="BB14" s="7">
        <f>BA14+預測IC!BB14</f>
        <v>1.5987160890720984</v>
      </c>
      <c r="BC14" s="7">
        <f>BB14+預測IC!BC14</f>
        <v>1.6107904107952498</v>
      </c>
      <c r="BD14" s="7">
        <f>BC14+預測IC!BD14</f>
        <v>1.6272079206061953</v>
      </c>
      <c r="BE14" s="7">
        <f>BD14+預測IC!BE14</f>
        <v>1.6030909021095932</v>
      </c>
      <c r="BF14" s="7">
        <f>BE14+預測IC!BF14</f>
        <v>1.5978480142077101</v>
      </c>
      <c r="BG14" s="7">
        <f>BF14+預測IC!BG14</f>
        <v>1.6083446221088535</v>
      </c>
      <c r="BH14" s="7">
        <f>BG14+預測IC!BH14</f>
        <v>1.6030018665402528</v>
      </c>
      <c r="BI14" s="7">
        <f>BH14+預測IC!BI14</f>
        <v>1.6352719974408203</v>
      </c>
      <c r="BJ14" s="7">
        <f>BI14+預測IC!BJ14</f>
        <v>1.6592889311264565</v>
      </c>
      <c r="BK14" s="7">
        <f>BJ14+預測IC!BK14</f>
        <v>1.6925263131047874</v>
      </c>
      <c r="BL14" s="7">
        <f>BK14+預測IC!BL14</f>
        <v>1.7030981476146494</v>
      </c>
      <c r="BM14" s="7">
        <f>BL14+預測IC!BM14</f>
        <v>1.6817231009525908</v>
      </c>
      <c r="BN14" s="7">
        <f>BM14+預測IC!BN14</f>
        <v>1.7282997451490065</v>
      </c>
      <c r="BO14" s="7">
        <f>BN14+預測IC!BO14</f>
        <v>1.7432033241222553</v>
      </c>
      <c r="BP14" s="7">
        <f>BO14+預測IC!BP14</f>
        <v>1.7935356074500006</v>
      </c>
      <c r="BQ14" s="7">
        <f>BP14+預測IC!BQ14</f>
        <v>1.8093791313199514</v>
      </c>
      <c r="BR14" s="7">
        <f>BQ14+預測IC!BR14</f>
        <v>1.7814497017873334</v>
      </c>
      <c r="BS14" s="7">
        <f>BR14+預測IC!BS14</f>
        <v>1.7399557466427555</v>
      </c>
      <c r="BT14" s="7">
        <f>BS14+預測IC!BT14</f>
        <v>1.7552436745461284</v>
      </c>
      <c r="BU14" s="7">
        <f>BT14+預測IC!BU14</f>
        <v>1.6440842202323838</v>
      </c>
      <c r="BV14" s="7">
        <f>BU14+預測IC!BV14</f>
        <v>1.6853667090902822</v>
      </c>
      <c r="BW14" s="7">
        <f>BV14+預測IC!BW14</f>
        <v>1.8037747510695872</v>
      </c>
      <c r="BX14" s="7">
        <f>BW14+預測IC!BX14</f>
        <v>1.8034676168449209</v>
      </c>
      <c r="BY14" s="7">
        <f>BX14+預測IC!BY14</f>
        <v>1.7230678482611597</v>
      </c>
      <c r="BZ14" s="7">
        <f>BY14+預測IC!BZ14</f>
        <v>1.7831019050899419</v>
      </c>
      <c r="CA14" s="7">
        <f>BZ14+預測IC!CA14</f>
        <v>1.8165570633280976</v>
      </c>
      <c r="CB14" s="7">
        <f>CA14+預測IC!CB14</f>
        <v>1.9810225646500044</v>
      </c>
      <c r="CC14" s="7">
        <f>CB14+預測IC!CC14</f>
        <v>2.101618723239187</v>
      </c>
      <c r="CD14" s="7">
        <f>CC14+預測IC!CD14</f>
        <v>2.1996354331713848</v>
      </c>
      <c r="CE14" s="7">
        <f>CD14+預測IC!CE14</f>
        <v>2.3701907356599352</v>
      </c>
      <c r="CF14" s="7">
        <f>CE14+預測IC!CF14</f>
        <v>2.3498805187374154</v>
      </c>
      <c r="CG14" s="7">
        <f>CF14+預測IC!CG14</f>
        <v>2.4888071952553554</v>
      </c>
      <c r="CH14" s="7">
        <f>CG14+預測IC!CH14</f>
        <v>2.5534685875335725</v>
      </c>
      <c r="CI14" s="7">
        <f>CH14+預測IC!CI14</f>
        <v>2.5496392313988876</v>
      </c>
      <c r="CJ14" s="7">
        <f>CI14+預測IC!CJ14</f>
        <v>2.5697060561949954</v>
      </c>
      <c r="CK14" s="7">
        <f>CJ14+預測IC!CK14</f>
        <v>2.5692421966253147</v>
      </c>
      <c r="CL14" s="7">
        <f>CK14+預測IC!CL14</f>
        <v>2.6992750637109659</v>
      </c>
      <c r="CM14" s="7">
        <f>CL14+預測IC!CM14</f>
        <v>2.5892060907382564</v>
      </c>
      <c r="CN14" s="7">
        <f>CM14+預測IC!CN14</f>
        <v>2.5698045433447652</v>
      </c>
      <c r="CO14" s="7">
        <f>CN14+預測IC!CO14</f>
        <v>2.7430536972987194</v>
      </c>
      <c r="CP14" s="7">
        <f>CO14+預測IC!CP14</f>
        <v>2.6375739732413779</v>
      </c>
      <c r="CQ14" s="7">
        <f>CP14+預測IC!CQ14</f>
        <v>2.7171107145368194</v>
      </c>
      <c r="CR14" s="7">
        <f>CQ14+預測IC!CR14</f>
        <v>2.7797513699132672</v>
      </c>
      <c r="CS14" s="7">
        <f>CR14+預測IC!CS14</f>
        <v>2.7759352565697473</v>
      </c>
      <c r="CT14" s="7">
        <f>CS14+預測IC!CT14</f>
        <v>2.8378076089613486</v>
      </c>
      <c r="CU14" s="7">
        <f>CT14+預測IC!CU14</f>
        <v>2.7938905062641339</v>
      </c>
      <c r="CV14" s="7">
        <f>CU14+預測IC!CV14</f>
        <v>2.8166362214023892</v>
      </c>
      <c r="CW14" s="7">
        <f>CV14+預測IC!CW14</f>
        <v>2.8248702232827654</v>
      </c>
      <c r="CX14" s="7">
        <f>CW14+預測IC!CX14</f>
        <v>2.849114479770261</v>
      </c>
      <c r="CY14" s="7">
        <f>CX14+預測IC!CY14</f>
        <v>2.8992522232442099</v>
      </c>
      <c r="CZ14" s="7">
        <f>CY14+預測IC!CZ14</f>
        <v>2.9633157865945932</v>
      </c>
      <c r="DA14" s="7">
        <f>CZ14+預測IC!DA14</f>
        <v>2.9390114974240085</v>
      </c>
      <c r="DB14" s="7">
        <f>DA14+預測IC!DB14</f>
        <v>2.9154504242358175</v>
      </c>
      <c r="DC14" s="7">
        <f>DB14+預測IC!DC14</f>
        <v>2.9302041857328449</v>
      </c>
      <c r="DD14" s="7">
        <f>DC14+預測IC!DD14</f>
        <v>2.8763042189840511</v>
      </c>
      <c r="DE14" s="7">
        <f>DD14+預測IC!DE14</f>
        <v>2.845246551906675</v>
      </c>
      <c r="DF14" s="7">
        <f>DE14+預測IC!DF14</f>
        <v>2.8093899213496125</v>
      </c>
      <c r="DG14" s="7">
        <f>DF14+預測IC!DG14</f>
        <v>2.8208364777429296</v>
      </c>
      <c r="DH14" s="7">
        <f>DG14+預測IC!DH14</f>
        <v>2.8795776719093031</v>
      </c>
      <c r="DI14" s="7">
        <f>DH14+預測IC!DI14</f>
        <v>2.9662241202077886</v>
      </c>
      <c r="DJ14" s="7">
        <f>DI14+預測IC!DJ14</f>
        <v>2.9672478444750858</v>
      </c>
      <c r="DK14" s="7">
        <f>DJ14+預測IC!DK14</f>
        <v>2.8856262949712272</v>
      </c>
      <c r="DL14" s="7">
        <f>DK14+預測IC!DL14</f>
        <v>2.8763521126139859</v>
      </c>
      <c r="DM14" s="7">
        <f>DL14+預測IC!DM14</f>
        <v>2.8752309628762256</v>
      </c>
      <c r="DN14" s="7">
        <f>DM14+預測IC!DN14</f>
        <v>2.9055297961265421</v>
      </c>
      <c r="DO14" s="7">
        <f>DN14+預測IC!DO14</f>
        <v>3.0081219854897761</v>
      </c>
      <c r="DP14" s="7">
        <f>DO14+預測IC!DP14</f>
        <v>3.0117398437615028</v>
      </c>
      <c r="DQ14" s="7">
        <f>DP14+預測IC!DQ14</f>
        <v>2.9557205577753125</v>
      </c>
      <c r="DR14" s="7">
        <f>DQ14+預測IC!DR14</f>
        <v>2.963514979584398</v>
      </c>
      <c r="DS14" s="7">
        <f>DR14+預測IC!DS14</f>
        <v>2.9284700733134814</v>
      </c>
      <c r="DT14" s="7">
        <f>DS14+預測IC!DT14</f>
        <v>3.0461425866452378</v>
      </c>
      <c r="DU14" s="7">
        <f>DT14+預測IC!DU14</f>
        <v>2.9773473134530737</v>
      </c>
      <c r="DV14" s="7">
        <f>DU14+預測IC!DV14</f>
        <v>2.9967802573417148</v>
      </c>
      <c r="DW14" s="7">
        <f>DV14+預測IC!DW14</f>
        <v>2.9985895668502307</v>
      </c>
      <c r="DX14" s="7">
        <f>DW14+預測IC!DX14</f>
        <v>2.8966580612978094</v>
      </c>
      <c r="DY14" s="7">
        <f>DX14+預測IC!DY14</f>
        <v>2.934655141244658</v>
      </c>
      <c r="DZ14" s="7">
        <f>DY14+預測IC!DZ14</f>
        <v>2.9696861411084381</v>
      </c>
      <c r="EA14" s="7">
        <f>DZ14+預測IC!EA14</f>
        <v>3.0477914069963745</v>
      </c>
      <c r="EB14" s="7">
        <f>EA14+預測IC!EB14</f>
        <v>3.02268188637811</v>
      </c>
      <c r="EC14" s="7">
        <f>EB14+預測IC!EC14</f>
        <v>3.0287612685262428</v>
      </c>
      <c r="ED14" s="7">
        <f>EC14+預測IC!ED14</f>
        <v>2.9951639807243091</v>
      </c>
      <c r="EE14" s="7">
        <f>ED14+預測IC!EE14</f>
        <v>2.9985632342423818</v>
      </c>
      <c r="EF14" s="7">
        <f>EE14+預測IC!EF14</f>
        <v>3.0685196547409399</v>
      </c>
    </row>
    <row r="15" spans="1:137" x14ac:dyDescent="0.3">
      <c r="B15" s="1" t="s">
        <v>155</v>
      </c>
      <c r="C15" s="7">
        <v>0.22764465877785839</v>
      </c>
      <c r="D15" s="7">
        <f>C15+預測IC!D15</f>
        <v>0.60035387438778398</v>
      </c>
      <c r="E15" s="7">
        <f>D15+預測IC!E15</f>
        <v>0.59015544811570042</v>
      </c>
      <c r="F15" s="7">
        <f>E15+預測IC!F15</f>
        <v>0.68045916112545712</v>
      </c>
      <c r="G15" s="7">
        <f>F15+預測IC!G15</f>
        <v>0.77706475167571876</v>
      </c>
      <c r="H15" s="7">
        <f>G15+預測IC!H15</f>
        <v>0.89590845538307806</v>
      </c>
      <c r="I15" s="7">
        <f>H15+預測IC!I15</f>
        <v>0.95433989966294364</v>
      </c>
      <c r="J15" s="7">
        <f>I15+預測IC!J15</f>
        <v>0.88981520955318816</v>
      </c>
      <c r="K15" s="7">
        <f>J15+預測IC!K15</f>
        <v>0.88560484316784738</v>
      </c>
      <c r="L15" s="7">
        <f>K15+預測IC!L15</f>
        <v>0.89857192812888775</v>
      </c>
      <c r="M15" s="7">
        <f>L15+預測IC!M15</f>
        <v>0.71007987841813125</v>
      </c>
      <c r="N15" s="7">
        <f>M15+預測IC!N15</f>
        <v>1.0403892152829384</v>
      </c>
      <c r="O15" s="7">
        <f>N15+預測IC!O15</f>
        <v>1.114146559529253</v>
      </c>
      <c r="P15" s="7">
        <f>O15+預測IC!P15</f>
        <v>1.1671298427216086</v>
      </c>
      <c r="Q15" s="7">
        <f>P15+預測IC!Q15</f>
        <v>1.2675051923054994</v>
      </c>
      <c r="R15" s="7">
        <f>Q15+預測IC!R15</f>
        <v>1.2842606285961176</v>
      </c>
      <c r="S15" s="7">
        <f>R15+預測IC!S15</f>
        <v>1.2412266948227861</v>
      </c>
      <c r="T15" s="7">
        <f>S15+預測IC!T15</f>
        <v>1.1918880221622712</v>
      </c>
      <c r="U15" s="7">
        <f>T15+預測IC!U15</f>
        <v>1.238678265320903</v>
      </c>
      <c r="V15" s="7">
        <f>U15+預測IC!V15</f>
        <v>1.1529973834420295</v>
      </c>
      <c r="W15" s="7">
        <f>V15+預測IC!W15</f>
        <v>1.2599319385999628</v>
      </c>
      <c r="X15" s="7">
        <f>W15+預測IC!X15</f>
        <v>1.3383683510455502</v>
      </c>
      <c r="Y15" s="7">
        <f>X15+預測IC!Y15</f>
        <v>1.3141797324983953</v>
      </c>
      <c r="Z15" s="7">
        <f>Y15+預測IC!Z15</f>
        <v>1.2905233138127246</v>
      </c>
      <c r="AA15" s="7">
        <f>Z15+預測IC!AA15</f>
        <v>1.236442166784691</v>
      </c>
      <c r="AB15" s="7">
        <f>AA15+預測IC!AB15</f>
        <v>1.1624462150005073</v>
      </c>
      <c r="AC15" s="7">
        <f>AB15+預測IC!AC15</f>
        <v>1.1223910854303911</v>
      </c>
      <c r="AD15" s="7">
        <f>AC15+預測IC!AD15</f>
        <v>1.1620815665580995</v>
      </c>
      <c r="AE15" s="7">
        <f>AD15+預測IC!AE15</f>
        <v>1.2093680428038029</v>
      </c>
      <c r="AF15" s="7">
        <f>AE15+預測IC!AF15</f>
        <v>1.2591400676789173</v>
      </c>
      <c r="AG15" s="7">
        <f>AF15+預測IC!AG15</f>
        <v>1.2490165894172618</v>
      </c>
      <c r="AH15" s="7">
        <f>AG15+預測IC!AH15</f>
        <v>1.2154122160595853</v>
      </c>
      <c r="AI15" s="7">
        <f>AH15+預測IC!AI15</f>
        <v>1.3008423268751923</v>
      </c>
      <c r="AJ15" s="7">
        <f>AI15+預測IC!AJ15</f>
        <v>1.3103071868426681</v>
      </c>
      <c r="AK15" s="7">
        <f>AJ15+預測IC!AK15</f>
        <v>1.372066806501113</v>
      </c>
      <c r="AL15" s="7">
        <f>AK15+預測IC!AL15</f>
        <v>1.4164984689969276</v>
      </c>
      <c r="AM15" s="7">
        <f>AL15+預測IC!AM15</f>
        <v>1.4716210911315546</v>
      </c>
      <c r="AN15" s="7">
        <f>AM15+預測IC!AN15</f>
        <v>1.573309797043938</v>
      </c>
      <c r="AO15" s="7">
        <f>AN15+預測IC!AO15</f>
        <v>1.6366796095074052</v>
      </c>
      <c r="AP15" s="7">
        <f>AO15+預測IC!AP15</f>
        <v>1.5583939156146509</v>
      </c>
      <c r="AQ15" s="7">
        <f>AP15+預測IC!AQ15</f>
        <v>1.5210267888185292</v>
      </c>
      <c r="AR15" s="7">
        <f>AQ15+預測IC!AR15</f>
        <v>1.5455776085168078</v>
      </c>
      <c r="AS15" s="7">
        <f>AR15+預測IC!AS15</f>
        <v>1.5993987875539217</v>
      </c>
      <c r="AT15" s="7">
        <f>AS15+預測IC!AT15</f>
        <v>1.6062553058057696</v>
      </c>
      <c r="AU15" s="7">
        <f>AT15+預測IC!AU15</f>
        <v>1.6461985668952359</v>
      </c>
      <c r="AV15" s="7">
        <f>AU15+預測IC!AV15</f>
        <v>1.6794238691136145</v>
      </c>
      <c r="AW15" s="7">
        <f>AV15+預測IC!AW15</f>
        <v>1.6950838083681954</v>
      </c>
      <c r="AX15" s="7">
        <f>AW15+預測IC!AX15</f>
        <v>1.8203177855429307</v>
      </c>
      <c r="AY15" s="7">
        <f>AX15+預測IC!AY15</f>
        <v>1.7771742876921377</v>
      </c>
      <c r="AZ15" s="7">
        <f>AY15+預測IC!AZ15</f>
        <v>1.8140216394447404</v>
      </c>
      <c r="BA15" s="7">
        <f>AZ15+預測IC!BA15</f>
        <v>1.971709587853079</v>
      </c>
      <c r="BB15" s="7">
        <f>BA15+預測IC!BB15</f>
        <v>2.0804986876692015</v>
      </c>
      <c r="BC15" s="7">
        <f>BB15+預測IC!BC15</f>
        <v>2.0420074684335643</v>
      </c>
      <c r="BD15" s="7">
        <f>BC15+預測IC!BD15</f>
        <v>2.0493703843962701</v>
      </c>
      <c r="BE15" s="7">
        <f>BD15+預測IC!BE15</f>
        <v>2.003153270413248</v>
      </c>
      <c r="BF15" s="7">
        <f>BE15+預測IC!BF15</f>
        <v>1.9461752461923363</v>
      </c>
      <c r="BG15" s="7">
        <f>BF15+預測IC!BG15</f>
        <v>1.959951396594757</v>
      </c>
      <c r="BH15" s="7">
        <f>BG15+預測IC!BH15</f>
        <v>1.9255095511130675</v>
      </c>
      <c r="BI15" s="7">
        <f>BH15+預測IC!BI15</f>
        <v>1.9518605745459603</v>
      </c>
      <c r="BJ15" s="7">
        <f>BI15+預測IC!BJ15</f>
        <v>2.0270144726596357</v>
      </c>
      <c r="BK15" s="7">
        <f>BJ15+預測IC!BK15</f>
        <v>2.0998838915422247</v>
      </c>
      <c r="BL15" s="7">
        <f>BK15+預測IC!BL15</f>
        <v>2.0999617929459711</v>
      </c>
      <c r="BM15" s="7">
        <f>BL15+預測IC!BM15</f>
        <v>2.0373633983734263</v>
      </c>
      <c r="BN15" s="7">
        <f>BM15+預測IC!BN15</f>
        <v>2.1034174335990081</v>
      </c>
      <c r="BO15" s="7">
        <f>BN15+預測IC!BO15</f>
        <v>2.1200068771251668</v>
      </c>
      <c r="BP15" s="7">
        <f>BO15+預測IC!BP15</f>
        <v>2.1716237315972315</v>
      </c>
      <c r="BQ15" s="7">
        <f>BP15+預測IC!BQ15</f>
        <v>2.1844266628875593</v>
      </c>
      <c r="BR15" s="7">
        <f>BQ15+預測IC!BR15</f>
        <v>2.1342692337654996</v>
      </c>
      <c r="BS15" s="7">
        <f>BR15+預測IC!BS15</f>
        <v>2.1174454563152132</v>
      </c>
      <c r="BT15" s="7">
        <f>BS15+預測IC!BT15</f>
        <v>2.0808117901196534</v>
      </c>
      <c r="BU15" s="7">
        <f>BT15+預測IC!BU15</f>
        <v>1.9952660563982132</v>
      </c>
      <c r="BV15" s="7">
        <f>BU15+預測IC!BV15</f>
        <v>2.0814461931141333</v>
      </c>
      <c r="BW15" s="7">
        <f>BV15+預測IC!BW15</f>
        <v>2.2855920324666181</v>
      </c>
      <c r="BX15" s="7">
        <f>BW15+預測IC!BX15</f>
        <v>2.3095414639039595</v>
      </c>
      <c r="BY15" s="7">
        <f>BX15+預測IC!BY15</f>
        <v>2.2162030714401229</v>
      </c>
      <c r="BZ15" s="7">
        <f>BY15+預測IC!BZ15</f>
        <v>2.31910954041747</v>
      </c>
      <c r="CA15" s="7">
        <f>BZ15+預測IC!CA15</f>
        <v>2.3490735496425472</v>
      </c>
      <c r="CB15" s="7">
        <f>CA15+預測IC!CB15</f>
        <v>2.4801649524266085</v>
      </c>
      <c r="CC15" s="7">
        <f>CB15+預測IC!CC15</f>
        <v>2.6538166581487284</v>
      </c>
      <c r="CD15" s="7">
        <f>CC15+預測IC!CD15</f>
        <v>2.7739687421118129</v>
      </c>
      <c r="CE15" s="7">
        <f>CD15+預測IC!CE15</f>
        <v>2.8473368621602635</v>
      </c>
      <c r="CF15" s="7">
        <f>CE15+預測IC!CF15</f>
        <v>2.8437100452299409</v>
      </c>
      <c r="CG15" s="7">
        <f>CF15+預測IC!CG15</f>
        <v>3.0694412724950682</v>
      </c>
      <c r="CH15" s="7">
        <f>CG15+預測IC!CH15</f>
        <v>3.1323272307787695</v>
      </c>
      <c r="CI15" s="7">
        <f>CH15+預測IC!CI15</f>
        <v>3.0629903860435324</v>
      </c>
      <c r="CJ15" s="7">
        <f>CI15+預測IC!CJ15</f>
        <v>3.0703730164409389</v>
      </c>
      <c r="CK15" s="7">
        <f>CJ15+預測IC!CK15</f>
        <v>3.1046532279240053</v>
      </c>
      <c r="CL15" s="7">
        <f>CK15+預測IC!CL15</f>
        <v>3.3174041154306608</v>
      </c>
      <c r="CM15" s="7">
        <f>CL15+預測IC!CM15</f>
        <v>3.2092843597177381</v>
      </c>
      <c r="CN15" s="7">
        <f>CM15+預測IC!CN15</f>
        <v>3.2095014946278395</v>
      </c>
      <c r="CO15" s="7">
        <f>CN15+預測IC!CO15</f>
        <v>3.3828614838668889</v>
      </c>
      <c r="CP15" s="7">
        <f>CO15+預測IC!CP15</f>
        <v>3.3484682690719798</v>
      </c>
      <c r="CQ15" s="7">
        <f>CP15+預測IC!CQ15</f>
        <v>3.4880718883309689</v>
      </c>
      <c r="CR15" s="7">
        <f>CQ15+預測IC!CR15</f>
        <v>3.5124462070287241</v>
      </c>
      <c r="CS15" s="7">
        <f>CR15+預測IC!CS15</f>
        <v>3.5293571937329795</v>
      </c>
      <c r="CT15" s="7">
        <f>CS15+預測IC!CT15</f>
        <v>3.5615737501780314</v>
      </c>
      <c r="CU15" s="7">
        <f>CT15+預測IC!CU15</f>
        <v>3.4983950902632586</v>
      </c>
      <c r="CV15" s="7">
        <f>CU15+預測IC!CV15</f>
        <v>3.4922532433584497</v>
      </c>
      <c r="CW15" s="7">
        <f>CV15+預測IC!CW15</f>
        <v>3.4649958018129556</v>
      </c>
      <c r="CX15" s="7">
        <f>CW15+預測IC!CX15</f>
        <v>3.4828646936297352</v>
      </c>
      <c r="CY15" s="7">
        <f>CX15+預測IC!CY15</f>
        <v>3.5385974044545629</v>
      </c>
      <c r="CZ15" s="7">
        <f>CY15+預測IC!CZ15</f>
        <v>3.6184843523989052</v>
      </c>
      <c r="DA15" s="7">
        <f>CZ15+預測IC!DA15</f>
        <v>3.5921085169570288</v>
      </c>
      <c r="DB15" s="7">
        <f>DA15+預測IC!DB15</f>
        <v>3.5618818987429051</v>
      </c>
      <c r="DC15" s="7">
        <f>DB15+預測IC!DC15</f>
        <v>3.638608923075874</v>
      </c>
      <c r="DD15" s="7">
        <f>DC15+預測IC!DD15</f>
        <v>3.5710825140081388</v>
      </c>
      <c r="DE15" s="7">
        <f>DD15+預測IC!DE15</f>
        <v>3.5054744116075449</v>
      </c>
      <c r="DF15" s="7">
        <f>DE15+預測IC!DF15</f>
        <v>3.4630831052081503</v>
      </c>
      <c r="DG15" s="7">
        <f>DF15+預測IC!DG15</f>
        <v>3.4792798368263913</v>
      </c>
      <c r="DH15" s="7">
        <f>DG15+預測IC!DH15</f>
        <v>3.608901772494248</v>
      </c>
      <c r="DI15" s="7">
        <f>DH15+預測IC!DI15</f>
        <v>3.6517135397073615</v>
      </c>
      <c r="DJ15" s="7">
        <f>DI15+預測IC!DJ15</f>
        <v>3.5998596866129544</v>
      </c>
      <c r="DK15" s="7">
        <f>DJ15+預測IC!DK15</f>
        <v>3.4995307597448715</v>
      </c>
      <c r="DL15" s="7">
        <f>DK15+預測IC!DL15</f>
        <v>3.5072685935230417</v>
      </c>
      <c r="DM15" s="7">
        <f>DL15+預測IC!DM15</f>
        <v>3.5090418582602503</v>
      </c>
      <c r="DN15" s="7">
        <f>DM15+預測IC!DN15</f>
        <v>3.4420192890317072</v>
      </c>
      <c r="DO15" s="7">
        <f>DN15+預測IC!DO15</f>
        <v>3.6015647003909792</v>
      </c>
      <c r="DP15" s="7">
        <f>DO15+預測IC!DP15</f>
        <v>3.5612345075997456</v>
      </c>
      <c r="DQ15" s="7">
        <f>DP15+預測IC!DQ15</f>
        <v>3.4882964276956026</v>
      </c>
      <c r="DR15" s="7">
        <f>DQ15+預測IC!DR15</f>
        <v>3.4662611627007287</v>
      </c>
      <c r="DS15" s="7">
        <f>DR15+預測IC!DS15</f>
        <v>3.3900192542889314</v>
      </c>
      <c r="DT15" s="7">
        <f>DS15+預測IC!DT15</f>
        <v>3.4243156532000989</v>
      </c>
      <c r="DU15" s="7">
        <f>DT15+預測IC!DU15</f>
        <v>3.3071879996894511</v>
      </c>
      <c r="DV15" s="7">
        <f>DU15+預測IC!DV15</f>
        <v>3.3583149999342781</v>
      </c>
      <c r="DW15" s="7">
        <f>DV15+預測IC!DW15</f>
        <v>3.2974886735968973</v>
      </c>
      <c r="DX15" s="7">
        <f>DW15+預測IC!DX15</f>
        <v>3.178872422946911</v>
      </c>
      <c r="DY15" s="7">
        <f>DX15+預測IC!DY15</f>
        <v>3.2854115895479206</v>
      </c>
      <c r="DZ15" s="7">
        <f>DY15+預測IC!DZ15</f>
        <v>3.3258672428519298</v>
      </c>
      <c r="EA15" s="7">
        <f>DZ15+預測IC!EA15</f>
        <v>3.3532059690617695</v>
      </c>
      <c r="EB15" s="7">
        <f>EA15+預測IC!EB15</f>
        <v>3.2970794887944446</v>
      </c>
      <c r="EC15" s="7">
        <f>EB15+預測IC!EC15</f>
        <v>3.3631613448423909</v>
      </c>
      <c r="ED15" s="7">
        <f>EC15+預測IC!ED15</f>
        <v>3.2907780255494621</v>
      </c>
      <c r="EE15" s="7">
        <f>ED15+預測IC!EE15</f>
        <v>3.2875873050479352</v>
      </c>
      <c r="EF15" s="7">
        <f>EE15+預測IC!EF15</f>
        <v>3.3532882961867774</v>
      </c>
    </row>
    <row r="16" spans="1:137" x14ac:dyDescent="0.3">
      <c r="B16" s="1" t="s">
        <v>156</v>
      </c>
      <c r="C16" s="7">
        <v>0.20787477708292909</v>
      </c>
      <c r="D16" s="7">
        <f>C16+預測IC!D16</f>
        <v>0.61606975581550971</v>
      </c>
      <c r="E16" s="7">
        <f>D16+預測IC!E16</f>
        <v>0.61323957920542438</v>
      </c>
      <c r="F16" s="7">
        <f>E16+預測IC!F16</f>
        <v>0.73749936711312358</v>
      </c>
      <c r="G16" s="7">
        <f>F16+預測IC!G16</f>
        <v>0.84651187980989517</v>
      </c>
      <c r="H16" s="7">
        <f>G16+預測IC!H16</f>
        <v>0.91935993609754263</v>
      </c>
      <c r="I16" s="7">
        <f>H16+預測IC!I16</f>
        <v>0.97689055476316411</v>
      </c>
      <c r="J16" s="7">
        <f>I16+預測IC!J16</f>
        <v>0.90819652150993646</v>
      </c>
      <c r="K16" s="7">
        <f>J16+預測IC!K16</f>
        <v>0.92612162602819958</v>
      </c>
      <c r="L16" s="7">
        <f>K16+預測IC!L16</f>
        <v>0.95714877699367262</v>
      </c>
      <c r="M16" s="7">
        <f>L16+預測IC!M16</f>
        <v>0.76227237205127918</v>
      </c>
      <c r="N16" s="7">
        <f>M16+預測IC!N16</f>
        <v>1.1292599811738655</v>
      </c>
      <c r="O16" s="7">
        <f>N16+預測IC!O16</f>
        <v>1.2090868417449825</v>
      </c>
      <c r="P16" s="7">
        <f>O16+預測IC!P16</f>
        <v>1.2710665770258904</v>
      </c>
      <c r="Q16" s="7">
        <f>P16+預測IC!Q16</f>
        <v>1.3676847502008003</v>
      </c>
      <c r="R16" s="7">
        <f>Q16+預測IC!R16</f>
        <v>1.3868675124564354</v>
      </c>
      <c r="S16" s="7">
        <f>R16+預測IC!S16</f>
        <v>1.3444523292454813</v>
      </c>
      <c r="T16" s="7">
        <f>S16+預測IC!T16</f>
        <v>1.3212255443013419</v>
      </c>
      <c r="U16" s="7">
        <f>T16+預測IC!U16</f>
        <v>1.3698770600941437</v>
      </c>
      <c r="V16" s="7">
        <f>U16+預測IC!V16</f>
        <v>1.265560884492702</v>
      </c>
      <c r="W16" s="7">
        <f>V16+預測IC!W16</f>
        <v>1.3439343725203399</v>
      </c>
      <c r="X16" s="7">
        <f>W16+預測IC!X16</f>
        <v>1.417612650177807</v>
      </c>
      <c r="Y16" s="7">
        <f>X16+預測IC!Y16</f>
        <v>1.4133252030860706</v>
      </c>
      <c r="Z16" s="7">
        <f>Y16+預測IC!Z16</f>
        <v>1.3932494082076459</v>
      </c>
      <c r="AA16" s="7">
        <f>Z16+預測IC!AA16</f>
        <v>1.3497617723716537</v>
      </c>
      <c r="AB16" s="7">
        <f>AA16+預測IC!AB16</f>
        <v>1.2787456459543167</v>
      </c>
      <c r="AC16" s="7">
        <f>AB16+預測IC!AC16</f>
        <v>1.2377051232452336</v>
      </c>
      <c r="AD16" s="7">
        <f>AC16+預測IC!AD16</f>
        <v>1.2725162951024851</v>
      </c>
      <c r="AE16" s="7">
        <f>AD16+預測IC!AE16</f>
        <v>1.324051286984387</v>
      </c>
      <c r="AF16" s="7">
        <f>AE16+預測IC!AF16</f>
        <v>1.33905990999673</v>
      </c>
      <c r="AG16" s="7">
        <f>AF16+預測IC!AG16</f>
        <v>1.3257691569601946</v>
      </c>
      <c r="AH16" s="7">
        <f>AG16+預測IC!AH16</f>
        <v>1.2940037565107541</v>
      </c>
      <c r="AI16" s="7">
        <f>AH16+預測IC!AI16</f>
        <v>1.3430817996873221</v>
      </c>
      <c r="AJ16" s="7">
        <f>AI16+預測IC!AJ16</f>
        <v>1.336055833615446</v>
      </c>
      <c r="AK16" s="7">
        <f>AJ16+預測IC!AK16</f>
        <v>1.400477234447818</v>
      </c>
      <c r="AL16" s="7">
        <f>AK16+預測IC!AL16</f>
        <v>1.4491661675523413</v>
      </c>
      <c r="AM16" s="7">
        <f>AL16+預測IC!AM16</f>
        <v>1.5152428981541393</v>
      </c>
      <c r="AN16" s="7">
        <f>AM16+預測IC!AN16</f>
        <v>1.6216990982438149</v>
      </c>
      <c r="AO16" s="7">
        <f>AN16+預測IC!AO16</f>
        <v>1.6831237700697272</v>
      </c>
      <c r="AP16" s="7">
        <f>AO16+預測IC!AP16</f>
        <v>1.6053254019241388</v>
      </c>
      <c r="AQ16" s="7">
        <f>AP16+預測IC!AQ16</f>
        <v>1.5668592017780703</v>
      </c>
      <c r="AR16" s="7">
        <f>AQ16+預測IC!AR16</f>
        <v>1.599351961498134</v>
      </c>
      <c r="AS16" s="7">
        <f>AR16+預測IC!AS16</f>
        <v>1.6644201869721034</v>
      </c>
      <c r="AT16" s="7">
        <f>AS16+預測IC!AT16</f>
        <v>1.6683596563522201</v>
      </c>
      <c r="AU16" s="7">
        <f>AT16+預測IC!AU16</f>
        <v>1.7101864946071152</v>
      </c>
      <c r="AV16" s="7">
        <f>AU16+預測IC!AV16</f>
        <v>1.7337953709551741</v>
      </c>
      <c r="AW16" s="7">
        <f>AV16+預測IC!AW16</f>
        <v>1.7730483010298248</v>
      </c>
      <c r="AX16" s="7">
        <f>AW16+預測IC!AX16</f>
        <v>1.8738780742737977</v>
      </c>
      <c r="AY16" s="7">
        <f>AX16+預測IC!AY16</f>
        <v>1.8392043620908674</v>
      </c>
      <c r="AZ16" s="7">
        <f>AY16+預測IC!AZ16</f>
        <v>1.8860312380942441</v>
      </c>
      <c r="BA16" s="7">
        <f>AZ16+預測IC!BA16</f>
        <v>2.0460219382688649</v>
      </c>
      <c r="BB16" s="7">
        <f>BA16+預測IC!BB16</f>
        <v>2.1784966758654365</v>
      </c>
      <c r="BC16" s="7">
        <f>BB16+預測IC!BC16</f>
        <v>2.1388598598093633</v>
      </c>
      <c r="BD16" s="7">
        <f>BC16+預測IC!BD16</f>
        <v>2.1451420442342468</v>
      </c>
      <c r="BE16" s="7">
        <f>BD16+預測IC!BE16</f>
        <v>2.1010029075941778</v>
      </c>
      <c r="BF16" s="7">
        <f>BE16+預測IC!BF16</f>
        <v>2.0464179443883914</v>
      </c>
      <c r="BG16" s="7">
        <f>BF16+預測IC!BG16</f>
        <v>2.0657491513600936</v>
      </c>
      <c r="BH16" s="7">
        <f>BG16+預測IC!BH16</f>
        <v>2.0795247658440554</v>
      </c>
      <c r="BI16" s="7">
        <f>BH16+預測IC!BI16</f>
        <v>2.1051448597676128</v>
      </c>
      <c r="BJ16" s="7">
        <f>BI16+預測IC!BJ16</f>
        <v>2.1865729785435866</v>
      </c>
      <c r="BK16" s="7">
        <f>BJ16+預測IC!BK16</f>
        <v>2.2913461814641551</v>
      </c>
      <c r="BL16" s="7">
        <f>BK16+預測IC!BL16</f>
        <v>2.2829319240704242</v>
      </c>
      <c r="BM16" s="7">
        <f>BL16+預測IC!BM16</f>
        <v>2.2131260988176238</v>
      </c>
      <c r="BN16" s="7">
        <f>BM16+預測IC!BN16</f>
        <v>2.280324069222313</v>
      </c>
      <c r="BO16" s="7">
        <f>BN16+預測IC!BO16</f>
        <v>2.2962843882170487</v>
      </c>
      <c r="BP16" s="7">
        <f>BO16+預測IC!BP16</f>
        <v>2.3540344488975045</v>
      </c>
      <c r="BQ16" s="7">
        <f>BP16+預測IC!BQ16</f>
        <v>2.3705124651524332</v>
      </c>
      <c r="BR16" s="7">
        <f>BQ16+預測IC!BR16</f>
        <v>2.3442156171309887</v>
      </c>
      <c r="BS16" s="7">
        <f>BR16+預測IC!BS16</f>
        <v>2.3310240439835246</v>
      </c>
      <c r="BT16" s="7">
        <f>BS16+預測IC!BT16</f>
        <v>2.2929579657712793</v>
      </c>
      <c r="BU16" s="7">
        <f>BT16+預測IC!BU16</f>
        <v>2.1914213915429746</v>
      </c>
      <c r="BV16" s="7">
        <f>BU16+預測IC!BV16</f>
        <v>2.2859318600098999</v>
      </c>
      <c r="BW16" s="7">
        <f>BV16+預測IC!BW16</f>
        <v>2.5098767740115582</v>
      </c>
      <c r="BX16" s="7">
        <f>BW16+預測IC!BX16</f>
        <v>2.5339550458409055</v>
      </c>
      <c r="BY16" s="7">
        <f>BX16+預測IC!BY16</f>
        <v>2.414960337787627</v>
      </c>
      <c r="BZ16" s="7">
        <f>BY16+預測IC!BZ16</f>
        <v>2.5264861862892762</v>
      </c>
      <c r="CA16" s="7">
        <f>BZ16+預測IC!CA16</f>
        <v>2.5539183559409704</v>
      </c>
      <c r="CB16" s="7">
        <f>CA16+預測IC!CB16</f>
        <v>2.6932270918743044</v>
      </c>
      <c r="CC16" s="7">
        <f>CB16+預測IC!CC16</f>
        <v>2.7376152450445104</v>
      </c>
      <c r="CD16" s="7">
        <f>CC16+預測IC!CD16</f>
        <v>2.8926865166708722</v>
      </c>
      <c r="CE16" s="7">
        <f>CD16+預測IC!CE16</f>
        <v>2.9863007471387881</v>
      </c>
      <c r="CF16" s="7">
        <f>CE16+預測IC!CF16</f>
        <v>2.9716046841723589</v>
      </c>
      <c r="CG16" s="7">
        <f>CF16+預測IC!CG16</f>
        <v>3.1178007241985006</v>
      </c>
      <c r="CH16" s="7">
        <f>CG16+預測IC!CH16</f>
        <v>3.1594981389015278</v>
      </c>
      <c r="CI16" s="7">
        <f>CH16+預測IC!CI16</f>
        <v>3.10115338905702</v>
      </c>
      <c r="CJ16" s="7">
        <f>CI16+預測IC!CJ16</f>
        <v>3.1289538123799909</v>
      </c>
      <c r="CK16" s="7">
        <f>CJ16+預測IC!CK16</f>
        <v>3.1996856928966748</v>
      </c>
      <c r="CL16" s="7">
        <f>CK16+預測IC!CL16</f>
        <v>3.4436238494620968</v>
      </c>
      <c r="CM16" s="7">
        <f>CL16+預測IC!CM16</f>
        <v>3.3305680110707221</v>
      </c>
      <c r="CN16" s="7">
        <f>CM16+預測IC!CN16</f>
        <v>3.3401770588547444</v>
      </c>
      <c r="CO16" s="7">
        <f>CN16+預測IC!CO16</f>
        <v>3.5497245773144961</v>
      </c>
      <c r="CP16" s="7">
        <f>CO16+預測IC!CP16</f>
        <v>3.5190401384325942</v>
      </c>
      <c r="CQ16" s="7">
        <f>CP16+預測IC!CQ16</f>
        <v>3.6874899230365203</v>
      </c>
      <c r="CR16" s="7">
        <f>CQ16+預測IC!CR16</f>
        <v>3.7127185795486799</v>
      </c>
      <c r="CS16" s="7">
        <f>CR16+預測IC!CS16</f>
        <v>3.7345255884583022</v>
      </c>
      <c r="CT16" s="7">
        <f>CS16+預測IC!CT16</f>
        <v>3.7834291142897309</v>
      </c>
      <c r="CU16" s="7">
        <f>CT16+預測IC!CU16</f>
        <v>3.7199944599307564</v>
      </c>
      <c r="CV16" s="7">
        <f>CU16+預測IC!CV16</f>
        <v>3.7032433758500356</v>
      </c>
      <c r="CW16" s="7">
        <f>CV16+預測IC!CW16</f>
        <v>3.6715702616783528</v>
      </c>
      <c r="CX16" s="7">
        <f>CW16+預測IC!CX16</f>
        <v>3.678257039356581</v>
      </c>
      <c r="CY16" s="7">
        <f>CX16+預測IC!CY16</f>
        <v>3.7368113455278338</v>
      </c>
      <c r="CZ16" s="7">
        <f>CY16+預測IC!CZ16</f>
        <v>3.8394446047059665</v>
      </c>
      <c r="DA16" s="7">
        <f>CZ16+預測IC!DA16</f>
        <v>3.809639810738731</v>
      </c>
      <c r="DB16" s="7">
        <f>DA16+預測IC!DB16</f>
        <v>3.7669276409585049</v>
      </c>
      <c r="DC16" s="7">
        <f>DB16+預測IC!DC16</f>
        <v>3.83066829946655</v>
      </c>
      <c r="DD16" s="7">
        <f>DC16+預測IC!DD16</f>
        <v>3.7562971844639526</v>
      </c>
      <c r="DE16" s="7">
        <f>DD16+預測IC!DE16</f>
        <v>3.6999712713864428</v>
      </c>
      <c r="DF16" s="7">
        <f>DE16+預測IC!DF16</f>
        <v>3.6768248381608837</v>
      </c>
      <c r="DG16" s="7">
        <f>DF16+預測IC!DG16</f>
        <v>3.6912777857923222</v>
      </c>
      <c r="DH16" s="7">
        <f>DG16+預測IC!DH16</f>
        <v>3.8284255462048304</v>
      </c>
      <c r="DI16" s="7">
        <f>DH16+預測IC!DI16</f>
        <v>3.876255153921818</v>
      </c>
      <c r="DJ16" s="7">
        <f>DI16+預測IC!DJ16</f>
        <v>3.8471137478411883</v>
      </c>
      <c r="DK16" s="7">
        <f>DJ16+預測IC!DK16</f>
        <v>3.750859123041991</v>
      </c>
      <c r="DL16" s="7">
        <f>DK16+預測IC!DL16</f>
        <v>3.7522250951299139</v>
      </c>
      <c r="DM16" s="7">
        <f>DL16+預測IC!DM16</f>
        <v>3.7903600906904655</v>
      </c>
      <c r="DN16" s="7">
        <f>DM16+預測IC!DN16</f>
        <v>3.733652513752149</v>
      </c>
      <c r="DO16" s="7">
        <f>DN16+預測IC!DO16</f>
        <v>3.9032434601402235</v>
      </c>
      <c r="DP16" s="7">
        <f>DO16+預測IC!DP16</f>
        <v>3.8785268767624879</v>
      </c>
      <c r="DQ16" s="7">
        <f>DP16+預測IC!DQ16</f>
        <v>3.8109663568168517</v>
      </c>
      <c r="DR16" s="7">
        <f>DQ16+預測IC!DR16</f>
        <v>3.7997881891677503</v>
      </c>
      <c r="DS16" s="7">
        <f>DR16+預測IC!DS16</f>
        <v>3.706036124177996</v>
      </c>
      <c r="DT16" s="7">
        <f>DS16+預測IC!DT16</f>
        <v>3.7380956163312358</v>
      </c>
      <c r="DU16" s="7">
        <f>DT16+預測IC!DU16</f>
        <v>3.6153235698082717</v>
      </c>
      <c r="DV16" s="7">
        <f>DU16+預測IC!DV16</f>
        <v>3.6604725542176588</v>
      </c>
      <c r="DW16" s="7">
        <f>DV16+預測IC!DW16</f>
        <v>3.5891699800943022</v>
      </c>
      <c r="DX16" s="7">
        <f>DW16+預測IC!DX16</f>
        <v>3.463885273770325</v>
      </c>
      <c r="DY16" s="7">
        <f>DX16+預測IC!DY16</f>
        <v>3.5802396086806683</v>
      </c>
      <c r="DZ16" s="7">
        <f>DY16+預測IC!DZ16</f>
        <v>3.6390503568717141</v>
      </c>
      <c r="EA16" s="7">
        <f>DZ16+預測IC!EA16</f>
        <v>3.685711728427441</v>
      </c>
      <c r="EB16" s="7">
        <f>EA16+預測IC!EB16</f>
        <v>3.6148362846478901</v>
      </c>
      <c r="EC16" s="7">
        <f>EB16+預測IC!EC16</f>
        <v>3.6783683512824599</v>
      </c>
      <c r="ED16" s="7">
        <f>EC16+預測IC!ED16</f>
        <v>3.5980834386236262</v>
      </c>
      <c r="EE16" s="7">
        <f>ED16+預測IC!EE16</f>
        <v>3.5936867633168665</v>
      </c>
      <c r="EF16" s="7">
        <f>EE16+預測IC!EF16</f>
        <v>3.6361611648107739</v>
      </c>
    </row>
    <row r="17" spans="1:136" x14ac:dyDescent="0.3">
      <c r="B17" s="1" t="s">
        <v>157</v>
      </c>
      <c r="C17" s="7">
        <v>0.2060921883792059</v>
      </c>
      <c r="D17" s="7">
        <f>C17+預測IC!D17</f>
        <v>0.64568067700382725</v>
      </c>
      <c r="E17" s="7">
        <f>D17+預測IC!E17</f>
        <v>0.6530596784991286</v>
      </c>
      <c r="F17" s="7">
        <f>E17+預測IC!F17</f>
        <v>0.7998314928116409</v>
      </c>
      <c r="G17" s="7">
        <f>F17+預測IC!G17</f>
        <v>0.91696297300677554</v>
      </c>
      <c r="H17" s="7">
        <f>G17+預測IC!H17</f>
        <v>1.0219570266345166</v>
      </c>
      <c r="I17" s="7">
        <f>H17+預測IC!I17</f>
        <v>1.1356820544367041</v>
      </c>
      <c r="J17" s="7"/>
      <c r="K17" s="7">
        <f>J17+預測IC!K17</f>
        <v>3.9444991917733881E-2</v>
      </c>
      <c r="L17" s="7">
        <f>K17+預測IC!L17</f>
        <v>7.3220921456372018E-2</v>
      </c>
      <c r="M17" s="7">
        <f>L17+預測IC!M17</f>
        <v>-0.15371971583595079</v>
      </c>
      <c r="N17" s="7">
        <f>M17+預測IC!N17</f>
        <v>0.25138829310351141</v>
      </c>
      <c r="O17" s="7">
        <f>N17+預測IC!O17</f>
        <v>0.35261506237584711</v>
      </c>
      <c r="P17" s="7">
        <f>O17+預測IC!P17</f>
        <v>0.42953066587874805</v>
      </c>
      <c r="Q17" s="7">
        <f>P17+預測IC!Q17</f>
        <v>0.53596091916522481</v>
      </c>
      <c r="R17" s="7">
        <f>Q17+預測IC!R17</f>
        <v>0.53793617044589426</v>
      </c>
      <c r="S17" s="7">
        <f>R17+預測IC!S17</f>
        <v>0.48280414470792188</v>
      </c>
      <c r="T17" s="7">
        <f>S17+預測IC!T17</f>
        <v>0.45929655605636088</v>
      </c>
      <c r="U17" s="7">
        <f>T17+預測IC!U17</f>
        <v>0.51158679000317708</v>
      </c>
      <c r="V17" s="7">
        <f>U17+預測IC!V17</f>
        <v>0.39523048797777699</v>
      </c>
      <c r="W17" s="7">
        <f>V17+預測IC!W17</f>
        <v>0.47437247677979427</v>
      </c>
      <c r="X17" s="7">
        <f>W17+預測IC!X17</f>
        <v>0.57455844378378251</v>
      </c>
      <c r="Y17" s="7">
        <f>X17+預測IC!Y17</f>
        <v>0.57605894511031974</v>
      </c>
      <c r="Z17" s="7">
        <f>Y17+預測IC!Z17</f>
        <v>0.55445045531605341</v>
      </c>
      <c r="AA17" s="7">
        <f>Z17+預測IC!AA17</f>
        <v>0.5192406657338543</v>
      </c>
      <c r="AB17" s="7">
        <f>AA17+預測IC!AB17</f>
        <v>0.46090650504307618</v>
      </c>
      <c r="AC17" s="7">
        <f>AB17+預測IC!AC17</f>
        <v>0.42010749405539399</v>
      </c>
      <c r="AD17" s="7">
        <f>AC17+預測IC!AD17</f>
        <v>0.48872731729224078</v>
      </c>
      <c r="AE17" s="7">
        <f>AD17+預測IC!AE17</f>
        <v>0.54817081698793313</v>
      </c>
      <c r="AF17" s="7">
        <f>AE17+預測IC!AF17</f>
        <v>0.55658206023624468</v>
      </c>
      <c r="AG17" s="7">
        <f>AF17+預測IC!AG17</f>
        <v>0.53384107944845449</v>
      </c>
      <c r="AH17" s="7">
        <f>AG17+預測IC!AH17</f>
        <v>0.49836846027556564</v>
      </c>
      <c r="AI17" s="7">
        <f>AH17+預測IC!AI17</f>
        <v>0.52895616891707919</v>
      </c>
      <c r="AJ17" s="7">
        <f>AI17+預測IC!AJ17</f>
        <v>0.48635353839812229</v>
      </c>
      <c r="AK17" s="7">
        <f>AJ17+預測IC!AK17</f>
        <v>0.56006981313715876</v>
      </c>
      <c r="AL17" s="7">
        <f>AK17+預測IC!AL17</f>
        <v>0.61079421888571528</v>
      </c>
      <c r="AM17" s="7">
        <f>AL17+預測IC!AM17</f>
        <v>0.68616358647337228</v>
      </c>
      <c r="AN17" s="7">
        <f>AM17+預測IC!AN17</f>
        <v>0.79945070681928998</v>
      </c>
      <c r="AO17" s="7">
        <f>AN17+預測IC!AO17</f>
        <v>0.8120830414150142</v>
      </c>
      <c r="AP17" s="7">
        <f>AO17+預測IC!AP17</f>
        <v>0.73484022699542872</v>
      </c>
      <c r="AQ17" s="7">
        <f>AP17+預測IC!AQ17</f>
        <v>0.67431308959392966</v>
      </c>
      <c r="AR17" s="7">
        <f>AQ17+預測IC!AR17</f>
        <v>0.70931037062898705</v>
      </c>
      <c r="AS17" s="7">
        <f>AR17+預測IC!AS17</f>
        <v>0.7656339326634628</v>
      </c>
      <c r="AT17" s="7">
        <f>AS17+預測IC!AT17</f>
        <v>0.76706661462949832</v>
      </c>
      <c r="AU17" s="7">
        <f>AT17+預測IC!AU17</f>
        <v>0.82162212191618611</v>
      </c>
      <c r="AV17" s="7">
        <f>AU17+預測IC!AV17</f>
        <v>0.84918517599146359</v>
      </c>
      <c r="AW17" s="7">
        <f>AV17+預測IC!AW17</f>
        <v>0.85760706403330034</v>
      </c>
      <c r="AX17" s="7">
        <f>AW17+預測IC!AX17</f>
        <v>0.95384762254209932</v>
      </c>
      <c r="AY17" s="7">
        <f>AX17+預測IC!AY17</f>
        <v>0.90703564116167956</v>
      </c>
      <c r="AZ17" s="7">
        <f>AY17+預測IC!AZ17</f>
        <v>0.9550160749708525</v>
      </c>
      <c r="BA17" s="7">
        <f>AZ17+預測IC!BA17</f>
        <v>1.1178224847806153</v>
      </c>
      <c r="BB17" s="7">
        <f>BA17+預測IC!BB17</f>
        <v>1.2710937690590001</v>
      </c>
      <c r="BC17" s="7">
        <f>BB17+預測IC!BC17</f>
        <v>1.2133290763070388</v>
      </c>
      <c r="BD17" s="7">
        <f>BC17+預測IC!BD17</f>
        <v>1.2327409481999156</v>
      </c>
      <c r="BE17" s="7">
        <f>BD17+預測IC!BE17</f>
        <v>1.2164435594293714</v>
      </c>
      <c r="BF17" s="7">
        <f>BE17+預測IC!BF17</f>
        <v>1.1390259553742987</v>
      </c>
      <c r="BG17" s="7">
        <f>BF17+預測IC!BG17</f>
        <v>1.1258726445885265</v>
      </c>
      <c r="BH17" s="7">
        <f>BG17+預測IC!BH17</f>
        <v>1.1123531837367735</v>
      </c>
      <c r="BI17" s="7">
        <f>BH17+預測IC!BI17</f>
        <v>1.1698028074752089</v>
      </c>
      <c r="BJ17" s="7">
        <f>BI17+預測IC!BJ17</f>
        <v>1.2589942850318681</v>
      </c>
      <c r="BK17" s="7">
        <f>BJ17+預測IC!BK17</f>
        <v>1.3738100770313857</v>
      </c>
      <c r="BL17" s="7">
        <f>BK17+預測IC!BL17</f>
        <v>1.3813836821383332</v>
      </c>
      <c r="BM17" s="7">
        <f>BL17+預測IC!BM17</f>
        <v>1.3034163563564896</v>
      </c>
      <c r="BN17" s="7">
        <f>BM17+預測IC!BN17</f>
        <v>1.3770731242928556</v>
      </c>
      <c r="BO17" s="7">
        <f>BN17+預測IC!BO17</f>
        <v>1.4084234229762373</v>
      </c>
      <c r="BP17" s="7">
        <f>BO17+預測IC!BP17</f>
        <v>1.4690615698861544</v>
      </c>
      <c r="BQ17" s="7">
        <f>BP17+預測IC!BQ17</f>
        <v>1.480438080332606</v>
      </c>
      <c r="BR17" s="7">
        <f>BQ17+預測IC!BR17</f>
        <v>1.4707917052078561</v>
      </c>
      <c r="BS17" s="7">
        <f>BR17+預測IC!BS17</f>
        <v>1.4666882360972495</v>
      </c>
      <c r="BT17" s="7">
        <f>BS17+預測IC!BT17</f>
        <v>1.4330406628508912</v>
      </c>
      <c r="BU17" s="7">
        <f>BT17+預測IC!BU17</f>
        <v>1.3285163633180304</v>
      </c>
      <c r="BV17" s="7">
        <f>BU17+預測IC!BV17</f>
        <v>1.4351602809514223</v>
      </c>
      <c r="BW17" s="7">
        <f>BV17+預測IC!BW17</f>
        <v>1.6623943744603855</v>
      </c>
      <c r="BX17" s="7">
        <f>BW17+預測IC!BX17</f>
        <v>1.6694901643018525</v>
      </c>
      <c r="BY17" s="7">
        <f>BX17+預測IC!BY17</f>
        <v>1.5736292923818613</v>
      </c>
      <c r="BZ17" s="7">
        <f>BY17+預測IC!BZ17</f>
        <v>1.6942074482629466</v>
      </c>
      <c r="CA17" s="7">
        <f>BZ17+預測IC!CA17</f>
        <v>1.7214042326408612</v>
      </c>
      <c r="CB17" s="7">
        <f>CA17+預測IC!CB17</f>
        <v>1.8710373903337507</v>
      </c>
      <c r="CC17" s="7">
        <f>CB17+預測IC!CC17</f>
        <v>1.9127976428079863</v>
      </c>
      <c r="CD17" s="7">
        <f>CC17+預測IC!CD17</f>
        <v>2.0857573840271346</v>
      </c>
      <c r="CE17" s="7">
        <f>CD17+預測IC!CE17</f>
        <v>2.1814654576886299</v>
      </c>
      <c r="CF17" s="7">
        <f>CE17+預測IC!CF17</f>
        <v>2.0863421087504261</v>
      </c>
      <c r="CG17" s="7">
        <f>CF17+預測IC!CG17</f>
        <v>2.2633767160737777</v>
      </c>
      <c r="CH17" s="7">
        <f>CG17+預測IC!CH17</f>
        <v>2.3220131626808276</v>
      </c>
      <c r="CI17" s="7">
        <f>CH17+預測IC!CI17</f>
        <v>2.2395602483607706</v>
      </c>
      <c r="CJ17" s="7">
        <f>CI17+預測IC!CJ17</f>
        <v>2.2778821898529875</v>
      </c>
      <c r="CK17" s="7">
        <f>CJ17+預測IC!CK17</f>
        <v>2.3536251516597502</v>
      </c>
      <c r="CL17" s="7">
        <f>CK17+預測IC!CL17</f>
        <v>2.6408042496411035</v>
      </c>
      <c r="CM17" s="7">
        <f>CL17+預測IC!CM17</f>
        <v>2.5453103788245497</v>
      </c>
      <c r="CN17" s="7">
        <f>CM17+預測IC!CN17</f>
        <v>2.5589410025385506</v>
      </c>
      <c r="CO17" s="7">
        <f>CN17+預測IC!CO17</f>
        <v>2.7570214224283394</v>
      </c>
      <c r="CP17" s="7">
        <f>CO17+預測IC!CP17</f>
        <v>2.7354118935106286</v>
      </c>
      <c r="CQ17" s="7">
        <f>CP17+預測IC!CQ17</f>
        <v>2.9085410518430233</v>
      </c>
      <c r="CR17" s="7">
        <f>CQ17+預測IC!CR17</f>
        <v>2.9315468813810215</v>
      </c>
      <c r="CS17" s="7">
        <f>CR17+預測IC!CS17</f>
        <v>2.9430923970980265</v>
      </c>
      <c r="CT17" s="7">
        <f>CS17+預測IC!CT17</f>
        <v>3.0017461937006407</v>
      </c>
      <c r="CU17" s="7">
        <f>CT17+預測IC!CU17</f>
        <v>2.9273378861173867</v>
      </c>
      <c r="CV17" s="7">
        <f>CU17+預測IC!CV17</f>
        <v>2.9312174940573139</v>
      </c>
      <c r="CW17" s="7">
        <f>CV17+預測IC!CW17</f>
        <v>2.908061649242466</v>
      </c>
      <c r="CX17" s="7">
        <f>CW17+預測IC!CX17</f>
        <v>2.9330540984479878</v>
      </c>
      <c r="CY17" s="7">
        <f>CX17+預測IC!CY17</f>
        <v>2.9925520503078107</v>
      </c>
      <c r="CZ17" s="7">
        <f>CY17+預測IC!CZ17</f>
        <v>3.116800888155431</v>
      </c>
      <c r="DA17" s="7">
        <f>CZ17+預測IC!DA17</f>
        <v>3.0729050290102968</v>
      </c>
      <c r="DB17" s="7">
        <f>DA17+預測IC!DB17</f>
        <v>3.0380220182178288</v>
      </c>
      <c r="DC17" s="7">
        <f>DB17+預測IC!DC17</f>
        <v>3.0919103401667112</v>
      </c>
      <c r="DD17" s="7">
        <f>DC17+預測IC!DD17</f>
        <v>3.0437797508281994</v>
      </c>
      <c r="DE17" s="7">
        <f>DD17+預測IC!DE17</f>
        <v>2.9921134877611313</v>
      </c>
      <c r="DF17" s="7">
        <f>DE17+預測IC!DF17</f>
        <v>2.9808821174344722</v>
      </c>
      <c r="DG17" s="7">
        <f>DF17+預測IC!DG17</f>
        <v>2.9790428355055636</v>
      </c>
      <c r="DH17" s="7">
        <f>DG17+預測IC!DH17</f>
        <v>3.1424746367175524</v>
      </c>
      <c r="DI17" s="7">
        <f>DH17+預測IC!DI17</f>
        <v>3.2126570267882806</v>
      </c>
      <c r="DJ17" s="7">
        <f>DI17+預測IC!DJ17</f>
        <v>3.1673208692474608</v>
      </c>
      <c r="DK17" s="7">
        <f>DJ17+預測IC!DK17</f>
        <v>3.0645396004991543</v>
      </c>
      <c r="DL17" s="7">
        <f>DK17+預測IC!DL17</f>
        <v>3.058749254753661</v>
      </c>
      <c r="DM17" s="7">
        <f>DL17+預測IC!DM17</f>
        <v>3.101312863465413</v>
      </c>
      <c r="DN17" s="7">
        <f>DM17+預測IC!DN17</f>
        <v>3.0406836806728648</v>
      </c>
      <c r="DO17" s="7">
        <f>DN17+預測IC!DO17</f>
        <v>3.2204466067715938</v>
      </c>
      <c r="DP17" s="7">
        <f>DO17+預測IC!DP17</f>
        <v>3.1953491767635391</v>
      </c>
      <c r="DQ17" s="7">
        <f>DP17+預測IC!DQ17</f>
        <v>3.130104828629777</v>
      </c>
      <c r="DR17" s="7">
        <f>DQ17+預測IC!DR17</f>
        <v>3.1043783891635037</v>
      </c>
      <c r="DS17" s="7">
        <f>DR17+預測IC!DS17</f>
        <v>2.9800622293586927</v>
      </c>
      <c r="DT17" s="7">
        <f>DS17+預測IC!DT17</f>
        <v>2.9968054192778855</v>
      </c>
      <c r="DU17" s="7">
        <f>DT17+預測IC!DU17</f>
        <v>2.8673124629578957</v>
      </c>
      <c r="DV17" s="7">
        <f>DU17+預測IC!DV17</f>
        <v>2.9295822544559433</v>
      </c>
      <c r="DW17" s="7">
        <f>DV17+預測IC!DW17</f>
        <v>2.852983341419947</v>
      </c>
      <c r="DX17" s="7">
        <f>DW17+預測IC!DX17</f>
        <v>2.7234443588234729</v>
      </c>
      <c r="DY17" s="7">
        <f>DX17+預測IC!DY17</f>
        <v>2.8355828136295469</v>
      </c>
      <c r="DZ17" s="7">
        <f>DY17+預測IC!DZ17</f>
        <v>2.884795442799355</v>
      </c>
      <c r="EA17" s="7">
        <f>DZ17+預測IC!EA17</f>
        <v>2.8966133666650675</v>
      </c>
      <c r="EB17" s="7">
        <f>EA17+預測IC!EB17</f>
        <v>2.8228323969474145</v>
      </c>
      <c r="EC17" s="7">
        <f>EB17+預測IC!EC17</f>
        <v>2.8392576141634751</v>
      </c>
      <c r="ED17" s="7">
        <f>EC17+預測IC!ED17</f>
        <v>2.7564019917599905</v>
      </c>
      <c r="EE17" s="7">
        <f>ED17+預測IC!EE17</f>
        <v>2.75659551290607</v>
      </c>
      <c r="EF17" s="7">
        <f>EE17+預測IC!EF17</f>
        <v>2.8043052799159218</v>
      </c>
    </row>
    <row r="18" spans="1:136" x14ac:dyDescent="0.3">
      <c r="B18" s="1" t="s">
        <v>158</v>
      </c>
      <c r="C18" s="7">
        <v>0.18975112249235829</v>
      </c>
      <c r="D18" s="7">
        <f>C18+預測IC!D18</f>
        <v>0.59163480391442624</v>
      </c>
      <c r="E18" s="7">
        <f>D18+預測IC!E18</f>
        <v>0.53263414681621846</v>
      </c>
      <c r="F18" s="7">
        <f>E18+預測IC!F18</f>
        <v>0.74472479797426094</v>
      </c>
      <c r="G18" s="7">
        <f>F18+預測IC!G18</f>
        <v>0.87778285529387179</v>
      </c>
      <c r="H18" s="7">
        <f>G18+預測IC!H18</f>
        <v>1.0063224170684431</v>
      </c>
      <c r="I18" s="7">
        <f>H18+預測IC!I18</f>
        <v>1.1418225972916842</v>
      </c>
      <c r="J18" s="7">
        <f>I18+預測IC!J18</f>
        <v>1.0166608042031424</v>
      </c>
      <c r="K18" s="7">
        <f>J18+預測IC!K18</f>
        <v>1.0482472545140562</v>
      </c>
      <c r="L18" s="7">
        <f>K18+預測IC!L18</f>
        <v>1.0949199748547294</v>
      </c>
      <c r="M18" s="7">
        <f>L18+預測IC!M18</f>
        <v>0.84140678084206888</v>
      </c>
      <c r="N18" s="7">
        <f>M18+預測IC!N18</f>
        <v>1.303226798912682</v>
      </c>
      <c r="O18" s="7">
        <f>N18+預測IC!O18</f>
        <v>1.4068972885423012</v>
      </c>
      <c r="P18" s="7">
        <f>O18+預測IC!P18</f>
        <v>1.4614669016532853</v>
      </c>
      <c r="Q18" s="7">
        <f>P18+預測IC!Q18</f>
        <v>1.5832032733179204</v>
      </c>
      <c r="R18" s="7">
        <f>Q18+預測IC!R18</f>
        <v>1.6025294722447767</v>
      </c>
      <c r="S18" s="7">
        <f>R18+預測IC!S18</f>
        <v>1.5335161318510679</v>
      </c>
      <c r="T18" s="7">
        <f>S18+預測IC!T18</f>
        <v>1.5284879916778031</v>
      </c>
      <c r="U18" s="7">
        <f>T18+預測IC!U18</f>
        <v>1.5566235193103939</v>
      </c>
      <c r="V18" s="7">
        <f>U18+預測IC!V18</f>
        <v>1.4253695923709528</v>
      </c>
      <c r="W18" s="7">
        <f>V18+預測IC!W18</f>
        <v>1.5026658724306914</v>
      </c>
      <c r="X18" s="7">
        <f>W18+預測IC!X18</f>
        <v>1.6297886810561817</v>
      </c>
      <c r="Y18" s="7">
        <f>X18+預測IC!Y18</f>
        <v>1.6540024887767626</v>
      </c>
      <c r="Z18" s="7">
        <f>Y18+預測IC!Z18</f>
        <v>1.6370967725893788</v>
      </c>
      <c r="AA18" s="7">
        <f>Z18+預測IC!AA18</f>
        <v>1.5953915274066548</v>
      </c>
      <c r="AB18" s="7">
        <f>AA18+預測IC!AB18</f>
        <v>1.5336776767329314</v>
      </c>
      <c r="AC18" s="7">
        <f>AB18+預測IC!AC18</f>
        <v>1.4589578533536647</v>
      </c>
      <c r="AD18" s="7">
        <f>AC18+預測IC!AD18</f>
        <v>1.5552436985390841</v>
      </c>
      <c r="AE18" s="7">
        <f>AD18+預測IC!AE18</f>
        <v>1.6324452901579638</v>
      </c>
      <c r="AF18" s="7">
        <f>AE18+預測IC!AF18</f>
        <v>1.6306937982094427</v>
      </c>
      <c r="AG18" s="7">
        <f>AF18+預測IC!AG18</f>
        <v>1.5982006821115666</v>
      </c>
      <c r="AH18" s="7">
        <f>AG18+預測IC!AH18</f>
        <v>1.5580032211430519</v>
      </c>
      <c r="AI18" s="7">
        <f>AH18+預測IC!AI18</f>
        <v>1.6048587624968078</v>
      </c>
      <c r="AJ18" s="7">
        <f>AI18+預測IC!AJ18</f>
        <v>1.5574650063303588</v>
      </c>
      <c r="AK18" s="7">
        <f>AJ18+預測IC!AK18</f>
        <v>1.5876174869279849</v>
      </c>
      <c r="AL18" s="7">
        <f>AK18+預測IC!AL18</f>
        <v>1.6351452505602426</v>
      </c>
      <c r="AM18" s="7">
        <f>AL18+預測IC!AM18</f>
        <v>1.7017886559850139</v>
      </c>
      <c r="AN18" s="7">
        <f>AM18+預測IC!AN18</f>
        <v>1.7810832959402156</v>
      </c>
      <c r="AO18" s="7">
        <f>AN18+預測IC!AO18</f>
        <v>1.7865108309079085</v>
      </c>
      <c r="AP18" s="7">
        <f>AO18+預測IC!AP18</f>
        <v>1.7082322389741016</v>
      </c>
      <c r="AQ18" s="7">
        <f>AP18+預測IC!AQ18</f>
        <v>1.6320013936476516</v>
      </c>
      <c r="AR18" s="7">
        <f>AQ18+預測IC!AR18</f>
        <v>1.6936959172484332</v>
      </c>
      <c r="AS18" s="7">
        <f>AR18+預測IC!AS18</f>
        <v>1.7795224688024023</v>
      </c>
      <c r="AT18" s="7">
        <f>AS18+預測IC!AT18</f>
        <v>1.8091767943693662</v>
      </c>
      <c r="AU18" s="7">
        <f>AT18+預測IC!AU18</f>
        <v>1.8737524384489577</v>
      </c>
      <c r="AV18" s="7">
        <f>AU18+預測IC!AV18</f>
        <v>1.908810126024834</v>
      </c>
      <c r="AW18" s="7">
        <f>AV18+預測IC!AW18</f>
        <v>1.9333481602659415</v>
      </c>
      <c r="AX18" s="7">
        <f>AW18+預測IC!AX18</f>
        <v>2.0409090285217775</v>
      </c>
      <c r="AY18" s="7">
        <f>AX18+預測IC!AY18</f>
        <v>1.9981314206139185</v>
      </c>
      <c r="AZ18" s="7">
        <f>AY18+預測IC!AZ18</f>
        <v>2.06447269635134</v>
      </c>
      <c r="BA18" s="7">
        <f>AZ18+預測IC!BA18</f>
        <v>2.2449524610208864</v>
      </c>
      <c r="BB18" s="7">
        <f>BA18+預測IC!BB18</f>
        <v>2.4122104795016792</v>
      </c>
      <c r="BC18" s="7">
        <f>BB18+預測IC!BC18</f>
        <v>2.3597572126842548</v>
      </c>
      <c r="BD18" s="7">
        <f>BC18+預測IC!BD18</f>
        <v>2.3800323523412819</v>
      </c>
      <c r="BE18" s="7">
        <f>BD18+預測IC!BE18</f>
        <v>2.3578018110823979</v>
      </c>
      <c r="BF18" s="7">
        <f>BE18+預測IC!BF18</f>
        <v>2.3196586599942335</v>
      </c>
      <c r="BG18" s="7">
        <f>BF18+預測IC!BG18</f>
        <v>2.3173504231047279</v>
      </c>
      <c r="BH18" s="7">
        <f>BG18+預測IC!BH18</f>
        <v>2.2968465700409224</v>
      </c>
      <c r="BI18" s="7">
        <f>BH18+預測IC!BI18</f>
        <v>2.3303341496447145</v>
      </c>
      <c r="BJ18" s="7">
        <f>BI18+預測IC!BJ18</f>
        <v>2.4298656689178619</v>
      </c>
      <c r="BK18" s="7">
        <f>BJ18+預測IC!BK18</f>
        <v>2.5033212957418676</v>
      </c>
      <c r="BL18" s="7">
        <f>BK18+預測IC!BL18</f>
        <v>2.5296740752247362</v>
      </c>
      <c r="BM18" s="7">
        <f>BL18+預測IC!BM18</f>
        <v>2.459891742495254</v>
      </c>
      <c r="BN18" s="7">
        <f>BM18+預測IC!BN18</f>
        <v>2.5381004419776292</v>
      </c>
      <c r="BO18" s="7">
        <f>BN18+預測IC!BO18</f>
        <v>2.5465071732460034</v>
      </c>
      <c r="BP18" s="7">
        <f>BO18+預測IC!BP18</f>
        <v>2.6089706052824551</v>
      </c>
      <c r="BQ18" s="7">
        <f>BP18+預測IC!BQ18</f>
        <v>2.6108873893923041</v>
      </c>
      <c r="BR18" s="7">
        <f>BQ18+預測IC!BR18</f>
        <v>2.6051391958083494</v>
      </c>
      <c r="BS18" s="7">
        <f>BR18+預測IC!BS18</f>
        <v>2.6011555707112302</v>
      </c>
      <c r="BT18" s="7">
        <f>BS18+預測IC!BT18</f>
        <v>2.5878564199335523</v>
      </c>
      <c r="BU18" s="7">
        <f>BT18+預測IC!BU18</f>
        <v>2.4763948744044497</v>
      </c>
      <c r="BV18" s="7">
        <f>BU18+預測IC!BV18</f>
        <v>2.5919003931170939</v>
      </c>
      <c r="BW18" s="7">
        <f>BV18+預測IC!BW18</f>
        <v>2.8529403234156487</v>
      </c>
      <c r="BX18" s="7">
        <f>BW18+預測IC!BX18</f>
        <v>2.8371283994698562</v>
      </c>
      <c r="BY18" s="7">
        <f>BX18+預測IC!BY18</f>
        <v>2.7744416550197712</v>
      </c>
      <c r="BZ18" s="7">
        <f>BY18+預測IC!BZ18</f>
        <v>2.9277616428223694</v>
      </c>
      <c r="CA18" s="7">
        <f>BZ18+預測IC!CA18</f>
        <v>2.9610478077228986</v>
      </c>
      <c r="CB18" s="7">
        <f>CA18+預測IC!CB18</f>
        <v>3.0678938681929719</v>
      </c>
      <c r="CC18" s="7">
        <f>CB18+預測IC!CC18</f>
        <v>3.1725544920346169</v>
      </c>
      <c r="CD18" s="7">
        <f>CC18+預測IC!CD18</f>
        <v>3.3662713106814475</v>
      </c>
      <c r="CE18" s="7">
        <f>CD18+預測IC!CE18</f>
        <v>3.4435317055596704</v>
      </c>
      <c r="CF18" s="7">
        <f>CE18+預測IC!CF18</f>
        <v>3.3416730900266765</v>
      </c>
      <c r="CG18" s="7">
        <f>CF18+預測IC!CG18</f>
        <v>3.5683144959282962</v>
      </c>
      <c r="CH18" s="7">
        <f>CG18+預測IC!CH18</f>
        <v>3.7309715426155292</v>
      </c>
      <c r="CI18" s="7">
        <f>CH18+預測IC!CI18</f>
        <v>3.6132461326832455</v>
      </c>
      <c r="CJ18" s="7">
        <f>CI18+預測IC!CJ18</f>
        <v>3.6419311393577494</v>
      </c>
      <c r="CK18" s="7">
        <f>CJ18+預測IC!CK18</f>
        <v>3.7151511734670759</v>
      </c>
      <c r="CL18" s="7">
        <f>CK18+預測IC!CL18</f>
        <v>4.0322597863855378</v>
      </c>
      <c r="CM18" s="7">
        <f>CL18+預測IC!CM18</f>
        <v>3.929490174757587</v>
      </c>
      <c r="CN18" s="7">
        <f>CM18+預測IC!CN18</f>
        <v>3.9008725849931127</v>
      </c>
      <c r="CO18" s="7">
        <f>CN18+預測IC!CO18</f>
        <v>4.1291546708685738</v>
      </c>
      <c r="CP18" s="7">
        <f>CO18+預測IC!CP18</f>
        <v>4.1136569988982661</v>
      </c>
      <c r="CQ18" s="7">
        <f>CP18+預測IC!CQ18</f>
        <v>4.3233982063209249</v>
      </c>
      <c r="CR18" s="7">
        <f>CQ18+預測IC!CR18</f>
        <v>4.3571415085921172</v>
      </c>
      <c r="CS18" s="7">
        <f>CR18+預測IC!CS18</f>
        <v>4.3852700690062063</v>
      </c>
      <c r="CT18" s="7">
        <f>CS18+預測IC!CT18</f>
        <v>4.4621402957784291</v>
      </c>
      <c r="CU18" s="7">
        <f>CT18+預測IC!CU18</f>
        <v>4.3904916045733193</v>
      </c>
      <c r="CV18" s="7">
        <f>CU18+預測IC!CV18</f>
        <v>4.4815318868036078</v>
      </c>
      <c r="CW18" s="7">
        <f>CV18+預測IC!CW18</f>
        <v>4.4532036302187983</v>
      </c>
      <c r="CX18" s="7">
        <f>CW18+預測IC!CX18</f>
        <v>4.4391248826385157</v>
      </c>
      <c r="CY18" s="7">
        <f>CX18+預測IC!CY18</f>
        <v>4.5105573415508902</v>
      </c>
      <c r="CZ18" s="7">
        <f>CY18+預測IC!CZ18</f>
        <v>4.6434002048526617</v>
      </c>
      <c r="DA18" s="7">
        <f>CZ18+預測IC!DA18</f>
        <v>4.5960192653339682</v>
      </c>
      <c r="DB18" s="7">
        <f>DA18+預測IC!DB18</f>
        <v>4.550284056655209</v>
      </c>
      <c r="DC18" s="7">
        <f>DB18+預測IC!DC18</f>
        <v>4.5994929240793212</v>
      </c>
      <c r="DD18" s="7">
        <f>DC18+預測IC!DD18</f>
        <v>4.5284216241717576</v>
      </c>
      <c r="DE18" s="7">
        <f>DD18+預測IC!DE18</f>
        <v>4.4891145491252571</v>
      </c>
      <c r="DF18" s="7">
        <f>DE18+預測IC!DF18</f>
        <v>4.4540717703428871</v>
      </c>
      <c r="DG18" s="7">
        <f>DF18+預測IC!DG18</f>
        <v>4.4464522971852594</v>
      </c>
      <c r="DH18" s="7">
        <f>DG18+預測IC!DH18</f>
        <v>4.6388536791444004</v>
      </c>
      <c r="DI18" s="7">
        <f>DH18+預測IC!DI18</f>
        <v>4.7368168066233558</v>
      </c>
      <c r="DJ18" s="7">
        <f>DI18+預測IC!DJ18</f>
        <v>4.6916127668380661</v>
      </c>
      <c r="DK18" s="7">
        <f>DJ18+預測IC!DK18</f>
        <v>4.5850855048356323</v>
      </c>
      <c r="DL18" s="7">
        <f>DK18+預測IC!DL18</f>
        <v>4.5616749766998117</v>
      </c>
      <c r="DM18" s="7">
        <f>DL18+預測IC!DM18</f>
        <v>4.6201321409899876</v>
      </c>
      <c r="DN18" s="7">
        <f>DM18+預測IC!DN18</f>
        <v>4.5632568806481535</v>
      </c>
      <c r="DO18" s="7">
        <f>DN18+預測IC!DO18</f>
        <v>4.7835770924394518</v>
      </c>
      <c r="DP18" s="7">
        <f>DO18+預測IC!DP18</f>
        <v>4.7620667576799578</v>
      </c>
      <c r="DQ18" s="7">
        <f>DP18+預測IC!DQ18</f>
        <v>4.7001112287125908</v>
      </c>
      <c r="DR18" s="7">
        <f>DQ18+預測IC!DR18</f>
        <v>4.689659979893074</v>
      </c>
      <c r="DS18" s="7">
        <f>DR18+預測IC!DS18</f>
        <v>4.5419379814413414</v>
      </c>
      <c r="DT18" s="7">
        <f>DS18+預測IC!DT18</f>
        <v>4.5345305914818468</v>
      </c>
      <c r="DU18" s="7">
        <f>DT18+預測IC!DU18</f>
        <v>4.3758157687651691</v>
      </c>
      <c r="DV18" s="7">
        <f>DU18+預測IC!DV18</f>
        <v>4.4612190530805718</v>
      </c>
      <c r="DW18" s="7">
        <f>DV18+預測IC!DW18</f>
        <v>4.3925821031284542</v>
      </c>
      <c r="DX18" s="7">
        <f>DW18+預測IC!DX18</f>
        <v>4.2389791256659723</v>
      </c>
      <c r="DY18" s="7">
        <f>DX18+預測IC!DY18</f>
        <v>4.3364071626419216</v>
      </c>
      <c r="DZ18" s="7">
        <f>DY18+預測IC!DZ18</f>
        <v>4.3910375367985033</v>
      </c>
      <c r="EA18" s="7">
        <f>DZ18+預測IC!EA18</f>
        <v>4.3846759740545211</v>
      </c>
      <c r="EB18" s="7">
        <f>EA18+預測IC!EB18</f>
        <v>4.2876332845122418</v>
      </c>
      <c r="EC18" s="7">
        <f>EB18+預測IC!EC18</f>
        <v>4.2903973999376133</v>
      </c>
      <c r="ED18" s="7">
        <f>EC18+預測IC!ED18</f>
        <v>4.2101282038100898</v>
      </c>
      <c r="EE18" s="7">
        <f>ED18+預測IC!EE18</f>
        <v>4.209016916137732</v>
      </c>
      <c r="EF18" s="7">
        <f>EE18+預測IC!EF18</f>
        <v>4.2579719332481485</v>
      </c>
    </row>
    <row r="19" spans="1:136" x14ac:dyDescent="0.3">
      <c r="B19" s="1" t="s">
        <v>159</v>
      </c>
      <c r="C19" s="7">
        <v>0.19660026531165431</v>
      </c>
      <c r="D19" s="7">
        <f>C19+預測IC!D19</f>
        <v>0.60412097540112364</v>
      </c>
      <c r="E19" s="7">
        <f>D19+預測IC!E19</f>
        <v>0.54922288163371147</v>
      </c>
      <c r="F19" s="7">
        <f>E19+預測IC!F19</f>
        <v>0.78539334700944574</v>
      </c>
      <c r="G19" s="7">
        <f>F19+預測IC!G19</f>
        <v>0.93825768889641825</v>
      </c>
      <c r="H19" s="7">
        <f>G19+預測IC!H19</f>
        <v>1.1158680077190701</v>
      </c>
      <c r="I19" s="7">
        <f>H19+預測IC!I19</f>
        <v>1.2505223406105366</v>
      </c>
      <c r="J19" s="7">
        <f>I19+預測IC!J19</f>
        <v>1.0942919875243327</v>
      </c>
      <c r="K19" s="7">
        <f>J19+預測IC!K19</f>
        <v>1.1508329570858979</v>
      </c>
      <c r="L19" s="7">
        <f>K19+預測IC!L19</f>
        <v>1.1811957901419272</v>
      </c>
      <c r="M19" s="7">
        <f>L19+預測IC!M19</f>
        <v>0.91965394782694043</v>
      </c>
      <c r="N19" s="7">
        <f>M19+預測IC!N19</f>
        <v>1.4520279855151816</v>
      </c>
      <c r="O19" s="7">
        <f>N19+預測IC!O19</f>
        <v>1.5442493685346388</v>
      </c>
      <c r="P19" s="7">
        <f>O19+預測IC!P19</f>
        <v>1.5670345816467321</v>
      </c>
      <c r="Q19" s="7">
        <f>P19+預測IC!Q19</f>
        <v>1.7374968737267502</v>
      </c>
      <c r="R19" s="7">
        <f>Q19+預測IC!R19</f>
        <v>1.7794395031759662</v>
      </c>
      <c r="S19" s="7">
        <f>R19+預測IC!S19</f>
        <v>1.7007432418628055</v>
      </c>
      <c r="T19" s="7">
        <f>S19+預測IC!T19</f>
        <v>1.5912173803268836</v>
      </c>
      <c r="U19" s="7">
        <f>T19+預測IC!U19</f>
        <v>1.6354042383252085</v>
      </c>
      <c r="V19" s="7">
        <f>U19+預測IC!V19</f>
        <v>1.5167197798062875</v>
      </c>
      <c r="W19" s="7">
        <f>V19+預測IC!W19</f>
        <v>1.5891353491257865</v>
      </c>
      <c r="X19" s="7">
        <f>W19+預測IC!X19</f>
        <v>1.7120584953715035</v>
      </c>
      <c r="Y19" s="7">
        <f>X19+預測IC!Y19</f>
        <v>1.7361228007165612</v>
      </c>
      <c r="Z19" s="7">
        <f>Y19+預測IC!Z19</f>
        <v>1.7138995614176589</v>
      </c>
      <c r="AA19" s="7">
        <f>Z19+預測IC!AA19</f>
        <v>1.6723293768795031</v>
      </c>
      <c r="AB19" s="7">
        <f>AA19+預測IC!AB19</f>
        <v>1.6115670254129493</v>
      </c>
      <c r="AC19" s="7">
        <f>AB19+預測IC!AC19</f>
        <v>1.5280541585200706</v>
      </c>
      <c r="AD19" s="7">
        <f>AC19+預測IC!AD19</f>
        <v>1.6240475363181388</v>
      </c>
      <c r="AE19" s="7">
        <f>AD19+預測IC!AE19</f>
        <v>1.7392794062812056</v>
      </c>
      <c r="AF19" s="7">
        <f>AE19+預測IC!AF19</f>
        <v>1.7395419749995624</v>
      </c>
      <c r="AG19" s="7">
        <f>AF19+預測IC!AG19</f>
        <v>1.7174057559270146</v>
      </c>
      <c r="AH19" s="7">
        <f>AG19+預測IC!AH19</f>
        <v>1.660848040705311</v>
      </c>
      <c r="AI19" s="7">
        <f>AH19+預測IC!AI19</f>
        <v>1.7426181654948074</v>
      </c>
      <c r="AJ19" s="7">
        <f>AI19+預測IC!AJ19</f>
        <v>1.6910728751675452</v>
      </c>
      <c r="AK19" s="7">
        <f>AJ19+預測IC!AK19</f>
        <v>1.698624917673498</v>
      </c>
      <c r="AL19" s="7">
        <f>AK19+預測IC!AL19</f>
        <v>1.7688958633443035</v>
      </c>
      <c r="AM19" s="7">
        <f>AL19+預測IC!AM19</f>
        <v>1.8120018751557083</v>
      </c>
      <c r="AN19" s="7">
        <f>AM19+預測IC!AN19</f>
        <v>1.8955701695213905</v>
      </c>
      <c r="AO19" s="7">
        <f>AN19+預測IC!AO19</f>
        <v>1.9214630725668049</v>
      </c>
      <c r="AP19" s="7">
        <f>AO19+預測IC!AP19</f>
        <v>1.8338889522939528</v>
      </c>
      <c r="AQ19" s="7">
        <f>AP19+預測IC!AQ19</f>
        <v>1.7456361952333022</v>
      </c>
      <c r="AR19" s="7">
        <f>AQ19+預測IC!AR19</f>
        <v>1.820253092867961</v>
      </c>
      <c r="AS19" s="7">
        <f>AR19+預測IC!AS19</f>
        <v>1.9180500481362754</v>
      </c>
      <c r="AT19" s="7">
        <f>AS19+預測IC!AT19</f>
        <v>1.9292346410919994</v>
      </c>
      <c r="AU19" s="7">
        <f>AT19+預測IC!AU19</f>
        <v>2.0056633568056537</v>
      </c>
      <c r="AV19" s="7">
        <f>AU19+預測IC!AV19</f>
        <v>2.048340652529991</v>
      </c>
      <c r="AW19" s="7">
        <f>AV19+預測IC!AW19</f>
        <v>2.0706968206841276</v>
      </c>
      <c r="AX19" s="7">
        <f>AW19+預測IC!AX19</f>
        <v>2.1509032349945407</v>
      </c>
      <c r="AY19" s="7">
        <f>AX19+預測IC!AY19</f>
        <v>2.0900499996331701</v>
      </c>
      <c r="AZ19" s="7">
        <f>AY19+預測IC!AZ19</f>
        <v>2.1740824719068095</v>
      </c>
      <c r="BA19" s="7">
        <f>AZ19+預測IC!BA19</f>
        <v>2.3610792494615902</v>
      </c>
      <c r="BB19" s="7">
        <f>BA19+預測IC!BB19</f>
        <v>2.5628811601247978</v>
      </c>
      <c r="BC19" s="7">
        <f>BB19+預測IC!BC19</f>
        <v>2.5018094293917312</v>
      </c>
      <c r="BD19" s="7">
        <f>BC19+預測IC!BD19</f>
        <v>2.5017357224238439</v>
      </c>
      <c r="BE19" s="7">
        <f>BD19+預測IC!BE19</f>
        <v>2.4713450513555406</v>
      </c>
      <c r="BF19" s="7">
        <f>BE19+預測IC!BF19</f>
        <v>2.4219085341366982</v>
      </c>
      <c r="BG19" s="7">
        <f>BF19+預測IC!BG19</f>
        <v>2.4228717542450395</v>
      </c>
      <c r="BH19" s="7">
        <f>BG19+預測IC!BH19</f>
        <v>2.4208535525436083</v>
      </c>
      <c r="BI19" s="7">
        <f>BH19+預測IC!BI19</f>
        <v>2.4467903475500612</v>
      </c>
      <c r="BJ19" s="7">
        <f>BI19+預測IC!BJ19</f>
        <v>2.498609655978731</v>
      </c>
      <c r="BK19" s="7">
        <f>BJ19+預測IC!BK19</f>
        <v>2.5956480789241168</v>
      </c>
      <c r="BL19" s="7">
        <f>BK19+預測IC!BL19</f>
        <v>2.6216445437147389</v>
      </c>
      <c r="BM19" s="7">
        <f>BL19+預測IC!BM19</f>
        <v>2.5334877470029573</v>
      </c>
      <c r="BN19" s="7">
        <f>BM19+預測IC!BN19</f>
        <v>2.6149010072031253</v>
      </c>
      <c r="BO19" s="7">
        <f>BN19+預測IC!BO19</f>
        <v>2.5963386927627714</v>
      </c>
      <c r="BP19" s="7">
        <f>BO19+預測IC!BP19</f>
        <v>2.6087490340403723</v>
      </c>
      <c r="BQ19" s="7">
        <f>BP19+預測IC!BQ19</f>
        <v>2.6186830784946955</v>
      </c>
      <c r="BR19" s="7">
        <f>BQ19+預測IC!BR19</f>
        <v>2.6253583245182157</v>
      </c>
      <c r="BS19" s="7">
        <f>BR19+預測IC!BS19</f>
        <v>2.6011019857737336</v>
      </c>
      <c r="BT19" s="7">
        <f>BS19+預測IC!BT19</f>
        <v>2.6142956549768712</v>
      </c>
      <c r="BU19" s="7">
        <f>BT19+預測IC!BU19</f>
        <v>2.4836250200854835</v>
      </c>
      <c r="BV19" s="7">
        <f>BU19+預測IC!BV19</f>
        <v>2.5837102856670988</v>
      </c>
      <c r="BW19" s="7">
        <f>BV19+預測IC!BW19</f>
        <v>2.8796865815001302</v>
      </c>
      <c r="BX19" s="7">
        <f>BW19+預測IC!BX19</f>
        <v>2.8432876919413368</v>
      </c>
      <c r="BY19" s="7">
        <f>BX19+預測IC!BY19</f>
        <v>2.8156121995296761</v>
      </c>
      <c r="BZ19" s="7">
        <f>BY19+預測IC!BZ19</f>
        <v>2.8843143243517302</v>
      </c>
      <c r="CA19" s="7">
        <f>BZ19+預測IC!CA19</f>
        <v>2.919924119641129</v>
      </c>
      <c r="CB19" s="7">
        <f>CA19+預測IC!CB19</f>
        <v>3.0477623287420261</v>
      </c>
      <c r="CC19" s="7">
        <f>CB19+預測IC!CC19</f>
        <v>3.0702685616405434</v>
      </c>
      <c r="CD19" s="7">
        <f>CC19+預測IC!CD19</f>
        <v>3.2858877597342615</v>
      </c>
      <c r="CE19" s="7">
        <f>CD19+預測IC!CE19</f>
        <v>3.3743626186719293</v>
      </c>
      <c r="CF19" s="7">
        <f>CE19+預測IC!CF19</f>
        <v>3.2626641312069125</v>
      </c>
      <c r="CG19" s="7">
        <f>CF19+預測IC!CG19</f>
        <v>3.526557264772451</v>
      </c>
      <c r="CH19" s="7">
        <f>CG19+預測IC!CH19</f>
        <v>3.6794471318223771</v>
      </c>
      <c r="CI19" s="7">
        <f>CH19+預測IC!CI19</f>
        <v>3.5142447195514648</v>
      </c>
      <c r="CJ19" s="7">
        <f>CI19+預測IC!CJ19</f>
        <v>3.5132065324326649</v>
      </c>
      <c r="CK19" s="7">
        <f>CJ19+預測IC!CK19</f>
        <v>3.5877925211048072</v>
      </c>
      <c r="CL19" s="7">
        <f>CK19+預測IC!CL19</f>
        <v>3.8989442247090373</v>
      </c>
      <c r="CM19" s="7">
        <f>CL19+預測IC!CM19</f>
        <v>3.7887083459716697</v>
      </c>
      <c r="CN19" s="7">
        <f>CM19+預測IC!CN19</f>
        <v>3.7727646554253327</v>
      </c>
      <c r="CO19" s="7">
        <f>CN19+預測IC!CO19</f>
        <v>4.0240002866456477</v>
      </c>
      <c r="CP19" s="7">
        <f>CO19+預測IC!CP19</f>
        <v>3.9949637649956213</v>
      </c>
      <c r="CQ19" s="7">
        <f>CP19+預測IC!CQ19</f>
        <v>4.2169773363375622</v>
      </c>
      <c r="CR19" s="7">
        <f>CQ19+預測IC!CR19</f>
        <v>4.241276538801289</v>
      </c>
      <c r="CS19" s="7">
        <f>CR19+預測IC!CS19</f>
        <v>4.2850515257795934</v>
      </c>
      <c r="CT19" s="7">
        <f>CS19+預測IC!CT19</f>
        <v>4.3114727270678523</v>
      </c>
      <c r="CU19" s="7">
        <f>CT19+預測IC!CU19</f>
        <v>4.2280363299539596</v>
      </c>
      <c r="CV19" s="7">
        <f>CU19+預測IC!CV19</f>
        <v>4.3300161914703637</v>
      </c>
      <c r="CW19" s="7">
        <f>CV19+預測IC!CW19</f>
        <v>4.297824058082548</v>
      </c>
      <c r="CX19" s="7">
        <f>CW19+預測IC!CX19</f>
        <v>4.2989516526999418</v>
      </c>
      <c r="CY19" s="7">
        <f>CX19+預測IC!CY19</f>
        <v>4.3721029900079049</v>
      </c>
      <c r="CZ19" s="7">
        <f>CY19+預測IC!CZ19</f>
        <v>4.4849548186493688</v>
      </c>
      <c r="DA19" s="7">
        <f>CZ19+預測IC!DA19</f>
        <v>4.4267309419461318</v>
      </c>
      <c r="DB19" s="7">
        <f>DA19+預測IC!DB19</f>
        <v>4.3910100429209162</v>
      </c>
      <c r="DC19" s="7">
        <f>DB19+預測IC!DC19</f>
        <v>4.42128650009907</v>
      </c>
      <c r="DD19" s="7">
        <f>DC19+預測IC!DD19</f>
        <v>4.3577390359465671</v>
      </c>
      <c r="DE19" s="7">
        <f>DD19+預測IC!DE19</f>
        <v>4.3517333256969968</v>
      </c>
      <c r="DF19" s="7">
        <f>DE19+預測IC!DF19</f>
        <v>4.282040278803974</v>
      </c>
      <c r="DG19" s="7">
        <f>DF19+預測IC!DG19</f>
        <v>4.2692938038933246</v>
      </c>
      <c r="DH19" s="7">
        <f>DG19+預測IC!DH19</f>
        <v>4.4938835846128127</v>
      </c>
      <c r="DI19" s="7">
        <f>DH19+預測IC!DI19</f>
        <v>4.6023450234475725</v>
      </c>
      <c r="DJ19" s="7">
        <f>DI19+預測IC!DJ19</f>
        <v>4.5538306727245956</v>
      </c>
      <c r="DK19" s="7">
        <f>DJ19+預測IC!DK19</f>
        <v>4.4323883632141445</v>
      </c>
      <c r="DL19" s="7">
        <f>DK19+預測IC!DL19</f>
        <v>4.4090748181795574</v>
      </c>
      <c r="DM19" s="7">
        <f>DL19+預測IC!DM19</f>
        <v>4.4663752494178874</v>
      </c>
      <c r="DN19" s="7">
        <f>DM19+預測IC!DN19</f>
        <v>4.4020808550829695</v>
      </c>
      <c r="DO19" s="7">
        <f>DN19+預測IC!DO19</f>
        <v>4.6513428067927141</v>
      </c>
      <c r="DP19" s="7">
        <f>DO19+預測IC!DP19</f>
        <v>4.647340345861422</v>
      </c>
      <c r="DQ19" s="7">
        <f>DP19+預測IC!DQ19</f>
        <v>4.5967171744116895</v>
      </c>
      <c r="DR19" s="7">
        <f>DQ19+預測IC!DR19</f>
        <v>4.5791723751358813</v>
      </c>
      <c r="DS19" s="7">
        <f>DR19+預測IC!DS19</f>
        <v>4.401176828181911</v>
      </c>
      <c r="DT19" s="7">
        <f>DS19+預測IC!DT19</f>
        <v>4.3981007009896818</v>
      </c>
      <c r="DU19" s="7">
        <f>DT19+預測IC!DU19</f>
        <v>4.2475187790333688</v>
      </c>
      <c r="DV19" s="7">
        <f>DU19+預測IC!DV19</f>
        <v>4.285642910114313</v>
      </c>
      <c r="DW19" s="7">
        <f>DV19+預測IC!DW19</f>
        <v>4.1843469411656482</v>
      </c>
      <c r="DX19" s="7">
        <f>DW19+預測IC!DX19</f>
        <v>4.0459818069274709</v>
      </c>
      <c r="DY19" s="7">
        <f>DX19+預測IC!DY19</f>
        <v>4.1160913846153937</v>
      </c>
      <c r="DZ19" s="7">
        <f>DY19+預測IC!DZ19</f>
        <v>4.1946293322379269</v>
      </c>
      <c r="EA19" s="7">
        <f>DZ19+預測IC!EA19</f>
        <v>4.1665499787622595</v>
      </c>
      <c r="EB19" s="7">
        <f>EA19+預測IC!EB19</f>
        <v>4.0603041207368147</v>
      </c>
      <c r="EC19" s="7">
        <f>EB19+預測IC!EC19</f>
        <v>4.0481140775131124</v>
      </c>
      <c r="ED19" s="7">
        <f>EC19+預測IC!ED19</f>
        <v>3.9619545267149379</v>
      </c>
      <c r="EE19" s="7">
        <f>ED19+預測IC!EE19</f>
        <v>3.9692610533920654</v>
      </c>
      <c r="EF19" s="7">
        <f>EE19+預測IC!EF19</f>
        <v>3.9862390082668346</v>
      </c>
    </row>
    <row r="20" spans="1:136" x14ac:dyDescent="0.3">
      <c r="B20" s="1" t="s">
        <v>160</v>
      </c>
      <c r="C20" s="7">
        <v>0.2015510478639157</v>
      </c>
      <c r="D20" s="7">
        <f>C20+預測IC!D20</f>
        <v>0.58357606791126559</v>
      </c>
      <c r="E20" s="7">
        <f>D20+預測IC!E20</f>
        <v>0.59907605605559955</v>
      </c>
      <c r="F20" s="7">
        <f>E20+預測IC!F20</f>
        <v>0.78149567474874071</v>
      </c>
      <c r="G20" s="7">
        <f>F20+預測IC!G20</f>
        <v>0.93952303832082429</v>
      </c>
      <c r="H20" s="7">
        <f>G20+預測IC!H20</f>
        <v>1.0834553205764996</v>
      </c>
      <c r="I20" s="7">
        <f>H20+預測IC!I20</f>
        <v>1.2416048831776014</v>
      </c>
      <c r="J20" s="7">
        <f>I20+預測IC!J20</f>
        <v>1.1083975901005743</v>
      </c>
      <c r="K20" s="7">
        <f>J20+預測IC!K20</f>
        <v>1.1458022749526859</v>
      </c>
      <c r="L20" s="7">
        <f>K20+預測IC!L20</f>
        <v>1.1764977579537814</v>
      </c>
      <c r="M20" s="7">
        <f>L20+預測IC!M20</f>
        <v>0.90780393281580518</v>
      </c>
      <c r="N20" s="7">
        <f>M20+預測IC!N20</f>
        <v>1.4078154108252794</v>
      </c>
      <c r="O20" s="7">
        <f>N20+預測IC!O20</f>
        <v>1.5069168949697531</v>
      </c>
      <c r="P20" s="7">
        <f>O20+預測IC!P20</f>
        <v>1.5469453897215233</v>
      </c>
      <c r="Q20" s="7">
        <f>P20+預測IC!Q20</f>
        <v>1.7717702007139184</v>
      </c>
      <c r="R20" s="7">
        <f>Q20+預測IC!R20</f>
        <v>1.838239833802775</v>
      </c>
      <c r="S20" s="7">
        <f>R20+預測IC!S20</f>
        <v>1.7808987512299739</v>
      </c>
      <c r="T20" s="7">
        <f>S20+預測IC!T20</f>
        <v>1.6800532181865011</v>
      </c>
      <c r="U20" s="7">
        <f>T20+預測IC!U20</f>
        <v>1.7122908766060083</v>
      </c>
      <c r="V20" s="7">
        <f>U20+預測IC!V20</f>
        <v>1.5760028132384316</v>
      </c>
      <c r="W20" s="7">
        <f>V20+預測IC!W20</f>
        <v>1.6670876826709764</v>
      </c>
      <c r="X20" s="7">
        <f>W20+預測IC!X20</f>
        <v>1.8171299942985151</v>
      </c>
      <c r="Y20" s="7">
        <f>X20+預測IC!Y20</f>
        <v>1.8122742364381994</v>
      </c>
      <c r="Z20" s="7">
        <f>Y20+預測IC!Z20</f>
        <v>1.8414315864925459</v>
      </c>
      <c r="AA20" s="7">
        <f>Z20+預測IC!AA20</f>
        <v>1.8198370331052487</v>
      </c>
      <c r="AB20" s="7">
        <f>AA20+預測IC!AB20</f>
        <v>1.7594134088172186</v>
      </c>
      <c r="AC20" s="7">
        <f>AB20+預測IC!AC20</f>
        <v>1.6631043659919196</v>
      </c>
      <c r="AD20" s="7">
        <f>AC20+預測IC!AD20</f>
        <v>1.7929477847055839</v>
      </c>
      <c r="AE20" s="7">
        <f>AD20+預測IC!AE20</f>
        <v>1.8102589343326212</v>
      </c>
      <c r="AF20" s="7">
        <f>AE20+預測IC!AF20</f>
        <v>1.803789652849326</v>
      </c>
      <c r="AG20" s="7">
        <f>AF20+預測IC!AG20</f>
        <v>1.7761304343094337</v>
      </c>
      <c r="AH20" s="7">
        <f>AG20+預測IC!AH20</f>
        <v>1.6859522335946511</v>
      </c>
      <c r="AI20" s="7">
        <f>AH20+預測IC!AI20</f>
        <v>1.7641067785158195</v>
      </c>
      <c r="AJ20" s="7">
        <f>AI20+預測IC!AJ20</f>
        <v>1.7021167439682718</v>
      </c>
      <c r="AK20" s="7">
        <f>AJ20+預測IC!AK20</f>
        <v>1.6885216284722691</v>
      </c>
      <c r="AL20" s="7">
        <f>AK20+預測IC!AL20</f>
        <v>1.7614150805092459</v>
      </c>
      <c r="AM20" s="7">
        <f>AL20+預測IC!AM20</f>
        <v>1.7945110612580486</v>
      </c>
      <c r="AN20" s="7">
        <f>AM20+預測IC!AN20</f>
        <v>1.8699812547770469</v>
      </c>
      <c r="AO20" s="7">
        <f>AN20+預測IC!AO20</f>
        <v>1.9152663367417353</v>
      </c>
      <c r="AP20" s="7">
        <f>AO20+預測IC!AP20</f>
        <v>1.7835358754863475</v>
      </c>
      <c r="AQ20" s="7">
        <f>AP20+預測IC!AQ20</f>
        <v>1.8109883608192985</v>
      </c>
      <c r="AR20" s="7">
        <f>AQ20+預測IC!AR20</f>
        <v>1.8242776339091327</v>
      </c>
      <c r="AS20" s="7">
        <f>AR20+預測IC!AS20</f>
        <v>1.9363734435919497</v>
      </c>
      <c r="AT20" s="7">
        <f>AS20+預測IC!AT20</f>
        <v>1.9335239044761601</v>
      </c>
      <c r="AU20" s="7">
        <f>AT20+預測IC!AU20</f>
        <v>2.0092162913712861</v>
      </c>
      <c r="AV20" s="7">
        <f>AU20+預測IC!AV20</f>
        <v>2.0806894770252193</v>
      </c>
      <c r="AW20" s="7">
        <f>AV20+預測IC!AW20</f>
        <v>2.0875547452043701</v>
      </c>
      <c r="AX20" s="7">
        <f>AW20+預測IC!AX20</f>
        <v>2.1982872932030717</v>
      </c>
      <c r="AY20" s="7">
        <f>AX20+預測IC!AY20</f>
        <v>2.1360016994000008</v>
      </c>
      <c r="AZ20" s="7">
        <f>AY20+預測IC!AZ20</f>
        <v>2.2358060026723243</v>
      </c>
      <c r="BA20" s="7">
        <f>AZ20+預測IC!BA20</f>
        <v>2.3871437281782373</v>
      </c>
      <c r="BB20" s="7">
        <f>BA20+預測IC!BB20</f>
        <v>2.6183573543663141</v>
      </c>
      <c r="BC20" s="7">
        <f>BB20+預測IC!BC20</f>
        <v>2.5484721216684183</v>
      </c>
      <c r="BD20" s="7">
        <f>BC20+預測IC!BD20</f>
        <v>2.5568322950349383</v>
      </c>
      <c r="BE20" s="7">
        <f>BD20+預測IC!BE20</f>
        <v>2.5183654625895016</v>
      </c>
      <c r="BF20" s="7">
        <f>BE20+預測IC!BF20</f>
        <v>2.4631485624152325</v>
      </c>
      <c r="BG20" s="7">
        <f>BF20+預測IC!BG20</f>
        <v>2.411421369097094</v>
      </c>
      <c r="BH20" s="7">
        <f>BG20+預測IC!BH20</f>
        <v>2.4830278162112052</v>
      </c>
      <c r="BI20" s="7">
        <f>BH20+預測IC!BI20</f>
        <v>2.5061994028515748</v>
      </c>
      <c r="BJ20" s="7">
        <f>BI20+預測IC!BJ20</f>
        <v>2.5613553234704316</v>
      </c>
      <c r="BK20" s="7">
        <f>BJ20+預測IC!BK20</f>
        <v>2.6790056958754533</v>
      </c>
      <c r="BL20" s="7">
        <f>BK20+預測IC!BL20</f>
        <v>2.6987890373796772</v>
      </c>
      <c r="BM20" s="7">
        <f>BL20+預測IC!BM20</f>
        <v>2.6442331270512547</v>
      </c>
      <c r="BN20" s="7">
        <f>BM20+預測IC!BN20</f>
        <v>2.6255950997980886</v>
      </c>
      <c r="BO20" s="7">
        <f>BN20+預測IC!BO20</f>
        <v>2.6179845548523057</v>
      </c>
      <c r="BP20" s="7">
        <f>BO20+預測IC!BP20</f>
        <v>2.610702307345981</v>
      </c>
      <c r="BQ20" s="7">
        <f>BP20+預測IC!BQ20</f>
        <v>2.6261540143068238</v>
      </c>
      <c r="BR20" s="7">
        <f>BQ20+預測IC!BR20</f>
        <v>2.6382276460372962</v>
      </c>
      <c r="BS20" s="7">
        <f>BR20+預測IC!BS20</f>
        <v>2.6436351522284873</v>
      </c>
      <c r="BT20" s="7">
        <f>BS20+預測IC!BT20</f>
        <v>2.696102775510393</v>
      </c>
      <c r="BU20" s="7">
        <f>BT20+預測IC!BU20</f>
        <v>2.5466617714650708</v>
      </c>
      <c r="BV20" s="7">
        <f>BU20+預測IC!BV20</f>
        <v>2.6803716959420774</v>
      </c>
      <c r="BW20" s="7">
        <f>BV20+預測IC!BW20</f>
        <v>3.0224143748213623</v>
      </c>
      <c r="BX20" s="7">
        <f>BW20+預測IC!BX20</f>
        <v>2.9695529530908371</v>
      </c>
      <c r="BY20" s="7">
        <f>BX20+預測IC!BY20</f>
        <v>2.9263694704036007</v>
      </c>
      <c r="BZ20" s="7">
        <f>BY20+預測IC!BZ20</f>
        <v>3.0166408746638842</v>
      </c>
      <c r="CA20" s="7">
        <f>BZ20+預測IC!CA20</f>
        <v>3.0668577007549582</v>
      </c>
      <c r="CB20" s="7">
        <f>CA20+預測IC!CB20</f>
        <v>3.1933527465249774</v>
      </c>
      <c r="CC20" s="7">
        <f>CB20+預測IC!CC20</f>
        <v>3.2062678940030578</v>
      </c>
      <c r="CD20" s="7">
        <f>CC20+預測IC!CD20</f>
        <v>3.3872953914936548</v>
      </c>
      <c r="CE20" s="7">
        <f>CD20+預測IC!CE20</f>
        <v>3.473073564096095</v>
      </c>
      <c r="CF20" s="7">
        <f>CE20+預測IC!CF20</f>
        <v>3.3418650083312804</v>
      </c>
      <c r="CG20" s="7">
        <f>CF20+預測IC!CG20</f>
        <v>3.6638035306306649</v>
      </c>
      <c r="CH20" s="7">
        <f>CG20+預測IC!CH20</f>
        <v>3.7356675562278032</v>
      </c>
      <c r="CI20" s="7">
        <f>CH20+預測IC!CI20</f>
        <v>3.6041818218161561</v>
      </c>
      <c r="CJ20" s="7">
        <f>CI20+預測IC!CJ20</f>
        <v>3.5918579839169547</v>
      </c>
      <c r="CK20" s="7">
        <f>CJ20+預測IC!CK20</f>
        <v>3.6541347354586091</v>
      </c>
      <c r="CL20" s="7">
        <f>CK20+預測IC!CL20</f>
        <v>3.9520696458227671</v>
      </c>
      <c r="CM20" s="7">
        <f>CL20+預測IC!CM20</f>
        <v>3.8552938399735295</v>
      </c>
      <c r="CN20" s="7">
        <f>CM20+預測IC!CN20</f>
        <v>3.8359458623821543</v>
      </c>
      <c r="CO20" s="7">
        <f>CN20+預測IC!CO20</f>
        <v>4.1325191674871835</v>
      </c>
      <c r="CP20" s="7">
        <f>CO20+預測IC!CP20</f>
        <v>4.1399435093461632</v>
      </c>
      <c r="CQ20" s="7">
        <f>CP20+預測IC!CQ20</f>
        <v>4.2224633157215132</v>
      </c>
      <c r="CR20" s="7">
        <f>CQ20+預測IC!CR20</f>
        <v>4.2478258684955268</v>
      </c>
      <c r="CS20" s="7">
        <f>CR20+預測IC!CS20</f>
        <v>4.2701189066548864</v>
      </c>
      <c r="CT20" s="7">
        <f>CS20+預測IC!CT20</f>
        <v>4.2985333140514745</v>
      </c>
      <c r="CU20" s="7">
        <f>CT20+預測IC!CU20</f>
        <v>4.2036656557849623</v>
      </c>
      <c r="CV20" s="7">
        <f>CU20+預測IC!CV20</f>
        <v>4.2961767314803883</v>
      </c>
      <c r="CW20" s="7">
        <f>CV20+預測IC!CW20</f>
        <v>4.2703603289089118</v>
      </c>
      <c r="CX20" s="7">
        <f>CW20+預測IC!CX20</f>
        <v>4.2797464726622136</v>
      </c>
      <c r="CY20" s="7">
        <f>CX20+預測IC!CY20</f>
        <v>4.3884793110642857</v>
      </c>
      <c r="CZ20" s="7">
        <f>CY20+預測IC!CZ20</f>
        <v>4.5436409562134843</v>
      </c>
      <c r="DA20" s="7">
        <f>CZ20+預測IC!DA20</f>
        <v>4.4961690630583071</v>
      </c>
      <c r="DB20" s="7">
        <f>DA20+預測IC!DB20</f>
        <v>4.4392663533011731</v>
      </c>
      <c r="DC20" s="7">
        <f>DB20+預測IC!DC20</f>
        <v>4.4681675140037767</v>
      </c>
      <c r="DD20" s="7">
        <f>DC20+預測IC!DD20</f>
        <v>4.4000045016899927</v>
      </c>
      <c r="DE20" s="7">
        <f>DD20+預測IC!DE20</f>
        <v>4.3695379325637109</v>
      </c>
      <c r="DF20" s="7">
        <f>DE20+預測IC!DF20</f>
        <v>4.3703970540961317</v>
      </c>
      <c r="DG20" s="7">
        <f>DF20+預測IC!DG20</f>
        <v>4.3661948434757614</v>
      </c>
      <c r="DH20" s="7">
        <f>DG20+預測IC!DH20</f>
        <v>4.6444936966447035</v>
      </c>
      <c r="DI20" s="7">
        <f>DH20+預測IC!DI20</f>
        <v>4.7820894559573768</v>
      </c>
      <c r="DJ20" s="7">
        <f>DI20+預測IC!DJ20</f>
        <v>4.7426295096884887</v>
      </c>
      <c r="DK20" s="7">
        <f>DJ20+預測IC!DK20</f>
        <v>4.6574419696679854</v>
      </c>
      <c r="DL20" s="7">
        <f>DK20+預測IC!DL20</f>
        <v>4.6676289383512897</v>
      </c>
      <c r="DM20" s="7">
        <f>DL20+預測IC!DM20</f>
        <v>4.7369650450264063</v>
      </c>
      <c r="DN20" s="7">
        <f>DM20+預測IC!DN20</f>
        <v>4.6725038426079495</v>
      </c>
      <c r="DO20" s="7">
        <f>DN20+預測IC!DO20</f>
        <v>4.930505206066961</v>
      </c>
      <c r="DP20" s="7">
        <f>DO20+預測IC!DP20</f>
        <v>4.9088339443018567</v>
      </c>
      <c r="DQ20" s="7">
        <f>DP20+預測IC!DQ20</f>
        <v>4.8702936332174884</v>
      </c>
      <c r="DR20" s="7">
        <f>DQ20+預測IC!DR20</f>
        <v>4.8147356409907571</v>
      </c>
      <c r="DS20" s="7">
        <f>DR20+預測IC!DS20</f>
        <v>4.6086545434124027</v>
      </c>
      <c r="DT20" s="7">
        <f>DS20+預測IC!DT20</f>
        <v>4.6134838875963853</v>
      </c>
      <c r="DU20" s="7">
        <f>DT20+預測IC!DU20</f>
        <v>4.4371087186659892</v>
      </c>
      <c r="DV20" s="7">
        <f>DU20+預測IC!DV20</f>
        <v>4.4069158222863845</v>
      </c>
      <c r="DW20" s="7">
        <f>DV20+預測IC!DW20</f>
        <v>4.3033696541465796</v>
      </c>
      <c r="DX20" s="7">
        <f>DW20+預測IC!DX20</f>
        <v>4.149503324540265</v>
      </c>
      <c r="DY20" s="7">
        <f>DX20+預測IC!DY20</f>
        <v>4.2031219338919135</v>
      </c>
      <c r="DZ20" s="7">
        <f>DY20+預測IC!DZ20</f>
        <v>4.2933215800508879</v>
      </c>
      <c r="EA20" s="7">
        <f>DZ20+預測IC!EA20</f>
        <v>4.308238605478512</v>
      </c>
      <c r="EB20" s="7">
        <f>EA20+預測IC!EB20</f>
        <v>4.2019263386282253</v>
      </c>
      <c r="EC20" s="7">
        <f>EB20+預測IC!EC20</f>
        <v>4.2359759200421667</v>
      </c>
      <c r="ED20" s="7">
        <f>EC20+預測IC!ED20</f>
        <v>4.1613502620448388</v>
      </c>
      <c r="EE20" s="7">
        <f>ED20+預測IC!EE20</f>
        <v>4.1630912417966934</v>
      </c>
      <c r="EF20" s="7">
        <f>EE20+預測IC!EF20</f>
        <v>4.1833726584126003</v>
      </c>
    </row>
    <row r="21" spans="1:136" x14ac:dyDescent="0.3">
      <c r="B21" s="1" t="s">
        <v>161</v>
      </c>
      <c r="C21" s="7">
        <v>0.21462957980695321</v>
      </c>
      <c r="D21" s="7">
        <f>C21+預測IC!D21</f>
        <v>0.34101749657377678</v>
      </c>
      <c r="E21" s="7">
        <f>D21+預測IC!E21</f>
        <v>0.34073814430298494</v>
      </c>
      <c r="F21" s="7">
        <f>E21+預測IC!F21</f>
        <v>0.54415164186231235</v>
      </c>
      <c r="G21" s="7">
        <f>F21+預測IC!G21</f>
        <v>0.68948350066931274</v>
      </c>
      <c r="H21" s="7">
        <f>G21+預測IC!H21</f>
        <v>0.8516475884631507</v>
      </c>
      <c r="I21" s="7">
        <f>H21+預測IC!I21</f>
        <v>0.99890319659062365</v>
      </c>
      <c r="J21" s="7">
        <f>I21+預測IC!J21</f>
        <v>0.86216028125076705</v>
      </c>
      <c r="K21" s="7">
        <f>J21+預測IC!K21</f>
        <v>0.86363057721090297</v>
      </c>
      <c r="L21" s="7">
        <f>K21+預測IC!L21</f>
        <v>0.85860142390484229</v>
      </c>
      <c r="M21" s="7">
        <f>L21+預測IC!M21</f>
        <v>0.6587164492143267</v>
      </c>
      <c r="N21" s="7">
        <f>M21+預測IC!N21</f>
        <v>1.2436077138350519</v>
      </c>
      <c r="O21" s="7">
        <f>N21+預測IC!O21</f>
        <v>1.3733901723654054</v>
      </c>
      <c r="P21" s="7">
        <f>O21+預測IC!P21</f>
        <v>1.4188173653829086</v>
      </c>
      <c r="Q21" s="7">
        <f>P21+預測IC!Q21</f>
        <v>1.6929008106535983</v>
      </c>
      <c r="R21" s="7">
        <f>Q21+預測IC!R21</f>
        <v>1.7778060418469388</v>
      </c>
      <c r="S21" s="7">
        <f>R21+預測IC!S21</f>
        <v>1.7412427501902419</v>
      </c>
      <c r="T21" s="7">
        <f>S21+預測IC!T21</f>
        <v>1.6101223892518146</v>
      </c>
      <c r="U21" s="7">
        <f>T21+預測IC!U21</f>
        <v>1.6002977485174177</v>
      </c>
      <c r="V21" s="7">
        <f>U21+預測IC!V21</f>
        <v>1.4685472598649152</v>
      </c>
      <c r="W21" s="7">
        <f>V21+預測IC!W21</f>
        <v>1.5930458786934232</v>
      </c>
      <c r="X21" s="7">
        <f>W21+預測IC!X21</f>
        <v>1.800847146046761</v>
      </c>
      <c r="Y21" s="7">
        <f>X21+預測IC!Y21</f>
        <v>1.7907034856735584</v>
      </c>
      <c r="Z21" s="7">
        <f>Y21+預測IC!Z21</f>
        <v>1.8301612013535156</v>
      </c>
      <c r="AA21" s="7">
        <f>Z21+預測IC!AA21</f>
        <v>1.8496522448936095</v>
      </c>
      <c r="AB21" s="7">
        <f>AA21+預測IC!AB21</f>
        <v>1.7843646498627437</v>
      </c>
      <c r="AC21" s="7">
        <f>AB21+預測IC!AC21</f>
        <v>1.624822377398542</v>
      </c>
      <c r="AD21" s="7">
        <f>AC21+預測IC!AD21</f>
        <v>1.7536470430461</v>
      </c>
      <c r="AE21" s="7">
        <f>AD21+預測IC!AE21</f>
        <v>1.7639586537401599</v>
      </c>
      <c r="AF21" s="7">
        <f>AE21+預測IC!AF21</f>
        <v>1.7303918283561794</v>
      </c>
      <c r="AG21" s="7">
        <f>AF21+預測IC!AG21</f>
        <v>1.6860890505663853</v>
      </c>
      <c r="AH21" s="7">
        <f>AG21+預測IC!AH21</f>
        <v>1.5785076880015869</v>
      </c>
      <c r="AI21" s="7">
        <f>AH21+預測IC!AI21</f>
        <v>1.658101897334878</v>
      </c>
      <c r="AJ21" s="7">
        <f>AI21+預測IC!AJ21</f>
        <v>1.5876965553884093</v>
      </c>
      <c r="AK21" s="7">
        <f>AJ21+預測IC!AK21</f>
        <v>1.5518933877702992</v>
      </c>
      <c r="AL21" s="7">
        <f>AK21+預測IC!AL21</f>
        <v>1.6172732105034098</v>
      </c>
      <c r="AM21" s="7">
        <f>AL21+預測IC!AM21</f>
        <v>1.6858090179510403</v>
      </c>
      <c r="AN21" s="7">
        <f>AM21+預測IC!AN21</f>
        <v>1.7977650740141347</v>
      </c>
      <c r="AO21" s="7">
        <f>AN21+預測IC!AO21</f>
        <v>1.8454914696578613</v>
      </c>
      <c r="AP21" s="7">
        <f>AO21+預測IC!AP21</f>
        <v>1.772956326087842</v>
      </c>
      <c r="AQ21" s="7">
        <f>AP21+預測IC!AQ21</f>
        <v>1.8498218330983898</v>
      </c>
      <c r="AR21" s="7">
        <f>AQ21+預測IC!AR21</f>
        <v>1.8018336916950797</v>
      </c>
      <c r="AS21" s="7">
        <f>AR21+預測IC!AS21</f>
        <v>1.8662895603417091</v>
      </c>
      <c r="AT21" s="7">
        <f>AS21+預測IC!AT21</f>
        <v>1.8028455119297475</v>
      </c>
      <c r="AU21" s="7">
        <f>AT21+預測IC!AU21</f>
        <v>1.8506551434387046</v>
      </c>
      <c r="AV21" s="7">
        <f>AU21+預測IC!AV21</f>
        <v>1.9015527114101469</v>
      </c>
      <c r="AW21" s="7">
        <f>AV21+預測IC!AW21</f>
        <v>1.9113437413642442</v>
      </c>
      <c r="AX21" s="7">
        <f>AW21+預測IC!AX21</f>
        <v>2.0544914288340008</v>
      </c>
      <c r="AY21" s="7">
        <f>AX21+預測IC!AY21</f>
        <v>1.9356152340090069</v>
      </c>
      <c r="AZ21" s="7">
        <f>AY21+預測IC!AZ21</f>
        <v>2.0441175924236132</v>
      </c>
      <c r="BA21" s="7">
        <f>AZ21+預測IC!BA21</f>
        <v>2.1837102745849402</v>
      </c>
      <c r="BB21" s="7">
        <f>BA21+預測IC!BB21</f>
        <v>2.4782229115622618</v>
      </c>
      <c r="BC21" s="7">
        <f>BB21+預測IC!BC21</f>
        <v>2.3981760234326237</v>
      </c>
      <c r="BD21" s="7">
        <f>BC21+預測IC!BD21</f>
        <v>2.4363951707005373</v>
      </c>
      <c r="BE21" s="7">
        <f>BD21+預測IC!BE21</f>
        <v>2.3958068381967257</v>
      </c>
      <c r="BF21" s="7">
        <f>BE21+預測IC!BF21</f>
        <v>2.3335168888215376</v>
      </c>
      <c r="BG21" s="7">
        <f>BF21+預測IC!BG21</f>
        <v>2.2549918293595832</v>
      </c>
      <c r="BH21" s="7">
        <f>BG21+預測IC!BH21</f>
        <v>2.3313131924983383</v>
      </c>
      <c r="BI21" s="7">
        <f>BH21+預測IC!BI21</f>
        <v>2.3775869611300284</v>
      </c>
      <c r="BJ21" s="7">
        <f>BI21+預測IC!BJ21</f>
        <v>2.3999810234941381</v>
      </c>
      <c r="BK21" s="7">
        <f>BJ21+預測IC!BK21</f>
        <v>2.4727041382428521</v>
      </c>
      <c r="BL21" s="7">
        <f>BK21+預測IC!BL21</f>
        <v>2.4764569367508975</v>
      </c>
      <c r="BM21" s="7">
        <f>BL21+預測IC!BM21</f>
        <v>2.3814865817575956</v>
      </c>
      <c r="BN21" s="7">
        <f>BM21+預測IC!BN21</f>
        <v>2.3556958153091485</v>
      </c>
      <c r="BO21" s="7">
        <f>BN21+預測IC!BO21</f>
        <v>2.3706999180190351</v>
      </c>
      <c r="BP21" s="7">
        <f>BO21+預測IC!BP21</f>
        <v>2.3748807203506281</v>
      </c>
      <c r="BQ21" s="7">
        <f>BP21+預測IC!BQ21</f>
        <v>2.4294229511851331</v>
      </c>
      <c r="BR21" s="7">
        <f>BQ21+預測IC!BR21</f>
        <v>2.4417468133689977</v>
      </c>
      <c r="BS21" s="7">
        <f>BR21+預測IC!BS21</f>
        <v>2.4476069861241738</v>
      </c>
      <c r="BT21" s="7">
        <f>BS21+預測IC!BT21</f>
        <v>2.5084277286666987</v>
      </c>
      <c r="BU21" s="7">
        <f>BT21+預測IC!BU21</f>
        <v>2.3376892181162807</v>
      </c>
      <c r="BV21" s="7">
        <f>BU21+預測IC!BV21</f>
        <v>2.3569297062685202</v>
      </c>
      <c r="BW21" s="7">
        <f>BV21+預測IC!BW21</f>
        <v>2.7590606221075795</v>
      </c>
      <c r="BX21" s="7">
        <f>BW21+預測IC!BX21</f>
        <v>2.6818956195869825</v>
      </c>
      <c r="BY21" s="7">
        <f>BX21+預測IC!BY21</f>
        <v>2.6669792406701456</v>
      </c>
      <c r="BZ21" s="7">
        <f>BY21+預測IC!BZ21</f>
        <v>2.7146421693908613</v>
      </c>
      <c r="CA21" s="7">
        <f>BZ21+預測IC!CA21</f>
        <v>2.8097016032384206</v>
      </c>
      <c r="CB21" s="7">
        <f>CA21+預測IC!CB21</f>
        <v>3.0175714511400082</v>
      </c>
      <c r="CC21" s="7">
        <f>CB21+預測IC!CC21</f>
        <v>3.0095524968690421</v>
      </c>
      <c r="CD21" s="7">
        <f>CC21+預測IC!CD21</f>
        <v>3.2976085612315154</v>
      </c>
      <c r="CE21" s="7">
        <f>CD21+預測IC!CE21</f>
        <v>3.3591234435856694</v>
      </c>
      <c r="CF21" s="7">
        <f>CE21+預測IC!CF21</f>
        <v>3.231952967494061</v>
      </c>
      <c r="CG21" s="7">
        <f>CF21+預測IC!CG21</f>
        <v>3.5521197508745375</v>
      </c>
      <c r="CH21" s="7">
        <f>CG21+預測IC!CH21</f>
        <v>3.6322200719507491</v>
      </c>
      <c r="CI21" s="7">
        <f>CH21+預測IC!CI21</f>
        <v>3.5089267255392023</v>
      </c>
      <c r="CJ21" s="7">
        <f>CI21+預測IC!CJ21</f>
        <v>3.4969702586982847</v>
      </c>
      <c r="CK21" s="7">
        <f>CJ21+預測IC!CK21</f>
        <v>3.5055338890144667</v>
      </c>
      <c r="CL21" s="7">
        <f>CK21+預測IC!CL21</f>
        <v>3.8676176399126629</v>
      </c>
      <c r="CM21" s="7">
        <f>CL21+預測IC!CM21</f>
        <v>3.751385820732104</v>
      </c>
      <c r="CN21" s="7">
        <f>CM21+預測IC!CN21</f>
        <v>3.7401039015416448</v>
      </c>
      <c r="CO21" s="7">
        <f>CN21+預測IC!CO21</f>
        <v>4.0755876597365246</v>
      </c>
      <c r="CP21" s="7">
        <f>CO21+預測IC!CP21</f>
        <v>3.9793343713331324</v>
      </c>
      <c r="CQ21" s="7">
        <f>CP21+預測IC!CQ21</f>
        <v>3.9199307543150974</v>
      </c>
      <c r="CR21" s="7">
        <f>CQ21+預測IC!CR21</f>
        <v>3.9315465431752004</v>
      </c>
      <c r="CS21" s="7">
        <f>CR21+預測IC!CS21</f>
        <v>3.9624542888576979</v>
      </c>
      <c r="CT21" s="7">
        <f>CS21+預測IC!CT21</f>
        <v>4.0104473929307023</v>
      </c>
      <c r="CU21" s="7">
        <f>CT21+預測IC!CU21</f>
        <v>3.9477738327612109</v>
      </c>
      <c r="CV21" s="7">
        <f>CU21+預測IC!CV21</f>
        <v>4.0459994647825974</v>
      </c>
      <c r="CW21" s="7">
        <f>CV21+預測IC!CW21</f>
        <v>4.015246983474559</v>
      </c>
      <c r="CX21" s="7">
        <f>CW21+預測IC!CX21</f>
        <v>4.0286425074356185</v>
      </c>
      <c r="CY21" s="7">
        <f>CX21+預測IC!CY21</f>
        <v>4.1311476685171815</v>
      </c>
      <c r="CZ21" s="7">
        <f>CY21+預測IC!CZ21</f>
        <v>4.3685990393430121</v>
      </c>
      <c r="DA21" s="7">
        <f>CZ21+預測IC!DA21</f>
        <v>4.369791295799744</v>
      </c>
      <c r="DB21" s="7">
        <f>DA21+預測IC!DB21</f>
        <v>4.3181668621235891</v>
      </c>
      <c r="DC21" s="7">
        <f>DB21+預測IC!DC21</f>
        <v>4.3664760094890962</v>
      </c>
      <c r="DD21" s="7">
        <f>DC21+預測IC!DD21</f>
        <v>4.2994485132883549</v>
      </c>
      <c r="DE21" s="7">
        <f>DD21+預測IC!DE21</f>
        <v>4.2447292452939429</v>
      </c>
      <c r="DF21" s="7">
        <f>DE21+預測IC!DF21</f>
        <v>4.2662901259918176</v>
      </c>
      <c r="DG21" s="7">
        <f>DF21+預測IC!DG21</f>
        <v>4.2741365041203512</v>
      </c>
      <c r="DH21" s="7">
        <f>DG21+預測IC!DH21</f>
        <v>4.3555726924003784</v>
      </c>
      <c r="DI21" s="7">
        <f>DH21+預測IC!DI21</f>
        <v>4.5354125175677815</v>
      </c>
      <c r="DJ21" s="7">
        <f>DI21+預測IC!DJ21</f>
        <v>4.4975012043772216</v>
      </c>
      <c r="DK21" s="7">
        <f>DJ21+預測IC!DK21</f>
        <v>4.4066056134702754</v>
      </c>
      <c r="DL21" s="7">
        <f>DK21+預測IC!DL21</f>
        <v>4.4388138167198354</v>
      </c>
      <c r="DM21" s="7">
        <f>DL21+預測IC!DM21</f>
        <v>4.4638026191619815</v>
      </c>
      <c r="DN21" s="7">
        <f>DM21+預測IC!DN21</f>
        <v>4.4169277837953462</v>
      </c>
      <c r="DO21" s="7">
        <f>DN21+預測IC!DO21</f>
        <v>4.7485545886739926</v>
      </c>
      <c r="DP21" s="7">
        <f>DO21+預測IC!DP21</f>
        <v>4.7114459555757593</v>
      </c>
      <c r="DQ21" s="7">
        <f>DP21+預測IC!DQ21</f>
        <v>4.6832299035233627</v>
      </c>
      <c r="DR21" s="7">
        <f>DQ21+預測IC!DR21</f>
        <v>4.6296729137166688</v>
      </c>
      <c r="DS21" s="7">
        <f>DR21+預測IC!DS21</f>
        <v>4.4288334398793729</v>
      </c>
      <c r="DT21" s="7">
        <f>DS21+預測IC!DT21</f>
        <v>4.4191247969371101</v>
      </c>
      <c r="DU21" s="7">
        <f>DT21+預測IC!DU21</f>
        <v>4.2705100802986964</v>
      </c>
      <c r="DV21" s="7">
        <f>DU21+預測IC!DV21</f>
        <v>4.22084567614933</v>
      </c>
      <c r="DW21" s="7">
        <f>DV21+預測IC!DW21</f>
        <v>4.1173111835530269</v>
      </c>
      <c r="DX21" s="7">
        <f>DW21+預測IC!DX21</f>
        <v>3.9313449695218434</v>
      </c>
      <c r="DY21" s="7">
        <f>DX21+預測IC!DY21</f>
        <v>3.9559409650598596</v>
      </c>
      <c r="DZ21" s="7">
        <f>DY21+預測IC!DZ21</f>
        <v>4.0548715387197651</v>
      </c>
      <c r="EA21" s="7">
        <f>DZ21+預測IC!EA21</f>
        <v>4.0300060162713374</v>
      </c>
      <c r="EB21" s="7">
        <f>EA21+預測IC!EB21</f>
        <v>3.9267104572473297</v>
      </c>
      <c r="EC21" s="7">
        <f>EB21+預測IC!EC21</f>
        <v>3.9407475123453719</v>
      </c>
      <c r="ED21" s="7">
        <f>EC21+預測IC!ED21</f>
        <v>3.8580174648421606</v>
      </c>
      <c r="EE21" s="7">
        <f>ED21+預測IC!EE21</f>
        <v>3.8367068725342932</v>
      </c>
      <c r="EF21" s="7">
        <f>EE21+預測IC!EF21</f>
        <v>3.8179356084921743</v>
      </c>
    </row>
    <row r="22" spans="1:136" x14ac:dyDescent="0.3">
      <c r="B22" s="1" t="s">
        <v>162</v>
      </c>
      <c r="C22" s="7">
        <v>0.20528030103697539</v>
      </c>
      <c r="D22" s="7">
        <f>C22+預測IC!D22</f>
        <v>0.34770815311437386</v>
      </c>
      <c r="E22" s="7">
        <f>D22+預測IC!E22</f>
        <v>0.30668062111375483</v>
      </c>
      <c r="F22" s="7">
        <f>E22+預測IC!F22</f>
        <v>0.16681317080436783</v>
      </c>
      <c r="G22" s="7">
        <f>F22+預測IC!G22</f>
        <v>0.3997585953996905</v>
      </c>
      <c r="H22" s="7">
        <f>G22+預測IC!H22</f>
        <v>0.52393665836033676</v>
      </c>
      <c r="I22" s="7">
        <f>H22+預測IC!I22</f>
        <v>0.64742982769840651</v>
      </c>
      <c r="J22" s="7">
        <f>I22+預測IC!J22</f>
        <v>0.54317632496177704</v>
      </c>
      <c r="K22" s="7">
        <f>J22+預測IC!K22</f>
        <v>0.57183310507817109</v>
      </c>
      <c r="L22" s="7">
        <f>K22+預測IC!L22</f>
        <v>0.58610631376315336</v>
      </c>
      <c r="M22" s="7">
        <f>L22+預測IC!M22</f>
        <v>0.40144352642020326</v>
      </c>
      <c r="N22" s="7">
        <f>M22+預測IC!N22</f>
        <v>1.1575869695375423</v>
      </c>
      <c r="O22" s="7">
        <f>N22+預測IC!O22</f>
        <v>1.3010673155418147</v>
      </c>
      <c r="P22" s="7">
        <f>O22+預測IC!P22</f>
        <v>1.3916981899684489</v>
      </c>
      <c r="Q22" s="7">
        <f>P22+預測IC!Q22</f>
        <v>1.518969080199839</v>
      </c>
      <c r="R22" s="7">
        <f>Q22+預測IC!R22</f>
        <v>1.5856673728061705</v>
      </c>
      <c r="S22" s="7">
        <f>R22+預測IC!S22</f>
        <v>1.5464332292689913</v>
      </c>
      <c r="T22" s="7">
        <f>S22+預測IC!T22</f>
        <v>1.4415842621123613</v>
      </c>
      <c r="U22" s="7">
        <f>T22+預測IC!U22</f>
        <v>1.4940731686079831</v>
      </c>
      <c r="V22" s="7">
        <f>U22+預測IC!V22</f>
        <v>1.3184482661375707</v>
      </c>
      <c r="W22" s="7">
        <f>V22+預測IC!W22</f>
        <v>1.4764960193015213</v>
      </c>
      <c r="X22" s="7">
        <f>W22+預測IC!X22</f>
        <v>1.7336983705150182</v>
      </c>
      <c r="Y22" s="7">
        <f>X22+預測IC!Y22</f>
        <v>1.6638450388122175</v>
      </c>
      <c r="Z22" s="7">
        <f>Y22+預測IC!Z22</f>
        <v>1.6877111606025739</v>
      </c>
      <c r="AA22" s="7">
        <f>Z22+預測IC!AA22</f>
        <v>1.6947591774894306</v>
      </c>
      <c r="AB22" s="7">
        <f>AA22+預測IC!AB22</f>
        <v>1.6564851230678594</v>
      </c>
      <c r="AC22" s="7">
        <f>AB22+預測IC!AC22</f>
        <v>1.4792720449189967</v>
      </c>
      <c r="AD22" s="7">
        <f>AC22+預測IC!AD22</f>
        <v>1.492844833691358</v>
      </c>
      <c r="AE22" s="7">
        <f>AD22+預測IC!AE22</f>
        <v>1.4076971477336508</v>
      </c>
      <c r="AF22" s="7">
        <f>AE22+預測IC!AF22</f>
        <v>1.3212929086912273</v>
      </c>
      <c r="AG22" s="7">
        <f>AF22+預測IC!AG22</f>
        <v>1.2684513685154934</v>
      </c>
      <c r="AH22" s="7">
        <f>AG22+預測IC!AH22</f>
        <v>1.1625854090950207</v>
      </c>
      <c r="AI22" s="7">
        <f>AH22+預測IC!AI22</f>
        <v>1.2567266697524069</v>
      </c>
      <c r="AJ22" s="7">
        <f>AI22+預測IC!AJ22</f>
        <v>1.2250268204259986</v>
      </c>
      <c r="AK22" s="7">
        <f>AJ22+預測IC!AK22</f>
        <v>1.3263153811663944</v>
      </c>
      <c r="AL22" s="7">
        <f>AK22+預測IC!AL22</f>
        <v>1.3666563479732947</v>
      </c>
      <c r="AM22" s="7">
        <f>AL22+預測IC!AM22</f>
        <v>1.4507452514409982</v>
      </c>
      <c r="AN22" s="7">
        <f>AM22+預測IC!AN22</f>
        <v>1.5618780611045575</v>
      </c>
      <c r="AO22" s="7">
        <f>AN22+預測IC!AO22</f>
        <v>1.6365954344982632</v>
      </c>
      <c r="AP22" s="7">
        <f>AO22+預測IC!AP22</f>
        <v>1.5740590806102706</v>
      </c>
      <c r="AQ22" s="7">
        <f>AP22+預測IC!AQ22</f>
        <v>1.6534851980888636</v>
      </c>
      <c r="AR22" s="7">
        <f>AQ22+預測IC!AR22</f>
        <v>1.5855607103852603</v>
      </c>
      <c r="AS22" s="7">
        <f>AR22+預測IC!AS22</f>
        <v>1.6683711492838103</v>
      </c>
      <c r="AT22" s="7">
        <f>AS22+預測IC!AT22</f>
        <v>1.669444844014073</v>
      </c>
      <c r="AU22" s="7">
        <f>AT22+預測IC!AU22</f>
        <v>1.7029452959249429</v>
      </c>
      <c r="AV22" s="7">
        <f>AU22+預測IC!AV22</f>
        <v>1.7625914360986084</v>
      </c>
      <c r="AW22" s="7">
        <f>AV22+預測IC!AW22</f>
        <v>1.7324420468915993</v>
      </c>
      <c r="AX22" s="7">
        <f>AW22+預測IC!AX22</f>
        <v>1.9062054468716236</v>
      </c>
      <c r="AY22" s="7">
        <f>AX22+預測IC!AY22</f>
        <v>1.7424811155260567</v>
      </c>
      <c r="AZ22" s="7">
        <f>AY22+預測IC!AZ22</f>
        <v>1.8976695195695903</v>
      </c>
      <c r="BA22" s="7">
        <f>AZ22+預測IC!BA22</f>
        <v>1.9474444771537773</v>
      </c>
      <c r="BB22" s="7">
        <f>BA22+預測IC!BB22</f>
        <v>2.3169950604502652</v>
      </c>
      <c r="BC22" s="7">
        <f>BB22+預測IC!BC22</f>
        <v>2.2296616783381795</v>
      </c>
      <c r="BD22" s="7">
        <f>BC22+預測IC!BD22</f>
        <v>2.3089212232576157</v>
      </c>
      <c r="BE22" s="7">
        <f>BD22+預測IC!BE22</f>
        <v>2.2404381863895151</v>
      </c>
      <c r="BF22" s="7">
        <f>BE22+預測IC!BF22</f>
        <v>2.1855521726347087</v>
      </c>
      <c r="BG22" s="7">
        <f>BF22+預測IC!BG22</f>
        <v>2.0893736435050707</v>
      </c>
      <c r="BH22" s="7">
        <f>BG22+預測IC!BH22</f>
        <v>2.2173341858432027</v>
      </c>
      <c r="BI22" s="7">
        <f>BH22+預測IC!BI22</f>
        <v>2.2996796533158768</v>
      </c>
      <c r="BJ22" s="7">
        <f>BI22+預測IC!BJ22</f>
        <v>2.3405699849954011</v>
      </c>
      <c r="BK22" s="7">
        <f>BJ22+預測IC!BK22</f>
        <v>2.3888852260470657</v>
      </c>
      <c r="BL22" s="7">
        <f>BK22+預測IC!BL22</f>
        <v>2.406749108181347</v>
      </c>
      <c r="BM22" s="7">
        <f>BL22+預測IC!BM22</f>
        <v>2.2858094728537712</v>
      </c>
      <c r="BN22" s="7">
        <f>BM22+預測IC!BN22</f>
        <v>2.2028715736534488</v>
      </c>
      <c r="BO22" s="7">
        <f>BN22+預測IC!BO22</f>
        <v>2.2412216366172917</v>
      </c>
      <c r="BP22" s="7">
        <f>BO22+預測IC!BP22</f>
        <v>2.2417626367418233</v>
      </c>
      <c r="BQ22" s="7">
        <f>BP22+預測IC!BQ22</f>
        <v>2.2695927341401361</v>
      </c>
      <c r="BR22" s="7">
        <f>BQ22+預測IC!BR22</f>
        <v>2.2904063436065889</v>
      </c>
      <c r="BS22" s="7">
        <f>BR22+預測IC!BS22</f>
        <v>2.2740335612297899</v>
      </c>
      <c r="BT22" s="7">
        <f>BS22+預測IC!BT22</f>
        <v>2.1853073668970064</v>
      </c>
      <c r="BU22" s="7">
        <f>BT22+預測IC!BU22</f>
        <v>2.0809567838146417</v>
      </c>
      <c r="BV22" s="7">
        <f>BU22+預測IC!BV22</f>
        <v>2.0816385439821992</v>
      </c>
      <c r="BW22" s="7">
        <f>BV22+預測IC!BW22</f>
        <v>2.5093550404465756</v>
      </c>
      <c r="BX22" s="7">
        <f>BW22+預測IC!BX22</f>
        <v>2.3963261415422106</v>
      </c>
      <c r="BY22" s="7">
        <f>BX22+預測IC!BY22</f>
        <v>2.4286790170627102</v>
      </c>
      <c r="BZ22" s="7">
        <f>BY22+預測IC!BZ22</f>
        <v>2.4759367529256022</v>
      </c>
      <c r="CA22" s="7">
        <f>BZ22+預測IC!CA22</f>
        <v>2.6200154889598575</v>
      </c>
      <c r="CB22" s="7">
        <f>CA22+預測IC!CB22</f>
        <v>2.8747547446747186</v>
      </c>
      <c r="CC22" s="7">
        <f>CB22+預測IC!CC22</f>
        <v>2.7496507493546858</v>
      </c>
      <c r="CD22" s="7">
        <f>CC22+預測IC!CD22</f>
        <v>3.0835287860674088</v>
      </c>
      <c r="CE22" s="7">
        <f>CD22+預測IC!CE22</f>
        <v>3.1503689317042265</v>
      </c>
      <c r="CF22" s="7">
        <f>CE22+預測IC!CF22</f>
        <v>2.9947963632817598</v>
      </c>
      <c r="CG22" s="7">
        <f>CF22+預測IC!CG22</f>
        <v>3.43859717833617</v>
      </c>
      <c r="CH22" s="7">
        <f>CG22+預測IC!CH22</f>
        <v>3.554515949615618</v>
      </c>
      <c r="CI22" s="7">
        <f>CH22+預測IC!CI22</f>
        <v>3.3240667825774337</v>
      </c>
      <c r="CJ22" s="7">
        <f>CI22+預測IC!CJ22</f>
        <v>3.3078239347343117</v>
      </c>
      <c r="CK22" s="7">
        <f>CJ22+預測IC!CK22</f>
        <v>3.2806714381633744</v>
      </c>
      <c r="CL22" s="7">
        <f>CK22+預測IC!CL22</f>
        <v>3.8346258035658924</v>
      </c>
      <c r="CM22" s="7">
        <f>CL22+預測IC!CM22</f>
        <v>3.6147933183684291</v>
      </c>
      <c r="CN22" s="7">
        <f>CM22+預測IC!CN22</f>
        <v>3.6366436251540168</v>
      </c>
      <c r="CO22" s="7">
        <f>CN22+預測IC!CO22</f>
        <v>3.9087031233008918</v>
      </c>
      <c r="CP22" s="7">
        <f>CO22+預測IC!CP22</f>
        <v>3.8273800172795047</v>
      </c>
      <c r="CQ22" s="7">
        <f>CP22+預測IC!CQ22</f>
        <v>3.7529130070054766</v>
      </c>
      <c r="CR22" s="7">
        <f>CQ22+預測IC!CR22</f>
        <v>3.7244908019263159</v>
      </c>
      <c r="CS22" s="7">
        <f>CR22+預測IC!CS22</f>
        <v>3.7489303887583487</v>
      </c>
      <c r="CT22" s="7">
        <f>CS22+預測IC!CT22</f>
        <v>3.7871930033336239</v>
      </c>
      <c r="CU22" s="7">
        <f>CT22+預測IC!CU22</f>
        <v>3.666961291369526</v>
      </c>
      <c r="CV22" s="7">
        <f>CU22+預測IC!CV22</f>
        <v>3.7791949865765804</v>
      </c>
      <c r="CW22" s="7">
        <f>CV22+預測IC!CW22</f>
        <v>3.7656951880406186</v>
      </c>
      <c r="CX22" s="7">
        <f>CW22+預測IC!CX22</f>
        <v>3.8129806412994092</v>
      </c>
      <c r="CY22" s="7">
        <f>CX22+預測IC!CY22</f>
        <v>3.9174914673674706</v>
      </c>
      <c r="CZ22" s="7">
        <f>CY22+預測IC!CZ22</f>
        <v>4.1804119519667093</v>
      </c>
      <c r="DA22" s="7">
        <f>CZ22+預測IC!DA22</f>
        <v>4.1764201980847853</v>
      </c>
      <c r="DB22" s="7">
        <f>DA22+預測IC!DB22</f>
        <v>4.1180366912562931</v>
      </c>
      <c r="DC22" s="7">
        <f>DB22+預測IC!DC22</f>
        <v>4.1903787249892375</v>
      </c>
      <c r="DD22" s="7">
        <f>DC22+預測IC!DD22</f>
        <v>4.1744161471736749</v>
      </c>
      <c r="DE22" s="7">
        <f>DD22+預測IC!DE22</f>
        <v>4.0410600039282452</v>
      </c>
      <c r="DF22" s="7">
        <f>DE22+預測IC!DF22</f>
        <v>4.0580917792017983</v>
      </c>
      <c r="DG22" s="7">
        <f>DF22+預測IC!DG22</f>
        <v>4.0900768222826862</v>
      </c>
      <c r="DH22" s="7">
        <f>DG22+預測IC!DH22</f>
        <v>4.1715312038985948</v>
      </c>
      <c r="DI22" s="7">
        <f>DH22+預測IC!DI22</f>
        <v>4.2316533151691846</v>
      </c>
      <c r="DJ22" s="7">
        <f>DI22+預測IC!DJ22</f>
        <v>4.1814073093360884</v>
      </c>
      <c r="DK22" s="7">
        <f>DJ22+預測IC!DK22</f>
        <v>4.0899789042765775</v>
      </c>
      <c r="DL22" s="7">
        <f>DK22+預測IC!DL22</f>
        <v>4.1116592304344683</v>
      </c>
      <c r="DM22" s="7">
        <f>DL22+預測IC!DM22</f>
        <v>4.1435439397241991</v>
      </c>
      <c r="DN22" s="7">
        <f>DM22+預測IC!DN22</f>
        <v>4.0603702326466404</v>
      </c>
      <c r="DO22" s="7">
        <f>DN22+預測IC!DO22</f>
        <v>4.1360860487015465</v>
      </c>
      <c r="DP22" s="7">
        <f>DO22+預測IC!DP22</f>
        <v>4.0309869889010681</v>
      </c>
      <c r="DQ22" s="7">
        <f>DP22+預測IC!DQ22</f>
        <v>3.9791367870634469</v>
      </c>
      <c r="DR22" s="7">
        <f>DQ22+預測IC!DR22</f>
        <v>3.9079004873903114</v>
      </c>
      <c r="DS22" s="7">
        <f>DR22+預測IC!DS22</f>
        <v>3.7108495658279521</v>
      </c>
      <c r="DT22" s="7">
        <f>DS22+預測IC!DT22</f>
        <v>3.6671681195038639</v>
      </c>
      <c r="DU22" s="7">
        <f>DT22+預測IC!DU22</f>
        <v>3.5056212086211338</v>
      </c>
      <c r="DV22" s="7">
        <f>DU22+預測IC!DV22</f>
        <v>3.5589913754493758</v>
      </c>
      <c r="DW22" s="7">
        <f>DV22+預測IC!DW22</f>
        <v>3.4775759620694524</v>
      </c>
      <c r="DX22" s="7">
        <f>DW22+預測IC!DX22</f>
        <v>3.2551333536211575</v>
      </c>
      <c r="DY22" s="7">
        <f>DX22+預測IC!DY22</f>
        <v>3.2469862369956175</v>
      </c>
      <c r="DZ22" s="7">
        <f>DY22+預測IC!DZ22</f>
        <v>3.3578207417833288</v>
      </c>
      <c r="EA22" s="7">
        <f>DZ22+預測IC!EA22</f>
        <v>3.28727209294397</v>
      </c>
      <c r="EB22" s="7">
        <f>EA22+預測IC!EB22</f>
        <v>3.1443450168916427</v>
      </c>
      <c r="EC22" s="7">
        <f>EB22+預測IC!EC22</f>
        <v>3.1658401184672811</v>
      </c>
      <c r="ED22" s="7">
        <f>EC22+預測IC!ED22</f>
        <v>3.108340899858471</v>
      </c>
      <c r="EE22" s="7">
        <f>ED22+預測IC!EE22</f>
        <v>3.0607042404737719</v>
      </c>
      <c r="EF22" s="7">
        <f>EE22+預測IC!EF22</f>
        <v>3.0259139941015993</v>
      </c>
    </row>
    <row r="23" spans="1:136" x14ac:dyDescent="0.3">
      <c r="B23" s="1" t="s">
        <v>163</v>
      </c>
      <c r="C23" s="7">
        <v>0.28298926569632887</v>
      </c>
      <c r="D23" s="7">
        <f>C23+預測IC!D23</f>
        <v>0.53708189314779009</v>
      </c>
      <c r="E23" s="7">
        <f>D23+預測IC!E23</f>
        <v>0.45614072057711785</v>
      </c>
      <c r="F23" s="7">
        <f>E23+預測IC!F23</f>
        <v>0.45240048763520718</v>
      </c>
      <c r="G23" s="7">
        <f>F23+預測IC!G23</f>
        <v>0.81403260841364</v>
      </c>
      <c r="H23" s="7">
        <f>G23+預測IC!H23</f>
        <v>0.79584413757215533</v>
      </c>
      <c r="I23" s="7">
        <f>H23+預測IC!I23</f>
        <v>0.9439961661724493</v>
      </c>
      <c r="J23" s="7">
        <f>I23+預測IC!J23</f>
        <v>0.8291186602420042</v>
      </c>
      <c r="K23" s="7">
        <f>J23+預測IC!K23</f>
        <v>0.7692007757339413</v>
      </c>
      <c r="L23" s="7">
        <f>K23+預測IC!L23</f>
        <v>0.81997160943912428</v>
      </c>
      <c r="M23" s="7">
        <f>L23+預測IC!M23</f>
        <v>0.67268464141162743</v>
      </c>
      <c r="N23" s="7">
        <f>M23+預測IC!N23</f>
        <v>1.6485860846829075</v>
      </c>
      <c r="O23" s="7">
        <f>N23+預測IC!O23</f>
        <v>1.8531504626559094</v>
      </c>
      <c r="P23" s="7">
        <f>O23+預測IC!P23</f>
        <v>1.9078319886904573</v>
      </c>
      <c r="Q23" s="7">
        <f>P23+預測IC!Q23</f>
        <v>2.1990054821571619</v>
      </c>
      <c r="R23" s="7">
        <f>Q23+預測IC!R23</f>
        <v>2.2618274601269235</v>
      </c>
      <c r="S23" s="7">
        <f>R23+預測IC!S23</f>
        <v>2.1892547956768613</v>
      </c>
      <c r="T23" s="7">
        <f>S23+預測IC!T23</f>
        <v>2.1045786199081329</v>
      </c>
      <c r="U23" s="7">
        <f>T23+預測IC!U23</f>
        <v>2.1638204093892344</v>
      </c>
      <c r="V23" s="7">
        <f>U23+預測IC!V23</f>
        <v>1.9313432060183096</v>
      </c>
      <c r="W23" s="7">
        <f>V23+預測IC!W23</f>
        <v>2.1908905296953689</v>
      </c>
      <c r="X23" s="7">
        <f>W23+預測IC!X23</f>
        <v>2.3854469911530134</v>
      </c>
      <c r="Y23" s="7">
        <f>X23+預測IC!Y23</f>
        <v>2.3174970695616626</v>
      </c>
      <c r="Z23" s="7">
        <f>Y23+預測IC!Z23</f>
        <v>2.3585490360819139</v>
      </c>
      <c r="AA23" s="7">
        <f>Z23+預測IC!AA23</f>
        <v>2.365155328051384</v>
      </c>
      <c r="AB23" s="7">
        <f>AA23+預測IC!AB23</f>
        <v>2.3174063828322287</v>
      </c>
      <c r="AC23" s="7">
        <f>AB23+預測IC!AC23</f>
        <v>2.083397761885784</v>
      </c>
      <c r="AD23" s="7">
        <f>AC23+預測IC!AD23</f>
        <v>2.155026629971458</v>
      </c>
      <c r="AE23" s="7">
        <f>AD23+預測IC!AE23</f>
        <v>1.9333133941498089</v>
      </c>
      <c r="AF23" s="7">
        <f>AE23+預測IC!AF23</f>
        <v>1.9080129017832617</v>
      </c>
      <c r="AG23" s="7">
        <f>AF23+預測IC!AG23</f>
        <v>1.8161392441369015</v>
      </c>
      <c r="AH23" s="7">
        <f>AG23+預測IC!AH23</f>
        <v>1.7319676596137183</v>
      </c>
      <c r="AI23" s="7">
        <f>AH23+預測IC!AI23</f>
        <v>1.7551959262362002</v>
      </c>
      <c r="AJ23" s="7">
        <f>AI23+預測IC!AJ23</f>
        <v>1.7608390640843545</v>
      </c>
      <c r="AK23" s="7">
        <f>AJ23+預測IC!AK23</f>
        <v>1.8749501634315455</v>
      </c>
      <c r="AL23" s="7">
        <f>AK23+預測IC!AL23</f>
        <v>2.0063818766240811</v>
      </c>
      <c r="AM23" s="7">
        <f>AL23+預測IC!AM23</f>
        <v>2.0141513656289463</v>
      </c>
      <c r="AN23" s="7">
        <f>AM23+預測IC!AN23</f>
        <v>2.2564660649862471</v>
      </c>
      <c r="AO23" s="7">
        <f>AN23+預測IC!AO23</f>
        <v>2.251129112794823</v>
      </c>
      <c r="AP23" s="7">
        <f>AO23+預測IC!AP23</f>
        <v>2.2542502121471286</v>
      </c>
      <c r="AQ23" s="7">
        <f>AP23+預測IC!AQ23</f>
        <v>2.3436752044067393</v>
      </c>
      <c r="AR23" s="7">
        <f>AQ23+預測IC!AR23</f>
        <v>2.197539040067372</v>
      </c>
      <c r="AS23" s="7">
        <f>AR23+預測IC!AS23</f>
        <v>2.1828321520699943</v>
      </c>
      <c r="AT23" s="7">
        <f>AS23+預測IC!AT23</f>
        <v>2.1997833828857254</v>
      </c>
      <c r="AU23" s="7">
        <f>AT23+預測IC!AU23</f>
        <v>2.2329289090142299</v>
      </c>
      <c r="AV23" s="7">
        <f>AU23+預測IC!AV23</f>
        <v>2.1361716586140966</v>
      </c>
      <c r="AW23" s="7">
        <f>AV23+預測IC!AW23</f>
        <v>2.0841447487756937</v>
      </c>
      <c r="AX23" s="7">
        <f>AW23+預測IC!AX23</f>
        <v>2.1539829026027375</v>
      </c>
      <c r="AY23" s="7">
        <f>AX23+預測IC!AY23</f>
        <v>1.9908349915220271</v>
      </c>
      <c r="AZ23" s="7">
        <f>AY23+預測IC!AZ23</f>
        <v>2.0689065680432344</v>
      </c>
      <c r="BA23" s="7">
        <f>AZ23+預測IC!BA23</f>
        <v>2.1229049066730918</v>
      </c>
      <c r="BB23" s="7">
        <f>BA23+預測IC!BB23</f>
        <v>2.6897314327205324</v>
      </c>
      <c r="BC23" s="7">
        <f>BB23+預測IC!BC23</f>
        <v>2.5167313723460349</v>
      </c>
      <c r="BD23" s="7">
        <f>BC23+預測IC!BD23</f>
        <v>2.6427041568205309</v>
      </c>
      <c r="BE23" s="7">
        <f>BD23+預測IC!BE23</f>
        <v>2.556171762030528</v>
      </c>
      <c r="BF23" s="7">
        <f>BE23+預測IC!BF23</f>
        <v>2.4961588184087029</v>
      </c>
      <c r="BG23" s="7">
        <f>BF23+預測IC!BG23</f>
        <v>2.4512501437144363</v>
      </c>
      <c r="BH23" s="7">
        <f>BG23+預測IC!BH23</f>
        <v>2.6547341250697234</v>
      </c>
      <c r="BI23" s="7">
        <f>BH23+預測IC!BI23</f>
        <v>2.7759396487051333</v>
      </c>
      <c r="BJ23" s="7">
        <f>BI23+預測IC!BJ23</f>
        <v>2.8334335095106242</v>
      </c>
      <c r="BK23" s="7">
        <f>BJ23+預測IC!BK23</f>
        <v>2.8812828328118125</v>
      </c>
      <c r="BL23" s="7">
        <f>BK23+預測IC!BL23</f>
        <v>2.8278506128671395</v>
      </c>
      <c r="BM23" s="7">
        <f>BL23+預測IC!BM23</f>
        <v>2.6437028056092711</v>
      </c>
      <c r="BN23" s="7">
        <f>BM23+預測IC!BN23</f>
        <v>2.6052495683689978</v>
      </c>
      <c r="BO23" s="7">
        <f>BN23+預測IC!BO23</f>
        <v>2.6670650483368643</v>
      </c>
      <c r="BP23" s="7">
        <f>BO23+預測IC!BP23</f>
        <v>2.6895407697295464</v>
      </c>
      <c r="BQ23" s="7">
        <f>BP23+預測IC!BQ23</f>
        <v>2.7615886711648123</v>
      </c>
      <c r="BR23" s="7">
        <f>BQ23+預測IC!BR23</f>
        <v>2.7794329926287751</v>
      </c>
      <c r="BS23" s="7">
        <f>BR23+預測IC!BS23</f>
        <v>2.7061576039708632</v>
      </c>
      <c r="BT23" s="7">
        <f>BS23+預測IC!BT23</f>
        <v>2.4879709278379591</v>
      </c>
      <c r="BU23" s="7">
        <f>BT23+預測IC!BU23</f>
        <v>2.3822856540445558</v>
      </c>
      <c r="BV23" s="7">
        <f>BU23+預測IC!BV23</f>
        <v>2.3652667031686279</v>
      </c>
      <c r="BW23" s="7">
        <f>BV23+預測IC!BW23</f>
        <v>2.9662642296020789</v>
      </c>
      <c r="BX23" s="7">
        <f>BW23+預測IC!BX23</f>
        <v>2.8975291402712808</v>
      </c>
      <c r="BY23" s="7">
        <f>BX23+預測IC!BY23</f>
        <v>2.9374685891474113</v>
      </c>
      <c r="BZ23" s="7">
        <f>BY23+預測IC!BZ23</f>
        <v>2.945138351579256</v>
      </c>
      <c r="CA23" s="7">
        <f>BZ23+預測IC!CA23</f>
        <v>3.1515110739667427</v>
      </c>
      <c r="CB23" s="7">
        <f>CA23+預測IC!CB23</f>
        <v>3.4676778357254925</v>
      </c>
      <c r="CC23" s="7">
        <f>CB23+預測IC!CC23</f>
        <v>3.3831332210097171</v>
      </c>
      <c r="CD23" s="7">
        <f>CC23+預測IC!CD23</f>
        <v>3.5748096760245023</v>
      </c>
      <c r="CE23" s="7">
        <f>CD23+預測IC!CE23</f>
        <v>3.6344119778622197</v>
      </c>
      <c r="CF23" s="7">
        <f>CE23+預測IC!CF23</f>
        <v>3.4509787415766602</v>
      </c>
      <c r="CG23" s="7">
        <f>CF23+預測IC!CG23</f>
        <v>3.7438826796943974</v>
      </c>
      <c r="CH23" s="7">
        <f>CG23+預測IC!CH23</f>
        <v>3.9240791286158259</v>
      </c>
      <c r="CI23" s="7">
        <f>CH23+預測IC!CI23</f>
        <v>3.864956654702302</v>
      </c>
      <c r="CJ23" s="7">
        <f>CI23+預測IC!CJ23</f>
        <v>3.9032119036385788</v>
      </c>
      <c r="CK23" s="7">
        <f>CJ23+預測IC!CK23</f>
        <v>3.8466175782590737</v>
      </c>
      <c r="CL23" s="7">
        <f>CK23+預測IC!CL23</f>
        <v>4.6677664050246053</v>
      </c>
      <c r="CM23" s="7">
        <f>CL23+預測IC!CM23</f>
        <v>4.4330614324085067</v>
      </c>
      <c r="CN23" s="7">
        <f>CM23+預測IC!CN23</f>
        <v>4.4830304879727496</v>
      </c>
      <c r="CO23" s="7">
        <f>CN23+預測IC!CO23</f>
        <v>4.7491890256998506</v>
      </c>
      <c r="CP23" s="7">
        <f>CO23+預測IC!CP23</f>
        <v>4.6294707120207583</v>
      </c>
      <c r="CQ23" s="7">
        <f>CP23+預測IC!CQ23</f>
        <v>4.5621556138723864</v>
      </c>
      <c r="CR23" s="7">
        <f>CQ23+預測IC!CR23</f>
        <v>4.5239227747011661</v>
      </c>
      <c r="CS23" s="7">
        <f>CR23+預測IC!CS23</f>
        <v>4.5929381455580716</v>
      </c>
      <c r="CT23" s="7">
        <f>CS23+預測IC!CT23</f>
        <v>4.6583283609380217</v>
      </c>
      <c r="CU23" s="7">
        <f>CT23+預測IC!CU23</f>
        <v>4.6372717652247344</v>
      </c>
      <c r="CV23" s="7">
        <f>CU23+預測IC!CV23</f>
        <v>4.6150266277359284</v>
      </c>
      <c r="CW23" s="7">
        <f>CV23+預測IC!CW23</f>
        <v>4.6791917398517695</v>
      </c>
      <c r="CX23" s="7">
        <f>CW23+預測IC!CX23</f>
        <v>4.6349376603022341</v>
      </c>
      <c r="CY23" s="7">
        <f>CX23+預測IC!CY23</f>
        <v>4.788687993973773</v>
      </c>
      <c r="CZ23" s="7">
        <f>CY23+預測IC!CZ23</f>
        <v>4.9706867878311245</v>
      </c>
      <c r="DA23" s="7">
        <f>CZ23+預測IC!DA23</f>
        <v>4.9397046516052141</v>
      </c>
      <c r="DB23" s="7">
        <f>DA23+預測IC!DB23</f>
        <v>4.9237494947382174</v>
      </c>
      <c r="DC23" s="7">
        <f>DB23+預測IC!DC23</f>
        <v>4.9961655283946431</v>
      </c>
      <c r="DD23" s="7">
        <f>DC23+預測IC!DD23</f>
        <v>4.9777577021216421</v>
      </c>
      <c r="DE23" s="7">
        <f>DD23+預測IC!DE23</f>
        <v>4.8363124022620827</v>
      </c>
      <c r="DF23" s="7">
        <f>DE23+預測IC!DF23</f>
        <v>4.8982545293069881</v>
      </c>
      <c r="DG23" s="7">
        <f>DF23+預測IC!DG23</f>
        <v>4.9365245411817051</v>
      </c>
      <c r="DH23" s="7">
        <f>DG23+預測IC!DH23</f>
        <v>5.0757514346938137</v>
      </c>
      <c r="DI23" s="7">
        <f>DH23+預測IC!DI23</f>
        <v>5.1717919855647096</v>
      </c>
      <c r="DJ23" s="7">
        <f>DI23+預測IC!DJ23</f>
        <v>5.0847339773923617</v>
      </c>
      <c r="DK23" s="7">
        <f>DJ23+預測IC!DK23</f>
        <v>4.993488988651535</v>
      </c>
      <c r="DL23" s="7">
        <f>DK23+預測IC!DL23</f>
        <v>4.9368816543204597</v>
      </c>
      <c r="DM23" s="7">
        <f>DL23+預測IC!DM23</f>
        <v>4.9833589703097019</v>
      </c>
      <c r="DN23" s="7">
        <f>DM23+預測IC!DN23</f>
        <v>4.865154215882332</v>
      </c>
      <c r="DO23" s="7">
        <f>DN23+預測IC!DO23</f>
        <v>4.9892226578700614</v>
      </c>
      <c r="DP23" s="7">
        <f>DO23+預測IC!DP23</f>
        <v>4.9508182620320627</v>
      </c>
      <c r="DQ23" s="7">
        <f>DP23+預測IC!DQ23</f>
        <v>4.8296862207746054</v>
      </c>
      <c r="DR23" s="7">
        <f>DQ23+預測IC!DR23</f>
        <v>4.7272604255396038</v>
      </c>
      <c r="DS23" s="7">
        <f>DR23+預測IC!DS23</f>
        <v>4.4391638486205576</v>
      </c>
      <c r="DT23" s="7">
        <f>DS23+預測IC!DT23</f>
        <v>4.3849133879519453</v>
      </c>
      <c r="DU23" s="7">
        <f>DT23+預測IC!DU23</f>
        <v>4.3292739092436632</v>
      </c>
      <c r="DV23" s="7">
        <f>DU23+預測IC!DV23</f>
        <v>4.3374071628589377</v>
      </c>
      <c r="DW23" s="7">
        <f>DV23+預測IC!DW23</f>
        <v>4.3604589836139995</v>
      </c>
      <c r="DX23" s="7">
        <f>DW23+預測IC!DX23</f>
        <v>4.0469657772350329</v>
      </c>
      <c r="DY23" s="7">
        <f>DX23+預測IC!DY23</f>
        <v>4.2168426058872868</v>
      </c>
      <c r="DZ23" s="7">
        <f>DY23+預測IC!DZ23</f>
        <v>3.9996686181348453</v>
      </c>
      <c r="EA23" s="7">
        <f>DZ23+預測IC!EA23</f>
        <v>3.9762197105217258</v>
      </c>
      <c r="EB23" s="7">
        <f>EA23+預測IC!EB23</f>
        <v>3.8379942153985236</v>
      </c>
      <c r="EC23" s="7">
        <f>EB23+預測IC!EC23</f>
        <v>3.8014098990727101</v>
      </c>
      <c r="ED23" s="7">
        <f>EC23+預測IC!ED23</f>
        <v>3.8403103216424341</v>
      </c>
      <c r="EE23" s="7">
        <f>ED23+預測IC!EE23</f>
        <v>3.7710982456574413</v>
      </c>
      <c r="EF23" s="7">
        <f>EE23+預測IC!EF23</f>
        <v>3.7233159670657816</v>
      </c>
    </row>
    <row r="24" spans="1:136" x14ac:dyDescent="0.3">
      <c r="B24" s="1" t="s">
        <v>164</v>
      </c>
      <c r="C24" s="7">
        <v>9.9113364206882743E-2</v>
      </c>
      <c r="D24" s="7">
        <f>C24+預測IC!D24</f>
        <v>0.19972327710611135</v>
      </c>
      <c r="E24" s="7">
        <f>D24+預測IC!E24</f>
        <v>0.27112360727540824</v>
      </c>
      <c r="F24" s="7">
        <f>E24+預測IC!F24</f>
        <v>0.34645010110711494</v>
      </c>
      <c r="G24" s="7">
        <f>F24+預測IC!G24</f>
        <v>0.57605715296527871</v>
      </c>
      <c r="H24" s="7">
        <f>G24+預測IC!H24</f>
        <v>0.61191294962023535</v>
      </c>
      <c r="I24" s="7">
        <f>H24+預測IC!I24</f>
        <v>0.60980101641709183</v>
      </c>
      <c r="J24" s="7">
        <f>I24+預測IC!J24</f>
        <v>0.49433821820306934</v>
      </c>
      <c r="K24" s="7">
        <f>J24+預測IC!K24</f>
        <v>0.54807121487130339</v>
      </c>
      <c r="L24" s="7">
        <f>K24+預測IC!L24</f>
        <v>0.64187090812805381</v>
      </c>
      <c r="M24" s="7">
        <f>L24+預測IC!M24</f>
        <v>0.42408523509031232</v>
      </c>
      <c r="N24" s="7">
        <f>M24+預測IC!N24</f>
        <v>2.1931166042028813</v>
      </c>
      <c r="O24" s="7">
        <f>N24+預測IC!O24</f>
        <v>2.4284257976083046</v>
      </c>
      <c r="P24" s="7">
        <f>O24+預測IC!P24</f>
        <v>2.4301620864726519</v>
      </c>
      <c r="Q24" s="7">
        <f>P24+預測IC!Q24</f>
        <v>2.4273149508702545</v>
      </c>
      <c r="R24" s="7">
        <f>Q24+預測IC!R24</f>
        <v>2.3994921269851663</v>
      </c>
      <c r="S24" s="7">
        <f>R24+預測IC!S24</f>
        <v>2.3884376667777176</v>
      </c>
      <c r="T24" s="7">
        <f>S24+預測IC!T24</f>
        <v>2.1006210632582301</v>
      </c>
      <c r="U24" s="7">
        <f>T24+預測IC!U24</f>
        <v>2.3864773532396306</v>
      </c>
      <c r="V24" s="7">
        <f>U24+預測IC!V24</f>
        <v>2.2877988419803006</v>
      </c>
      <c r="W24" s="7">
        <f>V24+預測IC!W24</f>
        <v>2.1232343243934206</v>
      </c>
      <c r="X24" s="7">
        <f>W24+預測IC!X24</f>
        <v>2.1223354479284033</v>
      </c>
      <c r="Y24" s="7">
        <f>X24+預測IC!Y24</f>
        <v>2.0020179548638728</v>
      </c>
      <c r="Z24" s="7">
        <f>Y24+預測IC!Z24</f>
        <v>1.9776234061142965</v>
      </c>
      <c r="AA24" s="7">
        <f>Z24+預測IC!AA24</f>
        <v>1.9911711743518739</v>
      </c>
      <c r="AB24" s="7">
        <f>AA24+預測IC!AB24</f>
        <v>1.8069197516830955</v>
      </c>
      <c r="AC24" s="7">
        <f>AB24+預測IC!AC24</f>
        <v>1.5607507928983959</v>
      </c>
      <c r="AD24" s="7">
        <f>AC24+預測IC!AD24</f>
        <v>1.6619260921551189</v>
      </c>
      <c r="AE24" s="7">
        <f>AD24+預測IC!AE24</f>
        <v>1.4866572771477768</v>
      </c>
      <c r="AF24" s="7">
        <f>AE24+預測IC!AF24</f>
        <v>1.3209534975012345</v>
      </c>
      <c r="AG24" s="7">
        <f>AF24+預測IC!AG24</f>
        <v>1.182217779874597</v>
      </c>
      <c r="AH24" s="7">
        <f>AG24+預測IC!AH24</f>
        <v>1.1255204198068074</v>
      </c>
      <c r="AI24" s="7">
        <f>AH24+預測IC!AI24</f>
        <v>1.1167120887083801</v>
      </c>
      <c r="AJ24" s="7">
        <f>AI24+預測IC!AJ24</f>
        <v>1.0358208447090047</v>
      </c>
      <c r="AK24" s="7">
        <f>AJ24+預測IC!AK24</f>
        <v>1.1207047977771971</v>
      </c>
      <c r="AL24" s="7">
        <f>AK24+預測IC!AL24</f>
        <v>1.0660278622865618</v>
      </c>
      <c r="AM24" s="7">
        <f>AL24+預測IC!AM24</f>
        <v>1.047108580866035</v>
      </c>
      <c r="AN24" s="7">
        <f>AM24+預測IC!AN24</f>
        <v>1.2682980460114663</v>
      </c>
      <c r="AO24" s="7">
        <f>AN24+預測IC!AO24</f>
        <v>1.3343881578404564</v>
      </c>
      <c r="AP24" s="7">
        <f>AO24+預測IC!AP24</f>
        <v>1.31153644235136</v>
      </c>
      <c r="AQ24" s="7">
        <f>AP24+預測IC!AQ24</f>
        <v>1.3586134151856057</v>
      </c>
      <c r="AR24" s="7">
        <f>AQ24+預測IC!AR24</f>
        <v>1.1877800090147801</v>
      </c>
      <c r="AS24" s="7">
        <f>AR24+預測IC!AS24</f>
        <v>1.15982393174819</v>
      </c>
      <c r="AT24" s="7">
        <f>AS24+預測IC!AT24</f>
        <v>1.1657525413372458</v>
      </c>
      <c r="AU24" s="7">
        <f>AT24+預測IC!AU24</f>
        <v>1.2098478612024701</v>
      </c>
      <c r="AV24" s="7">
        <f>AU24+預測IC!AV24</f>
        <v>1.1903256467799461</v>
      </c>
      <c r="AW24" s="7">
        <f>AV24+預測IC!AW24</f>
        <v>1.1953131882909853</v>
      </c>
      <c r="AX24" s="7">
        <f>AW24+預測IC!AX24</f>
        <v>1.2236193748794097</v>
      </c>
      <c r="AY24" s="7">
        <f>AX24+預測IC!AY24</f>
        <v>0.78014593314291059</v>
      </c>
      <c r="AZ24" s="7">
        <f>AY24+預測IC!AZ24</f>
        <v>0.89876965821408705</v>
      </c>
      <c r="BA24" s="7">
        <f>AZ24+預測IC!BA24</f>
        <v>0.94926096362609935</v>
      </c>
      <c r="BB24" s="7">
        <f>BA24+預測IC!BB24</f>
        <v>1.6400374950067711</v>
      </c>
      <c r="BC24" s="7">
        <f>BB24+預測IC!BC24</f>
        <v>1.4342878945704494</v>
      </c>
      <c r="BD24" s="7">
        <f>BC24+預測IC!BD24</f>
        <v>1.4529189286573132</v>
      </c>
      <c r="BE24" s="7">
        <f>BD24+預測IC!BE24</f>
        <v>1.3487878058066287</v>
      </c>
      <c r="BF24" s="7">
        <f>BE24+預測IC!BF24</f>
        <v>1.2485561004252224</v>
      </c>
      <c r="BG24" s="7">
        <f>BF24+預測IC!BG24</f>
        <v>1.0719325647459055</v>
      </c>
      <c r="BH24" s="7">
        <f>BG24+預測IC!BH24</f>
        <v>1.4581879016594406</v>
      </c>
      <c r="BI24" s="7">
        <f>BH24+預測IC!BI24</f>
        <v>1.6274568266521596</v>
      </c>
      <c r="BJ24" s="7">
        <f>BI24+預測IC!BJ24</f>
        <v>1.8270968598226107</v>
      </c>
      <c r="BK24" s="7">
        <f>BJ24+預測IC!BK24</f>
        <v>1.8619245069953847</v>
      </c>
      <c r="BL24" s="7">
        <f>BK24+預測IC!BL24</f>
        <v>1.8310258954762109</v>
      </c>
      <c r="BM24" s="7">
        <f>BL24+預測IC!BM24</f>
        <v>1.4541095379165667</v>
      </c>
      <c r="BN24" s="7">
        <f>BM24+預測IC!BN24</f>
        <v>1.3451962776000193</v>
      </c>
      <c r="BO24" s="7">
        <f>BN24+預測IC!BO24</f>
        <v>1.3395718560415528</v>
      </c>
      <c r="BP24" s="7">
        <f>BO24+預測IC!BP24</f>
        <v>1.3077777517116631</v>
      </c>
      <c r="BQ24" s="7">
        <f>BP24+預測IC!BQ24</f>
        <v>1.2436081183815482</v>
      </c>
      <c r="BR24" s="7">
        <f>BQ24+預測IC!BR24</f>
        <v>1.285964341684966</v>
      </c>
      <c r="BS24" s="7">
        <f>BR24+預測IC!BS24</f>
        <v>1.284679624200509</v>
      </c>
      <c r="BT24" s="7">
        <f>BS24+預測IC!BT24</f>
        <v>1.0079606080603005</v>
      </c>
      <c r="BU24" s="7">
        <f>BT24+預測IC!BU24</f>
        <v>0.9992121157454551</v>
      </c>
      <c r="BV24" s="7">
        <f>BU24+預測IC!BV24</f>
        <v>0.79590796391500473</v>
      </c>
      <c r="BW24" s="7">
        <f>BV24+預測IC!BW24</f>
        <v>1.9049200339523669</v>
      </c>
      <c r="BX24" s="7">
        <f>BW24+預測IC!BX24</f>
        <v>1.8009649999032755</v>
      </c>
      <c r="BY24" s="7">
        <f>BX24+預測IC!BY24</f>
        <v>1.5106281249578586</v>
      </c>
      <c r="BZ24" s="7">
        <f>BY24+預測IC!BZ24</f>
        <v>1.7695210238078554</v>
      </c>
      <c r="CA24" s="7">
        <f>BZ24+預測IC!CA24</f>
        <v>1.8695459394968061</v>
      </c>
      <c r="CB24" s="7">
        <f>CA24+預測IC!CB24</f>
        <v>2.5092440731313213</v>
      </c>
      <c r="CC24" s="7">
        <f>CB24+預測IC!CC24</f>
        <v>2.3267741932437596</v>
      </c>
      <c r="CD24" s="7">
        <f>CC24+預測IC!CD24</f>
        <v>2.4710805039859545</v>
      </c>
      <c r="CE24" s="7">
        <f>CD24+預測IC!CE24</f>
        <v>2.6366453779770689</v>
      </c>
      <c r="CF24" s="7">
        <f>CE24+預測IC!CF24</f>
        <v>2.4715140249676728</v>
      </c>
      <c r="CG24" s="7">
        <f>CF24+預測IC!CG24</f>
        <v>2.7087918598275982</v>
      </c>
      <c r="CH24" s="7">
        <f>CG24+預測IC!CH24</f>
        <v>3.0630691566701014</v>
      </c>
      <c r="CI24" s="7">
        <f>CH24+預測IC!CI24</f>
        <v>3.0045609994370626</v>
      </c>
      <c r="CJ24" s="7">
        <f>CI24+預測IC!CJ24</f>
        <v>3.0617351290108186</v>
      </c>
      <c r="CK24" s="7">
        <f>CJ24+預測IC!CK24</f>
        <v>3.0935902952520364</v>
      </c>
      <c r="CL24" s="7">
        <f>CK24+預測IC!CL24</f>
        <v>4.2422103301223828</v>
      </c>
      <c r="CM24" s="7">
        <f>CL24+預測IC!CM24</f>
        <v>3.6057770657628723</v>
      </c>
      <c r="CN24" s="7">
        <f>CM24+預測IC!CN24</f>
        <v>3.6206935960109208</v>
      </c>
      <c r="CO24" s="7">
        <f>CN24+預測IC!CO24</f>
        <v>4.0731710378013739</v>
      </c>
      <c r="CP24" s="7">
        <f>CO24+預測IC!CP24</f>
        <v>3.8238323205472402</v>
      </c>
      <c r="CQ24" s="7">
        <f>CP24+預測IC!CQ24</f>
        <v>3.6462268980160855</v>
      </c>
      <c r="CR24" s="7">
        <f>CQ24+預測IC!CR24</f>
        <v>3.5494089908247468</v>
      </c>
      <c r="CS24" s="7">
        <f>CR24+預測IC!CS24</f>
        <v>3.5225540683036383</v>
      </c>
      <c r="CT24" s="7">
        <f>CS24+預測IC!CT24</f>
        <v>3.4030096799677985</v>
      </c>
      <c r="CU24" s="7">
        <f>CT24+預測IC!CU24</f>
        <v>3.3302583323110886</v>
      </c>
      <c r="CV24" s="7">
        <f>CU24+預測IC!CV24</f>
        <v>3.3453223798504639</v>
      </c>
      <c r="CW24" s="7">
        <f>CV24+預測IC!CW24</f>
        <v>3.3437342376426562</v>
      </c>
      <c r="CX24" s="7">
        <f>CW24+預測IC!CX24</f>
        <v>3.3964994964859234</v>
      </c>
      <c r="CY24" s="7">
        <f>CX24+預測IC!CY24</f>
        <v>3.7176472486926642</v>
      </c>
      <c r="CZ24" s="7">
        <f>CY24+預測IC!CZ24</f>
        <v>3.8298538771372312</v>
      </c>
      <c r="DA24" s="7">
        <f>CZ24+預測IC!DA24</f>
        <v>3.8543650812999859</v>
      </c>
      <c r="DB24" s="7">
        <f>DA24+預測IC!DB24</f>
        <v>3.6589044087873317</v>
      </c>
      <c r="DC24" s="7">
        <f>DB24+預測IC!DC24</f>
        <v>3.8384575240266798</v>
      </c>
      <c r="DD24" s="7">
        <f>DC24+預測IC!DD24</f>
        <v>3.8877572966974552</v>
      </c>
      <c r="DE24" s="7">
        <f>DD24+預測IC!DE24</f>
        <v>3.5811212163619999</v>
      </c>
      <c r="DF24" s="7">
        <f>DE24+預測IC!DF24</f>
        <v>3.4764562403414385</v>
      </c>
      <c r="DG24" s="7">
        <f>DF24+預測IC!DG24</f>
        <v>3.5355620744657825</v>
      </c>
      <c r="DH24" s="7">
        <f>DG24+預測IC!DH24</f>
        <v>3.8013647504582946</v>
      </c>
      <c r="DI24" s="7">
        <f>DH24+預測IC!DI24</f>
        <v>3.8385496587326755</v>
      </c>
      <c r="DJ24" s="7">
        <f>DI24+預測IC!DJ24</f>
        <v>3.706061048223436</v>
      </c>
      <c r="DK24" s="7">
        <f>DJ24+預測IC!DK24</f>
        <v>3.5863808670152464</v>
      </c>
      <c r="DL24" s="7">
        <f>DK24+預測IC!DL24</f>
        <v>3.5546321687006661</v>
      </c>
      <c r="DM24" s="7">
        <f>DL24+預測IC!DM24</f>
        <v>3.5550456139457336</v>
      </c>
      <c r="DN24" s="7">
        <f>DM24+預測IC!DN24</f>
        <v>3.4060123581162518</v>
      </c>
      <c r="DO24" s="7">
        <f>DN24+預測IC!DO24</f>
        <v>3.521624313139732</v>
      </c>
      <c r="DP24" s="7">
        <f>DO24+預測IC!DP24</f>
        <v>3.3772936707593759</v>
      </c>
      <c r="DQ24" s="7">
        <f>DP24+預測IC!DQ24</f>
        <v>3.3268074802804506</v>
      </c>
      <c r="DR24" s="7">
        <f>DQ24+預測IC!DR24</f>
        <v>3.3034157490069216</v>
      </c>
      <c r="DS24" s="7">
        <f>DR24+預測IC!DS24</f>
        <v>3.0871542079740761</v>
      </c>
      <c r="DT24" s="7">
        <f>DS24+預測IC!DT24</f>
        <v>3.0124208627080713</v>
      </c>
      <c r="DU24" s="7">
        <f>DT24+預測IC!DU24</f>
        <v>3.0342022580693015</v>
      </c>
      <c r="DV24" s="7">
        <f>DU24+預測IC!DV24</f>
        <v>3.1322490928719273</v>
      </c>
      <c r="DW24" s="7">
        <f>DV24+預測IC!DW24</f>
        <v>3.2334315895271715</v>
      </c>
      <c r="DX24" s="7">
        <f>DW24+預測IC!DX24</f>
        <v>2.9218384617346675</v>
      </c>
      <c r="DY24" s="7">
        <f>DX24+預測IC!DY24</f>
        <v>3.2656427485328763</v>
      </c>
      <c r="DZ24" s="7">
        <f>DY24+預測IC!DZ24</f>
        <v>2.8321361697961844</v>
      </c>
      <c r="EA24" s="7">
        <f>DZ24+預測IC!EA24</f>
        <v>2.9094870920235203</v>
      </c>
      <c r="EB24" s="7">
        <f>EA24+預測IC!EB24</f>
        <v>2.8002583196507138</v>
      </c>
      <c r="EC24" s="7">
        <f>EB24+預測IC!EC24</f>
        <v>2.7859484008800348</v>
      </c>
      <c r="ED24" s="7">
        <f>EC24+預測IC!ED24</f>
        <v>2.7161132472134182</v>
      </c>
      <c r="EE24" s="7">
        <f>ED24+預測IC!EE24</f>
        <v>2.6086325899790004</v>
      </c>
      <c r="EF24" s="7">
        <f>EE24+預測IC!EF24</f>
        <v>2.6759092670229689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1"/>
  <sheetViews>
    <sheetView workbookViewId="0"/>
  </sheetViews>
  <sheetFormatPr defaultRowHeight="15" x14ac:dyDescent="0.3"/>
  <cols>
    <col min="1" max="1" width="16.375" bestFit="1" customWidth="1"/>
  </cols>
  <sheetData>
    <row r="1" spans="1:137" x14ac:dyDescent="0.3">
      <c r="A1" t="str">
        <f>預測IC!A1</f>
        <v>NN4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7" spans="1:137" x14ac:dyDescent="0.3">
      <c r="A7" t="s">
        <v>165</v>
      </c>
    </row>
    <row r="8" spans="1:137" x14ac:dyDescent="0.3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  <c r="BD8" s="1" t="s">
        <v>55</v>
      </c>
      <c r="BE8" s="1" t="s">
        <v>56</v>
      </c>
      <c r="BF8" s="1" t="s">
        <v>57</v>
      </c>
      <c r="BG8" s="1" t="s">
        <v>58</v>
      </c>
      <c r="BH8" s="1" t="s">
        <v>59</v>
      </c>
      <c r="BI8" s="1" t="s">
        <v>60</v>
      </c>
      <c r="BJ8" s="1" t="s">
        <v>61</v>
      </c>
      <c r="BK8" s="1" t="s">
        <v>62</v>
      </c>
      <c r="BL8" s="1" t="s">
        <v>63</v>
      </c>
      <c r="BM8" s="1" t="s">
        <v>64</v>
      </c>
      <c r="BN8" s="1" t="s">
        <v>65</v>
      </c>
      <c r="BO8" s="1" t="s">
        <v>66</v>
      </c>
      <c r="BP8" s="1" t="s">
        <v>67</v>
      </c>
      <c r="BQ8" s="1" t="s">
        <v>68</v>
      </c>
      <c r="BR8" s="1" t="s">
        <v>69</v>
      </c>
      <c r="BS8" s="1" t="s">
        <v>70</v>
      </c>
      <c r="BT8" s="1" t="s">
        <v>71</v>
      </c>
      <c r="BU8" s="1" t="s">
        <v>72</v>
      </c>
      <c r="BV8" s="1" t="s">
        <v>73</v>
      </c>
      <c r="BW8" s="1" t="s">
        <v>74</v>
      </c>
      <c r="BX8" s="1" t="s">
        <v>75</v>
      </c>
      <c r="BY8" s="1" t="s">
        <v>76</v>
      </c>
      <c r="BZ8" s="1" t="s">
        <v>77</v>
      </c>
      <c r="CA8" s="1" t="s">
        <v>78</v>
      </c>
      <c r="CB8" s="1" t="s">
        <v>79</v>
      </c>
      <c r="CC8" s="1" t="s">
        <v>80</v>
      </c>
      <c r="CD8" s="1" t="s">
        <v>81</v>
      </c>
      <c r="CE8" s="1" t="s">
        <v>82</v>
      </c>
      <c r="CF8" s="1" t="s">
        <v>83</v>
      </c>
      <c r="CG8" s="1" t="s">
        <v>84</v>
      </c>
      <c r="CH8" s="1" t="s">
        <v>85</v>
      </c>
      <c r="CI8" s="1" t="s">
        <v>86</v>
      </c>
      <c r="CJ8" s="1" t="s">
        <v>87</v>
      </c>
      <c r="CK8" s="1" t="s">
        <v>88</v>
      </c>
      <c r="CL8" s="1" t="s">
        <v>89</v>
      </c>
      <c r="CM8" s="1" t="s">
        <v>90</v>
      </c>
      <c r="CN8" s="1" t="s">
        <v>91</v>
      </c>
      <c r="CO8" s="1" t="s">
        <v>92</v>
      </c>
      <c r="CP8" s="1" t="s">
        <v>93</v>
      </c>
      <c r="CQ8" s="1" t="s">
        <v>94</v>
      </c>
      <c r="CR8" s="1" t="s">
        <v>95</v>
      </c>
      <c r="CS8" s="1" t="s">
        <v>96</v>
      </c>
      <c r="CT8" s="1" t="s">
        <v>97</v>
      </c>
      <c r="CU8" s="1" t="s">
        <v>98</v>
      </c>
      <c r="CV8" s="1" t="s">
        <v>99</v>
      </c>
      <c r="CW8" s="1" t="s">
        <v>100</v>
      </c>
      <c r="CX8" s="1" t="s">
        <v>101</v>
      </c>
      <c r="CY8" s="1" t="s">
        <v>102</v>
      </c>
      <c r="CZ8" s="1" t="s">
        <v>103</v>
      </c>
      <c r="DA8" s="1" t="s">
        <v>104</v>
      </c>
      <c r="DB8" s="1" t="s">
        <v>105</v>
      </c>
      <c r="DC8" s="1" t="s">
        <v>106</v>
      </c>
      <c r="DD8" s="1" t="s">
        <v>107</v>
      </c>
      <c r="DE8" s="1" t="s">
        <v>108</v>
      </c>
      <c r="DF8" s="1" t="s">
        <v>109</v>
      </c>
      <c r="DG8" s="1" t="s">
        <v>110</v>
      </c>
      <c r="DH8" s="1" t="s">
        <v>111</v>
      </c>
      <c r="DI8" s="1" t="s">
        <v>112</v>
      </c>
      <c r="DJ8" s="1" t="s">
        <v>113</v>
      </c>
      <c r="DK8" s="1" t="s">
        <v>114</v>
      </c>
      <c r="DL8" s="1" t="s">
        <v>115</v>
      </c>
      <c r="DM8" s="1" t="s">
        <v>116</v>
      </c>
      <c r="DN8" s="1" t="s">
        <v>117</v>
      </c>
      <c r="DO8" s="1" t="s">
        <v>118</v>
      </c>
      <c r="DP8" s="1" t="s">
        <v>119</v>
      </c>
      <c r="DQ8" s="1" t="s">
        <v>120</v>
      </c>
      <c r="DR8" s="1" t="s">
        <v>121</v>
      </c>
      <c r="DS8" s="1" t="s">
        <v>122</v>
      </c>
      <c r="DT8" s="1" t="s">
        <v>123</v>
      </c>
      <c r="DU8" s="1" t="s">
        <v>124</v>
      </c>
      <c r="DV8" s="1" t="s">
        <v>125</v>
      </c>
      <c r="DW8" s="1" t="s">
        <v>126</v>
      </c>
      <c r="DX8" s="1" t="s">
        <v>127</v>
      </c>
      <c r="DY8" s="1" t="s">
        <v>128</v>
      </c>
      <c r="DZ8" s="1" t="s">
        <v>129</v>
      </c>
      <c r="EA8" s="1" t="s">
        <v>130</v>
      </c>
      <c r="EB8" s="1" t="s">
        <v>131</v>
      </c>
      <c r="EC8" s="1" t="s">
        <v>132</v>
      </c>
      <c r="ED8" s="1" t="s">
        <v>133</v>
      </c>
      <c r="EE8" s="1" t="s">
        <v>134</v>
      </c>
      <c r="EF8" s="1" t="s">
        <v>135</v>
      </c>
    </row>
    <row r="9" spans="1:137" x14ac:dyDescent="0.3">
      <c r="B9" s="1" t="s">
        <v>137</v>
      </c>
      <c r="C9" s="9">
        <v>0.10910583</v>
      </c>
      <c r="D9" s="9">
        <v>1.457658E-2</v>
      </c>
      <c r="E9" s="9">
        <v>-3.6154400000000003E-2</v>
      </c>
      <c r="F9" s="9">
        <v>-4.7425999999999996E-3</v>
      </c>
      <c r="G9" s="9">
        <v>-5.7478E-3</v>
      </c>
      <c r="H9" s="9">
        <v>4.9378020000000002E-2</v>
      </c>
      <c r="I9" s="9">
        <v>0.18325177000000001</v>
      </c>
      <c r="J9" s="9">
        <v>0.11648631</v>
      </c>
      <c r="K9" s="9">
        <v>-3.0594900000000001E-2</v>
      </c>
      <c r="L9" s="9">
        <v>1.982805E-2</v>
      </c>
      <c r="M9" s="9">
        <v>-2.0999E-2</v>
      </c>
      <c r="N9" s="9">
        <v>0.14977942</v>
      </c>
      <c r="O9" s="9">
        <v>1.546341E-2</v>
      </c>
      <c r="P9" s="9">
        <v>-9.1792299999999993E-2</v>
      </c>
      <c r="Q9" s="9">
        <v>-7.7409000000000006E-2</v>
      </c>
      <c r="R9" s="9">
        <v>5.4776600000000002E-2</v>
      </c>
      <c r="S9" s="9">
        <v>-0.12533440000000001</v>
      </c>
      <c r="T9" s="9">
        <v>-0.1190534</v>
      </c>
      <c r="U9" s="9">
        <v>-3.7770100000000001E-2</v>
      </c>
      <c r="V9" s="9">
        <v>8.1183820000000004E-2</v>
      </c>
      <c r="W9" s="9">
        <v>8.4008970000000002E-2</v>
      </c>
      <c r="X9" s="9">
        <v>0.14701136000000001</v>
      </c>
      <c r="Y9" s="9">
        <v>-0.12536050000000001</v>
      </c>
      <c r="Z9" s="9">
        <v>0.19195355</v>
      </c>
      <c r="AA9" s="9">
        <v>-8.4370799999999996E-2</v>
      </c>
      <c r="AB9" s="9">
        <v>7.2897610000000002E-2</v>
      </c>
      <c r="AC9" s="9">
        <v>0.10260456</v>
      </c>
      <c r="AD9" s="9">
        <v>1.577017E-2</v>
      </c>
      <c r="AE9" s="9">
        <v>-0.15200720000000001</v>
      </c>
      <c r="AF9" s="9">
        <v>5.9250249999999997E-2</v>
      </c>
      <c r="AG9" s="9">
        <v>0.13005884000000001</v>
      </c>
      <c r="AH9" s="9">
        <v>0.11525639999999999</v>
      </c>
      <c r="AI9" s="9">
        <v>3.2606620000000003E-2</v>
      </c>
      <c r="AJ9" s="9">
        <v>2.7999110000000001E-2</v>
      </c>
      <c r="AK9" s="9">
        <v>0.14657042000000001</v>
      </c>
      <c r="AL9" s="9">
        <v>4.0841919999999997E-2</v>
      </c>
      <c r="AM9" s="9">
        <v>0.13137636999999999</v>
      </c>
      <c r="AN9" s="9">
        <v>0.22143296000000001</v>
      </c>
      <c r="AO9" s="9">
        <v>-2.0941000000000001E-2</v>
      </c>
      <c r="AP9" s="9">
        <v>-0.13716</v>
      </c>
      <c r="AQ9" s="9">
        <v>-2.4882899999999999E-2</v>
      </c>
      <c r="AR9" s="9">
        <v>1.551397E-2</v>
      </c>
      <c r="AS9" s="9">
        <v>3.4373040000000001E-2</v>
      </c>
      <c r="AT9" s="9">
        <v>6.3095689999999996E-2</v>
      </c>
      <c r="AU9" s="9">
        <v>4.3237699999999997E-2</v>
      </c>
      <c r="AV9" s="9">
        <v>-7.4230400000000002E-2</v>
      </c>
      <c r="AW9" s="9">
        <v>2.7994829999999998E-2</v>
      </c>
      <c r="AX9" s="9">
        <v>0.11986442</v>
      </c>
      <c r="AY9" s="9">
        <v>7.6559569999999993E-2</v>
      </c>
      <c r="AZ9" s="9">
        <v>-2.17304E-2</v>
      </c>
      <c r="BA9" s="9">
        <v>-1.2465E-3</v>
      </c>
      <c r="BB9" s="9">
        <v>0.10099582</v>
      </c>
      <c r="BC9" s="9">
        <v>2.9826930000000001E-2</v>
      </c>
      <c r="BD9" s="9">
        <v>8.6757699999999993E-3</v>
      </c>
      <c r="BE9" s="9">
        <v>6.8557209999999993E-2</v>
      </c>
      <c r="BF9" s="9">
        <v>0.15691260000000001</v>
      </c>
      <c r="BG9" s="9">
        <v>0.15920372999999999</v>
      </c>
      <c r="BH9" s="9">
        <v>6.1121670000000003E-2</v>
      </c>
      <c r="BI9" s="9">
        <v>9.6912849999999995E-2</v>
      </c>
      <c r="BJ9" s="9">
        <v>-5.4746200000000002E-2</v>
      </c>
      <c r="BK9" s="9">
        <v>-8.7493000000000001E-2</v>
      </c>
      <c r="BL9" s="9">
        <v>9.4426750000000004E-2</v>
      </c>
      <c r="BM9" s="9">
        <v>-2.2191099999999998E-2</v>
      </c>
      <c r="BN9" s="9">
        <v>1.5628610000000001E-2</v>
      </c>
      <c r="BO9" s="9">
        <v>8.1418240000000003E-2</v>
      </c>
      <c r="BP9" s="9">
        <v>-1.8508899999999998E-2</v>
      </c>
      <c r="BQ9" s="9">
        <v>6.8729570000000004E-2</v>
      </c>
      <c r="BR9" s="9">
        <v>3.1023600000000002E-3</v>
      </c>
      <c r="BS9" s="9">
        <v>7.4964420000000004E-2</v>
      </c>
      <c r="BT9" s="9">
        <v>4.520159E-2</v>
      </c>
      <c r="BU9" s="9">
        <v>2.5677330000000002E-2</v>
      </c>
      <c r="BV9" s="9">
        <v>9.1804029999999995E-2</v>
      </c>
      <c r="BW9" s="9">
        <v>-2.6353999999999999E-2</v>
      </c>
      <c r="BX9" s="9">
        <v>1.9394829999999998E-2</v>
      </c>
      <c r="BY9" s="9">
        <v>-7.6838900000000002E-2</v>
      </c>
      <c r="BZ9" s="9">
        <v>0.11330931</v>
      </c>
      <c r="CA9" s="9">
        <v>-0.1073549</v>
      </c>
      <c r="CB9" s="9">
        <v>4.0844789999999999E-2</v>
      </c>
      <c r="CC9" s="9">
        <v>-1.9801699999999998E-2</v>
      </c>
      <c r="CD9" s="9">
        <v>0.18837709</v>
      </c>
      <c r="CE9" s="9">
        <v>5.5574909999999998E-2</v>
      </c>
      <c r="CF9" s="9">
        <v>7.4872069999999999E-2</v>
      </c>
      <c r="CG9" s="9">
        <v>0.10000019</v>
      </c>
      <c r="CH9" s="9">
        <v>0.13602172000000001</v>
      </c>
      <c r="CI9" s="9">
        <v>-9.3741000000000005E-2</v>
      </c>
      <c r="CJ9" s="9">
        <v>3.9306000000000002E-3</v>
      </c>
      <c r="CK9" s="9">
        <v>5.6507780000000001E-2</v>
      </c>
      <c r="CL9" s="9">
        <v>0.26354578000000001</v>
      </c>
      <c r="CM9" s="9">
        <v>-9.5554000000000004E-3</v>
      </c>
      <c r="CN9" s="9">
        <v>-3.1511900000000002E-2</v>
      </c>
      <c r="CO9" s="9">
        <v>-2.2619E-2</v>
      </c>
      <c r="CP9" s="9">
        <v>0.13265561000000001</v>
      </c>
      <c r="CQ9" s="9">
        <v>0.13307278</v>
      </c>
      <c r="CR9" s="9">
        <v>-1.49564E-2</v>
      </c>
      <c r="CS9" s="9">
        <v>-3.3419900000000002E-2</v>
      </c>
      <c r="CT9" s="9">
        <v>1.2281210000000001E-2</v>
      </c>
      <c r="CU9" s="9">
        <v>0.11681498</v>
      </c>
      <c r="CV9" s="9">
        <v>-3.1589000000000001E-3</v>
      </c>
      <c r="CW9" s="9">
        <v>3.8217760000000003E-2</v>
      </c>
      <c r="CX9" s="9">
        <v>0.13917409</v>
      </c>
      <c r="CY9" s="9">
        <v>-2.3712299999999999E-2</v>
      </c>
      <c r="CZ9" s="9">
        <v>0.21835291000000001</v>
      </c>
      <c r="DA9" s="9">
        <v>-5.7967400000000002E-2</v>
      </c>
      <c r="DB9" s="9">
        <v>-1.4104200000000001E-2</v>
      </c>
      <c r="DC9" s="9">
        <v>0.11395608</v>
      </c>
      <c r="DD9" s="9">
        <v>7.4472259999999998E-2</v>
      </c>
      <c r="DE9" s="9">
        <v>-8.9970000000000002E-4</v>
      </c>
      <c r="DF9" s="9">
        <v>9.7707000000000002E-4</v>
      </c>
      <c r="DG9" s="9">
        <v>-7.2980100000000006E-2</v>
      </c>
      <c r="DH9" s="9">
        <v>-2.38453E-2</v>
      </c>
      <c r="DI9" s="9">
        <v>-0.1015307</v>
      </c>
      <c r="DJ9" s="9">
        <v>2.7692540000000002E-2</v>
      </c>
      <c r="DK9" s="9">
        <v>-4.9335200000000003E-2</v>
      </c>
      <c r="DL9" s="9">
        <v>-5.6994000000000003E-3</v>
      </c>
      <c r="DM9" s="9">
        <v>-3.6981800000000002E-2</v>
      </c>
      <c r="DN9" s="9">
        <v>0.10981299</v>
      </c>
      <c r="DO9" s="9">
        <v>4.2036829999999997E-2</v>
      </c>
      <c r="DP9" s="9">
        <v>8.4566669999999997E-2</v>
      </c>
      <c r="DQ9" s="9">
        <v>-0.1102798</v>
      </c>
      <c r="DR9" s="9">
        <v>9.4328709999999996E-2</v>
      </c>
      <c r="DS9" s="9">
        <v>-7.1906899999999996E-2</v>
      </c>
      <c r="DT9" s="9">
        <v>-9.62364E-2</v>
      </c>
      <c r="DU9" s="9">
        <v>2.3455500000000001E-3</v>
      </c>
      <c r="DV9" s="9">
        <v>0.13401742</v>
      </c>
      <c r="DW9" s="9">
        <v>9.4732520000000001E-2</v>
      </c>
      <c r="DX9" s="9">
        <v>-0.1037732</v>
      </c>
      <c r="DY9" s="9">
        <v>7.576215E-2</v>
      </c>
      <c r="DZ9" s="9">
        <v>-3.1829700000000002E-2</v>
      </c>
      <c r="EA9" s="9">
        <v>0.16130802</v>
      </c>
      <c r="EB9" s="9">
        <v>1.0203530000000001E-2</v>
      </c>
      <c r="EC9" s="9">
        <v>7.3988429999999994E-2</v>
      </c>
      <c r="ED9" s="9">
        <v>-0.15737689999999999</v>
      </c>
      <c r="EE9" s="9">
        <v>7.9137550000000001E-2</v>
      </c>
      <c r="EF9" s="9">
        <v>7.2528549999999997E-2</v>
      </c>
      <c r="EG9" s="10">
        <f>CORREL([1]bm補值!EG$2:EG$972,[1]下個月月報酬補值!EG$2:EG$972)</f>
        <v>0.14231065676311483</v>
      </c>
    </row>
    <row r="10" spans="1:137" x14ac:dyDescent="0.3">
      <c r="B10" s="1" t="s">
        <v>138</v>
      </c>
      <c r="C10" s="9">
        <v>-0.24758869999999999</v>
      </c>
      <c r="D10" s="9">
        <v>-0.27469329999999997</v>
      </c>
      <c r="E10" s="9">
        <v>-8.4648399999999999E-2</v>
      </c>
      <c r="F10" s="9">
        <v>2.2644629999999999E-2</v>
      </c>
      <c r="G10" s="9">
        <v>-4.9680000000000002E-2</v>
      </c>
      <c r="H10" s="9">
        <v>-0.1007596</v>
      </c>
      <c r="I10" s="9">
        <v>-1.2522699999999999E-2</v>
      </c>
      <c r="J10" s="9">
        <v>7.8736539999999994E-2</v>
      </c>
      <c r="K10" s="9">
        <v>-3.4185100000000003E-2</v>
      </c>
      <c r="L10" s="9">
        <v>8.8406789999999999E-2</v>
      </c>
      <c r="M10" s="9">
        <v>-3.0634999999999998E-3</v>
      </c>
      <c r="N10" s="9">
        <v>-0.21221799999999999</v>
      </c>
      <c r="O10" s="9">
        <v>-3.6805400000000002E-2</v>
      </c>
      <c r="P10" s="9">
        <v>7.1033120000000005E-2</v>
      </c>
      <c r="Q10" s="9">
        <v>-7.1261099999999994E-2</v>
      </c>
      <c r="R10" s="9">
        <v>2.1560449999999998E-2</v>
      </c>
      <c r="S10" s="9">
        <v>0.10111125999999999</v>
      </c>
      <c r="T10" s="9">
        <v>4.3224730000000003E-2</v>
      </c>
      <c r="U10" s="9">
        <v>1.488195E-2</v>
      </c>
      <c r="V10" s="9">
        <v>6.3260199999999999E-3</v>
      </c>
      <c r="W10" s="9">
        <v>-0.14355299999999999</v>
      </c>
      <c r="X10" s="9">
        <v>-6.4282199999999998E-2</v>
      </c>
      <c r="Y10" s="9">
        <v>-1.9034200000000001E-2</v>
      </c>
      <c r="Z10" s="9">
        <v>-2.0644599999999999E-2</v>
      </c>
      <c r="AA10" s="9">
        <v>3.3059529999999997E-2</v>
      </c>
      <c r="AB10" s="9">
        <v>-1.94182E-2</v>
      </c>
      <c r="AC10" s="9">
        <v>-6.3126799999999997E-2</v>
      </c>
      <c r="AD10" s="9">
        <v>-6.5629699999999999E-2</v>
      </c>
      <c r="AE10" s="9">
        <v>0.13799568000000001</v>
      </c>
      <c r="AF10" s="9">
        <v>-0.1005679</v>
      </c>
      <c r="AG10" s="9">
        <v>-3.7969099999999999E-2</v>
      </c>
      <c r="AH10" s="9">
        <v>-4.5839499999999998E-2</v>
      </c>
      <c r="AI10" s="9">
        <v>-5.1034099999999999E-2</v>
      </c>
      <c r="AJ10" s="9">
        <v>-3.2204E-3</v>
      </c>
      <c r="AK10" s="9">
        <v>4.8952000000000002E-4</v>
      </c>
      <c r="AL10" s="9">
        <v>-0.10644670000000001</v>
      </c>
      <c r="AM10" s="9">
        <v>-1.3724E-2</v>
      </c>
      <c r="AN10" s="9">
        <v>-0.1219647</v>
      </c>
      <c r="AO10" s="9">
        <v>-4.85897E-2</v>
      </c>
      <c r="AP10" s="9">
        <v>-1.9032000000000001E-3</v>
      </c>
      <c r="AQ10" s="9">
        <v>2.9067490000000001E-2</v>
      </c>
      <c r="AR10" s="9">
        <v>5.2635769999999998E-2</v>
      </c>
      <c r="AS10" s="9">
        <v>-1.28933E-2</v>
      </c>
      <c r="AT10" s="9">
        <v>-2.1310999999999999E-3</v>
      </c>
      <c r="AU10" s="9">
        <v>-0.15538440000000001</v>
      </c>
      <c r="AV10" s="9">
        <v>1.268178E-2</v>
      </c>
      <c r="AW10" s="9">
        <v>-1.1942299999999999E-2</v>
      </c>
      <c r="AX10" s="9">
        <v>-4.2538000000000003E-3</v>
      </c>
      <c r="AY10" s="9">
        <v>2.930087E-2</v>
      </c>
      <c r="AZ10" s="9">
        <v>-0.13412750000000001</v>
      </c>
      <c r="BA10" s="9">
        <v>-0.1371115</v>
      </c>
      <c r="BB10" s="9">
        <v>1.7546599999999999E-3</v>
      </c>
      <c r="BC10" s="9">
        <v>2.511712E-2</v>
      </c>
      <c r="BD10" s="9">
        <v>-0.1196019</v>
      </c>
      <c r="BE10" s="9">
        <v>0.13576165000000001</v>
      </c>
      <c r="BF10" s="9">
        <v>4.7091170000000002E-2</v>
      </c>
      <c r="BG10" s="9">
        <v>-2.60501E-2</v>
      </c>
      <c r="BH10" s="9">
        <v>4.3752760000000002E-2</v>
      </c>
      <c r="BI10" s="9">
        <v>-8.13918E-2</v>
      </c>
      <c r="BJ10" s="9">
        <v>-0.1006008</v>
      </c>
      <c r="BK10" s="9">
        <v>9.0490070000000006E-2</v>
      </c>
      <c r="BL10" s="9">
        <v>-3.0898499999999999E-2</v>
      </c>
      <c r="BM10" s="9">
        <v>5.8814169999999999E-2</v>
      </c>
      <c r="BN10" s="9">
        <v>8.1345630000000002E-2</v>
      </c>
      <c r="BO10" s="9">
        <v>-7.7164E-3</v>
      </c>
      <c r="BP10" s="9">
        <v>0.10673487</v>
      </c>
      <c r="BQ10" s="9">
        <v>-2.7156300000000001E-2</v>
      </c>
      <c r="BR10" s="9">
        <v>-5.4431E-2</v>
      </c>
      <c r="BS10" s="9">
        <v>-6.8229300000000007E-2</v>
      </c>
      <c r="BT10" s="9">
        <v>9.861222E-2</v>
      </c>
      <c r="BU10" s="9">
        <v>0.12839854000000001</v>
      </c>
      <c r="BV10" s="9">
        <v>-7.84025E-2</v>
      </c>
      <c r="BW10" s="9">
        <v>-0.1191337</v>
      </c>
      <c r="BX10" s="9">
        <v>-4.6890099999999997E-2</v>
      </c>
      <c r="BY10" s="9">
        <v>0.10169835000000001</v>
      </c>
      <c r="BZ10" s="9">
        <v>-2.5680100000000001E-2</v>
      </c>
      <c r="CA10" s="9">
        <v>-8.3301799999999995E-2</v>
      </c>
      <c r="CB10" s="9">
        <v>-0.15782760000000001</v>
      </c>
      <c r="CC10" s="9">
        <v>-7.1052599999999994E-2</v>
      </c>
      <c r="CD10" s="9">
        <v>-7.3875499999999997E-2</v>
      </c>
      <c r="CE10" s="9">
        <v>-0.23678650000000001</v>
      </c>
      <c r="CF10" s="9">
        <v>3.2627709999999997E-2</v>
      </c>
      <c r="CG10" s="9">
        <v>1.342309E-2</v>
      </c>
      <c r="CH10" s="9">
        <v>-2.7967000000000001E-3</v>
      </c>
      <c r="CI10" s="9">
        <v>4.7925700000000002E-2</v>
      </c>
      <c r="CJ10" s="9">
        <v>-3.2520000000000001E-3</v>
      </c>
      <c r="CK10" s="9">
        <v>-7.5708200000000003E-2</v>
      </c>
      <c r="CL10" s="9">
        <v>-4.4397300000000001E-2</v>
      </c>
      <c r="CM10" s="9">
        <v>0.17898859</v>
      </c>
      <c r="CN10" s="9">
        <v>5.7994270000000001E-2</v>
      </c>
      <c r="CO10" s="9">
        <v>-0.13939019999999999</v>
      </c>
      <c r="CP10" s="9">
        <v>6.4714670000000002E-2</v>
      </c>
      <c r="CQ10" s="9">
        <v>-0.18118790000000001</v>
      </c>
      <c r="CR10" s="9">
        <v>-8.8633500000000004E-2</v>
      </c>
      <c r="CS10" s="9">
        <v>-2.5321799999999998E-2</v>
      </c>
      <c r="CT10" s="9">
        <v>-0.1130791</v>
      </c>
      <c r="CU10" s="9">
        <v>8.0959599999999993E-3</v>
      </c>
      <c r="CV10" s="9">
        <v>-4.5200200000000003E-2</v>
      </c>
      <c r="CW10" s="9">
        <v>-5.8941199999999999E-2</v>
      </c>
      <c r="CX10" s="9">
        <v>-0.1077283</v>
      </c>
      <c r="CY10" s="9">
        <v>-9.6503500000000006E-2</v>
      </c>
      <c r="CZ10" s="9">
        <v>-0.21035429999999999</v>
      </c>
      <c r="DA10" s="9">
        <v>-0.10996110000000001</v>
      </c>
      <c r="DB10" s="9">
        <v>-0.1908205</v>
      </c>
      <c r="DC10" s="9">
        <v>-2.0727300000000001E-2</v>
      </c>
      <c r="DD10" s="9">
        <v>8.7029090000000003E-2</v>
      </c>
      <c r="DE10" s="9">
        <v>8.2024589999999994E-2</v>
      </c>
      <c r="DF10" s="9">
        <v>-0.16687669999999999</v>
      </c>
      <c r="DG10" s="9">
        <v>0.22243809</v>
      </c>
      <c r="DH10" s="9">
        <v>-0.1442978</v>
      </c>
      <c r="DI10" s="9">
        <v>-0.1196199</v>
      </c>
      <c r="DJ10" s="9">
        <v>-0.1015928</v>
      </c>
      <c r="DK10" s="9">
        <v>9.2855060000000003E-2</v>
      </c>
      <c r="DL10" s="9">
        <v>-4.2630500000000002E-2</v>
      </c>
      <c r="DM10" s="9">
        <v>8.2732070000000005E-2</v>
      </c>
      <c r="DN10" s="9">
        <v>-3.1049500000000001E-2</v>
      </c>
      <c r="DO10" s="9">
        <v>-9.8141999999999993E-2</v>
      </c>
      <c r="DP10" s="9">
        <v>-0.13058890000000001</v>
      </c>
      <c r="DQ10" s="9">
        <v>4.865572E-2</v>
      </c>
      <c r="DR10" s="9">
        <v>-3.9251899999999999E-2</v>
      </c>
      <c r="DS10" s="9">
        <v>-0.16103020000000001</v>
      </c>
      <c r="DT10" s="9">
        <v>-7.8883999999999996E-2</v>
      </c>
      <c r="DU10" s="9">
        <v>0.16407715</v>
      </c>
      <c r="DV10" s="9">
        <v>7.5052599999999997E-3</v>
      </c>
      <c r="DW10" s="9">
        <v>-0.1016452</v>
      </c>
      <c r="DX10" s="9">
        <v>-5.6040300000000001E-2</v>
      </c>
      <c r="DY10" s="9">
        <v>-0.10665669999999999</v>
      </c>
      <c r="DZ10" s="9">
        <v>-6.9186600000000001E-2</v>
      </c>
      <c r="EA10" s="9">
        <v>-0.12618869999999999</v>
      </c>
      <c r="EB10" s="9">
        <v>-6.4737100000000006E-2</v>
      </c>
      <c r="EC10" s="9">
        <v>5.1426090000000001E-2</v>
      </c>
      <c r="ED10" s="9">
        <v>3.4496730000000003E-2</v>
      </c>
      <c r="EE10" s="9">
        <v>0.1576776</v>
      </c>
      <c r="EF10" s="9">
        <v>-0.12717999999999999</v>
      </c>
      <c r="EG10" s="10">
        <f>CORREL([2]size補值!EG$2:EG$965,[2]下個月月報酬補值!EG$2:EG$965)</f>
        <v>-0.15895948868776608</v>
      </c>
    </row>
    <row r="11" spans="1:137" x14ac:dyDescent="0.3">
      <c r="B11" s="1" t="s">
        <v>139</v>
      </c>
      <c r="C11" s="9">
        <v>-5.4239999999999997E-2</v>
      </c>
      <c r="D11" s="9">
        <v>4.5377000000000001E-2</v>
      </c>
      <c r="E11" s="9">
        <v>-1.7749999999999998E-2</v>
      </c>
      <c r="F11" s="9">
        <v>-8.7690000000000004E-2</v>
      </c>
      <c r="G11" s="9">
        <v>0.102759</v>
      </c>
      <c r="H11" s="9">
        <v>2.5110000000000002E-3</v>
      </c>
      <c r="I11" s="9">
        <v>-1.83E-2</v>
      </c>
      <c r="J11" s="9">
        <v>2.2110999999999999E-2</v>
      </c>
      <c r="K11" s="9">
        <v>7.7257999999999993E-2</v>
      </c>
      <c r="L11" s="9">
        <v>9.3439999999999999E-3</v>
      </c>
      <c r="M11" s="9">
        <v>5.3601999999999997E-2</v>
      </c>
      <c r="N11" s="9">
        <v>-6.7879999999999996E-2</v>
      </c>
      <c r="O11" s="9">
        <v>6.4930000000000002E-2</v>
      </c>
      <c r="P11" s="9">
        <v>4.8809999999999999E-3</v>
      </c>
      <c r="Q11" s="9">
        <v>1.9198E-2</v>
      </c>
      <c r="R11" s="9">
        <v>-5.47E-3</v>
      </c>
      <c r="S11" s="9">
        <v>3.6551E-2</v>
      </c>
      <c r="T11" s="9">
        <v>0.12918499999999999</v>
      </c>
      <c r="U11" s="9">
        <v>1.3691999999999999E-2</v>
      </c>
      <c r="V11" s="9">
        <v>1.5295E-2</v>
      </c>
      <c r="W11" s="9">
        <v>-0.10469000000000001</v>
      </c>
      <c r="X11" s="9">
        <v>-0.29385</v>
      </c>
      <c r="Y11" s="9">
        <v>5.9212000000000001E-2</v>
      </c>
      <c r="Z11" s="9">
        <v>-0.18495</v>
      </c>
      <c r="AA11" s="9">
        <v>9.8247000000000001E-2</v>
      </c>
      <c r="AB11" s="9">
        <v>-6.6E-4</v>
      </c>
      <c r="AC11" s="9">
        <v>-0.10369</v>
      </c>
      <c r="AD11" s="9">
        <v>3.545E-3</v>
      </c>
      <c r="AE11" s="9">
        <v>0.17560100000000001</v>
      </c>
      <c r="AF11" s="9">
        <v>-0.15503</v>
      </c>
      <c r="AG11" s="9">
        <v>-2.6329999999999999E-2</v>
      </c>
      <c r="AH11" s="9">
        <v>-5.0000000000000001E-3</v>
      </c>
      <c r="AI11" s="9">
        <v>2.8067999999999999E-2</v>
      </c>
      <c r="AJ11" s="9">
        <v>-2.2380000000000001E-2</v>
      </c>
      <c r="AK11" s="9">
        <v>-4.7019999999999999E-2</v>
      </c>
      <c r="AL11" s="9">
        <v>-0.10156</v>
      </c>
      <c r="AM11" s="9">
        <v>2.3525000000000001E-2</v>
      </c>
      <c r="AN11" s="9">
        <v>5.2525000000000002E-2</v>
      </c>
      <c r="AO11" s="9">
        <v>5.8502999999999999E-2</v>
      </c>
      <c r="AP11" s="9">
        <v>3.3446999999999998E-2</v>
      </c>
      <c r="AQ11" s="9">
        <v>1.43E-2</v>
      </c>
      <c r="AR11" s="9">
        <v>3.5903999999999998E-2</v>
      </c>
      <c r="AS11" s="9">
        <v>3.9781999999999998E-2</v>
      </c>
      <c r="AT11" s="9">
        <v>0.148456</v>
      </c>
      <c r="AU11" s="9">
        <v>-4.079E-2</v>
      </c>
      <c r="AV11" s="9">
        <v>0.138959</v>
      </c>
      <c r="AW11" s="9">
        <v>5.9863E-2</v>
      </c>
      <c r="AX11" s="9">
        <v>-0.14979000000000001</v>
      </c>
      <c r="AY11" s="9">
        <v>6.1595999999999998E-2</v>
      </c>
      <c r="AZ11" s="9">
        <v>-6.1949999999999998E-2</v>
      </c>
      <c r="BA11" s="9">
        <v>-2.3900000000000002E-3</v>
      </c>
      <c r="BB11" s="9">
        <v>-0.14887</v>
      </c>
      <c r="BC11" s="9">
        <v>6.0351000000000002E-2</v>
      </c>
      <c r="BD11" s="9">
        <v>-1.469E-2</v>
      </c>
      <c r="BE11" s="9">
        <v>-0.14652000000000001</v>
      </c>
      <c r="BF11" s="9">
        <v>-0.20876</v>
      </c>
      <c r="BG11" s="9">
        <v>-0.20144000000000001</v>
      </c>
      <c r="BH11" s="9">
        <v>-0.11805</v>
      </c>
      <c r="BI11" s="9">
        <v>-7.7030000000000001E-2</v>
      </c>
      <c r="BJ11" s="9">
        <v>-3.6220000000000002E-2</v>
      </c>
      <c r="BK11" s="9">
        <v>-1.891E-2</v>
      </c>
      <c r="BL11" s="9">
        <v>-0.17126</v>
      </c>
      <c r="BM11" s="9">
        <v>0.13291700000000001</v>
      </c>
      <c r="BN11" s="9">
        <v>-3.5909999999999997E-2</v>
      </c>
      <c r="BO11" s="9">
        <v>2.1344999999999999E-2</v>
      </c>
      <c r="BP11" s="9">
        <v>4.9634999999999999E-2</v>
      </c>
      <c r="BQ11" s="9">
        <v>-1.721E-2</v>
      </c>
      <c r="BR11" s="9">
        <v>0.189827</v>
      </c>
      <c r="BS11" s="9">
        <v>-9.7610000000000002E-2</v>
      </c>
      <c r="BT11" s="9">
        <v>3.7830999999999997E-2</v>
      </c>
      <c r="BU11" s="9">
        <v>5.6008000000000002E-2</v>
      </c>
      <c r="BV11" s="9">
        <v>-0.11674</v>
      </c>
      <c r="BW11" s="9">
        <v>-0.14132</v>
      </c>
      <c r="BX11" s="9">
        <v>-3.3800000000000002E-3</v>
      </c>
      <c r="BY11" s="9">
        <v>0.13033600000000001</v>
      </c>
      <c r="BZ11" s="9">
        <v>3.1697999999999997E-2</v>
      </c>
      <c r="CA11" s="9">
        <v>4.0555000000000001E-2</v>
      </c>
      <c r="CB11" s="9">
        <v>-4.2040000000000001E-2</v>
      </c>
      <c r="CC11" s="9">
        <v>5.0014000000000003E-2</v>
      </c>
      <c r="CD11" s="9">
        <v>-6.8459999999999993E-2</v>
      </c>
      <c r="CE11" s="9">
        <v>-8.0829999999999999E-2</v>
      </c>
      <c r="CF11" s="9">
        <v>-1.9499999999999999E-3</v>
      </c>
      <c r="CG11" s="9">
        <v>-0.11821</v>
      </c>
      <c r="CH11" s="9">
        <v>-3.6720000000000003E-2</v>
      </c>
      <c r="CI11" s="9">
        <v>-8.3330000000000001E-2</v>
      </c>
      <c r="CJ11" s="9">
        <v>0.23067299999999999</v>
      </c>
      <c r="CK11" s="9">
        <v>0.13277900000000001</v>
      </c>
      <c r="CL11" s="9">
        <v>0.141287</v>
      </c>
      <c r="CM11" s="9">
        <v>-0.11269</v>
      </c>
      <c r="CN11" s="9">
        <v>0.22348899999999999</v>
      </c>
      <c r="CO11" s="9">
        <v>-0.10442</v>
      </c>
      <c r="CP11" s="9">
        <v>-1.443E-2</v>
      </c>
      <c r="CQ11" s="9">
        <v>-0.20723</v>
      </c>
      <c r="CR11" s="9">
        <v>-0.13486000000000001</v>
      </c>
      <c r="CS11" s="9">
        <v>7.3008000000000003E-2</v>
      </c>
      <c r="CT11" s="9">
        <v>-3.022E-2</v>
      </c>
      <c r="CU11" s="9">
        <v>-0.28688999999999998</v>
      </c>
      <c r="CV11" s="9">
        <v>0.23073099999999999</v>
      </c>
      <c r="CW11" s="9">
        <v>9.1076000000000004E-2</v>
      </c>
      <c r="CX11" s="9">
        <v>-0.12249</v>
      </c>
      <c r="CY11" s="9">
        <v>7.8381999999999993E-2</v>
      </c>
      <c r="CZ11" s="9">
        <v>-4.5949999999999998E-2</v>
      </c>
      <c r="DA11" s="9">
        <v>8.2669999999999993E-2</v>
      </c>
      <c r="DB11" s="9">
        <v>0.14934900000000001</v>
      </c>
      <c r="DC11" s="9">
        <v>-4.7800000000000002E-2</v>
      </c>
      <c r="DD11" s="9">
        <v>-0.16450999999999999</v>
      </c>
      <c r="DE11" s="9">
        <v>-0.11057</v>
      </c>
      <c r="DF11" s="9">
        <v>5.7417000000000003E-2</v>
      </c>
      <c r="DG11" s="9">
        <v>-0.21489</v>
      </c>
      <c r="DH11" s="9">
        <v>6.2996999999999997E-2</v>
      </c>
      <c r="DI11" s="9">
        <v>6.7721000000000003E-2</v>
      </c>
      <c r="DJ11" s="9">
        <v>0.118802</v>
      </c>
      <c r="DK11" s="9">
        <v>7.2830000000000004E-3</v>
      </c>
      <c r="DL11" s="9">
        <v>7.1320999999999996E-2</v>
      </c>
      <c r="DM11" s="9">
        <v>2.1021999999999999E-2</v>
      </c>
      <c r="DN11" s="9">
        <v>-3.04E-2</v>
      </c>
      <c r="DO11" s="9">
        <v>-9.6949999999999995E-2</v>
      </c>
      <c r="DP11" s="9">
        <v>-0.23068</v>
      </c>
      <c r="DQ11" s="9">
        <v>0.23818400000000001</v>
      </c>
      <c r="DR11" s="9">
        <v>3.5750000000000001E-3</v>
      </c>
      <c r="DS11" s="9">
        <v>0.13395599999999999</v>
      </c>
      <c r="DT11" s="9">
        <v>0.115106</v>
      </c>
      <c r="DU11" s="9">
        <v>0.10408000000000001</v>
      </c>
      <c r="DV11" s="9">
        <v>-5.4609999999999999E-2</v>
      </c>
      <c r="DW11" s="9">
        <v>-3.329E-2</v>
      </c>
      <c r="DX11" s="9">
        <v>5.5094999999999998E-2</v>
      </c>
      <c r="DY11" s="9">
        <v>6.8793999999999994E-2</v>
      </c>
      <c r="DZ11" s="9">
        <v>1.4481000000000001E-2</v>
      </c>
      <c r="EA11" s="9">
        <v>-0.29314000000000001</v>
      </c>
      <c r="EB11" s="9">
        <v>-0.14097999999999999</v>
      </c>
      <c r="EC11" s="9">
        <v>-1.221E-2</v>
      </c>
      <c r="ED11" s="9">
        <v>5.8167999999999997E-2</v>
      </c>
      <c r="EE11" s="9">
        <v>-0.1444</v>
      </c>
      <c r="EF11" s="9">
        <v>-9.7009999999999999E-2</v>
      </c>
      <c r="EG11" s="10"/>
    </row>
    <row r="13" spans="1:137" x14ac:dyDescent="0.3">
      <c r="A13" t="s">
        <v>166</v>
      </c>
      <c r="B13" s="1" t="s">
        <v>137</v>
      </c>
      <c r="C13" s="7">
        <f t="shared" ref="C13:AH13" si="0">(C3-C9)^2</f>
        <v>5.1996813799186142E-3</v>
      </c>
      <c r="D13" s="7">
        <f t="shared" si="0"/>
        <v>3.5048473353152922E-4</v>
      </c>
      <c r="E13" s="7">
        <f t="shared" si="0"/>
        <v>2.6600877303294369E-3</v>
      </c>
      <c r="F13" s="7">
        <f t="shared" si="0"/>
        <v>4.4942230431208193E-4</v>
      </c>
      <c r="G13" s="7">
        <f t="shared" si="0"/>
        <v>5.2780517845682137E-4</v>
      </c>
      <c r="H13" s="7">
        <f t="shared" si="0"/>
        <v>4.249333666010586E-4</v>
      </c>
      <c r="I13" s="7">
        <f t="shared" si="0"/>
        <v>2.5272237243023361E-2</v>
      </c>
      <c r="J13" s="7">
        <f t="shared" si="0"/>
        <v>7.9512695322386199E-3</v>
      </c>
      <c r="K13" s="7">
        <f t="shared" si="0"/>
        <v>3.6928597738125064E-3</v>
      </c>
      <c r="L13" s="7">
        <f t="shared" si="0"/>
        <v>2.9249135631848184E-5</v>
      </c>
      <c r="M13" s="7">
        <f t="shared" si="0"/>
        <v>2.8867091128506918E-3</v>
      </c>
      <c r="N13" s="7">
        <f t="shared" si="0"/>
        <v>1.3977069901561058E-2</v>
      </c>
      <c r="O13" s="7">
        <f t="shared" si="0"/>
        <v>3.448408774114424E-4</v>
      </c>
      <c r="P13" s="7">
        <f t="shared" si="0"/>
        <v>1.562630280277811E-2</v>
      </c>
      <c r="Q13" s="7">
        <f t="shared" si="0"/>
        <v>1.1344877534616517E-2</v>
      </c>
      <c r="R13" s="7">
        <f t="shared" si="0"/>
        <v>8.0105680235926418E-4</v>
      </c>
      <c r="S13" s="7">
        <f t="shared" si="0"/>
        <v>2.3602098852003491E-2</v>
      </c>
      <c r="T13" s="7">
        <f t="shared" si="0"/>
        <v>2.0071558564657716E-2</v>
      </c>
      <c r="U13" s="7">
        <f t="shared" si="0"/>
        <v>2.9067309283588561E-3</v>
      </c>
      <c r="V13" s="7">
        <f t="shared" si="0"/>
        <v>3.1528946158744038E-3</v>
      </c>
      <c r="W13" s="7">
        <f t="shared" si="0"/>
        <v>1.4611448880293581E-3</v>
      </c>
      <c r="X13" s="7">
        <f t="shared" si="0"/>
        <v>1.0806339754763725E-2</v>
      </c>
      <c r="Y13" s="7">
        <f t="shared" si="0"/>
        <v>2.6616697436949232E-2</v>
      </c>
      <c r="Z13" s="7">
        <f t="shared" si="0"/>
        <v>2.8175668770913827E-2</v>
      </c>
      <c r="AA13" s="7">
        <f t="shared" si="0"/>
        <v>1.3102288161996168E-2</v>
      </c>
      <c r="AB13" s="7">
        <f t="shared" si="0"/>
        <v>2.0079851069904871E-3</v>
      </c>
      <c r="AC13" s="7">
        <f t="shared" si="0"/>
        <v>4.738049785213477E-3</v>
      </c>
      <c r="AD13" s="7">
        <f t="shared" si="0"/>
        <v>3.3714592500825533E-4</v>
      </c>
      <c r="AE13" s="7">
        <f t="shared" si="0"/>
        <v>3.4651304458888248E-2</v>
      </c>
      <c r="AF13" s="7">
        <f t="shared" si="0"/>
        <v>2.1281899312767453E-3</v>
      </c>
      <c r="AG13" s="7">
        <f t="shared" si="0"/>
        <v>1.106735265388672E-2</v>
      </c>
      <c r="AH13" s="7">
        <f t="shared" si="0"/>
        <v>6.9508830453818516E-3</v>
      </c>
      <c r="AI13" s="7">
        <f t="shared" ref="AI13:BN13" si="1">(AI3-AI9)^2</f>
        <v>1.428190816057953E-5</v>
      </c>
      <c r="AJ13" s="7">
        <f t="shared" si="1"/>
        <v>6.319946996907329E-5</v>
      </c>
      <c r="AK13" s="7">
        <f t="shared" si="1"/>
        <v>1.0627051012025795E-2</v>
      </c>
      <c r="AL13" s="7">
        <f t="shared" si="1"/>
        <v>5.6636500009581251E-6</v>
      </c>
      <c r="AM13" s="7">
        <f t="shared" si="1"/>
        <v>8.4577683009452887E-3</v>
      </c>
      <c r="AN13" s="7">
        <f t="shared" si="1"/>
        <v>2.9134850613342721E-2</v>
      </c>
      <c r="AO13" s="7">
        <f t="shared" si="1"/>
        <v>5.5690117600416585E-3</v>
      </c>
      <c r="AP13" s="7">
        <f t="shared" si="1"/>
        <v>3.4772888090034586E-2</v>
      </c>
      <c r="AQ13" s="7">
        <f t="shared" si="1"/>
        <v>3.3242821077860275E-3</v>
      </c>
      <c r="AR13" s="7">
        <f t="shared" si="1"/>
        <v>1.6336343510028715E-4</v>
      </c>
      <c r="AS13" s="7">
        <f t="shared" si="1"/>
        <v>3.5942871483349788E-5</v>
      </c>
      <c r="AT13" s="7">
        <f t="shared" si="1"/>
        <v>1.6021175433399901E-3</v>
      </c>
      <c r="AU13" s="7">
        <f t="shared" si="1"/>
        <v>1.9156406625396089E-4</v>
      </c>
      <c r="AV13" s="7">
        <f t="shared" si="1"/>
        <v>1.1081404926974067E-2</v>
      </c>
      <c r="AW13" s="7">
        <f t="shared" si="1"/>
        <v>2.879489779995489E-6</v>
      </c>
      <c r="AX13" s="7">
        <f t="shared" si="1"/>
        <v>8.7796166595132258E-3</v>
      </c>
      <c r="AY13" s="7">
        <f t="shared" si="1"/>
        <v>1.9807650166994363E-3</v>
      </c>
      <c r="AZ13" s="7">
        <f t="shared" si="1"/>
        <v>3.1593314819808047E-3</v>
      </c>
      <c r="BA13" s="7">
        <f t="shared" si="1"/>
        <v>9.3503798071668137E-4</v>
      </c>
      <c r="BB13" s="7">
        <f t="shared" si="1"/>
        <v>4.4450052281279333E-3</v>
      </c>
      <c r="BC13" s="7">
        <f t="shared" si="1"/>
        <v>5.7681700020622434E-5</v>
      </c>
      <c r="BD13" s="7">
        <f t="shared" si="1"/>
        <v>5.1701448172159718E-4</v>
      </c>
      <c r="BE13" s="7">
        <f t="shared" si="1"/>
        <v>1.3359609029332763E-3</v>
      </c>
      <c r="BF13" s="7">
        <f t="shared" si="1"/>
        <v>1.6545875574042614E-2</v>
      </c>
      <c r="BG13" s="7">
        <f t="shared" si="1"/>
        <v>1.3947679273956598E-2</v>
      </c>
      <c r="BH13" s="7">
        <f t="shared" si="1"/>
        <v>2.5353844699813971E-4</v>
      </c>
      <c r="BI13" s="7">
        <f t="shared" si="1"/>
        <v>3.0608345589578528E-3</v>
      </c>
      <c r="BJ13" s="7">
        <f t="shared" si="1"/>
        <v>9.1144456194463958E-3</v>
      </c>
      <c r="BK13" s="7">
        <f t="shared" si="1"/>
        <v>1.5331565763291767E-2</v>
      </c>
      <c r="BL13" s="7">
        <f t="shared" si="1"/>
        <v>3.3934770021981134E-3</v>
      </c>
      <c r="BM13" s="7">
        <f t="shared" si="1"/>
        <v>3.5879726004166956E-3</v>
      </c>
      <c r="BN13" s="7">
        <f t="shared" si="1"/>
        <v>2.3059722750382752E-4</v>
      </c>
      <c r="BO13" s="7">
        <f t="shared" ref="BO13:CT13" si="2">(BO3-BO9)^2</f>
        <v>2.5768196525653136E-3</v>
      </c>
      <c r="BP13" s="7">
        <f t="shared" si="2"/>
        <v>2.7993127472971347E-3</v>
      </c>
      <c r="BQ13" s="7">
        <f t="shared" si="2"/>
        <v>1.1465619014837207E-3</v>
      </c>
      <c r="BR13" s="7">
        <f t="shared" si="2"/>
        <v>1.1036800119850543E-3</v>
      </c>
      <c r="BS13" s="7">
        <f t="shared" si="2"/>
        <v>1.5054362677075022E-3</v>
      </c>
      <c r="BT13" s="7">
        <f t="shared" si="2"/>
        <v>4.2676104531932104E-5</v>
      </c>
      <c r="BU13" s="7">
        <f t="shared" si="2"/>
        <v>2.3796622565370565E-4</v>
      </c>
      <c r="BV13" s="7">
        <f t="shared" si="2"/>
        <v>3.9841213406552863E-3</v>
      </c>
      <c r="BW13" s="7">
        <f t="shared" si="2"/>
        <v>3.7909276846222169E-3</v>
      </c>
      <c r="BX13" s="7">
        <f t="shared" si="2"/>
        <v>4.5677820231987691E-4</v>
      </c>
      <c r="BY13" s="7">
        <f t="shared" si="2"/>
        <v>9.6909135501075435E-3</v>
      </c>
      <c r="BZ13" s="7">
        <f t="shared" si="2"/>
        <v>6.8683719042463651E-3</v>
      </c>
      <c r="CA13" s="7">
        <f t="shared" si="2"/>
        <v>2.0928499826830992E-2</v>
      </c>
      <c r="CB13" s="7">
        <f t="shared" si="2"/>
        <v>1.7510532472383292E-4</v>
      </c>
      <c r="CC13" s="7">
        <f t="shared" si="2"/>
        <v>1.5637797193320884E-3</v>
      </c>
      <c r="CD13" s="7">
        <f t="shared" si="2"/>
        <v>3.2611169702490374E-2</v>
      </c>
      <c r="CE13" s="7">
        <f t="shared" si="2"/>
        <v>1.0921771147353616E-3</v>
      </c>
      <c r="CF13" s="7">
        <f t="shared" si="2"/>
        <v>1.607519380586402E-3</v>
      </c>
      <c r="CG13" s="7">
        <f t="shared" si="2"/>
        <v>4.5452983652325089E-3</v>
      </c>
      <c r="CH13" s="7">
        <f t="shared" si="2"/>
        <v>9.0464292745178303E-3</v>
      </c>
      <c r="CI13" s="7">
        <f t="shared" si="2"/>
        <v>1.7633516937132464E-2</v>
      </c>
      <c r="CJ13" s="7">
        <f t="shared" si="2"/>
        <v>4.2565052483562545E-4</v>
      </c>
      <c r="CK13" s="7">
        <f t="shared" si="2"/>
        <v>5.0056536403316875E-4</v>
      </c>
      <c r="CL13" s="7">
        <f t="shared" si="2"/>
        <v>5.1810792684756642E-2</v>
      </c>
      <c r="CM13" s="7">
        <f t="shared" si="2"/>
        <v>2.7062304443338427E-3</v>
      </c>
      <c r="CN13" s="7">
        <f t="shared" si="2"/>
        <v>4.6288709683154905E-3</v>
      </c>
      <c r="CO13" s="7">
        <f t="shared" si="2"/>
        <v>3.6334553157072571E-3</v>
      </c>
      <c r="CP13" s="7">
        <f t="shared" si="2"/>
        <v>8.5928775877290899E-3</v>
      </c>
      <c r="CQ13" s="7">
        <f t="shared" si="2"/>
        <v>1.8951644038637271E-2</v>
      </c>
      <c r="CR13" s="7">
        <f t="shared" si="2"/>
        <v>8.9759144062833047E-4</v>
      </c>
      <c r="CS13" s="7">
        <f t="shared" si="2"/>
        <v>3.1224240084575558E-3</v>
      </c>
      <c r="CT13" s="7">
        <f t="shared" si="2"/>
        <v>8.2317106091032662E-4</v>
      </c>
      <c r="CU13" s="7">
        <f t="shared" ref="CU13:DZ13" si="3">(CU3-CU9)^2</f>
        <v>6.0641428859623484E-3</v>
      </c>
      <c r="CV13" s="7">
        <f t="shared" si="3"/>
        <v>2.1320290874023056E-3</v>
      </c>
      <c r="CW13" s="7">
        <f t="shared" si="3"/>
        <v>2.2166447811572091E-6</v>
      </c>
      <c r="CX13" s="7">
        <f t="shared" si="3"/>
        <v>1.0000613438025059E-2</v>
      </c>
      <c r="CY13" s="7">
        <f t="shared" si="3"/>
        <v>3.4401902182973122E-3</v>
      </c>
      <c r="CZ13" s="7">
        <f t="shared" si="3"/>
        <v>3.3242797906358999E-2</v>
      </c>
      <c r="DA13" s="7">
        <f t="shared" si="3"/>
        <v>1.0501524901709282E-2</v>
      </c>
      <c r="DB13" s="7">
        <f t="shared" si="3"/>
        <v>2.8544547184288158E-3</v>
      </c>
      <c r="DC13" s="7">
        <f t="shared" si="3"/>
        <v>5.7794473643209806E-3</v>
      </c>
      <c r="DD13" s="7">
        <f t="shared" si="3"/>
        <v>1.2529659470906641E-3</v>
      </c>
      <c r="DE13" s="7">
        <f t="shared" si="3"/>
        <v>1.8398674641594676E-3</v>
      </c>
      <c r="DF13" s="7">
        <f t="shared" si="3"/>
        <v>1.6800389933388728E-3</v>
      </c>
      <c r="DG13" s="7">
        <f t="shared" si="3"/>
        <v>1.2851021218355229E-2</v>
      </c>
      <c r="DH13" s="7">
        <f t="shared" si="3"/>
        <v>3.676304924673184E-3</v>
      </c>
      <c r="DI13" s="7">
        <f t="shared" si="3"/>
        <v>1.9156903334821073E-2</v>
      </c>
      <c r="DJ13" s="7">
        <f t="shared" si="3"/>
        <v>3.5874753230731818E-5</v>
      </c>
      <c r="DK13" s="7">
        <f t="shared" si="3"/>
        <v>7.3739390789208901E-3</v>
      </c>
      <c r="DL13" s="7">
        <f t="shared" si="3"/>
        <v>1.3860696400704781E-3</v>
      </c>
      <c r="DM13" s="7">
        <f t="shared" si="3"/>
        <v>4.3091396783038272E-3</v>
      </c>
      <c r="DN13" s="7">
        <f t="shared" si="3"/>
        <v>6.2359839943271003E-3</v>
      </c>
      <c r="DO13" s="7">
        <f t="shared" si="3"/>
        <v>6.9914120169814009E-5</v>
      </c>
      <c r="DP13" s="7">
        <f t="shared" si="3"/>
        <v>2.4467360170529044E-3</v>
      </c>
      <c r="DQ13" s="7">
        <f t="shared" si="3"/>
        <v>2.1605474223694927E-2</v>
      </c>
      <c r="DR13" s="7">
        <f t="shared" si="3"/>
        <v>3.6257605275531149E-3</v>
      </c>
      <c r="DS13" s="7">
        <f t="shared" si="3"/>
        <v>1.1798914078723773E-2</v>
      </c>
      <c r="DT13" s="7">
        <f t="shared" si="3"/>
        <v>1.7177890780536317E-2</v>
      </c>
      <c r="DU13" s="7">
        <f t="shared" si="3"/>
        <v>4.4184154618383183E-4</v>
      </c>
      <c r="DV13" s="7">
        <f t="shared" si="3"/>
        <v>1.1832322834727068E-2</v>
      </c>
      <c r="DW13" s="7">
        <f t="shared" si="3"/>
        <v>3.5489801359718095E-3</v>
      </c>
      <c r="DX13" s="7">
        <f t="shared" si="3"/>
        <v>1.8517266719152714E-2</v>
      </c>
      <c r="DY13" s="7">
        <f t="shared" si="3"/>
        <v>2.7566629698304542E-3</v>
      </c>
      <c r="DZ13" s="7">
        <f t="shared" si="3"/>
        <v>3.616633400846986E-3</v>
      </c>
      <c r="EA13" s="7">
        <f t="shared" ref="EA13:EG13" si="4">(EA3-EA9)^2</f>
        <v>1.6876789500486301E-2</v>
      </c>
      <c r="EB13" s="7">
        <f t="shared" si="4"/>
        <v>7.3047400107600425E-4</v>
      </c>
      <c r="EC13" s="7">
        <f t="shared" si="4"/>
        <v>1.6517997946211668E-3</v>
      </c>
      <c r="ED13" s="7">
        <f t="shared" si="4"/>
        <v>3.6696590205193523E-2</v>
      </c>
      <c r="EE13" s="7">
        <f t="shared" si="4"/>
        <v>2.926419672873294E-3</v>
      </c>
      <c r="EF13" s="7">
        <f t="shared" si="4"/>
        <v>1.4751064845341983E-3</v>
      </c>
      <c r="EG13" s="7">
        <f t="shared" si="4"/>
        <v>2.0252323028349079E-2</v>
      </c>
    </row>
    <row r="14" spans="1:137" x14ac:dyDescent="0.3">
      <c r="B14" s="1" t="s">
        <v>138</v>
      </c>
      <c r="C14" s="7">
        <f t="shared" ref="C14:AH14" si="5">(C4-C10)^2</f>
        <v>3.9175644269373755E-2</v>
      </c>
      <c r="D14" s="7">
        <f t="shared" si="5"/>
        <v>4.4200790352970531E-2</v>
      </c>
      <c r="E14" s="7">
        <f t="shared" si="5"/>
        <v>1.2446813427734085E-4</v>
      </c>
      <c r="F14" s="7">
        <f t="shared" si="5"/>
        <v>9.8682128065271171E-3</v>
      </c>
      <c r="G14" s="7">
        <f t="shared" si="5"/>
        <v>5.3660238871035932E-4</v>
      </c>
      <c r="H14" s="7">
        <f t="shared" si="5"/>
        <v>4.4366190268049083E-3</v>
      </c>
      <c r="I14" s="7">
        <f t="shared" si="5"/>
        <v>1.1335483371339697E-3</v>
      </c>
      <c r="J14" s="7">
        <f t="shared" si="5"/>
        <v>1.5603732868216454E-2</v>
      </c>
      <c r="K14" s="7">
        <f t="shared" si="5"/>
        <v>1.3798751794180235E-4</v>
      </c>
      <c r="L14" s="7">
        <f t="shared" si="5"/>
        <v>1.6697441339335817E-2</v>
      </c>
      <c r="M14" s="7">
        <f t="shared" si="5"/>
        <v>2.4556899043494618E-4</v>
      </c>
      <c r="N14" s="7">
        <f t="shared" si="5"/>
        <v>3.1112308791386926E-2</v>
      </c>
      <c r="O14" s="7">
        <f t="shared" si="5"/>
        <v>4.0874572462974864E-4</v>
      </c>
      <c r="P14" s="7">
        <f t="shared" si="5"/>
        <v>1.2881283911286994E-2</v>
      </c>
      <c r="Q14" s="7">
        <f t="shared" si="5"/>
        <v>1.121503823372956E-3</v>
      </c>
      <c r="R14" s="7">
        <f t="shared" si="5"/>
        <v>2.5188965042704558E-3</v>
      </c>
      <c r="S14" s="7">
        <f t="shared" si="5"/>
        <v>1.745279291590799E-2</v>
      </c>
      <c r="T14" s="7">
        <f t="shared" si="5"/>
        <v>2.4928798988249315E-3</v>
      </c>
      <c r="U14" s="7">
        <f t="shared" si="5"/>
        <v>2.7919212143956646E-3</v>
      </c>
      <c r="V14" s="7">
        <f t="shared" si="5"/>
        <v>1.2836474638295895E-3</v>
      </c>
      <c r="W14" s="7">
        <f t="shared" si="5"/>
        <v>1.0467287615892816E-2</v>
      </c>
      <c r="X14" s="7">
        <f t="shared" si="5"/>
        <v>9.6017843416955958E-5</v>
      </c>
      <c r="Y14" s="7">
        <f t="shared" si="5"/>
        <v>1.4699466732228318E-3</v>
      </c>
      <c r="Z14" s="7">
        <f t="shared" si="5"/>
        <v>8.9902372187629842E-4</v>
      </c>
      <c r="AA14" s="7">
        <f t="shared" si="5"/>
        <v>5.6820194858651545E-3</v>
      </c>
      <c r="AB14" s="7">
        <f t="shared" si="5"/>
        <v>2.2068825013907807E-4</v>
      </c>
      <c r="AC14" s="7">
        <f t="shared" si="5"/>
        <v>6.0868334489718769E-4</v>
      </c>
      <c r="AD14" s="7">
        <f t="shared" si="5"/>
        <v>1.0907460839452304E-3</v>
      </c>
      <c r="AE14" s="7">
        <f t="shared" si="5"/>
        <v>2.9856599119717348E-2</v>
      </c>
      <c r="AF14" s="7">
        <f t="shared" si="5"/>
        <v>9.7868536792326041E-3</v>
      </c>
      <c r="AG14" s="7">
        <f t="shared" si="5"/>
        <v>3.2832331170464627E-5</v>
      </c>
      <c r="AH14" s="7">
        <f t="shared" si="5"/>
        <v>4.0588321407821138E-4</v>
      </c>
      <c r="AI14" s="7">
        <f t="shared" ref="AI14:BN14" si="6">(AI4-AI10)^2</f>
        <v>4.3870203277319476E-4</v>
      </c>
      <c r="AJ14" s="7">
        <f t="shared" si="6"/>
        <v>7.0220362588522135E-4</v>
      </c>
      <c r="AK14" s="7">
        <f t="shared" si="6"/>
        <v>5.3974909681424636E-4</v>
      </c>
      <c r="AL14" s="7">
        <f t="shared" si="6"/>
        <v>6.5811935076129126E-3</v>
      </c>
      <c r="AM14" s="7">
        <f t="shared" si="6"/>
        <v>1.0802205745972615E-4</v>
      </c>
      <c r="AN14" s="7">
        <f t="shared" si="6"/>
        <v>8.9666685151176869E-3</v>
      </c>
      <c r="AO14" s="7">
        <f t="shared" si="6"/>
        <v>4.0830587645303951E-4</v>
      </c>
      <c r="AP14" s="7">
        <f t="shared" si="6"/>
        <v>4.8674703019560767E-4</v>
      </c>
      <c r="AQ14" s="7">
        <f t="shared" si="6"/>
        <v>3.5250293848851527E-3</v>
      </c>
      <c r="AR14" s="7">
        <f t="shared" si="6"/>
        <v>4.9521885777286685E-3</v>
      </c>
      <c r="AS14" s="7">
        <f t="shared" si="6"/>
        <v>4.1856946508117374E-6</v>
      </c>
      <c r="AT14" s="7">
        <f t="shared" si="6"/>
        <v>1.3173546496325774E-4</v>
      </c>
      <c r="AU14" s="7">
        <f t="shared" si="6"/>
        <v>1.9310016760507465E-2</v>
      </c>
      <c r="AV14" s="7">
        <f t="shared" si="6"/>
        <v>1.3484600303550057E-3</v>
      </c>
      <c r="AW14" s="7">
        <f t="shared" si="6"/>
        <v>8.9045707702789815E-5</v>
      </c>
      <c r="AX14" s="7">
        <f t="shared" si="6"/>
        <v>3.53346262780251E-4</v>
      </c>
      <c r="AY14" s="7">
        <f t="shared" si="6"/>
        <v>2.8348395005948711E-3</v>
      </c>
      <c r="AZ14" s="7">
        <f t="shared" si="6"/>
        <v>1.3959226678496167E-2</v>
      </c>
      <c r="BA14" s="7">
        <f t="shared" si="6"/>
        <v>1.1551489377154403E-2</v>
      </c>
      <c r="BB14" s="7">
        <f t="shared" si="6"/>
        <v>1.4959700995582914E-3</v>
      </c>
      <c r="BC14" s="7">
        <f t="shared" si="6"/>
        <v>2.2780406351339513E-3</v>
      </c>
      <c r="BD14" s="7">
        <f t="shared" si="6"/>
        <v>8.5814766124508515E-3</v>
      </c>
      <c r="BE14" s="7">
        <f t="shared" si="6"/>
        <v>2.7795296139707899E-2</v>
      </c>
      <c r="BF14" s="7">
        <f t="shared" si="6"/>
        <v>4.2605715815932409E-3</v>
      </c>
      <c r="BG14" s="7">
        <f t="shared" si="6"/>
        <v>1.0178929410137656E-4</v>
      </c>
      <c r="BH14" s="7">
        <f t="shared" si="6"/>
        <v>4.2394967172838345E-3</v>
      </c>
      <c r="BI14" s="7">
        <f t="shared" si="6"/>
        <v>3.9057563922559801E-3</v>
      </c>
      <c r="BJ14" s="7">
        <f t="shared" si="6"/>
        <v>6.3278817754078252E-3</v>
      </c>
      <c r="BK14" s="7">
        <f t="shared" si="6"/>
        <v>1.3712854958125978E-2</v>
      </c>
      <c r="BL14" s="7">
        <f t="shared" si="6"/>
        <v>1.7746900743427152E-4</v>
      </c>
      <c r="BM14" s="7">
        <f t="shared" si="6"/>
        <v>6.5060688733550491E-3</v>
      </c>
      <c r="BN14" s="7">
        <f t="shared" si="6"/>
        <v>9.0433539745741719E-3</v>
      </c>
      <c r="BO14" s="7">
        <f t="shared" ref="BO14:CT14" si="7">(BO4-BO10)^2</f>
        <v>1.4728522402663308E-6</v>
      </c>
      <c r="BP14" s="7">
        <f t="shared" si="7"/>
        <v>1.4138774864529349E-2</v>
      </c>
      <c r="BQ14" s="7">
        <f t="shared" si="7"/>
        <v>7.4961362961495977E-4</v>
      </c>
      <c r="BR14" s="7">
        <f t="shared" si="7"/>
        <v>2.4192562968297993E-3</v>
      </c>
      <c r="BS14" s="7">
        <f t="shared" si="7"/>
        <v>3.0570806927332135E-3</v>
      </c>
      <c r="BT14" s="7">
        <f t="shared" si="7"/>
        <v>1.3216390094427793E-2</v>
      </c>
      <c r="BU14" s="7">
        <f t="shared" si="7"/>
        <v>1.6933073797895184E-2</v>
      </c>
      <c r="BV14" s="7">
        <f t="shared" si="7"/>
        <v>8.7584359810285988E-3</v>
      </c>
      <c r="BW14" s="7">
        <f t="shared" si="7"/>
        <v>1.3308948800734874E-2</v>
      </c>
      <c r="BX14" s="7">
        <f t="shared" si="7"/>
        <v>9.5140679189656418E-4</v>
      </c>
      <c r="BY14" s="7">
        <f t="shared" si="7"/>
        <v>1.4542656412368878E-2</v>
      </c>
      <c r="BZ14" s="7">
        <f t="shared" si="7"/>
        <v>4.6326044742821823E-4</v>
      </c>
      <c r="CA14" s="7">
        <f t="shared" si="7"/>
        <v>4.2351850997595902E-3</v>
      </c>
      <c r="CB14" s="7">
        <f t="shared" si="7"/>
        <v>1.8366649364414154E-2</v>
      </c>
      <c r="CC14" s="7">
        <f t="shared" si="7"/>
        <v>8.9644665648134494E-4</v>
      </c>
      <c r="CD14" s="7">
        <f t="shared" si="7"/>
        <v>1.7090151074337122E-3</v>
      </c>
      <c r="CE14" s="7">
        <f t="shared" si="7"/>
        <v>4.2627124443387399E-2</v>
      </c>
      <c r="CF14" s="7">
        <f t="shared" si="7"/>
        <v>8.8211064278138525E-3</v>
      </c>
      <c r="CG14" s="7">
        <f t="shared" si="7"/>
        <v>3.3169179063906678E-3</v>
      </c>
      <c r="CH14" s="7">
        <f t="shared" si="7"/>
        <v>5.7954533822292937E-4</v>
      </c>
      <c r="CI14" s="7">
        <f t="shared" si="7"/>
        <v>4.3112919574686617E-3</v>
      </c>
      <c r="CJ14" s="7">
        <f t="shared" si="7"/>
        <v>6.7930092833262665E-5</v>
      </c>
      <c r="CK14" s="7">
        <f t="shared" si="7"/>
        <v>3.5757565783185578E-3</v>
      </c>
      <c r="CL14" s="7">
        <f t="shared" si="7"/>
        <v>8.3294905785859903E-4</v>
      </c>
      <c r="CM14" s="7">
        <f t="shared" si="7"/>
        <v>3.9255579935579994E-2</v>
      </c>
      <c r="CN14" s="7">
        <f t="shared" si="7"/>
        <v>2.4963678379687658E-3</v>
      </c>
      <c r="CO14" s="7">
        <f t="shared" si="7"/>
        <v>2.0613731338723906E-2</v>
      </c>
      <c r="CP14" s="7">
        <f t="shared" si="7"/>
        <v>5.2125630545471592E-3</v>
      </c>
      <c r="CQ14" s="7">
        <f t="shared" si="7"/>
        <v>3.2586458133545347E-2</v>
      </c>
      <c r="CR14" s="7">
        <f t="shared" si="7"/>
        <v>4.8238598039694316E-3</v>
      </c>
      <c r="CS14" s="7">
        <f t="shared" si="7"/>
        <v>3.8989432314765745E-6</v>
      </c>
      <c r="CT14" s="7">
        <f t="shared" si="7"/>
        <v>8.3338596720373571E-3</v>
      </c>
      <c r="CU14" s="7">
        <f t="shared" ref="CU14:DZ14" si="8">(CU4-CU10)^2</f>
        <v>1.4140106131453811E-3</v>
      </c>
      <c r="CV14" s="7">
        <f t="shared" si="8"/>
        <v>4.1360419784279979E-4</v>
      </c>
      <c r="CW14" s="7">
        <f t="shared" si="8"/>
        <v>1.3035996631558103E-3</v>
      </c>
      <c r="CX14" s="7">
        <f t="shared" si="8"/>
        <v>7.3090094521827209E-3</v>
      </c>
      <c r="CY14" s="7">
        <f t="shared" si="8"/>
        <v>5.0291966692893103E-3</v>
      </c>
      <c r="CZ14" s="7">
        <f t="shared" si="8"/>
        <v>3.2444440397064019E-2</v>
      </c>
      <c r="DA14" s="7">
        <f t="shared" si="8"/>
        <v>4.4538504075452212E-3</v>
      </c>
      <c r="DB14" s="7">
        <f t="shared" si="8"/>
        <v>2.1343943092456824E-2</v>
      </c>
      <c r="DC14" s="7">
        <f t="shared" si="8"/>
        <v>2.5032898092659885E-3</v>
      </c>
      <c r="DD14" s="7">
        <f t="shared" si="8"/>
        <v>2.0920422642574737E-2</v>
      </c>
      <c r="DE14" s="7">
        <f t="shared" si="8"/>
        <v>1.3471457365169208E-2</v>
      </c>
      <c r="DF14" s="7">
        <f t="shared" si="8"/>
        <v>1.9514158896816413E-2</v>
      </c>
      <c r="DG14" s="7">
        <f t="shared" si="8"/>
        <v>6.63013835490949E-2</v>
      </c>
      <c r="DH14" s="7">
        <f t="shared" si="8"/>
        <v>1.8460535749105222E-2</v>
      </c>
      <c r="DI14" s="7">
        <f t="shared" si="8"/>
        <v>6.9304296293935608E-3</v>
      </c>
      <c r="DJ14" s="7">
        <f t="shared" si="8"/>
        <v>3.9478447042668252E-3</v>
      </c>
      <c r="DK14" s="7">
        <f t="shared" si="8"/>
        <v>1.4599075620800293E-2</v>
      </c>
      <c r="DL14" s="7">
        <f t="shared" si="8"/>
        <v>6.9484280904047067E-4</v>
      </c>
      <c r="DM14" s="7">
        <f t="shared" si="8"/>
        <v>1.0109860400483563E-2</v>
      </c>
      <c r="DN14" s="7">
        <f t="shared" si="8"/>
        <v>5.2885363016682077E-4</v>
      </c>
      <c r="DO14" s="7">
        <f t="shared" si="8"/>
        <v>5.5659979183301442E-3</v>
      </c>
      <c r="DP14" s="7">
        <f t="shared" si="8"/>
        <v>1.0221529562949253E-2</v>
      </c>
      <c r="DQ14" s="7">
        <f t="shared" si="8"/>
        <v>7.449962936409333E-3</v>
      </c>
      <c r="DR14" s="7">
        <f t="shared" si="8"/>
        <v>9.2233763004232017E-5</v>
      </c>
      <c r="DS14" s="7">
        <f t="shared" si="8"/>
        <v>1.7119260981561159E-2</v>
      </c>
      <c r="DT14" s="7">
        <f t="shared" si="8"/>
        <v>1.4309594095382563E-3</v>
      </c>
      <c r="DU14" s="7">
        <f t="shared" si="8"/>
        <v>4.0557016597374679E-2</v>
      </c>
      <c r="DV14" s="7">
        <f t="shared" si="8"/>
        <v>2.7040590626861564E-4</v>
      </c>
      <c r="DW14" s="7">
        <f t="shared" si="8"/>
        <v>6.9335189314339825E-3</v>
      </c>
      <c r="DX14" s="7">
        <f t="shared" si="8"/>
        <v>6.5815346207697301E-4</v>
      </c>
      <c r="DY14" s="7">
        <f t="shared" si="8"/>
        <v>5.4181294632484594E-3</v>
      </c>
      <c r="DZ14" s="7">
        <f t="shared" si="8"/>
        <v>1.4595696137373736E-3</v>
      </c>
      <c r="EA14" s="7">
        <f t="shared" ref="EA14:EG14" si="9">(EA4-EA10)^2</f>
        <v>8.9357957746704665E-3</v>
      </c>
      <c r="EB14" s="7">
        <f t="shared" si="9"/>
        <v>7.9786177940049886E-4</v>
      </c>
      <c r="EC14" s="7">
        <f t="shared" si="9"/>
        <v>8.5553796447068627E-3</v>
      </c>
      <c r="ED14" s="7">
        <f t="shared" si="9"/>
        <v>4.2904602823733489E-3</v>
      </c>
      <c r="EE14" s="7">
        <f t="shared" si="9"/>
        <v>3.2671846836402833E-2</v>
      </c>
      <c r="EF14" s="7">
        <f t="shared" si="9"/>
        <v>1.3400178420845659E-2</v>
      </c>
      <c r="EG14" s="7">
        <f t="shared" si="9"/>
        <v>2.526811904387603E-2</v>
      </c>
    </row>
    <row r="15" spans="1:137" x14ac:dyDescent="0.3">
      <c r="B15" s="1" t="s">
        <v>139</v>
      </c>
      <c r="C15" s="7">
        <f t="shared" ref="C15:AH15" si="10">(C5-C11)^2</f>
        <v>3.3445774266807797E-3</v>
      </c>
      <c r="D15" s="7">
        <f t="shared" si="10"/>
        <v>1.8054664086030437E-3</v>
      </c>
      <c r="E15" s="7">
        <f t="shared" si="10"/>
        <v>6.6375830113139746E-4</v>
      </c>
      <c r="F15" s="7">
        <f t="shared" si="10"/>
        <v>9.0494721488881286E-3</v>
      </c>
      <c r="G15" s="7">
        <f t="shared" si="10"/>
        <v>1.0594347934893892E-2</v>
      </c>
      <c r="H15" s="7">
        <f t="shared" si="10"/>
        <v>4.3889857583746603E-5</v>
      </c>
      <c r="I15" s="7">
        <f t="shared" si="10"/>
        <v>9.1852463310217376E-4</v>
      </c>
      <c r="J15" s="7">
        <f t="shared" si="10"/>
        <v>2.6129282932566526E-4</v>
      </c>
      <c r="K15" s="7">
        <f t="shared" si="10"/>
        <v>3.6804070853811116E-3</v>
      </c>
      <c r="L15" s="7">
        <f t="shared" si="10"/>
        <v>9.7172651042362474E-5</v>
      </c>
      <c r="M15" s="7">
        <f t="shared" si="10"/>
        <v>1.1492225233322643E-3</v>
      </c>
      <c r="N15" s="7">
        <f t="shared" si="10"/>
        <v>7.7513430173740162E-3</v>
      </c>
      <c r="O15" s="7">
        <f t="shared" si="10"/>
        <v>2.6515058242642512E-3</v>
      </c>
      <c r="P15" s="7">
        <f t="shared" si="10"/>
        <v>1.6274225659941441E-4</v>
      </c>
      <c r="Q15" s="7">
        <f t="shared" si="10"/>
        <v>3.6973425509449717E-5</v>
      </c>
      <c r="R15" s="7">
        <f t="shared" si="10"/>
        <v>3.5822169819186639E-4</v>
      </c>
      <c r="S15" s="7">
        <f t="shared" si="10"/>
        <v>4.0027821594814934E-4</v>
      </c>
      <c r="T15" s="7">
        <f t="shared" si="10"/>
        <v>1.2837734447198887E-2</v>
      </c>
      <c r="U15" s="7">
        <f t="shared" si="10"/>
        <v>1.500202959968062E-4</v>
      </c>
      <c r="V15" s="7">
        <f t="shared" si="10"/>
        <v>1.9233855709457144E-5</v>
      </c>
      <c r="W15" s="7">
        <f t="shared" si="10"/>
        <v>1.8870996976421663E-2</v>
      </c>
      <c r="X15" s="7">
        <f t="shared" si="10"/>
        <v>0.10411550050746329</v>
      </c>
      <c r="Y15" s="7">
        <f t="shared" si="10"/>
        <v>9.083713280516971E-3</v>
      </c>
      <c r="Z15" s="7">
        <f t="shared" si="10"/>
        <v>3.2087745428731392E-2</v>
      </c>
      <c r="AA15" s="7">
        <f t="shared" si="10"/>
        <v>1.2564306816642543E-2</v>
      </c>
      <c r="AB15" s="7">
        <f t="shared" si="10"/>
        <v>2.4282364518411199E-3</v>
      </c>
      <c r="AC15" s="7">
        <f t="shared" si="10"/>
        <v>8.926817581861755E-3</v>
      </c>
      <c r="AD15" s="7">
        <f t="shared" si="10"/>
        <v>4.8304550069429748E-3</v>
      </c>
      <c r="AE15" s="7">
        <f t="shared" si="10"/>
        <v>3.8941554416002042E-2</v>
      </c>
      <c r="AF15" s="7">
        <f t="shared" si="10"/>
        <v>2.6896794555651769E-2</v>
      </c>
      <c r="AG15" s="7">
        <f t="shared" si="10"/>
        <v>2.101634157510987E-4</v>
      </c>
      <c r="AH15" s="7">
        <f t="shared" si="10"/>
        <v>4.1404488440995593E-6</v>
      </c>
      <c r="AI15" s="7">
        <f t="shared" ref="AI15:BN15" si="11">(AI5-AI11)^2</f>
        <v>5.4206397290241495E-4</v>
      </c>
      <c r="AJ15" s="7">
        <f t="shared" si="11"/>
        <v>7.9054923488952036E-4</v>
      </c>
      <c r="AK15" s="7">
        <f t="shared" si="11"/>
        <v>2.9607405422707876E-3</v>
      </c>
      <c r="AL15" s="7">
        <f t="shared" si="11"/>
        <v>9.9372479680188038E-3</v>
      </c>
      <c r="AM15" s="7">
        <f t="shared" si="11"/>
        <v>6.4910418381203142E-4</v>
      </c>
      <c r="AN15" s="7">
        <f t="shared" si="11"/>
        <v>3.1526896347508428E-3</v>
      </c>
      <c r="AO15" s="7">
        <f t="shared" si="11"/>
        <v>4.5783229756529318E-3</v>
      </c>
      <c r="AP15" s="7">
        <f t="shared" si="11"/>
        <v>9.5514986292402257E-4</v>
      </c>
      <c r="AQ15" s="7">
        <f t="shared" si="11"/>
        <v>1.0923650811337983E-4</v>
      </c>
      <c r="AR15" s="7">
        <f t="shared" si="11"/>
        <v>1.0563164667923733E-3</v>
      </c>
      <c r="AS15" s="7">
        <f t="shared" si="11"/>
        <v>1.5151188576839408E-3</v>
      </c>
      <c r="AT15" s="7">
        <f t="shared" si="11"/>
        <v>1.9677657021547636E-2</v>
      </c>
      <c r="AU15" s="7">
        <f t="shared" si="11"/>
        <v>2.5855158135816288E-3</v>
      </c>
      <c r="AV15" s="7">
        <f t="shared" si="11"/>
        <v>1.6338245348061154E-2</v>
      </c>
      <c r="AW15" s="7">
        <f t="shared" si="11"/>
        <v>2.1608302637360914E-3</v>
      </c>
      <c r="AX15" s="7">
        <f t="shared" si="11"/>
        <v>2.6138748985644712E-2</v>
      </c>
      <c r="AY15" s="7">
        <f t="shared" si="11"/>
        <v>3.7948809946807063E-3</v>
      </c>
      <c r="AZ15" s="7">
        <f t="shared" si="11"/>
        <v>4.8683940311457586E-3</v>
      </c>
      <c r="BA15" s="7">
        <f t="shared" si="11"/>
        <v>8.7970058863424144E-5</v>
      </c>
      <c r="BB15" s="7">
        <f t="shared" si="11"/>
        <v>2.435384022378765E-2</v>
      </c>
      <c r="BC15" s="7">
        <f t="shared" si="11"/>
        <v>3.936736049193112E-3</v>
      </c>
      <c r="BD15" s="7">
        <f t="shared" si="11"/>
        <v>2.376649395190964E-4</v>
      </c>
      <c r="BE15" s="7">
        <f t="shared" si="11"/>
        <v>2.0820604248184982E-2</v>
      </c>
      <c r="BF15" s="7">
        <f t="shared" si="11"/>
        <v>4.3145661869509189E-2</v>
      </c>
      <c r="BG15" s="7">
        <f t="shared" si="11"/>
        <v>3.2663034532763847E-2</v>
      </c>
      <c r="BH15" s="7">
        <f t="shared" si="11"/>
        <v>5.4353464337775492E-3</v>
      </c>
      <c r="BI15" s="7">
        <f t="shared" si="11"/>
        <v>3.8768124844020596E-3</v>
      </c>
      <c r="BJ15" s="7">
        <f t="shared" si="11"/>
        <v>1.9438610178895154E-4</v>
      </c>
      <c r="BK15" s="7">
        <f t="shared" si="11"/>
        <v>2.1129429583325377E-5</v>
      </c>
      <c r="BL15" s="7">
        <f t="shared" si="11"/>
        <v>2.3920910173574735E-2</v>
      </c>
      <c r="BM15" s="7">
        <f t="shared" si="11"/>
        <v>2.9132825127745929E-2</v>
      </c>
      <c r="BN15" s="7">
        <f t="shared" si="11"/>
        <v>6.6922890830006234E-4</v>
      </c>
      <c r="BO15" s="7">
        <f t="shared" ref="BO15:CT15" si="12">(BO5-BO11)^2</f>
        <v>8.3168599013039746E-4</v>
      </c>
      <c r="BP15" s="7">
        <f t="shared" si="12"/>
        <v>2.1403162596611543E-3</v>
      </c>
      <c r="BQ15" s="7">
        <f t="shared" si="12"/>
        <v>5.774657014534474E-4</v>
      </c>
      <c r="BR15" s="7">
        <f t="shared" si="12"/>
        <v>3.3939687301992531E-2</v>
      </c>
      <c r="BS15" s="7">
        <f t="shared" si="12"/>
        <v>1.2788384898096637E-2</v>
      </c>
      <c r="BT15" s="7">
        <f t="shared" si="12"/>
        <v>1.2479164126446875E-3</v>
      </c>
      <c r="BU15" s="7">
        <f t="shared" si="12"/>
        <v>2.4110648486338859E-3</v>
      </c>
      <c r="BV15" s="7">
        <f t="shared" si="12"/>
        <v>1.5252129602537818E-2</v>
      </c>
      <c r="BW15" s="7">
        <f t="shared" si="12"/>
        <v>2.152248840096144E-2</v>
      </c>
      <c r="BX15" s="7">
        <f t="shared" si="12"/>
        <v>8.2130938930655052E-6</v>
      </c>
      <c r="BY15" s="7">
        <f t="shared" si="12"/>
        <v>1.8105795794529107E-2</v>
      </c>
      <c r="BZ15" s="7">
        <f t="shared" si="12"/>
        <v>9.2018028752670865E-4</v>
      </c>
      <c r="CA15" s="7">
        <f t="shared" si="12"/>
        <v>7.9607957630029003E-4</v>
      </c>
      <c r="CB15" s="7">
        <f t="shared" si="12"/>
        <v>3.3874008345532937E-3</v>
      </c>
      <c r="CC15" s="7">
        <f t="shared" si="12"/>
        <v>2.2890411845555001E-3</v>
      </c>
      <c r="CD15" s="7">
        <f t="shared" si="12"/>
        <v>5.9071885840278459E-3</v>
      </c>
      <c r="CE15" s="7">
        <f t="shared" si="12"/>
        <v>7.0262074370944947E-3</v>
      </c>
      <c r="CF15" s="7">
        <f t="shared" si="12"/>
        <v>1.2464239991566077E-6</v>
      </c>
      <c r="CG15" s="7">
        <f t="shared" si="12"/>
        <v>1.3799186375289062E-2</v>
      </c>
      <c r="CH15" s="7">
        <f t="shared" si="12"/>
        <v>6.1526903071588534E-4</v>
      </c>
      <c r="CI15" s="7">
        <f t="shared" si="12"/>
        <v>4.7438113673342807E-3</v>
      </c>
      <c r="CJ15" s="7">
        <f t="shared" si="12"/>
        <v>5.6612035000661698E-2</v>
      </c>
      <c r="CK15" s="7">
        <f t="shared" si="12"/>
        <v>1.7975617261428788E-2</v>
      </c>
      <c r="CL15" s="7">
        <f t="shared" si="12"/>
        <v>1.7382733940297865E-2</v>
      </c>
      <c r="CM15" s="7">
        <f t="shared" si="12"/>
        <v>1.3877790570487415E-2</v>
      </c>
      <c r="CN15" s="7">
        <f t="shared" si="12"/>
        <v>4.8671296218745615E-2</v>
      </c>
      <c r="CO15" s="7">
        <f t="shared" si="12"/>
        <v>1.4801271417349085E-2</v>
      </c>
      <c r="CP15" s="7">
        <f t="shared" si="12"/>
        <v>6.6792360757934757E-4</v>
      </c>
      <c r="CQ15" s="7">
        <f t="shared" si="12"/>
        <v>4.6758338125014877E-2</v>
      </c>
      <c r="CR15" s="7">
        <f t="shared" si="12"/>
        <v>1.7629611659978825E-2</v>
      </c>
      <c r="CS15" s="7">
        <f t="shared" si="12"/>
        <v>8.9706984047041964E-3</v>
      </c>
      <c r="CT15" s="7">
        <f t="shared" si="12"/>
        <v>6.1942351292729625E-4</v>
      </c>
      <c r="CU15" s="7">
        <f t="shared" ref="CU15:DZ15" si="13">(CU5-CU11)^2</f>
        <v>8.0203931133498579E-2</v>
      </c>
      <c r="CV15" s="7">
        <f t="shared" si="13"/>
        <v>7.2106562465344665E-2</v>
      </c>
      <c r="CW15" s="7">
        <f t="shared" si="13"/>
        <v>1.1018731683034945E-2</v>
      </c>
      <c r="CX15" s="7">
        <f t="shared" si="13"/>
        <v>1.6671842624490969E-2</v>
      </c>
      <c r="CY15" s="7">
        <f t="shared" si="13"/>
        <v>7.5080455872947507E-3</v>
      </c>
      <c r="CZ15" s="7">
        <f t="shared" si="13"/>
        <v>2.2642905508848885E-3</v>
      </c>
      <c r="DA15" s="7">
        <f t="shared" si="13"/>
        <v>6.7667244806491958E-3</v>
      </c>
      <c r="DB15" s="7">
        <f t="shared" si="13"/>
        <v>2.1005570866122359E-2</v>
      </c>
      <c r="DC15" s="7">
        <f t="shared" si="13"/>
        <v>5.5949916095976481E-3</v>
      </c>
      <c r="DD15" s="7">
        <f t="shared" si="13"/>
        <v>3.0216446848658068E-2</v>
      </c>
      <c r="DE15" s="7">
        <f t="shared" si="13"/>
        <v>1.0562274257460825E-2</v>
      </c>
      <c r="DF15" s="7">
        <f t="shared" si="13"/>
        <v>4.3039402690599905E-3</v>
      </c>
      <c r="DG15" s="7">
        <f t="shared" si="13"/>
        <v>4.8223378571655512E-2</v>
      </c>
      <c r="DH15" s="7">
        <f t="shared" si="13"/>
        <v>5.8773693966677077E-3</v>
      </c>
      <c r="DI15" s="7">
        <f t="shared" si="13"/>
        <v>5.5908054671486469E-3</v>
      </c>
      <c r="DJ15" s="7">
        <f t="shared" si="13"/>
        <v>1.4534920469182819E-2</v>
      </c>
      <c r="DK15" s="7">
        <f t="shared" si="13"/>
        <v>1.5792128908244004E-5</v>
      </c>
      <c r="DL15" s="7">
        <f t="shared" si="13"/>
        <v>4.4166833407060201E-3</v>
      </c>
      <c r="DM15" s="7">
        <f t="shared" si="13"/>
        <v>3.0300033946846971E-4</v>
      </c>
      <c r="DN15" s="7">
        <f t="shared" si="13"/>
        <v>1.3460242828675223E-3</v>
      </c>
      <c r="DO15" s="7">
        <f t="shared" si="13"/>
        <v>1.0100799449732563E-2</v>
      </c>
      <c r="DP15" s="7">
        <f t="shared" si="13"/>
        <v>5.4383301566762111E-2</v>
      </c>
      <c r="DQ15" s="7">
        <f t="shared" si="13"/>
        <v>6.192573299961119E-2</v>
      </c>
      <c r="DR15" s="7">
        <f t="shared" si="13"/>
        <v>5.5051415422837567E-5</v>
      </c>
      <c r="DS15" s="7">
        <f t="shared" si="13"/>
        <v>1.8117402846172841E-2</v>
      </c>
      <c r="DT15" s="7">
        <f t="shared" si="13"/>
        <v>1.3195317902847772E-2</v>
      </c>
      <c r="DU15" s="7">
        <f t="shared" si="13"/>
        <v>9.3530108341017843E-3</v>
      </c>
      <c r="DV15" s="7">
        <f t="shared" si="13"/>
        <v>3.768525240520397E-3</v>
      </c>
      <c r="DW15" s="7">
        <f t="shared" si="13"/>
        <v>8.7135751244992257E-4</v>
      </c>
      <c r="DX15" s="7">
        <f t="shared" si="13"/>
        <v>2.9148659335190416E-3</v>
      </c>
      <c r="DY15" s="7">
        <f t="shared" si="13"/>
        <v>4.2781032468901482E-3</v>
      </c>
      <c r="DZ15" s="7">
        <f t="shared" si="13"/>
        <v>1.2602203824954987E-4</v>
      </c>
      <c r="EA15" s="7">
        <f t="shared" ref="EA15:EG15" si="14">(EA5-EA11)^2</f>
        <v>8.9644207206630799E-2</v>
      </c>
      <c r="EB15" s="7">
        <f t="shared" si="14"/>
        <v>1.5343091243110136E-2</v>
      </c>
      <c r="EC15" s="7">
        <f t="shared" si="14"/>
        <v>7.5284157412192242E-5</v>
      </c>
      <c r="ED15" s="7">
        <f t="shared" si="14"/>
        <v>4.5498816419546955E-3</v>
      </c>
      <c r="EE15" s="7">
        <f t="shared" si="14"/>
        <v>1.7540690875588103E-2</v>
      </c>
      <c r="EF15" s="7">
        <f t="shared" si="14"/>
        <v>6.8703278408362564E-3</v>
      </c>
      <c r="EG15" s="7">
        <f t="shared" si="14"/>
        <v>0</v>
      </c>
    </row>
    <row r="17" spans="1:137" x14ac:dyDescent="0.3">
      <c r="A17" t="s">
        <v>167</v>
      </c>
      <c r="B17" s="1" t="s">
        <v>137</v>
      </c>
      <c r="C17" s="7">
        <f t="shared" ref="C17:AH17" si="15">C9^2</f>
        <v>1.1904082139988901E-2</v>
      </c>
      <c r="D17" s="7">
        <f t="shared" si="15"/>
        <v>2.1247668449640001E-4</v>
      </c>
      <c r="E17" s="7">
        <f t="shared" si="15"/>
        <v>1.3071406393600003E-3</v>
      </c>
      <c r="F17" s="7">
        <f t="shared" si="15"/>
        <v>2.2492254759999996E-5</v>
      </c>
      <c r="G17" s="7">
        <f t="shared" si="15"/>
        <v>3.3037204839999999E-5</v>
      </c>
      <c r="H17" s="7">
        <f t="shared" si="15"/>
        <v>2.4381888591204002E-3</v>
      </c>
      <c r="I17" s="7">
        <f t="shared" si="15"/>
        <v>3.3581211208132906E-2</v>
      </c>
      <c r="J17" s="7">
        <f t="shared" si="15"/>
        <v>1.3569060417416099E-2</v>
      </c>
      <c r="K17" s="7">
        <f t="shared" si="15"/>
        <v>9.3604790601000006E-4</v>
      </c>
      <c r="L17" s="7">
        <f t="shared" si="15"/>
        <v>3.9315156680250001E-4</v>
      </c>
      <c r="M17" s="7">
        <f t="shared" si="15"/>
        <v>4.4095800100000003E-4</v>
      </c>
      <c r="N17" s="7">
        <f t="shared" si="15"/>
        <v>2.2433874655536399E-2</v>
      </c>
      <c r="O17" s="7">
        <f t="shared" si="15"/>
        <v>2.3911704882810002E-4</v>
      </c>
      <c r="P17" s="7">
        <f t="shared" si="15"/>
        <v>8.425826339289998E-3</v>
      </c>
      <c r="Q17" s="7">
        <f t="shared" si="15"/>
        <v>5.9921532810000011E-3</v>
      </c>
      <c r="R17" s="7">
        <f t="shared" si="15"/>
        <v>3.0004759075600001E-3</v>
      </c>
      <c r="S17" s="7">
        <f t="shared" si="15"/>
        <v>1.5708711823360002E-2</v>
      </c>
      <c r="T17" s="7">
        <f t="shared" si="15"/>
        <v>1.4173712051560001E-2</v>
      </c>
      <c r="U17" s="7">
        <f t="shared" si="15"/>
        <v>1.4265804540100002E-3</v>
      </c>
      <c r="V17" s="7">
        <f t="shared" si="15"/>
        <v>6.5908126297924002E-3</v>
      </c>
      <c r="W17" s="7">
        <f t="shared" si="15"/>
        <v>7.0575070404609004E-3</v>
      </c>
      <c r="X17" s="7">
        <f t="shared" si="15"/>
        <v>2.1612339969049602E-2</v>
      </c>
      <c r="Y17" s="7">
        <f t="shared" si="15"/>
        <v>1.5715254960250002E-2</v>
      </c>
      <c r="Z17" s="7">
        <f t="shared" si="15"/>
        <v>3.6846165357602503E-2</v>
      </c>
      <c r="AA17" s="7">
        <f t="shared" si="15"/>
        <v>7.118431892639999E-3</v>
      </c>
      <c r="AB17" s="7">
        <f t="shared" si="15"/>
        <v>5.3140615437121006E-3</v>
      </c>
      <c r="AC17" s="7">
        <f t="shared" si="15"/>
        <v>1.05276957327936E-2</v>
      </c>
      <c r="AD17" s="7">
        <f t="shared" si="15"/>
        <v>2.4869826182889997E-4</v>
      </c>
      <c r="AE17" s="7">
        <f t="shared" si="15"/>
        <v>2.3106188851840001E-2</v>
      </c>
      <c r="AF17" s="7">
        <f t="shared" si="15"/>
        <v>3.5105921250624997E-3</v>
      </c>
      <c r="AG17" s="7">
        <f t="shared" si="15"/>
        <v>1.6915301862145602E-2</v>
      </c>
      <c r="AH17" s="7">
        <f t="shared" si="15"/>
        <v>1.3284037740959998E-2</v>
      </c>
      <c r="AI17" s="7">
        <f t="shared" ref="AI17:BN17" si="16">AI9^2</f>
        <v>1.0631916678244002E-3</v>
      </c>
      <c r="AJ17" s="7">
        <f t="shared" si="16"/>
        <v>7.8395016079210007E-4</v>
      </c>
      <c r="AK17" s="7">
        <f t="shared" si="16"/>
        <v>2.1482888018976402E-2</v>
      </c>
      <c r="AL17" s="7">
        <f t="shared" si="16"/>
        <v>1.6680624292863997E-3</v>
      </c>
      <c r="AM17" s="7">
        <f t="shared" si="16"/>
        <v>1.7259750594376899E-2</v>
      </c>
      <c r="AN17" s="7">
        <f t="shared" si="16"/>
        <v>4.9032555774361608E-2</v>
      </c>
      <c r="AO17" s="7">
        <f t="shared" si="16"/>
        <v>4.3852548100000008E-4</v>
      </c>
      <c r="AP17" s="7">
        <f t="shared" si="16"/>
        <v>1.8812865600000003E-2</v>
      </c>
      <c r="AQ17" s="7">
        <f t="shared" si="16"/>
        <v>6.1915871240999999E-4</v>
      </c>
      <c r="AR17" s="7">
        <f t="shared" si="16"/>
        <v>2.4068326516090002E-4</v>
      </c>
      <c r="AS17" s="7">
        <f t="shared" si="16"/>
        <v>1.1815058788416E-3</v>
      </c>
      <c r="AT17" s="7">
        <f t="shared" si="16"/>
        <v>3.9810660965760997E-3</v>
      </c>
      <c r="AU17" s="7">
        <f t="shared" si="16"/>
        <v>1.8694987012899996E-3</v>
      </c>
      <c r="AV17" s="7">
        <f t="shared" si="16"/>
        <v>5.5101522841600001E-3</v>
      </c>
      <c r="AW17" s="7">
        <f t="shared" si="16"/>
        <v>7.8371050672889991E-4</v>
      </c>
      <c r="AX17" s="7">
        <f t="shared" si="16"/>
        <v>1.4367479181936401E-2</v>
      </c>
      <c r="AY17" s="7">
        <f t="shared" si="16"/>
        <v>5.861367758584899E-3</v>
      </c>
      <c r="AZ17" s="7">
        <f t="shared" si="16"/>
        <v>4.7221028416000004E-4</v>
      </c>
      <c r="BA17" s="7">
        <f t="shared" si="16"/>
        <v>1.5537622499999999E-6</v>
      </c>
      <c r="BB17" s="7">
        <f t="shared" si="16"/>
        <v>1.02001556574724E-2</v>
      </c>
      <c r="BC17" s="7">
        <f t="shared" si="16"/>
        <v>8.8964575322490009E-4</v>
      </c>
      <c r="BD17" s="7">
        <f t="shared" si="16"/>
        <v>7.5268985092899991E-5</v>
      </c>
      <c r="BE17" s="7">
        <f t="shared" si="16"/>
        <v>4.7000910429840989E-3</v>
      </c>
      <c r="BF17" s="7">
        <f t="shared" si="16"/>
        <v>2.4621564038760004E-2</v>
      </c>
      <c r="BG17" s="7">
        <f t="shared" si="16"/>
        <v>2.5345827645912897E-2</v>
      </c>
      <c r="BH17" s="7">
        <f t="shared" si="16"/>
        <v>3.7358585435889003E-3</v>
      </c>
      <c r="BI17" s="7">
        <f t="shared" si="16"/>
        <v>9.392100495122499E-3</v>
      </c>
      <c r="BJ17" s="7">
        <f t="shared" si="16"/>
        <v>2.9971464144400001E-3</v>
      </c>
      <c r="BK17" s="7">
        <f t="shared" si="16"/>
        <v>7.6550250490000004E-3</v>
      </c>
      <c r="BL17" s="7">
        <f t="shared" si="16"/>
        <v>8.9164111155625014E-3</v>
      </c>
      <c r="BM17" s="7">
        <f t="shared" si="16"/>
        <v>4.9244491920999998E-4</v>
      </c>
      <c r="BN17" s="7">
        <f t="shared" si="16"/>
        <v>2.4425345053210001E-4</v>
      </c>
      <c r="BO17" s="7">
        <f t="shared" ref="BO17:CT17" si="17">BO9^2</f>
        <v>6.6289298046976006E-3</v>
      </c>
      <c r="BP17" s="7">
        <f t="shared" si="17"/>
        <v>3.4257937920999991E-4</v>
      </c>
      <c r="BQ17" s="7">
        <f t="shared" si="17"/>
        <v>4.7237537923849006E-3</v>
      </c>
      <c r="BR17" s="7">
        <f t="shared" si="17"/>
        <v>9.6246375696000012E-6</v>
      </c>
      <c r="BS17" s="7">
        <f t="shared" si="17"/>
        <v>5.6196642659364004E-3</v>
      </c>
      <c r="BT17" s="7">
        <f t="shared" si="17"/>
        <v>2.0431837385280999E-3</v>
      </c>
      <c r="BU17" s="7">
        <f t="shared" si="17"/>
        <v>6.5932527592890006E-4</v>
      </c>
      <c r="BV17" s="7">
        <f t="shared" si="17"/>
        <v>8.4279799242408995E-3</v>
      </c>
      <c r="BW17" s="7">
        <f t="shared" si="17"/>
        <v>6.9453331599999993E-4</v>
      </c>
      <c r="BX17" s="7">
        <f t="shared" si="17"/>
        <v>3.7615943072889991E-4</v>
      </c>
      <c r="BY17" s="7">
        <f t="shared" si="17"/>
        <v>5.9042165532099998E-3</v>
      </c>
      <c r="BZ17" s="7">
        <f t="shared" si="17"/>
        <v>1.2838999732676099E-2</v>
      </c>
      <c r="CA17" s="7">
        <f t="shared" si="17"/>
        <v>1.1525074554010001E-2</v>
      </c>
      <c r="CB17" s="7">
        <f t="shared" si="17"/>
        <v>1.6682968701440999E-3</v>
      </c>
      <c r="CC17" s="7">
        <f t="shared" si="17"/>
        <v>3.9210732288999994E-4</v>
      </c>
      <c r="CD17" s="7">
        <f t="shared" si="17"/>
        <v>3.5485928036868099E-2</v>
      </c>
      <c r="CE17" s="7">
        <f t="shared" si="17"/>
        <v>3.0885706215080999E-3</v>
      </c>
      <c r="CF17" s="7">
        <f t="shared" si="17"/>
        <v>5.6058268660848995E-3</v>
      </c>
      <c r="CG17" s="7">
        <f t="shared" si="17"/>
        <v>1.0000038000036101E-2</v>
      </c>
      <c r="CH17" s="7">
        <f t="shared" si="17"/>
        <v>1.8501908311758405E-2</v>
      </c>
      <c r="CI17" s="7">
        <f t="shared" si="17"/>
        <v>8.7873750810000002E-3</v>
      </c>
      <c r="CJ17" s="7">
        <f t="shared" si="17"/>
        <v>1.5449616360000003E-5</v>
      </c>
      <c r="CK17" s="7">
        <f t="shared" si="17"/>
        <v>3.1931292005284002E-3</v>
      </c>
      <c r="CL17" s="7">
        <f t="shared" si="17"/>
        <v>6.9456378155808407E-2</v>
      </c>
      <c r="CM17" s="7">
        <f t="shared" si="17"/>
        <v>9.1305669160000001E-5</v>
      </c>
      <c r="CN17" s="7">
        <f t="shared" si="17"/>
        <v>9.9299984161000006E-4</v>
      </c>
      <c r="CO17" s="7">
        <f t="shared" si="17"/>
        <v>5.1161916100000006E-4</v>
      </c>
      <c r="CP17" s="7">
        <f t="shared" si="17"/>
        <v>1.7597510864472102E-2</v>
      </c>
      <c r="CQ17" s="7">
        <f t="shared" si="17"/>
        <v>1.7708364776928401E-2</v>
      </c>
      <c r="CR17" s="7">
        <f t="shared" si="17"/>
        <v>2.2369390096000001E-4</v>
      </c>
      <c r="CS17" s="7">
        <f t="shared" si="17"/>
        <v>1.1168897160100002E-3</v>
      </c>
      <c r="CT17" s="7">
        <f t="shared" si="17"/>
        <v>1.5082811906410001E-4</v>
      </c>
      <c r="CU17" s="7">
        <f t="shared" ref="CU17:DZ17" si="18">CU9^2</f>
        <v>1.36457395524004E-2</v>
      </c>
      <c r="CV17" s="7">
        <f t="shared" si="18"/>
        <v>9.9786492100000001E-6</v>
      </c>
      <c r="CW17" s="7">
        <f t="shared" si="18"/>
        <v>1.4605971794176002E-3</v>
      </c>
      <c r="CX17" s="7">
        <f t="shared" si="18"/>
        <v>1.93694273273281E-2</v>
      </c>
      <c r="CY17" s="7">
        <f t="shared" si="18"/>
        <v>5.6227317128999994E-4</v>
      </c>
      <c r="CZ17" s="7">
        <f t="shared" si="18"/>
        <v>4.7677993305468104E-2</v>
      </c>
      <c r="DA17" s="7">
        <f t="shared" si="18"/>
        <v>3.3602194627600003E-3</v>
      </c>
      <c r="DB17" s="7">
        <f t="shared" si="18"/>
        <v>1.9892845764000002E-4</v>
      </c>
      <c r="DC17" s="7">
        <f t="shared" si="18"/>
        <v>1.29859881689664E-2</v>
      </c>
      <c r="DD17" s="7">
        <f t="shared" si="18"/>
        <v>5.5461175095075999E-3</v>
      </c>
      <c r="DE17" s="7">
        <f t="shared" si="18"/>
        <v>8.0946009000000001E-7</v>
      </c>
      <c r="DF17" s="7">
        <f t="shared" si="18"/>
        <v>9.5466578489999995E-7</v>
      </c>
      <c r="DG17" s="7">
        <f t="shared" si="18"/>
        <v>5.326094996010001E-3</v>
      </c>
      <c r="DH17" s="7">
        <f t="shared" si="18"/>
        <v>5.6859833208999994E-4</v>
      </c>
      <c r="DI17" s="7">
        <f t="shared" si="18"/>
        <v>1.030848304249E-2</v>
      </c>
      <c r="DJ17" s="7">
        <f t="shared" si="18"/>
        <v>7.6687677165160014E-4</v>
      </c>
      <c r="DK17" s="7">
        <f t="shared" si="18"/>
        <v>2.4339619590400003E-3</v>
      </c>
      <c r="DL17" s="7">
        <f t="shared" si="18"/>
        <v>3.2483160360000005E-5</v>
      </c>
      <c r="DM17" s="7">
        <f t="shared" si="18"/>
        <v>1.3676535312400003E-3</v>
      </c>
      <c r="DN17" s="7">
        <f t="shared" si="18"/>
        <v>1.2058892772740099E-2</v>
      </c>
      <c r="DO17" s="7">
        <f t="shared" si="18"/>
        <v>1.7670950764488997E-3</v>
      </c>
      <c r="DP17" s="7">
        <f t="shared" si="18"/>
        <v>7.1515216748888992E-3</v>
      </c>
      <c r="DQ17" s="7">
        <f t="shared" si="18"/>
        <v>1.2161634288039999E-2</v>
      </c>
      <c r="DR17" s="7">
        <f t="shared" si="18"/>
        <v>8.8979055302640993E-3</v>
      </c>
      <c r="DS17" s="7">
        <f t="shared" si="18"/>
        <v>5.1706022676099991E-3</v>
      </c>
      <c r="DT17" s="7">
        <f t="shared" si="18"/>
        <v>9.2614446849600008E-3</v>
      </c>
      <c r="DU17" s="7">
        <f t="shared" si="18"/>
        <v>5.5016048025000004E-6</v>
      </c>
      <c r="DV17" s="7">
        <f t="shared" si="18"/>
        <v>1.7960668863456399E-2</v>
      </c>
      <c r="DW17" s="7">
        <f t="shared" si="18"/>
        <v>8.9742503455504004E-3</v>
      </c>
      <c r="DX17" s="7">
        <f t="shared" si="18"/>
        <v>1.0768877038239999E-2</v>
      </c>
      <c r="DY17" s="7">
        <f t="shared" si="18"/>
        <v>5.7399033726224999E-3</v>
      </c>
      <c r="DZ17" s="7">
        <f t="shared" si="18"/>
        <v>1.0131298020900001E-3</v>
      </c>
      <c r="EA17" s="7">
        <f t="shared" ref="EA17:EG17" si="19">EA9^2</f>
        <v>2.6020277316320398E-2</v>
      </c>
      <c r="EB17" s="7">
        <f t="shared" si="19"/>
        <v>1.0411202446090002E-4</v>
      </c>
      <c r="EC17" s="7">
        <f t="shared" si="19"/>
        <v>5.4742877738648988E-3</v>
      </c>
      <c r="ED17" s="7">
        <f t="shared" si="19"/>
        <v>2.4767488653609997E-2</v>
      </c>
      <c r="EE17" s="7">
        <f t="shared" si="19"/>
        <v>6.2627518200025004E-3</v>
      </c>
      <c r="EF17" s="7">
        <f t="shared" si="19"/>
        <v>5.2603905651024997E-3</v>
      </c>
      <c r="EG17" s="7">
        <f t="shared" si="19"/>
        <v>2.0252323028349079E-2</v>
      </c>
    </row>
    <row r="18" spans="1:137" x14ac:dyDescent="0.3">
      <c r="B18" s="1" t="s">
        <v>138</v>
      </c>
      <c r="C18" s="7">
        <f t="shared" ref="C18:AH18" si="20">C10^2</f>
        <v>6.1300164367690001E-2</v>
      </c>
      <c r="D18" s="7">
        <f t="shared" si="20"/>
        <v>7.5456409064889984E-2</v>
      </c>
      <c r="E18" s="7">
        <f t="shared" si="20"/>
        <v>7.1653516225599996E-3</v>
      </c>
      <c r="F18" s="7">
        <f t="shared" si="20"/>
        <v>5.127792678369E-4</v>
      </c>
      <c r="G18" s="7">
        <f t="shared" si="20"/>
        <v>2.4681024000000004E-3</v>
      </c>
      <c r="H18" s="7">
        <f t="shared" si="20"/>
        <v>1.015249699216E-2</v>
      </c>
      <c r="I18" s="7">
        <f t="shared" si="20"/>
        <v>1.5681801528999998E-4</v>
      </c>
      <c r="J18" s="7">
        <f t="shared" si="20"/>
        <v>6.1994427311715993E-3</v>
      </c>
      <c r="K18" s="7">
        <f t="shared" si="20"/>
        <v>1.1686210620100001E-3</v>
      </c>
      <c r="L18" s="7">
        <f t="shared" si="20"/>
        <v>7.8157605181040993E-3</v>
      </c>
      <c r="M18" s="7">
        <f t="shared" si="20"/>
        <v>9.385032249999999E-6</v>
      </c>
      <c r="N18" s="7">
        <f t="shared" si="20"/>
        <v>4.5036479523999993E-2</v>
      </c>
      <c r="O18" s="7">
        <f t="shared" si="20"/>
        <v>1.3546374691600002E-3</v>
      </c>
      <c r="P18" s="7">
        <f t="shared" si="20"/>
        <v>5.0457041369344011E-3</v>
      </c>
      <c r="Q18" s="7">
        <f t="shared" si="20"/>
        <v>5.0781443732099991E-3</v>
      </c>
      <c r="R18" s="7">
        <f t="shared" si="20"/>
        <v>4.6485300420249994E-4</v>
      </c>
      <c r="S18" s="7">
        <f t="shared" si="20"/>
        <v>1.0223486898787599E-2</v>
      </c>
      <c r="T18" s="7">
        <f t="shared" si="20"/>
        <v>1.8683772835729002E-3</v>
      </c>
      <c r="U18" s="7">
        <f t="shared" si="20"/>
        <v>2.214724358025E-4</v>
      </c>
      <c r="V18" s="7">
        <f t="shared" si="20"/>
        <v>4.0018529040399998E-5</v>
      </c>
      <c r="W18" s="7">
        <f t="shared" si="20"/>
        <v>2.0607463808999995E-2</v>
      </c>
      <c r="X18" s="7">
        <f t="shared" si="20"/>
        <v>4.1322012368399993E-3</v>
      </c>
      <c r="Y18" s="7">
        <f t="shared" si="20"/>
        <v>3.6230076964000003E-4</v>
      </c>
      <c r="Z18" s="7">
        <f t="shared" si="20"/>
        <v>4.2619950915999996E-4</v>
      </c>
      <c r="AA18" s="7">
        <f t="shared" si="20"/>
        <v>1.0929325238208999E-3</v>
      </c>
      <c r="AB18" s="7">
        <f t="shared" si="20"/>
        <v>3.7706649124000002E-4</v>
      </c>
      <c r="AC18" s="7">
        <f t="shared" si="20"/>
        <v>3.9849928782399995E-3</v>
      </c>
      <c r="AD18" s="7">
        <f t="shared" si="20"/>
        <v>4.3072575220899998E-3</v>
      </c>
      <c r="AE18" s="7">
        <f t="shared" si="20"/>
        <v>1.9042807698662404E-2</v>
      </c>
      <c r="AF18" s="7">
        <f t="shared" si="20"/>
        <v>1.011390251041E-2</v>
      </c>
      <c r="AG18" s="7">
        <f t="shared" si="20"/>
        <v>1.4416525548099999E-3</v>
      </c>
      <c r="AH18" s="7">
        <f t="shared" si="20"/>
        <v>2.10125976025E-3</v>
      </c>
      <c r="AI18" s="7">
        <f t="shared" ref="AI18:BN18" si="21">AI10^2</f>
        <v>2.6044793628099997E-3</v>
      </c>
      <c r="AJ18" s="7">
        <f t="shared" si="21"/>
        <v>1.0370976159999999E-5</v>
      </c>
      <c r="AK18" s="7">
        <f t="shared" si="21"/>
        <v>2.3962983040000003E-7</v>
      </c>
      <c r="AL18" s="7">
        <f t="shared" si="21"/>
        <v>1.1330899940890002E-2</v>
      </c>
      <c r="AM18" s="7">
        <f t="shared" si="21"/>
        <v>1.8834817599999999E-4</v>
      </c>
      <c r="AN18" s="7">
        <f t="shared" si="21"/>
        <v>1.487538804609E-2</v>
      </c>
      <c r="AO18" s="7">
        <f t="shared" si="21"/>
        <v>2.36095894609E-3</v>
      </c>
      <c r="AP18" s="7">
        <f t="shared" si="21"/>
        <v>3.6221702400000003E-6</v>
      </c>
      <c r="AQ18" s="7">
        <f t="shared" si="21"/>
        <v>8.4491897490010005E-4</v>
      </c>
      <c r="AR18" s="7">
        <f t="shared" si="21"/>
        <v>2.7705242834928996E-3</v>
      </c>
      <c r="AS18" s="7">
        <f t="shared" si="21"/>
        <v>1.6623718489E-4</v>
      </c>
      <c r="AT18" s="7">
        <f t="shared" si="21"/>
        <v>4.5415872099999998E-6</v>
      </c>
      <c r="AU18" s="7">
        <f t="shared" si="21"/>
        <v>2.4144311763360002E-2</v>
      </c>
      <c r="AV18" s="7">
        <f t="shared" si="21"/>
        <v>1.608275439684E-4</v>
      </c>
      <c r="AW18" s="7">
        <f t="shared" si="21"/>
        <v>1.4261852928999999E-4</v>
      </c>
      <c r="AX18" s="7">
        <f t="shared" si="21"/>
        <v>1.8094814440000002E-5</v>
      </c>
      <c r="AY18" s="7">
        <f t="shared" si="21"/>
        <v>8.5854098275690003E-4</v>
      </c>
      <c r="AZ18" s="7">
        <f t="shared" si="21"/>
        <v>1.7990186256250002E-2</v>
      </c>
      <c r="BA18" s="7">
        <f t="shared" si="21"/>
        <v>1.8799563432249998E-2</v>
      </c>
      <c r="BB18" s="7">
        <f t="shared" si="21"/>
        <v>3.0788317155999996E-6</v>
      </c>
      <c r="BC18" s="7">
        <f t="shared" si="21"/>
        <v>6.3086971709439997E-4</v>
      </c>
      <c r="BD18" s="7">
        <f t="shared" si="21"/>
        <v>1.4304614483609999E-2</v>
      </c>
      <c r="BE18" s="7">
        <f t="shared" si="21"/>
        <v>1.8431225610722503E-2</v>
      </c>
      <c r="BF18" s="7">
        <f t="shared" si="21"/>
        <v>2.2175782919689E-3</v>
      </c>
      <c r="BG18" s="7">
        <f t="shared" si="21"/>
        <v>6.7860771001000003E-4</v>
      </c>
      <c r="BH18" s="7">
        <f t="shared" si="21"/>
        <v>1.9143040076176E-3</v>
      </c>
      <c r="BI18" s="7">
        <f t="shared" si="21"/>
        <v>6.6246251072400002E-3</v>
      </c>
      <c r="BJ18" s="7">
        <f t="shared" si="21"/>
        <v>1.0120520960640001E-2</v>
      </c>
      <c r="BK18" s="7">
        <f t="shared" si="21"/>
        <v>8.1884527686049008E-3</v>
      </c>
      <c r="BL18" s="7">
        <f t="shared" si="21"/>
        <v>9.5471730224999988E-4</v>
      </c>
      <c r="BM18" s="7">
        <f t="shared" si="21"/>
        <v>3.4591065927889E-3</v>
      </c>
      <c r="BN18" s="7">
        <f t="shared" si="21"/>
        <v>6.6171115200969006E-3</v>
      </c>
      <c r="BO18" s="7">
        <f t="shared" ref="BO18:CT18" si="22">BO10^2</f>
        <v>5.9542828960000002E-5</v>
      </c>
      <c r="BP18" s="7">
        <f t="shared" si="22"/>
        <v>1.1392332473916899E-2</v>
      </c>
      <c r="BQ18" s="7">
        <f t="shared" si="22"/>
        <v>7.3746462969000008E-4</v>
      </c>
      <c r="BR18" s="7">
        <f t="shared" si="22"/>
        <v>2.9627337609999999E-3</v>
      </c>
      <c r="BS18" s="7">
        <f t="shared" si="22"/>
        <v>4.6552373784900011E-3</v>
      </c>
      <c r="BT18" s="7">
        <f t="shared" si="22"/>
        <v>9.7243699333284007E-3</v>
      </c>
      <c r="BU18" s="7">
        <f t="shared" si="22"/>
        <v>1.6486185074131601E-2</v>
      </c>
      <c r="BV18" s="7">
        <f t="shared" si="22"/>
        <v>6.1469520062500003E-3</v>
      </c>
      <c r="BW18" s="7">
        <f t="shared" si="22"/>
        <v>1.4192838475689999E-2</v>
      </c>
      <c r="BX18" s="7">
        <f t="shared" si="22"/>
        <v>2.1986814780099997E-3</v>
      </c>
      <c r="BY18" s="7">
        <f t="shared" si="22"/>
        <v>1.0342554392722501E-2</v>
      </c>
      <c r="BZ18" s="7">
        <f t="shared" si="22"/>
        <v>6.5946753601000001E-4</v>
      </c>
      <c r="CA18" s="7">
        <f t="shared" si="22"/>
        <v>6.9391898832399995E-3</v>
      </c>
      <c r="CB18" s="7">
        <f t="shared" si="22"/>
        <v>2.4909551321760003E-2</v>
      </c>
      <c r="CC18" s="7">
        <f t="shared" si="22"/>
        <v>5.048471966759999E-3</v>
      </c>
      <c r="CD18" s="7">
        <f t="shared" si="22"/>
        <v>5.4575895002499999E-3</v>
      </c>
      <c r="CE18" s="7">
        <f t="shared" si="22"/>
        <v>5.6067846582250003E-2</v>
      </c>
      <c r="CF18" s="7">
        <f t="shared" si="22"/>
        <v>1.0645674598440999E-3</v>
      </c>
      <c r="CG18" s="7">
        <f t="shared" si="22"/>
        <v>1.801793451481E-4</v>
      </c>
      <c r="CH18" s="7">
        <f t="shared" si="22"/>
        <v>7.8215308899999996E-6</v>
      </c>
      <c r="CI18" s="7">
        <f t="shared" si="22"/>
        <v>2.2968727204900003E-3</v>
      </c>
      <c r="CJ18" s="7">
        <f t="shared" si="22"/>
        <v>1.0575504000000002E-5</v>
      </c>
      <c r="CK18" s="7">
        <f t="shared" si="22"/>
        <v>5.7317315472400002E-3</v>
      </c>
      <c r="CL18" s="7">
        <f t="shared" si="22"/>
        <v>1.9711202472899999E-3</v>
      </c>
      <c r="CM18" s="7">
        <f t="shared" si="22"/>
        <v>3.20369153501881E-2</v>
      </c>
      <c r="CN18" s="7">
        <f t="shared" si="22"/>
        <v>3.3633353528328999E-3</v>
      </c>
      <c r="CO18" s="7">
        <f t="shared" si="22"/>
        <v>1.9429627856039997E-2</v>
      </c>
      <c r="CP18" s="7">
        <f t="shared" si="22"/>
        <v>4.1879885132089E-3</v>
      </c>
      <c r="CQ18" s="7">
        <f t="shared" si="22"/>
        <v>3.2829055106410002E-2</v>
      </c>
      <c r="CR18" s="7">
        <f t="shared" si="22"/>
        <v>7.8558973222500016E-3</v>
      </c>
      <c r="CS18" s="7">
        <f t="shared" si="22"/>
        <v>6.4119355523999989E-4</v>
      </c>
      <c r="CT18" s="7">
        <f t="shared" si="22"/>
        <v>1.2786882856810001E-2</v>
      </c>
      <c r="CU18" s="7">
        <f t="shared" ref="CU18:DZ18" si="23">CU10^2</f>
        <v>6.5544568321599994E-5</v>
      </c>
      <c r="CV18" s="7">
        <f t="shared" si="23"/>
        <v>2.0430580800400002E-3</v>
      </c>
      <c r="CW18" s="7">
        <f t="shared" si="23"/>
        <v>3.4740650574399999E-3</v>
      </c>
      <c r="CX18" s="7">
        <f t="shared" si="23"/>
        <v>1.160538662089E-2</v>
      </c>
      <c r="CY18" s="7">
        <f t="shared" si="23"/>
        <v>9.3129255122500008E-3</v>
      </c>
      <c r="CZ18" s="7">
        <f t="shared" si="23"/>
        <v>4.424893152849E-2</v>
      </c>
      <c r="DA18" s="7">
        <f t="shared" si="23"/>
        <v>1.2091443513210001E-2</v>
      </c>
      <c r="DB18" s="7">
        <f t="shared" si="23"/>
        <v>3.6412463220250005E-2</v>
      </c>
      <c r="DC18" s="7">
        <f t="shared" si="23"/>
        <v>4.2962096529000003E-4</v>
      </c>
      <c r="DD18" s="7">
        <f t="shared" si="23"/>
        <v>7.5740625062281006E-3</v>
      </c>
      <c r="DE18" s="7">
        <f t="shared" si="23"/>
        <v>6.7280333646680991E-3</v>
      </c>
      <c r="DF18" s="7">
        <f t="shared" si="23"/>
        <v>2.7847833002889996E-2</v>
      </c>
      <c r="DG18" s="7">
        <f t="shared" si="23"/>
        <v>4.9478703882848099E-2</v>
      </c>
      <c r="DH18" s="7">
        <f t="shared" si="23"/>
        <v>2.082185508484E-2</v>
      </c>
      <c r="DI18" s="7">
        <f t="shared" si="23"/>
        <v>1.430892047601E-2</v>
      </c>
      <c r="DJ18" s="7">
        <f t="shared" si="23"/>
        <v>1.0321097011839999E-2</v>
      </c>
      <c r="DK18" s="7">
        <f t="shared" si="23"/>
        <v>8.6220621676036009E-3</v>
      </c>
      <c r="DL18" s="7">
        <f t="shared" si="23"/>
        <v>1.8173595302500001E-3</v>
      </c>
      <c r="DM18" s="7">
        <f t="shared" si="23"/>
        <v>6.8445954064849006E-3</v>
      </c>
      <c r="DN18" s="7">
        <f t="shared" si="23"/>
        <v>9.6407145025000009E-4</v>
      </c>
      <c r="DO18" s="7">
        <f t="shared" si="23"/>
        <v>9.6318521639999991E-3</v>
      </c>
      <c r="DP18" s="7">
        <f t="shared" si="23"/>
        <v>1.7053460803210001E-2</v>
      </c>
      <c r="DQ18" s="7">
        <f t="shared" si="23"/>
        <v>2.3673790887184E-3</v>
      </c>
      <c r="DR18" s="7">
        <f t="shared" si="23"/>
        <v>1.5407116536099998E-3</v>
      </c>
      <c r="DS18" s="7">
        <f t="shared" si="23"/>
        <v>2.5930725312040003E-2</v>
      </c>
      <c r="DT18" s="7">
        <f t="shared" si="23"/>
        <v>6.2226854559999994E-3</v>
      </c>
      <c r="DU18" s="7">
        <f t="shared" si="23"/>
        <v>2.6921311152122502E-2</v>
      </c>
      <c r="DV18" s="7">
        <f t="shared" si="23"/>
        <v>5.6328927667599998E-5</v>
      </c>
      <c r="DW18" s="7">
        <f t="shared" si="23"/>
        <v>1.0331746683040001E-2</v>
      </c>
      <c r="DX18" s="7">
        <f t="shared" si="23"/>
        <v>3.14051522409E-3</v>
      </c>
      <c r="DY18" s="7">
        <f t="shared" si="23"/>
        <v>1.1375651654889999E-2</v>
      </c>
      <c r="DZ18" s="7">
        <f t="shared" si="23"/>
        <v>4.7867856195600005E-3</v>
      </c>
      <c r="EA18" s="7">
        <f t="shared" ref="EA18:EG18" si="24">EA10^2</f>
        <v>1.5923588007689997E-2</v>
      </c>
      <c r="EB18" s="7">
        <f t="shared" si="24"/>
        <v>4.1908921164100004E-3</v>
      </c>
      <c r="EC18" s="7">
        <f t="shared" si="24"/>
        <v>2.6446427326880999E-3</v>
      </c>
      <c r="ED18" s="7">
        <f t="shared" si="24"/>
        <v>1.1900243806929002E-3</v>
      </c>
      <c r="EE18" s="7">
        <f t="shared" si="24"/>
        <v>2.486222554176E-2</v>
      </c>
      <c r="EF18" s="7">
        <f t="shared" si="24"/>
        <v>1.6174752399999996E-2</v>
      </c>
      <c r="EG18" s="7">
        <f t="shared" si="24"/>
        <v>2.526811904387603E-2</v>
      </c>
    </row>
    <row r="19" spans="1:137" x14ac:dyDescent="0.3">
      <c r="B19" s="1" t="s">
        <v>139</v>
      </c>
      <c r="C19" s="7">
        <f t="shared" ref="C19:AH19" si="25">C11^2</f>
        <v>2.9419775999999995E-3</v>
      </c>
      <c r="D19" s="7">
        <f t="shared" si="25"/>
        <v>2.0590721290000003E-3</v>
      </c>
      <c r="E19" s="7">
        <f t="shared" si="25"/>
        <v>3.1506249999999997E-4</v>
      </c>
      <c r="F19" s="7">
        <f t="shared" si="25"/>
        <v>7.6895361000000008E-3</v>
      </c>
      <c r="G19" s="7">
        <f t="shared" si="25"/>
        <v>1.0559412081000001E-2</v>
      </c>
      <c r="H19" s="7">
        <f t="shared" si="25"/>
        <v>6.3051210000000008E-6</v>
      </c>
      <c r="I19" s="7">
        <f t="shared" si="25"/>
        <v>3.3489000000000001E-4</v>
      </c>
      <c r="J19" s="7">
        <f t="shared" si="25"/>
        <v>4.8889632099999997E-4</v>
      </c>
      <c r="K19" s="7">
        <f t="shared" si="25"/>
        <v>5.9687985639999986E-3</v>
      </c>
      <c r="L19" s="7">
        <f t="shared" si="25"/>
        <v>8.7310336000000002E-5</v>
      </c>
      <c r="M19" s="7">
        <f t="shared" si="25"/>
        <v>2.8731744039999997E-3</v>
      </c>
      <c r="N19" s="7">
        <f t="shared" si="25"/>
        <v>4.6076943999999991E-3</v>
      </c>
      <c r="O19" s="7">
        <f t="shared" si="25"/>
        <v>4.2159049000000002E-3</v>
      </c>
      <c r="P19" s="7">
        <f t="shared" si="25"/>
        <v>2.3824160999999998E-5</v>
      </c>
      <c r="Q19" s="7">
        <f t="shared" si="25"/>
        <v>3.6856320399999997E-4</v>
      </c>
      <c r="R19" s="7">
        <f t="shared" si="25"/>
        <v>2.99209E-5</v>
      </c>
      <c r="S19" s="7">
        <f t="shared" si="25"/>
        <v>1.3359756010000001E-3</v>
      </c>
      <c r="T19" s="7">
        <f t="shared" si="25"/>
        <v>1.6688764225E-2</v>
      </c>
      <c r="U19" s="7">
        <f t="shared" si="25"/>
        <v>1.8747086399999998E-4</v>
      </c>
      <c r="V19" s="7">
        <f t="shared" si="25"/>
        <v>2.3393702499999999E-4</v>
      </c>
      <c r="W19" s="7">
        <f t="shared" si="25"/>
        <v>1.0959996100000001E-2</v>
      </c>
      <c r="X19" s="7">
        <f t="shared" si="25"/>
        <v>8.6347822500000004E-2</v>
      </c>
      <c r="Y19" s="7">
        <f t="shared" si="25"/>
        <v>3.5060609440000002E-3</v>
      </c>
      <c r="Z19" s="7">
        <f t="shared" si="25"/>
        <v>3.4206502499999999E-2</v>
      </c>
      <c r="AA19" s="7">
        <f t="shared" si="25"/>
        <v>9.6524730090000004E-3</v>
      </c>
      <c r="AB19" s="7">
        <f t="shared" si="25"/>
        <v>4.3560000000000001E-7</v>
      </c>
      <c r="AC19" s="7">
        <f t="shared" si="25"/>
        <v>1.0751616100000002E-2</v>
      </c>
      <c r="AD19" s="7">
        <f t="shared" si="25"/>
        <v>1.2567025E-5</v>
      </c>
      <c r="AE19" s="7">
        <f t="shared" si="25"/>
        <v>3.0835711201000003E-2</v>
      </c>
      <c r="AF19" s="7">
        <f t="shared" si="25"/>
        <v>2.40343009E-2</v>
      </c>
      <c r="AG19" s="7">
        <f t="shared" si="25"/>
        <v>6.9326890000000001E-4</v>
      </c>
      <c r="AH19" s="7">
        <f t="shared" si="25"/>
        <v>2.5000000000000001E-5</v>
      </c>
      <c r="AI19" s="7">
        <f t="shared" ref="AI19:BN19" si="26">AI11^2</f>
        <v>7.8781262399999993E-4</v>
      </c>
      <c r="AJ19" s="7">
        <f t="shared" si="26"/>
        <v>5.0086439999999998E-4</v>
      </c>
      <c r="AK19" s="7">
        <f t="shared" si="26"/>
        <v>2.2108803999999998E-3</v>
      </c>
      <c r="AL19" s="7">
        <f t="shared" si="26"/>
        <v>1.0314433599999999E-2</v>
      </c>
      <c r="AM19" s="7">
        <f t="shared" si="26"/>
        <v>5.5342562500000007E-4</v>
      </c>
      <c r="AN19" s="7">
        <f t="shared" si="26"/>
        <v>2.7588756250000001E-3</v>
      </c>
      <c r="AO19" s="7">
        <f t="shared" si="26"/>
        <v>3.4226010089999999E-3</v>
      </c>
      <c r="AP19" s="7">
        <f t="shared" si="26"/>
        <v>1.1187018089999997E-3</v>
      </c>
      <c r="AQ19" s="7">
        <f t="shared" si="26"/>
        <v>2.0449000000000002E-4</v>
      </c>
      <c r="AR19" s="7">
        <f t="shared" si="26"/>
        <v>1.2890972159999999E-3</v>
      </c>
      <c r="AS19" s="7">
        <f t="shared" si="26"/>
        <v>1.5826075239999998E-3</v>
      </c>
      <c r="AT19" s="7">
        <f t="shared" si="26"/>
        <v>2.2039183936E-2</v>
      </c>
      <c r="AU19" s="7">
        <f t="shared" si="26"/>
        <v>1.6638241E-3</v>
      </c>
      <c r="AV19" s="7">
        <f t="shared" si="26"/>
        <v>1.9309603681000001E-2</v>
      </c>
      <c r="AW19" s="7">
        <f t="shared" si="26"/>
        <v>3.583578769E-3</v>
      </c>
      <c r="AX19" s="7">
        <f t="shared" si="26"/>
        <v>2.2437044100000001E-2</v>
      </c>
      <c r="AY19" s="7">
        <f t="shared" si="26"/>
        <v>3.7940672159999999E-3</v>
      </c>
      <c r="AZ19" s="7">
        <f t="shared" si="26"/>
        <v>3.8378024999999997E-3</v>
      </c>
      <c r="BA19" s="7">
        <f t="shared" si="26"/>
        <v>5.7121000000000008E-6</v>
      </c>
      <c r="BB19" s="7">
        <f t="shared" si="26"/>
        <v>2.21622769E-2</v>
      </c>
      <c r="BC19" s="7">
        <f t="shared" si="26"/>
        <v>3.6422432010000004E-3</v>
      </c>
      <c r="BD19" s="7">
        <f t="shared" si="26"/>
        <v>2.1579609999999999E-4</v>
      </c>
      <c r="BE19" s="7">
        <f t="shared" si="26"/>
        <v>2.1468110400000004E-2</v>
      </c>
      <c r="BF19" s="7">
        <f t="shared" si="26"/>
        <v>4.3580737600000002E-2</v>
      </c>
      <c r="BG19" s="7">
        <f t="shared" si="26"/>
        <v>4.05780736E-2</v>
      </c>
      <c r="BH19" s="7">
        <f t="shared" si="26"/>
        <v>1.39358025E-2</v>
      </c>
      <c r="BI19" s="7">
        <f t="shared" si="26"/>
        <v>5.9336209000000004E-3</v>
      </c>
      <c r="BJ19" s="7">
        <f t="shared" si="26"/>
        <v>1.3118884000000001E-3</v>
      </c>
      <c r="BK19" s="7">
        <f t="shared" si="26"/>
        <v>3.5758809999999997E-4</v>
      </c>
      <c r="BL19" s="7">
        <f t="shared" si="26"/>
        <v>2.9329987599999999E-2</v>
      </c>
      <c r="BM19" s="7">
        <f t="shared" si="26"/>
        <v>1.7666928889E-2</v>
      </c>
      <c r="BN19" s="7">
        <f t="shared" si="26"/>
        <v>1.2895280999999999E-3</v>
      </c>
      <c r="BO19" s="7">
        <f t="shared" ref="BO19:CT19" si="27">BO11^2</f>
        <v>4.5560902499999995E-4</v>
      </c>
      <c r="BP19" s="7">
        <f t="shared" si="27"/>
        <v>2.4636332249999998E-3</v>
      </c>
      <c r="BQ19" s="7">
        <f t="shared" si="27"/>
        <v>2.9618409999999999E-4</v>
      </c>
      <c r="BR19" s="7">
        <f t="shared" si="27"/>
        <v>3.6034289928999999E-2</v>
      </c>
      <c r="BS19" s="7">
        <f t="shared" si="27"/>
        <v>9.5277121000000003E-3</v>
      </c>
      <c r="BT19" s="7">
        <f t="shared" si="27"/>
        <v>1.4311845609999998E-3</v>
      </c>
      <c r="BU19" s="7">
        <f t="shared" si="27"/>
        <v>3.1368960640000003E-3</v>
      </c>
      <c r="BV19" s="7">
        <f t="shared" si="27"/>
        <v>1.3628227599999999E-2</v>
      </c>
      <c r="BW19" s="7">
        <f t="shared" si="27"/>
        <v>1.9971342400000001E-2</v>
      </c>
      <c r="BX19" s="7">
        <f t="shared" si="27"/>
        <v>1.1424400000000002E-5</v>
      </c>
      <c r="BY19" s="7">
        <f t="shared" si="27"/>
        <v>1.6987472896000003E-2</v>
      </c>
      <c r="BZ19" s="7">
        <f t="shared" si="27"/>
        <v>1.0047632039999997E-3</v>
      </c>
      <c r="CA19" s="7">
        <f t="shared" si="27"/>
        <v>1.6447080250000001E-3</v>
      </c>
      <c r="CB19" s="7">
        <f t="shared" si="27"/>
        <v>1.7673616E-3</v>
      </c>
      <c r="CC19" s="7">
        <f t="shared" si="27"/>
        <v>2.5014001960000005E-3</v>
      </c>
      <c r="CD19" s="7">
        <f t="shared" si="27"/>
        <v>4.6867715999999986E-3</v>
      </c>
      <c r="CE19" s="7">
        <f t="shared" si="27"/>
        <v>6.5334888999999995E-3</v>
      </c>
      <c r="CF19" s="7">
        <f t="shared" si="27"/>
        <v>3.8024999999999996E-6</v>
      </c>
      <c r="CG19" s="7">
        <f t="shared" si="27"/>
        <v>1.3973604099999998E-2</v>
      </c>
      <c r="CH19" s="7">
        <f t="shared" si="27"/>
        <v>1.3483584000000002E-3</v>
      </c>
      <c r="CI19" s="7">
        <f t="shared" si="27"/>
        <v>6.9438889000000004E-3</v>
      </c>
      <c r="CJ19" s="7">
        <f t="shared" si="27"/>
        <v>5.3210032928999992E-2</v>
      </c>
      <c r="CK19" s="7">
        <f t="shared" si="27"/>
        <v>1.7630262841000003E-2</v>
      </c>
      <c r="CL19" s="7">
        <f t="shared" si="27"/>
        <v>1.9962016369E-2</v>
      </c>
      <c r="CM19" s="7">
        <f t="shared" si="27"/>
        <v>1.26990361E-2</v>
      </c>
      <c r="CN19" s="7">
        <f t="shared" si="27"/>
        <v>4.9947333120999998E-2</v>
      </c>
      <c r="CO19" s="7">
        <f t="shared" si="27"/>
        <v>1.09035364E-2</v>
      </c>
      <c r="CP19" s="7">
        <f t="shared" si="27"/>
        <v>2.082249E-4</v>
      </c>
      <c r="CQ19" s="7">
        <f t="shared" si="27"/>
        <v>4.2944272899999997E-2</v>
      </c>
      <c r="CR19" s="7">
        <f t="shared" si="27"/>
        <v>1.8187219600000002E-2</v>
      </c>
      <c r="CS19" s="7">
        <f t="shared" si="27"/>
        <v>5.3301680640000003E-3</v>
      </c>
      <c r="CT19" s="7">
        <f t="shared" si="27"/>
        <v>9.132484E-4</v>
      </c>
      <c r="CU19" s="7">
        <f t="shared" ref="CU19:DZ19" si="28">CU11^2</f>
        <v>8.2305872099999983E-2</v>
      </c>
      <c r="CV19" s="7">
        <f t="shared" si="28"/>
        <v>5.3236794360999998E-2</v>
      </c>
      <c r="CW19" s="7">
        <f t="shared" si="28"/>
        <v>8.2948377760000015E-3</v>
      </c>
      <c r="CX19" s="7">
        <f t="shared" si="28"/>
        <v>1.5003800100000001E-2</v>
      </c>
      <c r="CY19" s="7">
        <f t="shared" si="28"/>
        <v>6.1437379239999987E-3</v>
      </c>
      <c r="CZ19" s="7">
        <f t="shared" si="28"/>
        <v>2.1114024999999998E-3</v>
      </c>
      <c r="DA19" s="7">
        <f t="shared" si="28"/>
        <v>6.8343288999999988E-3</v>
      </c>
      <c r="DB19" s="7">
        <f t="shared" si="28"/>
        <v>2.2305123801000002E-2</v>
      </c>
      <c r="DC19" s="7">
        <f t="shared" si="28"/>
        <v>2.2848400000000002E-3</v>
      </c>
      <c r="DD19" s="7">
        <f t="shared" si="28"/>
        <v>2.7063540099999995E-2</v>
      </c>
      <c r="DE19" s="7">
        <f t="shared" si="28"/>
        <v>1.22257249E-2</v>
      </c>
      <c r="DF19" s="7">
        <f t="shared" si="28"/>
        <v>3.2967118890000003E-3</v>
      </c>
      <c r="DG19" s="7">
        <f t="shared" si="28"/>
        <v>4.6177712099999997E-2</v>
      </c>
      <c r="DH19" s="7">
        <f t="shared" si="28"/>
        <v>3.9686220089999993E-3</v>
      </c>
      <c r="DI19" s="7">
        <f t="shared" si="28"/>
        <v>4.5861338410000006E-3</v>
      </c>
      <c r="DJ19" s="7">
        <f t="shared" si="28"/>
        <v>1.4113915204E-2</v>
      </c>
      <c r="DK19" s="7">
        <f t="shared" si="28"/>
        <v>5.3042089000000008E-5</v>
      </c>
      <c r="DL19" s="7">
        <f t="shared" si="28"/>
        <v>5.086685040999999E-3</v>
      </c>
      <c r="DM19" s="7">
        <f t="shared" si="28"/>
        <v>4.4192448399999997E-4</v>
      </c>
      <c r="DN19" s="7">
        <f t="shared" si="28"/>
        <v>9.2416000000000004E-4</v>
      </c>
      <c r="DO19" s="7">
        <f t="shared" si="28"/>
        <v>9.3993024999999997E-3</v>
      </c>
      <c r="DP19" s="7">
        <f t="shared" si="28"/>
        <v>5.3213262399999996E-2</v>
      </c>
      <c r="DQ19" s="7">
        <f t="shared" si="28"/>
        <v>5.6731617856000005E-2</v>
      </c>
      <c r="DR19" s="7">
        <f t="shared" si="28"/>
        <v>1.2780625000000001E-5</v>
      </c>
      <c r="DS19" s="7">
        <f t="shared" si="28"/>
        <v>1.7944209935999999E-2</v>
      </c>
      <c r="DT19" s="7">
        <f t="shared" si="28"/>
        <v>1.3249391236E-2</v>
      </c>
      <c r="DU19" s="7">
        <f t="shared" si="28"/>
        <v>1.0832646400000001E-2</v>
      </c>
      <c r="DV19" s="7">
        <f t="shared" si="28"/>
        <v>2.9822520999999999E-3</v>
      </c>
      <c r="DW19" s="7">
        <f t="shared" si="28"/>
        <v>1.1082240999999999E-3</v>
      </c>
      <c r="DX19" s="7">
        <f t="shared" si="28"/>
        <v>3.0354590249999998E-3</v>
      </c>
      <c r="DY19" s="7">
        <f t="shared" si="28"/>
        <v>4.7326144359999996E-3</v>
      </c>
      <c r="DZ19" s="7">
        <f t="shared" si="28"/>
        <v>2.0969936100000003E-4</v>
      </c>
      <c r="EA19" s="7">
        <f t="shared" ref="EA19:EG19" si="29">EA11^2</f>
        <v>8.5931059600000012E-2</v>
      </c>
      <c r="EB19" s="7">
        <f t="shared" si="29"/>
        <v>1.98753604E-2</v>
      </c>
      <c r="EC19" s="7">
        <f t="shared" si="29"/>
        <v>1.4908410000000002E-4</v>
      </c>
      <c r="ED19" s="7">
        <f t="shared" si="29"/>
        <v>3.3835162239999996E-3</v>
      </c>
      <c r="EE19" s="7">
        <f t="shared" si="29"/>
        <v>2.0851359999999999E-2</v>
      </c>
      <c r="EF19" s="7">
        <f t="shared" si="29"/>
        <v>9.4109400999999992E-3</v>
      </c>
      <c r="EG19" s="7">
        <f t="shared" si="29"/>
        <v>0</v>
      </c>
    </row>
    <row r="21" spans="1:137" x14ac:dyDescent="0.3">
      <c r="A21" t="s">
        <v>168</v>
      </c>
      <c r="B21">
        <f>1-SUM(C13:EF15)/SUM(C17:EF19)</f>
        <v>3.509484856089895E-2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夏普比率</vt:lpstr>
      <vt:lpstr>NN4再投資累積報酬</vt:lpstr>
      <vt:lpstr>勝率</vt:lpstr>
      <vt:lpstr>累積報酬</vt:lpstr>
      <vt:lpstr>畫圖</vt:lpstr>
      <vt:lpstr>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2025-06-02T09:39:26Z</dcterms:modified>
</cp:coreProperties>
</file>