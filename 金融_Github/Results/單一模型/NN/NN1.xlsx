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0520作業\"/>
    </mc:Choice>
  </mc:AlternateContent>
  <xr:revisionPtr revIDLastSave="0" documentId="13_ncr:1_{3D08DD7A-3021-454C-88D6-9B55840511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預測IC" sheetId="1" r:id="rId1"/>
    <sheet name="夏普比率" sheetId="2" r:id="rId2"/>
    <sheet name="NN1再投資累積報酬" sheetId="7" r:id="rId3"/>
    <sheet name="勝率" sheetId="3" r:id="rId4"/>
    <sheet name="累積報酬" sheetId="4" r:id="rId5"/>
    <sheet name="畫圖" sheetId="5" r:id="rId6"/>
    <sheet name="樣本外R2" sheetId="6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F24" i="7" l="1" a="1"/>
  <c r="EF24" i="7" s="1"/>
  <c r="EE24" i="7"/>
  <c r="EE24" i="7" a="1"/>
  <c r="ED24" i="7"/>
  <c r="ED24" i="7" a="1"/>
  <c r="EC24" i="7" a="1"/>
  <c r="EC24" i="7" s="1"/>
  <c r="EB24" i="7" a="1"/>
  <c r="EB24" i="7" s="1"/>
  <c r="EA24" i="7" a="1"/>
  <c r="EA24" i="7" s="1"/>
  <c r="DZ24" i="7" a="1"/>
  <c r="DZ24" i="7" s="1"/>
  <c r="DY24" i="7" a="1"/>
  <c r="DY24" i="7" s="1"/>
  <c r="DX24" i="7" a="1"/>
  <c r="DX24" i="7" s="1"/>
  <c r="DW24" i="7"/>
  <c r="DW24" i="7" a="1"/>
  <c r="DV24" i="7"/>
  <c r="DV24" i="7" a="1"/>
  <c r="DU24" i="7" a="1"/>
  <c r="DU24" i="7" s="1"/>
  <c r="DT24" i="7" a="1"/>
  <c r="DT24" i="7" s="1"/>
  <c r="DS24" i="7" a="1"/>
  <c r="DS24" i="7" s="1"/>
  <c r="DR24" i="7" a="1"/>
  <c r="DR24" i="7" s="1"/>
  <c r="DQ24" i="7" a="1"/>
  <c r="DQ24" i="7" s="1"/>
  <c r="DP24" i="7" a="1"/>
  <c r="DP24" i="7" s="1"/>
  <c r="DO24" i="7"/>
  <c r="DO24" i="7" a="1"/>
  <c r="DN24" i="7"/>
  <c r="DN24" i="7" a="1"/>
  <c r="DM24" i="7"/>
  <c r="DM24" i="7" a="1"/>
  <c r="DL24" i="7" a="1"/>
  <c r="DL24" i="7" s="1"/>
  <c r="DK24" i="7"/>
  <c r="DK24" i="7" a="1"/>
  <c r="DJ24" i="7" a="1"/>
  <c r="DJ24" i="7" s="1"/>
  <c r="DI24" i="7"/>
  <c r="DI24" i="7" a="1"/>
  <c r="DH24" i="7" a="1"/>
  <c r="DH24" i="7" s="1"/>
  <c r="DG24" i="7"/>
  <c r="DG24" i="7" a="1"/>
  <c r="DF24" i="7"/>
  <c r="DF24" i="7" a="1"/>
  <c r="DE24" i="7" a="1"/>
  <c r="DE24" i="7" s="1"/>
  <c r="DD24" i="7" a="1"/>
  <c r="DD24" i="7" s="1"/>
  <c r="DC24" i="7" a="1"/>
  <c r="DC24" i="7" s="1"/>
  <c r="DB24" i="7"/>
  <c r="DB24" i="7" a="1"/>
  <c r="DA24" i="7"/>
  <c r="DA24" i="7" a="1"/>
  <c r="CZ24" i="7" a="1"/>
  <c r="CZ24" i="7" s="1"/>
  <c r="CY24" i="7"/>
  <c r="CY24" i="7" a="1"/>
  <c r="CX24" i="7"/>
  <c r="CX24" i="7" a="1"/>
  <c r="CW24" i="7" a="1"/>
  <c r="CW24" i="7" s="1"/>
  <c r="CV24" i="7"/>
  <c r="CV24" i="7" a="1"/>
  <c r="CU24" i="7" a="1"/>
  <c r="CU24" i="7" s="1"/>
  <c r="CT24" i="7"/>
  <c r="CT24" i="7" a="1"/>
  <c r="CS24" i="7" a="1"/>
  <c r="CS24" i="7" s="1"/>
  <c r="CR24" i="7" a="1"/>
  <c r="CR24" i="7" s="1"/>
  <c r="CQ24" i="7"/>
  <c r="CQ24" i="7" a="1"/>
  <c r="CP24" i="7"/>
  <c r="CP24" i="7" a="1"/>
  <c r="CO24" i="7"/>
  <c r="CO24" i="7" a="1"/>
  <c r="CN24" i="7" a="1"/>
  <c r="CN24" i="7" s="1"/>
  <c r="CM24" i="7" a="1"/>
  <c r="CM24" i="7" s="1"/>
  <c r="CL24" i="7" a="1"/>
  <c r="CL24" i="7" s="1"/>
  <c r="CK24" i="7" a="1"/>
  <c r="CK24" i="7" s="1"/>
  <c r="CJ24" i="7" a="1"/>
  <c r="CJ24" i="7" s="1"/>
  <c r="CI24" i="7"/>
  <c r="CI24" i="7" a="1"/>
  <c r="CH24" i="7"/>
  <c r="CH24" i="7" a="1"/>
  <c r="CG24" i="7"/>
  <c r="CG24" i="7" a="1"/>
  <c r="CF24" i="7" a="1"/>
  <c r="CF24" i="7" s="1"/>
  <c r="CE24" i="7"/>
  <c r="CE24" i="7" a="1"/>
  <c r="CD24" i="7" a="1"/>
  <c r="CD24" i="7" s="1"/>
  <c r="CC24" i="7" a="1"/>
  <c r="CC24" i="7" s="1"/>
  <c r="CB24" i="7" a="1"/>
  <c r="CB24" i="7" s="1"/>
  <c r="CA24" i="7"/>
  <c r="CA24" i="7" a="1"/>
  <c r="BZ24" i="7"/>
  <c r="BZ24" i="7" a="1"/>
  <c r="BY24" i="7" a="1"/>
  <c r="BY24" i="7" s="1"/>
  <c r="BX24" i="7"/>
  <c r="BX24" i="7" a="1"/>
  <c r="BW24" i="7" a="1"/>
  <c r="BW24" i="7" s="1"/>
  <c r="BV24" i="7" a="1"/>
  <c r="BV24" i="7" s="1"/>
  <c r="BU24" i="7" a="1"/>
  <c r="BU24" i="7" s="1"/>
  <c r="BT24" i="7" a="1"/>
  <c r="BT24" i="7" s="1"/>
  <c r="BS24" i="7"/>
  <c r="BS24" i="7" a="1"/>
  <c r="BR24" i="7"/>
  <c r="BR24" i="7" a="1"/>
  <c r="BQ24" i="7"/>
  <c r="BQ24" i="7" a="1"/>
  <c r="BP24" i="7"/>
  <c r="BP24" i="7" a="1"/>
  <c r="BO24" i="7" a="1"/>
  <c r="BO24" i="7" s="1"/>
  <c r="BN24" i="7"/>
  <c r="BN24" i="7" a="1"/>
  <c r="BM24" i="7" a="1"/>
  <c r="BM24" i="7" s="1"/>
  <c r="BL24" i="7" a="1"/>
  <c r="BL24" i="7" s="1"/>
  <c r="BK24" i="7"/>
  <c r="BK24" i="7" a="1"/>
  <c r="BJ24" i="7"/>
  <c r="BJ24" i="7" a="1"/>
  <c r="BI24" i="7" a="1"/>
  <c r="BI24" i="7" s="1"/>
  <c r="BH24" i="7" a="1"/>
  <c r="BH24" i="7" s="1"/>
  <c r="BG24" i="7"/>
  <c r="BG24" i="7" a="1"/>
  <c r="BF24" i="7" a="1"/>
  <c r="BF24" i="7" s="1"/>
  <c r="BE24" i="7" a="1"/>
  <c r="BE24" i="7" s="1"/>
  <c r="BD24" i="7" a="1"/>
  <c r="BD24" i="7" s="1"/>
  <c r="BC24" i="7"/>
  <c r="BC24" i="7" a="1"/>
  <c r="BB24" i="7"/>
  <c r="BB24" i="7" a="1"/>
  <c r="BA24" i="7" a="1"/>
  <c r="BA24" i="7" s="1"/>
  <c r="AZ24" i="7" a="1"/>
  <c r="AZ24" i="7" s="1"/>
  <c r="AY24" i="7"/>
  <c r="AY24" i="7" a="1"/>
  <c r="AX24" i="7" a="1"/>
  <c r="AX24" i="7" s="1"/>
  <c r="AW24" i="7"/>
  <c r="AW24" i="7" a="1"/>
  <c r="AV24" i="7" a="1"/>
  <c r="AV24" i="7" s="1"/>
  <c r="AU24" i="7"/>
  <c r="AU24" i="7" a="1"/>
  <c r="AT24" i="7"/>
  <c r="AT24" i="7" a="1"/>
  <c r="AS24" i="7" a="1"/>
  <c r="AS24" i="7" s="1"/>
  <c r="AR24" i="7" a="1"/>
  <c r="AR24" i="7" s="1"/>
  <c r="AQ24" i="7" a="1"/>
  <c r="AQ24" i="7" s="1"/>
  <c r="AP24" i="7"/>
  <c r="AP24" i="7" a="1"/>
  <c r="AO24" i="7" a="1"/>
  <c r="AO24" i="7" s="1"/>
  <c r="AN24" i="7" a="1"/>
  <c r="AN24" i="7" s="1"/>
  <c r="AM24" i="7"/>
  <c r="AM24" i="7" a="1"/>
  <c r="AL24" i="7"/>
  <c r="AL24" i="7" a="1"/>
  <c r="AK24" i="7" a="1"/>
  <c r="AK24" i="7" s="1"/>
  <c r="AJ24" i="7" a="1"/>
  <c r="AJ24" i="7" s="1"/>
  <c r="AI24" i="7" a="1"/>
  <c r="AI24" i="7" s="1"/>
  <c r="AH24" i="7"/>
  <c r="AH24" i="7" a="1"/>
  <c r="AG24" i="7" a="1"/>
  <c r="AG24" i="7" s="1"/>
  <c r="AF24" i="7" a="1"/>
  <c r="AF24" i="7" s="1"/>
  <c r="AE24" i="7"/>
  <c r="AE24" i="7" a="1"/>
  <c r="AD24" i="7"/>
  <c r="AD24" i="7" a="1"/>
  <c r="AC24" i="7" a="1"/>
  <c r="AC24" i="7" s="1"/>
  <c r="AB24" i="7"/>
  <c r="AB24" i="7" a="1"/>
  <c r="AA24" i="7" a="1"/>
  <c r="AA24" i="7" s="1"/>
  <c r="Z24" i="7"/>
  <c r="Z24" i="7" a="1"/>
  <c r="Y24" i="7"/>
  <c r="Y24" i="7" a="1"/>
  <c r="X24" i="7" a="1"/>
  <c r="X24" i="7" s="1"/>
  <c r="W24" i="7"/>
  <c r="W24" i="7" a="1"/>
  <c r="V24" i="7"/>
  <c r="V24" i="7" a="1"/>
  <c r="U24" i="7"/>
  <c r="U24" i="7" a="1"/>
  <c r="T24" i="7" a="1"/>
  <c r="T24" i="7" s="1"/>
  <c r="S24" i="7"/>
  <c r="S24" i="7" a="1"/>
  <c r="R24" i="7" a="1"/>
  <c r="R24" i="7" s="1"/>
  <c r="Q24" i="7"/>
  <c r="Q24" i="7" a="1"/>
  <c r="P24" i="7" a="1"/>
  <c r="P24" i="7" s="1"/>
  <c r="O24" i="7"/>
  <c r="O24" i="7" a="1"/>
  <c r="N24" i="7"/>
  <c r="N24" i="7" a="1"/>
  <c r="M24" i="7" a="1"/>
  <c r="M24" i="7" s="1"/>
  <c r="L24" i="7"/>
  <c r="L24" i="7" a="1"/>
  <c r="K24" i="7" a="1"/>
  <c r="K24" i="7" s="1"/>
  <c r="J24" i="7"/>
  <c r="J24" i="7" a="1"/>
  <c r="I24" i="7" a="1"/>
  <c r="I24" i="7" s="1"/>
  <c r="H24" i="7" a="1"/>
  <c r="H24" i="7" s="1"/>
  <c r="G24" i="7"/>
  <c r="G24" i="7" a="1"/>
  <c r="F24" i="7"/>
  <c r="F24" i="7" a="1"/>
  <c r="E24" i="7" a="1"/>
  <c r="E24" i="7" s="1"/>
  <c r="D24" i="7" a="1"/>
  <c r="D24" i="7" s="1"/>
  <c r="C24" i="7"/>
  <c r="C24" i="7" a="1"/>
  <c r="EF23" i="7" a="1"/>
  <c r="EF23" i="7" s="1"/>
  <c r="EE23" i="7"/>
  <c r="EE23" i="7" a="1"/>
  <c r="ED23" i="7" a="1"/>
  <c r="ED23" i="7" s="1"/>
  <c r="EC23" i="7"/>
  <c r="EC23" i="7" a="1"/>
  <c r="EB23" i="7"/>
  <c r="EB23" i="7" a="1"/>
  <c r="EA23" i="7" a="1"/>
  <c r="EA23" i="7" s="1"/>
  <c r="DZ23" i="7" a="1"/>
  <c r="DZ23" i="7" s="1"/>
  <c r="DY23" i="7" a="1"/>
  <c r="DY23" i="7" s="1"/>
  <c r="DX23" i="7"/>
  <c r="DX23" i="7" a="1"/>
  <c r="DW23" i="7" a="1"/>
  <c r="DW23" i="7" s="1"/>
  <c r="DV23" i="7" a="1"/>
  <c r="DV23" i="7" s="1"/>
  <c r="DU23" i="7"/>
  <c r="DU23" i="7" a="1"/>
  <c r="DT23" i="7"/>
  <c r="DT23" i="7" a="1"/>
  <c r="DS23" i="7"/>
  <c r="DS23" i="7" a="1"/>
  <c r="DR23" i="7" a="1"/>
  <c r="DR23" i="7" s="1"/>
  <c r="DQ23" i="7"/>
  <c r="DQ23" i="7" a="1"/>
  <c r="DP23" i="7" a="1"/>
  <c r="DP23" i="7" s="1"/>
  <c r="DO23" i="7"/>
  <c r="DO23" i="7" a="1"/>
  <c r="DN23" i="7" a="1"/>
  <c r="DN23" i="7" s="1"/>
  <c r="DM23" i="7"/>
  <c r="DM23" i="7" a="1"/>
  <c r="DL23" i="7"/>
  <c r="DL23" i="7" a="1"/>
  <c r="DK23" i="7" a="1"/>
  <c r="DK23" i="7" s="1"/>
  <c r="DJ23" i="7" a="1"/>
  <c r="DJ23" i="7" s="1"/>
  <c r="DI23" i="7" a="1"/>
  <c r="DI23" i="7" s="1"/>
  <c r="DH23" i="7" a="1"/>
  <c r="DH23" i="7" s="1"/>
  <c r="DG23" i="7" a="1"/>
  <c r="DG23" i="7" s="1"/>
  <c r="DF23" i="7" a="1"/>
  <c r="DF23" i="7" s="1"/>
  <c r="DE23" i="7"/>
  <c r="DE23" i="7" a="1"/>
  <c r="DD23" i="7"/>
  <c r="DD23" i="7" a="1"/>
  <c r="DC23" i="7" a="1"/>
  <c r="DC23" i="7" s="1"/>
  <c r="DB23" i="7"/>
  <c r="DB23" i="7" a="1"/>
  <c r="DA23" i="7" a="1"/>
  <c r="DA23" i="7" s="1"/>
  <c r="CZ23" i="7" a="1"/>
  <c r="CZ23" i="7" s="1"/>
  <c r="CY23" i="7"/>
  <c r="CY23" i="7" a="1"/>
  <c r="CX23" i="7" a="1"/>
  <c r="CX23" i="7" s="1"/>
  <c r="CW23" i="7"/>
  <c r="CW23" i="7" a="1"/>
  <c r="CV23" i="7"/>
  <c r="CV23" i="7" a="1"/>
  <c r="CU23" i="7"/>
  <c r="CU23" i="7" a="1"/>
  <c r="CT23" i="7" a="1"/>
  <c r="CT23" i="7" s="1"/>
  <c r="CS23" i="7" a="1"/>
  <c r="CS23" i="7" s="1"/>
  <c r="CR23" i="7" a="1"/>
  <c r="CR23" i="7" s="1"/>
  <c r="CQ23" i="7" a="1"/>
  <c r="CQ23" i="7" s="1"/>
  <c r="CP23" i="7" a="1"/>
  <c r="CP23" i="7" s="1"/>
  <c r="CO23" i="7"/>
  <c r="CO23" i="7" a="1"/>
  <c r="CN23" i="7"/>
  <c r="CN23" i="7" a="1"/>
  <c r="CM23" i="7"/>
  <c r="CM23" i="7" a="1"/>
  <c r="CL23" i="7" a="1"/>
  <c r="CL23" i="7" s="1"/>
  <c r="CK23" i="7"/>
  <c r="CK23" i="7" a="1"/>
  <c r="CJ23" i="7" a="1"/>
  <c r="CJ23" i="7" s="1"/>
  <c r="CI23" i="7" a="1"/>
  <c r="CI23" i="7" s="1"/>
  <c r="CH23" i="7" a="1"/>
  <c r="CH23" i="7" s="1"/>
  <c r="CG23" i="7"/>
  <c r="CG23" i="7" a="1"/>
  <c r="CF23" i="7"/>
  <c r="CF23" i="7" a="1"/>
  <c r="CE23" i="7"/>
  <c r="CE23" i="7" a="1"/>
  <c r="CD23" i="7"/>
  <c r="CD23" i="7" a="1"/>
  <c r="CC23" i="7" a="1"/>
  <c r="CC23" i="7" s="1"/>
  <c r="CB23" i="7" a="1"/>
  <c r="CB23" i="7" s="1"/>
  <c r="CA23" i="7" a="1"/>
  <c r="CA23" i="7" s="1"/>
  <c r="BZ23" i="7" a="1"/>
  <c r="BZ23" i="7" s="1"/>
  <c r="BY23" i="7"/>
  <c r="BY23" i="7" a="1"/>
  <c r="BX23" i="7"/>
  <c r="BX23" i="7" a="1"/>
  <c r="BW23" i="7" a="1"/>
  <c r="BW23" i="7" s="1"/>
  <c r="BV23" i="7"/>
  <c r="BV23" i="7" a="1"/>
  <c r="BU23" i="7" a="1"/>
  <c r="BU23" i="7" s="1"/>
  <c r="BT23" i="7"/>
  <c r="BT23" i="7" a="1"/>
  <c r="BS23" i="7" a="1"/>
  <c r="BS23" i="7" s="1"/>
  <c r="BR23" i="7" a="1"/>
  <c r="BR23" i="7" s="1"/>
  <c r="BQ23" i="7"/>
  <c r="BQ23" i="7" a="1"/>
  <c r="BP23" i="7"/>
  <c r="BP23" i="7" a="1"/>
  <c r="BO23" i="7" a="1"/>
  <c r="BO23" i="7" s="1"/>
  <c r="BN23" i="7" a="1"/>
  <c r="BN23" i="7" s="1"/>
  <c r="BM23" i="7"/>
  <c r="BM23" i="7" a="1"/>
  <c r="BL23" i="7"/>
  <c r="BL23" i="7" a="1"/>
  <c r="BK23" i="7" a="1"/>
  <c r="BK23" i="7" s="1"/>
  <c r="BJ23" i="7" a="1"/>
  <c r="BJ23" i="7" s="1"/>
  <c r="BI23" i="7"/>
  <c r="BI23" i="7" a="1"/>
  <c r="BH23" i="7"/>
  <c r="BH23" i="7" a="1"/>
  <c r="BG23" i="7" a="1"/>
  <c r="BG23" i="7" s="1"/>
  <c r="BF23" i="7" a="1"/>
  <c r="BF23" i="7" s="1"/>
  <c r="BE23" i="7"/>
  <c r="BE23" i="7" a="1"/>
  <c r="BD23" i="7" a="1"/>
  <c r="BD23" i="7" s="1"/>
  <c r="BC23" i="7"/>
  <c r="BC23" i="7" a="1"/>
  <c r="BB23" i="7" a="1"/>
  <c r="BB23" i="7" s="1"/>
  <c r="BA23" i="7"/>
  <c r="BA23" i="7" a="1"/>
  <c r="AZ23" i="7"/>
  <c r="AZ23" i="7" a="1"/>
  <c r="AY23" i="7"/>
  <c r="AY23" i="7" a="1"/>
  <c r="AX23" i="7" a="1"/>
  <c r="AX23" i="7" s="1"/>
  <c r="AW23" i="7" a="1"/>
  <c r="AW23" i="7" s="1"/>
  <c r="AV23" i="7"/>
  <c r="AV23" i="7" a="1"/>
  <c r="AU23" i="7" a="1"/>
  <c r="AU23" i="7" s="1"/>
  <c r="AT23" i="7" a="1"/>
  <c r="AT23" i="7" s="1"/>
  <c r="AS23" i="7"/>
  <c r="AS23" i="7" a="1"/>
  <c r="AR23" i="7"/>
  <c r="AR23" i="7" a="1"/>
  <c r="AQ23" i="7"/>
  <c r="AQ23" i="7" a="1"/>
  <c r="AP23" i="7" a="1"/>
  <c r="AP23" i="7" s="1"/>
  <c r="AO23" i="7" a="1"/>
  <c r="AO23" i="7" s="1"/>
  <c r="AN23" i="7"/>
  <c r="AN23" i="7" a="1"/>
  <c r="AM23" i="7" a="1"/>
  <c r="AM23" i="7" s="1"/>
  <c r="AL23" i="7" a="1"/>
  <c r="AL23" i="7" s="1"/>
  <c r="AK23" i="7"/>
  <c r="AK23" i="7" a="1"/>
  <c r="AJ23" i="7"/>
  <c r="AJ23" i="7" a="1"/>
  <c r="AI23" i="7" a="1"/>
  <c r="AI23" i="7" s="1"/>
  <c r="AH23" i="7"/>
  <c r="AH23" i="7" a="1"/>
  <c r="AG23" i="7" a="1"/>
  <c r="AG23" i="7" s="1"/>
  <c r="AF23" i="7" a="1"/>
  <c r="AF23" i="7" s="1"/>
  <c r="AE23" i="7"/>
  <c r="AE23" i="7" a="1"/>
  <c r="AD23" i="7" a="1"/>
  <c r="AD23" i="7" s="1"/>
  <c r="AC23" i="7"/>
  <c r="AC23" i="7" a="1"/>
  <c r="AB23" i="7"/>
  <c r="AB23" i="7" a="1"/>
  <c r="AA23" i="7" a="1"/>
  <c r="AA23" i="7" s="1"/>
  <c r="Z23" i="7" a="1"/>
  <c r="Z23" i="7" s="1"/>
  <c r="Y23" i="7"/>
  <c r="Y23" i="7" a="1"/>
  <c r="X23" i="7" a="1"/>
  <c r="X23" i="7" s="1"/>
  <c r="W23" i="7"/>
  <c r="W23" i="7" a="1"/>
  <c r="V23" i="7" a="1"/>
  <c r="V23" i="7" s="1"/>
  <c r="U23" i="7"/>
  <c r="U23" i="7" a="1"/>
  <c r="T23" i="7"/>
  <c r="T23" i="7" a="1"/>
  <c r="S23" i="7" a="1"/>
  <c r="S23" i="7" s="1"/>
  <c r="R23" i="7" a="1"/>
  <c r="R23" i="7" s="1"/>
  <c r="Q23" i="7" a="1"/>
  <c r="Q23" i="7" s="1"/>
  <c r="P23" i="7"/>
  <c r="P23" i="7" a="1"/>
  <c r="O23" i="7" a="1"/>
  <c r="O23" i="7" s="1"/>
  <c r="N23" i="7" a="1"/>
  <c r="N23" i="7" s="1"/>
  <c r="M23" i="7"/>
  <c r="M23" i="7" a="1"/>
  <c r="L23" i="7"/>
  <c r="L23" i="7" a="1"/>
  <c r="K23" i="7" a="1"/>
  <c r="K23" i="7" s="1"/>
  <c r="J23" i="7" a="1"/>
  <c r="J23" i="7" s="1"/>
  <c r="I23" i="7" a="1"/>
  <c r="I23" i="7" s="1"/>
  <c r="H23" i="7" a="1"/>
  <c r="H23" i="7" s="1"/>
  <c r="G23" i="7"/>
  <c r="G23" i="7" a="1"/>
  <c r="F23" i="7" a="1"/>
  <c r="F23" i="7" s="1"/>
  <c r="E23" i="7"/>
  <c r="E23" i="7" a="1"/>
  <c r="D23" i="7"/>
  <c r="D23" i="7" a="1"/>
  <c r="C23" i="7" a="1"/>
  <c r="C23" i="7" s="1"/>
  <c r="EF22" i="7" a="1"/>
  <c r="EF22" i="7" s="1"/>
  <c r="EE22" i="7"/>
  <c r="EE22" i="7" a="1"/>
  <c r="ED22" i="7"/>
  <c r="ED22" i="7" a="1"/>
  <c r="EC22" i="7" a="1"/>
  <c r="EC22" i="7" s="1"/>
  <c r="EB22" i="7" a="1"/>
  <c r="EB22" i="7" s="1"/>
  <c r="EA22" i="7"/>
  <c r="EA22" i="7" a="1"/>
  <c r="DZ22" i="7"/>
  <c r="DZ22" i="7" a="1"/>
  <c r="DY22" i="7"/>
  <c r="DY22" i="7" a="1"/>
  <c r="DX22" i="7" a="1"/>
  <c r="DX22" i="7" s="1"/>
  <c r="DW22" i="7" a="1"/>
  <c r="DW22" i="7" s="1"/>
  <c r="DV22" i="7" a="1"/>
  <c r="DV22" i="7" s="1"/>
  <c r="DU22" i="7"/>
  <c r="DU22" i="7" a="1"/>
  <c r="DT22" i="7" a="1"/>
  <c r="DT22" i="7" s="1"/>
  <c r="DS22" i="7"/>
  <c r="DS22" i="7" a="1"/>
  <c r="DR22" i="7"/>
  <c r="DR22" i="7" a="1"/>
  <c r="DQ22" i="7" a="1"/>
  <c r="DQ22" i="7" s="1"/>
  <c r="DP22" i="7"/>
  <c r="DP22" i="7" a="1"/>
  <c r="DO22" i="7" a="1"/>
  <c r="DO22" i="7" s="1"/>
  <c r="DN22" i="7"/>
  <c r="DN22" i="7" a="1"/>
  <c r="DM22" i="7"/>
  <c r="DM22" i="7" a="1"/>
  <c r="DL22" i="7" a="1"/>
  <c r="DL22" i="7" s="1"/>
  <c r="DK22" i="7"/>
  <c r="DK22" i="7" a="1"/>
  <c r="DJ22" i="7"/>
  <c r="DJ22" i="7" a="1"/>
  <c r="DI22" i="7" a="1"/>
  <c r="DI22" i="7" s="1"/>
  <c r="DH22" i="7"/>
  <c r="DH22" i="7" a="1"/>
  <c r="DG22" i="7" a="1"/>
  <c r="DG22" i="7" s="1"/>
  <c r="DF22" i="7" a="1"/>
  <c r="DF22" i="7" s="1"/>
  <c r="DE22" i="7"/>
  <c r="DE22" i="7" a="1"/>
  <c r="DD22" i="7" a="1"/>
  <c r="DD22" i="7" s="1"/>
  <c r="DC22" i="7"/>
  <c r="DC22" i="7" a="1"/>
  <c r="DB22" i="7"/>
  <c r="DB22" i="7" a="1"/>
  <c r="DA22" i="7"/>
  <c r="DA22" i="7" a="1"/>
  <c r="CZ22" i="7"/>
  <c r="CZ22" i="7" a="1"/>
  <c r="CY22" i="7"/>
  <c r="CY22" i="7" a="1"/>
  <c r="CX22" i="7" a="1"/>
  <c r="CX22" i="7" s="1"/>
  <c r="CW22" i="7" a="1"/>
  <c r="CW22" i="7" s="1"/>
  <c r="CV22" i="7" a="1"/>
  <c r="CV22" i="7" s="1"/>
  <c r="CU22" i="7"/>
  <c r="CU22" i="7" a="1"/>
  <c r="CT22" i="7"/>
  <c r="CT22" i="7" a="1"/>
  <c r="CS22" i="7"/>
  <c r="CS22" i="7" a="1"/>
  <c r="CR22" i="7" a="1"/>
  <c r="CR22" i="7" s="1"/>
  <c r="CQ22" i="7"/>
  <c r="CQ22" i="7" a="1"/>
  <c r="CP22" i="7" a="1"/>
  <c r="CP22" i="7" s="1"/>
  <c r="CO22" i="7" a="1"/>
  <c r="CO22" i="7" s="1"/>
  <c r="CN22" i="7" a="1"/>
  <c r="CN22" i="7" s="1"/>
  <c r="CM22" i="7"/>
  <c r="CM22" i="7" a="1"/>
  <c r="CL22" i="7"/>
  <c r="CL22" i="7" a="1"/>
  <c r="CK22" i="7"/>
  <c r="CK22" i="7" a="1"/>
  <c r="CJ22" i="7"/>
  <c r="CJ22" i="7" a="1"/>
  <c r="CI22" i="7" a="1"/>
  <c r="CI22" i="7" s="1"/>
  <c r="CH22" i="7" a="1"/>
  <c r="CH22" i="7" s="1"/>
  <c r="CG22" i="7" a="1"/>
  <c r="CG22" i="7" s="1"/>
  <c r="CF22" i="7" a="1"/>
  <c r="CF22" i="7" s="1"/>
  <c r="CE22" i="7" a="1"/>
  <c r="CE22" i="7" s="1"/>
  <c r="CD22" i="7" a="1"/>
  <c r="CD22" i="7" s="1"/>
  <c r="CC22" i="7" a="1"/>
  <c r="CC22" i="7" s="1"/>
  <c r="CB22" i="7"/>
  <c r="CB22" i="7" a="1"/>
  <c r="CA22" i="7" a="1"/>
  <c r="CA22" i="7" s="1"/>
  <c r="BZ22" i="7"/>
  <c r="BZ22" i="7" a="1"/>
  <c r="BY22" i="7" a="1"/>
  <c r="BY22" i="7" s="1"/>
  <c r="BX22" i="7" a="1"/>
  <c r="BX22" i="7" s="1"/>
  <c r="BW22" i="7"/>
  <c r="BW22" i="7" a="1"/>
  <c r="BV22" i="7"/>
  <c r="BV22" i="7" a="1"/>
  <c r="BU22" i="7" a="1"/>
  <c r="BU22" i="7" s="1"/>
  <c r="BT22" i="7" a="1"/>
  <c r="BT22" i="7" s="1"/>
  <c r="BS22" i="7"/>
  <c r="BS22" i="7" a="1"/>
  <c r="BR22" i="7" a="1"/>
  <c r="BR22" i="7" s="1"/>
  <c r="BQ22" i="7" a="1"/>
  <c r="BQ22" i="7" s="1"/>
  <c r="BP22" i="7" a="1"/>
  <c r="BP22" i="7" s="1"/>
  <c r="BO22" i="7" a="1"/>
  <c r="BO22" i="7" s="1"/>
  <c r="BN22" i="7"/>
  <c r="BN22" i="7" a="1"/>
  <c r="BM22" i="7"/>
  <c r="BM22" i="7" a="1"/>
  <c r="BL22" i="7" a="1"/>
  <c r="BL22" i="7" s="1"/>
  <c r="BK22" i="7"/>
  <c r="BK22" i="7" a="1"/>
  <c r="BJ22" i="7" a="1"/>
  <c r="BJ22" i="7" s="1"/>
  <c r="BI22" i="7"/>
  <c r="BI22" i="7" a="1"/>
  <c r="BH22" i="7" a="1"/>
  <c r="BH22" i="7" s="1"/>
  <c r="BG22" i="7" a="1"/>
  <c r="BG22" i="7" s="1"/>
  <c r="BF22" i="7"/>
  <c r="BF22" i="7" a="1"/>
  <c r="BE22" i="7" a="1"/>
  <c r="BE22" i="7" s="1"/>
  <c r="BD22" i="7"/>
  <c r="BD22" i="7" a="1"/>
  <c r="BC22" i="7" a="1"/>
  <c r="BC22" i="7" s="1"/>
  <c r="BB22" i="7"/>
  <c r="BB22" i="7" a="1"/>
  <c r="BA22" i="7" a="1"/>
  <c r="BA22" i="7" s="1"/>
  <c r="AZ22" i="7" a="1"/>
  <c r="AZ22" i="7" s="1"/>
  <c r="AY22" i="7" a="1"/>
  <c r="AY22" i="7" s="1"/>
  <c r="AX22" i="7" a="1"/>
  <c r="AX22" i="7" s="1"/>
  <c r="AW22" i="7"/>
  <c r="AW22" i="7" a="1"/>
  <c r="AV22" i="7" a="1"/>
  <c r="AV22" i="7" s="1"/>
  <c r="AU22" i="7"/>
  <c r="AU22" i="7" a="1"/>
  <c r="AT22" i="7"/>
  <c r="AT22" i="7" a="1"/>
  <c r="AS22" i="7" a="1"/>
  <c r="AS22" i="7" s="1"/>
  <c r="AR22" i="7" a="1"/>
  <c r="AR22" i="7" s="1"/>
  <c r="AQ22" i="7" a="1"/>
  <c r="AQ22" i="7" s="1"/>
  <c r="AP22" i="7" a="1"/>
  <c r="AP22" i="7" s="1"/>
  <c r="AO22" i="7" a="1"/>
  <c r="AO22" i="7" s="1"/>
  <c r="AN22" i="7" a="1"/>
  <c r="AN22" i="7" s="1"/>
  <c r="AM22" i="7" a="1"/>
  <c r="AM22" i="7" s="1"/>
  <c r="AL22" i="7" a="1"/>
  <c r="AL22" i="7" s="1"/>
  <c r="AK22" i="7"/>
  <c r="AK22" i="7" a="1"/>
  <c r="AJ22" i="7" a="1"/>
  <c r="AJ22" i="7" s="1"/>
  <c r="AI22" i="7"/>
  <c r="AI22" i="7" a="1"/>
  <c r="AH22" i="7" a="1"/>
  <c r="AH22" i="7" s="1"/>
  <c r="AG22" i="7" a="1"/>
  <c r="AG22" i="7" s="1"/>
  <c r="AF22" i="7" a="1"/>
  <c r="AF22" i="7" s="1"/>
  <c r="AE22" i="7" a="1"/>
  <c r="AE22" i="7" s="1"/>
  <c r="AD22" i="7" a="1"/>
  <c r="AD22" i="7" s="1"/>
  <c r="AC22" i="7"/>
  <c r="AC22" i="7" a="1"/>
  <c r="AB22" i="7" a="1"/>
  <c r="AB22" i="7" s="1"/>
  <c r="AA22" i="7" a="1"/>
  <c r="AA22" i="7" s="1"/>
  <c r="Z22" i="7" a="1"/>
  <c r="Z22" i="7" s="1"/>
  <c r="Y22" i="7" a="1"/>
  <c r="Y22" i="7" s="1"/>
  <c r="X22" i="7" a="1"/>
  <c r="X22" i="7" s="1"/>
  <c r="W22" i="7" a="1"/>
  <c r="W22" i="7" s="1"/>
  <c r="V22" i="7" a="1"/>
  <c r="V22" i="7" s="1"/>
  <c r="U22" i="7" a="1"/>
  <c r="U22" i="7" s="1"/>
  <c r="T22" i="7" a="1"/>
  <c r="T22" i="7" s="1"/>
  <c r="S22" i="7" a="1"/>
  <c r="S22" i="7" s="1"/>
  <c r="R22" i="7"/>
  <c r="R22" i="7" a="1"/>
  <c r="Q22" i="7" a="1"/>
  <c r="Q22" i="7" s="1"/>
  <c r="P22" i="7"/>
  <c r="P22" i="7" a="1"/>
  <c r="O22" i="7" a="1"/>
  <c r="O22" i="7" s="1"/>
  <c r="N22" i="7" a="1"/>
  <c r="N22" i="7" s="1"/>
  <c r="M22" i="7" a="1"/>
  <c r="M22" i="7" s="1"/>
  <c r="L22" i="7" a="1"/>
  <c r="L22" i="7" s="1"/>
  <c r="K22" i="7"/>
  <c r="K22" i="7" a="1"/>
  <c r="J22" i="7" a="1"/>
  <c r="J22" i="7" s="1"/>
  <c r="I22" i="7" a="1"/>
  <c r="I22" i="7" s="1"/>
  <c r="H22" i="7" a="1"/>
  <c r="H22" i="7" s="1"/>
  <c r="G22" i="7"/>
  <c r="G22" i="7" a="1"/>
  <c r="F22" i="7"/>
  <c r="F22" i="7" a="1"/>
  <c r="E22" i="7"/>
  <c r="E22" i="7" a="1"/>
  <c r="D22" i="7" a="1"/>
  <c r="D22" i="7" s="1"/>
  <c r="C22" i="7"/>
  <c r="C22" i="7" a="1"/>
  <c r="EF21" i="7" a="1"/>
  <c r="EF21" i="7" s="1"/>
  <c r="EE21" i="7"/>
  <c r="EE21" i="7" a="1"/>
  <c r="ED21" i="7" a="1"/>
  <c r="ED21" i="7" s="1"/>
  <c r="EC21" i="7"/>
  <c r="EC21" i="7" a="1"/>
  <c r="EB21" i="7" a="1"/>
  <c r="EB21" i="7" s="1"/>
  <c r="EA21" i="7"/>
  <c r="EA21" i="7" a="1"/>
  <c r="DZ21" i="7" a="1"/>
  <c r="DZ21" i="7" s="1"/>
  <c r="DY21" i="7" a="1"/>
  <c r="DY21" i="7" s="1"/>
  <c r="DX21" i="7"/>
  <c r="DX21" i="7" a="1"/>
  <c r="DW21" i="7"/>
  <c r="DW21" i="7" a="1"/>
  <c r="DV21" i="7"/>
  <c r="DV21" i="7" a="1"/>
  <c r="DU21" i="7"/>
  <c r="DU21" i="7" a="1"/>
  <c r="DT21" i="7" a="1"/>
  <c r="DT21" i="7" s="1"/>
  <c r="DS21" i="7" a="1"/>
  <c r="DS21" i="7" s="1"/>
  <c r="DR21" i="7" a="1"/>
  <c r="DR21" i="7" s="1"/>
  <c r="DQ21" i="7"/>
  <c r="DQ21" i="7" a="1"/>
  <c r="DP21" i="7"/>
  <c r="DP21" i="7" a="1"/>
  <c r="DO21" i="7" a="1"/>
  <c r="DO21" i="7" s="1"/>
  <c r="DN21" i="7"/>
  <c r="DN21" i="7" a="1"/>
  <c r="DM21" i="7" a="1"/>
  <c r="DM21" i="7" s="1"/>
  <c r="DL21" i="7" a="1"/>
  <c r="DL21" i="7" s="1"/>
  <c r="DK21" i="7"/>
  <c r="DK21" i="7" a="1"/>
  <c r="DJ21" i="7" a="1"/>
  <c r="DJ21" i="7" s="1"/>
  <c r="DI21" i="7" a="1"/>
  <c r="DI21" i="7" s="1"/>
  <c r="DH21" i="7" a="1"/>
  <c r="DH21" i="7" s="1"/>
  <c r="DG21" i="7"/>
  <c r="DG21" i="7" a="1"/>
  <c r="DF21" i="7"/>
  <c r="DF21" i="7" a="1"/>
  <c r="DE21" i="7" a="1"/>
  <c r="DE21" i="7" s="1"/>
  <c r="DD21" i="7" a="1"/>
  <c r="DD21" i="7" s="1"/>
  <c r="DC21" i="7" a="1"/>
  <c r="DC21" i="7" s="1"/>
  <c r="DB21" i="7" a="1"/>
  <c r="DB21" i="7" s="1"/>
  <c r="DA21" i="7" a="1"/>
  <c r="DA21" i="7" s="1"/>
  <c r="CZ21" i="7" a="1"/>
  <c r="CZ21" i="7" s="1"/>
  <c r="CY21" i="7"/>
  <c r="CY21" i="7" a="1"/>
  <c r="CX21" i="7" a="1"/>
  <c r="CX21" i="7" s="1"/>
  <c r="CW21" i="7"/>
  <c r="CW21" i="7" a="1"/>
  <c r="CV21" i="7" a="1"/>
  <c r="CV21" i="7" s="1"/>
  <c r="CU21" i="7"/>
  <c r="CU21" i="7" a="1"/>
  <c r="CT21" i="7" a="1"/>
  <c r="CT21" i="7" s="1"/>
  <c r="CS21" i="7" a="1"/>
  <c r="CS21" i="7" s="1"/>
  <c r="CR21" i="7"/>
  <c r="CR21" i="7" a="1"/>
  <c r="CQ21" i="7" a="1"/>
  <c r="CQ21" i="7" s="1"/>
  <c r="CP21" i="7"/>
  <c r="CP21" i="7" a="1"/>
  <c r="CO21" i="7" a="1"/>
  <c r="CO21" i="7" s="1"/>
  <c r="CN21" i="7" a="1"/>
  <c r="CN21" i="7" s="1"/>
  <c r="CM21" i="7"/>
  <c r="CM21" i="7" a="1"/>
  <c r="CL21" i="7" a="1"/>
  <c r="CL21" i="7" s="1"/>
  <c r="CK21" i="7" a="1"/>
  <c r="CK21" i="7" s="1"/>
  <c r="CJ21" i="7" a="1"/>
  <c r="CJ21" i="7" s="1"/>
  <c r="CI21" i="7"/>
  <c r="CI21" i="7" a="1"/>
  <c r="CH21" i="7"/>
  <c r="CH21" i="7" a="1"/>
  <c r="CG21" i="7" a="1"/>
  <c r="CG21" i="7" s="1"/>
  <c r="CF21" i="7"/>
  <c r="CF21" i="7" a="1"/>
  <c r="CE21" i="7" a="1"/>
  <c r="CE21" i="7" s="1"/>
  <c r="CD21" i="7" a="1"/>
  <c r="CD21" i="7" s="1"/>
  <c r="CC21" i="7" a="1"/>
  <c r="CC21" i="7" s="1"/>
  <c r="CB21" i="7"/>
  <c r="CB21" i="7" a="1"/>
  <c r="CA21" i="7" a="1"/>
  <c r="CA21" i="7" s="1"/>
  <c r="BZ21" i="7"/>
  <c r="BZ21" i="7" a="1"/>
  <c r="BY21" i="7"/>
  <c r="BY21" i="7" a="1"/>
  <c r="BX21" i="7" a="1"/>
  <c r="BX21" i="7" s="1"/>
  <c r="BW21" i="7" a="1"/>
  <c r="BW21" i="7" s="1"/>
  <c r="BV21" i="7" a="1"/>
  <c r="BV21" i="7" s="1"/>
  <c r="BU21" i="7" a="1"/>
  <c r="BU21" i="7" s="1"/>
  <c r="BT21" i="7" a="1"/>
  <c r="BT21" i="7" s="1"/>
  <c r="BS21" i="7"/>
  <c r="BS21" i="7" a="1"/>
  <c r="BR21" i="7" a="1"/>
  <c r="BR21" i="7" s="1"/>
  <c r="BQ21" i="7"/>
  <c r="BQ21" i="7" a="1"/>
  <c r="BP21" i="7" a="1"/>
  <c r="BP21" i="7" s="1"/>
  <c r="BO21" i="7"/>
  <c r="BO21" i="7" a="1"/>
  <c r="BN21" i="7" a="1"/>
  <c r="BN21" i="7" s="1"/>
  <c r="BM21" i="7" a="1"/>
  <c r="BM21" i="7" s="1"/>
  <c r="BL21" i="7" a="1"/>
  <c r="BL21" i="7" s="1"/>
  <c r="BK21" i="7" a="1"/>
  <c r="BK21" i="7" s="1"/>
  <c r="BJ21" i="7"/>
  <c r="BJ21" i="7" a="1"/>
  <c r="BI21" i="7" a="1"/>
  <c r="BI21" i="7" s="1"/>
  <c r="BH21" i="7"/>
  <c r="BH21" i="7" a="1"/>
  <c r="BG21" i="7" a="1"/>
  <c r="BG21" i="7" s="1"/>
  <c r="BF21" i="7" a="1"/>
  <c r="BF21" i="7" s="1"/>
  <c r="BE21" i="7" a="1"/>
  <c r="BE21" i="7" s="1"/>
  <c r="BD21" i="7" a="1"/>
  <c r="BD21" i="7" s="1"/>
  <c r="BC21" i="7" a="1"/>
  <c r="BC21" i="7" s="1"/>
  <c r="BB21" i="7" a="1"/>
  <c r="BB21" i="7" s="1"/>
  <c r="BA21" i="7"/>
  <c r="BA21" i="7" a="1"/>
  <c r="AZ21" i="7"/>
  <c r="AZ21" i="7" a="1"/>
  <c r="AY21" i="7" a="1"/>
  <c r="AY21" i="7" s="1"/>
  <c r="AX21" i="7" a="1"/>
  <c r="AX21" i="7" s="1"/>
  <c r="AW21" i="7" a="1"/>
  <c r="AW21" i="7" s="1"/>
  <c r="AV21" i="7" a="1"/>
  <c r="AV21" i="7" s="1"/>
  <c r="AU21" i="7"/>
  <c r="AU21" i="7" a="1"/>
  <c r="AT21" i="7" a="1"/>
  <c r="AT21" i="7" s="1"/>
  <c r="AS21" i="7" a="1"/>
  <c r="AS21" i="7" s="1"/>
  <c r="AR21" i="7" a="1"/>
  <c r="AR21" i="7" s="1"/>
  <c r="AQ21" i="7"/>
  <c r="AQ21" i="7" a="1"/>
  <c r="AP21" i="7" a="1"/>
  <c r="AP21" i="7" s="1"/>
  <c r="AO21" i="7"/>
  <c r="AO21" i="7" a="1"/>
  <c r="AN21" i="7" a="1"/>
  <c r="AN21" i="7" s="1"/>
  <c r="AM21" i="7" a="1"/>
  <c r="AM21" i="7" s="1"/>
  <c r="AL21" i="7" a="1"/>
  <c r="AL21" i="7" s="1"/>
  <c r="AK21" i="7" a="1"/>
  <c r="AK21" i="7" s="1"/>
  <c r="AJ21" i="7" a="1"/>
  <c r="AJ21" i="7" s="1"/>
  <c r="AI21" i="7"/>
  <c r="AI21" i="7" a="1"/>
  <c r="AH21" i="7" a="1"/>
  <c r="AH21" i="7" s="1"/>
  <c r="AG21" i="7" a="1"/>
  <c r="AG21" i="7" s="1"/>
  <c r="AF21" i="7" a="1"/>
  <c r="AF21" i="7" s="1"/>
  <c r="AE21" i="7"/>
  <c r="AE21" i="7" a="1"/>
  <c r="AD21" i="7" a="1"/>
  <c r="AD21" i="7" s="1"/>
  <c r="AC21" i="7" a="1"/>
  <c r="AC21" i="7" s="1"/>
  <c r="AB21" i="7" a="1"/>
  <c r="AB21" i="7" s="1"/>
  <c r="AA21" i="7" a="1"/>
  <c r="AA21" i="7" s="1"/>
  <c r="Z21" i="7" a="1"/>
  <c r="Z21" i="7" s="1"/>
  <c r="Y21" i="7" a="1"/>
  <c r="Y21" i="7" s="1"/>
  <c r="X21" i="7"/>
  <c r="X21" i="7" a="1"/>
  <c r="W21" i="7" a="1"/>
  <c r="W21" i="7" s="1"/>
  <c r="V21" i="7"/>
  <c r="V21" i="7" a="1"/>
  <c r="U21" i="7" a="1"/>
  <c r="U21" i="7" s="1"/>
  <c r="T21" i="7"/>
  <c r="T21" i="7" a="1"/>
  <c r="S21" i="7" a="1"/>
  <c r="S21" i="7" s="1"/>
  <c r="R21" i="7" a="1"/>
  <c r="R21" i="7" s="1"/>
  <c r="Q21" i="7"/>
  <c r="Q21" i="7" a="1"/>
  <c r="P21" i="7" a="1"/>
  <c r="P21" i="7" s="1"/>
  <c r="O21" i="7" a="1"/>
  <c r="O21" i="7" s="1"/>
  <c r="N21" i="7" a="1"/>
  <c r="N21" i="7" s="1"/>
  <c r="M21" i="7"/>
  <c r="M21" i="7" a="1"/>
  <c r="L21" i="7" a="1"/>
  <c r="L21" i="7" s="1"/>
  <c r="K21" i="7" a="1"/>
  <c r="K21" i="7" s="1"/>
  <c r="J21" i="7" a="1"/>
  <c r="J21" i="7" s="1"/>
  <c r="I21" i="7"/>
  <c r="I21" i="7" a="1"/>
  <c r="H21" i="7" a="1"/>
  <c r="H21" i="7" s="1"/>
  <c r="G21" i="7"/>
  <c r="G21" i="7" a="1"/>
  <c r="F21" i="7" a="1"/>
  <c r="F21" i="7" s="1"/>
  <c r="E21" i="7" a="1"/>
  <c r="E21" i="7" s="1"/>
  <c r="D21" i="7" a="1"/>
  <c r="D21" i="7" s="1"/>
  <c r="C21" i="7"/>
  <c r="C21" i="7" a="1"/>
  <c r="EF20" i="7" a="1"/>
  <c r="EF20" i="7" s="1"/>
  <c r="EE20" i="7" a="1"/>
  <c r="EE20" i="7" s="1"/>
  <c r="ED20" i="7"/>
  <c r="ED20" i="7" a="1"/>
  <c r="EC20" i="7"/>
  <c r="EC20" i="7" a="1"/>
  <c r="EB20" i="7" a="1"/>
  <c r="EB20" i="7" s="1"/>
  <c r="EA20" i="7" a="1"/>
  <c r="EA20" i="7" s="1"/>
  <c r="DZ20" i="7" a="1"/>
  <c r="DZ20" i="7" s="1"/>
  <c r="DY20" i="7" a="1"/>
  <c r="DY20" i="7" s="1"/>
  <c r="DX20" i="7" a="1"/>
  <c r="DX20" i="7" s="1"/>
  <c r="DW20" i="7" a="1"/>
  <c r="DW20" i="7" s="1"/>
  <c r="DV20" i="7"/>
  <c r="DV20" i="7" a="1"/>
  <c r="DU20" i="7" a="1"/>
  <c r="DU20" i="7" s="1"/>
  <c r="DT20" i="7"/>
  <c r="DT20" i="7" a="1"/>
  <c r="DS20" i="7" a="1"/>
  <c r="DS20" i="7" s="1"/>
  <c r="DR20" i="7"/>
  <c r="DR20" i="7" a="1"/>
  <c r="DQ20" i="7"/>
  <c r="DQ20" i="7" a="1"/>
  <c r="DP20" i="7" a="1"/>
  <c r="DP20" i="7" s="1"/>
  <c r="DO20" i="7" a="1"/>
  <c r="DO20" i="7" s="1"/>
  <c r="DN20" i="7"/>
  <c r="DN20" i="7" a="1"/>
  <c r="DM20" i="7"/>
  <c r="DM20" i="7" a="1"/>
  <c r="DL20" i="7" a="1"/>
  <c r="DL20" i="7" s="1"/>
  <c r="DK20" i="7" a="1"/>
  <c r="DK20" i="7" s="1"/>
  <c r="DJ20" i="7"/>
  <c r="DJ20" i="7" a="1"/>
  <c r="DI20" i="7"/>
  <c r="DI20" i="7" a="1"/>
  <c r="DH20" i="7" a="1"/>
  <c r="DH20" i="7" s="1"/>
  <c r="DG20" i="7" a="1"/>
  <c r="DG20" i="7" s="1"/>
  <c r="DF20" i="7"/>
  <c r="DF20" i="7" a="1"/>
  <c r="DE20" i="7"/>
  <c r="DE20" i="7" a="1"/>
  <c r="DD20" i="7" a="1"/>
  <c r="DD20" i="7" s="1"/>
  <c r="DC20" i="7"/>
  <c r="DC20" i="7" a="1"/>
  <c r="DB20" i="7" a="1"/>
  <c r="DB20" i="7" s="1"/>
  <c r="DA20" i="7"/>
  <c r="DA20" i="7" a="1"/>
  <c r="CZ20" i="7" a="1"/>
  <c r="CZ20" i="7" s="1"/>
  <c r="CY20" i="7"/>
  <c r="CY20" i="7" a="1"/>
  <c r="CX20" i="7"/>
  <c r="CX20" i="7" a="1"/>
  <c r="CW20" i="7" a="1"/>
  <c r="CW20" i="7" s="1"/>
  <c r="CV20" i="7"/>
  <c r="CV20" i="7" a="1"/>
  <c r="CU20" i="7" a="1"/>
  <c r="CU20" i="7" s="1"/>
  <c r="CT20" i="7" a="1"/>
  <c r="CT20" i="7" s="1"/>
  <c r="CS20" i="7" a="1"/>
  <c r="CS20" i="7" s="1"/>
  <c r="CR20" i="7" a="1"/>
  <c r="CR20" i="7" s="1"/>
  <c r="CQ20" i="7" a="1"/>
  <c r="CQ20" i="7" s="1"/>
  <c r="CP20" i="7"/>
  <c r="CP20" i="7" a="1"/>
  <c r="CO20" i="7"/>
  <c r="CO20" i="7" a="1"/>
  <c r="CN20" i="7"/>
  <c r="CN20" i="7" a="1"/>
  <c r="CM20" i="7" a="1"/>
  <c r="CM20" i="7" s="1"/>
  <c r="CL20" i="7"/>
  <c r="CL20" i="7" a="1"/>
  <c r="CK20" i="7" a="1"/>
  <c r="CK20" i="7" s="1"/>
  <c r="CJ20" i="7" a="1"/>
  <c r="CJ20" i="7" s="1"/>
  <c r="CI20" i="7" a="1"/>
  <c r="CI20" i="7" s="1"/>
  <c r="CH20" i="7" a="1"/>
  <c r="CH20" i="7" s="1"/>
  <c r="CG20" i="7" a="1"/>
  <c r="CG20" i="7" s="1"/>
  <c r="CF20" i="7" a="1"/>
  <c r="CF20" i="7" s="1"/>
  <c r="CE20" i="7"/>
  <c r="CE20" i="7" a="1"/>
  <c r="CD20" i="7"/>
  <c r="CD20" i="7" a="1"/>
  <c r="CC20" i="7" a="1"/>
  <c r="CC20" i="7" s="1"/>
  <c r="CB20" i="7" a="1"/>
  <c r="CB20" i="7" s="1"/>
  <c r="CA20" i="7" a="1"/>
  <c r="CA20" i="7" s="1"/>
  <c r="BZ20" i="7" a="1"/>
  <c r="BZ20" i="7" s="1"/>
  <c r="BY20" i="7" a="1"/>
  <c r="BY20" i="7" s="1"/>
  <c r="BX20" i="7" a="1"/>
  <c r="BX20" i="7" s="1"/>
  <c r="BW20" i="7"/>
  <c r="BW20" i="7" a="1"/>
  <c r="BV20" i="7" a="1"/>
  <c r="BV20" i="7" s="1"/>
  <c r="BU20" i="7"/>
  <c r="BU20" i="7" a="1"/>
  <c r="BT20" i="7" a="1"/>
  <c r="BT20" i="7" s="1"/>
  <c r="BS20" i="7"/>
  <c r="BS20" i="7" a="1"/>
  <c r="BR20" i="7" a="1"/>
  <c r="BR20" i="7" s="1"/>
  <c r="BQ20" i="7" a="1"/>
  <c r="BQ20" i="7" s="1"/>
  <c r="BP20" i="7" a="1"/>
  <c r="BP20" i="7" s="1"/>
  <c r="BO20" i="7" a="1"/>
  <c r="BO20" i="7" s="1"/>
  <c r="BN20" i="7"/>
  <c r="BN20" i="7" a="1"/>
  <c r="BM20" i="7" a="1"/>
  <c r="BM20" i="7" s="1"/>
  <c r="BL20" i="7" a="1"/>
  <c r="BL20" i="7" s="1"/>
  <c r="BK20" i="7" a="1"/>
  <c r="BK20" i="7" s="1"/>
  <c r="BJ20" i="7"/>
  <c r="BJ20" i="7" a="1"/>
  <c r="BI20" i="7" a="1"/>
  <c r="BI20" i="7" s="1"/>
  <c r="BH20" i="7"/>
  <c r="BH20" i="7" a="1"/>
  <c r="BG20" i="7" a="1"/>
  <c r="BG20" i="7" s="1"/>
  <c r="BF20" i="7"/>
  <c r="BF20" i="7" a="1"/>
  <c r="BE20" i="7" a="1"/>
  <c r="BE20" i="7" s="1"/>
  <c r="BD20" i="7" a="1"/>
  <c r="BD20" i="7" s="1"/>
  <c r="BC20" i="7" a="1"/>
  <c r="BC20" i="7" s="1"/>
  <c r="BB20" i="7" a="1"/>
  <c r="BB20" i="7" s="1"/>
  <c r="BA20" i="7"/>
  <c r="BA20" i="7" a="1"/>
  <c r="AZ20" i="7" a="1"/>
  <c r="AZ20" i="7" s="1"/>
  <c r="AY20" i="7" a="1"/>
  <c r="AY20" i="7" s="1"/>
  <c r="AX20" i="7" a="1"/>
  <c r="AX20" i="7" s="1"/>
  <c r="AW20" i="7"/>
  <c r="AW20" i="7" a="1"/>
  <c r="AV20" i="7" a="1"/>
  <c r="AV20" i="7" s="1"/>
  <c r="AU20" i="7"/>
  <c r="AU20" i="7" a="1"/>
  <c r="AT20" i="7" a="1"/>
  <c r="AT20" i="7" s="1"/>
  <c r="AS20" i="7" a="1"/>
  <c r="AS20" i="7" s="1"/>
  <c r="AR20" i="7"/>
  <c r="AR20" i="7" a="1"/>
  <c r="AQ20" i="7" a="1"/>
  <c r="AQ20" i="7" s="1"/>
  <c r="AP20" i="7"/>
  <c r="AP20" i="7" a="1"/>
  <c r="AO20" i="7"/>
  <c r="AO20" i="7" a="1"/>
  <c r="AN20" i="7" a="1"/>
  <c r="AN20" i="7" s="1"/>
  <c r="AM20" i="7"/>
  <c r="AM20" i="7" a="1"/>
  <c r="AL20" i="7" a="1"/>
  <c r="AL20" i="7" s="1"/>
  <c r="AK20" i="7"/>
  <c r="AK20" i="7" a="1"/>
  <c r="AJ20" i="7" a="1"/>
  <c r="AJ20" i="7" s="1"/>
  <c r="AI20" i="7"/>
  <c r="AI20" i="7" a="1"/>
  <c r="AH20" i="7" a="1"/>
  <c r="AH20" i="7" s="1"/>
  <c r="AG20" i="7" a="1"/>
  <c r="AG20" i="7" s="1"/>
  <c r="AF20" i="7" a="1"/>
  <c r="AF20" i="7" s="1"/>
  <c r="AE20" i="7" a="1"/>
  <c r="AE20" i="7" s="1"/>
  <c r="AD20" i="7"/>
  <c r="AD20" i="7" a="1"/>
  <c r="AC20" i="7" a="1"/>
  <c r="AC20" i="7" s="1"/>
  <c r="AB20" i="7"/>
  <c r="AB20" i="7" a="1"/>
  <c r="AA20" i="7" a="1"/>
  <c r="AA20" i="7" s="1"/>
  <c r="Z20" i="7" a="1"/>
  <c r="Z20" i="7" s="1"/>
  <c r="Y20" i="7"/>
  <c r="Y20" i="7" a="1"/>
  <c r="X20" i="7" a="1"/>
  <c r="X20" i="7" s="1"/>
  <c r="W20" i="7"/>
  <c r="W20" i="7" a="1"/>
  <c r="V20" i="7" a="1"/>
  <c r="V20" i="7" s="1"/>
  <c r="U20" i="7" a="1"/>
  <c r="U20" i="7" s="1"/>
  <c r="T20" i="7" a="1"/>
  <c r="T20" i="7" s="1"/>
  <c r="S20" i="7" a="1"/>
  <c r="S20" i="7" s="1"/>
  <c r="R20" i="7" a="1"/>
  <c r="R20" i="7" s="1"/>
  <c r="Q20" i="7" a="1"/>
  <c r="Q20" i="7" s="1"/>
  <c r="P20" i="7" a="1"/>
  <c r="P20" i="7" s="1"/>
  <c r="O20" i="7"/>
  <c r="O20" i="7" a="1"/>
  <c r="N20" i="7" a="1"/>
  <c r="N20" i="7" s="1"/>
  <c r="M20" i="7"/>
  <c r="M20" i="7" a="1"/>
  <c r="L20" i="7" a="1"/>
  <c r="L20" i="7" s="1"/>
  <c r="K20" i="7"/>
  <c r="K20" i="7" a="1"/>
  <c r="J20" i="7" a="1"/>
  <c r="J20" i="7" s="1"/>
  <c r="I20" i="7"/>
  <c r="I20" i="7" a="1"/>
  <c r="H20" i="7" a="1"/>
  <c r="H20" i="7" s="1"/>
  <c r="G20" i="7" a="1"/>
  <c r="G20" i="7" s="1"/>
  <c r="F20" i="7"/>
  <c r="F20" i="7" a="1"/>
  <c r="E20" i="7" a="1"/>
  <c r="E20" i="7" s="1"/>
  <c r="D20" i="7" a="1"/>
  <c r="D20" i="7" s="1"/>
  <c r="C20" i="7" a="1"/>
  <c r="C20" i="7" s="1"/>
  <c r="EF19" i="7"/>
  <c r="EF19" i="7" a="1"/>
  <c r="EE19" i="7"/>
  <c r="EE19" i="7" a="1"/>
  <c r="ED19" i="7" a="1"/>
  <c r="ED19" i="7" s="1"/>
  <c r="EC19" i="7" a="1"/>
  <c r="EC19" i="7" s="1"/>
  <c r="EB19" i="7"/>
  <c r="EB19" i="7" a="1"/>
  <c r="EA19" i="7" a="1"/>
  <c r="EA19" i="7" s="1"/>
  <c r="DZ19" i="7"/>
  <c r="DZ19" i="7" a="1"/>
  <c r="DY19" i="7" a="1"/>
  <c r="DY19" i="7" s="1"/>
  <c r="DX19" i="7" a="1"/>
  <c r="DX19" i="7" s="1"/>
  <c r="DW19" i="7" a="1"/>
  <c r="DW19" i="7" s="1"/>
  <c r="DV19" i="7" a="1"/>
  <c r="DV19" i="7" s="1"/>
  <c r="DU19" i="7"/>
  <c r="DU19" i="7" a="1"/>
  <c r="DT19" i="7"/>
  <c r="DT19" i="7" a="1"/>
  <c r="DS19" i="7" a="1"/>
  <c r="DS19" i="7" s="1"/>
  <c r="DR19" i="7"/>
  <c r="DR19" i="7" a="1"/>
  <c r="DQ19" i="7" a="1"/>
  <c r="DQ19" i="7" s="1"/>
  <c r="DP19" i="7" a="1"/>
  <c r="DP19" i="7" s="1"/>
  <c r="DO19" i="7" a="1"/>
  <c r="DO19" i="7" s="1"/>
  <c r="DN19" i="7" a="1"/>
  <c r="DN19" i="7" s="1"/>
  <c r="DM19" i="7" a="1"/>
  <c r="DM19" i="7" s="1"/>
  <c r="DL19" i="7"/>
  <c r="DL19" i="7" a="1"/>
  <c r="DK19" i="7" a="1"/>
  <c r="DK19" i="7" s="1"/>
  <c r="DJ19" i="7"/>
  <c r="DJ19" i="7" a="1"/>
  <c r="DI19" i="7" a="1"/>
  <c r="DI19" i="7" s="1"/>
  <c r="DH19" i="7"/>
  <c r="DH19" i="7" a="1"/>
  <c r="DG19" i="7" a="1"/>
  <c r="DG19" i="7" s="1"/>
  <c r="DF19" i="7" a="1"/>
  <c r="DF19" i="7" s="1"/>
  <c r="DE19" i="7" a="1"/>
  <c r="DE19" i="7" s="1"/>
  <c r="DD19" i="7"/>
  <c r="DD19" i="7" a="1"/>
  <c r="DC19" i="7" a="1"/>
  <c r="DC19" i="7" s="1"/>
  <c r="DB19" i="7"/>
  <c r="DB19" i="7" a="1"/>
  <c r="DA19" i="7" a="1"/>
  <c r="DA19" i="7" s="1"/>
  <c r="CZ19" i="7"/>
  <c r="CZ19" i="7" a="1"/>
  <c r="CY19" i="7"/>
  <c r="CY19" i="7" a="1"/>
  <c r="CX19" i="7" a="1"/>
  <c r="CX19" i="7" s="1"/>
  <c r="CW19" i="7" a="1"/>
  <c r="CW19" i="7" s="1"/>
  <c r="CV19" i="7"/>
  <c r="CV19" i="7" a="1"/>
  <c r="CU19" i="7" a="1"/>
  <c r="CU19" i="7" s="1"/>
  <c r="CT19" i="7"/>
  <c r="CT19" i="7" a="1"/>
  <c r="CS19" i="7" a="1"/>
  <c r="CS19" i="7" s="1"/>
  <c r="CR19" i="7" a="1"/>
  <c r="CR19" i="7" s="1"/>
  <c r="CQ19" i="7"/>
  <c r="CQ19" i="7" a="1"/>
  <c r="CP19" i="7" a="1"/>
  <c r="CP19" i="7" s="1"/>
  <c r="CO19" i="7" a="1"/>
  <c r="CO19" i="7" s="1"/>
  <c r="CN19" i="7"/>
  <c r="CN19" i="7" a="1"/>
  <c r="CM19" i="7" a="1"/>
  <c r="CM19" i="7" s="1"/>
  <c r="CL19" i="7"/>
  <c r="CL19" i="7" a="1"/>
  <c r="CK19" i="7" a="1"/>
  <c r="CK19" i="7" s="1"/>
  <c r="CJ19" i="7" a="1"/>
  <c r="CJ19" i="7" s="1"/>
  <c r="CI19" i="7" a="1"/>
  <c r="CI19" i="7" s="1"/>
  <c r="CH19" i="7" a="1"/>
  <c r="CH19" i="7" s="1"/>
  <c r="CG19" i="7" a="1"/>
  <c r="CG19" i="7" s="1"/>
  <c r="CF19" i="7"/>
  <c r="CF19" i="7" a="1"/>
  <c r="CE19" i="7" a="1"/>
  <c r="CE19" i="7" s="1"/>
  <c r="CD19" i="7"/>
  <c r="CD19" i="7" a="1"/>
  <c r="CC19" i="7" a="1"/>
  <c r="CC19" i="7" s="1"/>
  <c r="CB19" i="7" a="1"/>
  <c r="CB19" i="7" s="1"/>
  <c r="CA19" i="7" a="1"/>
  <c r="CA19" i="7" s="1"/>
  <c r="BZ19" i="7" a="1"/>
  <c r="BZ19" i="7" s="1"/>
  <c r="BY19" i="7" a="1"/>
  <c r="BY19" i="7" s="1"/>
  <c r="BX19" i="7" a="1"/>
  <c r="BX19" i="7" s="1"/>
  <c r="BW19" i="7" a="1"/>
  <c r="BW19" i="7" s="1"/>
  <c r="BV19" i="7"/>
  <c r="BV19" i="7" a="1"/>
  <c r="BU19" i="7" a="1"/>
  <c r="BU19" i="7" s="1"/>
  <c r="BT19" i="7"/>
  <c r="BT19" i="7" a="1"/>
  <c r="BS19" i="7"/>
  <c r="BS19" i="7" a="1"/>
  <c r="BR19" i="7" a="1"/>
  <c r="BR19" i="7" s="1"/>
  <c r="BQ19" i="7" a="1"/>
  <c r="BQ19" i="7" s="1"/>
  <c r="BP19" i="7" a="1"/>
  <c r="BP19" i="7" s="1"/>
  <c r="BO19" i="7" a="1"/>
  <c r="BO19" i="7" s="1"/>
  <c r="BN19" i="7"/>
  <c r="BN19" i="7" a="1"/>
  <c r="BM19" i="7" a="1"/>
  <c r="BM19" i="7" s="1"/>
  <c r="BL19" i="7"/>
  <c r="BL19" i="7" a="1"/>
  <c r="BK19" i="7" a="1"/>
  <c r="BK19" i="7" s="1"/>
  <c r="BJ19" i="7" a="1"/>
  <c r="BJ19" i="7" s="1"/>
  <c r="BI19" i="7" a="1"/>
  <c r="BI19" i="7" s="1"/>
  <c r="BH19" i="7" a="1"/>
  <c r="BH19" i="7" s="1"/>
  <c r="BG19" i="7" a="1"/>
  <c r="BG19" i="7" s="1"/>
  <c r="BF19" i="7"/>
  <c r="BF19" i="7" a="1"/>
  <c r="BE19" i="7" a="1"/>
  <c r="BE19" i="7" s="1"/>
  <c r="BD19" i="7" a="1"/>
  <c r="BD19" i="7" s="1"/>
  <c r="BC19" i="7"/>
  <c r="BC19" i="7" a="1"/>
  <c r="BB19" i="7"/>
  <c r="BB19" i="7" a="1"/>
  <c r="BA19" i="7" a="1"/>
  <c r="BA19" i="7" s="1"/>
  <c r="AZ19" i="7" a="1"/>
  <c r="AZ19" i="7" s="1"/>
  <c r="AY19" i="7" a="1"/>
  <c r="AY19" i="7" s="1"/>
  <c r="AX19" i="7"/>
  <c r="AX19" i="7" a="1"/>
  <c r="AW19" i="7" a="1"/>
  <c r="AW19" i="7" s="1"/>
  <c r="AV19" i="7" a="1"/>
  <c r="AV19" i="7" s="1"/>
  <c r="AU19" i="7" a="1"/>
  <c r="AU19" i="7" s="1"/>
  <c r="AT19" i="7" a="1"/>
  <c r="AT19" i="7" s="1"/>
  <c r="AS19" i="7" a="1"/>
  <c r="AS19" i="7" s="1"/>
  <c r="AR19" i="7"/>
  <c r="AR19" i="7" a="1"/>
  <c r="AQ19" i="7" a="1"/>
  <c r="AQ19" i="7" s="1"/>
  <c r="AP19" i="7"/>
  <c r="AP19" i="7" a="1"/>
  <c r="AO19" i="7" a="1"/>
  <c r="AO19" i="7" s="1"/>
  <c r="AN19" i="7" a="1"/>
  <c r="AN19" i="7" s="1"/>
  <c r="AM19" i="7" a="1"/>
  <c r="AM19" i="7" s="1"/>
  <c r="AL19" i="7" a="1"/>
  <c r="AL19" i="7" s="1"/>
  <c r="AK19" i="7" a="1"/>
  <c r="AK19" i="7" s="1"/>
  <c r="AJ19" i="7" a="1"/>
  <c r="AJ19" i="7" s="1"/>
  <c r="AI19" i="7" a="1"/>
  <c r="AI19" i="7" s="1"/>
  <c r="AH19" i="7"/>
  <c r="AH19" i="7" a="1"/>
  <c r="AG19" i="7" a="1"/>
  <c r="AG19" i="7" s="1"/>
  <c r="AF19" i="7" a="1"/>
  <c r="AF19" i="7" s="1"/>
  <c r="AE19" i="7"/>
  <c r="AE19" i="7" a="1"/>
  <c r="AD19" i="7" a="1"/>
  <c r="AD19" i="7" s="1"/>
  <c r="AC19" i="7" a="1"/>
  <c r="AC19" i="7" s="1"/>
  <c r="AB19" i="7" a="1"/>
  <c r="AB19" i="7" s="1"/>
  <c r="AA19" i="7" a="1"/>
  <c r="AA19" i="7" s="1"/>
  <c r="Z19" i="7" a="1"/>
  <c r="Z19" i="7" s="1"/>
  <c r="Y19" i="7" a="1"/>
  <c r="Y19" i="7" s="1"/>
  <c r="X19" i="7" a="1"/>
  <c r="X19" i="7" s="1"/>
  <c r="W19" i="7" a="1"/>
  <c r="W19" i="7" s="1"/>
  <c r="V19" i="7"/>
  <c r="V19" i="7" a="1"/>
  <c r="U19" i="7" a="1"/>
  <c r="U19" i="7" s="1"/>
  <c r="T19" i="7" a="1"/>
  <c r="T19" i="7" s="1"/>
  <c r="S19" i="7" a="1"/>
  <c r="S19" i="7" s="1"/>
  <c r="R19" i="7"/>
  <c r="R19" i="7" a="1"/>
  <c r="Q19" i="7" a="1"/>
  <c r="Q19" i="7" s="1"/>
  <c r="P19" i="7" a="1"/>
  <c r="P19" i="7" s="1"/>
  <c r="O19" i="7" a="1"/>
  <c r="O19" i="7" s="1"/>
  <c r="N19" i="7" a="1"/>
  <c r="N19" i="7" s="1"/>
  <c r="M19" i="7" a="1"/>
  <c r="M19" i="7" s="1"/>
  <c r="L19" i="7" a="1"/>
  <c r="L19" i="7" s="1"/>
  <c r="K19" i="7" a="1"/>
  <c r="K19" i="7" s="1"/>
  <c r="J19" i="7"/>
  <c r="J19" i="7" a="1"/>
  <c r="I19" i="7" a="1"/>
  <c r="I19" i="7" s="1"/>
  <c r="H19" i="7" a="1"/>
  <c r="H19" i="7" s="1"/>
  <c r="G19" i="7" a="1"/>
  <c r="G19" i="7" s="1"/>
  <c r="F19" i="7" a="1"/>
  <c r="F19" i="7" s="1"/>
  <c r="E19" i="7" a="1"/>
  <c r="E19" i="7" s="1"/>
  <c r="D19" i="7" a="1"/>
  <c r="D19" i="7" s="1"/>
  <c r="C19" i="7" a="1"/>
  <c r="C19" i="7" s="1"/>
  <c r="EF18" i="7" a="1"/>
  <c r="EF18" i="7" s="1"/>
  <c r="EE18" i="7" a="1"/>
  <c r="EE18" i="7" s="1"/>
  <c r="ED18" i="7"/>
  <c r="ED18" i="7" a="1"/>
  <c r="EC18" i="7" a="1"/>
  <c r="EC18" i="7" s="1"/>
  <c r="EB18" i="7" a="1"/>
  <c r="EB18" i="7" s="1"/>
  <c r="EA18" i="7" a="1"/>
  <c r="EA18" i="7" s="1"/>
  <c r="DZ18" i="7" a="1"/>
  <c r="DZ18" i="7" s="1"/>
  <c r="DY18" i="7" a="1"/>
  <c r="DY18" i="7" s="1"/>
  <c r="DX18" i="7"/>
  <c r="DX18" i="7" a="1"/>
  <c r="DW18" i="7" a="1"/>
  <c r="DW18" i="7" s="1"/>
  <c r="DV18" i="7" a="1"/>
  <c r="DV18" i="7" s="1"/>
  <c r="DU18" i="7" a="1"/>
  <c r="DU18" i="7" s="1"/>
  <c r="DT18" i="7"/>
  <c r="DT18" i="7" a="1"/>
  <c r="DS18" i="7" a="1"/>
  <c r="DS18" i="7" s="1"/>
  <c r="DR18" i="7" a="1"/>
  <c r="DR18" i="7" s="1"/>
  <c r="DQ18" i="7" a="1"/>
  <c r="DQ18" i="7" s="1"/>
  <c r="DP18" i="7" a="1"/>
  <c r="DP18" i="7" s="1"/>
  <c r="DO18" i="7" a="1"/>
  <c r="DO18" i="7" s="1"/>
  <c r="DN18" i="7" a="1"/>
  <c r="DN18" i="7" s="1"/>
  <c r="DM18" i="7" a="1"/>
  <c r="DM18" i="7" s="1"/>
  <c r="DL18" i="7" a="1"/>
  <c r="DL18" i="7" s="1"/>
  <c r="DK18" i="7"/>
  <c r="DK18" i="7" a="1"/>
  <c r="DJ18" i="7" a="1"/>
  <c r="DJ18" i="7" s="1"/>
  <c r="DI18" i="7" a="1"/>
  <c r="DI18" i="7" s="1"/>
  <c r="DH18" i="7"/>
  <c r="DH18" i="7" a="1"/>
  <c r="DG18" i="7" a="1"/>
  <c r="DG18" i="7" s="1"/>
  <c r="DF18" i="7"/>
  <c r="DF18" i="7" a="1"/>
  <c r="DE18" i="7" a="1"/>
  <c r="DE18" i="7" s="1"/>
  <c r="DD18" i="7" a="1"/>
  <c r="DD18" i="7" s="1"/>
  <c r="DC18" i="7" a="1"/>
  <c r="DC18" i="7" s="1"/>
  <c r="DB18" i="7" a="1"/>
  <c r="DB18" i="7" s="1"/>
  <c r="DA18" i="7" a="1"/>
  <c r="DA18" i="7" s="1"/>
  <c r="CZ18" i="7" a="1"/>
  <c r="CZ18" i="7" s="1"/>
  <c r="CY18" i="7" a="1"/>
  <c r="CY18" i="7" s="1"/>
  <c r="CX18" i="7" a="1"/>
  <c r="CX18" i="7" s="1"/>
  <c r="CW18" i="7" a="1"/>
  <c r="CW18" i="7" s="1"/>
  <c r="CV18" i="7" a="1"/>
  <c r="CV18" i="7" s="1"/>
  <c r="CU18" i="7" a="1"/>
  <c r="CU18" i="7" s="1"/>
  <c r="CT18" i="7" a="1"/>
  <c r="CT18" i="7" s="1"/>
  <c r="CS18" i="7" a="1"/>
  <c r="CS18" i="7" s="1"/>
  <c r="CR18" i="7" a="1"/>
  <c r="CR18" i="7" s="1"/>
  <c r="CQ18" i="7" a="1"/>
  <c r="CQ18" i="7" s="1"/>
  <c r="CP18" i="7" a="1"/>
  <c r="CP18" i="7" s="1"/>
  <c r="CO18" i="7" a="1"/>
  <c r="CO18" i="7" s="1"/>
  <c r="CN18" i="7" a="1"/>
  <c r="CN18" i="7" s="1"/>
  <c r="CM18" i="7" a="1"/>
  <c r="CM18" i="7" s="1"/>
  <c r="CL18" i="7" a="1"/>
  <c r="CL18" i="7" s="1"/>
  <c r="CK18" i="7" a="1"/>
  <c r="CK18" i="7" s="1"/>
  <c r="CJ18" i="7" a="1"/>
  <c r="CJ18" i="7" s="1"/>
  <c r="CI18" i="7" a="1"/>
  <c r="CI18" i="7" s="1"/>
  <c r="CH18" i="7" a="1"/>
  <c r="CH18" i="7" s="1"/>
  <c r="CG18" i="7" a="1"/>
  <c r="CG18" i="7" s="1"/>
  <c r="CF18" i="7" a="1"/>
  <c r="CF18" i="7" s="1"/>
  <c r="CE18" i="7" a="1"/>
  <c r="CE18" i="7" s="1"/>
  <c r="CD18" i="7" a="1"/>
  <c r="CD18" i="7" s="1"/>
  <c r="CC18" i="7" a="1"/>
  <c r="CC18" i="7" s="1"/>
  <c r="CB18" i="7"/>
  <c r="CB18" i="7" a="1"/>
  <c r="CA18" i="7" a="1"/>
  <c r="CA18" i="7" s="1"/>
  <c r="BZ18" i="7" a="1"/>
  <c r="BZ18" i="7" s="1"/>
  <c r="BY18" i="7"/>
  <c r="BY18" i="7" a="1"/>
  <c r="BX18" i="7" a="1"/>
  <c r="BX18" i="7" s="1"/>
  <c r="BW18" i="7" a="1"/>
  <c r="BW18" i="7" s="1"/>
  <c r="BV18" i="7" a="1"/>
  <c r="BV18" i="7" s="1"/>
  <c r="BU18" i="7" a="1"/>
  <c r="BU18" i="7" s="1"/>
  <c r="BT18" i="7" a="1"/>
  <c r="BT18" i="7" s="1"/>
  <c r="BS18" i="7" a="1"/>
  <c r="BS18" i="7" s="1"/>
  <c r="BR18" i="7"/>
  <c r="BR18" i="7" a="1"/>
  <c r="BQ18" i="7"/>
  <c r="BQ18" i="7" a="1"/>
  <c r="BP18" i="7" a="1"/>
  <c r="BP18" i="7" s="1"/>
  <c r="BO18" i="7"/>
  <c r="BO18" i="7" a="1"/>
  <c r="BN18" i="7" a="1"/>
  <c r="BN18" i="7" s="1"/>
  <c r="BM18" i="7" a="1"/>
  <c r="BM18" i="7" s="1"/>
  <c r="BL18" i="7"/>
  <c r="BL18" i="7" a="1"/>
  <c r="BK18" i="7" a="1"/>
  <c r="BK18" i="7" s="1"/>
  <c r="BJ18" i="7" a="1"/>
  <c r="BJ18" i="7" s="1"/>
  <c r="BI18" i="7" a="1"/>
  <c r="BI18" i="7" s="1"/>
  <c r="BH18" i="7" a="1"/>
  <c r="BH18" i="7" s="1"/>
  <c r="BG18" i="7"/>
  <c r="BG18" i="7" a="1"/>
  <c r="BF18" i="7" a="1"/>
  <c r="BF18" i="7" s="1"/>
  <c r="BE18" i="7" a="1"/>
  <c r="BE18" i="7" s="1"/>
  <c r="BD18" i="7" a="1"/>
  <c r="BD18" i="7" s="1"/>
  <c r="BC18" i="7" a="1"/>
  <c r="BC18" i="7" s="1"/>
  <c r="BB18" i="7" a="1"/>
  <c r="BB18" i="7" s="1"/>
  <c r="BA18" i="7" a="1"/>
  <c r="BA18" i="7" s="1"/>
  <c r="AZ18" i="7" a="1"/>
  <c r="AZ18" i="7" s="1"/>
  <c r="AY18" i="7" a="1"/>
  <c r="AY18" i="7" s="1"/>
  <c r="AX18" i="7"/>
  <c r="AX18" i="7" a="1"/>
  <c r="AW18" i="7" a="1"/>
  <c r="AW18" i="7" s="1"/>
  <c r="AV18" i="7"/>
  <c r="AV18" i="7" a="1"/>
  <c r="AU18" i="7" a="1"/>
  <c r="AU18" i="7" s="1"/>
  <c r="AT18" i="7" a="1"/>
  <c r="AT18" i="7" s="1"/>
  <c r="AS18" i="7" a="1"/>
  <c r="AS18" i="7" s="1"/>
  <c r="AR18" i="7" a="1"/>
  <c r="AR18" i="7" s="1"/>
  <c r="AQ18" i="7" a="1"/>
  <c r="AQ18" i="7" s="1"/>
  <c r="AP18" i="7" a="1"/>
  <c r="AP18" i="7" s="1"/>
  <c r="AO18" i="7" a="1"/>
  <c r="AO18" i="7" s="1"/>
  <c r="AN18" i="7" a="1"/>
  <c r="AN18" i="7" s="1"/>
  <c r="AM18" i="7" a="1"/>
  <c r="AM18" i="7" s="1"/>
  <c r="AL18" i="7" a="1"/>
  <c r="AL18" i="7" s="1"/>
  <c r="AK18" i="7"/>
  <c r="AK18" i="7" a="1"/>
  <c r="AJ18" i="7" a="1"/>
  <c r="AJ18" i="7" s="1"/>
  <c r="AI18" i="7" a="1"/>
  <c r="AI18" i="7" s="1"/>
  <c r="AH18" i="7"/>
  <c r="AH18" i="7" a="1"/>
  <c r="AG18" i="7" a="1"/>
  <c r="AG18" i="7" s="1"/>
  <c r="AF18" i="7" a="1"/>
  <c r="AF18" i="7" s="1"/>
  <c r="AE18" i="7" a="1"/>
  <c r="AE18" i="7" s="1"/>
  <c r="AD18" i="7" a="1"/>
  <c r="AD18" i="7" s="1"/>
  <c r="AC18" i="7" a="1"/>
  <c r="AC18" i="7" s="1"/>
  <c r="AB18" i="7" a="1"/>
  <c r="AB18" i="7" s="1"/>
  <c r="AA18" i="7" a="1"/>
  <c r="AA18" i="7" s="1"/>
  <c r="Z18" i="7" a="1"/>
  <c r="Z18" i="7" s="1"/>
  <c r="Y18" i="7" a="1"/>
  <c r="Y18" i="7" s="1"/>
  <c r="X18" i="7" a="1"/>
  <c r="X18" i="7" s="1"/>
  <c r="W18" i="7" a="1"/>
  <c r="W18" i="7" s="1"/>
  <c r="V18" i="7" a="1"/>
  <c r="V18" i="7" s="1"/>
  <c r="U18" i="7" a="1"/>
  <c r="U18" i="7" s="1"/>
  <c r="T18" i="7" a="1"/>
  <c r="T18" i="7" s="1"/>
  <c r="S18" i="7" a="1"/>
  <c r="S18" i="7" s="1"/>
  <c r="R18" i="7" a="1"/>
  <c r="R18" i="7" s="1"/>
  <c r="Q18" i="7" a="1"/>
  <c r="Q18" i="7" s="1"/>
  <c r="P18" i="7"/>
  <c r="P18" i="7" a="1"/>
  <c r="O18" i="7" a="1"/>
  <c r="O18" i="7" s="1"/>
  <c r="N18" i="7" a="1"/>
  <c r="N18" i="7" s="1"/>
  <c r="M18" i="7" a="1"/>
  <c r="M18" i="7" s="1"/>
  <c r="L18" i="7" a="1"/>
  <c r="L18" i="7" s="1"/>
  <c r="K18" i="7" a="1"/>
  <c r="K18" i="7" s="1"/>
  <c r="J18" i="7" a="1"/>
  <c r="J18" i="7" s="1"/>
  <c r="I18" i="7" a="1"/>
  <c r="I18" i="7" s="1"/>
  <c r="H18" i="7" a="1"/>
  <c r="H18" i="7" s="1"/>
  <c r="G18" i="7" a="1"/>
  <c r="G18" i="7" s="1"/>
  <c r="F18" i="7" a="1"/>
  <c r="F18" i="7" s="1"/>
  <c r="E18" i="7"/>
  <c r="E18" i="7" a="1"/>
  <c r="D18" i="7" a="1"/>
  <c r="D18" i="7" s="1"/>
  <c r="C18" i="7" a="1"/>
  <c r="C18" i="7" s="1"/>
  <c r="EF17" i="7" a="1"/>
  <c r="EF17" i="7" s="1"/>
  <c r="EE17" i="7" a="1"/>
  <c r="EE17" i="7" s="1"/>
  <c r="ED17" i="7"/>
  <c r="ED17" i="7" a="1"/>
  <c r="EC17" i="7" a="1"/>
  <c r="EC17" i="7" s="1"/>
  <c r="EB17" i="7" a="1"/>
  <c r="EB17" i="7" s="1"/>
  <c r="EA17" i="7" a="1"/>
  <c r="EA17" i="7" s="1"/>
  <c r="DZ17" i="7"/>
  <c r="DZ17" i="7" a="1"/>
  <c r="DY17" i="7"/>
  <c r="DY17" i="7" a="1"/>
  <c r="DX17" i="7" a="1"/>
  <c r="DX17" i="7" s="1"/>
  <c r="DW17" i="7" a="1"/>
  <c r="DW17" i="7" s="1"/>
  <c r="DV17" i="7" a="1"/>
  <c r="DV17" i="7" s="1"/>
  <c r="DU17" i="7" a="1"/>
  <c r="DU17" i="7" s="1"/>
  <c r="DT17" i="7" a="1"/>
  <c r="DT17" i="7" s="1"/>
  <c r="DS17" i="7" a="1"/>
  <c r="DS17" i="7" s="1"/>
  <c r="DR17" i="7" a="1"/>
  <c r="DR17" i="7" s="1"/>
  <c r="DQ17" i="7" a="1"/>
  <c r="DQ17" i="7" s="1"/>
  <c r="DP17" i="7" a="1"/>
  <c r="DP17" i="7" s="1"/>
  <c r="DO17" i="7" a="1"/>
  <c r="DO17" i="7" s="1"/>
  <c r="DN17" i="7"/>
  <c r="DN17" i="7" a="1"/>
  <c r="DM17" i="7" a="1"/>
  <c r="DM17" i="7" s="1"/>
  <c r="DL17" i="7" a="1"/>
  <c r="DL17" i="7" s="1"/>
  <c r="DK17" i="7" a="1"/>
  <c r="DK17" i="7" s="1"/>
  <c r="DJ17" i="7" a="1"/>
  <c r="DJ17" i="7" s="1"/>
  <c r="DI17" i="7" a="1"/>
  <c r="DI17" i="7" s="1"/>
  <c r="DH17" i="7" a="1"/>
  <c r="DH17" i="7" s="1"/>
  <c r="DG17" i="7" a="1"/>
  <c r="DG17" i="7" s="1"/>
  <c r="DF17" i="7" a="1"/>
  <c r="DF17" i="7" s="1"/>
  <c r="DE17" i="7" a="1"/>
  <c r="DE17" i="7" s="1"/>
  <c r="DD17" i="7" a="1"/>
  <c r="DD17" i="7" s="1"/>
  <c r="DC17" i="7"/>
  <c r="DC17" i="7" a="1"/>
  <c r="DB17" i="7" a="1"/>
  <c r="DB17" i="7" s="1"/>
  <c r="DA17" i="7" a="1"/>
  <c r="DA17" i="7" s="1"/>
  <c r="CZ17" i="7" a="1"/>
  <c r="CZ17" i="7" s="1"/>
  <c r="CY17" i="7" a="1"/>
  <c r="CY17" i="7" s="1"/>
  <c r="CX17" i="7" a="1"/>
  <c r="CX17" i="7" s="1"/>
  <c r="CW17" i="7" a="1"/>
  <c r="CW17" i="7" s="1"/>
  <c r="CV17" i="7" a="1"/>
  <c r="CV17" i="7" s="1"/>
  <c r="CU17" i="7" a="1"/>
  <c r="CU17" i="7" s="1"/>
  <c r="CT17" i="7"/>
  <c r="CT17" i="7" a="1"/>
  <c r="CS17" i="7" a="1"/>
  <c r="CS17" i="7" s="1"/>
  <c r="CR17" i="7" a="1"/>
  <c r="CR17" i="7" s="1"/>
  <c r="CQ17" i="7" a="1"/>
  <c r="CQ17" i="7" s="1"/>
  <c r="CP17" i="7" a="1"/>
  <c r="CP17" i="7" s="1"/>
  <c r="CO17" i="7" a="1"/>
  <c r="CO17" i="7" s="1"/>
  <c r="CN17" i="7"/>
  <c r="CN17" i="7" a="1"/>
  <c r="CM17" i="7" a="1"/>
  <c r="CM17" i="7" s="1"/>
  <c r="CL17" i="7" a="1"/>
  <c r="CL17" i="7" s="1"/>
  <c r="CK17" i="7" a="1"/>
  <c r="CK17" i="7" s="1"/>
  <c r="CJ17" i="7" a="1"/>
  <c r="CJ17" i="7" s="1"/>
  <c r="CI17" i="7" a="1"/>
  <c r="CI17" i="7" s="1"/>
  <c r="CH17" i="7" a="1"/>
  <c r="CH17" i="7" s="1"/>
  <c r="CG17" i="7" a="1"/>
  <c r="CG17" i="7" s="1"/>
  <c r="CF17" i="7"/>
  <c r="CF17" i="7" a="1"/>
  <c r="CE17" i="7" a="1"/>
  <c r="CE17" i="7" s="1"/>
  <c r="CD17" i="7"/>
  <c r="CD17" i="7" a="1"/>
  <c r="CC17" i="7" a="1"/>
  <c r="CC17" i="7" s="1"/>
  <c r="CB17" i="7" a="1"/>
  <c r="CB17" i="7" s="1"/>
  <c r="CA17" i="7" a="1"/>
  <c r="CA17" i="7" s="1"/>
  <c r="BZ17" i="7" a="1"/>
  <c r="BZ17" i="7" s="1"/>
  <c r="BY17" i="7" a="1"/>
  <c r="BY17" i="7" s="1"/>
  <c r="BX17" i="7"/>
  <c r="BX17" i="7" a="1"/>
  <c r="BW17" i="7" a="1"/>
  <c r="BW17" i="7" s="1"/>
  <c r="BV17" i="7"/>
  <c r="BV17" i="7" a="1"/>
  <c r="BU17" i="7" a="1"/>
  <c r="BU17" i="7" s="1"/>
  <c r="BT17" i="7" a="1"/>
  <c r="BT17" i="7" s="1"/>
  <c r="BS17" i="7" a="1"/>
  <c r="BS17" i="7" s="1"/>
  <c r="BR17" i="7"/>
  <c r="BR17" i="7" a="1"/>
  <c r="BQ17" i="7" a="1"/>
  <c r="BQ17" i="7" s="1"/>
  <c r="BP17" i="7" a="1"/>
  <c r="BP17" i="7" s="1"/>
  <c r="BO17" i="7" a="1"/>
  <c r="BO17" i="7" s="1"/>
  <c r="BN17" i="7" a="1"/>
  <c r="BN17" i="7" s="1"/>
  <c r="BM17" i="7"/>
  <c r="BM17" i="7" a="1"/>
  <c r="BL17" i="7"/>
  <c r="BL17" i="7" a="1"/>
  <c r="BK17" i="7" a="1"/>
  <c r="BK17" i="7" s="1"/>
  <c r="BJ17" i="7" a="1"/>
  <c r="BJ17" i="7" s="1"/>
  <c r="BI17" i="7" a="1"/>
  <c r="BI17" i="7" s="1"/>
  <c r="BH17" i="7" a="1"/>
  <c r="BH17" i="7" s="1"/>
  <c r="BG17" i="7" a="1"/>
  <c r="BG17" i="7" s="1"/>
  <c r="BF17" i="7" a="1"/>
  <c r="BF17" i="7" s="1"/>
  <c r="BE17" i="7" a="1"/>
  <c r="BE17" i="7" s="1"/>
  <c r="BD17" i="7" a="1"/>
  <c r="BD17" i="7" s="1"/>
  <c r="BC17" i="7" a="1"/>
  <c r="BC17" i="7" s="1"/>
  <c r="BB17" i="7"/>
  <c r="BB17" i="7" a="1"/>
  <c r="BA17" i="7" a="1"/>
  <c r="BA17" i="7" s="1"/>
  <c r="AZ17" i="7" a="1"/>
  <c r="AZ17" i="7" s="1"/>
  <c r="AY17" i="7" a="1"/>
  <c r="AY17" i="7" s="1"/>
  <c r="AX17" i="7" a="1"/>
  <c r="AX17" i="7" s="1"/>
  <c r="AW17" i="7" a="1"/>
  <c r="AW17" i="7" s="1"/>
  <c r="AV17" i="7" a="1"/>
  <c r="AV17" i="7" s="1"/>
  <c r="AU17" i="7" a="1"/>
  <c r="AU17" i="7" s="1"/>
  <c r="AT17" i="7" a="1"/>
  <c r="AT17" i="7" s="1"/>
  <c r="AS17" i="7" a="1"/>
  <c r="AS17" i="7" s="1"/>
  <c r="AR17" i="7" a="1"/>
  <c r="AR17" i="7" s="1"/>
  <c r="AQ17" i="7" a="1"/>
  <c r="AQ17" i="7" s="1"/>
  <c r="AP17" i="7" a="1"/>
  <c r="AP17" i="7" s="1"/>
  <c r="AO17" i="7" a="1"/>
  <c r="AO17" i="7" s="1"/>
  <c r="AN17" i="7" a="1"/>
  <c r="AN17" i="7" s="1"/>
  <c r="AM17" i="7" a="1"/>
  <c r="AM17" i="7" s="1"/>
  <c r="AL17" i="7" a="1"/>
  <c r="AL17" i="7" s="1"/>
  <c r="AK17" i="7" a="1"/>
  <c r="AK17" i="7" s="1"/>
  <c r="AJ17" i="7" a="1"/>
  <c r="AJ17" i="7" s="1"/>
  <c r="AI17" i="7" a="1"/>
  <c r="AI17" i="7" s="1"/>
  <c r="AH17" i="7" a="1"/>
  <c r="AH17" i="7" s="1"/>
  <c r="AG17" i="7" a="1"/>
  <c r="AG17" i="7" s="1"/>
  <c r="AF17" i="7" a="1"/>
  <c r="AF17" i="7" s="1"/>
  <c r="AE17" i="7" a="1"/>
  <c r="AE17" i="7" s="1"/>
  <c r="AD17" i="7"/>
  <c r="AD17" i="7" a="1"/>
  <c r="AC17" i="7" a="1"/>
  <c r="AC17" i="7" s="1"/>
  <c r="AB17" i="7" a="1"/>
  <c r="AB17" i="7" s="1"/>
  <c r="AA17" i="7" a="1"/>
  <c r="AA17" i="7" s="1"/>
  <c r="Z17" i="7" a="1"/>
  <c r="Z17" i="7" s="1"/>
  <c r="Y17" i="7" a="1"/>
  <c r="Y17" i="7" s="1"/>
  <c r="X17" i="7" a="1"/>
  <c r="X17" i="7" s="1"/>
  <c r="W17" i="7" a="1"/>
  <c r="W17" i="7" s="1"/>
  <c r="V17" i="7"/>
  <c r="V17" i="7" a="1"/>
  <c r="U17" i="7" a="1"/>
  <c r="U17" i="7" s="1"/>
  <c r="T17" i="7"/>
  <c r="T17" i="7" a="1"/>
  <c r="S17" i="7" a="1"/>
  <c r="S17" i="7" s="1"/>
  <c r="R17" i="7" a="1"/>
  <c r="R17" i="7" s="1"/>
  <c r="Q17" i="7" a="1"/>
  <c r="Q17" i="7" s="1"/>
  <c r="P17" i="7" a="1"/>
  <c r="P17" i="7" s="1"/>
  <c r="O17" i="7" a="1"/>
  <c r="O17" i="7" s="1"/>
  <c r="N17" i="7" a="1"/>
  <c r="N17" i="7" s="1"/>
  <c r="M17" i="7" a="1"/>
  <c r="M17" i="7" s="1"/>
  <c r="L17" i="7" a="1"/>
  <c r="L17" i="7" s="1"/>
  <c r="K17" i="7" a="1"/>
  <c r="K17" i="7" s="1"/>
  <c r="J17" i="7"/>
  <c r="J17" i="7" a="1"/>
  <c r="I17" i="7" a="1"/>
  <c r="I17" i="7" s="1"/>
  <c r="H17" i="7" a="1"/>
  <c r="H17" i="7" s="1"/>
  <c r="G17" i="7" a="1"/>
  <c r="G17" i="7" s="1"/>
  <c r="F17" i="7"/>
  <c r="F17" i="7" a="1"/>
  <c r="E17" i="7" a="1"/>
  <c r="E17" i="7" s="1"/>
  <c r="D17" i="7" a="1"/>
  <c r="D17" i="7" s="1"/>
  <c r="C17" i="7" a="1"/>
  <c r="C17" i="7" s="1"/>
  <c r="EF16" i="7" a="1"/>
  <c r="EF16" i="7" s="1"/>
  <c r="EE16" i="7" a="1"/>
  <c r="EE16" i="7" s="1"/>
  <c r="ED16" i="7"/>
  <c r="ED16" i="7" a="1"/>
  <c r="EC16" i="7" a="1"/>
  <c r="EC16" i="7" s="1"/>
  <c r="EB16" i="7" a="1"/>
  <c r="EB16" i="7" s="1"/>
  <c r="EA16" i="7" a="1"/>
  <c r="EA16" i="7" s="1"/>
  <c r="DZ16" i="7" a="1"/>
  <c r="DZ16" i="7" s="1"/>
  <c r="DY16" i="7" a="1"/>
  <c r="DY16" i="7" s="1"/>
  <c r="DX16" i="7" a="1"/>
  <c r="DX16" i="7" s="1"/>
  <c r="DW16" i="7" a="1"/>
  <c r="DW16" i="7" s="1"/>
  <c r="DV16" i="7" a="1"/>
  <c r="DV16" i="7" s="1"/>
  <c r="DU16" i="7" a="1"/>
  <c r="DU16" i="7" s="1"/>
  <c r="DT16" i="7"/>
  <c r="DT16" i="7" a="1"/>
  <c r="DS16" i="7" a="1"/>
  <c r="DS16" i="7" s="1"/>
  <c r="DR16" i="7"/>
  <c r="DR16" i="7" a="1"/>
  <c r="DQ16" i="7" a="1"/>
  <c r="DQ16" i="7" s="1"/>
  <c r="DP16" i="7" a="1"/>
  <c r="DP16" i="7" s="1"/>
  <c r="DO16" i="7"/>
  <c r="DO16" i="7" a="1"/>
  <c r="DN16" i="7" a="1"/>
  <c r="DN16" i="7" s="1"/>
  <c r="DM16" i="7" a="1"/>
  <c r="DM16" i="7" s="1"/>
  <c r="DL16" i="7" a="1"/>
  <c r="DL16" i="7" s="1"/>
  <c r="DK16" i="7"/>
  <c r="DK16" i="7" a="1"/>
  <c r="DJ16" i="7" a="1"/>
  <c r="DJ16" i="7" s="1"/>
  <c r="DI16" i="7"/>
  <c r="DI16" i="7" a="1"/>
  <c r="DH16" i="7" a="1"/>
  <c r="DH16" i="7" s="1"/>
  <c r="DG16" i="7" a="1"/>
  <c r="DG16" i="7" s="1"/>
  <c r="DF16" i="7" a="1"/>
  <c r="DF16" i="7" s="1"/>
  <c r="DE16" i="7" a="1"/>
  <c r="DE16" i="7" s="1"/>
  <c r="DD16" i="7" a="1"/>
  <c r="DD16" i="7" s="1"/>
  <c r="DC16" i="7"/>
  <c r="DC16" i="7" a="1"/>
  <c r="DB16" i="7" a="1"/>
  <c r="DB16" i="7" s="1"/>
  <c r="DA16" i="7"/>
  <c r="DA16" i="7" a="1"/>
  <c r="CZ16" i="7" a="1"/>
  <c r="CZ16" i="7" s="1"/>
  <c r="CY16" i="7"/>
  <c r="CY16" i="7" a="1"/>
  <c r="CX16" i="7" a="1"/>
  <c r="CX16" i="7" s="1"/>
  <c r="CW16" i="7" a="1"/>
  <c r="CW16" i="7" s="1"/>
  <c r="CV16" i="7" a="1"/>
  <c r="CV16" i="7" s="1"/>
  <c r="CU16" i="7"/>
  <c r="CU16" i="7" a="1"/>
  <c r="CT16" i="7" a="1"/>
  <c r="CT16" i="7" s="1"/>
  <c r="CS16" i="7"/>
  <c r="CS16" i="7" a="1"/>
  <c r="CR16" i="7" a="1"/>
  <c r="CR16" i="7" s="1"/>
  <c r="CQ16" i="7" a="1"/>
  <c r="CQ16" i="7" s="1"/>
  <c r="CP16" i="7"/>
  <c r="CP16" i="7" a="1"/>
  <c r="CO16" i="7" a="1"/>
  <c r="CO16" i="7" s="1"/>
  <c r="CN16" i="7" a="1"/>
  <c r="CN16" i="7" s="1"/>
  <c r="CM16" i="7"/>
  <c r="CM16" i="7" a="1"/>
  <c r="CL16" i="7" a="1"/>
  <c r="CL16" i="7" s="1"/>
  <c r="CK16" i="7"/>
  <c r="CK16" i="7" a="1"/>
  <c r="CJ16" i="7" a="1"/>
  <c r="CJ16" i="7" s="1"/>
  <c r="CI16" i="7" a="1"/>
  <c r="CI16" i="7" s="1"/>
  <c r="CH16" i="7" a="1"/>
  <c r="CH16" i="7" s="1"/>
  <c r="CG16" i="7"/>
  <c r="CG16" i="7" a="1"/>
  <c r="CF16" i="7" a="1"/>
  <c r="CF16" i="7" s="1"/>
  <c r="CE16" i="7"/>
  <c r="CE16" i="7" a="1"/>
  <c r="CD16" i="7" a="1"/>
  <c r="CD16" i="7" s="1"/>
  <c r="CC16" i="7"/>
  <c r="CC16" i="7" a="1"/>
  <c r="CB16" i="7" a="1"/>
  <c r="CB16" i="7" s="1"/>
  <c r="CA16" i="7" a="1"/>
  <c r="CA16" i="7" s="1"/>
  <c r="BZ16" i="7" a="1"/>
  <c r="BZ16" i="7" s="1"/>
  <c r="BY16" i="7"/>
  <c r="BY16" i="7" a="1"/>
  <c r="BX16" i="7"/>
  <c r="BX16" i="7" a="1"/>
  <c r="BW16" i="7"/>
  <c r="BW16" i="7" a="1"/>
  <c r="BV16" i="7" a="1"/>
  <c r="BV16" i="7" s="1"/>
  <c r="BU16" i="7"/>
  <c r="BU16" i="7" a="1"/>
  <c r="BT16" i="7" a="1"/>
  <c r="BT16" i="7" s="1"/>
  <c r="BS16" i="7" a="1"/>
  <c r="BS16" i="7" s="1"/>
  <c r="BR16" i="7" a="1"/>
  <c r="BR16" i="7" s="1"/>
  <c r="BQ16" i="7" a="1"/>
  <c r="BQ16" i="7" s="1"/>
  <c r="BP16" i="7"/>
  <c r="BP16" i="7" a="1"/>
  <c r="BO16" i="7"/>
  <c r="BO16" i="7" a="1"/>
  <c r="BN16" i="7" a="1"/>
  <c r="BN16" i="7" s="1"/>
  <c r="BM16" i="7"/>
  <c r="BM16" i="7" a="1"/>
  <c r="BL16" i="7" a="1"/>
  <c r="BL16" i="7" s="1"/>
  <c r="BK16" i="7" a="1"/>
  <c r="BK16" i="7" s="1"/>
  <c r="BJ16" i="7" a="1"/>
  <c r="BJ16" i="7" s="1"/>
  <c r="BI16" i="7" a="1"/>
  <c r="BI16" i="7" s="1"/>
  <c r="BH16" i="7" a="1"/>
  <c r="BH16" i="7" s="1"/>
  <c r="BG16" i="7"/>
  <c r="BG16" i="7" a="1"/>
  <c r="BF16" i="7" a="1"/>
  <c r="BF16" i="7" s="1"/>
  <c r="BE16" i="7"/>
  <c r="BE16" i="7" a="1"/>
  <c r="BD16" i="7" a="1"/>
  <c r="BD16" i="7" s="1"/>
  <c r="BC16" i="7" a="1"/>
  <c r="BC16" i="7" s="1"/>
  <c r="BB16" i="7" a="1"/>
  <c r="BB16" i="7" s="1"/>
  <c r="BA16" i="7" a="1"/>
  <c r="BA16" i="7" s="1"/>
  <c r="AZ16" i="7" a="1"/>
  <c r="AZ16" i="7" s="1"/>
  <c r="AY16" i="7"/>
  <c r="AY16" i="7" a="1"/>
  <c r="AX16" i="7" a="1"/>
  <c r="AX16" i="7" s="1"/>
  <c r="AW16" i="7"/>
  <c r="AW16" i="7" a="1"/>
  <c r="AV16" i="7" a="1"/>
  <c r="AV16" i="7" s="1"/>
  <c r="AU16" i="7" a="1"/>
  <c r="AU16" i="7" s="1"/>
  <c r="AT16" i="7" a="1"/>
  <c r="AT16" i="7" s="1"/>
  <c r="AS16" i="7" a="1"/>
  <c r="AS16" i="7" s="1"/>
  <c r="AR16" i="7" a="1"/>
  <c r="AR16" i="7" s="1"/>
  <c r="AQ16" i="7"/>
  <c r="AQ16" i="7" a="1"/>
  <c r="AP16" i="7" a="1"/>
  <c r="AP16" i="7" s="1"/>
  <c r="AO16" i="7"/>
  <c r="AO16" i="7" a="1"/>
  <c r="AN16" i="7" a="1"/>
  <c r="AN16" i="7" s="1"/>
  <c r="AM16" i="7"/>
  <c r="AM16" i="7" a="1"/>
  <c r="AL16" i="7" a="1"/>
  <c r="AL16" i="7" s="1"/>
  <c r="AK16" i="7" a="1"/>
  <c r="AK16" i="7" s="1"/>
  <c r="AJ16" i="7" a="1"/>
  <c r="AJ16" i="7" s="1"/>
  <c r="AI16" i="7"/>
  <c r="AI16" i="7" a="1"/>
  <c r="AH16" i="7" a="1"/>
  <c r="AH16" i="7" s="1"/>
  <c r="AG16" i="7"/>
  <c r="AG16" i="7" a="1"/>
  <c r="AF16" i="7" a="1"/>
  <c r="AF16" i="7" s="1"/>
  <c r="AE16" i="7"/>
  <c r="AE16" i="7" a="1"/>
  <c r="AD16" i="7"/>
  <c r="AD16" i="7" a="1"/>
  <c r="AC16" i="7" a="1"/>
  <c r="AC16" i="7" s="1"/>
  <c r="AB16" i="7" a="1"/>
  <c r="AB16" i="7" s="1"/>
  <c r="AA16" i="7"/>
  <c r="AA16" i="7" a="1"/>
  <c r="Z16" i="7" a="1"/>
  <c r="Z16" i="7" s="1"/>
  <c r="Y16" i="7"/>
  <c r="Y16" i="7" a="1"/>
  <c r="X16" i="7" a="1"/>
  <c r="X16" i="7" s="1"/>
  <c r="W16" i="7" a="1"/>
  <c r="W16" i="7" s="1"/>
  <c r="V16" i="7" a="1"/>
  <c r="V16" i="7" s="1"/>
  <c r="U16" i="7"/>
  <c r="U16" i="7" a="1"/>
  <c r="T16" i="7" a="1"/>
  <c r="T16" i="7" s="1"/>
  <c r="S16" i="7"/>
  <c r="S16" i="7" a="1"/>
  <c r="R16" i="7" a="1"/>
  <c r="R16" i="7" s="1"/>
  <c r="Q16" i="7"/>
  <c r="Q16" i="7" a="1"/>
  <c r="P16" i="7" a="1"/>
  <c r="P16" i="7" s="1"/>
  <c r="O16" i="7" a="1"/>
  <c r="O16" i="7" s="1"/>
  <c r="N16" i="7" a="1"/>
  <c r="N16" i="7" s="1"/>
  <c r="M16" i="7" a="1"/>
  <c r="M16" i="7" s="1"/>
  <c r="L16" i="7"/>
  <c r="L16" i="7" a="1"/>
  <c r="K16" i="7"/>
  <c r="K16" i="7" a="1"/>
  <c r="J16" i="7" a="1"/>
  <c r="J16" i="7" s="1"/>
  <c r="I16" i="7"/>
  <c r="I16" i="7" a="1"/>
  <c r="H16" i="7" a="1"/>
  <c r="H16" i="7" s="1"/>
  <c r="G16" i="7" a="1"/>
  <c r="G16" i="7" s="1"/>
  <c r="F16" i="7" a="1"/>
  <c r="F16" i="7" s="1"/>
  <c r="E16" i="7" a="1"/>
  <c r="E16" i="7" s="1"/>
  <c r="D16" i="7" a="1"/>
  <c r="D16" i="7" s="1"/>
  <c r="C16" i="7"/>
  <c r="C16" i="7" a="1"/>
  <c r="EF15" i="7" a="1"/>
  <c r="EF15" i="7" s="1"/>
  <c r="EE15" i="7"/>
  <c r="EE15" i="7" a="1"/>
  <c r="ED15" i="7" a="1"/>
  <c r="ED15" i="7" s="1"/>
  <c r="EC15" i="7" a="1"/>
  <c r="EC15" i="7" s="1"/>
  <c r="EB15" i="7" a="1"/>
  <c r="EB15" i="7" s="1"/>
  <c r="EA15" i="7" a="1"/>
  <c r="EA15" i="7" s="1"/>
  <c r="DZ15" i="7" a="1"/>
  <c r="DZ15" i="7" s="1"/>
  <c r="DY15" i="7"/>
  <c r="DY15" i="7" a="1"/>
  <c r="DX15" i="7" a="1"/>
  <c r="DX15" i="7" s="1"/>
  <c r="DW15" i="7"/>
  <c r="DW15" i="7" a="1"/>
  <c r="DV15" i="7" a="1"/>
  <c r="DV15" i="7" s="1"/>
  <c r="DU15" i="7" a="1"/>
  <c r="DU15" i="7" s="1"/>
  <c r="DT15" i="7" a="1"/>
  <c r="DT15" i="7" s="1"/>
  <c r="DS15" i="7" a="1"/>
  <c r="DS15" i="7" s="1"/>
  <c r="DR15" i="7" a="1"/>
  <c r="DR15" i="7" s="1"/>
  <c r="DQ15" i="7"/>
  <c r="DQ15" i="7" a="1"/>
  <c r="DP15" i="7" a="1"/>
  <c r="DP15" i="7" s="1"/>
  <c r="DO15" i="7"/>
  <c r="DO15" i="7" a="1"/>
  <c r="DN15" i="7" a="1"/>
  <c r="DN15" i="7" s="1"/>
  <c r="DM15" i="7" a="1"/>
  <c r="DM15" i="7" s="1"/>
  <c r="DL15" i="7" a="1"/>
  <c r="DL15" i="7" s="1"/>
  <c r="DK15" i="7" a="1"/>
  <c r="DK15" i="7" s="1"/>
  <c r="DJ15" i="7" a="1"/>
  <c r="DJ15" i="7" s="1"/>
  <c r="DI15" i="7"/>
  <c r="DI15" i="7" a="1"/>
  <c r="DH15" i="7" a="1"/>
  <c r="DH15" i="7" s="1"/>
  <c r="DG15" i="7"/>
  <c r="DG15" i="7" a="1"/>
  <c r="DF15" i="7" a="1"/>
  <c r="DF15" i="7" s="1"/>
  <c r="DE15" i="7"/>
  <c r="DE15" i="7" a="1"/>
  <c r="DD15" i="7" a="1"/>
  <c r="DD15" i="7" s="1"/>
  <c r="DC15" i="7" a="1"/>
  <c r="DC15" i="7" s="1"/>
  <c r="DB15" i="7" a="1"/>
  <c r="DB15" i="7" s="1"/>
  <c r="DA15" i="7"/>
  <c r="DA15" i="7" a="1"/>
  <c r="CZ15" i="7" a="1"/>
  <c r="CZ15" i="7" s="1"/>
  <c r="CY15" i="7"/>
  <c r="CY15" i="7" a="1"/>
  <c r="CX15" i="7" a="1"/>
  <c r="CX15" i="7" s="1"/>
  <c r="CW15" i="7"/>
  <c r="CW15" i="7" a="1"/>
  <c r="CV15" i="7"/>
  <c r="CV15" i="7" a="1"/>
  <c r="CU15" i="7" a="1"/>
  <c r="CU15" i="7" s="1"/>
  <c r="CT15" i="7" a="1"/>
  <c r="CT15" i="7" s="1"/>
  <c r="CS15" i="7"/>
  <c r="CS15" i="7" a="1"/>
  <c r="CR15" i="7" a="1"/>
  <c r="CR15" i="7" s="1"/>
  <c r="CQ15" i="7"/>
  <c r="CQ15" i="7" a="1"/>
  <c r="CP15" i="7" a="1"/>
  <c r="CP15" i="7" s="1"/>
  <c r="CO15" i="7" a="1"/>
  <c r="CO15" i="7" s="1"/>
  <c r="CN15" i="7" a="1"/>
  <c r="CN15" i="7" s="1"/>
  <c r="CM15" i="7"/>
  <c r="CM15" i="7" a="1"/>
  <c r="CL15" i="7" a="1"/>
  <c r="CL15" i="7" s="1"/>
  <c r="CK15" i="7"/>
  <c r="CK15" i="7" a="1"/>
  <c r="CJ15" i="7" a="1"/>
  <c r="CJ15" i="7" s="1"/>
  <c r="CI15" i="7"/>
  <c r="CI15" i="7" a="1"/>
  <c r="CH15" i="7" a="1"/>
  <c r="CH15" i="7" s="1"/>
  <c r="CG15" i="7" a="1"/>
  <c r="CG15" i="7" s="1"/>
  <c r="CF15" i="7" a="1"/>
  <c r="CF15" i="7" s="1"/>
  <c r="CE15" i="7" a="1"/>
  <c r="CE15" i="7" s="1"/>
  <c r="CD15" i="7"/>
  <c r="CD15" i="7" a="1"/>
  <c r="CC15" i="7"/>
  <c r="CC15" i="7" a="1"/>
  <c r="CB15" i="7" a="1"/>
  <c r="CB15" i="7" s="1"/>
  <c r="CA15" i="7"/>
  <c r="CA15" i="7" a="1"/>
  <c r="BZ15" i="7" a="1"/>
  <c r="BZ15" i="7" s="1"/>
  <c r="BY15" i="7" a="1"/>
  <c r="BY15" i="7" s="1"/>
  <c r="BX15" i="7" a="1"/>
  <c r="BX15" i="7" s="1"/>
  <c r="BW15" i="7"/>
  <c r="BW15" i="7" a="1"/>
  <c r="BV15" i="7" a="1"/>
  <c r="BV15" i="7" s="1"/>
  <c r="BU15" i="7"/>
  <c r="BU15" i="7" a="1"/>
  <c r="BT15" i="7" a="1"/>
  <c r="BT15" i="7" s="1"/>
  <c r="BS15" i="7"/>
  <c r="BS15" i="7" a="1"/>
  <c r="BR15" i="7" a="1"/>
  <c r="BR15" i="7" s="1"/>
  <c r="BQ15" i="7" a="1"/>
  <c r="BQ15" i="7" s="1"/>
  <c r="BP15" i="7" a="1"/>
  <c r="BP15" i="7" s="1"/>
  <c r="BO15" i="7" a="1"/>
  <c r="BO15" i="7" s="1"/>
  <c r="BN15" i="7"/>
  <c r="BN15" i="7" a="1"/>
  <c r="BM15" i="7"/>
  <c r="BM15" i="7" a="1"/>
  <c r="BL15" i="7" a="1"/>
  <c r="BL15" i="7" s="1"/>
  <c r="BK15" i="7"/>
  <c r="BK15" i="7" a="1"/>
  <c r="BJ15" i="7" a="1"/>
  <c r="BJ15" i="7" s="1"/>
  <c r="BI15" i="7" a="1"/>
  <c r="BI15" i="7" s="1"/>
  <c r="BH15" i="7" a="1"/>
  <c r="BH15" i="7" s="1"/>
  <c r="BG15" i="7" a="1"/>
  <c r="BG15" i="7" s="1"/>
  <c r="BF15" i="7" a="1"/>
  <c r="BF15" i="7" s="1"/>
  <c r="BE15" i="7"/>
  <c r="BE15" i="7" a="1"/>
  <c r="BD15" i="7" a="1"/>
  <c r="BD15" i="7" s="1"/>
  <c r="BC15" i="7"/>
  <c r="BC15" i="7" a="1"/>
  <c r="BB15" i="7" a="1"/>
  <c r="BB15" i="7" s="1"/>
  <c r="BA15" i="7" a="1"/>
  <c r="BA15" i="7" s="1"/>
  <c r="AZ15" i="7" a="1"/>
  <c r="AZ15" i="7" s="1"/>
  <c r="AY15" i="7" a="1"/>
  <c r="AY15" i="7" s="1"/>
  <c r="AX15" i="7" a="1"/>
  <c r="AX15" i="7" s="1"/>
  <c r="AW15" i="7"/>
  <c r="AW15" i="7" a="1"/>
  <c r="AV15" i="7" a="1"/>
  <c r="AV15" i="7" s="1"/>
  <c r="AU15" i="7"/>
  <c r="AU15" i="7" a="1"/>
  <c r="AT15" i="7" a="1"/>
  <c r="AT15" i="7" s="1"/>
  <c r="AS15" i="7"/>
  <c r="AS15" i="7" a="1"/>
  <c r="AR15" i="7" a="1"/>
  <c r="AR15" i="7" s="1"/>
  <c r="AQ15" i="7" a="1"/>
  <c r="AQ15" i="7" s="1"/>
  <c r="AP15" i="7" a="1"/>
  <c r="AP15" i="7" s="1"/>
  <c r="AO15" i="7" a="1"/>
  <c r="AO15" i="7" s="1"/>
  <c r="AN15" i="7" a="1"/>
  <c r="AN15" i="7" s="1"/>
  <c r="AM15" i="7"/>
  <c r="AM15" i="7" a="1"/>
  <c r="AL15" i="7" a="1"/>
  <c r="AL15" i="7" s="1"/>
  <c r="AK15" i="7" a="1"/>
  <c r="AK15" i="7" s="1"/>
  <c r="AJ15" i="7"/>
  <c r="AJ15" i="7" a="1"/>
  <c r="AI15" i="7" a="1"/>
  <c r="AI15" i="7" s="1"/>
  <c r="AH15" i="7" a="1"/>
  <c r="AH15" i="7" s="1"/>
  <c r="AG15" i="7" a="1"/>
  <c r="AG15" i="7" s="1"/>
  <c r="AF15" i="7" a="1"/>
  <c r="AF15" i="7" s="1"/>
  <c r="AE15" i="7"/>
  <c r="AE15" i="7" a="1"/>
  <c r="AD15" i="7" a="1"/>
  <c r="AD15" i="7" s="1"/>
  <c r="AC15" i="7"/>
  <c r="AC15" i="7" a="1"/>
  <c r="AB15" i="7"/>
  <c r="AB15" i="7" a="1"/>
  <c r="AA15" i="7"/>
  <c r="AA15" i="7" a="1"/>
  <c r="Z15" i="7" a="1"/>
  <c r="Z15" i="7" s="1"/>
  <c r="Y15" i="7" a="1"/>
  <c r="Y15" i="7" s="1"/>
  <c r="X15" i="7" a="1"/>
  <c r="X15" i="7" s="1"/>
  <c r="W15" i="7"/>
  <c r="W15" i="7" a="1"/>
  <c r="V15" i="7" a="1"/>
  <c r="V15" i="7" s="1"/>
  <c r="U15" i="7" a="1"/>
  <c r="U15" i="7" s="1"/>
  <c r="T15" i="7" a="1"/>
  <c r="T15" i="7" s="1"/>
  <c r="S15" i="7"/>
  <c r="S15" i="7" a="1"/>
  <c r="R15" i="7"/>
  <c r="R15" i="7" a="1"/>
  <c r="Q15" i="7" a="1"/>
  <c r="Q15" i="7" s="1"/>
  <c r="P15" i="7" a="1"/>
  <c r="P15" i="7" s="1"/>
  <c r="O15" i="7"/>
  <c r="O15" i="7" a="1"/>
  <c r="N15" i="7" a="1"/>
  <c r="N15" i="7" s="1"/>
  <c r="M15" i="7" a="1"/>
  <c r="M15" i="7" s="1"/>
  <c r="L15" i="7" a="1"/>
  <c r="L15" i="7" s="1"/>
  <c r="K15" i="7"/>
  <c r="K15" i="7" a="1"/>
  <c r="J15" i="7" a="1"/>
  <c r="J15" i="7" s="1"/>
  <c r="I15" i="7"/>
  <c r="I15" i="7" a="1"/>
  <c r="H15" i="7" a="1"/>
  <c r="H15" i="7" s="1"/>
  <c r="G15" i="7"/>
  <c r="G15" i="7" a="1"/>
  <c r="F15" i="7" a="1"/>
  <c r="F15" i="7" s="1"/>
  <c r="E15" i="7" a="1"/>
  <c r="E15" i="7" s="1"/>
  <c r="D15" i="7" a="1"/>
  <c r="D15" i="7" s="1"/>
  <c r="C15" i="7" a="1"/>
  <c r="C15" i="7" s="1"/>
  <c r="EF14" i="7" a="1"/>
  <c r="EF14" i="7" s="1"/>
  <c r="EE14" i="7" a="1"/>
  <c r="EE14" i="7" s="1"/>
  <c r="ED14" i="7" a="1"/>
  <c r="ED14" i="7" s="1"/>
  <c r="EC14" i="7"/>
  <c r="EC14" i="7" a="1"/>
  <c r="EB14" i="7" a="1"/>
  <c r="EB14" i="7" s="1"/>
  <c r="EA14" i="7" a="1"/>
  <c r="EA14" i="7" s="1"/>
  <c r="DZ14" i="7" a="1"/>
  <c r="DZ14" i="7" s="1"/>
  <c r="DY14" i="7" a="1"/>
  <c r="DY14" i="7" s="1"/>
  <c r="DX14" i="7" a="1"/>
  <c r="DX14" i="7" s="1"/>
  <c r="DW14" i="7" a="1"/>
  <c r="DW14" i="7" s="1"/>
  <c r="DV14" i="7" a="1"/>
  <c r="DV14" i="7" s="1"/>
  <c r="DU14" i="7"/>
  <c r="DU14" i="7" a="1"/>
  <c r="DT14" i="7" a="1"/>
  <c r="DT14" i="7" s="1"/>
  <c r="DS14" i="7" a="1"/>
  <c r="DS14" i="7" s="1"/>
  <c r="DR14" i="7" a="1"/>
  <c r="DR14" i="7" s="1"/>
  <c r="DQ14" i="7" a="1"/>
  <c r="DQ14" i="7" s="1"/>
  <c r="DP14" i="7" a="1"/>
  <c r="DP14" i="7" s="1"/>
  <c r="DO14" i="7" a="1"/>
  <c r="DO14" i="7" s="1"/>
  <c r="DN14" i="7" a="1"/>
  <c r="DN14" i="7" s="1"/>
  <c r="DM14" i="7"/>
  <c r="DM14" i="7" a="1"/>
  <c r="DL14" i="7" a="1"/>
  <c r="DL14" i="7" s="1"/>
  <c r="DK14" i="7"/>
  <c r="DK14" i="7" a="1"/>
  <c r="DJ14" i="7" a="1"/>
  <c r="DJ14" i="7" s="1"/>
  <c r="DI14" i="7" a="1"/>
  <c r="DI14" i="7" s="1"/>
  <c r="DH14" i="7" a="1"/>
  <c r="DH14" i="7" s="1"/>
  <c r="DG14" i="7" a="1"/>
  <c r="DG14" i="7" s="1"/>
  <c r="DF14" i="7" a="1"/>
  <c r="DF14" i="7" s="1"/>
  <c r="DE14" i="7"/>
  <c r="DE14" i="7" a="1"/>
  <c r="DD14" i="7" a="1"/>
  <c r="DD14" i="7" s="1"/>
  <c r="DC14" i="7" a="1"/>
  <c r="DC14" i="7" s="1"/>
  <c r="DB14" i="7"/>
  <c r="DB14" i="7" a="1"/>
  <c r="DA14" i="7" a="1"/>
  <c r="DA14" i="7" s="1"/>
  <c r="CZ14" i="7" a="1"/>
  <c r="CZ14" i="7" s="1"/>
  <c r="CY14" i="7" a="1"/>
  <c r="CY14" i="7" s="1"/>
  <c r="CX14" i="7" a="1"/>
  <c r="CX14" i="7" s="1"/>
  <c r="CW14" i="7"/>
  <c r="CW14" i="7" a="1"/>
  <c r="CV14" i="7" a="1"/>
  <c r="CV14" i="7" s="1"/>
  <c r="CU14" i="7" a="1"/>
  <c r="CU14" i="7" s="1"/>
  <c r="CT14" i="7" a="1"/>
  <c r="CT14" i="7" s="1"/>
  <c r="CS14" i="7"/>
  <c r="CS14" i="7" a="1"/>
  <c r="CR14" i="7" a="1"/>
  <c r="CR14" i="7" s="1"/>
  <c r="CQ14" i="7" a="1"/>
  <c r="CQ14" i="7" s="1"/>
  <c r="CP14" i="7" a="1"/>
  <c r="CP14" i="7" s="1"/>
  <c r="CO14" i="7"/>
  <c r="CO14" i="7" a="1"/>
  <c r="CN14" i="7" a="1"/>
  <c r="CN14" i="7" s="1"/>
  <c r="CM14" i="7" a="1"/>
  <c r="CM14" i="7" s="1"/>
  <c r="CL14" i="7" a="1"/>
  <c r="CL14" i="7" s="1"/>
  <c r="CK14" i="7" a="1"/>
  <c r="CK14" i="7" s="1"/>
  <c r="CJ14" i="7"/>
  <c r="CJ14" i="7" a="1"/>
  <c r="CI14" i="7" a="1"/>
  <c r="CI14" i="7" s="1"/>
  <c r="CH14" i="7" a="1"/>
  <c r="CH14" i="7" s="1"/>
  <c r="CG14" i="7"/>
  <c r="CG14" i="7" a="1"/>
  <c r="CF14" i="7" a="1"/>
  <c r="CF14" i="7" s="1"/>
  <c r="CE14" i="7" a="1"/>
  <c r="CE14" i="7" s="1"/>
  <c r="CD14" i="7" a="1"/>
  <c r="CD14" i="7" s="1"/>
  <c r="CC14" i="7" a="1"/>
  <c r="CC14" i="7" s="1"/>
  <c r="CB14" i="7" a="1"/>
  <c r="CB14" i="7" s="1"/>
  <c r="CA14" i="7"/>
  <c r="CA14" i="7" a="1"/>
  <c r="BZ14" i="7" a="1"/>
  <c r="BZ14" i="7" s="1"/>
  <c r="BY14" i="7"/>
  <c r="BY14" i="7" a="1"/>
  <c r="BX14" i="7" a="1"/>
  <c r="BX14" i="7" s="1"/>
  <c r="BW14" i="7" a="1"/>
  <c r="BW14" i="7" s="1"/>
  <c r="BV14" i="7" a="1"/>
  <c r="BV14" i="7" s="1"/>
  <c r="BU14" i="7" a="1"/>
  <c r="BU14" i="7" s="1"/>
  <c r="BT14" i="7" a="1"/>
  <c r="BT14" i="7" s="1"/>
  <c r="BS14" i="7"/>
  <c r="BS14" i="7" a="1"/>
  <c r="BR14" i="7" a="1"/>
  <c r="BR14" i="7" s="1"/>
  <c r="BQ14" i="7"/>
  <c r="BQ14" i="7" a="1"/>
  <c r="BP14" i="7" a="1"/>
  <c r="BP14" i="7" s="1"/>
  <c r="BO14" i="7" a="1"/>
  <c r="BO14" i="7" s="1"/>
  <c r="BN14" i="7" a="1"/>
  <c r="BN14" i="7" s="1"/>
  <c r="BM14" i="7" a="1"/>
  <c r="BM14" i="7" s="1"/>
  <c r="BL14" i="7" a="1"/>
  <c r="BL14" i="7" s="1"/>
  <c r="BK14" i="7"/>
  <c r="BK14" i="7" a="1"/>
  <c r="BJ14" i="7" a="1"/>
  <c r="BJ14" i="7" s="1"/>
  <c r="BI14" i="7"/>
  <c r="BI14" i="7" a="1"/>
  <c r="BH14" i="7" a="1"/>
  <c r="BH14" i="7" s="1"/>
  <c r="BG14" i="7" a="1"/>
  <c r="BG14" i="7" s="1"/>
  <c r="BF14" i="7" a="1"/>
  <c r="BF14" i="7" s="1"/>
  <c r="BE14" i="7" a="1"/>
  <c r="BE14" i="7" s="1"/>
  <c r="BD14" i="7" a="1"/>
  <c r="BD14" i="7" s="1"/>
  <c r="BC14" i="7" a="1"/>
  <c r="BC14" i="7" s="1"/>
  <c r="BB14" i="7" a="1"/>
  <c r="BB14" i="7" s="1"/>
  <c r="BA14" i="7"/>
  <c r="BA14" i="7" a="1"/>
  <c r="AZ14" i="7" a="1"/>
  <c r="AZ14" i="7" s="1"/>
  <c r="AY14" i="7"/>
  <c r="AY14" i="7" a="1"/>
  <c r="AX14" i="7" a="1"/>
  <c r="AX14" i="7" s="1"/>
  <c r="AW14" i="7" a="1"/>
  <c r="AW14" i="7" s="1"/>
  <c r="AV14" i="7" a="1"/>
  <c r="AV14" i="7" s="1"/>
  <c r="AU14" i="7" a="1"/>
  <c r="AU14" i="7" s="1"/>
  <c r="AT14" i="7" a="1"/>
  <c r="AT14" i="7" s="1"/>
  <c r="AS14" i="7"/>
  <c r="AS14" i="7" a="1"/>
  <c r="AR14" i="7" a="1"/>
  <c r="AR14" i="7" s="1"/>
  <c r="AQ14" i="7" a="1"/>
  <c r="AQ14" i="7" s="1"/>
  <c r="AP14" i="7"/>
  <c r="AP14" i="7" a="1"/>
  <c r="AO14" i="7" a="1"/>
  <c r="AO14" i="7" s="1"/>
  <c r="AN14" i="7" a="1"/>
  <c r="AN14" i="7" s="1"/>
  <c r="AM14" i="7" a="1"/>
  <c r="AM14" i="7" s="1"/>
  <c r="AL14" i="7" a="1"/>
  <c r="AL14" i="7" s="1"/>
  <c r="AK14" i="7"/>
  <c r="AK14" i="7" a="1"/>
  <c r="AJ14" i="7" a="1"/>
  <c r="AJ14" i="7" s="1"/>
  <c r="AI14" i="7" a="1"/>
  <c r="AI14" i="7" s="1"/>
  <c r="AH14" i="7"/>
  <c r="AH14" i="7" a="1"/>
  <c r="AG14" i="7"/>
  <c r="AG14" i="7" a="1"/>
  <c r="AF14" i="7" a="1"/>
  <c r="AF14" i="7" s="1"/>
  <c r="AE14" i="7" a="1"/>
  <c r="AE14" i="7" s="1"/>
  <c r="AD14" i="7" a="1"/>
  <c r="AD14" i="7" s="1"/>
  <c r="AC14" i="7"/>
  <c r="AC14" i="7" a="1"/>
  <c r="AB14" i="7" a="1"/>
  <c r="AB14" i="7" s="1"/>
  <c r="AA14" i="7" a="1"/>
  <c r="AA14" i="7" s="1"/>
  <c r="Z14" i="7"/>
  <c r="Z14" i="7" a="1"/>
  <c r="Y14" i="7" a="1"/>
  <c r="Y14" i="7" s="1"/>
  <c r="X14" i="7"/>
  <c r="X14" i="7" a="1"/>
  <c r="W14" i="7" a="1"/>
  <c r="W14" i="7" s="1"/>
  <c r="V14" i="7" a="1"/>
  <c r="V14" i="7" s="1"/>
  <c r="U14" i="7"/>
  <c r="U14" i="7" a="1"/>
  <c r="T14" i="7" a="1"/>
  <c r="T14" i="7" s="1"/>
  <c r="S14" i="7" a="1"/>
  <c r="S14" i="7" s="1"/>
  <c r="R14" i="7" a="1"/>
  <c r="R14" i="7" s="1"/>
  <c r="Q14" i="7" a="1"/>
  <c r="Q14" i="7" s="1"/>
  <c r="P14" i="7"/>
  <c r="P14" i="7" a="1"/>
  <c r="O14" i="7"/>
  <c r="O14" i="7" a="1"/>
  <c r="N14" i="7" a="1"/>
  <c r="N14" i="7" s="1"/>
  <c r="M14" i="7"/>
  <c r="M14" i="7" a="1"/>
  <c r="L14" i="7" a="1"/>
  <c r="L14" i="7" s="1"/>
  <c r="K14" i="7" a="1"/>
  <c r="K14" i="7" s="1"/>
  <c r="J14" i="7" a="1"/>
  <c r="J14" i="7" s="1"/>
  <c r="I14" i="7" a="1"/>
  <c r="I14" i="7" s="1"/>
  <c r="H14" i="7" a="1"/>
  <c r="H14" i="7" s="1"/>
  <c r="G14" i="7" a="1"/>
  <c r="G14" i="7" s="1"/>
  <c r="F14" i="7" a="1"/>
  <c r="F14" i="7" s="1"/>
  <c r="E14" i="7"/>
  <c r="E14" i="7" a="1"/>
  <c r="D14" i="7" a="1"/>
  <c r="D14" i="7" s="1"/>
  <c r="C14" i="7" a="1"/>
  <c r="C14" i="7" s="1"/>
  <c r="EF13" i="7" a="1"/>
  <c r="EF13" i="7" s="1"/>
  <c r="EE13" i="7" a="1"/>
  <c r="EE13" i="7" s="1"/>
  <c r="ED13" i="7" a="1"/>
  <c r="ED13" i="7" s="1"/>
  <c r="EC13" i="7" a="1"/>
  <c r="EC13" i="7" s="1"/>
  <c r="EB13" i="7" a="1"/>
  <c r="EB13" i="7" s="1"/>
  <c r="EA13" i="7"/>
  <c r="EA13" i="7" a="1"/>
  <c r="DZ13" i="7" a="1"/>
  <c r="DZ13" i="7" s="1"/>
  <c r="DY13" i="7" a="1"/>
  <c r="DY13" i="7" s="1"/>
  <c r="DX13" i="7" a="1"/>
  <c r="DX13" i="7" s="1"/>
  <c r="DW13" i="7" a="1"/>
  <c r="DW13" i="7" s="1"/>
  <c r="DV13" i="7" a="1"/>
  <c r="DV13" i="7" s="1"/>
  <c r="DU13" i="7" a="1"/>
  <c r="DU13" i="7" s="1"/>
  <c r="DT13" i="7" a="1"/>
  <c r="DT13" i="7" s="1"/>
  <c r="DS13" i="7"/>
  <c r="DS13" i="7" a="1"/>
  <c r="DR13" i="7" a="1"/>
  <c r="DR13" i="7" s="1"/>
  <c r="DQ13" i="7"/>
  <c r="DQ13" i="7" a="1"/>
  <c r="DP13" i="7" a="1"/>
  <c r="DP13" i="7" s="1"/>
  <c r="DO13" i="7" a="1"/>
  <c r="DO13" i="7" s="1"/>
  <c r="DN13" i="7" a="1"/>
  <c r="DN13" i="7" s="1"/>
  <c r="DM13" i="7" a="1"/>
  <c r="DM13" i="7" s="1"/>
  <c r="DL13" i="7" a="1"/>
  <c r="DL13" i="7" s="1"/>
  <c r="DK13" i="7"/>
  <c r="DK13" i="7" a="1"/>
  <c r="DJ13" i="7" a="1"/>
  <c r="DJ13" i="7" s="1"/>
  <c r="DI13" i="7"/>
  <c r="DI13" i="7" a="1"/>
  <c r="DH13" i="7"/>
  <c r="DH13" i="7" a="1"/>
  <c r="DG13" i="7" a="1"/>
  <c r="DG13" i="7" s="1"/>
  <c r="DF13" i="7" a="1"/>
  <c r="DF13" i="7" s="1"/>
  <c r="DE13" i="7" a="1"/>
  <c r="DE13" i="7" s="1"/>
  <c r="DD13" i="7" a="1"/>
  <c r="DD13" i="7" s="1"/>
  <c r="DC13" i="7"/>
  <c r="DC13" i="7" a="1"/>
  <c r="DB13" i="7" a="1"/>
  <c r="DB13" i="7" s="1"/>
  <c r="DA13" i="7" a="1"/>
  <c r="DA13" i="7" s="1"/>
  <c r="CZ13" i="7" a="1"/>
  <c r="CZ13" i="7" s="1"/>
  <c r="CY13" i="7"/>
  <c r="CY13" i="7" a="1"/>
  <c r="CX13" i="7" a="1"/>
  <c r="CX13" i="7" s="1"/>
  <c r="CW13" i="7" a="1"/>
  <c r="CW13" i="7" s="1"/>
  <c r="CV13" i="7" a="1"/>
  <c r="CV13" i="7" s="1"/>
  <c r="CU13" i="7"/>
  <c r="CU13" i="7" a="1"/>
  <c r="CT13" i="7" a="1"/>
  <c r="CT13" i="7" s="1"/>
  <c r="CS13" i="7" a="1"/>
  <c r="CS13" i="7" s="1"/>
  <c r="CR13" i="7"/>
  <c r="CR13" i="7" a="1"/>
  <c r="CQ13" i="7" a="1"/>
  <c r="CQ13" i="7" s="1"/>
  <c r="CP13" i="7"/>
  <c r="CP13" i="7" a="1"/>
  <c r="CO13" i="7" a="1"/>
  <c r="CO13" i="7" s="1"/>
  <c r="CN13" i="7" a="1"/>
  <c r="CN13" i="7" s="1"/>
  <c r="CM13" i="7"/>
  <c r="CM13" i="7" a="1"/>
  <c r="CL13" i="7" a="1"/>
  <c r="CL13" i="7" s="1"/>
  <c r="CK13" i="7" a="1"/>
  <c r="CK13" i="7" s="1"/>
  <c r="CJ13" i="7" a="1"/>
  <c r="CJ13" i="7" s="1"/>
  <c r="CI13" i="7"/>
  <c r="CI13" i="7" a="1"/>
  <c r="CH13" i="7" a="1"/>
  <c r="CH13" i="7" s="1"/>
  <c r="CG13" i="7"/>
  <c r="CG13" i="7" a="1"/>
  <c r="CF13" i="7" a="1"/>
  <c r="CF13" i="7" s="1"/>
  <c r="CE13" i="7"/>
  <c r="CE13" i="7" a="1"/>
  <c r="CD13" i="7" a="1"/>
  <c r="CD13" i="7" s="1"/>
  <c r="CC13" i="7" a="1"/>
  <c r="CC13" i="7" s="1"/>
  <c r="CB13" i="7" a="1"/>
  <c r="CB13" i="7" s="1"/>
  <c r="CA13" i="7" a="1"/>
  <c r="CA13" i="7" s="1"/>
  <c r="BZ13" i="7" a="1"/>
  <c r="BZ13" i="7" s="1"/>
  <c r="BY13" i="7" a="1"/>
  <c r="BY13" i="7" s="1"/>
  <c r="BX13" i="7" a="1"/>
  <c r="BX13" i="7" s="1"/>
  <c r="BW13" i="7"/>
  <c r="BW13" i="7" a="1"/>
  <c r="BV13" i="7" a="1"/>
  <c r="BV13" i="7" s="1"/>
  <c r="BU13" i="7" a="1"/>
  <c r="BU13" i="7" s="1"/>
  <c r="BT13" i="7" a="1"/>
  <c r="BT13" i="7" s="1"/>
  <c r="BS13" i="7" a="1"/>
  <c r="BS13" i="7" s="1"/>
  <c r="BR13" i="7" a="1"/>
  <c r="BR13" i="7" s="1"/>
  <c r="BQ13" i="7" a="1"/>
  <c r="BQ13" i="7" s="1"/>
  <c r="BP13" i="7" a="1"/>
  <c r="BP13" i="7" s="1"/>
  <c r="BO13" i="7"/>
  <c r="BO13" i="7" a="1"/>
  <c r="BN13" i="7" a="1"/>
  <c r="BN13" i="7" s="1"/>
  <c r="BM13" i="7" a="1"/>
  <c r="BM13" i="7" s="1"/>
  <c r="BL13" i="7" a="1"/>
  <c r="BL13" i="7" s="1"/>
  <c r="BK13" i="7" a="1"/>
  <c r="BK13" i="7" s="1"/>
  <c r="BJ13" i="7" a="1"/>
  <c r="BJ13" i="7" s="1"/>
  <c r="BI13" i="7" a="1"/>
  <c r="BI13" i="7" s="1"/>
  <c r="BH13" i="7" a="1"/>
  <c r="BH13" i="7" s="1"/>
  <c r="BG13" i="7"/>
  <c r="BG13" i="7" a="1"/>
  <c r="BF13" i="7" a="1"/>
  <c r="BF13" i="7" s="1"/>
  <c r="BE13" i="7"/>
  <c r="BE13" i="7" a="1"/>
  <c r="BD13" i="7" a="1"/>
  <c r="BD13" i="7" s="1"/>
  <c r="BC13" i="7" a="1"/>
  <c r="BC13" i="7" s="1"/>
  <c r="BB13" i="7" a="1"/>
  <c r="BB13" i="7" s="1"/>
  <c r="BA13" i="7" a="1"/>
  <c r="BA13" i="7" s="1"/>
  <c r="AZ13" i="7" a="1"/>
  <c r="AZ13" i="7" s="1"/>
  <c r="AY13" i="7"/>
  <c r="AY13" i="7" a="1"/>
  <c r="AX13" i="7" a="1"/>
  <c r="AX13" i="7" s="1"/>
  <c r="AW13" i="7" a="1"/>
  <c r="AW13" i="7" s="1"/>
  <c r="AV13" i="7"/>
  <c r="AV13" i="7" a="1"/>
  <c r="AU13" i="7" a="1"/>
  <c r="AU13" i="7" s="1"/>
  <c r="AT13" i="7" a="1"/>
  <c r="AT13" i="7" s="1"/>
  <c r="AS13" i="7" a="1"/>
  <c r="AS13" i="7" s="1"/>
  <c r="AR13" i="7" a="1"/>
  <c r="AR13" i="7" s="1"/>
  <c r="AQ13" i="7"/>
  <c r="AQ13" i="7" a="1"/>
  <c r="AP13" i="7" a="1"/>
  <c r="AP13" i="7" s="1"/>
  <c r="AO13" i="7" a="1"/>
  <c r="AO13" i="7" s="1"/>
  <c r="AN13" i="7" a="1"/>
  <c r="AN13" i="7" s="1"/>
  <c r="AM13" i="7"/>
  <c r="AM13" i="7" a="1"/>
  <c r="AL13" i="7" a="1"/>
  <c r="AL13" i="7" s="1"/>
  <c r="AK13" i="7" a="1"/>
  <c r="AK13" i="7" s="1"/>
  <c r="AJ13" i="7" a="1"/>
  <c r="AJ13" i="7" s="1"/>
  <c r="AI13" i="7"/>
  <c r="AI13" i="7" a="1"/>
  <c r="AH13" i="7" a="1"/>
  <c r="AH13" i="7" s="1"/>
  <c r="AG13" i="7" a="1"/>
  <c r="AG13" i="7" s="1"/>
  <c r="AF13" i="7" a="1"/>
  <c r="AF13" i="7" s="1"/>
  <c r="AE13" i="7"/>
  <c r="AE13" i="7" a="1"/>
  <c r="AD13" i="7"/>
  <c r="AD13" i="7" a="1"/>
  <c r="AC13" i="7" a="1"/>
  <c r="AC13" i="7" s="1"/>
  <c r="AB13" i="7" a="1"/>
  <c r="AB13" i="7" s="1"/>
  <c r="AA13" i="7"/>
  <c r="AA13" i="7" a="1"/>
  <c r="Z13" i="7" a="1"/>
  <c r="Z13" i="7" s="1"/>
  <c r="Y13" i="7" a="1"/>
  <c r="Y13" i="7" s="1"/>
  <c r="X13" i="7" a="1"/>
  <c r="X13" i="7" s="1"/>
  <c r="W13" i="7" a="1"/>
  <c r="W13" i="7" s="1"/>
  <c r="V13" i="7" a="1"/>
  <c r="V13" i="7" s="1"/>
  <c r="U13" i="7"/>
  <c r="U13" i="7" a="1"/>
  <c r="T13" i="7" a="1"/>
  <c r="T13" i="7" s="1"/>
  <c r="S13" i="7"/>
  <c r="S13" i="7" a="1"/>
  <c r="R13" i="7" a="1"/>
  <c r="R13" i="7" s="1"/>
  <c r="Q13" i="7" a="1"/>
  <c r="Q13" i="7" s="1"/>
  <c r="P13" i="7" a="1"/>
  <c r="P13" i="7" s="1"/>
  <c r="O13" i="7" a="1"/>
  <c r="O13" i="7" s="1"/>
  <c r="N13" i="7" a="1"/>
  <c r="N13" i="7" s="1"/>
  <c r="M13" i="7" a="1"/>
  <c r="M13" i="7" s="1"/>
  <c r="L13" i="7" a="1"/>
  <c r="L13" i="7" s="1"/>
  <c r="K13" i="7"/>
  <c r="K13" i="7" a="1"/>
  <c r="J13" i="7" a="1"/>
  <c r="J13" i="7" s="1"/>
  <c r="I13" i="7" a="1"/>
  <c r="I13" i="7" s="1"/>
  <c r="H13" i="7" a="1"/>
  <c r="H13" i="7" s="1"/>
  <c r="G13" i="7" a="1"/>
  <c r="G13" i="7" s="1"/>
  <c r="F13" i="7" a="1"/>
  <c r="F13" i="7" s="1"/>
  <c r="E13" i="7"/>
  <c r="E13" i="7" a="1"/>
  <c r="D13" i="7" a="1"/>
  <c r="D13" i="7" s="1"/>
  <c r="C13" i="7"/>
  <c r="C13" i="7" a="1"/>
  <c r="EF12" i="7" a="1"/>
  <c r="EF12" i="7" s="1"/>
  <c r="EE12" i="7" a="1"/>
  <c r="EE12" i="7" s="1"/>
  <c r="ED12" i="7"/>
  <c r="ED12" i="7" a="1"/>
  <c r="EC12" i="7" a="1"/>
  <c r="EC12" i="7" s="1"/>
  <c r="EB12" i="7" a="1"/>
  <c r="EB12" i="7" s="1"/>
  <c r="EA12" i="7" a="1"/>
  <c r="EA12" i="7" s="1"/>
  <c r="DZ12" i="7" a="1"/>
  <c r="DZ12" i="7" s="1"/>
  <c r="DY12" i="7"/>
  <c r="DY12" i="7" a="1"/>
  <c r="DX12" i="7" a="1"/>
  <c r="DX12" i="7" s="1"/>
  <c r="DW12" i="7" a="1"/>
  <c r="DW12" i="7" s="1"/>
  <c r="DV12" i="7" a="1"/>
  <c r="DV12" i="7" s="1"/>
  <c r="DU12" i="7" a="1"/>
  <c r="DU12" i="7" s="1"/>
  <c r="DT12" i="7" a="1"/>
  <c r="DT12" i="7" s="1"/>
  <c r="DS12" i="7" a="1"/>
  <c r="DS12" i="7" s="1"/>
  <c r="DR12" i="7" a="1"/>
  <c r="DR12" i="7" s="1"/>
  <c r="DQ12" i="7"/>
  <c r="DQ12" i="7" a="1"/>
  <c r="DP12" i="7" a="1"/>
  <c r="DP12" i="7" s="1"/>
  <c r="DO12" i="7"/>
  <c r="DO12" i="7" a="1"/>
  <c r="DN12" i="7" a="1"/>
  <c r="DN12" i="7" s="1"/>
  <c r="DM12" i="7"/>
  <c r="DM12" i="7" a="1"/>
  <c r="DL12" i="7" a="1"/>
  <c r="DL12" i="7" s="1"/>
  <c r="DK12" i="7" a="1"/>
  <c r="DK12" i="7" s="1"/>
  <c r="DJ12" i="7" a="1"/>
  <c r="DJ12" i="7" s="1"/>
  <c r="DI12" i="7"/>
  <c r="DI12" i="7" a="1"/>
  <c r="DH12" i="7" a="1"/>
  <c r="DH12" i="7" s="1"/>
  <c r="DG12" i="7"/>
  <c r="DG12" i="7" a="1"/>
  <c r="DF12" i="7" a="1"/>
  <c r="DF12" i="7" s="1"/>
  <c r="DE12" i="7" a="1"/>
  <c r="DE12" i="7" s="1"/>
  <c r="DD12" i="7" a="1"/>
  <c r="DD12" i="7" s="1"/>
  <c r="DC12" i="7" a="1"/>
  <c r="DC12" i="7" s="1"/>
  <c r="DB12" i="7" a="1"/>
  <c r="DB12" i="7" s="1"/>
  <c r="DA12" i="7"/>
  <c r="DA12" i="7" a="1"/>
  <c r="CZ12" i="7" a="1"/>
  <c r="CZ12" i="7" s="1"/>
  <c r="CY12" i="7"/>
  <c r="CY12" i="7" a="1"/>
  <c r="CX12" i="7"/>
  <c r="CX12" i="7" a="1"/>
  <c r="CW12" i="7" a="1"/>
  <c r="CW12" i="7" s="1"/>
  <c r="CV12" i="7"/>
  <c r="CV12" i="7" a="1"/>
  <c r="CU12" i="7" a="1"/>
  <c r="CU12" i="7" s="1"/>
  <c r="CT12" i="7" a="1"/>
  <c r="CT12" i="7" s="1"/>
  <c r="CS12" i="7"/>
  <c r="CS12" i="7" a="1"/>
  <c r="CR12" i="7" a="1"/>
  <c r="CR12" i="7" s="1"/>
  <c r="CQ12" i="7" a="1"/>
  <c r="CQ12" i="7" s="1"/>
  <c r="CP12" i="7"/>
  <c r="CP12" i="7" a="1"/>
  <c r="CO12" i="7" a="1"/>
  <c r="CO12" i="7" s="1"/>
  <c r="CN12" i="7" a="1"/>
  <c r="CN12" i="7" s="1"/>
  <c r="CM12" i="7" a="1"/>
  <c r="CM12" i="7" s="1"/>
  <c r="CL12" i="7" a="1"/>
  <c r="CL12" i="7" s="1"/>
  <c r="CK12" i="7" a="1"/>
  <c r="CK12" i="7" s="1"/>
  <c r="CJ12" i="7" a="1"/>
  <c r="CJ12" i="7" s="1"/>
  <c r="CI12" i="7" a="1"/>
  <c r="CI12" i="7" s="1"/>
  <c r="CH12" i="7" a="1"/>
  <c r="CH12" i="7" s="1"/>
  <c r="CG12" i="7"/>
  <c r="CG12" i="7" a="1"/>
  <c r="CF12" i="7" a="1"/>
  <c r="CF12" i="7" s="1"/>
  <c r="CE12" i="7"/>
  <c r="CE12" i="7" a="1"/>
  <c r="CD12" i="7" a="1"/>
  <c r="CD12" i="7" s="1"/>
  <c r="CC12" i="7" a="1"/>
  <c r="CC12" i="7" s="1"/>
  <c r="CB12" i="7" a="1"/>
  <c r="CB12" i="7" s="1"/>
  <c r="CA12" i="7"/>
  <c r="CA12" i="7" a="1"/>
  <c r="BZ12" i="7" a="1"/>
  <c r="BZ12" i="7" s="1"/>
  <c r="BY12" i="7"/>
  <c r="BY12" i="7" a="1"/>
  <c r="BX12" i="7" a="1"/>
  <c r="BX12" i="7" s="1"/>
  <c r="BW12" i="7" a="1"/>
  <c r="BW12" i="7" s="1"/>
  <c r="BV12" i="7" a="1"/>
  <c r="BV12" i="7" s="1"/>
  <c r="BU12" i="7" a="1"/>
  <c r="BU12" i="7" s="1"/>
  <c r="BT12" i="7" a="1"/>
  <c r="BT12" i="7" s="1"/>
  <c r="BS12" i="7" a="1"/>
  <c r="BS12" i="7" s="1"/>
  <c r="BR12" i="7" a="1"/>
  <c r="BR12" i="7" s="1"/>
  <c r="BQ12" i="7"/>
  <c r="BQ12" i="7" a="1"/>
  <c r="BP12" i="7"/>
  <c r="BP12" i="7" a="1"/>
  <c r="BO12" i="7" a="1"/>
  <c r="BO12" i="7" s="1"/>
  <c r="BN12" i="7"/>
  <c r="BN12" i="7" a="1"/>
  <c r="BM12" i="7" a="1"/>
  <c r="BM12" i="7" s="1"/>
  <c r="BL12" i="7" a="1"/>
  <c r="BL12" i="7" s="1"/>
  <c r="BK12" i="7" a="1"/>
  <c r="BK12" i="7" s="1"/>
  <c r="BJ12" i="7"/>
  <c r="BJ12" i="7" a="1"/>
  <c r="BI12" i="7" a="1"/>
  <c r="BI12" i="7" s="1"/>
  <c r="BH12" i="7"/>
  <c r="BH12" i="7" a="1"/>
  <c r="BG12" i="7" a="1"/>
  <c r="BG12" i="7" s="1"/>
  <c r="BF12" i="7" a="1"/>
  <c r="BF12" i="7" s="1"/>
  <c r="BE12" i="7" a="1"/>
  <c r="BE12" i="7" s="1"/>
  <c r="BD12" i="7" a="1"/>
  <c r="BD12" i="7" s="1"/>
  <c r="BC12" i="7" a="1"/>
  <c r="BC12" i="7" s="1"/>
  <c r="BB12" i="7" a="1"/>
  <c r="BB12" i="7" s="1"/>
  <c r="BA12" i="7" a="1"/>
  <c r="BA12" i="7" s="1"/>
  <c r="AZ12" i="7" a="1"/>
  <c r="AZ12" i="7" s="1"/>
  <c r="AY12" i="7"/>
  <c r="AY12" i="7" a="1"/>
  <c r="AX12" i="7" a="1"/>
  <c r="AX12" i="7" s="1"/>
  <c r="AW12" i="7"/>
  <c r="AW12" i="7" a="1"/>
  <c r="AV12" i="7" a="1"/>
  <c r="AV12" i="7" s="1"/>
  <c r="AU12" i="7" a="1"/>
  <c r="AU12" i="7" s="1"/>
  <c r="AT12" i="7" a="1"/>
  <c r="AT12" i="7" s="1"/>
  <c r="AS12" i="7"/>
  <c r="AS12" i="7" a="1"/>
  <c r="AR12" i="7" a="1"/>
  <c r="AR12" i="7" s="1"/>
  <c r="AQ12" i="7"/>
  <c r="AQ12" i="7" a="1"/>
  <c r="AP12" i="7" a="1"/>
  <c r="AP12" i="7" s="1"/>
  <c r="AO12" i="7" a="1"/>
  <c r="AO12" i="7" s="1"/>
  <c r="AN12" i="7" a="1"/>
  <c r="AN12" i="7" s="1"/>
  <c r="AM12" i="7" a="1"/>
  <c r="AM12" i="7" s="1"/>
  <c r="AL12" i="7" a="1"/>
  <c r="AL12" i="7" s="1"/>
  <c r="AK12" i="7" a="1"/>
  <c r="AK12" i="7" s="1"/>
  <c r="AJ12" i="7" a="1"/>
  <c r="AJ12" i="7" s="1"/>
  <c r="AI12" i="7"/>
  <c r="AI12" i="7" a="1"/>
  <c r="AH12" i="7"/>
  <c r="AH12" i="7" a="1"/>
  <c r="AG12" i="7" a="1"/>
  <c r="AG12" i="7" s="1"/>
  <c r="AF12" i="7" a="1"/>
  <c r="AF12" i="7" s="1"/>
  <c r="AE12" i="7" a="1"/>
  <c r="AE12" i="7" s="1"/>
  <c r="AD12" i="7" a="1"/>
  <c r="AD12" i="7" s="1"/>
  <c r="AC12" i="7" a="1"/>
  <c r="AC12" i="7" s="1"/>
  <c r="AB12" i="7" a="1"/>
  <c r="AB12" i="7" s="1"/>
  <c r="AA12" i="7"/>
  <c r="AA12" i="7" a="1"/>
  <c r="Z12" i="7"/>
  <c r="Z12" i="7" a="1"/>
  <c r="Y12" i="7" a="1"/>
  <c r="Y12" i="7" s="1"/>
  <c r="X12" i="7" a="1"/>
  <c r="X12" i="7" s="1"/>
  <c r="W12" i="7"/>
  <c r="W12" i="7" a="1"/>
  <c r="V12" i="7" a="1"/>
  <c r="V12" i="7" s="1"/>
  <c r="U12" i="7" a="1"/>
  <c r="U12" i="7" s="1"/>
  <c r="T12" i="7" a="1"/>
  <c r="T12" i="7" s="1"/>
  <c r="S12" i="7" a="1"/>
  <c r="S12" i="7" s="1"/>
  <c r="R12" i="7" a="1"/>
  <c r="R12" i="7" s="1"/>
  <c r="Q12" i="7"/>
  <c r="Q12" i="7" a="1"/>
  <c r="P12" i="7" a="1"/>
  <c r="P12" i="7" s="1"/>
  <c r="O12" i="7" a="1"/>
  <c r="O12" i="7" s="1"/>
  <c r="N12" i="7" a="1"/>
  <c r="N12" i="7" s="1"/>
  <c r="M12" i="7" a="1"/>
  <c r="M12" i="7" s="1"/>
  <c r="L12" i="7" a="1"/>
  <c r="L12" i="7" s="1"/>
  <c r="K12" i="7" a="1"/>
  <c r="K12" i="7" s="1"/>
  <c r="J12" i="7" a="1"/>
  <c r="J12" i="7" s="1"/>
  <c r="I12" i="7"/>
  <c r="I12" i="7" a="1"/>
  <c r="H12" i="7" a="1"/>
  <c r="H12" i="7" s="1"/>
  <c r="G12" i="7" a="1"/>
  <c r="G12" i="7" s="1"/>
  <c r="F12" i="7"/>
  <c r="F12" i="7" a="1"/>
  <c r="E12" i="7" a="1"/>
  <c r="E12" i="7" s="1"/>
  <c r="D12" i="7" a="1"/>
  <c r="D12" i="7" s="1"/>
  <c r="C12" i="7" a="1"/>
  <c r="C12" i="7" s="1"/>
  <c r="DV8" i="7"/>
  <c r="DF8" i="7"/>
  <c r="CP8" i="7"/>
  <c r="BZ8" i="7"/>
  <c r="BJ8" i="7"/>
  <c r="AT8" i="7"/>
  <c r="AD8" i="7"/>
  <c r="N8" i="7"/>
  <c r="ED7" i="7"/>
  <c r="DN7" i="7"/>
  <c r="CX7" i="7"/>
  <c r="CH7" i="7"/>
  <c r="BR7" i="7"/>
  <c r="BB7" i="7"/>
  <c r="AL7" i="7"/>
  <c r="V7" i="7"/>
  <c r="F7" i="7"/>
  <c r="EG6" i="7" a="1"/>
  <c r="EG6" i="7" s="1"/>
  <c r="EF6" i="7" a="1"/>
  <c r="EF6" i="7" s="1"/>
  <c r="EE6" i="7" a="1"/>
  <c r="EE6" i="7" s="1"/>
  <c r="ED6" i="7"/>
  <c r="ED8" i="7" s="1"/>
  <c r="ED6" i="7" a="1"/>
  <c r="EC6" i="7" a="1"/>
  <c r="EC6" i="7" s="1"/>
  <c r="EB6" i="7" a="1"/>
  <c r="EB6" i="7" s="1"/>
  <c r="EA6" i="7" a="1"/>
  <c r="EA6" i="7" s="1"/>
  <c r="DZ6" i="7"/>
  <c r="DZ8" i="7" s="1"/>
  <c r="DZ6" i="7" a="1"/>
  <c r="DY6" i="7" a="1"/>
  <c r="DY6" i="7" s="1"/>
  <c r="DX6" i="7" a="1"/>
  <c r="DX6" i="7" s="1"/>
  <c r="DW6" i="7" a="1"/>
  <c r="DW6" i="7" s="1"/>
  <c r="DV6" i="7"/>
  <c r="DV7" i="7" s="1"/>
  <c r="DV6" i="7" a="1"/>
  <c r="DU6" i="7" a="1"/>
  <c r="DU6" i="7" s="1"/>
  <c r="DT6" i="7" a="1"/>
  <c r="DT6" i="7" s="1"/>
  <c r="DS6" i="7" a="1"/>
  <c r="DS6" i="7" s="1"/>
  <c r="DR6" i="7"/>
  <c r="DR7" i="7" s="1"/>
  <c r="DR6" i="7" a="1"/>
  <c r="DQ6" i="7" a="1"/>
  <c r="DQ6" i="7" s="1"/>
  <c r="DP6" i="7" a="1"/>
  <c r="DP6" i="7" s="1"/>
  <c r="DO6" i="7" a="1"/>
  <c r="DO6" i="7" s="1"/>
  <c r="DN6" i="7"/>
  <c r="DN8" i="7" s="1"/>
  <c r="DN6" i="7" a="1"/>
  <c r="DM6" i="7" a="1"/>
  <c r="DM6" i="7" s="1"/>
  <c r="DL6" i="7" a="1"/>
  <c r="DL6" i="7" s="1"/>
  <c r="DK6" i="7" a="1"/>
  <c r="DK6" i="7" s="1"/>
  <c r="DJ6" i="7"/>
  <c r="DJ8" i="7" s="1"/>
  <c r="DJ6" i="7" a="1"/>
  <c r="DI6" i="7" a="1"/>
  <c r="DI6" i="7" s="1"/>
  <c r="DH6" i="7" a="1"/>
  <c r="DH6" i="7" s="1"/>
  <c r="DG6" i="7" a="1"/>
  <c r="DG6" i="7" s="1"/>
  <c r="DF6" i="7"/>
  <c r="DF7" i="7" s="1"/>
  <c r="DF6" i="7" a="1"/>
  <c r="DE6" i="7" a="1"/>
  <c r="DE6" i="7" s="1"/>
  <c r="DD6" i="7" a="1"/>
  <c r="DD6" i="7" s="1"/>
  <c r="DC6" i="7" a="1"/>
  <c r="DC6" i="7" s="1"/>
  <c r="DB6" i="7"/>
  <c r="DB7" i="7" s="1"/>
  <c r="DB6" i="7" a="1"/>
  <c r="DA6" i="7" a="1"/>
  <c r="DA6" i="7" s="1"/>
  <c r="CZ6" i="7" a="1"/>
  <c r="CZ6" i="7" s="1"/>
  <c r="CY6" i="7" a="1"/>
  <c r="CY6" i="7" s="1"/>
  <c r="CX6" i="7"/>
  <c r="CX8" i="7" s="1"/>
  <c r="CX6" i="7" a="1"/>
  <c r="CW6" i="7" a="1"/>
  <c r="CW6" i="7" s="1"/>
  <c r="CV6" i="7" a="1"/>
  <c r="CV6" i="7" s="1"/>
  <c r="CU6" i="7" a="1"/>
  <c r="CU6" i="7" s="1"/>
  <c r="CT6" i="7"/>
  <c r="CT8" i="7" s="1"/>
  <c r="CT6" i="7" a="1"/>
  <c r="CS6" i="7" a="1"/>
  <c r="CS6" i="7" s="1"/>
  <c r="CR6" i="7" a="1"/>
  <c r="CR6" i="7" s="1"/>
  <c r="CQ6" i="7" a="1"/>
  <c r="CQ6" i="7" s="1"/>
  <c r="CP6" i="7"/>
  <c r="CP7" i="7" s="1"/>
  <c r="CP6" i="7" a="1"/>
  <c r="CO6" i="7" a="1"/>
  <c r="CO6" i="7" s="1"/>
  <c r="CN6" i="7" a="1"/>
  <c r="CN6" i="7" s="1"/>
  <c r="CM6" i="7" a="1"/>
  <c r="CM6" i="7" s="1"/>
  <c r="CL6" i="7"/>
  <c r="CL7" i="7" s="1"/>
  <c r="CL6" i="7" a="1"/>
  <c r="CK6" i="7" a="1"/>
  <c r="CK6" i="7" s="1"/>
  <c r="CJ6" i="7" a="1"/>
  <c r="CJ6" i="7" s="1"/>
  <c r="CI6" i="7" a="1"/>
  <c r="CI6" i="7" s="1"/>
  <c r="CH6" i="7"/>
  <c r="CH8" i="7" s="1"/>
  <c r="CH6" i="7" a="1"/>
  <c r="CG6" i="7" a="1"/>
  <c r="CG6" i="7" s="1"/>
  <c r="CF6" i="7" a="1"/>
  <c r="CF6" i="7" s="1"/>
  <c r="CE6" i="7" a="1"/>
  <c r="CE6" i="7" s="1"/>
  <c r="CD6" i="7"/>
  <c r="CD8" i="7" s="1"/>
  <c r="CD6" i="7" a="1"/>
  <c r="CC6" i="7" a="1"/>
  <c r="CC6" i="7" s="1"/>
  <c r="CB6" i="7" a="1"/>
  <c r="CB6" i="7" s="1"/>
  <c r="CA6" i="7" a="1"/>
  <c r="CA6" i="7" s="1"/>
  <c r="BZ6" i="7"/>
  <c r="BZ7" i="7" s="1"/>
  <c r="BZ6" i="7" a="1"/>
  <c r="BY6" i="7" a="1"/>
  <c r="BY6" i="7" s="1"/>
  <c r="BX6" i="7" a="1"/>
  <c r="BX6" i="7" s="1"/>
  <c r="BW6" i="7" a="1"/>
  <c r="BW6" i="7" s="1"/>
  <c r="BV6" i="7"/>
  <c r="BV7" i="7" s="1"/>
  <c r="BV6" i="7" a="1"/>
  <c r="BU6" i="7" a="1"/>
  <c r="BU6" i="7" s="1"/>
  <c r="BT6" i="7" a="1"/>
  <c r="BT6" i="7" s="1"/>
  <c r="BS6" i="7" a="1"/>
  <c r="BS6" i="7" s="1"/>
  <c r="BR6" i="7"/>
  <c r="BR8" i="7" s="1"/>
  <c r="BR6" i="7" a="1"/>
  <c r="BQ6" i="7" a="1"/>
  <c r="BQ6" i="7" s="1"/>
  <c r="BP6" i="7" a="1"/>
  <c r="BP6" i="7" s="1"/>
  <c r="BO6" i="7" a="1"/>
  <c r="BO6" i="7" s="1"/>
  <c r="BN6" i="7"/>
  <c r="BN8" i="7" s="1"/>
  <c r="BN6" i="7" a="1"/>
  <c r="BM6" i="7" a="1"/>
  <c r="BM6" i="7" s="1"/>
  <c r="BL6" i="7" a="1"/>
  <c r="BL6" i="7" s="1"/>
  <c r="BK6" i="7" a="1"/>
  <c r="BK6" i="7" s="1"/>
  <c r="BJ6" i="7"/>
  <c r="BJ7" i="7" s="1"/>
  <c r="BJ6" i="7" a="1"/>
  <c r="BI6" i="7" a="1"/>
  <c r="BI6" i="7" s="1"/>
  <c r="BH6" i="7" a="1"/>
  <c r="BH6" i="7" s="1"/>
  <c r="BG6" i="7" a="1"/>
  <c r="BG6" i="7" s="1"/>
  <c r="BF6" i="7"/>
  <c r="BF7" i="7" s="1"/>
  <c r="BF6" i="7" a="1"/>
  <c r="BE6" i="7" a="1"/>
  <c r="BE6" i="7" s="1"/>
  <c r="BD6" i="7" a="1"/>
  <c r="BD6" i="7" s="1"/>
  <c r="BC6" i="7" a="1"/>
  <c r="BC6" i="7" s="1"/>
  <c r="BB6" i="7"/>
  <c r="BB8" i="7" s="1"/>
  <c r="BB6" i="7" a="1"/>
  <c r="BA6" i="7" a="1"/>
  <c r="BA6" i="7" s="1"/>
  <c r="AZ6" i="7" a="1"/>
  <c r="AZ6" i="7" s="1"/>
  <c r="AY6" i="7" a="1"/>
  <c r="AY6" i="7" s="1"/>
  <c r="AX6" i="7"/>
  <c r="AX8" i="7" s="1"/>
  <c r="AX6" i="7" a="1"/>
  <c r="AW6" i="7" a="1"/>
  <c r="AW6" i="7" s="1"/>
  <c r="AV6" i="7" a="1"/>
  <c r="AV6" i="7" s="1"/>
  <c r="AU6" i="7" a="1"/>
  <c r="AU6" i="7" s="1"/>
  <c r="AT6" i="7"/>
  <c r="AT7" i="7" s="1"/>
  <c r="AT6" i="7" a="1"/>
  <c r="AS6" i="7" a="1"/>
  <c r="AS6" i="7" s="1"/>
  <c r="AR6" i="7" a="1"/>
  <c r="AR6" i="7" s="1"/>
  <c r="AQ6" i="7" a="1"/>
  <c r="AQ6" i="7" s="1"/>
  <c r="AP6" i="7"/>
  <c r="AP7" i="7" s="1"/>
  <c r="AP6" i="7" a="1"/>
  <c r="AO6" i="7" a="1"/>
  <c r="AO6" i="7" s="1"/>
  <c r="AN6" i="7" a="1"/>
  <c r="AN6" i="7" s="1"/>
  <c r="AM6" i="7" a="1"/>
  <c r="AM6" i="7" s="1"/>
  <c r="AL6" i="7"/>
  <c r="AL8" i="7" s="1"/>
  <c r="AL6" i="7" a="1"/>
  <c r="AK6" i="7" a="1"/>
  <c r="AK6" i="7" s="1"/>
  <c r="AJ6" i="7" a="1"/>
  <c r="AJ6" i="7" s="1"/>
  <c r="AI6" i="7" a="1"/>
  <c r="AI6" i="7" s="1"/>
  <c r="AH6" i="7"/>
  <c r="AH8" i="7" s="1"/>
  <c r="AH6" i="7" a="1"/>
  <c r="AG6" i="7" a="1"/>
  <c r="AG6" i="7" s="1"/>
  <c r="AF6" i="7" a="1"/>
  <c r="AF6" i="7" s="1"/>
  <c r="AE6" i="7" a="1"/>
  <c r="AE6" i="7" s="1"/>
  <c r="AD6" i="7"/>
  <c r="AD7" i="7" s="1"/>
  <c r="AD6" i="7" a="1"/>
  <c r="AC6" i="7" a="1"/>
  <c r="AC6" i="7" s="1"/>
  <c r="AB6" i="7" a="1"/>
  <c r="AB6" i="7" s="1"/>
  <c r="AA6" i="7" a="1"/>
  <c r="AA6" i="7" s="1"/>
  <c r="Z6" i="7"/>
  <c r="Z7" i="7" s="1"/>
  <c r="Z6" i="7" a="1"/>
  <c r="Y6" i="7" a="1"/>
  <c r="Y6" i="7" s="1"/>
  <c r="X6" i="7" a="1"/>
  <c r="X6" i="7" s="1"/>
  <c r="W6" i="7" a="1"/>
  <c r="W6" i="7" s="1"/>
  <c r="V6" i="7"/>
  <c r="V8" i="7" s="1"/>
  <c r="V6" i="7" a="1"/>
  <c r="U6" i="7" a="1"/>
  <c r="U6" i="7" s="1"/>
  <c r="T6" i="7" a="1"/>
  <c r="T6" i="7" s="1"/>
  <c r="S6" i="7" a="1"/>
  <c r="S6" i="7" s="1"/>
  <c r="R6" i="7"/>
  <c r="R8" i="7" s="1"/>
  <c r="R6" i="7" a="1"/>
  <c r="Q6" i="7" a="1"/>
  <c r="Q6" i="7" s="1"/>
  <c r="P6" i="7" a="1"/>
  <c r="P6" i="7" s="1"/>
  <c r="O6" i="7" a="1"/>
  <c r="O6" i="7" s="1"/>
  <c r="N6" i="7"/>
  <c r="N7" i="7" s="1"/>
  <c r="N6" i="7" a="1"/>
  <c r="M6" i="7" a="1"/>
  <c r="M6" i="7" s="1"/>
  <c r="L6" i="7" a="1"/>
  <c r="L6" i="7" s="1"/>
  <c r="K6" i="7" a="1"/>
  <c r="K6" i="7" s="1"/>
  <c r="J6" i="7"/>
  <c r="J7" i="7" s="1"/>
  <c r="J6" i="7" a="1"/>
  <c r="I6" i="7" a="1"/>
  <c r="I6" i="7" s="1"/>
  <c r="H6" i="7" a="1"/>
  <c r="H6" i="7" s="1"/>
  <c r="G6" i="7" a="1"/>
  <c r="G6" i="7" s="1"/>
  <c r="F6" i="7"/>
  <c r="F8" i="7" s="1"/>
  <c r="F6" i="7" a="1"/>
  <c r="E6" i="7" a="1"/>
  <c r="E6" i="7" s="1"/>
  <c r="D6" i="7" a="1"/>
  <c r="D6" i="7" s="1"/>
  <c r="C6" i="7" a="1"/>
  <c r="C6" i="7" s="1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F18" i="6"/>
  <c r="EE18" i="6"/>
  <c r="ED18" i="6"/>
  <c r="EC18" i="6"/>
  <c r="EB18" i="6"/>
  <c r="EA18" i="6"/>
  <c r="DZ18" i="6"/>
  <c r="DY18" i="6"/>
  <c r="DX18" i="6"/>
  <c r="DW18" i="6"/>
  <c r="DV18" i="6"/>
  <c r="DU18" i="6"/>
  <c r="DT18" i="6"/>
  <c r="DS18" i="6"/>
  <c r="DR18" i="6"/>
  <c r="DQ18" i="6"/>
  <c r="DP18" i="6"/>
  <c r="DO18" i="6"/>
  <c r="DN18" i="6"/>
  <c r="DM18" i="6"/>
  <c r="DL18" i="6"/>
  <c r="DK18" i="6"/>
  <c r="DJ18" i="6"/>
  <c r="DI18" i="6"/>
  <c r="DH18" i="6"/>
  <c r="DG18" i="6"/>
  <c r="DF18" i="6"/>
  <c r="DE18" i="6"/>
  <c r="DD18" i="6"/>
  <c r="DC18" i="6"/>
  <c r="DB18" i="6"/>
  <c r="DA18" i="6"/>
  <c r="CZ18" i="6"/>
  <c r="CY18" i="6"/>
  <c r="CX18" i="6"/>
  <c r="CW18" i="6"/>
  <c r="CV18" i="6"/>
  <c r="CU18" i="6"/>
  <c r="CT18" i="6"/>
  <c r="CS18" i="6"/>
  <c r="CR18" i="6"/>
  <c r="CQ18" i="6"/>
  <c r="CP18" i="6"/>
  <c r="CO18" i="6"/>
  <c r="CN18" i="6"/>
  <c r="CM18" i="6"/>
  <c r="CL18" i="6"/>
  <c r="CK18" i="6"/>
  <c r="CJ18" i="6"/>
  <c r="CI18" i="6"/>
  <c r="CH18" i="6"/>
  <c r="CG18" i="6"/>
  <c r="CF18" i="6"/>
  <c r="CE18" i="6"/>
  <c r="CD18" i="6"/>
  <c r="CC18" i="6"/>
  <c r="CB18" i="6"/>
  <c r="CA18" i="6"/>
  <c r="BZ18" i="6"/>
  <c r="BY18" i="6"/>
  <c r="BX18" i="6"/>
  <c r="BW18" i="6"/>
  <c r="BV18" i="6"/>
  <c r="BU18" i="6"/>
  <c r="BT18" i="6"/>
  <c r="BS18" i="6"/>
  <c r="BR18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EF17" i="6"/>
  <c r="EE17" i="6"/>
  <c r="ED17" i="6"/>
  <c r="EC17" i="6"/>
  <c r="EB17" i="6"/>
  <c r="EA17" i="6"/>
  <c r="DZ17" i="6"/>
  <c r="DY17" i="6"/>
  <c r="DX17" i="6"/>
  <c r="DW17" i="6"/>
  <c r="DV17" i="6"/>
  <c r="DU17" i="6"/>
  <c r="DT17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Z17" i="6"/>
  <c r="CY17" i="6"/>
  <c r="CX17" i="6"/>
  <c r="CW17" i="6"/>
  <c r="CV17" i="6"/>
  <c r="CU17" i="6"/>
  <c r="CT17" i="6"/>
  <c r="CS17" i="6"/>
  <c r="CR17" i="6"/>
  <c r="CQ17" i="6"/>
  <c r="CP17" i="6"/>
  <c r="CO17" i="6"/>
  <c r="CN17" i="6"/>
  <c r="CM17" i="6"/>
  <c r="CL17" i="6"/>
  <c r="CK17" i="6"/>
  <c r="CJ17" i="6"/>
  <c r="CI17" i="6"/>
  <c r="CH17" i="6"/>
  <c r="CG17" i="6"/>
  <c r="CF17" i="6"/>
  <c r="CE17" i="6"/>
  <c r="CD17" i="6"/>
  <c r="CC17" i="6"/>
  <c r="CB17" i="6"/>
  <c r="CA17" i="6"/>
  <c r="BZ17" i="6"/>
  <c r="BY17" i="6"/>
  <c r="BX17" i="6"/>
  <c r="BW17" i="6"/>
  <c r="BV17" i="6"/>
  <c r="BU17" i="6"/>
  <c r="BT17" i="6"/>
  <c r="BS17" i="6"/>
  <c r="BR17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EG15" i="6"/>
  <c r="EF15" i="6"/>
  <c r="EE15" i="6"/>
  <c r="ED15" i="6"/>
  <c r="EC15" i="6"/>
  <c r="EB15" i="6"/>
  <c r="EA15" i="6"/>
  <c r="DZ15" i="6"/>
  <c r="DY15" i="6"/>
  <c r="DX15" i="6"/>
  <c r="DW15" i="6"/>
  <c r="DV15" i="6"/>
  <c r="DU15" i="6"/>
  <c r="DT15" i="6"/>
  <c r="DS15" i="6"/>
  <c r="DR15" i="6"/>
  <c r="DQ15" i="6"/>
  <c r="DP15" i="6"/>
  <c r="DO15" i="6"/>
  <c r="DN15" i="6"/>
  <c r="DM15" i="6"/>
  <c r="DL15" i="6"/>
  <c r="DK15" i="6"/>
  <c r="DJ15" i="6"/>
  <c r="DI15" i="6"/>
  <c r="DH15" i="6"/>
  <c r="DG15" i="6"/>
  <c r="DF15" i="6"/>
  <c r="DE15" i="6"/>
  <c r="DD15" i="6"/>
  <c r="DC15" i="6"/>
  <c r="DB15" i="6"/>
  <c r="DA15" i="6"/>
  <c r="CZ15" i="6"/>
  <c r="CY15" i="6"/>
  <c r="CX15" i="6"/>
  <c r="CW15" i="6"/>
  <c r="CV15" i="6"/>
  <c r="CU15" i="6"/>
  <c r="CT15" i="6"/>
  <c r="CS15" i="6"/>
  <c r="CR15" i="6"/>
  <c r="CQ15" i="6"/>
  <c r="CP15" i="6"/>
  <c r="CO15" i="6"/>
  <c r="CN15" i="6"/>
  <c r="CM15" i="6"/>
  <c r="CL15" i="6"/>
  <c r="CK15" i="6"/>
  <c r="CJ15" i="6"/>
  <c r="CI15" i="6"/>
  <c r="CH15" i="6"/>
  <c r="CG15" i="6"/>
  <c r="CF15" i="6"/>
  <c r="CE15" i="6"/>
  <c r="CD15" i="6"/>
  <c r="CC15" i="6"/>
  <c r="CB15" i="6"/>
  <c r="CA15" i="6"/>
  <c r="BZ15" i="6"/>
  <c r="BY15" i="6"/>
  <c r="BX15" i="6"/>
  <c r="BW15" i="6"/>
  <c r="BV15" i="6"/>
  <c r="BU15" i="6"/>
  <c r="BT15" i="6"/>
  <c r="BS15" i="6"/>
  <c r="BR15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EF14" i="6"/>
  <c r="EE14" i="6"/>
  <c r="ED14" i="6"/>
  <c r="EC14" i="6"/>
  <c r="EB14" i="6"/>
  <c r="EA14" i="6"/>
  <c r="DZ14" i="6"/>
  <c r="DY14" i="6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I14" i="6"/>
  <c r="DH14" i="6"/>
  <c r="DG14" i="6"/>
  <c r="DF14" i="6"/>
  <c r="DE14" i="6"/>
  <c r="DD14" i="6"/>
  <c r="DC14" i="6"/>
  <c r="DB14" i="6"/>
  <c r="DA14" i="6"/>
  <c r="CZ14" i="6"/>
  <c r="CY14" i="6"/>
  <c r="CX14" i="6"/>
  <c r="CW14" i="6"/>
  <c r="CV14" i="6"/>
  <c r="CU14" i="6"/>
  <c r="CT14" i="6"/>
  <c r="CS14" i="6"/>
  <c r="CR14" i="6"/>
  <c r="CQ14" i="6"/>
  <c r="CP14" i="6"/>
  <c r="CO14" i="6"/>
  <c r="CN14" i="6"/>
  <c r="CM14" i="6"/>
  <c r="CL14" i="6"/>
  <c r="CK14" i="6"/>
  <c r="CJ14" i="6"/>
  <c r="CI14" i="6"/>
  <c r="CH14" i="6"/>
  <c r="CG14" i="6"/>
  <c r="CF14" i="6"/>
  <c r="CE14" i="6"/>
  <c r="CD14" i="6"/>
  <c r="CC14" i="6"/>
  <c r="CB14" i="6"/>
  <c r="CA14" i="6"/>
  <c r="BZ14" i="6"/>
  <c r="BY14" i="6"/>
  <c r="BX14" i="6"/>
  <c r="BW14" i="6"/>
  <c r="BV14" i="6"/>
  <c r="BU14" i="6"/>
  <c r="BT14" i="6"/>
  <c r="BS14" i="6"/>
  <c r="BR14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EF13" i="6"/>
  <c r="EE13" i="6"/>
  <c r="ED13" i="6"/>
  <c r="EC13" i="6"/>
  <c r="EB13" i="6"/>
  <c r="EA13" i="6"/>
  <c r="DZ13" i="6"/>
  <c r="DY13" i="6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DG13" i="6"/>
  <c r="DF13" i="6"/>
  <c r="DE13" i="6"/>
  <c r="DD13" i="6"/>
  <c r="DC13" i="6"/>
  <c r="DB13" i="6"/>
  <c r="DA13" i="6"/>
  <c r="CZ13" i="6"/>
  <c r="CY13" i="6"/>
  <c r="CX13" i="6"/>
  <c r="CW13" i="6"/>
  <c r="CV13" i="6"/>
  <c r="CU13" i="6"/>
  <c r="CT13" i="6"/>
  <c r="CS13" i="6"/>
  <c r="CR13" i="6"/>
  <c r="CQ13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EG10" i="6"/>
  <c r="EG18" i="6" s="1"/>
  <c r="EG9" i="6"/>
  <c r="EG13" i="6" s="1"/>
  <c r="A1" i="6"/>
  <c r="G25" i="5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E25" i="5"/>
  <c r="F25" i="5" s="1"/>
  <c r="D25" i="5"/>
  <c r="H24" i="5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G24" i="5"/>
  <c r="D24" i="5"/>
  <c r="E24" i="5" s="1"/>
  <c r="F24" i="5" s="1"/>
  <c r="D23" i="5"/>
  <c r="E23" i="5" s="1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J22" i="5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I22" i="5"/>
  <c r="G22" i="5"/>
  <c r="H22" i="5" s="1"/>
  <c r="F22" i="5"/>
  <c r="E22" i="5"/>
  <c r="D22" i="5"/>
  <c r="G21" i="5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D21" i="5"/>
  <c r="E21" i="5" s="1"/>
  <c r="F21" i="5" s="1"/>
  <c r="E20" i="5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D20" i="5"/>
  <c r="L19" i="5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D19" i="5"/>
  <c r="E19" i="5" s="1"/>
  <c r="F19" i="5" s="1"/>
  <c r="G19" i="5" s="1"/>
  <c r="H19" i="5" s="1"/>
  <c r="I19" i="5" s="1"/>
  <c r="J19" i="5" s="1"/>
  <c r="K19" i="5" s="1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D18" i="5"/>
  <c r="M17" i="5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K17" i="5"/>
  <c r="L17" i="5" s="1"/>
  <c r="I17" i="5"/>
  <c r="F17" i="5"/>
  <c r="G17" i="5" s="1"/>
  <c r="H17" i="5" s="1"/>
  <c r="E17" i="5"/>
  <c r="D17" i="5"/>
  <c r="J16" i="5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H16" i="5"/>
  <c r="I16" i="5" s="1"/>
  <c r="F16" i="5"/>
  <c r="G16" i="5" s="1"/>
  <c r="E16" i="5"/>
  <c r="D16" i="5"/>
  <c r="J15" i="5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H15" i="5"/>
  <c r="I15" i="5" s="1"/>
  <c r="G15" i="5"/>
  <c r="E15" i="5"/>
  <c r="F15" i="5" s="1"/>
  <c r="D15" i="5"/>
  <c r="G14" i="5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E14" i="5"/>
  <c r="F14" i="5" s="1"/>
  <c r="D14" i="5"/>
  <c r="F13" i="5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3" i="5"/>
  <c r="E13" i="5" s="1"/>
  <c r="D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EG6" i="5" a="1"/>
  <c r="EG6" i="5" s="1"/>
  <c r="EF6" i="5" a="1"/>
  <c r="EF6" i="5" s="1"/>
  <c r="EE6" i="5" a="1"/>
  <c r="EE6" i="5" s="1"/>
  <c r="EE8" i="5" s="1"/>
  <c r="ED6" i="5" a="1"/>
  <c r="ED6" i="5" s="1"/>
  <c r="ED8" i="5" s="1"/>
  <c r="EC6" i="5" a="1"/>
  <c r="EC6" i="5"/>
  <c r="EC7" i="5" s="1"/>
  <c r="EB6" i="5" a="1"/>
  <c r="EB6" i="5"/>
  <c r="EB8" i="5" s="1"/>
  <c r="EA6" i="5" a="1"/>
  <c r="EA6" i="5" s="1"/>
  <c r="DZ6" i="5" a="1"/>
  <c r="DZ6" i="5" s="1"/>
  <c r="DY6" i="5" a="1"/>
  <c r="DY6" i="5" s="1"/>
  <c r="DX6" i="5" a="1"/>
  <c r="DX6" i="5" s="1"/>
  <c r="DW6" i="5" a="1"/>
  <c r="DW6" i="5" s="1"/>
  <c r="DW8" i="5" s="1"/>
  <c r="DV6" i="5" a="1"/>
  <c r="DV6" i="5" s="1"/>
  <c r="DV8" i="5" s="1"/>
  <c r="DU6" i="5" a="1"/>
  <c r="DU6" i="5" s="1"/>
  <c r="DT6" i="5" a="1"/>
  <c r="DT6" i="5"/>
  <c r="DS6" i="5" a="1"/>
  <c r="DS6" i="5"/>
  <c r="DR6" i="5" a="1"/>
  <c r="DR6" i="5" s="1"/>
  <c r="DQ6" i="5" a="1"/>
  <c r="DQ6" i="5" s="1"/>
  <c r="DP6" i="5" a="1"/>
  <c r="DP6" i="5" s="1"/>
  <c r="DO6" i="5" a="1"/>
  <c r="DO6" i="5" s="1"/>
  <c r="DO7" i="5" s="1"/>
  <c r="DN6" i="5" a="1"/>
  <c r="DN6" i="5" s="1"/>
  <c r="DN7" i="5" s="1"/>
  <c r="DM6" i="5" a="1"/>
  <c r="DM6" i="5" s="1"/>
  <c r="DL6" i="5" a="1"/>
  <c r="DL6" i="5" s="1"/>
  <c r="DK6" i="5" a="1"/>
  <c r="DK6" i="5"/>
  <c r="DJ6" i="5" a="1"/>
  <c r="DJ6" i="5"/>
  <c r="DI6" i="5" a="1"/>
  <c r="DI6" i="5" s="1"/>
  <c r="DH6" i="5" a="1"/>
  <c r="DH6" i="5" s="1"/>
  <c r="DG6" i="5" a="1"/>
  <c r="DG6" i="5" s="1"/>
  <c r="DG8" i="5" s="1"/>
  <c r="DF6" i="5" a="1"/>
  <c r="DF6" i="5" s="1"/>
  <c r="DF8" i="5" s="1"/>
  <c r="DE6" i="5" a="1"/>
  <c r="DE6" i="5" s="1"/>
  <c r="DD6" i="5" a="1"/>
  <c r="DD6" i="5"/>
  <c r="DC6" i="5" a="1"/>
  <c r="DC6" i="5"/>
  <c r="DB6" i="5" a="1"/>
  <c r="DB6" i="5"/>
  <c r="DA6" i="5" a="1"/>
  <c r="DA6" i="5"/>
  <c r="CZ6" i="5" a="1"/>
  <c r="CZ6" i="5" s="1"/>
  <c r="CY6" i="5" a="1"/>
  <c r="CY6" i="5" s="1"/>
  <c r="CY8" i="5" s="1"/>
  <c r="CX6" i="5" a="1"/>
  <c r="CX6" i="5" s="1"/>
  <c r="CX8" i="5" s="1"/>
  <c r="CW6" i="5" a="1"/>
  <c r="CW6" i="5"/>
  <c r="CV6" i="5" a="1"/>
  <c r="CV6" i="5" s="1"/>
  <c r="CU6" i="5" a="1"/>
  <c r="CU6" i="5"/>
  <c r="CT6" i="5" a="1"/>
  <c r="CT6" i="5"/>
  <c r="CS6" i="5" a="1"/>
  <c r="CS6" i="5"/>
  <c r="CR6" i="5" a="1"/>
  <c r="CR6" i="5"/>
  <c r="CQ6" i="5" a="1"/>
  <c r="CQ6" i="5" s="1"/>
  <c r="CQ7" i="5" s="1"/>
  <c r="CP6" i="5" a="1"/>
  <c r="CP6" i="5" s="1"/>
  <c r="CP7" i="5" s="1"/>
  <c r="CO6" i="5" a="1"/>
  <c r="CO6" i="5" s="1"/>
  <c r="CN6" i="5" a="1"/>
  <c r="CN6" i="5"/>
  <c r="CM6" i="5" a="1"/>
  <c r="CM6" i="5" s="1"/>
  <c r="CL6" i="5" a="1"/>
  <c r="CL6" i="5" s="1"/>
  <c r="CK6" i="5" a="1"/>
  <c r="CK6" i="5"/>
  <c r="CJ6" i="5" a="1"/>
  <c r="CJ6" i="5"/>
  <c r="CI6" i="5" a="1"/>
  <c r="CI6" i="5" s="1"/>
  <c r="CI7" i="5" s="1"/>
  <c r="CH6" i="5" a="1"/>
  <c r="CH6" i="5" s="1"/>
  <c r="CG6" i="5" a="1"/>
  <c r="CG6" i="5"/>
  <c r="CF6" i="5" a="1"/>
  <c r="CF6" i="5" s="1"/>
  <c r="CE6" i="5" a="1"/>
  <c r="CE6" i="5" s="1"/>
  <c r="CD6" i="5" a="1"/>
  <c r="CD6" i="5" s="1"/>
  <c r="CC6" i="5" a="1"/>
  <c r="CC6" i="5"/>
  <c r="CB6" i="5" a="1"/>
  <c r="CB6" i="5" s="1"/>
  <c r="CA6" i="5" a="1"/>
  <c r="CA6" i="5" s="1"/>
  <c r="CA8" i="5" s="1"/>
  <c r="BZ6" i="5" a="1"/>
  <c r="BZ6" i="5" s="1"/>
  <c r="BY6" i="5" a="1"/>
  <c r="BY6" i="5"/>
  <c r="BX6" i="5" a="1"/>
  <c r="BX6" i="5"/>
  <c r="BW6" i="5" a="1"/>
  <c r="BW6" i="5"/>
  <c r="BV6" i="5" a="1"/>
  <c r="BV6" i="5" s="1"/>
  <c r="BU6" i="5" a="1"/>
  <c r="BU6" i="5" s="1"/>
  <c r="BT6" i="5" a="1"/>
  <c r="BT6" i="5"/>
  <c r="BS6" i="5" a="1"/>
  <c r="BS6" i="5" s="1"/>
  <c r="BR6" i="5" a="1"/>
  <c r="BR6" i="5" s="1"/>
  <c r="BQ6" i="5" a="1"/>
  <c r="BQ6" i="5"/>
  <c r="BP6" i="5" a="1"/>
  <c r="BP6" i="5"/>
  <c r="BO6" i="5" a="1"/>
  <c r="BO6" i="5"/>
  <c r="BN6" i="5" a="1"/>
  <c r="BN6" i="5" s="1"/>
  <c r="BM6" i="5" a="1"/>
  <c r="BM6" i="5" s="1"/>
  <c r="BL6" i="5" a="1"/>
  <c r="BL6" i="5" s="1"/>
  <c r="BK6" i="5" a="1"/>
  <c r="BK6" i="5" s="1"/>
  <c r="BJ6" i="5" a="1"/>
  <c r="BJ6" i="5" s="1"/>
  <c r="BI6" i="5" a="1"/>
  <c r="BI6" i="5" s="1"/>
  <c r="BH6" i="5" a="1"/>
  <c r="BH6" i="5"/>
  <c r="BG6" i="5" a="1"/>
  <c r="BG6" i="5"/>
  <c r="BF6" i="5" a="1"/>
  <c r="BF6" i="5"/>
  <c r="BE6" i="5" a="1"/>
  <c r="BE6" i="5"/>
  <c r="BD6" i="5" a="1"/>
  <c r="BD6" i="5"/>
  <c r="BC6" i="5" a="1"/>
  <c r="BC6" i="5" s="1"/>
  <c r="BB6" i="5" a="1"/>
  <c r="BB6" i="5" s="1"/>
  <c r="BB8" i="5" s="1"/>
  <c r="BA6" i="5" a="1"/>
  <c r="BA6" i="5"/>
  <c r="AZ6" i="5" a="1"/>
  <c r="AZ6" i="5" s="1"/>
  <c r="AY6" i="5" a="1"/>
  <c r="AY6" i="5"/>
  <c r="AX6" i="5" a="1"/>
  <c r="AX6" i="5"/>
  <c r="AW6" i="5" a="1"/>
  <c r="AW6" i="5"/>
  <c r="AV6" i="5" a="1"/>
  <c r="AV6" i="5"/>
  <c r="AU6" i="5" a="1"/>
  <c r="AU6" i="5" s="1"/>
  <c r="AT6" i="5" a="1"/>
  <c r="AT6" i="5" s="1"/>
  <c r="AS6" i="5" a="1"/>
  <c r="AS6" i="5" s="1"/>
  <c r="AR6" i="5" a="1"/>
  <c r="AR6" i="5" s="1"/>
  <c r="AQ6" i="5" a="1"/>
  <c r="AQ6" i="5"/>
  <c r="AP6" i="5" a="1"/>
  <c r="AP6" i="5"/>
  <c r="AO6" i="5" a="1"/>
  <c r="AO6" i="5" s="1"/>
  <c r="AN6" i="5" a="1"/>
  <c r="AN6" i="5"/>
  <c r="AM6" i="5" a="1"/>
  <c r="AM6" i="5" s="1"/>
  <c r="AL6" i="5" a="1"/>
  <c r="AL6" i="5" s="1"/>
  <c r="AK6" i="5" a="1"/>
  <c r="AK6" i="5" s="1"/>
  <c r="AJ6" i="5" a="1"/>
  <c r="AJ6" i="5" s="1"/>
  <c r="AI6" i="5" a="1"/>
  <c r="AI6" i="5" s="1"/>
  <c r="AH6" i="5" a="1"/>
  <c r="AH6" i="5"/>
  <c r="AG6" i="5" a="1"/>
  <c r="AG6" i="5"/>
  <c r="AF6" i="5" a="1"/>
  <c r="AF6" i="5" s="1"/>
  <c r="AE6" i="5" a="1"/>
  <c r="AE6" i="5" s="1"/>
  <c r="AE7" i="5" s="1"/>
  <c r="AD6" i="5" a="1"/>
  <c r="AD6" i="5" s="1"/>
  <c r="AC6" i="5" a="1"/>
  <c r="AC6" i="5"/>
  <c r="AB6" i="5" a="1"/>
  <c r="AB6" i="5" s="1"/>
  <c r="AA6" i="5" a="1"/>
  <c r="AA6" i="5" s="1"/>
  <c r="Z6" i="5" a="1"/>
  <c r="Z6" i="5" s="1"/>
  <c r="Y6" i="5" a="1"/>
  <c r="Y6" i="5" s="1"/>
  <c r="X6" i="5" a="1"/>
  <c r="X6" i="5"/>
  <c r="W6" i="5" a="1"/>
  <c r="W6" i="5" s="1"/>
  <c r="V6" i="5" a="1"/>
  <c r="V6" i="5" s="1"/>
  <c r="U6" i="5" a="1"/>
  <c r="U6" i="5"/>
  <c r="T6" i="5" a="1"/>
  <c r="T6" i="5" s="1"/>
  <c r="S6" i="5" a="1"/>
  <c r="S6" i="5" s="1"/>
  <c r="R6" i="5" a="1"/>
  <c r="R6" i="5" s="1"/>
  <c r="Q6" i="5" a="1"/>
  <c r="Q6" i="5"/>
  <c r="P6" i="5" a="1"/>
  <c r="P6" i="5" s="1"/>
  <c r="O6" i="5" a="1"/>
  <c r="O6" i="5" s="1"/>
  <c r="O8" i="5" s="1"/>
  <c r="N6" i="5" a="1"/>
  <c r="N6" i="5" s="1"/>
  <c r="M6" i="5" a="1"/>
  <c r="M6" i="5"/>
  <c r="L6" i="5" a="1"/>
  <c r="L6" i="5"/>
  <c r="K6" i="5" a="1"/>
  <c r="K6" i="5" s="1"/>
  <c r="J6" i="5" a="1"/>
  <c r="J6" i="5"/>
  <c r="I6" i="5" a="1"/>
  <c r="I6" i="5" s="1"/>
  <c r="H6" i="5" a="1"/>
  <c r="H6" i="5" s="1"/>
  <c r="G6" i="5" a="1"/>
  <c r="G6" i="5" s="1"/>
  <c r="F6" i="5" a="1"/>
  <c r="F6" i="5" s="1"/>
  <c r="E6" i="5" a="1"/>
  <c r="E6" i="5"/>
  <c r="D6" i="5" a="1"/>
  <c r="D6" i="5"/>
  <c r="C6" i="5" a="1"/>
  <c r="C6" i="5"/>
  <c r="A1" i="5"/>
  <c r="E25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AK25" i="4" s="1"/>
  <c r="AL25" i="4" s="1"/>
  <c r="AM25" i="4" s="1"/>
  <c r="AN25" i="4" s="1"/>
  <c r="AO25" i="4" s="1"/>
  <c r="AP25" i="4" s="1"/>
  <c r="AQ25" i="4" s="1"/>
  <c r="AR25" i="4" s="1"/>
  <c r="AS25" i="4" s="1"/>
  <c r="AT25" i="4" s="1"/>
  <c r="AU25" i="4" s="1"/>
  <c r="AV25" i="4" s="1"/>
  <c r="AW25" i="4" s="1"/>
  <c r="AX25" i="4" s="1"/>
  <c r="AY25" i="4" s="1"/>
  <c r="AZ25" i="4" s="1"/>
  <c r="BA25" i="4" s="1"/>
  <c r="BB25" i="4" s="1"/>
  <c r="BC25" i="4" s="1"/>
  <c r="BD25" i="4" s="1"/>
  <c r="BE25" i="4" s="1"/>
  <c r="BF25" i="4" s="1"/>
  <c r="BG25" i="4" s="1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BY25" i="4" s="1"/>
  <c r="BZ25" i="4" s="1"/>
  <c r="CA25" i="4" s="1"/>
  <c r="CB25" i="4" s="1"/>
  <c r="CC25" i="4" s="1"/>
  <c r="CD25" i="4" s="1"/>
  <c r="CE25" i="4" s="1"/>
  <c r="CF25" i="4" s="1"/>
  <c r="CG25" i="4" s="1"/>
  <c r="CH25" i="4" s="1"/>
  <c r="CI25" i="4" s="1"/>
  <c r="CJ25" i="4" s="1"/>
  <c r="CK25" i="4" s="1"/>
  <c r="CL25" i="4" s="1"/>
  <c r="CM25" i="4" s="1"/>
  <c r="CN25" i="4" s="1"/>
  <c r="CO25" i="4" s="1"/>
  <c r="CP25" i="4" s="1"/>
  <c r="CQ25" i="4" s="1"/>
  <c r="CR25" i="4" s="1"/>
  <c r="CS25" i="4" s="1"/>
  <c r="CT25" i="4" s="1"/>
  <c r="CU25" i="4" s="1"/>
  <c r="CV25" i="4" s="1"/>
  <c r="CW25" i="4" s="1"/>
  <c r="CX25" i="4" s="1"/>
  <c r="CY25" i="4" s="1"/>
  <c r="CZ25" i="4" s="1"/>
  <c r="DA25" i="4" s="1"/>
  <c r="DB25" i="4" s="1"/>
  <c r="DC25" i="4" s="1"/>
  <c r="DD25" i="4" s="1"/>
  <c r="DE25" i="4" s="1"/>
  <c r="DF25" i="4" s="1"/>
  <c r="DG25" i="4" s="1"/>
  <c r="DH25" i="4" s="1"/>
  <c r="DI25" i="4" s="1"/>
  <c r="DJ25" i="4" s="1"/>
  <c r="DK25" i="4" s="1"/>
  <c r="DL25" i="4" s="1"/>
  <c r="DM25" i="4" s="1"/>
  <c r="DN25" i="4" s="1"/>
  <c r="DO25" i="4" s="1"/>
  <c r="DP25" i="4" s="1"/>
  <c r="DQ25" i="4" s="1"/>
  <c r="DR25" i="4" s="1"/>
  <c r="DS25" i="4" s="1"/>
  <c r="DT25" i="4" s="1"/>
  <c r="DU25" i="4" s="1"/>
  <c r="DV25" i="4" s="1"/>
  <c r="DW25" i="4" s="1"/>
  <c r="DX25" i="4" s="1"/>
  <c r="DY25" i="4" s="1"/>
  <c r="DZ25" i="4" s="1"/>
  <c r="EA25" i="4" s="1"/>
  <c r="EB25" i="4" s="1"/>
  <c r="EC25" i="4" s="1"/>
  <c r="ED25" i="4" s="1"/>
  <c r="EE25" i="4" s="1"/>
  <c r="EF25" i="4" s="1"/>
  <c r="D25" i="4"/>
  <c r="AI24" i="4"/>
  <c r="AJ24" i="4" s="1"/>
  <c r="AK24" i="4" s="1"/>
  <c r="AL24" i="4" s="1"/>
  <c r="AM24" i="4" s="1"/>
  <c r="AN24" i="4" s="1"/>
  <c r="AO24" i="4" s="1"/>
  <c r="AP24" i="4" s="1"/>
  <c r="AQ24" i="4" s="1"/>
  <c r="AR24" i="4" s="1"/>
  <c r="AS24" i="4" s="1"/>
  <c r="AT24" i="4" s="1"/>
  <c r="AU24" i="4" s="1"/>
  <c r="AV24" i="4" s="1"/>
  <c r="AW24" i="4" s="1"/>
  <c r="AX24" i="4" s="1"/>
  <c r="AY24" i="4" s="1"/>
  <c r="AZ24" i="4" s="1"/>
  <c r="BA24" i="4" s="1"/>
  <c r="BB24" i="4" s="1"/>
  <c r="BC24" i="4" s="1"/>
  <c r="BD24" i="4" s="1"/>
  <c r="BE24" i="4" s="1"/>
  <c r="BF24" i="4" s="1"/>
  <c r="BG24" i="4" s="1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BY24" i="4" s="1"/>
  <c r="BZ24" i="4" s="1"/>
  <c r="CA24" i="4" s="1"/>
  <c r="CB24" i="4" s="1"/>
  <c r="CC24" i="4" s="1"/>
  <c r="CD24" i="4" s="1"/>
  <c r="CE24" i="4" s="1"/>
  <c r="CF24" i="4" s="1"/>
  <c r="CG24" i="4" s="1"/>
  <c r="CH24" i="4" s="1"/>
  <c r="CI24" i="4" s="1"/>
  <c r="CJ24" i="4" s="1"/>
  <c r="CK24" i="4" s="1"/>
  <c r="CL24" i="4" s="1"/>
  <c r="CM24" i="4" s="1"/>
  <c r="CN24" i="4" s="1"/>
  <c r="CO24" i="4" s="1"/>
  <c r="CP24" i="4" s="1"/>
  <c r="CQ24" i="4" s="1"/>
  <c r="CR24" i="4" s="1"/>
  <c r="CS24" i="4" s="1"/>
  <c r="CT24" i="4" s="1"/>
  <c r="CU24" i="4" s="1"/>
  <c r="CV24" i="4" s="1"/>
  <c r="CW24" i="4" s="1"/>
  <c r="CX24" i="4" s="1"/>
  <c r="CY24" i="4" s="1"/>
  <c r="CZ24" i="4" s="1"/>
  <c r="DA24" i="4" s="1"/>
  <c r="DB24" i="4" s="1"/>
  <c r="DC24" i="4" s="1"/>
  <c r="DD24" i="4" s="1"/>
  <c r="DE24" i="4" s="1"/>
  <c r="DF24" i="4" s="1"/>
  <c r="DG24" i="4" s="1"/>
  <c r="DH24" i="4" s="1"/>
  <c r="DI24" i="4" s="1"/>
  <c r="DJ24" i="4" s="1"/>
  <c r="DK24" i="4" s="1"/>
  <c r="DL24" i="4" s="1"/>
  <c r="DM24" i="4" s="1"/>
  <c r="DN24" i="4" s="1"/>
  <c r="DO24" i="4" s="1"/>
  <c r="DP24" i="4" s="1"/>
  <c r="DQ24" i="4" s="1"/>
  <c r="DR24" i="4" s="1"/>
  <c r="DS24" i="4" s="1"/>
  <c r="DT24" i="4" s="1"/>
  <c r="DU24" i="4" s="1"/>
  <c r="DV24" i="4" s="1"/>
  <c r="DW24" i="4" s="1"/>
  <c r="DX24" i="4" s="1"/>
  <c r="DY24" i="4" s="1"/>
  <c r="DZ24" i="4" s="1"/>
  <c r="EA24" i="4" s="1"/>
  <c r="EB24" i="4" s="1"/>
  <c r="EC24" i="4" s="1"/>
  <c r="ED24" i="4" s="1"/>
  <c r="EE24" i="4" s="1"/>
  <c r="EF24" i="4" s="1"/>
  <c r="J24" i="4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H24" i="4"/>
  <c r="I24" i="4" s="1"/>
  <c r="F24" i="4"/>
  <c r="G24" i="4" s="1"/>
  <c r="D24" i="4"/>
  <c r="E24" i="4" s="1"/>
  <c r="AQ23" i="4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CI23" i="4" s="1"/>
  <c r="CJ23" i="4" s="1"/>
  <c r="CK23" i="4" s="1"/>
  <c r="CL23" i="4" s="1"/>
  <c r="CM23" i="4" s="1"/>
  <c r="CN23" i="4" s="1"/>
  <c r="CO23" i="4" s="1"/>
  <c r="CP23" i="4" s="1"/>
  <c r="CQ23" i="4" s="1"/>
  <c r="CR23" i="4" s="1"/>
  <c r="CS23" i="4" s="1"/>
  <c r="CT23" i="4" s="1"/>
  <c r="CU23" i="4" s="1"/>
  <c r="CV23" i="4" s="1"/>
  <c r="CW23" i="4" s="1"/>
  <c r="CX23" i="4" s="1"/>
  <c r="CY23" i="4" s="1"/>
  <c r="CZ23" i="4" s="1"/>
  <c r="DA23" i="4" s="1"/>
  <c r="DB23" i="4" s="1"/>
  <c r="DC23" i="4" s="1"/>
  <c r="DD23" i="4" s="1"/>
  <c r="DE23" i="4" s="1"/>
  <c r="DF23" i="4" s="1"/>
  <c r="DG23" i="4" s="1"/>
  <c r="DH23" i="4" s="1"/>
  <c r="DI23" i="4" s="1"/>
  <c r="DJ23" i="4" s="1"/>
  <c r="DK23" i="4" s="1"/>
  <c r="DL23" i="4" s="1"/>
  <c r="DM23" i="4" s="1"/>
  <c r="DN23" i="4" s="1"/>
  <c r="DO23" i="4" s="1"/>
  <c r="DP23" i="4" s="1"/>
  <c r="DQ23" i="4" s="1"/>
  <c r="DR23" i="4" s="1"/>
  <c r="DS23" i="4" s="1"/>
  <c r="DT23" i="4" s="1"/>
  <c r="DU23" i="4" s="1"/>
  <c r="DV23" i="4" s="1"/>
  <c r="DW23" i="4" s="1"/>
  <c r="DX23" i="4" s="1"/>
  <c r="DY23" i="4" s="1"/>
  <c r="DZ23" i="4" s="1"/>
  <c r="EA23" i="4" s="1"/>
  <c r="EB23" i="4" s="1"/>
  <c r="EC23" i="4" s="1"/>
  <c r="ED23" i="4" s="1"/>
  <c r="EE23" i="4" s="1"/>
  <c r="EF23" i="4" s="1"/>
  <c r="D23" i="4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L22" i="4"/>
  <c r="M22" i="4" s="1"/>
  <c r="N22" i="4" s="1"/>
  <c r="O22" i="4" s="1"/>
  <c r="P22" i="4" s="1"/>
  <c r="Q22" i="4" s="1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AK22" i="4" s="1"/>
  <c r="AL22" i="4" s="1"/>
  <c r="AM22" i="4" s="1"/>
  <c r="AN22" i="4" s="1"/>
  <c r="AO22" i="4" s="1"/>
  <c r="AP22" i="4" s="1"/>
  <c r="AQ22" i="4" s="1"/>
  <c r="AR22" i="4" s="1"/>
  <c r="AS22" i="4" s="1"/>
  <c r="AT22" i="4" s="1"/>
  <c r="AU22" i="4" s="1"/>
  <c r="AV22" i="4" s="1"/>
  <c r="AW22" i="4" s="1"/>
  <c r="AX22" i="4" s="1"/>
  <c r="AY22" i="4" s="1"/>
  <c r="AZ22" i="4" s="1"/>
  <c r="BA22" i="4" s="1"/>
  <c r="BB22" i="4" s="1"/>
  <c r="BC22" i="4" s="1"/>
  <c r="BD22" i="4" s="1"/>
  <c r="BE22" i="4" s="1"/>
  <c r="BF22" i="4" s="1"/>
  <c r="BG22" i="4" s="1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BY22" i="4" s="1"/>
  <c r="BZ22" i="4" s="1"/>
  <c r="CA22" i="4" s="1"/>
  <c r="CB22" i="4" s="1"/>
  <c r="CC22" i="4" s="1"/>
  <c r="CD22" i="4" s="1"/>
  <c r="CE22" i="4" s="1"/>
  <c r="CF22" i="4" s="1"/>
  <c r="CG22" i="4" s="1"/>
  <c r="CH22" i="4" s="1"/>
  <c r="CI22" i="4" s="1"/>
  <c r="CJ22" i="4" s="1"/>
  <c r="CK22" i="4" s="1"/>
  <c r="CL22" i="4" s="1"/>
  <c r="CM22" i="4" s="1"/>
  <c r="CN22" i="4" s="1"/>
  <c r="CO22" i="4" s="1"/>
  <c r="CP22" i="4" s="1"/>
  <c r="CQ22" i="4" s="1"/>
  <c r="CR22" i="4" s="1"/>
  <c r="CS22" i="4" s="1"/>
  <c r="CT22" i="4" s="1"/>
  <c r="CU22" i="4" s="1"/>
  <c r="CV22" i="4" s="1"/>
  <c r="CW22" i="4" s="1"/>
  <c r="CX22" i="4" s="1"/>
  <c r="CY22" i="4" s="1"/>
  <c r="CZ22" i="4" s="1"/>
  <c r="DA22" i="4" s="1"/>
  <c r="DB22" i="4" s="1"/>
  <c r="DC22" i="4" s="1"/>
  <c r="DD22" i="4" s="1"/>
  <c r="DE22" i="4" s="1"/>
  <c r="DF22" i="4" s="1"/>
  <c r="DG22" i="4" s="1"/>
  <c r="DH22" i="4" s="1"/>
  <c r="DI22" i="4" s="1"/>
  <c r="DJ22" i="4" s="1"/>
  <c r="DK22" i="4" s="1"/>
  <c r="DL22" i="4" s="1"/>
  <c r="DM22" i="4" s="1"/>
  <c r="DN22" i="4" s="1"/>
  <c r="DO22" i="4" s="1"/>
  <c r="DP22" i="4" s="1"/>
  <c r="DQ22" i="4" s="1"/>
  <c r="DR22" i="4" s="1"/>
  <c r="DS22" i="4" s="1"/>
  <c r="DT22" i="4" s="1"/>
  <c r="DU22" i="4" s="1"/>
  <c r="DV22" i="4" s="1"/>
  <c r="DW22" i="4" s="1"/>
  <c r="DX22" i="4" s="1"/>
  <c r="DY22" i="4" s="1"/>
  <c r="DZ22" i="4" s="1"/>
  <c r="EA22" i="4" s="1"/>
  <c r="EB22" i="4" s="1"/>
  <c r="EC22" i="4" s="1"/>
  <c r="ED22" i="4" s="1"/>
  <c r="EE22" i="4" s="1"/>
  <c r="EF22" i="4" s="1"/>
  <c r="I22" i="4"/>
  <c r="J22" i="4" s="1"/>
  <c r="K22" i="4" s="1"/>
  <c r="D22" i="4"/>
  <c r="E22" i="4" s="1"/>
  <c r="F22" i="4" s="1"/>
  <c r="G22" i="4" s="1"/>
  <c r="H22" i="4" s="1"/>
  <c r="F21" i="4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AK21" i="4" s="1"/>
  <c r="AL21" i="4" s="1"/>
  <c r="AM21" i="4" s="1"/>
  <c r="AN21" i="4" s="1"/>
  <c r="AO21" i="4" s="1"/>
  <c r="AP21" i="4" s="1"/>
  <c r="AQ21" i="4" s="1"/>
  <c r="AR21" i="4" s="1"/>
  <c r="AS21" i="4" s="1"/>
  <c r="AT21" i="4" s="1"/>
  <c r="AU21" i="4" s="1"/>
  <c r="AV21" i="4" s="1"/>
  <c r="AW21" i="4" s="1"/>
  <c r="AX21" i="4" s="1"/>
  <c r="AY21" i="4" s="1"/>
  <c r="AZ21" i="4" s="1"/>
  <c r="BA21" i="4" s="1"/>
  <c r="BB21" i="4" s="1"/>
  <c r="BC21" i="4" s="1"/>
  <c r="BD21" i="4" s="1"/>
  <c r="BE21" i="4" s="1"/>
  <c r="BF21" i="4" s="1"/>
  <c r="BG21" i="4" s="1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BY21" i="4" s="1"/>
  <c r="BZ21" i="4" s="1"/>
  <c r="CA21" i="4" s="1"/>
  <c r="CB21" i="4" s="1"/>
  <c r="CC21" i="4" s="1"/>
  <c r="CD21" i="4" s="1"/>
  <c r="CE21" i="4" s="1"/>
  <c r="CF21" i="4" s="1"/>
  <c r="CG21" i="4" s="1"/>
  <c r="CH21" i="4" s="1"/>
  <c r="CI21" i="4" s="1"/>
  <c r="CJ21" i="4" s="1"/>
  <c r="CK21" i="4" s="1"/>
  <c r="CL21" i="4" s="1"/>
  <c r="CM21" i="4" s="1"/>
  <c r="CN21" i="4" s="1"/>
  <c r="CO21" i="4" s="1"/>
  <c r="CP21" i="4" s="1"/>
  <c r="CQ21" i="4" s="1"/>
  <c r="CR21" i="4" s="1"/>
  <c r="CS21" i="4" s="1"/>
  <c r="CT21" i="4" s="1"/>
  <c r="CU21" i="4" s="1"/>
  <c r="CV21" i="4" s="1"/>
  <c r="CW21" i="4" s="1"/>
  <c r="CX21" i="4" s="1"/>
  <c r="CY21" i="4" s="1"/>
  <c r="CZ21" i="4" s="1"/>
  <c r="DA21" i="4" s="1"/>
  <c r="DB21" i="4" s="1"/>
  <c r="DC21" i="4" s="1"/>
  <c r="DD21" i="4" s="1"/>
  <c r="DE21" i="4" s="1"/>
  <c r="DF21" i="4" s="1"/>
  <c r="DG21" i="4" s="1"/>
  <c r="DH21" i="4" s="1"/>
  <c r="DI21" i="4" s="1"/>
  <c r="DJ21" i="4" s="1"/>
  <c r="DK21" i="4" s="1"/>
  <c r="DL21" i="4" s="1"/>
  <c r="DM21" i="4" s="1"/>
  <c r="DN21" i="4" s="1"/>
  <c r="DO21" i="4" s="1"/>
  <c r="DP21" i="4" s="1"/>
  <c r="DQ21" i="4" s="1"/>
  <c r="DR21" i="4" s="1"/>
  <c r="DS21" i="4" s="1"/>
  <c r="DT21" i="4" s="1"/>
  <c r="DU21" i="4" s="1"/>
  <c r="DV21" i="4" s="1"/>
  <c r="DW21" i="4" s="1"/>
  <c r="DX21" i="4" s="1"/>
  <c r="DY21" i="4" s="1"/>
  <c r="DZ21" i="4" s="1"/>
  <c r="EA21" i="4" s="1"/>
  <c r="EB21" i="4" s="1"/>
  <c r="EC21" i="4" s="1"/>
  <c r="ED21" i="4" s="1"/>
  <c r="EE21" i="4" s="1"/>
  <c r="EF21" i="4" s="1"/>
  <c r="E21" i="4"/>
  <c r="D21" i="4"/>
  <c r="D20" i="4"/>
  <c r="E20" i="4" s="1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AK20" i="4" s="1"/>
  <c r="AL20" i="4" s="1"/>
  <c r="AM20" i="4" s="1"/>
  <c r="AN20" i="4" s="1"/>
  <c r="AO20" i="4" s="1"/>
  <c r="AP20" i="4" s="1"/>
  <c r="AQ20" i="4" s="1"/>
  <c r="AR20" i="4" s="1"/>
  <c r="AS20" i="4" s="1"/>
  <c r="AT20" i="4" s="1"/>
  <c r="AU20" i="4" s="1"/>
  <c r="AV20" i="4" s="1"/>
  <c r="AW20" i="4" s="1"/>
  <c r="AX20" i="4" s="1"/>
  <c r="AY20" i="4" s="1"/>
  <c r="AZ20" i="4" s="1"/>
  <c r="BA20" i="4" s="1"/>
  <c r="BB20" i="4" s="1"/>
  <c r="BC20" i="4" s="1"/>
  <c r="BD20" i="4" s="1"/>
  <c r="BE20" i="4" s="1"/>
  <c r="BF20" i="4" s="1"/>
  <c r="BG20" i="4" s="1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BY20" i="4" s="1"/>
  <c r="BZ20" i="4" s="1"/>
  <c r="CA20" i="4" s="1"/>
  <c r="CB20" i="4" s="1"/>
  <c r="CC20" i="4" s="1"/>
  <c r="CD20" i="4" s="1"/>
  <c r="CE20" i="4" s="1"/>
  <c r="CF20" i="4" s="1"/>
  <c r="CG20" i="4" s="1"/>
  <c r="CH20" i="4" s="1"/>
  <c r="CI20" i="4" s="1"/>
  <c r="CJ20" i="4" s="1"/>
  <c r="CK20" i="4" s="1"/>
  <c r="CL20" i="4" s="1"/>
  <c r="CM20" i="4" s="1"/>
  <c r="CN20" i="4" s="1"/>
  <c r="CO20" i="4" s="1"/>
  <c r="CP20" i="4" s="1"/>
  <c r="CQ20" i="4" s="1"/>
  <c r="CR20" i="4" s="1"/>
  <c r="CS20" i="4" s="1"/>
  <c r="CT20" i="4" s="1"/>
  <c r="CU20" i="4" s="1"/>
  <c r="CV20" i="4" s="1"/>
  <c r="CW20" i="4" s="1"/>
  <c r="CX20" i="4" s="1"/>
  <c r="CY20" i="4" s="1"/>
  <c r="CZ20" i="4" s="1"/>
  <c r="DA20" i="4" s="1"/>
  <c r="DB20" i="4" s="1"/>
  <c r="DC20" i="4" s="1"/>
  <c r="DD20" i="4" s="1"/>
  <c r="DE20" i="4" s="1"/>
  <c r="DF20" i="4" s="1"/>
  <c r="DG20" i="4" s="1"/>
  <c r="DH20" i="4" s="1"/>
  <c r="DI20" i="4" s="1"/>
  <c r="DJ20" i="4" s="1"/>
  <c r="DK20" i="4" s="1"/>
  <c r="DL20" i="4" s="1"/>
  <c r="DM20" i="4" s="1"/>
  <c r="DN20" i="4" s="1"/>
  <c r="DO20" i="4" s="1"/>
  <c r="DP20" i="4" s="1"/>
  <c r="DQ20" i="4" s="1"/>
  <c r="DR20" i="4" s="1"/>
  <c r="DS20" i="4" s="1"/>
  <c r="DT20" i="4" s="1"/>
  <c r="DU20" i="4" s="1"/>
  <c r="DV20" i="4" s="1"/>
  <c r="DW20" i="4" s="1"/>
  <c r="DX20" i="4" s="1"/>
  <c r="DY20" i="4" s="1"/>
  <c r="DZ20" i="4" s="1"/>
  <c r="EA20" i="4" s="1"/>
  <c r="EB20" i="4" s="1"/>
  <c r="EC20" i="4" s="1"/>
  <c r="ED20" i="4" s="1"/>
  <c r="EE20" i="4" s="1"/>
  <c r="EF20" i="4" s="1"/>
  <c r="I19" i="4"/>
  <c r="J19" i="4" s="1"/>
  <c r="K19" i="4" s="1"/>
  <c r="L19" i="4" s="1"/>
  <c r="M19" i="4" s="1"/>
  <c r="N19" i="4" s="1"/>
  <c r="O19" i="4" s="1"/>
  <c r="P19" i="4" s="1"/>
  <c r="Q19" i="4" s="1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AK19" i="4" s="1"/>
  <c r="AL19" i="4" s="1"/>
  <c r="AM19" i="4" s="1"/>
  <c r="AN19" i="4" s="1"/>
  <c r="AO19" i="4" s="1"/>
  <c r="AP19" i="4" s="1"/>
  <c r="AQ19" i="4" s="1"/>
  <c r="AR19" i="4" s="1"/>
  <c r="AS19" i="4" s="1"/>
  <c r="AT19" i="4" s="1"/>
  <c r="AU19" i="4" s="1"/>
  <c r="AV19" i="4" s="1"/>
  <c r="AW19" i="4" s="1"/>
  <c r="AX19" i="4" s="1"/>
  <c r="AY19" i="4" s="1"/>
  <c r="AZ19" i="4" s="1"/>
  <c r="BA19" i="4" s="1"/>
  <c r="BB19" i="4" s="1"/>
  <c r="BC19" i="4" s="1"/>
  <c r="BD19" i="4" s="1"/>
  <c r="BE19" i="4" s="1"/>
  <c r="BF19" i="4" s="1"/>
  <c r="BG19" i="4" s="1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BY19" i="4" s="1"/>
  <c r="BZ19" i="4" s="1"/>
  <c r="CA19" i="4" s="1"/>
  <c r="CB19" i="4" s="1"/>
  <c r="CC19" i="4" s="1"/>
  <c r="CD19" i="4" s="1"/>
  <c r="CE19" i="4" s="1"/>
  <c r="CF19" i="4" s="1"/>
  <c r="CG19" i="4" s="1"/>
  <c r="CH19" i="4" s="1"/>
  <c r="CI19" i="4" s="1"/>
  <c r="CJ19" i="4" s="1"/>
  <c r="CK19" i="4" s="1"/>
  <c r="CL19" i="4" s="1"/>
  <c r="CM19" i="4" s="1"/>
  <c r="CN19" i="4" s="1"/>
  <c r="CO19" i="4" s="1"/>
  <c r="CP19" i="4" s="1"/>
  <c r="CQ19" i="4" s="1"/>
  <c r="CR19" i="4" s="1"/>
  <c r="CS19" i="4" s="1"/>
  <c r="CT19" i="4" s="1"/>
  <c r="CU19" i="4" s="1"/>
  <c r="CV19" i="4" s="1"/>
  <c r="CW19" i="4" s="1"/>
  <c r="CX19" i="4" s="1"/>
  <c r="CY19" i="4" s="1"/>
  <c r="CZ19" i="4" s="1"/>
  <c r="DA19" i="4" s="1"/>
  <c r="DB19" i="4" s="1"/>
  <c r="DC19" i="4" s="1"/>
  <c r="DD19" i="4" s="1"/>
  <c r="DE19" i="4" s="1"/>
  <c r="DF19" i="4" s="1"/>
  <c r="DG19" i="4" s="1"/>
  <c r="DH19" i="4" s="1"/>
  <c r="DI19" i="4" s="1"/>
  <c r="DJ19" i="4" s="1"/>
  <c r="DK19" i="4" s="1"/>
  <c r="DL19" i="4" s="1"/>
  <c r="DM19" i="4" s="1"/>
  <c r="DN19" i="4" s="1"/>
  <c r="DO19" i="4" s="1"/>
  <c r="DP19" i="4" s="1"/>
  <c r="DQ19" i="4" s="1"/>
  <c r="DR19" i="4" s="1"/>
  <c r="DS19" i="4" s="1"/>
  <c r="DT19" i="4" s="1"/>
  <c r="DU19" i="4" s="1"/>
  <c r="DV19" i="4" s="1"/>
  <c r="DW19" i="4" s="1"/>
  <c r="DX19" i="4" s="1"/>
  <c r="DY19" i="4" s="1"/>
  <c r="DZ19" i="4" s="1"/>
  <c r="EA19" i="4" s="1"/>
  <c r="EB19" i="4" s="1"/>
  <c r="EC19" i="4" s="1"/>
  <c r="ED19" i="4" s="1"/>
  <c r="EE19" i="4" s="1"/>
  <c r="EF19" i="4" s="1"/>
  <c r="E19" i="4"/>
  <c r="F19" i="4" s="1"/>
  <c r="G19" i="4" s="1"/>
  <c r="H19" i="4" s="1"/>
  <c r="D19" i="4"/>
  <c r="D18" i="4"/>
  <c r="E18" i="4" s="1"/>
  <c r="F18" i="4" s="1"/>
  <c r="G18" i="4" s="1"/>
  <c r="H18" i="4" s="1"/>
  <c r="I18" i="4" s="1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AU18" i="4" s="1"/>
  <c r="AV18" i="4" s="1"/>
  <c r="AW18" i="4" s="1"/>
  <c r="AX18" i="4" s="1"/>
  <c r="AY18" i="4" s="1"/>
  <c r="AZ18" i="4" s="1"/>
  <c r="BA18" i="4" s="1"/>
  <c r="BB18" i="4" s="1"/>
  <c r="BC18" i="4" s="1"/>
  <c r="BD18" i="4" s="1"/>
  <c r="BE18" i="4" s="1"/>
  <c r="BF18" i="4" s="1"/>
  <c r="BG18" i="4" s="1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Y18" i="4" s="1"/>
  <c r="BZ18" i="4" s="1"/>
  <c r="CA18" i="4" s="1"/>
  <c r="CB18" i="4" s="1"/>
  <c r="CC18" i="4" s="1"/>
  <c r="CD18" i="4" s="1"/>
  <c r="CE18" i="4" s="1"/>
  <c r="CF18" i="4" s="1"/>
  <c r="CG18" i="4" s="1"/>
  <c r="CH18" i="4" s="1"/>
  <c r="CI18" i="4" s="1"/>
  <c r="CJ18" i="4" s="1"/>
  <c r="CK18" i="4" s="1"/>
  <c r="CL18" i="4" s="1"/>
  <c r="CM18" i="4" s="1"/>
  <c r="CN18" i="4" s="1"/>
  <c r="CO18" i="4" s="1"/>
  <c r="CP18" i="4" s="1"/>
  <c r="CQ18" i="4" s="1"/>
  <c r="CR18" i="4" s="1"/>
  <c r="CS18" i="4" s="1"/>
  <c r="CT18" i="4" s="1"/>
  <c r="CU18" i="4" s="1"/>
  <c r="CV18" i="4" s="1"/>
  <c r="CW18" i="4" s="1"/>
  <c r="CX18" i="4" s="1"/>
  <c r="CY18" i="4" s="1"/>
  <c r="CZ18" i="4" s="1"/>
  <c r="DA18" i="4" s="1"/>
  <c r="DB18" i="4" s="1"/>
  <c r="DC18" i="4" s="1"/>
  <c r="DD18" i="4" s="1"/>
  <c r="DE18" i="4" s="1"/>
  <c r="DF18" i="4" s="1"/>
  <c r="DG18" i="4" s="1"/>
  <c r="DH18" i="4" s="1"/>
  <c r="DI18" i="4" s="1"/>
  <c r="DJ18" i="4" s="1"/>
  <c r="DK18" i="4" s="1"/>
  <c r="DL18" i="4" s="1"/>
  <c r="DM18" i="4" s="1"/>
  <c r="DN18" i="4" s="1"/>
  <c r="DO18" i="4" s="1"/>
  <c r="DP18" i="4" s="1"/>
  <c r="DQ18" i="4" s="1"/>
  <c r="DR18" i="4" s="1"/>
  <c r="DS18" i="4" s="1"/>
  <c r="DT18" i="4" s="1"/>
  <c r="DU18" i="4" s="1"/>
  <c r="DV18" i="4" s="1"/>
  <c r="DW18" i="4" s="1"/>
  <c r="DX18" i="4" s="1"/>
  <c r="DY18" i="4" s="1"/>
  <c r="DZ18" i="4" s="1"/>
  <c r="EA18" i="4" s="1"/>
  <c r="EB18" i="4" s="1"/>
  <c r="EC18" i="4" s="1"/>
  <c r="ED18" i="4" s="1"/>
  <c r="EE18" i="4" s="1"/>
  <c r="EF18" i="4" s="1"/>
  <c r="AF17" i="4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I17" i="4" s="1"/>
  <c r="CJ17" i="4" s="1"/>
  <c r="CK17" i="4" s="1"/>
  <c r="CL17" i="4" s="1"/>
  <c r="CM17" i="4" s="1"/>
  <c r="CN17" i="4" s="1"/>
  <c r="CO17" i="4" s="1"/>
  <c r="CP17" i="4" s="1"/>
  <c r="CQ17" i="4" s="1"/>
  <c r="CR17" i="4" s="1"/>
  <c r="CS17" i="4" s="1"/>
  <c r="CT17" i="4" s="1"/>
  <c r="CU17" i="4" s="1"/>
  <c r="CV17" i="4" s="1"/>
  <c r="CW17" i="4" s="1"/>
  <c r="CX17" i="4" s="1"/>
  <c r="CY17" i="4" s="1"/>
  <c r="CZ17" i="4" s="1"/>
  <c r="DA17" i="4" s="1"/>
  <c r="DB17" i="4" s="1"/>
  <c r="DC17" i="4" s="1"/>
  <c r="DD17" i="4" s="1"/>
  <c r="DE17" i="4" s="1"/>
  <c r="DF17" i="4" s="1"/>
  <c r="DG17" i="4" s="1"/>
  <c r="DH17" i="4" s="1"/>
  <c r="DI17" i="4" s="1"/>
  <c r="DJ17" i="4" s="1"/>
  <c r="DK17" i="4" s="1"/>
  <c r="DL17" i="4" s="1"/>
  <c r="DM17" i="4" s="1"/>
  <c r="DN17" i="4" s="1"/>
  <c r="DO17" i="4" s="1"/>
  <c r="DP17" i="4" s="1"/>
  <c r="DQ17" i="4" s="1"/>
  <c r="DR17" i="4" s="1"/>
  <c r="DS17" i="4" s="1"/>
  <c r="DT17" i="4" s="1"/>
  <c r="DU17" i="4" s="1"/>
  <c r="DV17" i="4" s="1"/>
  <c r="DW17" i="4" s="1"/>
  <c r="DX17" i="4" s="1"/>
  <c r="DY17" i="4" s="1"/>
  <c r="DZ17" i="4" s="1"/>
  <c r="EA17" i="4" s="1"/>
  <c r="EB17" i="4" s="1"/>
  <c r="EC17" i="4" s="1"/>
  <c r="ED17" i="4" s="1"/>
  <c r="EE17" i="4" s="1"/>
  <c r="EF17" i="4" s="1"/>
  <c r="AE17" i="4"/>
  <c r="G17" i="4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F17" i="4"/>
  <c r="E17" i="4"/>
  <c r="D17" i="4"/>
  <c r="E16" i="4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AK16" i="4" s="1"/>
  <c r="AL16" i="4" s="1"/>
  <c r="AM16" i="4" s="1"/>
  <c r="AN16" i="4" s="1"/>
  <c r="AO16" i="4" s="1"/>
  <c r="AP16" i="4" s="1"/>
  <c r="AQ16" i="4" s="1"/>
  <c r="AR16" i="4" s="1"/>
  <c r="AS16" i="4" s="1"/>
  <c r="AT16" i="4" s="1"/>
  <c r="AU16" i="4" s="1"/>
  <c r="AV16" i="4" s="1"/>
  <c r="AW16" i="4" s="1"/>
  <c r="AX16" i="4" s="1"/>
  <c r="AY16" i="4" s="1"/>
  <c r="AZ16" i="4" s="1"/>
  <c r="BA16" i="4" s="1"/>
  <c r="BB16" i="4" s="1"/>
  <c r="BC16" i="4" s="1"/>
  <c r="BD16" i="4" s="1"/>
  <c r="BE16" i="4" s="1"/>
  <c r="BF16" i="4" s="1"/>
  <c r="BG16" i="4" s="1"/>
  <c r="BH16" i="4" s="1"/>
  <c r="BI16" i="4" s="1"/>
  <c r="BJ16" i="4" s="1"/>
  <c r="BK16" i="4" s="1"/>
  <c r="BL16" i="4" s="1"/>
  <c r="BM16" i="4" s="1"/>
  <c r="BN16" i="4" s="1"/>
  <c r="BO16" i="4" s="1"/>
  <c r="BP16" i="4" s="1"/>
  <c r="BQ16" i="4" s="1"/>
  <c r="BR16" i="4" s="1"/>
  <c r="BS16" i="4" s="1"/>
  <c r="BT16" i="4" s="1"/>
  <c r="BU16" i="4" s="1"/>
  <c r="BV16" i="4" s="1"/>
  <c r="BW16" i="4" s="1"/>
  <c r="BX16" i="4" s="1"/>
  <c r="BY16" i="4" s="1"/>
  <c r="BZ16" i="4" s="1"/>
  <c r="CA16" i="4" s="1"/>
  <c r="CB16" i="4" s="1"/>
  <c r="CC16" i="4" s="1"/>
  <c r="CD16" i="4" s="1"/>
  <c r="CE16" i="4" s="1"/>
  <c r="CF16" i="4" s="1"/>
  <c r="CG16" i="4" s="1"/>
  <c r="CH16" i="4" s="1"/>
  <c r="CI16" i="4" s="1"/>
  <c r="CJ16" i="4" s="1"/>
  <c r="CK16" i="4" s="1"/>
  <c r="CL16" i="4" s="1"/>
  <c r="CM16" i="4" s="1"/>
  <c r="CN16" i="4" s="1"/>
  <c r="CO16" i="4" s="1"/>
  <c r="CP16" i="4" s="1"/>
  <c r="CQ16" i="4" s="1"/>
  <c r="CR16" i="4" s="1"/>
  <c r="CS16" i="4" s="1"/>
  <c r="CT16" i="4" s="1"/>
  <c r="CU16" i="4" s="1"/>
  <c r="CV16" i="4" s="1"/>
  <c r="CW16" i="4" s="1"/>
  <c r="CX16" i="4" s="1"/>
  <c r="CY16" i="4" s="1"/>
  <c r="CZ16" i="4" s="1"/>
  <c r="DA16" i="4" s="1"/>
  <c r="DB16" i="4" s="1"/>
  <c r="DC16" i="4" s="1"/>
  <c r="DD16" i="4" s="1"/>
  <c r="DE16" i="4" s="1"/>
  <c r="DF16" i="4" s="1"/>
  <c r="DG16" i="4" s="1"/>
  <c r="DH16" i="4" s="1"/>
  <c r="DI16" i="4" s="1"/>
  <c r="DJ16" i="4" s="1"/>
  <c r="DK16" i="4" s="1"/>
  <c r="DL16" i="4" s="1"/>
  <c r="DM16" i="4" s="1"/>
  <c r="DN16" i="4" s="1"/>
  <c r="DO16" i="4" s="1"/>
  <c r="DP16" i="4" s="1"/>
  <c r="DQ16" i="4" s="1"/>
  <c r="DR16" i="4" s="1"/>
  <c r="DS16" i="4" s="1"/>
  <c r="DT16" i="4" s="1"/>
  <c r="DU16" i="4" s="1"/>
  <c r="DV16" i="4" s="1"/>
  <c r="DW16" i="4" s="1"/>
  <c r="DX16" i="4" s="1"/>
  <c r="DY16" i="4" s="1"/>
  <c r="DZ16" i="4" s="1"/>
  <c r="EA16" i="4" s="1"/>
  <c r="EB16" i="4" s="1"/>
  <c r="EC16" i="4" s="1"/>
  <c r="ED16" i="4" s="1"/>
  <c r="EE16" i="4" s="1"/>
  <c r="EF16" i="4" s="1"/>
  <c r="D16" i="4"/>
  <c r="AH15" i="4"/>
  <c r="AI15" i="4" s="1"/>
  <c r="AJ15" i="4" s="1"/>
  <c r="AK15" i="4" s="1"/>
  <c r="AL15" i="4" s="1"/>
  <c r="AM15" i="4" s="1"/>
  <c r="AN15" i="4" s="1"/>
  <c r="AO15" i="4" s="1"/>
  <c r="AP15" i="4" s="1"/>
  <c r="AQ15" i="4" s="1"/>
  <c r="AR15" i="4" s="1"/>
  <c r="AS15" i="4" s="1"/>
  <c r="AT15" i="4" s="1"/>
  <c r="AU15" i="4" s="1"/>
  <c r="AV15" i="4" s="1"/>
  <c r="AW15" i="4" s="1"/>
  <c r="AX15" i="4" s="1"/>
  <c r="AY15" i="4" s="1"/>
  <c r="AZ15" i="4" s="1"/>
  <c r="BA15" i="4" s="1"/>
  <c r="BB15" i="4" s="1"/>
  <c r="BC15" i="4" s="1"/>
  <c r="BD15" i="4" s="1"/>
  <c r="BE15" i="4" s="1"/>
  <c r="BF15" i="4" s="1"/>
  <c r="BG15" i="4" s="1"/>
  <c r="BH15" i="4" s="1"/>
  <c r="BI15" i="4" s="1"/>
  <c r="BJ15" i="4" s="1"/>
  <c r="BK15" i="4" s="1"/>
  <c r="BL15" i="4" s="1"/>
  <c r="BM15" i="4" s="1"/>
  <c r="BN15" i="4" s="1"/>
  <c r="BO15" i="4" s="1"/>
  <c r="BP15" i="4" s="1"/>
  <c r="BQ15" i="4" s="1"/>
  <c r="BR15" i="4" s="1"/>
  <c r="BS15" i="4" s="1"/>
  <c r="BT15" i="4" s="1"/>
  <c r="BU15" i="4" s="1"/>
  <c r="BV15" i="4" s="1"/>
  <c r="BW15" i="4" s="1"/>
  <c r="BX15" i="4" s="1"/>
  <c r="BY15" i="4" s="1"/>
  <c r="BZ15" i="4" s="1"/>
  <c r="CA15" i="4" s="1"/>
  <c r="CB15" i="4" s="1"/>
  <c r="CC15" i="4" s="1"/>
  <c r="CD15" i="4" s="1"/>
  <c r="CE15" i="4" s="1"/>
  <c r="CF15" i="4" s="1"/>
  <c r="CG15" i="4" s="1"/>
  <c r="CH15" i="4" s="1"/>
  <c r="CI15" i="4" s="1"/>
  <c r="CJ15" i="4" s="1"/>
  <c r="CK15" i="4" s="1"/>
  <c r="CL15" i="4" s="1"/>
  <c r="CM15" i="4" s="1"/>
  <c r="CN15" i="4" s="1"/>
  <c r="CO15" i="4" s="1"/>
  <c r="CP15" i="4" s="1"/>
  <c r="CQ15" i="4" s="1"/>
  <c r="CR15" i="4" s="1"/>
  <c r="CS15" i="4" s="1"/>
  <c r="CT15" i="4" s="1"/>
  <c r="CU15" i="4" s="1"/>
  <c r="CV15" i="4" s="1"/>
  <c r="CW15" i="4" s="1"/>
  <c r="CX15" i="4" s="1"/>
  <c r="CY15" i="4" s="1"/>
  <c r="CZ15" i="4" s="1"/>
  <c r="DA15" i="4" s="1"/>
  <c r="DB15" i="4" s="1"/>
  <c r="DC15" i="4" s="1"/>
  <c r="DD15" i="4" s="1"/>
  <c r="DE15" i="4" s="1"/>
  <c r="DF15" i="4" s="1"/>
  <c r="DG15" i="4" s="1"/>
  <c r="DH15" i="4" s="1"/>
  <c r="DI15" i="4" s="1"/>
  <c r="DJ15" i="4" s="1"/>
  <c r="DK15" i="4" s="1"/>
  <c r="DL15" i="4" s="1"/>
  <c r="DM15" i="4" s="1"/>
  <c r="DN15" i="4" s="1"/>
  <c r="DO15" i="4" s="1"/>
  <c r="DP15" i="4" s="1"/>
  <c r="DQ15" i="4" s="1"/>
  <c r="DR15" i="4" s="1"/>
  <c r="DS15" i="4" s="1"/>
  <c r="DT15" i="4" s="1"/>
  <c r="DU15" i="4" s="1"/>
  <c r="DV15" i="4" s="1"/>
  <c r="DW15" i="4" s="1"/>
  <c r="DX15" i="4" s="1"/>
  <c r="DY15" i="4" s="1"/>
  <c r="DZ15" i="4" s="1"/>
  <c r="EA15" i="4" s="1"/>
  <c r="EB15" i="4" s="1"/>
  <c r="EC15" i="4" s="1"/>
  <c r="ED15" i="4" s="1"/>
  <c r="EE15" i="4" s="1"/>
  <c r="EF15" i="4" s="1"/>
  <c r="D15" i="4"/>
  <c r="E15" i="4" s="1"/>
  <c r="F15" i="4" s="1"/>
  <c r="G15" i="4" s="1"/>
  <c r="H15" i="4" s="1"/>
  <c r="I15" i="4" s="1"/>
  <c r="J15" i="4" s="1"/>
  <c r="K15" i="4" s="1"/>
  <c r="L15" i="4" s="1"/>
  <c r="M15" i="4" s="1"/>
  <c r="N15" i="4" s="1"/>
  <c r="O15" i="4" s="1"/>
  <c r="P15" i="4" s="1"/>
  <c r="Q15" i="4" s="1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J14" i="4"/>
  <c r="K14" i="4" s="1"/>
  <c r="L14" i="4" s="1"/>
  <c r="M14" i="4" s="1"/>
  <c r="N14" i="4" s="1"/>
  <c r="O14" i="4" s="1"/>
  <c r="P14" i="4" s="1"/>
  <c r="Q14" i="4" s="1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AK14" i="4" s="1"/>
  <c r="AL14" i="4" s="1"/>
  <c r="AM14" i="4" s="1"/>
  <c r="AN14" i="4" s="1"/>
  <c r="AO14" i="4" s="1"/>
  <c r="AP14" i="4" s="1"/>
  <c r="AQ14" i="4" s="1"/>
  <c r="AR14" i="4" s="1"/>
  <c r="AS14" i="4" s="1"/>
  <c r="AT14" i="4" s="1"/>
  <c r="AU14" i="4" s="1"/>
  <c r="AV14" i="4" s="1"/>
  <c r="AW14" i="4" s="1"/>
  <c r="AX14" i="4" s="1"/>
  <c r="AY14" i="4" s="1"/>
  <c r="AZ14" i="4" s="1"/>
  <c r="BA14" i="4" s="1"/>
  <c r="BB14" i="4" s="1"/>
  <c r="BC14" i="4" s="1"/>
  <c r="BD14" i="4" s="1"/>
  <c r="BE14" i="4" s="1"/>
  <c r="BF14" i="4" s="1"/>
  <c r="BG14" i="4" s="1"/>
  <c r="BH14" i="4" s="1"/>
  <c r="BI14" i="4" s="1"/>
  <c r="BJ14" i="4" s="1"/>
  <c r="BK14" i="4" s="1"/>
  <c r="BL14" i="4" s="1"/>
  <c r="BM14" i="4" s="1"/>
  <c r="BN14" i="4" s="1"/>
  <c r="BO14" i="4" s="1"/>
  <c r="BP14" i="4" s="1"/>
  <c r="BQ14" i="4" s="1"/>
  <c r="BR14" i="4" s="1"/>
  <c r="BS14" i="4" s="1"/>
  <c r="BT14" i="4" s="1"/>
  <c r="BU14" i="4" s="1"/>
  <c r="BV14" i="4" s="1"/>
  <c r="BW14" i="4" s="1"/>
  <c r="BX14" i="4" s="1"/>
  <c r="BY14" i="4" s="1"/>
  <c r="BZ14" i="4" s="1"/>
  <c r="CA14" i="4" s="1"/>
  <c r="CB14" i="4" s="1"/>
  <c r="CC14" i="4" s="1"/>
  <c r="CD14" i="4" s="1"/>
  <c r="CE14" i="4" s="1"/>
  <c r="CF14" i="4" s="1"/>
  <c r="CG14" i="4" s="1"/>
  <c r="CH14" i="4" s="1"/>
  <c r="CI14" i="4" s="1"/>
  <c r="CJ14" i="4" s="1"/>
  <c r="CK14" i="4" s="1"/>
  <c r="CL14" i="4" s="1"/>
  <c r="CM14" i="4" s="1"/>
  <c r="CN14" i="4" s="1"/>
  <c r="CO14" i="4" s="1"/>
  <c r="CP14" i="4" s="1"/>
  <c r="CQ14" i="4" s="1"/>
  <c r="CR14" i="4" s="1"/>
  <c r="CS14" i="4" s="1"/>
  <c r="CT14" i="4" s="1"/>
  <c r="CU14" i="4" s="1"/>
  <c r="CV14" i="4" s="1"/>
  <c r="CW14" i="4" s="1"/>
  <c r="CX14" i="4" s="1"/>
  <c r="CY14" i="4" s="1"/>
  <c r="CZ14" i="4" s="1"/>
  <c r="DA14" i="4" s="1"/>
  <c r="DB14" i="4" s="1"/>
  <c r="DC14" i="4" s="1"/>
  <c r="DD14" i="4" s="1"/>
  <c r="DE14" i="4" s="1"/>
  <c r="DF14" i="4" s="1"/>
  <c r="DG14" i="4" s="1"/>
  <c r="DH14" i="4" s="1"/>
  <c r="DI14" i="4" s="1"/>
  <c r="DJ14" i="4" s="1"/>
  <c r="DK14" i="4" s="1"/>
  <c r="DL14" i="4" s="1"/>
  <c r="DM14" i="4" s="1"/>
  <c r="DN14" i="4" s="1"/>
  <c r="DO14" i="4" s="1"/>
  <c r="DP14" i="4" s="1"/>
  <c r="DQ14" i="4" s="1"/>
  <c r="DR14" i="4" s="1"/>
  <c r="DS14" i="4" s="1"/>
  <c r="DT14" i="4" s="1"/>
  <c r="DU14" i="4" s="1"/>
  <c r="DV14" i="4" s="1"/>
  <c r="DW14" i="4" s="1"/>
  <c r="DX14" i="4" s="1"/>
  <c r="DY14" i="4" s="1"/>
  <c r="DZ14" i="4" s="1"/>
  <c r="EA14" i="4" s="1"/>
  <c r="EB14" i="4" s="1"/>
  <c r="EC14" i="4" s="1"/>
  <c r="ED14" i="4" s="1"/>
  <c r="EE14" i="4" s="1"/>
  <c r="EF14" i="4" s="1"/>
  <c r="G14" i="4"/>
  <c r="H14" i="4" s="1"/>
  <c r="I14" i="4" s="1"/>
  <c r="D14" i="4"/>
  <c r="E14" i="4" s="1"/>
  <c r="F14" i="4" s="1"/>
  <c r="T13" i="4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AK13" i="4" s="1"/>
  <c r="AL13" i="4" s="1"/>
  <c r="AM13" i="4" s="1"/>
  <c r="AN13" i="4" s="1"/>
  <c r="AO13" i="4" s="1"/>
  <c r="AP13" i="4" s="1"/>
  <c r="AQ13" i="4" s="1"/>
  <c r="AR13" i="4" s="1"/>
  <c r="AS13" i="4" s="1"/>
  <c r="AT13" i="4" s="1"/>
  <c r="AU13" i="4" s="1"/>
  <c r="AV13" i="4" s="1"/>
  <c r="AW13" i="4" s="1"/>
  <c r="AX13" i="4" s="1"/>
  <c r="AY13" i="4" s="1"/>
  <c r="AZ13" i="4" s="1"/>
  <c r="BA13" i="4" s="1"/>
  <c r="BB13" i="4" s="1"/>
  <c r="BC13" i="4" s="1"/>
  <c r="BD13" i="4" s="1"/>
  <c r="BE13" i="4" s="1"/>
  <c r="BF13" i="4" s="1"/>
  <c r="BG13" i="4" s="1"/>
  <c r="BH13" i="4" s="1"/>
  <c r="BI13" i="4" s="1"/>
  <c r="BJ13" i="4" s="1"/>
  <c r="BK13" i="4" s="1"/>
  <c r="BL13" i="4" s="1"/>
  <c r="BM13" i="4" s="1"/>
  <c r="BN13" i="4" s="1"/>
  <c r="BO13" i="4" s="1"/>
  <c r="BP13" i="4" s="1"/>
  <c r="BQ13" i="4" s="1"/>
  <c r="BR13" i="4" s="1"/>
  <c r="BS13" i="4" s="1"/>
  <c r="BT13" i="4" s="1"/>
  <c r="BU13" i="4" s="1"/>
  <c r="BV13" i="4" s="1"/>
  <c r="BW13" i="4" s="1"/>
  <c r="BX13" i="4" s="1"/>
  <c r="BY13" i="4" s="1"/>
  <c r="BZ13" i="4" s="1"/>
  <c r="CA13" i="4" s="1"/>
  <c r="CB13" i="4" s="1"/>
  <c r="CC13" i="4" s="1"/>
  <c r="CD13" i="4" s="1"/>
  <c r="CE13" i="4" s="1"/>
  <c r="CF13" i="4" s="1"/>
  <c r="CG13" i="4" s="1"/>
  <c r="CH13" i="4" s="1"/>
  <c r="CI13" i="4" s="1"/>
  <c r="CJ13" i="4" s="1"/>
  <c r="CK13" i="4" s="1"/>
  <c r="CL13" i="4" s="1"/>
  <c r="CM13" i="4" s="1"/>
  <c r="CN13" i="4" s="1"/>
  <c r="CO13" i="4" s="1"/>
  <c r="CP13" i="4" s="1"/>
  <c r="CQ13" i="4" s="1"/>
  <c r="CR13" i="4" s="1"/>
  <c r="CS13" i="4" s="1"/>
  <c r="CT13" i="4" s="1"/>
  <c r="CU13" i="4" s="1"/>
  <c r="CV13" i="4" s="1"/>
  <c r="CW13" i="4" s="1"/>
  <c r="CX13" i="4" s="1"/>
  <c r="CY13" i="4" s="1"/>
  <c r="CZ13" i="4" s="1"/>
  <c r="DA13" i="4" s="1"/>
  <c r="DB13" i="4" s="1"/>
  <c r="DC13" i="4" s="1"/>
  <c r="DD13" i="4" s="1"/>
  <c r="DE13" i="4" s="1"/>
  <c r="DF13" i="4" s="1"/>
  <c r="DG13" i="4" s="1"/>
  <c r="DH13" i="4" s="1"/>
  <c r="DI13" i="4" s="1"/>
  <c r="DJ13" i="4" s="1"/>
  <c r="DK13" i="4" s="1"/>
  <c r="DL13" i="4" s="1"/>
  <c r="DM13" i="4" s="1"/>
  <c r="DN13" i="4" s="1"/>
  <c r="DO13" i="4" s="1"/>
  <c r="DP13" i="4" s="1"/>
  <c r="DQ13" i="4" s="1"/>
  <c r="DR13" i="4" s="1"/>
  <c r="DS13" i="4" s="1"/>
  <c r="DT13" i="4" s="1"/>
  <c r="DU13" i="4" s="1"/>
  <c r="DV13" i="4" s="1"/>
  <c r="DW13" i="4" s="1"/>
  <c r="DX13" i="4" s="1"/>
  <c r="DY13" i="4" s="1"/>
  <c r="DZ13" i="4" s="1"/>
  <c r="EA13" i="4" s="1"/>
  <c r="EB13" i="4" s="1"/>
  <c r="EC13" i="4" s="1"/>
  <c r="ED13" i="4" s="1"/>
  <c r="EE13" i="4" s="1"/>
  <c r="EF13" i="4" s="1"/>
  <c r="Q13" i="4"/>
  <c r="R13" i="4" s="1"/>
  <c r="S13" i="4" s="1"/>
  <c r="H13" i="4"/>
  <c r="I13" i="4" s="1"/>
  <c r="J13" i="4" s="1"/>
  <c r="K13" i="4" s="1"/>
  <c r="L13" i="4" s="1"/>
  <c r="M13" i="4" s="1"/>
  <c r="N13" i="4" s="1"/>
  <c r="O13" i="4" s="1"/>
  <c r="P13" i="4" s="1"/>
  <c r="D13" i="4"/>
  <c r="E13" i="4" s="1"/>
  <c r="F13" i="4" s="1"/>
  <c r="G13" i="4" s="1"/>
  <c r="D12" i="4"/>
  <c r="E12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DU12" i="4" s="1"/>
  <c r="DV12" i="4" s="1"/>
  <c r="DW12" i="4" s="1"/>
  <c r="DX12" i="4" s="1"/>
  <c r="DY12" i="4" s="1"/>
  <c r="DZ12" i="4" s="1"/>
  <c r="EA12" i="4" s="1"/>
  <c r="EB12" i="4" s="1"/>
  <c r="EC12" i="4" s="1"/>
  <c r="ED12" i="4" s="1"/>
  <c r="EE12" i="4" s="1"/>
  <c r="EF12" i="4" s="1"/>
  <c r="EG8" i="4"/>
  <c r="EE8" i="4"/>
  <c r="EC8" i="4"/>
  <c r="DW8" i="4"/>
  <c r="DV8" i="4"/>
  <c r="DM8" i="4"/>
  <c r="DG8" i="4"/>
  <c r="DF8" i="4"/>
  <c r="DE8" i="4"/>
  <c r="DD8" i="4"/>
  <c r="DC8" i="4"/>
  <c r="CW8" i="4"/>
  <c r="CR8" i="4"/>
  <c r="CO8" i="4"/>
  <c r="CN8" i="4"/>
  <c r="CL8" i="4"/>
  <c r="BS8" i="4"/>
  <c r="BQ8" i="4"/>
  <c r="BP8" i="4"/>
  <c r="BK8" i="4"/>
  <c r="BJ8" i="4"/>
  <c r="BA8" i="4"/>
  <c r="AU8" i="4"/>
  <c r="AR8" i="4"/>
  <c r="AM8" i="4"/>
  <c r="AK8" i="4"/>
  <c r="AJ8" i="4"/>
  <c r="AI8" i="4"/>
  <c r="AE8" i="4"/>
  <c r="AD8" i="4"/>
  <c r="AC8" i="4"/>
  <c r="AB8" i="4"/>
  <c r="J8" i="4"/>
  <c r="DZ7" i="4"/>
  <c r="DY7" i="4"/>
  <c r="DX7" i="4"/>
  <c r="DW7" i="4"/>
  <c r="DV7" i="4"/>
  <c r="DM7" i="4"/>
  <c r="DG7" i="4"/>
  <c r="DF7" i="4"/>
  <c r="DD7" i="4"/>
  <c r="DC7" i="4"/>
  <c r="CQ7" i="4"/>
  <c r="CN7" i="4"/>
  <c r="CM7" i="4"/>
  <c r="CL7" i="4"/>
  <c r="CI7" i="4"/>
  <c r="CH7" i="4"/>
  <c r="BS7" i="4"/>
  <c r="BQ7" i="4"/>
  <c r="BP7" i="4"/>
  <c r="BM7" i="4"/>
  <c r="BJ7" i="4"/>
  <c r="BA7" i="4"/>
  <c r="AZ7" i="4"/>
  <c r="AX7" i="4"/>
  <c r="AU7" i="4"/>
  <c r="AR7" i="4"/>
  <c r="AD7" i="4"/>
  <c r="AB7" i="4"/>
  <c r="AA7" i="4"/>
  <c r="Z7" i="4"/>
  <c r="P7" i="4"/>
  <c r="O7" i="4"/>
  <c r="J7" i="4"/>
  <c r="G7" i="4"/>
  <c r="EG6" i="4" a="1"/>
  <c r="EG6" i="4" s="1"/>
  <c r="EG7" i="4" s="1"/>
  <c r="EF6" i="4" a="1"/>
  <c r="EF6" i="4" s="1"/>
  <c r="EE6" i="4" a="1"/>
  <c r="EE6" i="4" s="1"/>
  <c r="EE7" i="4" s="1"/>
  <c r="ED6" i="4" a="1"/>
  <c r="ED6" i="4" s="1"/>
  <c r="EC6" i="4" a="1"/>
  <c r="EC6" i="4" s="1"/>
  <c r="EC7" i="4" s="1"/>
  <c r="EB6" i="4" a="1"/>
  <c r="EB6" i="4"/>
  <c r="EA6" i="4" a="1"/>
  <c r="EA6" i="4" s="1"/>
  <c r="EA8" i="4" s="1"/>
  <c r="DZ6" i="4" a="1"/>
  <c r="DZ6" i="4"/>
  <c r="DZ8" i="4" s="1"/>
  <c r="DY6" i="4" a="1"/>
  <c r="DY6" i="4" s="1"/>
  <c r="DY8" i="4" s="1"/>
  <c r="DX6" i="4" a="1"/>
  <c r="DX6" i="4" s="1"/>
  <c r="DX8" i="4" s="1"/>
  <c r="DW6" i="4" a="1"/>
  <c r="DW6" i="4" s="1"/>
  <c r="DV6" i="4" a="1"/>
  <c r="DV6" i="4"/>
  <c r="DU6" i="4" a="1"/>
  <c r="DU6" i="4" s="1"/>
  <c r="DT6" i="4" a="1"/>
  <c r="DT6" i="4"/>
  <c r="DS6" i="4" a="1"/>
  <c r="DS6" i="4" s="1"/>
  <c r="DR6" i="4" a="1"/>
  <c r="DR6" i="4"/>
  <c r="DQ6" i="4" a="1"/>
  <c r="DQ6" i="4" s="1"/>
  <c r="DP6" i="4" a="1"/>
  <c r="DP6" i="4" s="1"/>
  <c r="DO6" i="4" a="1"/>
  <c r="DO6" i="4" s="1"/>
  <c r="DN6" i="4" a="1"/>
  <c r="DN6" i="4" s="1"/>
  <c r="DM6" i="4" a="1"/>
  <c r="DM6" i="4" s="1"/>
  <c r="DL6" i="4" a="1"/>
  <c r="DL6" i="4"/>
  <c r="DK6" i="4" a="1"/>
  <c r="DK6" i="4" s="1"/>
  <c r="DJ6" i="4" a="1"/>
  <c r="DJ6" i="4"/>
  <c r="DI6" i="4" a="1"/>
  <c r="DI6" i="4"/>
  <c r="DH6" i="4" a="1"/>
  <c r="DH6" i="4" s="1"/>
  <c r="DG6" i="4" a="1"/>
  <c r="DG6" i="4" s="1"/>
  <c r="DF6" i="4" a="1"/>
  <c r="DF6" i="4"/>
  <c r="DE6" i="4" a="1"/>
  <c r="DE6" i="4" s="1"/>
  <c r="DE7" i="4" s="1"/>
  <c r="DD6" i="4" a="1"/>
  <c r="DD6" i="4"/>
  <c r="DC6" i="4" a="1"/>
  <c r="DC6" i="4"/>
  <c r="DB6" i="4" a="1"/>
  <c r="DB6" i="4" s="1"/>
  <c r="DA6" i="4" a="1"/>
  <c r="DA6" i="4"/>
  <c r="CZ6" i="4" a="1"/>
  <c r="CZ6" i="4"/>
  <c r="CY6" i="4" a="1"/>
  <c r="CY6" i="4" s="1"/>
  <c r="CX6" i="4" a="1"/>
  <c r="CX6" i="4" s="1"/>
  <c r="CW6" i="4" a="1"/>
  <c r="CW6" i="4" s="1"/>
  <c r="CW7" i="4" s="1"/>
  <c r="CV6" i="4" a="1"/>
  <c r="CV6" i="4"/>
  <c r="CU6" i="4" a="1"/>
  <c r="CU6" i="4" s="1"/>
  <c r="CT6" i="4" a="1"/>
  <c r="CT6" i="4"/>
  <c r="CS6" i="4" a="1"/>
  <c r="CS6" i="4"/>
  <c r="CR6" i="4" a="1"/>
  <c r="CR6" i="4" s="1"/>
  <c r="CR7" i="4" s="1"/>
  <c r="CQ6" i="4" a="1"/>
  <c r="CQ6" i="4" s="1"/>
  <c r="CQ8" i="4" s="1"/>
  <c r="CP6" i="4" a="1"/>
  <c r="CP6" i="4" s="1"/>
  <c r="CO6" i="4" a="1"/>
  <c r="CO6" i="4" s="1"/>
  <c r="CO7" i="4" s="1"/>
  <c r="CN6" i="4" a="1"/>
  <c r="CN6" i="4"/>
  <c r="CM6" i="4" a="1"/>
  <c r="CM6" i="4" s="1"/>
  <c r="CM8" i="4" s="1"/>
  <c r="CL6" i="4" a="1"/>
  <c r="CL6" i="4" s="1"/>
  <c r="CK6" i="4" a="1"/>
  <c r="CK6" i="4"/>
  <c r="CK7" i="4" s="1"/>
  <c r="CJ6" i="4" a="1"/>
  <c r="CJ6" i="4" s="1"/>
  <c r="CI6" i="4" a="1"/>
  <c r="CI6" i="4" s="1"/>
  <c r="CI8" i="4" s="1"/>
  <c r="CH6" i="4" a="1"/>
  <c r="CH6" i="4" s="1"/>
  <c r="CH8" i="4" s="1"/>
  <c r="CG6" i="4" a="1"/>
  <c r="CG6" i="4" s="1"/>
  <c r="CF6" i="4" a="1"/>
  <c r="CF6" i="4"/>
  <c r="CE6" i="4" a="1"/>
  <c r="CE6" i="4" s="1"/>
  <c r="CD6" i="4" a="1"/>
  <c r="CD6" i="4" s="1"/>
  <c r="CC6" i="4" a="1"/>
  <c r="CC6" i="4" s="1"/>
  <c r="CB6" i="4" a="1"/>
  <c r="CB6" i="4"/>
  <c r="CA6" i="4" a="1"/>
  <c r="CA6" i="4" s="1"/>
  <c r="BZ6" i="4" a="1"/>
  <c r="BZ6" i="4" s="1"/>
  <c r="BY6" i="4" a="1"/>
  <c r="BY6" i="4" s="1"/>
  <c r="BY7" i="4" s="1"/>
  <c r="BX6" i="4" a="1"/>
  <c r="BX6" i="4"/>
  <c r="BW6" i="4" a="1"/>
  <c r="BW6" i="4"/>
  <c r="BV6" i="4" a="1"/>
  <c r="BV6" i="4" s="1"/>
  <c r="BU6" i="4" a="1"/>
  <c r="BU6" i="4" s="1"/>
  <c r="BT6" i="4" a="1"/>
  <c r="BT6" i="4" s="1"/>
  <c r="BS6" i="4" a="1"/>
  <c r="BS6" i="4" s="1"/>
  <c r="BR6" i="4" a="1"/>
  <c r="BR6" i="4" s="1"/>
  <c r="BQ6" i="4" a="1"/>
  <c r="BQ6" i="4" s="1"/>
  <c r="BP6" i="4" a="1"/>
  <c r="BP6" i="4"/>
  <c r="BO6" i="4" a="1"/>
  <c r="BO6" i="4" s="1"/>
  <c r="BN6" i="4" a="1"/>
  <c r="BN6" i="4"/>
  <c r="BN8" i="4" s="1"/>
  <c r="BM6" i="4" a="1"/>
  <c r="BM6" i="4" s="1"/>
  <c r="BM8" i="4" s="1"/>
  <c r="BL6" i="4" a="1"/>
  <c r="BL6" i="4" s="1"/>
  <c r="BK6" i="4" a="1"/>
  <c r="BK6" i="4" s="1"/>
  <c r="BK7" i="4" s="1"/>
  <c r="BJ6" i="4" a="1"/>
  <c r="BJ6" i="4"/>
  <c r="BI6" i="4" a="1"/>
  <c r="BI6" i="4" s="1"/>
  <c r="BH6" i="4" a="1"/>
  <c r="BH6" i="4"/>
  <c r="BG6" i="4" a="1"/>
  <c r="BG6" i="4"/>
  <c r="BF6" i="4" a="1"/>
  <c r="BF6" i="4" s="1"/>
  <c r="BF7" i="4" s="1"/>
  <c r="BE6" i="4" a="1"/>
  <c r="BE6" i="4"/>
  <c r="BD6" i="4" a="1"/>
  <c r="BD6" i="4" s="1"/>
  <c r="BD7" i="4" s="1"/>
  <c r="BC6" i="4" a="1"/>
  <c r="BC6" i="4" s="1"/>
  <c r="BC7" i="4" s="1"/>
  <c r="BB6" i="4" a="1"/>
  <c r="BB6" i="4" s="1"/>
  <c r="BA6" i="4" a="1"/>
  <c r="BA6" i="4" s="1"/>
  <c r="AZ6" i="4" a="1"/>
  <c r="AZ6" i="4"/>
  <c r="AZ8" i="4" s="1"/>
  <c r="AY6" i="4" a="1"/>
  <c r="AY6" i="4"/>
  <c r="AX6" i="4" a="1"/>
  <c r="AX6" i="4" s="1"/>
  <c r="AX8" i="4" s="1"/>
  <c r="AW6" i="4" a="1"/>
  <c r="AW6" i="4"/>
  <c r="AW8" i="4" s="1"/>
  <c r="AV6" i="4" a="1"/>
  <c r="AV6" i="4" s="1"/>
  <c r="AU6" i="4" a="1"/>
  <c r="AU6" i="4" s="1"/>
  <c r="AT6" i="4" a="1"/>
  <c r="AT6" i="4"/>
  <c r="AT8" i="4" s="1"/>
  <c r="AS6" i="4" a="1"/>
  <c r="AS6" i="4" s="1"/>
  <c r="AR6" i="4" a="1"/>
  <c r="AR6" i="4"/>
  <c r="AQ6" i="4" a="1"/>
  <c r="AQ6" i="4"/>
  <c r="AP6" i="4" a="1"/>
  <c r="AP6" i="4" s="1"/>
  <c r="AO6" i="4" a="1"/>
  <c r="AO6" i="4" s="1"/>
  <c r="AN6" i="4" a="1"/>
  <c r="AN6" i="4"/>
  <c r="AM6" i="4" a="1"/>
  <c r="AM6" i="4" s="1"/>
  <c r="AM7" i="4" s="1"/>
  <c r="AL6" i="4" a="1"/>
  <c r="AL6" i="4" s="1"/>
  <c r="AK6" i="4" a="1"/>
  <c r="AK6" i="4" s="1"/>
  <c r="AK7" i="4" s="1"/>
  <c r="AJ6" i="4" a="1"/>
  <c r="AJ6" i="4"/>
  <c r="AJ7" i="4" s="1"/>
  <c r="AI6" i="4" a="1"/>
  <c r="AI6" i="4" s="1"/>
  <c r="AI7" i="4" s="1"/>
  <c r="AH6" i="4" a="1"/>
  <c r="AH6" i="4"/>
  <c r="AG6" i="4" a="1"/>
  <c r="AG6" i="4"/>
  <c r="AF6" i="4" a="1"/>
  <c r="AF6" i="4"/>
  <c r="AE6" i="4" a="1"/>
  <c r="AE6" i="4" s="1"/>
  <c r="AE7" i="4" s="1"/>
  <c r="AD6" i="4" a="1"/>
  <c r="AD6" i="4"/>
  <c r="AC6" i="4" a="1"/>
  <c r="AC6" i="4" s="1"/>
  <c r="AC7" i="4" s="1"/>
  <c r="AB6" i="4" a="1"/>
  <c r="AB6" i="4"/>
  <c r="AA6" i="4" a="1"/>
  <c r="AA6" i="4"/>
  <c r="AA8" i="4" s="1"/>
  <c r="Z6" i="4" a="1"/>
  <c r="Z6" i="4" s="1"/>
  <c r="Z8" i="4" s="1"/>
  <c r="Y6" i="4" a="1"/>
  <c r="Y6" i="4"/>
  <c r="X6" i="4" a="1"/>
  <c r="X6" i="4"/>
  <c r="W6" i="4" a="1"/>
  <c r="W6" i="4" s="1"/>
  <c r="V6" i="4" a="1"/>
  <c r="V6" i="4"/>
  <c r="U6" i="4" a="1"/>
  <c r="U6" i="4" s="1"/>
  <c r="T6" i="4" a="1"/>
  <c r="T6" i="4"/>
  <c r="S6" i="4" a="1"/>
  <c r="S6" i="4" s="1"/>
  <c r="S7" i="4" s="1"/>
  <c r="R6" i="4" a="1"/>
  <c r="R6" i="4" s="1"/>
  <c r="Q6" i="4" a="1"/>
  <c r="Q6" i="4" s="1"/>
  <c r="P6" i="4" a="1"/>
  <c r="P6" i="4"/>
  <c r="P8" i="4" s="1"/>
  <c r="O6" i="4" a="1"/>
  <c r="O6" i="4" s="1"/>
  <c r="O8" i="4" s="1"/>
  <c r="N6" i="4" a="1"/>
  <c r="N6" i="4"/>
  <c r="M6" i="4" a="1"/>
  <c r="M6" i="4" s="1"/>
  <c r="L6" i="4" a="1"/>
  <c r="L6" i="4"/>
  <c r="K6" i="4" a="1"/>
  <c r="K6" i="4"/>
  <c r="J6" i="4" a="1"/>
  <c r="J6" i="4" s="1"/>
  <c r="I6" i="4" a="1"/>
  <c r="I6" i="4"/>
  <c r="I7" i="4" s="1"/>
  <c r="H6" i="4" a="1"/>
  <c r="H6" i="4" s="1"/>
  <c r="G6" i="4" a="1"/>
  <c r="G6" i="4" s="1"/>
  <c r="G8" i="4" s="1"/>
  <c r="F6" i="4" a="1"/>
  <c r="F6" i="4"/>
  <c r="F8" i="4" s="1"/>
  <c r="E6" i="4" a="1"/>
  <c r="E6" i="4" s="1"/>
  <c r="E8" i="4" s="1"/>
  <c r="D6" i="4" a="1"/>
  <c r="D6" i="4"/>
  <c r="C6" i="4" a="1"/>
  <c r="C6" i="4" s="1"/>
  <c r="A1" i="4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EH24" i="3" s="1"/>
  <c r="F24" i="3"/>
  <c r="E24" i="3"/>
  <c r="D24" i="3"/>
  <c r="C24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H22" i="3" s="1"/>
  <c r="E22" i="3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H20" i="3" s="1"/>
  <c r="E20" i="3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H18" i="3" s="1"/>
  <c r="E18" i="3"/>
  <c r="D18" i="3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H16" i="3" s="1"/>
  <c r="E16" i="3"/>
  <c r="D16" i="3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EH14" i="3" s="1"/>
  <c r="H14" i="3"/>
  <c r="G14" i="3"/>
  <c r="F14" i="3"/>
  <c r="E14" i="3"/>
  <c r="D14" i="3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EH12" i="3" s="1"/>
  <c r="F12" i="3"/>
  <c r="EG12" i="3" s="1"/>
  <c r="E12" i="3"/>
  <c r="D12" i="3"/>
  <c r="C12" i="3"/>
  <c r="EA8" i="3"/>
  <c r="DX8" i="3"/>
  <c r="DU8" i="3"/>
  <c r="DT8" i="3"/>
  <c r="DK8" i="3"/>
  <c r="DH8" i="3"/>
  <c r="DB8" i="3"/>
  <c r="CS8" i="3"/>
  <c r="CK8" i="3"/>
  <c r="CJ8" i="3"/>
  <c r="BZ8" i="3"/>
  <c r="BV8" i="3"/>
  <c r="BH8" i="3"/>
  <c r="BC8" i="3"/>
  <c r="AZ8" i="3"/>
  <c r="AY8" i="3"/>
  <c r="AK8" i="3"/>
  <c r="T8" i="3"/>
  <c r="S8" i="3"/>
  <c r="R8" i="3"/>
  <c r="Q8" i="3"/>
  <c r="EG7" i="3"/>
  <c r="EF7" i="3"/>
  <c r="EA7" i="3"/>
  <c r="DL7" i="3"/>
  <c r="DK7" i="3"/>
  <c r="DI7" i="3"/>
  <c r="DH7" i="3"/>
  <c r="CZ7" i="3"/>
  <c r="CU7" i="3"/>
  <c r="CS7" i="3"/>
  <c r="CB7" i="3"/>
  <c r="CA7" i="3"/>
  <c r="BZ7" i="3"/>
  <c r="BY7" i="3"/>
  <c r="BX7" i="3"/>
  <c r="BO7" i="3"/>
  <c r="BJ7" i="3"/>
  <c r="AP7" i="3"/>
  <c r="AG7" i="3"/>
  <c r="AD7" i="3"/>
  <c r="AC7" i="3"/>
  <c r="AB7" i="3"/>
  <c r="K7" i="3"/>
  <c r="J7" i="3"/>
  <c r="I7" i="3"/>
  <c r="EG6" i="3" a="1"/>
  <c r="EG6" i="3"/>
  <c r="EG8" i="3" s="1"/>
  <c r="EF6" i="3" a="1"/>
  <c r="EF6" i="3"/>
  <c r="EF8" i="3" s="1"/>
  <c r="EE6" i="3" a="1"/>
  <c r="EE6" i="3" s="1"/>
  <c r="ED6" i="3" a="1"/>
  <c r="ED6" i="3" s="1"/>
  <c r="EC6" i="3" a="1"/>
  <c r="EC6" i="3" s="1"/>
  <c r="EB6" i="3" a="1"/>
  <c r="EB6" i="3" s="1"/>
  <c r="EB8" i="3" s="1"/>
  <c r="EA6" i="3" a="1"/>
  <c r="EA6" i="3"/>
  <c r="DZ6" i="3" a="1"/>
  <c r="DZ6" i="3" s="1"/>
  <c r="DZ7" i="3" s="1"/>
  <c r="DY6" i="3" a="1"/>
  <c r="DY6" i="3"/>
  <c r="DX6" i="3" a="1"/>
  <c r="DX6" i="3"/>
  <c r="DX7" i="3" s="1"/>
  <c r="DW6" i="3" a="1"/>
  <c r="DW6" i="3"/>
  <c r="DV6" i="3" a="1"/>
  <c r="DV6" i="3" s="1"/>
  <c r="DU6" i="3" a="1"/>
  <c r="DU6" i="3" s="1"/>
  <c r="DU7" i="3" s="1"/>
  <c r="DT6" i="3" a="1"/>
  <c r="DT6" i="3" s="1"/>
  <c r="DT7" i="3" s="1"/>
  <c r="DS6" i="3" a="1"/>
  <c r="DS6" i="3"/>
  <c r="DS8" i="3" s="1"/>
  <c r="DR6" i="3" a="1"/>
  <c r="DR6" i="3" s="1"/>
  <c r="DR8" i="3" s="1"/>
  <c r="DQ6" i="3" a="1"/>
  <c r="DQ6" i="3"/>
  <c r="DP6" i="3" a="1"/>
  <c r="DP6" i="3"/>
  <c r="DO6" i="3" a="1"/>
  <c r="DO6" i="3" s="1"/>
  <c r="DN6" i="3" a="1"/>
  <c r="DN6" i="3"/>
  <c r="DM6" i="3" a="1"/>
  <c r="DM6" i="3" s="1"/>
  <c r="DL6" i="3" a="1"/>
  <c r="DL6" i="3" s="1"/>
  <c r="DL8" i="3" s="1"/>
  <c r="DK6" i="3" a="1"/>
  <c r="DK6" i="3"/>
  <c r="DJ6" i="3" a="1"/>
  <c r="DJ6" i="3" s="1"/>
  <c r="DI6" i="3" a="1"/>
  <c r="DI6" i="3"/>
  <c r="DI8" i="3" s="1"/>
  <c r="DH6" i="3" a="1"/>
  <c r="DH6" i="3"/>
  <c r="DG6" i="3" a="1"/>
  <c r="DG6" i="3" s="1"/>
  <c r="DF6" i="3" a="1"/>
  <c r="DF6" i="3" s="1"/>
  <c r="DF7" i="3" s="1"/>
  <c r="DE6" i="3" a="1"/>
  <c r="DE6" i="3"/>
  <c r="DD6" i="3" a="1"/>
  <c r="DD6" i="3" s="1"/>
  <c r="DD7" i="3" s="1"/>
  <c r="DC6" i="3" a="1"/>
  <c r="DC6" i="3"/>
  <c r="DC8" i="3" s="1"/>
  <c r="DB6" i="3" a="1"/>
  <c r="DB6" i="3" s="1"/>
  <c r="DB7" i="3" s="1"/>
  <c r="DA6" i="3" a="1"/>
  <c r="DA6" i="3"/>
  <c r="DA7" i="3" s="1"/>
  <c r="CZ6" i="3" a="1"/>
  <c r="CZ6" i="3"/>
  <c r="CZ8" i="3" s="1"/>
  <c r="CY6" i="3" a="1"/>
  <c r="CY6" i="3"/>
  <c r="CX6" i="3" a="1"/>
  <c r="CX6" i="3"/>
  <c r="CW6" i="3" a="1"/>
  <c r="CW6" i="3" s="1"/>
  <c r="CV6" i="3" a="1"/>
  <c r="CV6" i="3" s="1"/>
  <c r="CV8" i="3" s="1"/>
  <c r="CU6" i="3" a="1"/>
  <c r="CU6" i="3"/>
  <c r="CU8" i="3" s="1"/>
  <c r="CT6" i="3" a="1"/>
  <c r="CT6" i="3" s="1"/>
  <c r="CS6" i="3" a="1"/>
  <c r="CS6" i="3"/>
  <c r="CR6" i="3" a="1"/>
  <c r="CR6" i="3"/>
  <c r="CR8" i="3" s="1"/>
  <c r="CQ6" i="3" a="1"/>
  <c r="CQ6" i="3"/>
  <c r="CQ8" i="3" s="1"/>
  <c r="CP6" i="3" a="1"/>
  <c r="CP6" i="3"/>
  <c r="CP7" i="3" s="1"/>
  <c r="CO6" i="3" a="1"/>
  <c r="CO6" i="3"/>
  <c r="CN6" i="3" a="1"/>
  <c r="CN6" i="3" s="1"/>
  <c r="CM6" i="3" a="1"/>
  <c r="CM6" i="3"/>
  <c r="CM8" i="3" s="1"/>
  <c r="CL6" i="3" a="1"/>
  <c r="CL6" i="3" s="1"/>
  <c r="CK6" i="3" a="1"/>
  <c r="CK6" i="3"/>
  <c r="CK7" i="3" s="1"/>
  <c r="CJ6" i="3" a="1"/>
  <c r="CJ6" i="3"/>
  <c r="CJ7" i="3" s="1"/>
  <c r="CI6" i="3" a="1"/>
  <c r="CI6" i="3" s="1"/>
  <c r="CI7" i="3" s="1"/>
  <c r="CH6" i="3" a="1"/>
  <c r="CH6" i="3"/>
  <c r="CG6" i="3" a="1"/>
  <c r="CG6" i="3"/>
  <c r="CG8" i="3" s="1"/>
  <c r="CF6" i="3" a="1"/>
  <c r="CF6" i="3" s="1"/>
  <c r="CE6" i="3" a="1"/>
  <c r="CE6" i="3" s="1"/>
  <c r="CD6" i="3" a="1"/>
  <c r="CD6" i="3" s="1"/>
  <c r="CC6" i="3" a="1"/>
  <c r="CC6" i="3"/>
  <c r="CC8" i="3" s="1"/>
  <c r="CB6" i="3" a="1"/>
  <c r="CB6" i="3"/>
  <c r="CB8" i="3" s="1"/>
  <c r="CA6" i="3" a="1"/>
  <c r="CA6" i="3"/>
  <c r="CA8" i="3" s="1"/>
  <c r="BZ6" i="3" a="1"/>
  <c r="BZ6" i="3"/>
  <c r="BY6" i="3" a="1"/>
  <c r="BY6" i="3"/>
  <c r="BY8" i="3" s="1"/>
  <c r="BX6" i="3" a="1"/>
  <c r="BX6" i="3" s="1"/>
  <c r="BX8" i="3" s="1"/>
  <c r="BW6" i="3" a="1"/>
  <c r="BW6" i="3" s="1"/>
  <c r="BV6" i="3" a="1"/>
  <c r="BV6" i="3" s="1"/>
  <c r="BV7" i="3" s="1"/>
  <c r="BU6" i="3" a="1"/>
  <c r="BU6" i="3"/>
  <c r="BU7" i="3" s="1"/>
  <c r="BT6" i="3" a="1"/>
  <c r="BT6" i="3"/>
  <c r="BT7" i="3" s="1"/>
  <c r="BS6" i="3" a="1"/>
  <c r="BS6" i="3"/>
  <c r="BR6" i="3" a="1"/>
  <c r="BR6" i="3" s="1"/>
  <c r="BQ6" i="3" a="1"/>
  <c r="BQ6" i="3" s="1"/>
  <c r="BP6" i="3" a="1"/>
  <c r="BP6" i="3" s="1"/>
  <c r="BO6" i="3" a="1"/>
  <c r="BO6" i="3" s="1"/>
  <c r="BO8" i="3" s="1"/>
  <c r="BN6" i="3" a="1"/>
  <c r="BN6" i="3" s="1"/>
  <c r="BM6" i="3" a="1"/>
  <c r="BM6" i="3"/>
  <c r="BL6" i="3" a="1"/>
  <c r="BL6" i="3"/>
  <c r="BK6" i="3" a="1"/>
  <c r="BK6" i="3"/>
  <c r="BJ6" i="3" a="1"/>
  <c r="BJ6" i="3"/>
  <c r="BJ8" i="3" s="1"/>
  <c r="BI6" i="3" a="1"/>
  <c r="BI6" i="3" s="1"/>
  <c r="BH6" i="3" a="1"/>
  <c r="BH6" i="3" s="1"/>
  <c r="BH7" i="3" s="1"/>
  <c r="BG6" i="3" a="1"/>
  <c r="BG6" i="3" s="1"/>
  <c r="BG8" i="3" s="1"/>
  <c r="BF6" i="3" a="1"/>
  <c r="BF6" i="3" s="1"/>
  <c r="BF8" i="3" s="1"/>
  <c r="BE6" i="3" a="1"/>
  <c r="BE6" i="3"/>
  <c r="BE7" i="3" s="1"/>
  <c r="BD6" i="3" a="1"/>
  <c r="BD6" i="3"/>
  <c r="BD7" i="3" s="1"/>
  <c r="BC6" i="3" a="1"/>
  <c r="BC6" i="3"/>
  <c r="BC7" i="3" s="1"/>
  <c r="BB6" i="3" a="1"/>
  <c r="BB6" i="3"/>
  <c r="BA6" i="3" a="1"/>
  <c r="BA6" i="3" s="1"/>
  <c r="AZ6" i="3" a="1"/>
  <c r="AZ6" i="3" s="1"/>
  <c r="AZ7" i="3" s="1"/>
  <c r="AY6" i="3" a="1"/>
  <c r="AY6" i="3" s="1"/>
  <c r="AY7" i="3" s="1"/>
  <c r="AX6" i="3" a="1"/>
  <c r="AX6" i="3" s="1"/>
  <c r="AW6" i="3" a="1"/>
  <c r="AW6" i="3"/>
  <c r="AW8" i="3" s="1"/>
  <c r="AV6" i="3" a="1"/>
  <c r="AV6" i="3"/>
  <c r="AU6" i="3" a="1"/>
  <c r="AU6" i="3"/>
  <c r="AU8" i="3" s="1"/>
  <c r="AT6" i="3" a="1"/>
  <c r="AT6" i="3" s="1"/>
  <c r="AS6" i="3" a="1"/>
  <c r="AS6" i="3"/>
  <c r="AR6" i="3" a="1"/>
  <c r="AR6" i="3" s="1"/>
  <c r="AQ6" i="3" a="1"/>
  <c r="AQ6" i="3" s="1"/>
  <c r="AP6" i="3" a="1"/>
  <c r="AP6" i="3" s="1"/>
  <c r="AP8" i="3" s="1"/>
  <c r="AO6" i="3" a="1"/>
  <c r="AO6" i="3"/>
  <c r="AO7" i="3" s="1"/>
  <c r="AN6" i="3" a="1"/>
  <c r="AN6" i="3" s="1"/>
  <c r="AM6" i="3" a="1"/>
  <c r="AM6" i="3" s="1"/>
  <c r="AL6" i="3" a="1"/>
  <c r="AL6" i="3" s="1"/>
  <c r="AK6" i="3" a="1"/>
  <c r="AK6" i="3"/>
  <c r="AK7" i="3" s="1"/>
  <c r="AJ6" i="3" a="1"/>
  <c r="AJ6" i="3" s="1"/>
  <c r="AJ7" i="3" s="1"/>
  <c r="AI6" i="3" a="1"/>
  <c r="AI6" i="3" s="1"/>
  <c r="AI7" i="3" s="1"/>
  <c r="AH6" i="3" a="1"/>
  <c r="AH6" i="3" s="1"/>
  <c r="AG6" i="3" a="1"/>
  <c r="AG6" i="3"/>
  <c r="AG8" i="3" s="1"/>
  <c r="AF6" i="3" a="1"/>
  <c r="AF6" i="3"/>
  <c r="AE6" i="3" a="1"/>
  <c r="AE6" i="3" s="1"/>
  <c r="AD6" i="3" a="1"/>
  <c r="AD6" i="3"/>
  <c r="AD8" i="3" s="1"/>
  <c r="AC6" i="3" a="1"/>
  <c r="AC6" i="3"/>
  <c r="AC8" i="3" s="1"/>
  <c r="AB6" i="3" a="1"/>
  <c r="AB6" i="3" s="1"/>
  <c r="AB8" i="3" s="1"/>
  <c r="AA6" i="3" a="1"/>
  <c r="AA6" i="3" s="1"/>
  <c r="AA8" i="3" s="1"/>
  <c r="Z6" i="3" a="1"/>
  <c r="Z6" i="3" s="1"/>
  <c r="Z8" i="3" s="1"/>
  <c r="Y6" i="3" a="1"/>
  <c r="Y6" i="3"/>
  <c r="Y8" i="3" s="1"/>
  <c r="X6" i="3" a="1"/>
  <c r="X6" i="3"/>
  <c r="W6" i="3" a="1"/>
  <c r="W6" i="3" s="1"/>
  <c r="V6" i="3" a="1"/>
  <c r="V6" i="3"/>
  <c r="U6" i="3" a="1"/>
  <c r="U6" i="3" s="1"/>
  <c r="T6" i="3" a="1"/>
  <c r="T6" i="3" s="1"/>
  <c r="T7" i="3" s="1"/>
  <c r="S6" i="3" a="1"/>
  <c r="S6" i="3" s="1"/>
  <c r="S7" i="3" s="1"/>
  <c r="R6" i="3" a="1"/>
  <c r="R6" i="3" s="1"/>
  <c r="R7" i="3" s="1"/>
  <c r="Q6" i="3" a="1"/>
  <c r="Q6" i="3"/>
  <c r="Q7" i="3" s="1"/>
  <c r="P6" i="3" a="1"/>
  <c r="P6" i="3" s="1"/>
  <c r="P7" i="3" s="1"/>
  <c r="O6" i="3" a="1"/>
  <c r="O6" i="3"/>
  <c r="N6" i="3" a="1"/>
  <c r="N6" i="3"/>
  <c r="N7" i="3" s="1"/>
  <c r="M6" i="3" a="1"/>
  <c r="M6" i="3"/>
  <c r="M8" i="3" s="1"/>
  <c r="L6" i="3" a="1"/>
  <c r="L6" i="3" s="1"/>
  <c r="K6" i="3" a="1"/>
  <c r="K6" i="3" s="1"/>
  <c r="K8" i="3" s="1"/>
  <c r="J6" i="3" a="1"/>
  <c r="J6" i="3" s="1"/>
  <c r="J8" i="3" s="1"/>
  <c r="I6" i="3" a="1"/>
  <c r="I6" i="3"/>
  <c r="I8" i="3" s="1"/>
  <c r="H6" i="3" a="1"/>
  <c r="H6" i="3" s="1"/>
  <c r="G6" i="3" a="1"/>
  <c r="G6" i="3"/>
  <c r="F6" i="3" a="1"/>
  <c r="F6" i="3"/>
  <c r="E6" i="3" a="1"/>
  <c r="E6" i="3" s="1"/>
  <c r="D6" i="3" a="1"/>
  <c r="D6" i="3" s="1"/>
  <c r="C6" i="3" a="1"/>
  <c r="C6" i="3" s="1"/>
  <c r="C7" i="3" s="1"/>
  <c r="A1" i="3"/>
  <c r="EH25" i="2"/>
  <c r="EG25" i="2"/>
  <c r="EI25" i="2" s="1"/>
  <c r="EH24" i="2"/>
  <c r="EG24" i="2"/>
  <c r="EI24" i="2" s="1"/>
  <c r="EH23" i="2"/>
  <c r="EG23" i="2"/>
  <c r="EI23" i="2" s="1"/>
  <c r="EI22" i="2"/>
  <c r="EH22" i="2"/>
  <c r="EG22" i="2"/>
  <c r="EH21" i="2"/>
  <c r="EG21" i="2"/>
  <c r="EI21" i="2" s="1"/>
  <c r="EH20" i="2"/>
  <c r="EG20" i="2"/>
  <c r="EI20" i="2" s="1"/>
  <c r="EH19" i="2"/>
  <c r="EI19" i="2" s="1"/>
  <c r="EG19" i="2"/>
  <c r="EH18" i="2"/>
  <c r="EG18" i="2"/>
  <c r="EI18" i="2" s="1"/>
  <c r="EH17" i="2"/>
  <c r="EG17" i="2"/>
  <c r="EI17" i="2" s="1"/>
  <c r="EH16" i="2"/>
  <c r="EG16" i="2"/>
  <c r="EI16" i="2" s="1"/>
  <c r="EH15" i="2"/>
  <c r="EG15" i="2"/>
  <c r="EI15" i="2" s="1"/>
  <c r="EH14" i="2"/>
  <c r="EI14" i="2" s="1"/>
  <c r="EG14" i="2"/>
  <c r="EH13" i="2"/>
  <c r="EI13" i="2" s="1"/>
  <c r="EG13" i="2"/>
  <c r="EH12" i="2"/>
  <c r="EG12" i="2"/>
  <c r="EI12" i="2" s="1"/>
  <c r="DW8" i="2"/>
  <c r="DV8" i="2"/>
  <c r="DU8" i="2"/>
  <c r="DS8" i="2"/>
  <c r="DG8" i="2"/>
  <c r="DF8" i="2"/>
  <c r="DC8" i="2"/>
  <c r="DB8" i="2"/>
  <c r="CU8" i="2"/>
  <c r="CT8" i="2"/>
  <c r="CQ8" i="2"/>
  <c r="CF8" i="2"/>
  <c r="CE8" i="2"/>
  <c r="CD8" i="2"/>
  <c r="CA8" i="2"/>
  <c r="BZ8" i="2"/>
  <c r="BO8" i="2"/>
  <c r="BN8" i="2"/>
  <c r="BK8" i="2"/>
  <c r="AU8" i="2"/>
  <c r="AQ8" i="2"/>
  <c r="AH8" i="2"/>
  <c r="AE8" i="2"/>
  <c r="R8" i="2"/>
  <c r="Q8" i="2"/>
  <c r="P8" i="2"/>
  <c r="O8" i="2"/>
  <c r="EF7" i="2"/>
  <c r="EE7" i="2"/>
  <c r="ED7" i="2"/>
  <c r="EC7" i="2"/>
  <c r="DY7" i="2"/>
  <c r="DO7" i="2"/>
  <c r="DN7" i="2"/>
  <c r="DM7" i="2"/>
  <c r="DH7" i="2"/>
  <c r="DB7" i="2"/>
  <c r="DA7" i="2"/>
  <c r="CY7" i="2"/>
  <c r="CL7" i="2"/>
  <c r="CK7" i="2"/>
  <c r="CI7" i="2"/>
  <c r="CG7" i="2"/>
  <c r="BS7" i="2"/>
  <c r="BQ7" i="2"/>
  <c r="BP7" i="2"/>
  <c r="BN7" i="2"/>
  <c r="BM7" i="2"/>
  <c r="BC7" i="2"/>
  <c r="AX7" i="2"/>
  <c r="AW7" i="2"/>
  <c r="AV7" i="2"/>
  <c r="AM7" i="2"/>
  <c r="AG7" i="2"/>
  <c r="AF7" i="2"/>
  <c r="X7" i="2"/>
  <c r="W7" i="2"/>
  <c r="V7" i="2"/>
  <c r="P7" i="2"/>
  <c r="H7" i="2"/>
  <c r="G7" i="2"/>
  <c r="F7" i="2"/>
  <c r="E7" i="2"/>
  <c r="D7" i="2"/>
  <c r="EG6" i="2" a="1"/>
  <c r="EG6" i="2"/>
  <c r="EF6" i="2" a="1"/>
  <c r="EF6" i="2" s="1"/>
  <c r="EF8" i="2" s="1"/>
  <c r="EE6" i="2" a="1"/>
  <c r="EE6" i="2"/>
  <c r="EE8" i="2" s="1"/>
  <c r="ED6" i="2" a="1"/>
  <c r="ED6" i="2"/>
  <c r="ED8" i="2" s="1"/>
  <c r="EC6" i="2" a="1"/>
  <c r="EC6" i="2"/>
  <c r="EC8" i="2" s="1"/>
  <c r="EB6" i="2" a="1"/>
  <c r="EB6" i="2" s="1"/>
  <c r="EB8" i="2" s="1"/>
  <c r="EA6" i="2" a="1"/>
  <c r="EA6" i="2"/>
  <c r="DZ6" i="2" a="1"/>
  <c r="DZ6" i="2"/>
  <c r="DY6" i="2" a="1"/>
  <c r="DY6" i="2"/>
  <c r="DY8" i="2" s="1"/>
  <c r="DX6" i="2" a="1"/>
  <c r="DX6" i="2" s="1"/>
  <c r="DW6" i="2" a="1"/>
  <c r="DW6" i="2"/>
  <c r="DW7" i="2" s="1"/>
  <c r="DV6" i="2" a="1"/>
  <c r="DV6" i="2"/>
  <c r="DV7" i="2" s="1"/>
  <c r="DU6" i="2" a="1"/>
  <c r="DU6" i="2" s="1"/>
  <c r="DU7" i="2" s="1"/>
  <c r="DT6" i="2" a="1"/>
  <c r="DT6" i="2"/>
  <c r="DT7" i="2" s="1"/>
  <c r="DS6" i="2" a="1"/>
  <c r="DS6" i="2"/>
  <c r="DS7" i="2" s="1"/>
  <c r="DR6" i="2" a="1"/>
  <c r="DR6" i="2" s="1"/>
  <c r="DQ6" i="2" a="1"/>
  <c r="DQ6" i="2" s="1"/>
  <c r="DP6" i="2" a="1"/>
  <c r="DP6" i="2" s="1"/>
  <c r="DP8" i="2" s="1"/>
  <c r="DO6" i="2" a="1"/>
  <c r="DO6" i="2"/>
  <c r="DO8" i="2" s="1"/>
  <c r="DN6" i="2" a="1"/>
  <c r="DN6" i="2"/>
  <c r="DN8" i="2" s="1"/>
  <c r="DM6" i="2" a="1"/>
  <c r="DM6" i="2"/>
  <c r="DM8" i="2" s="1"/>
  <c r="DL6" i="2" a="1"/>
  <c r="DL6" i="2"/>
  <c r="DL8" i="2" s="1"/>
  <c r="DK6" i="2" a="1"/>
  <c r="DK6" i="2" s="1"/>
  <c r="DJ6" i="2" a="1"/>
  <c r="DJ6" i="2"/>
  <c r="DJ8" i="2" s="1"/>
  <c r="DI6" i="2" a="1"/>
  <c r="DI6" i="2"/>
  <c r="DI8" i="2" s="1"/>
  <c r="DH6" i="2" a="1"/>
  <c r="DH6" i="2" s="1"/>
  <c r="DH8" i="2" s="1"/>
  <c r="DG6" i="2" a="1"/>
  <c r="DG6" i="2"/>
  <c r="DG7" i="2" s="1"/>
  <c r="DF6" i="2" a="1"/>
  <c r="DF6" i="2"/>
  <c r="DF7" i="2" s="1"/>
  <c r="DE6" i="2" a="1"/>
  <c r="DE6" i="2" s="1"/>
  <c r="DD6" i="2" a="1"/>
  <c r="DD6" i="2" s="1"/>
  <c r="DC6" i="2" a="1"/>
  <c r="DC6" i="2"/>
  <c r="DC7" i="2" s="1"/>
  <c r="DB6" i="2" a="1"/>
  <c r="DB6" i="2"/>
  <c r="DA6" i="2" a="1"/>
  <c r="DA6" i="2"/>
  <c r="DA8" i="2" s="1"/>
  <c r="CZ6" i="2" a="1"/>
  <c r="CZ6" i="2" s="1"/>
  <c r="CY6" i="2" a="1"/>
  <c r="CY6" i="2"/>
  <c r="CY8" i="2" s="1"/>
  <c r="CX6" i="2" a="1"/>
  <c r="CX6" i="2"/>
  <c r="CX8" i="2" s="1"/>
  <c r="CW6" i="2" a="1"/>
  <c r="CW6" i="2"/>
  <c r="CW8" i="2" s="1"/>
  <c r="CV6" i="2" a="1"/>
  <c r="CV6" i="2"/>
  <c r="CV7" i="2" s="1"/>
  <c r="CU6" i="2" a="1"/>
  <c r="CU6" i="2"/>
  <c r="CU7" i="2" s="1"/>
  <c r="CT6" i="2" a="1"/>
  <c r="CT6" i="2" s="1"/>
  <c r="CT7" i="2" s="1"/>
  <c r="CS6" i="2" a="1"/>
  <c r="CS6" i="2"/>
  <c r="CR6" i="2" a="1"/>
  <c r="CR6" i="2" s="1"/>
  <c r="CQ6" i="2" a="1"/>
  <c r="CQ6" i="2"/>
  <c r="CQ7" i="2" s="1"/>
  <c r="CP6" i="2" a="1"/>
  <c r="CP6" i="2"/>
  <c r="CO6" i="2" a="1"/>
  <c r="CO6" i="2" s="1"/>
  <c r="CN6" i="2" a="1"/>
  <c r="CN6" i="2" s="1"/>
  <c r="CM6" i="2" a="1"/>
  <c r="CM6" i="2" s="1"/>
  <c r="CL6" i="2" a="1"/>
  <c r="CL6" i="2"/>
  <c r="CL8" i="2" s="1"/>
  <c r="CK6" i="2" a="1"/>
  <c r="CK6" i="2"/>
  <c r="CK8" i="2" s="1"/>
  <c r="CJ6" i="2" a="1"/>
  <c r="CJ6" i="2" s="1"/>
  <c r="CJ8" i="2" s="1"/>
  <c r="CI6" i="2" a="1"/>
  <c r="CI6" i="2"/>
  <c r="CI8" i="2" s="1"/>
  <c r="CH6" i="2" a="1"/>
  <c r="CH6" i="2"/>
  <c r="CH8" i="2" s="1"/>
  <c r="CG6" i="2" a="1"/>
  <c r="CG6" i="2" s="1"/>
  <c r="CG8" i="2" s="1"/>
  <c r="CF6" i="2" a="1"/>
  <c r="CF6" i="2"/>
  <c r="CF7" i="2" s="1"/>
  <c r="CE6" i="2" a="1"/>
  <c r="CE6" i="2"/>
  <c r="CE7" i="2" s="1"/>
  <c r="CD6" i="2" a="1"/>
  <c r="CD6" i="2"/>
  <c r="CD7" i="2" s="1"/>
  <c r="CC6" i="2" a="1"/>
  <c r="CC6" i="2" s="1"/>
  <c r="CC7" i="2" s="1"/>
  <c r="CB6" i="2" a="1"/>
  <c r="CB6" i="2" s="1"/>
  <c r="CB7" i="2" s="1"/>
  <c r="CA6" i="2" a="1"/>
  <c r="CA6" i="2"/>
  <c r="CA7" i="2" s="1"/>
  <c r="BZ6" i="2" a="1"/>
  <c r="BZ6" i="2"/>
  <c r="BZ7" i="2" s="1"/>
  <c r="BY6" i="2" a="1"/>
  <c r="BY6" i="2"/>
  <c r="BX6" i="2" a="1"/>
  <c r="BX6" i="2" s="1"/>
  <c r="BW6" i="2" a="1"/>
  <c r="BW6" i="2" s="1"/>
  <c r="BV6" i="2" a="1"/>
  <c r="BV6" i="2" s="1"/>
  <c r="BU6" i="2" a="1"/>
  <c r="BU6" i="2"/>
  <c r="BU7" i="2" s="1"/>
  <c r="BT6" i="2" a="1"/>
  <c r="BT6" i="2" s="1"/>
  <c r="BT8" i="2" s="1"/>
  <c r="BS6" i="2" a="1"/>
  <c r="BS6" i="2"/>
  <c r="BS8" i="2" s="1"/>
  <c r="BR6" i="2" a="1"/>
  <c r="BR6" i="2"/>
  <c r="BR8" i="2" s="1"/>
  <c r="BQ6" i="2" a="1"/>
  <c r="BQ6" i="2"/>
  <c r="BQ8" i="2" s="1"/>
  <c r="BP6" i="2" a="1"/>
  <c r="BP6" i="2" s="1"/>
  <c r="BP8" i="2" s="1"/>
  <c r="BO6" i="2" a="1"/>
  <c r="BO6" i="2"/>
  <c r="BO7" i="2" s="1"/>
  <c r="BN6" i="2" a="1"/>
  <c r="BN6" i="2"/>
  <c r="BM6" i="2" a="1"/>
  <c r="BM6" i="2"/>
  <c r="BM8" i="2" s="1"/>
  <c r="BL6" i="2" a="1"/>
  <c r="BL6" i="2" s="1"/>
  <c r="BL7" i="2" s="1"/>
  <c r="BK6" i="2" a="1"/>
  <c r="BK6" i="2"/>
  <c r="BK7" i="2" s="1"/>
  <c r="BJ6" i="2" a="1"/>
  <c r="BJ6" i="2"/>
  <c r="BJ7" i="2" s="1"/>
  <c r="BI6" i="2" a="1"/>
  <c r="BI6" i="2" s="1"/>
  <c r="BI7" i="2" s="1"/>
  <c r="BH6" i="2" a="1"/>
  <c r="BH6" i="2"/>
  <c r="BG6" i="2" a="1"/>
  <c r="BG6" i="2" s="1"/>
  <c r="BF6" i="2" a="1"/>
  <c r="BF6" i="2" s="1"/>
  <c r="BF7" i="2" s="1"/>
  <c r="BE6" i="2" a="1"/>
  <c r="BE6" i="2" s="1"/>
  <c r="BD6" i="2" a="1"/>
  <c r="BD6" i="2" s="1"/>
  <c r="BD8" i="2" s="1"/>
  <c r="BC6" i="2" a="1"/>
  <c r="BC6" i="2"/>
  <c r="BC8" i="2" s="1"/>
  <c r="BB6" i="2" a="1"/>
  <c r="BB6" i="2"/>
  <c r="BA6" i="2" a="1"/>
  <c r="BA6" i="2"/>
  <c r="AZ6" i="2" a="1"/>
  <c r="AZ6" i="2"/>
  <c r="AZ8" i="2" s="1"/>
  <c r="AY6" i="2" a="1"/>
  <c r="AY6" i="2" s="1"/>
  <c r="AX6" i="2" a="1"/>
  <c r="AX6" i="2"/>
  <c r="AX8" i="2" s="1"/>
  <c r="AW6" i="2" a="1"/>
  <c r="AW6" i="2"/>
  <c r="AW8" i="2" s="1"/>
  <c r="AV6" i="2" a="1"/>
  <c r="AV6" i="2" s="1"/>
  <c r="AV8" i="2" s="1"/>
  <c r="AU6" i="2" a="1"/>
  <c r="AU6" i="2"/>
  <c r="AU7" i="2" s="1"/>
  <c r="AT6" i="2" a="1"/>
  <c r="AT6" i="2"/>
  <c r="AT7" i="2" s="1"/>
  <c r="AS6" i="2" a="1"/>
  <c r="AS6" i="2"/>
  <c r="AR6" i="2" a="1"/>
  <c r="AR6" i="2" s="1"/>
  <c r="AQ6" i="2" a="1"/>
  <c r="AQ6" i="2"/>
  <c r="AQ7" i="2" s="1"/>
  <c r="AP6" i="2" a="1"/>
  <c r="AP6" i="2" s="1"/>
  <c r="AP7" i="2" s="1"/>
  <c r="AO6" i="2" a="1"/>
  <c r="AO6" i="2" s="1"/>
  <c r="AO8" i="2" s="1"/>
  <c r="AN6" i="2" a="1"/>
  <c r="AN6" i="2" s="1"/>
  <c r="AN8" i="2" s="1"/>
  <c r="AM6" i="2" a="1"/>
  <c r="AM6" i="2"/>
  <c r="AM8" i="2" s="1"/>
  <c r="AL6" i="2" a="1"/>
  <c r="AL6" i="2"/>
  <c r="AL8" i="2" s="1"/>
  <c r="AK6" i="2" a="1"/>
  <c r="AK6" i="2"/>
  <c r="AJ6" i="2" a="1"/>
  <c r="AJ6" i="2" s="1"/>
  <c r="AI6" i="2" a="1"/>
  <c r="AI6" i="2"/>
  <c r="AI7" i="2" s="1"/>
  <c r="AH6" i="2" a="1"/>
  <c r="AH6" i="2" s="1"/>
  <c r="AH7" i="2" s="1"/>
  <c r="AG6" i="2" a="1"/>
  <c r="AG6" i="2"/>
  <c r="AG8" i="2" s="1"/>
  <c r="AF6" i="2" a="1"/>
  <c r="AF6" i="2" s="1"/>
  <c r="AF8" i="2" s="1"/>
  <c r="AE6" i="2" a="1"/>
  <c r="AE6" i="2"/>
  <c r="AE7" i="2" s="1"/>
  <c r="AD6" i="2" a="1"/>
  <c r="AD6" i="2"/>
  <c r="AD7" i="2" s="1"/>
  <c r="AC6" i="2" a="1"/>
  <c r="AC6" i="2"/>
  <c r="AC7" i="2" s="1"/>
  <c r="AB6" i="2" a="1"/>
  <c r="AB6" i="2" s="1"/>
  <c r="AA6" i="2" a="1"/>
  <c r="AA6" i="2" s="1"/>
  <c r="Z6" i="2" a="1"/>
  <c r="Z6" i="2"/>
  <c r="Z8" i="2" s="1"/>
  <c r="Y6" i="2" a="1"/>
  <c r="Y6" i="2" s="1"/>
  <c r="Y8" i="2" s="1"/>
  <c r="X6" i="2" a="1"/>
  <c r="X6" i="2" s="1"/>
  <c r="X8" i="2" s="1"/>
  <c r="W6" i="2" a="1"/>
  <c r="W6" i="2"/>
  <c r="W8" i="2" s="1"/>
  <c r="V6" i="2" a="1"/>
  <c r="V6" i="2"/>
  <c r="V8" i="2" s="1"/>
  <c r="U6" i="2" a="1"/>
  <c r="U6" i="2" s="1"/>
  <c r="U8" i="2" s="1"/>
  <c r="T6" i="2" a="1"/>
  <c r="T6" i="2"/>
  <c r="S6" i="2" a="1"/>
  <c r="S6" i="2"/>
  <c r="S7" i="2" s="1"/>
  <c r="R6" i="2" a="1"/>
  <c r="R6" i="2"/>
  <c r="R7" i="2" s="1"/>
  <c r="Q6" i="2" a="1"/>
  <c r="Q6" i="2" s="1"/>
  <c r="Q7" i="2" s="1"/>
  <c r="P6" i="2" a="1"/>
  <c r="P6" i="2" s="1"/>
  <c r="O6" i="2" a="1"/>
  <c r="O6" i="2"/>
  <c r="O7" i="2" s="1"/>
  <c r="N6" i="2" a="1"/>
  <c r="N6" i="2" s="1"/>
  <c r="N7" i="2" s="1"/>
  <c r="M6" i="2" a="1"/>
  <c r="M6" i="2"/>
  <c r="M7" i="2" s="1"/>
  <c r="L6" i="2" a="1"/>
  <c r="L6" i="2"/>
  <c r="L7" i="2" s="1"/>
  <c r="K6" i="2" a="1"/>
  <c r="K6" i="2"/>
  <c r="J6" i="2" a="1"/>
  <c r="J6" i="2" s="1"/>
  <c r="I6" i="2" a="1"/>
  <c r="I6" i="2"/>
  <c r="H6" i="2" a="1"/>
  <c r="H6" i="2" s="1"/>
  <c r="H8" i="2" s="1"/>
  <c r="G6" i="2" a="1"/>
  <c r="G6" i="2"/>
  <c r="G8" i="2" s="1"/>
  <c r="F6" i="2" a="1"/>
  <c r="F6" i="2"/>
  <c r="F8" i="2" s="1"/>
  <c r="E6" i="2" a="1"/>
  <c r="E6" i="2"/>
  <c r="E8" i="2" s="1"/>
  <c r="D6" i="2" a="1"/>
  <c r="D6" i="2" s="1"/>
  <c r="D8" i="2" s="1"/>
  <c r="C6" i="2" a="1"/>
  <c r="C6" i="2"/>
  <c r="A1" i="2"/>
  <c r="EG8" i="1"/>
  <c r="ED8" i="1"/>
  <c r="DV8" i="1"/>
  <c r="DT8" i="1"/>
  <c r="DS8" i="1"/>
  <c r="DP8" i="1"/>
  <c r="DN8" i="1"/>
  <c r="DK8" i="1"/>
  <c r="DJ8" i="1"/>
  <c r="DI8" i="1"/>
  <c r="DF8" i="1"/>
  <c r="CX8" i="1"/>
  <c r="CU8" i="1"/>
  <c r="CT8" i="1"/>
  <c r="CQ8" i="1"/>
  <c r="CP8" i="1"/>
  <c r="CH8" i="1"/>
  <c r="CE8" i="1"/>
  <c r="CD8" i="1"/>
  <c r="BZ8" i="1"/>
  <c r="BY8" i="1"/>
  <c r="BR8" i="1"/>
  <c r="BO8" i="1"/>
  <c r="BJ8" i="1"/>
  <c r="BH8" i="1"/>
  <c r="BG8" i="1"/>
  <c r="BB8" i="1"/>
  <c r="AT8" i="1"/>
  <c r="AS8" i="1"/>
  <c r="AR8" i="1"/>
  <c r="AQ8" i="1"/>
  <c r="AP8" i="1"/>
  <c r="AL8" i="1"/>
  <c r="AD8" i="1"/>
  <c r="AB8" i="1"/>
  <c r="AA8" i="1"/>
  <c r="Z8" i="1"/>
  <c r="W8" i="1"/>
  <c r="V8" i="1"/>
  <c r="N8" i="1"/>
  <c r="L8" i="1"/>
  <c r="K8" i="1"/>
  <c r="J8" i="1"/>
  <c r="I8" i="1"/>
  <c r="F8" i="1"/>
  <c r="C8" i="1"/>
  <c r="ED7" i="1"/>
  <c r="EA7" i="1"/>
  <c r="DZ7" i="1"/>
  <c r="DV7" i="1"/>
  <c r="DP7" i="1"/>
  <c r="DN7" i="1"/>
  <c r="DF7" i="1"/>
  <c r="DB7" i="1"/>
  <c r="DA7" i="1"/>
  <c r="CX7" i="1"/>
  <c r="CU7" i="1"/>
  <c r="CP7" i="1"/>
  <c r="CL7" i="1"/>
  <c r="CH7" i="1"/>
  <c r="CF7" i="1"/>
  <c r="CE7" i="1"/>
  <c r="BZ7" i="1"/>
  <c r="BV7" i="1"/>
  <c r="BS7" i="1"/>
  <c r="BR7" i="1"/>
  <c r="BQ7" i="1"/>
  <c r="BP7" i="1"/>
  <c r="BO7" i="1"/>
  <c r="BN7" i="1"/>
  <c r="BJ7" i="1"/>
  <c r="BB7" i="1"/>
  <c r="AZ7" i="1"/>
  <c r="AY7" i="1"/>
  <c r="AT7" i="1"/>
  <c r="AL7" i="1"/>
  <c r="AJ7" i="1"/>
  <c r="AI7" i="1"/>
  <c r="AH7" i="1"/>
  <c r="AG7" i="1"/>
  <c r="AE7" i="1"/>
  <c r="AD7" i="1"/>
  <c r="V7" i="1"/>
  <c r="T7" i="1"/>
  <c r="S7" i="1"/>
  <c r="R7" i="1"/>
  <c r="N7" i="1"/>
  <c r="M7" i="1"/>
  <c r="J7" i="1"/>
  <c r="F7" i="1"/>
  <c r="C7" i="1"/>
  <c r="EG6" i="1" a="1"/>
  <c r="EG6" i="1" s="1"/>
  <c r="EG7" i="1" s="1"/>
  <c r="EF6" i="1" a="1"/>
  <c r="EF6" i="1"/>
  <c r="EE6" i="1" a="1"/>
  <c r="EE6" i="1"/>
  <c r="ED6" i="1" a="1"/>
  <c r="ED6" i="1"/>
  <c r="EC6" i="1" a="1"/>
  <c r="EC6" i="1" s="1"/>
  <c r="EB6" i="1" a="1"/>
  <c r="EB6" i="1"/>
  <c r="EB8" i="1" s="1"/>
  <c r="EA6" i="1" a="1"/>
  <c r="EA6" i="1"/>
  <c r="EA8" i="1" s="1"/>
  <c r="DZ6" i="1" a="1"/>
  <c r="DZ6" i="1"/>
  <c r="DZ8" i="1" s="1"/>
  <c r="DY6" i="1" a="1"/>
  <c r="DY6" i="1" s="1"/>
  <c r="DX6" i="1" a="1"/>
  <c r="DX6" i="1"/>
  <c r="DW6" i="1" a="1"/>
  <c r="DW6" i="1"/>
  <c r="DW8" i="1" s="1"/>
  <c r="DV6" i="1" a="1"/>
  <c r="DV6" i="1"/>
  <c r="DU6" i="1" a="1"/>
  <c r="DU6" i="1" s="1"/>
  <c r="DU8" i="1" s="1"/>
  <c r="DT6" i="1" a="1"/>
  <c r="DT6" i="1"/>
  <c r="DT7" i="1" s="1"/>
  <c r="DS6" i="1" a="1"/>
  <c r="DS6" i="1"/>
  <c r="DS7" i="1" s="1"/>
  <c r="DR6" i="1" a="1"/>
  <c r="DR6" i="1"/>
  <c r="DR8" i="1" s="1"/>
  <c r="DQ6" i="1" a="1"/>
  <c r="DQ6" i="1" s="1"/>
  <c r="DP6" i="1" a="1"/>
  <c r="DP6" i="1"/>
  <c r="DO6" i="1" a="1"/>
  <c r="DO6" i="1"/>
  <c r="DO7" i="1" s="1"/>
  <c r="DN6" i="1" a="1"/>
  <c r="DN6" i="1"/>
  <c r="DM6" i="1" a="1"/>
  <c r="DM6" i="1" s="1"/>
  <c r="DL6" i="1" a="1"/>
  <c r="DL6" i="1"/>
  <c r="DL8" i="1" s="1"/>
  <c r="DK6" i="1" a="1"/>
  <c r="DK6" i="1"/>
  <c r="DK7" i="1" s="1"/>
  <c r="DJ6" i="1" a="1"/>
  <c r="DJ6" i="1"/>
  <c r="DJ7" i="1" s="1"/>
  <c r="DI6" i="1" a="1"/>
  <c r="DI6" i="1" s="1"/>
  <c r="DI7" i="1" s="1"/>
  <c r="DH6" i="1" a="1"/>
  <c r="DH6" i="1"/>
  <c r="DG6" i="1" a="1"/>
  <c r="DG6" i="1" s="1"/>
  <c r="DF6" i="1" a="1"/>
  <c r="DF6" i="1"/>
  <c r="DE6" i="1" a="1"/>
  <c r="DE6" i="1" s="1"/>
  <c r="DE8" i="1" s="1"/>
  <c r="DD6" i="1" a="1"/>
  <c r="DD6" i="1"/>
  <c r="DD7" i="1" s="1"/>
  <c r="DC6" i="1" a="1"/>
  <c r="DC6" i="1"/>
  <c r="DC7" i="1" s="1"/>
  <c r="DB6" i="1" a="1"/>
  <c r="DB6" i="1"/>
  <c r="DB8" i="1" s="1"/>
  <c r="DA6" i="1" a="1"/>
  <c r="DA6" i="1" s="1"/>
  <c r="DA8" i="1" s="1"/>
  <c r="CZ6" i="1" a="1"/>
  <c r="CZ6" i="1"/>
  <c r="CY6" i="1" a="1"/>
  <c r="CY6" i="1"/>
  <c r="CX6" i="1" a="1"/>
  <c r="CX6" i="1"/>
  <c r="CW6" i="1" a="1"/>
  <c r="CW6" i="1" s="1"/>
  <c r="CV6" i="1" a="1"/>
  <c r="CV6" i="1"/>
  <c r="CV8" i="1" s="1"/>
  <c r="CU6" i="1" a="1"/>
  <c r="CU6" i="1"/>
  <c r="CT6" i="1" a="1"/>
  <c r="CT6" i="1"/>
  <c r="CT7" i="1" s="1"/>
  <c r="CS6" i="1" a="1"/>
  <c r="CS6" i="1" s="1"/>
  <c r="CR6" i="1" a="1"/>
  <c r="CR6" i="1"/>
  <c r="CQ6" i="1" a="1"/>
  <c r="CQ6" i="1"/>
  <c r="CQ7" i="1" s="1"/>
  <c r="CP6" i="1" a="1"/>
  <c r="CP6" i="1"/>
  <c r="CO6" i="1" a="1"/>
  <c r="CO6" i="1" s="1"/>
  <c r="CN6" i="1" a="1"/>
  <c r="CN6" i="1"/>
  <c r="CN7" i="1" s="1"/>
  <c r="CM6" i="1" a="1"/>
  <c r="CM6" i="1"/>
  <c r="CM7" i="1" s="1"/>
  <c r="CL6" i="1" a="1"/>
  <c r="CL6" i="1"/>
  <c r="CL8" i="1" s="1"/>
  <c r="CK6" i="1" a="1"/>
  <c r="CK6" i="1" s="1"/>
  <c r="CK8" i="1" s="1"/>
  <c r="CJ6" i="1" a="1"/>
  <c r="CJ6" i="1"/>
  <c r="CJ8" i="1" s="1"/>
  <c r="CI6" i="1" a="1"/>
  <c r="CI6" i="1"/>
  <c r="CI8" i="1" s="1"/>
  <c r="CH6" i="1" a="1"/>
  <c r="CH6" i="1"/>
  <c r="CG6" i="1" a="1"/>
  <c r="CG6" i="1" s="1"/>
  <c r="CG8" i="1" s="1"/>
  <c r="CF6" i="1" a="1"/>
  <c r="CF6" i="1"/>
  <c r="CF8" i="1" s="1"/>
  <c r="CE6" i="1" a="1"/>
  <c r="CE6" i="1"/>
  <c r="CD6" i="1" a="1"/>
  <c r="CD6" i="1"/>
  <c r="CD7" i="1" s="1"/>
  <c r="CC6" i="1" a="1"/>
  <c r="CC6" i="1" s="1"/>
  <c r="CC7" i="1" s="1"/>
  <c r="CB6" i="1" a="1"/>
  <c r="CB6" i="1"/>
  <c r="CB7" i="1" s="1"/>
  <c r="CA6" i="1" a="1"/>
  <c r="CA6" i="1" s="1"/>
  <c r="BZ6" i="1" a="1"/>
  <c r="BZ6" i="1"/>
  <c r="BY6" i="1" a="1"/>
  <c r="BY6" i="1" s="1"/>
  <c r="BY7" i="1" s="1"/>
  <c r="BX6" i="1" a="1"/>
  <c r="BX6" i="1"/>
  <c r="BX7" i="1" s="1"/>
  <c r="BW6" i="1" a="1"/>
  <c r="BW6" i="1"/>
  <c r="BW7" i="1" s="1"/>
  <c r="BV6" i="1" a="1"/>
  <c r="BV6" i="1"/>
  <c r="BV8" i="1" s="1"/>
  <c r="BU6" i="1" a="1"/>
  <c r="BU6" i="1" s="1"/>
  <c r="BT6" i="1" a="1"/>
  <c r="BT6" i="1"/>
  <c r="BS6" i="1" a="1"/>
  <c r="BS6" i="1"/>
  <c r="BS8" i="1" s="1"/>
  <c r="BR6" i="1" a="1"/>
  <c r="BR6" i="1"/>
  <c r="BQ6" i="1" a="1"/>
  <c r="BQ6" i="1" s="1"/>
  <c r="BQ8" i="1" s="1"/>
  <c r="BP6" i="1" a="1"/>
  <c r="BP6" i="1"/>
  <c r="BP8" i="1" s="1"/>
  <c r="BO6" i="1" a="1"/>
  <c r="BO6" i="1"/>
  <c r="BN6" i="1" a="1"/>
  <c r="BN6" i="1"/>
  <c r="BN8" i="1" s="1"/>
  <c r="BM6" i="1" a="1"/>
  <c r="BM6" i="1" s="1"/>
  <c r="BL6" i="1" a="1"/>
  <c r="BL6" i="1"/>
  <c r="BL7" i="1" s="1"/>
  <c r="BK6" i="1" a="1"/>
  <c r="BK6" i="1"/>
  <c r="BK7" i="1" s="1"/>
  <c r="BJ6" i="1" a="1"/>
  <c r="BJ6" i="1"/>
  <c r="BI6" i="1" a="1"/>
  <c r="BI6" i="1" s="1"/>
  <c r="BH6" i="1" a="1"/>
  <c r="BH6" i="1"/>
  <c r="BH7" i="1" s="1"/>
  <c r="BG6" i="1" a="1"/>
  <c r="BG6" i="1"/>
  <c r="BG7" i="1" s="1"/>
  <c r="BF6" i="1" a="1"/>
  <c r="BF6" i="1"/>
  <c r="BF8" i="1" s="1"/>
  <c r="BE6" i="1" a="1"/>
  <c r="BE6" i="1" s="1"/>
  <c r="BD6" i="1" a="1"/>
  <c r="BD6" i="1"/>
  <c r="BC6" i="1" a="1"/>
  <c r="BC6" i="1"/>
  <c r="BB6" i="1" a="1"/>
  <c r="BB6" i="1"/>
  <c r="BA6" i="1" a="1"/>
  <c r="BA6" i="1" s="1"/>
  <c r="BA8" i="1" s="1"/>
  <c r="AZ6" i="1" a="1"/>
  <c r="AZ6" i="1"/>
  <c r="AZ8" i="1" s="1"/>
  <c r="AY6" i="1" a="1"/>
  <c r="AY6" i="1"/>
  <c r="AY8" i="1" s="1"/>
  <c r="AX6" i="1" a="1"/>
  <c r="AX6" i="1"/>
  <c r="AX8" i="1" s="1"/>
  <c r="AW6" i="1" a="1"/>
  <c r="AW6" i="1" s="1"/>
  <c r="AW8" i="1" s="1"/>
  <c r="AV6" i="1" a="1"/>
  <c r="AV6" i="1"/>
  <c r="AV8" i="1" s="1"/>
  <c r="AU6" i="1" a="1"/>
  <c r="AU6" i="1" s="1"/>
  <c r="AT6" i="1" a="1"/>
  <c r="AT6" i="1"/>
  <c r="AS6" i="1" a="1"/>
  <c r="AS6" i="1" s="1"/>
  <c r="AS7" i="1" s="1"/>
  <c r="AR6" i="1" a="1"/>
  <c r="AR6" i="1"/>
  <c r="AR7" i="1" s="1"/>
  <c r="AQ6" i="1" a="1"/>
  <c r="AQ6" i="1"/>
  <c r="AQ7" i="1" s="1"/>
  <c r="AP6" i="1" a="1"/>
  <c r="AP6" i="1"/>
  <c r="AP7" i="1" s="1"/>
  <c r="AO6" i="1" a="1"/>
  <c r="AO6" i="1" s="1"/>
  <c r="AO7" i="1" s="1"/>
  <c r="AN6" i="1" a="1"/>
  <c r="AN6" i="1"/>
  <c r="AM6" i="1" a="1"/>
  <c r="AM6" i="1"/>
  <c r="AL6" i="1" a="1"/>
  <c r="AL6" i="1"/>
  <c r="AK6" i="1" a="1"/>
  <c r="AK6" i="1" s="1"/>
  <c r="AJ6" i="1" a="1"/>
  <c r="AJ6" i="1"/>
  <c r="AJ8" i="1" s="1"/>
  <c r="AI6" i="1" a="1"/>
  <c r="AI6" i="1"/>
  <c r="AI8" i="1" s="1"/>
  <c r="AH6" i="1" a="1"/>
  <c r="AH6" i="1"/>
  <c r="AH8" i="1" s="1"/>
  <c r="AG6" i="1" a="1"/>
  <c r="AG6" i="1" s="1"/>
  <c r="AG8" i="1" s="1"/>
  <c r="AF6" i="1" a="1"/>
  <c r="AF6" i="1"/>
  <c r="AE6" i="1" a="1"/>
  <c r="AE6" i="1"/>
  <c r="AE8" i="1" s="1"/>
  <c r="AD6" i="1" a="1"/>
  <c r="AD6" i="1"/>
  <c r="AC6" i="1" a="1"/>
  <c r="AC6" i="1" s="1"/>
  <c r="AB6" i="1" a="1"/>
  <c r="AB6" i="1"/>
  <c r="AB7" i="1" s="1"/>
  <c r="AA6" i="1" a="1"/>
  <c r="AA6" i="1"/>
  <c r="AA7" i="1" s="1"/>
  <c r="Z6" i="1" a="1"/>
  <c r="Z6" i="1"/>
  <c r="Z7" i="1" s="1"/>
  <c r="Y6" i="1" a="1"/>
  <c r="Y6" i="1" s="1"/>
  <c r="X6" i="1" a="1"/>
  <c r="X6" i="1"/>
  <c r="W6" i="1" a="1"/>
  <c r="W6" i="1"/>
  <c r="W7" i="1" s="1"/>
  <c r="V6" i="1" a="1"/>
  <c r="V6" i="1"/>
  <c r="U6" i="1" a="1"/>
  <c r="U6" i="1" s="1"/>
  <c r="T6" i="1" a="1"/>
  <c r="T6" i="1"/>
  <c r="T8" i="1" s="1"/>
  <c r="S6" i="1" a="1"/>
  <c r="S6" i="1"/>
  <c r="S8" i="1" s="1"/>
  <c r="R6" i="1" a="1"/>
  <c r="R6" i="1"/>
  <c r="R8" i="1" s="1"/>
  <c r="Q6" i="1" a="1"/>
  <c r="Q6" i="1" s="1"/>
  <c r="Q8" i="1" s="1"/>
  <c r="P6" i="1" a="1"/>
  <c r="P6" i="1"/>
  <c r="P8" i="1" s="1"/>
  <c r="O6" i="1" a="1"/>
  <c r="O6" i="1" s="1"/>
  <c r="N6" i="1" a="1"/>
  <c r="N6" i="1"/>
  <c r="M6" i="1" a="1"/>
  <c r="M6" i="1" s="1"/>
  <c r="M8" i="1" s="1"/>
  <c r="L6" i="1" a="1"/>
  <c r="L6" i="1"/>
  <c r="L7" i="1" s="1"/>
  <c r="K6" i="1" a="1"/>
  <c r="K6" i="1"/>
  <c r="K7" i="1" s="1"/>
  <c r="J6" i="1" a="1"/>
  <c r="J6" i="1"/>
  <c r="I6" i="1" a="1"/>
  <c r="I6" i="1" s="1"/>
  <c r="I7" i="1" s="1"/>
  <c r="H6" i="1" a="1"/>
  <c r="H6" i="1"/>
  <c r="H7" i="1" s="1"/>
  <c r="G6" i="1" a="1"/>
  <c r="G6" i="1"/>
  <c r="F6" i="1" a="1"/>
  <c r="F6" i="1"/>
  <c r="E6" i="1" a="1"/>
  <c r="E6" i="1" s="1"/>
  <c r="D6" i="1" a="1"/>
  <c r="D6" i="1"/>
  <c r="D8" i="1" s="1"/>
  <c r="C6" i="1" a="1"/>
  <c r="C6" i="1"/>
  <c r="CC8" i="7" l="1"/>
  <c r="CC7" i="7"/>
  <c r="DC7" i="7"/>
  <c r="DC8" i="7"/>
  <c r="W8" i="7"/>
  <c r="W7" i="7"/>
  <c r="AJ8" i="7"/>
  <c r="AJ7" i="7"/>
  <c r="AW8" i="7"/>
  <c r="AW7" i="7"/>
  <c r="CI8" i="7"/>
  <c r="CI7" i="7"/>
  <c r="CV8" i="7"/>
  <c r="CV7" i="7"/>
  <c r="DI8" i="7"/>
  <c r="DI7" i="7"/>
  <c r="K7" i="7"/>
  <c r="K8" i="7"/>
  <c r="X8" i="7"/>
  <c r="X7" i="7"/>
  <c r="AK8" i="7"/>
  <c r="AK7" i="7"/>
  <c r="BW7" i="7"/>
  <c r="BW8" i="7"/>
  <c r="CJ8" i="7"/>
  <c r="CJ7" i="7"/>
  <c r="CW8" i="7"/>
  <c r="CW7" i="7"/>
  <c r="L7" i="7"/>
  <c r="L8" i="7"/>
  <c r="Y8" i="7"/>
  <c r="Y7" i="7"/>
  <c r="BK7" i="7"/>
  <c r="BK8" i="7"/>
  <c r="BX7" i="7"/>
  <c r="BX8" i="7"/>
  <c r="CK8" i="7"/>
  <c r="CK7" i="7"/>
  <c r="DW7" i="7"/>
  <c r="DW8" i="7"/>
  <c r="M7" i="7"/>
  <c r="M8" i="7"/>
  <c r="AY8" i="7"/>
  <c r="AY7" i="7"/>
  <c r="BL7" i="7"/>
  <c r="BL8" i="7"/>
  <c r="BY8" i="7"/>
  <c r="BY7" i="7"/>
  <c r="DK8" i="7"/>
  <c r="DK7" i="7"/>
  <c r="DX7" i="7"/>
  <c r="DX8" i="7"/>
  <c r="AM8" i="7"/>
  <c r="AM7" i="7"/>
  <c r="AZ8" i="7"/>
  <c r="AZ7" i="7"/>
  <c r="BM8" i="7"/>
  <c r="BM7" i="7"/>
  <c r="CY8" i="7"/>
  <c r="CY7" i="7"/>
  <c r="DL8" i="7"/>
  <c r="DL7" i="7"/>
  <c r="DY8" i="7"/>
  <c r="DY7" i="7"/>
  <c r="AA7" i="7"/>
  <c r="AA8" i="7"/>
  <c r="AN8" i="7"/>
  <c r="AN7" i="7"/>
  <c r="BA7" i="7"/>
  <c r="BA8" i="7"/>
  <c r="CM7" i="7"/>
  <c r="CM8" i="7"/>
  <c r="CZ8" i="7"/>
  <c r="CZ7" i="7"/>
  <c r="DM8" i="7"/>
  <c r="DM7" i="7"/>
  <c r="O7" i="7"/>
  <c r="O8" i="7"/>
  <c r="AB7" i="7"/>
  <c r="AB8" i="7"/>
  <c r="AO8" i="7"/>
  <c r="AO7" i="7"/>
  <c r="CA7" i="7"/>
  <c r="CA8" i="7"/>
  <c r="CN7" i="7"/>
  <c r="CN8" i="7"/>
  <c r="DA8" i="7"/>
  <c r="DA7" i="7"/>
  <c r="C8" i="7"/>
  <c r="C7" i="7"/>
  <c r="P7" i="7"/>
  <c r="P8" i="7"/>
  <c r="AC7" i="7"/>
  <c r="AC8" i="7"/>
  <c r="BO8" i="7"/>
  <c r="BO7" i="7"/>
  <c r="CB7" i="7"/>
  <c r="CB8" i="7"/>
  <c r="CO7" i="7"/>
  <c r="CO8" i="7"/>
  <c r="EA8" i="7"/>
  <c r="EA7" i="7"/>
  <c r="DD7" i="7"/>
  <c r="DD8" i="7"/>
  <c r="S8" i="7"/>
  <c r="S7" i="7"/>
  <c r="AF7" i="7"/>
  <c r="AF8" i="7"/>
  <c r="AS7" i="7"/>
  <c r="AS8" i="7"/>
  <c r="CE8" i="7"/>
  <c r="CE7" i="7"/>
  <c r="CR7" i="7"/>
  <c r="CR8" i="7"/>
  <c r="DE7" i="7"/>
  <c r="DE8" i="7"/>
  <c r="BP8" i="7"/>
  <c r="BP7" i="7"/>
  <c r="E8" i="7"/>
  <c r="E7" i="7"/>
  <c r="BD8" i="7"/>
  <c r="BD7" i="7"/>
  <c r="AE7" i="7"/>
  <c r="AE8" i="7"/>
  <c r="AR7" i="7"/>
  <c r="AR8" i="7"/>
  <c r="BE8" i="7"/>
  <c r="BE7" i="7"/>
  <c r="CQ7" i="7"/>
  <c r="CQ8" i="7"/>
  <c r="G8" i="7"/>
  <c r="G7" i="7"/>
  <c r="T8" i="7"/>
  <c r="T7" i="7"/>
  <c r="AG8" i="7"/>
  <c r="AG7" i="7"/>
  <c r="BS8" i="7"/>
  <c r="BS7" i="7"/>
  <c r="CF8" i="7"/>
  <c r="CF7" i="7"/>
  <c r="CS8" i="7"/>
  <c r="CS7" i="7"/>
  <c r="EE8" i="7"/>
  <c r="EE7" i="7"/>
  <c r="D8" i="7"/>
  <c r="D7" i="7"/>
  <c r="Q8" i="7"/>
  <c r="Q7" i="7"/>
  <c r="BC8" i="7"/>
  <c r="BC7" i="7"/>
  <c r="DO8" i="7"/>
  <c r="DO7" i="7"/>
  <c r="DP8" i="7"/>
  <c r="DP7" i="7"/>
  <c r="DQ8" i="7"/>
  <c r="DQ7" i="7"/>
  <c r="H8" i="7"/>
  <c r="H7" i="7"/>
  <c r="U8" i="7"/>
  <c r="U7" i="7"/>
  <c r="BG7" i="7"/>
  <c r="BG8" i="7"/>
  <c r="BT8" i="7"/>
  <c r="BT7" i="7"/>
  <c r="CG8" i="7"/>
  <c r="CG7" i="7"/>
  <c r="DS7" i="7"/>
  <c r="DS8" i="7"/>
  <c r="EF8" i="7"/>
  <c r="EF7" i="7"/>
  <c r="EB8" i="7"/>
  <c r="EB7" i="7"/>
  <c r="AQ7" i="7"/>
  <c r="AQ8" i="7"/>
  <c r="EC8" i="7"/>
  <c r="EC7" i="7"/>
  <c r="I8" i="7"/>
  <c r="I7" i="7"/>
  <c r="AU7" i="7"/>
  <c r="AU8" i="7"/>
  <c r="BH7" i="7"/>
  <c r="BH8" i="7"/>
  <c r="BU8" i="7"/>
  <c r="BU7" i="7"/>
  <c r="DG7" i="7"/>
  <c r="DG8" i="7"/>
  <c r="DT7" i="7"/>
  <c r="DT8" i="7"/>
  <c r="EG8" i="7"/>
  <c r="EG7" i="7"/>
  <c r="BQ8" i="7"/>
  <c r="BQ7" i="7"/>
  <c r="AI8" i="7"/>
  <c r="AI7" i="7"/>
  <c r="AV7" i="7"/>
  <c r="AV8" i="7"/>
  <c r="BI7" i="7"/>
  <c r="BI8" i="7"/>
  <c r="CU8" i="7"/>
  <c r="CU7" i="7"/>
  <c r="DH7" i="7"/>
  <c r="DH8" i="7"/>
  <c r="DU8" i="7"/>
  <c r="DU7" i="7"/>
  <c r="J8" i="7"/>
  <c r="Z8" i="7"/>
  <c r="AP8" i="7"/>
  <c r="BF8" i="7"/>
  <c r="BV8" i="7"/>
  <c r="CL8" i="7"/>
  <c r="DR8" i="7"/>
  <c r="R7" i="7"/>
  <c r="AH7" i="7"/>
  <c r="AX7" i="7"/>
  <c r="BN7" i="7"/>
  <c r="CD7" i="7"/>
  <c r="CT7" i="7"/>
  <c r="DJ7" i="7"/>
  <c r="DZ7" i="7"/>
  <c r="DB8" i="7"/>
  <c r="AJ7" i="2"/>
  <c r="AJ8" i="2"/>
  <c r="DG8" i="3"/>
  <c r="DG7" i="3"/>
  <c r="E7" i="3"/>
  <c r="E8" i="3"/>
  <c r="AU7" i="1"/>
  <c r="AU8" i="1"/>
  <c r="AB7" i="2"/>
  <c r="AB8" i="2"/>
  <c r="BL7" i="4"/>
  <c r="BL8" i="4"/>
  <c r="CA7" i="1"/>
  <c r="CA8" i="1"/>
  <c r="DR7" i="2"/>
  <c r="DR8" i="2"/>
  <c r="DG8" i="1"/>
  <c r="DG7" i="1"/>
  <c r="O8" i="1"/>
  <c r="O7" i="1"/>
  <c r="X7" i="3"/>
  <c r="X8" i="3"/>
  <c r="K7" i="4"/>
  <c r="K8" i="4"/>
  <c r="V8" i="4"/>
  <c r="V7" i="4"/>
  <c r="AF7" i="4"/>
  <c r="AF8" i="4"/>
  <c r="AQ7" i="4"/>
  <c r="AQ8" i="4"/>
  <c r="EA8" i="5"/>
  <c r="EA7" i="5"/>
  <c r="CO8" i="1"/>
  <c r="CO7" i="1"/>
  <c r="CY8" i="1"/>
  <c r="CY7" i="1"/>
  <c r="BI7" i="1"/>
  <c r="BI8" i="1"/>
  <c r="CC8" i="1"/>
  <c r="I7" i="2"/>
  <c r="I8" i="2"/>
  <c r="V7" i="3"/>
  <c r="V8" i="3"/>
  <c r="AS8" i="3"/>
  <c r="AS7" i="3"/>
  <c r="DR7" i="4"/>
  <c r="DR8" i="4"/>
  <c r="DX8" i="5"/>
  <c r="DX7" i="5"/>
  <c r="EE7" i="1"/>
  <c r="EE8" i="1"/>
  <c r="BG7" i="2"/>
  <c r="BG8" i="2"/>
  <c r="DD7" i="2"/>
  <c r="DD8" i="2"/>
  <c r="EG7" i="2"/>
  <c r="EG8" i="2"/>
  <c r="N8" i="2"/>
  <c r="DM8" i="3"/>
  <c r="DM7" i="3"/>
  <c r="CJ7" i="4"/>
  <c r="CJ8" i="4"/>
  <c r="ED8" i="4"/>
  <c r="ED7" i="4"/>
  <c r="G7" i="1"/>
  <c r="G8" i="1"/>
  <c r="Y7" i="1"/>
  <c r="Y8" i="1"/>
  <c r="DM8" i="1"/>
  <c r="DM7" i="1"/>
  <c r="H8" i="1"/>
  <c r="J8" i="2"/>
  <c r="J7" i="2"/>
  <c r="T7" i="2"/>
  <c r="T8" i="2"/>
  <c r="BH7" i="2"/>
  <c r="BH8" i="2"/>
  <c r="DE7" i="2"/>
  <c r="DE8" i="2"/>
  <c r="DX7" i="2"/>
  <c r="DX8" i="2"/>
  <c r="AO7" i="2"/>
  <c r="L8" i="3"/>
  <c r="L7" i="3"/>
  <c r="W7" i="3"/>
  <c r="W8" i="3"/>
  <c r="AT8" i="3"/>
  <c r="AT7" i="3"/>
  <c r="DN7" i="3"/>
  <c r="DN8" i="3"/>
  <c r="AO8" i="3"/>
  <c r="AP7" i="4"/>
  <c r="AP8" i="4"/>
  <c r="DS7" i="4"/>
  <c r="DS8" i="4"/>
  <c r="DM8" i="5"/>
  <c r="DM7" i="5"/>
  <c r="CL7" i="3"/>
  <c r="CL8" i="3"/>
  <c r="DP8" i="3"/>
  <c r="DP7" i="3"/>
  <c r="L7" i="4"/>
  <c r="L8" i="4"/>
  <c r="W7" i="4"/>
  <c r="W8" i="4"/>
  <c r="AG8" i="4"/>
  <c r="AG7" i="4"/>
  <c r="AZ8" i="5"/>
  <c r="AZ7" i="5"/>
  <c r="BV8" i="5"/>
  <c r="BV7" i="5"/>
  <c r="CS7" i="5"/>
  <c r="CS8" i="5"/>
  <c r="DC8" i="5"/>
  <c r="DC7" i="5"/>
  <c r="AK8" i="1"/>
  <c r="AK7" i="1"/>
  <c r="CW8" i="1"/>
  <c r="CW7" i="1"/>
  <c r="DE7" i="1"/>
  <c r="C8" i="2"/>
  <c r="C7" i="2"/>
  <c r="CN7" i="2"/>
  <c r="CN8" i="2"/>
  <c r="DQ8" i="2"/>
  <c r="DQ7" i="2"/>
  <c r="DI7" i="2"/>
  <c r="S8" i="2"/>
  <c r="D7" i="3"/>
  <c r="D8" i="3"/>
  <c r="BS7" i="3"/>
  <c r="BS8" i="3"/>
  <c r="EH17" i="3"/>
  <c r="EG17" i="3"/>
  <c r="BD8" i="1"/>
  <c r="BD7" i="1"/>
  <c r="BM7" i="1"/>
  <c r="BM8" i="1"/>
  <c r="DY8" i="1"/>
  <c r="DY7" i="1"/>
  <c r="CO7" i="2"/>
  <c r="CO8" i="2"/>
  <c r="EA8" i="2"/>
  <c r="EA7" i="2"/>
  <c r="DJ7" i="2"/>
  <c r="O8" i="3"/>
  <c r="O7" i="3"/>
  <c r="CW8" i="3"/>
  <c r="CW7" i="3"/>
  <c r="BU8" i="3"/>
  <c r="EA7" i="4"/>
  <c r="EF7" i="1"/>
  <c r="EF8" i="1"/>
  <c r="DH7" i="4"/>
  <c r="DH8" i="4"/>
  <c r="CO7" i="3"/>
  <c r="CO8" i="3"/>
  <c r="BK8" i="3"/>
  <c r="BK7" i="3"/>
  <c r="CF8" i="3"/>
  <c r="CF7" i="3"/>
  <c r="EE8" i="3"/>
  <c r="EE7" i="3"/>
  <c r="N8" i="3"/>
  <c r="BT8" i="1"/>
  <c r="BT7" i="1"/>
  <c r="K8" i="2"/>
  <c r="K7" i="2"/>
  <c r="BI7" i="5"/>
  <c r="BI8" i="5"/>
  <c r="AY8" i="2"/>
  <c r="AY7" i="2"/>
  <c r="DZ8" i="2"/>
  <c r="DZ7" i="2"/>
  <c r="AC7" i="1"/>
  <c r="AC8" i="1"/>
  <c r="BA8" i="2"/>
  <c r="BA7" i="2"/>
  <c r="CP7" i="2"/>
  <c r="CP8" i="2"/>
  <c r="C7" i="4"/>
  <c r="C8" i="4"/>
  <c r="AF8" i="5"/>
  <c r="AF7" i="5"/>
  <c r="BE8" i="1"/>
  <c r="BE7" i="1"/>
  <c r="DH8" i="1"/>
  <c r="DH7" i="1"/>
  <c r="AR7" i="2"/>
  <c r="AR8" i="2"/>
  <c r="U7" i="2"/>
  <c r="EG14" i="3"/>
  <c r="CP7" i="4"/>
  <c r="CP8" i="4"/>
  <c r="U8" i="1"/>
  <c r="U7" i="1"/>
  <c r="BL8" i="1"/>
  <c r="BB8" i="2"/>
  <c r="BB7" i="2"/>
  <c r="BV8" i="2"/>
  <c r="BV7" i="2"/>
  <c r="CE8" i="3"/>
  <c r="CE7" i="3"/>
  <c r="CD8" i="4"/>
  <c r="CD7" i="4"/>
  <c r="AN8" i="1"/>
  <c r="AN7" i="1"/>
  <c r="CZ8" i="1"/>
  <c r="CZ7" i="1"/>
  <c r="AW7" i="1"/>
  <c r="CG7" i="1"/>
  <c r="BW8" i="2"/>
  <c r="BW7" i="2"/>
  <c r="BR7" i="2"/>
  <c r="P7" i="1"/>
  <c r="DW7" i="1"/>
  <c r="BX7" i="2"/>
  <c r="BX8" i="2"/>
  <c r="CR8" i="2"/>
  <c r="CR7" i="2"/>
  <c r="DK8" i="2"/>
  <c r="DK7" i="2"/>
  <c r="EB7" i="2"/>
  <c r="BA7" i="3"/>
  <c r="BA8" i="3"/>
  <c r="P8" i="3"/>
  <c r="DE7" i="3"/>
  <c r="DE8" i="3"/>
  <c r="DQ8" i="1"/>
  <c r="DQ7" i="1"/>
  <c r="EC7" i="3"/>
  <c r="EC8" i="3"/>
  <c r="AF8" i="1"/>
  <c r="AF7" i="1"/>
  <c r="CI7" i="1"/>
  <c r="AA8" i="2"/>
  <c r="AA7" i="2"/>
  <c r="CS8" i="2"/>
  <c r="CS7" i="2"/>
  <c r="Y7" i="2"/>
  <c r="AH7" i="3"/>
  <c r="AH8" i="3"/>
  <c r="DY7" i="3"/>
  <c r="DY8" i="3"/>
  <c r="BQ7" i="3"/>
  <c r="BQ8" i="3"/>
  <c r="DO8" i="3"/>
  <c r="DO7" i="3"/>
  <c r="BB8" i="4"/>
  <c r="BB7" i="4"/>
  <c r="AO7" i="5"/>
  <c r="AO8" i="5"/>
  <c r="BU8" i="1"/>
  <c r="BU7" i="1"/>
  <c r="DX8" i="1"/>
  <c r="DX7" i="1"/>
  <c r="CM8" i="2"/>
  <c r="CM7" i="2"/>
  <c r="CC8" i="2"/>
  <c r="BI8" i="3"/>
  <c r="BI7" i="3"/>
  <c r="CN7" i="3"/>
  <c r="CN8" i="3"/>
  <c r="CX7" i="3"/>
  <c r="CX8" i="3"/>
  <c r="AM7" i="1"/>
  <c r="AM8" i="1"/>
  <c r="BK8" i="1"/>
  <c r="AM7" i="3"/>
  <c r="AM8" i="3"/>
  <c r="CD7" i="3"/>
  <c r="CD8" i="3"/>
  <c r="T7" i="5"/>
  <c r="T8" i="5"/>
  <c r="AV7" i="1"/>
  <c r="DU7" i="1"/>
  <c r="AS7" i="2"/>
  <c r="AS8" i="2"/>
  <c r="CZ8" i="2"/>
  <c r="CZ7" i="2"/>
  <c r="AP8" i="2"/>
  <c r="AN7" i="3"/>
  <c r="AN8" i="3"/>
  <c r="ED7" i="3"/>
  <c r="ED8" i="3"/>
  <c r="CI8" i="3"/>
  <c r="CR7" i="1"/>
  <c r="CR8" i="1"/>
  <c r="Q7" i="1"/>
  <c r="BF8" i="2"/>
  <c r="H7" i="3"/>
  <c r="H8" i="3"/>
  <c r="BB7" i="3"/>
  <c r="BB8" i="3"/>
  <c r="BL8" i="3"/>
  <c r="BL7" i="3"/>
  <c r="EH13" i="3"/>
  <c r="EG13" i="3"/>
  <c r="E8" i="1"/>
  <c r="E7" i="1"/>
  <c r="EC8" i="1"/>
  <c r="EC7" i="1"/>
  <c r="BA7" i="1"/>
  <c r="CJ7" i="1"/>
  <c r="DO8" i="1"/>
  <c r="AK8" i="2"/>
  <c r="AK7" i="2"/>
  <c r="Z7" i="2"/>
  <c r="BI8" i="2"/>
  <c r="AE8" i="3"/>
  <c r="AE7" i="3"/>
  <c r="AQ8" i="3"/>
  <c r="AQ7" i="3"/>
  <c r="DV7" i="3"/>
  <c r="DV8" i="3"/>
  <c r="BU7" i="4"/>
  <c r="BU8" i="4"/>
  <c r="EB7" i="4"/>
  <c r="EB8" i="4"/>
  <c r="BC8" i="1"/>
  <c r="BC7" i="1"/>
  <c r="BR7" i="3"/>
  <c r="BR8" i="3"/>
  <c r="AL7" i="3"/>
  <c r="AL8" i="3"/>
  <c r="BY7" i="2"/>
  <c r="BY8" i="2"/>
  <c r="X7" i="1"/>
  <c r="X8" i="1"/>
  <c r="CS7" i="1"/>
  <c r="CS8" i="1"/>
  <c r="CK7" i="1"/>
  <c r="AO8" i="1"/>
  <c r="CB8" i="1"/>
  <c r="BE8" i="2"/>
  <c r="BE7" i="2"/>
  <c r="CJ7" i="2"/>
  <c r="BJ8" i="2"/>
  <c r="U7" i="3"/>
  <c r="U8" i="3"/>
  <c r="AR8" i="3"/>
  <c r="AR7" i="3"/>
  <c r="DW8" i="3"/>
  <c r="DW7" i="3"/>
  <c r="DF8" i="3"/>
  <c r="AY8" i="4"/>
  <c r="AY7" i="4"/>
  <c r="DQ7" i="4"/>
  <c r="DQ8" i="4"/>
  <c r="CH7" i="2"/>
  <c r="AI8" i="2"/>
  <c r="AF8" i="3"/>
  <c r="AF7" i="3"/>
  <c r="CV7" i="3"/>
  <c r="AO7" i="4"/>
  <c r="AO8" i="4"/>
  <c r="BV7" i="4"/>
  <c r="BV8" i="4"/>
  <c r="CG8" i="4"/>
  <c r="CG7" i="4"/>
  <c r="DY8" i="5"/>
  <c r="DY7" i="5"/>
  <c r="AX7" i="1"/>
  <c r="DR7" i="1"/>
  <c r="CB8" i="2"/>
  <c r="CV8" i="2"/>
  <c r="DT8" i="2"/>
  <c r="C8" i="3"/>
  <c r="EH15" i="3"/>
  <c r="EG15" i="3"/>
  <c r="U7" i="4"/>
  <c r="U8" i="4"/>
  <c r="BW7" i="4"/>
  <c r="BW8" i="4"/>
  <c r="CE8" i="5"/>
  <c r="CE7" i="5"/>
  <c r="DL7" i="5"/>
  <c r="DL8" i="5"/>
  <c r="BL8" i="2"/>
  <c r="F7" i="3"/>
  <c r="F8" i="3"/>
  <c r="CY8" i="3"/>
  <c r="CY7" i="3"/>
  <c r="DQ8" i="3"/>
  <c r="DQ7" i="3"/>
  <c r="X7" i="4"/>
  <c r="X8" i="4"/>
  <c r="S7" i="5"/>
  <c r="S8" i="5"/>
  <c r="CH8" i="5"/>
  <c r="CH7" i="5"/>
  <c r="AZ7" i="2"/>
  <c r="BT7" i="2"/>
  <c r="DL7" i="2"/>
  <c r="BM8" i="3"/>
  <c r="BM7" i="3"/>
  <c r="BW8" i="3"/>
  <c r="BW7" i="3"/>
  <c r="M7" i="4"/>
  <c r="M8" i="4"/>
  <c r="AH8" i="4"/>
  <c r="AH7" i="4"/>
  <c r="BZ7" i="4"/>
  <c r="BZ8" i="4"/>
  <c r="AQ7" i="5"/>
  <c r="AQ8" i="5"/>
  <c r="AT8" i="2"/>
  <c r="D7" i="1"/>
  <c r="BF7" i="1"/>
  <c r="EB7" i="1"/>
  <c r="DC8" i="1"/>
  <c r="DJ7" i="3"/>
  <c r="DJ8" i="3"/>
  <c r="AU7" i="3"/>
  <c r="BE8" i="3"/>
  <c r="CP8" i="3"/>
  <c r="EG20" i="3"/>
  <c r="CZ7" i="4"/>
  <c r="CZ8" i="4"/>
  <c r="N7" i="4"/>
  <c r="N8" i="4"/>
  <c r="DD8" i="1"/>
  <c r="BD7" i="2"/>
  <c r="DP7" i="2"/>
  <c r="AV8" i="3"/>
  <c r="AV7" i="3"/>
  <c r="BP8" i="3"/>
  <c r="BP7" i="3"/>
  <c r="AW7" i="3"/>
  <c r="CG7" i="3"/>
  <c r="DR7" i="3"/>
  <c r="CC8" i="4"/>
  <c r="CC7" i="4"/>
  <c r="DJ8" i="4"/>
  <c r="DJ7" i="4"/>
  <c r="K7" i="5"/>
  <c r="K8" i="5"/>
  <c r="CH7" i="3"/>
  <c r="CH8" i="3"/>
  <c r="CC7" i="3"/>
  <c r="BD8" i="3"/>
  <c r="EH23" i="3"/>
  <c r="EG23" i="3"/>
  <c r="D7" i="4"/>
  <c r="D8" i="4"/>
  <c r="DI8" i="4"/>
  <c r="DI7" i="4"/>
  <c r="AC8" i="2"/>
  <c r="BU8" i="2"/>
  <c r="DL7" i="1"/>
  <c r="CM8" i="1"/>
  <c r="CW7" i="2"/>
  <c r="AD8" i="2"/>
  <c r="Y7" i="3"/>
  <c r="BF7" i="3"/>
  <c r="DA8" i="3"/>
  <c r="EG18" i="3"/>
  <c r="EH21" i="3"/>
  <c r="EG21" i="3"/>
  <c r="AV7" i="4"/>
  <c r="AV8" i="4"/>
  <c r="BR8" i="4"/>
  <c r="BR7" i="4"/>
  <c r="DA7" i="4"/>
  <c r="DA8" i="4"/>
  <c r="G7" i="3"/>
  <c r="G8" i="3"/>
  <c r="BN7" i="3"/>
  <c r="BN8" i="3"/>
  <c r="CX7" i="2"/>
  <c r="Z7" i="3"/>
  <c r="BG7" i="3"/>
  <c r="CQ7" i="3"/>
  <c r="EB7" i="3"/>
  <c r="DK7" i="4"/>
  <c r="DK8" i="4"/>
  <c r="M7" i="3"/>
  <c r="Y7" i="4"/>
  <c r="Y8" i="4"/>
  <c r="BO8" i="4"/>
  <c r="BO7" i="4"/>
  <c r="CX8" i="4"/>
  <c r="CX7" i="4"/>
  <c r="DZ8" i="3"/>
  <c r="CY8" i="4"/>
  <c r="CY7" i="4"/>
  <c r="DT8" i="4"/>
  <c r="DT7" i="4"/>
  <c r="J8" i="5"/>
  <c r="J7" i="5"/>
  <c r="CN8" i="1"/>
  <c r="AL7" i="2"/>
  <c r="CV7" i="1"/>
  <c r="BW8" i="1"/>
  <c r="L8" i="2"/>
  <c r="CT7" i="3"/>
  <c r="CT8" i="3"/>
  <c r="AA7" i="3"/>
  <c r="CR7" i="3"/>
  <c r="AI8" i="3"/>
  <c r="DD8" i="3"/>
  <c r="EG16" i="3"/>
  <c r="EH19" i="3"/>
  <c r="EG19" i="3"/>
  <c r="R8" i="4"/>
  <c r="R7" i="4"/>
  <c r="BT7" i="4"/>
  <c r="BT8" i="4"/>
  <c r="CE7" i="4"/>
  <c r="CE8" i="4"/>
  <c r="DB8" i="4"/>
  <c r="DB7" i="4"/>
  <c r="BF8" i="4"/>
  <c r="BX8" i="1"/>
  <c r="AN7" i="2"/>
  <c r="M8" i="2"/>
  <c r="AX8" i="3"/>
  <c r="AX7" i="3"/>
  <c r="AJ8" i="3"/>
  <c r="BT8" i="3"/>
  <c r="BI7" i="4"/>
  <c r="BI8" i="4"/>
  <c r="CF8" i="4"/>
  <c r="CF7" i="4"/>
  <c r="AP7" i="5"/>
  <c r="AP8" i="5"/>
  <c r="CF8" i="5"/>
  <c r="CF7" i="5"/>
  <c r="CR7" i="5"/>
  <c r="CR8" i="5"/>
  <c r="DB8" i="5"/>
  <c r="DB7" i="5"/>
  <c r="DZ8" i="5"/>
  <c r="DZ7" i="5"/>
  <c r="U8" i="5"/>
  <c r="U7" i="5"/>
  <c r="AG8" i="5"/>
  <c r="AG7" i="5"/>
  <c r="AR8" i="5"/>
  <c r="AR7" i="5"/>
  <c r="CT7" i="5"/>
  <c r="CT8" i="5"/>
  <c r="DD8" i="5"/>
  <c r="DD7" i="5"/>
  <c r="DP8" i="5"/>
  <c r="DP7" i="5"/>
  <c r="AS7" i="4"/>
  <c r="AS8" i="4"/>
  <c r="DU7" i="4"/>
  <c r="DU8" i="4"/>
  <c r="EF7" i="4"/>
  <c r="EF8" i="4"/>
  <c r="BN7" i="4"/>
  <c r="I8" i="4"/>
  <c r="BM7" i="5"/>
  <c r="BM8" i="5"/>
  <c r="BX8" i="5"/>
  <c r="BX7" i="5"/>
  <c r="CJ7" i="5"/>
  <c r="CJ8" i="5"/>
  <c r="BX7" i="4"/>
  <c r="BX8" i="4"/>
  <c r="V8" i="5"/>
  <c r="V7" i="5"/>
  <c r="BN8" i="5"/>
  <c r="BN7" i="5"/>
  <c r="CU7" i="5"/>
  <c r="CU8" i="5"/>
  <c r="DE8" i="5"/>
  <c r="DE7" i="5"/>
  <c r="DR7" i="5"/>
  <c r="DR8" i="5"/>
  <c r="DS7" i="3"/>
  <c r="BE7" i="4"/>
  <c r="BE8" i="4"/>
  <c r="CS8" i="4"/>
  <c r="CS7" i="4"/>
  <c r="DL7" i="4"/>
  <c r="DL8" i="4"/>
  <c r="E7" i="4"/>
  <c r="L8" i="5"/>
  <c r="L7" i="5"/>
  <c r="W8" i="5"/>
  <c r="W7" i="5"/>
  <c r="CK8" i="5"/>
  <c r="CK7" i="5"/>
  <c r="Q8" i="4"/>
  <c r="Q7" i="4"/>
  <c r="F7" i="4"/>
  <c r="BY8" i="4"/>
  <c r="X7" i="5"/>
  <c r="X8" i="5"/>
  <c r="AV7" i="5"/>
  <c r="AV8" i="5"/>
  <c r="BE8" i="5"/>
  <c r="BE7" i="5"/>
  <c r="DC7" i="3"/>
  <c r="AL8" i="4"/>
  <c r="AL7" i="4"/>
  <c r="CT8" i="4"/>
  <c r="CT7" i="4"/>
  <c r="C7" i="5"/>
  <c r="C8" i="5"/>
  <c r="M7" i="5"/>
  <c r="M8" i="5"/>
  <c r="CL8" i="5"/>
  <c r="CL7" i="5"/>
  <c r="H7" i="4"/>
  <c r="H8" i="4"/>
  <c r="DN8" i="4"/>
  <c r="DN7" i="4"/>
  <c r="AT7" i="4"/>
  <c r="CK8" i="4"/>
  <c r="Y7" i="5"/>
  <c r="Y8" i="5"/>
  <c r="CM7" i="3"/>
  <c r="AN7" i="4"/>
  <c r="AN8" i="4"/>
  <c r="BG7" i="4"/>
  <c r="BG8" i="4"/>
  <c r="CA7" i="4"/>
  <c r="CA8" i="4"/>
  <c r="CU7" i="4"/>
  <c r="CU8" i="4"/>
  <c r="DO7" i="4"/>
  <c r="DO8" i="4"/>
  <c r="D8" i="5"/>
  <c r="D7" i="5"/>
  <c r="CB8" i="5"/>
  <c r="CB7" i="5"/>
  <c r="EG24" i="3"/>
  <c r="T7" i="4"/>
  <c r="T8" i="4"/>
  <c r="CB7" i="4"/>
  <c r="CB8" i="4"/>
  <c r="CV7" i="4"/>
  <c r="CV8" i="4"/>
  <c r="DP7" i="4"/>
  <c r="DP8" i="4"/>
  <c r="S8" i="4"/>
  <c r="BC8" i="4"/>
  <c r="EG22" i="3"/>
  <c r="BH7" i="4"/>
  <c r="BH8" i="4"/>
  <c r="AW7" i="4"/>
  <c r="BD8" i="4"/>
  <c r="AB8" i="5"/>
  <c r="AB7" i="5"/>
  <c r="AI8" i="5"/>
  <c r="AI7" i="5"/>
  <c r="BO7" i="5"/>
  <c r="BO8" i="5"/>
  <c r="BY7" i="5"/>
  <c r="BY8" i="5"/>
  <c r="DQ7" i="5"/>
  <c r="DQ8" i="5"/>
  <c r="Z7" i="5"/>
  <c r="Z8" i="5"/>
  <c r="AK7" i="5"/>
  <c r="AK8" i="5"/>
  <c r="BP7" i="5"/>
  <c r="BP8" i="5"/>
  <c r="BZ7" i="5"/>
  <c r="BZ8" i="5"/>
  <c r="DS8" i="5"/>
  <c r="DS7" i="5"/>
  <c r="P7" i="5"/>
  <c r="P8" i="5"/>
  <c r="AL8" i="5"/>
  <c r="AL7" i="5"/>
  <c r="AW8" i="5"/>
  <c r="AW7" i="5"/>
  <c r="BF8" i="5"/>
  <c r="BF7" i="5"/>
  <c r="CV8" i="5"/>
  <c r="CV7" i="5"/>
  <c r="AM8" i="5"/>
  <c r="AM7" i="5"/>
  <c r="BQ8" i="5"/>
  <c r="BQ7" i="5"/>
  <c r="CW7" i="5"/>
  <c r="CW8" i="5"/>
  <c r="DH8" i="5"/>
  <c r="DH7" i="5"/>
  <c r="AN8" i="5"/>
  <c r="AN7" i="5"/>
  <c r="AX7" i="5"/>
  <c r="AX8" i="5"/>
  <c r="BG7" i="5"/>
  <c r="BG8" i="5"/>
  <c r="CM8" i="5"/>
  <c r="CM7" i="5"/>
  <c r="R8" i="5"/>
  <c r="R7" i="5"/>
  <c r="AC7" i="5"/>
  <c r="AC8" i="5"/>
  <c r="BR7" i="5"/>
  <c r="BR8" i="5"/>
  <c r="CC8" i="5"/>
  <c r="CC7" i="5"/>
  <c r="DU7" i="5"/>
  <c r="DU8" i="5"/>
  <c r="H7" i="5"/>
  <c r="H8" i="5"/>
  <c r="AY7" i="5"/>
  <c r="AY8" i="5"/>
  <c r="BH8" i="5"/>
  <c r="BH7" i="5"/>
  <c r="BS7" i="5"/>
  <c r="BS8" i="5"/>
  <c r="I8" i="5"/>
  <c r="I7" i="5"/>
  <c r="AD7" i="5"/>
  <c r="AD8" i="5"/>
  <c r="BT8" i="5"/>
  <c r="BT7" i="5"/>
  <c r="CO7" i="5"/>
  <c r="CO8" i="5"/>
  <c r="N7" i="5"/>
  <c r="N8" i="5"/>
  <c r="AH8" i="5"/>
  <c r="AH7" i="5"/>
  <c r="BA7" i="5"/>
  <c r="BA8" i="5"/>
  <c r="BJ8" i="5"/>
  <c r="BJ7" i="5"/>
  <c r="CD8" i="5"/>
  <c r="CD7" i="5"/>
  <c r="CN8" i="5"/>
  <c r="CN7" i="5"/>
  <c r="DI7" i="5"/>
  <c r="DI8" i="5"/>
  <c r="DT8" i="5"/>
  <c r="DT7" i="5"/>
  <c r="EF7" i="5"/>
  <c r="EF8" i="5"/>
  <c r="E8" i="5"/>
  <c r="E7" i="5"/>
  <c r="BK7" i="5"/>
  <c r="BK8" i="5"/>
  <c r="BU8" i="5"/>
  <c r="BU7" i="5"/>
  <c r="DJ7" i="5"/>
  <c r="DJ8" i="5"/>
  <c r="EG8" i="5"/>
  <c r="EG7" i="5"/>
  <c r="BL7" i="5"/>
  <c r="BL8" i="5"/>
  <c r="F8" i="5"/>
  <c r="F7" i="5"/>
  <c r="AS7" i="5"/>
  <c r="AS8" i="5"/>
  <c r="BC8" i="5"/>
  <c r="BC7" i="5"/>
  <c r="CZ7" i="5"/>
  <c r="CZ8" i="5"/>
  <c r="DK7" i="5"/>
  <c r="DK8" i="5"/>
  <c r="G7" i="5"/>
  <c r="G8" i="5"/>
  <c r="Q7" i="5"/>
  <c r="Q8" i="5"/>
  <c r="AJ8" i="5"/>
  <c r="AJ7" i="5"/>
  <c r="AT7" i="5"/>
  <c r="AT8" i="5"/>
  <c r="BD8" i="5"/>
  <c r="BD7" i="5"/>
  <c r="BW7" i="5"/>
  <c r="BW8" i="5"/>
  <c r="DA8" i="5"/>
  <c r="DA7" i="5"/>
  <c r="AA7" i="5"/>
  <c r="AA8" i="5"/>
  <c r="AU7" i="5"/>
  <c r="AU8" i="5"/>
  <c r="CG7" i="5"/>
  <c r="CG8" i="5"/>
  <c r="BB7" i="5"/>
  <c r="CA7" i="5"/>
  <c r="DV7" i="5"/>
  <c r="CI8" i="5"/>
  <c r="CX7" i="5"/>
  <c r="DW7" i="5"/>
  <c r="CY7" i="5"/>
  <c r="O7" i="5"/>
  <c r="CP8" i="5"/>
  <c r="CQ8" i="5"/>
  <c r="DN8" i="5"/>
  <c r="DF7" i="5"/>
  <c r="DO8" i="5"/>
  <c r="DG7" i="5"/>
  <c r="EB7" i="5"/>
  <c r="ED7" i="5"/>
  <c r="EE7" i="5"/>
  <c r="AE8" i="5"/>
  <c r="EC8" i="5"/>
  <c r="B21" i="6"/>
  <c r="EG17" i="6"/>
  <c r="EG1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<sst xmlns="http://schemas.openxmlformats.org/spreadsheetml/2006/main" count="1999" uniqueCount="183">
  <si>
    <t>NN1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</si>
  <si>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</si>
  <si>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</si>
  <si>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</si>
  <si>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</si>
  <si>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</si>
  <si>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</si>
  <si>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</si>
  <si>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</si>
  <si>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</si>
  <si>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</si>
  <si>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</si>
  <si>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</si>
  <si>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</si>
  <si>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</si>
  <si>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</si>
  <si>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</si>
  <si>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</si>
  <si>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</si>
  <si>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</si>
  <si>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</si>
  <si>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</si>
  <si>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</si>
  <si>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</si>
  <si>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</si>
  <si>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</si>
  <si>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</si>
  <si>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</si>
  <si>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</si>
  <si>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</si>
  <si>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</si>
  <si>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</si>
  <si>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</si>
  <si>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</si>
  <si>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</si>
  <si>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</si>
  <si>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</si>
  <si>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</si>
  <si>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</si>
  <si>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</si>
  <si>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</si>
  <si>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</si>
  <si>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</si>
  <si>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</si>
  <si>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</si>
  <si>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</si>
  <si>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</si>
  <si>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</si>
  <si>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</si>
  <si>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</si>
  <si>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</si>
  <si>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</si>
  <si>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</si>
  <si>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</si>
  <si>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</si>
  <si>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</si>
  <si>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</si>
  <si>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</si>
  <si>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</si>
  <si>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</si>
  <si>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</si>
  <si>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</si>
  <si>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</si>
  <si>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</si>
  <si>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</si>
  <si>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</si>
  <si>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</si>
  <si>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</si>
  <si>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</si>
  <si>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</si>
  <si>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</si>
  <si>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</si>
  <si>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</si>
  <si>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</si>
  <si>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</si>
  <si>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</si>
  <si>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</si>
  <si>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</si>
  <si>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</si>
  <si>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</si>
  <si>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</si>
  <si>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</si>
  <si>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</si>
  <si>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</si>
  <si>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</si>
  <si>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</si>
  <si>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</si>
  <si>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</si>
  <si>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</si>
  <si>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</si>
  <si>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</si>
  <si>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</si>
  <si>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</si>
  <si>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</si>
  <si>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</si>
  <si>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</si>
  <si>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</si>
  <si>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</si>
  <si>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</si>
  <si>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</si>
  <si>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</si>
  <si>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</si>
  <si>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</si>
  <si>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</si>
  <si>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</si>
  <si>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</si>
  <si>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</si>
  <si>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</si>
  <si>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</si>
  <si>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</si>
  <si>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</si>
  <si>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</si>
  <si>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</si>
  <si>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</si>
  <si>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</si>
  <si>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</si>
  <si>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</si>
  <si>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</si>
  <si>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</si>
  <si>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</si>
  <si>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</si>
  <si>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</si>
  <si>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</si>
  <si>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</si>
  <si>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</si>
  <si>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</si>
  <si>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</si>
  <si>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</si>
  <si>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</si>
  <si>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</si>
  <si>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</si>
  <si>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</si>
  <si>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</si>
  <si>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</si>
  <si>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</si>
  <si>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</si>
  <si>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</si>
  <si>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</si>
  <si>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</si>
  <si>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</si>
  <si>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</si>
  <si>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</si>
  <si>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</si>
  <si>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</si>
  <si>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</si>
  <si>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大盤</t>
  </si>
  <si>
    <t>TWII</t>
  </si>
  <si>
    <t>平均值</t>
  </si>
  <si>
    <t>標準差</t>
  </si>
  <si>
    <t>夏普比率</t>
  </si>
  <si>
    <t>SUM</t>
  </si>
  <si>
    <t>勝率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</si>
  <si>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</si>
  <si>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</si>
  <si>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</si>
  <si>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</si>
  <si>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</si>
  <si>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</si>
  <si>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</si>
  <si>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</si>
  <si>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</si>
  <si>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</si>
  <si>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</si>
  <si>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</si>
  <si>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</si>
  <si>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REAL</t>
  </si>
  <si>
    <t>(預測-真實)**2</t>
  </si>
  <si>
    <t>真實**2</t>
  </si>
  <si>
    <t>R**2</t>
  </si>
  <si>
    <t>家數</t>
    <phoneticPr fontId="1" type="noConversion"/>
  </si>
  <si>
    <t>10等分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</si>
  <si>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</si>
  <si>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</si>
  <si>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</si>
  <si>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107等分</t>
    <phoneticPr fontId="1" type="noConversion"/>
  </si>
  <si>
    <t>120等分</t>
    <phoneticPr fontId="1" type="noConversion"/>
  </si>
  <si>
    <t>137等分</t>
    <phoneticPr fontId="1" type="noConversion"/>
  </si>
  <si>
    <t>160等分</t>
    <phoneticPr fontId="1" type="noConversion"/>
  </si>
  <si>
    <t>192等分</t>
    <phoneticPr fontId="1" type="noConversion"/>
  </si>
  <si>
    <t>241等分</t>
    <phoneticPr fontId="1" type="noConversion"/>
  </si>
  <si>
    <t>321等分</t>
    <phoneticPr fontId="1" type="noConversion"/>
  </si>
  <si>
    <t>482等分</t>
    <phoneticPr fontId="1" type="noConversion"/>
  </si>
  <si>
    <t>964等分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</si>
</sst>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"/>
    <numFmt numFmtId="177" formatCode="0.000"/>
    <numFmt numFmtId="178" formatCode="0.0000"/>
    <numFmt numFmtId="179" formatCode="0.00000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2" fillId="3" borderId="1" xfId="0" applyFont="1" applyFill="1" applyBorder="1"/>
    <xf numFmtId="0" fontId="0" fillId="4" borderId="1" xfId="0" applyFill="1" applyBorder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177" fontId="0" fillId="6" borderId="0" xfId="0" applyNumberFormat="1" applyFill="1"/>
    <xf numFmtId="0" fontId="2" fillId="3" borderId="0" xfId="0" applyFont="1" applyFill="1"/>
    <xf numFmtId="177" fontId="0" fillId="3" borderId="0" xfId="0" applyNumberFormat="1" applyFill="1"/>
    <xf numFmtId="0" fontId="2" fillId="7" borderId="1" xfId="0" applyFont="1" applyFill="1" applyBorder="1"/>
    <xf numFmtId="176" fontId="2" fillId="7" borderId="0" xfId="0" applyNumberFormat="1" applyFont="1" applyFill="1" applyAlignment="1">
      <alignment horizontal="center" vertical="center"/>
    </xf>
    <xf numFmtId="178" fontId="0" fillId="7" borderId="1" xfId="0" applyNumberFormat="1" applyFill="1" applyBorder="1"/>
    <xf numFmtId="0" fontId="0" fillId="0" borderId="4" xfId="0" applyBorder="1"/>
    <xf numFmtId="179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NN1</a:t>
            </a:r>
            <a:r>
              <a:rPr lang="zh-TW" altLang="en-US"/>
              <a:t>再投資累積報酬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NN1再投資累積報酬!$A$12:$B$12</c:f>
              <c:strCache>
                <c:ptCount val="2"/>
                <c:pt idx="0">
                  <c:v>96</c:v>
                </c:pt>
                <c:pt idx="1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NN1再投資累積報酬!$C$12:$EF$12</c:f>
              <c:numCache>
                <c:formatCode>General</c:formatCode>
                <c:ptCount val="134"/>
                <c:pt idx="0">
                  <c:v>8.4653346747999514E-2</c:v>
                </c:pt>
                <c:pt idx="1">
                  <c:v>0.10723777667494394</c:v>
                </c:pt>
                <c:pt idx="2">
                  <c:v>9.9759461331836219E-2</c:v>
                </c:pt>
                <c:pt idx="3">
                  <c:v>7.7908533109830147E-2</c:v>
                </c:pt>
                <c:pt idx="4">
                  <c:v>8.642869591592528E-2</c:v>
                </c:pt>
                <c:pt idx="5">
                  <c:v>9.6596999010786E-2</c:v>
                </c:pt>
                <c:pt idx="6">
                  <c:v>0.13640778721173352</c:v>
                </c:pt>
                <c:pt idx="7">
                  <c:v>0.18616492345719093</c:v>
                </c:pt>
                <c:pt idx="8">
                  <c:v>0.1731308642421916</c:v>
                </c:pt>
                <c:pt idx="9">
                  <c:v>0.17045937452804116</c:v>
                </c:pt>
                <c:pt idx="10">
                  <c:v>0.15225661951113811</c:v>
                </c:pt>
                <c:pt idx="11">
                  <c:v>0.2122593547852063</c:v>
                </c:pt>
                <c:pt idx="12">
                  <c:v>0.23484361157490108</c:v>
                </c:pt>
                <c:pt idx="13">
                  <c:v>0.2083927412933273</c:v>
                </c:pt>
                <c:pt idx="14">
                  <c:v>0.21457449594918043</c:v>
                </c:pt>
                <c:pt idx="15">
                  <c:v>0.23055038780902737</c:v>
                </c:pt>
                <c:pt idx="16">
                  <c:v>0.14311498718391591</c:v>
                </c:pt>
                <c:pt idx="17">
                  <c:v>9.3682707016210287E-2</c:v>
                </c:pt>
                <c:pt idx="18">
                  <c:v>7.1407430107265801E-2</c:v>
                </c:pt>
                <c:pt idx="19">
                  <c:v>0.1196528968310997</c:v>
                </c:pt>
                <c:pt idx="20">
                  <c:v>0.14459701892340182</c:v>
                </c:pt>
                <c:pt idx="21">
                  <c:v>0.20013203619727515</c:v>
                </c:pt>
                <c:pt idx="22">
                  <c:v>0.17998376682160511</c:v>
                </c:pt>
                <c:pt idx="23">
                  <c:v>0.25505868031938084</c:v>
                </c:pt>
                <c:pt idx="24">
                  <c:v>0.20560477304154978</c:v>
                </c:pt>
                <c:pt idx="25">
                  <c:v>0.24742613029497784</c:v>
                </c:pt>
                <c:pt idx="26">
                  <c:v>0.29122920454711343</c:v>
                </c:pt>
                <c:pt idx="27">
                  <c:v>0.29877916374032787</c:v>
                </c:pt>
                <c:pt idx="28">
                  <c:v>0.24955851994139167</c:v>
                </c:pt>
                <c:pt idx="29">
                  <c:v>0.27508968868386785</c:v>
                </c:pt>
                <c:pt idx="30">
                  <c:v>0.31331961253220997</c:v>
                </c:pt>
                <c:pt idx="31">
                  <c:v>0.33395584795378741</c:v>
                </c:pt>
                <c:pt idx="32">
                  <c:v>0.3649655981196529</c:v>
                </c:pt>
                <c:pt idx="33">
                  <c:v>0.39371486211507634</c:v>
                </c:pt>
                <c:pt idx="34">
                  <c:v>0.4069600422534585</c:v>
                </c:pt>
                <c:pt idx="35">
                  <c:v>0.33970666289074769</c:v>
                </c:pt>
                <c:pt idx="36">
                  <c:v>0.36208880986883418</c:v>
                </c:pt>
                <c:pt idx="37">
                  <c:v>0.45639062359818228</c:v>
                </c:pt>
                <c:pt idx="38">
                  <c:v>0.4596366168831032</c:v>
                </c:pt>
                <c:pt idx="39">
                  <c:v>0.46894963783002019</c:v>
                </c:pt>
                <c:pt idx="40">
                  <c:v>0.46645693227273566</c:v>
                </c:pt>
                <c:pt idx="41">
                  <c:v>0.49904604278831743</c:v>
                </c:pt>
                <c:pt idx="42">
                  <c:v>0.52899139564426889</c:v>
                </c:pt>
                <c:pt idx="43">
                  <c:v>0.63937751406639021</c:v>
                </c:pt>
                <c:pt idx="44">
                  <c:v>0.64546540220386572</c:v>
                </c:pt>
                <c:pt idx="45">
                  <c:v>0.73385261400705937</c:v>
                </c:pt>
                <c:pt idx="46">
                  <c:v>0.73493016355929197</c:v>
                </c:pt>
                <c:pt idx="47">
                  <c:v>0.81057045948220741</c:v>
                </c:pt>
                <c:pt idx="48">
                  <c:v>0.85575377591825785</c:v>
                </c:pt>
                <c:pt idx="49">
                  <c:v>0.85148549385106875</c:v>
                </c:pt>
                <c:pt idx="50">
                  <c:v>0.80254271554401524</c:v>
                </c:pt>
                <c:pt idx="51">
                  <c:v>0.83007584397464651</c:v>
                </c:pt>
                <c:pt idx="52">
                  <c:v>0.85253597873215892</c:v>
                </c:pt>
                <c:pt idx="53">
                  <c:v>0.87778707587672766</c:v>
                </c:pt>
                <c:pt idx="54">
                  <c:v>0.9127304584905731</c:v>
                </c:pt>
                <c:pt idx="55">
                  <c:v>0.78339746015429501</c:v>
                </c:pt>
                <c:pt idx="56">
                  <c:v>0.70000980063989382</c:v>
                </c:pt>
                <c:pt idx="57">
                  <c:v>0.64037415548661514</c:v>
                </c:pt>
                <c:pt idx="58">
                  <c:v>0.56859783833210953</c:v>
                </c:pt>
                <c:pt idx="59">
                  <c:v>0.52991131192730534</c:v>
                </c:pt>
                <c:pt idx="60">
                  <c:v>0.49734766223421367</c:v>
                </c:pt>
                <c:pt idx="61">
                  <c:v>0.53434599371355707</c:v>
                </c:pt>
                <c:pt idx="62">
                  <c:v>0.52641481817937885</c:v>
                </c:pt>
                <c:pt idx="63">
                  <c:v>0.54399382863913193</c:v>
                </c:pt>
                <c:pt idx="64">
                  <c:v>0.58142998204203145</c:v>
                </c:pt>
                <c:pt idx="65">
                  <c:v>0.56481075759940014</c:v>
                </c:pt>
                <c:pt idx="66">
                  <c:v>0.58655654089848053</c:v>
                </c:pt>
                <c:pt idx="67">
                  <c:v>0.58296932314771377</c:v>
                </c:pt>
                <c:pt idx="68">
                  <c:v>0.61282933790874772</c:v>
                </c:pt>
                <c:pt idx="69">
                  <c:v>0.64836233694894752</c:v>
                </c:pt>
                <c:pt idx="70">
                  <c:v>0.63388721483394095</c:v>
                </c:pt>
                <c:pt idx="71">
                  <c:v>0.67156866639907564</c:v>
                </c:pt>
                <c:pt idx="72">
                  <c:v>0.62228452244015298</c:v>
                </c:pt>
                <c:pt idx="73">
                  <c:v>0.64090374472069933</c:v>
                </c:pt>
                <c:pt idx="74">
                  <c:v>0.58614547349229684</c:v>
                </c:pt>
                <c:pt idx="75">
                  <c:v>0.63750284306755489</c:v>
                </c:pt>
                <c:pt idx="76">
                  <c:v>0.63849138459537458</c:v>
                </c:pt>
                <c:pt idx="77">
                  <c:v>0.68301552466793369</c:v>
                </c:pt>
                <c:pt idx="78">
                  <c:v>0.6547897312289932</c:v>
                </c:pt>
                <c:pt idx="79">
                  <c:v>0.83836156893246483</c:v>
                </c:pt>
                <c:pt idx="80">
                  <c:v>0.85972224286638843</c:v>
                </c:pt>
                <c:pt idx="81">
                  <c:v>0.87463958549608156</c:v>
                </c:pt>
                <c:pt idx="82">
                  <c:v>0.78226117105679971</c:v>
                </c:pt>
                <c:pt idx="83">
                  <c:v>0.75291960510934519</c:v>
                </c:pt>
                <c:pt idx="84">
                  <c:v>0.69051911883950856</c:v>
                </c:pt>
                <c:pt idx="85">
                  <c:v>0.71662949173265877</c:v>
                </c:pt>
                <c:pt idx="86">
                  <c:v>0.73860774657575279</c:v>
                </c:pt>
                <c:pt idx="87">
                  <c:v>0.94379059628698214</c:v>
                </c:pt>
                <c:pt idx="88">
                  <c:v>0.80440450598422686</c:v>
                </c:pt>
                <c:pt idx="89">
                  <c:v>0.75553455347394549</c:v>
                </c:pt>
                <c:pt idx="90">
                  <c:v>0.71196256284861681</c:v>
                </c:pt>
                <c:pt idx="91">
                  <c:v>0.71024200274867444</c:v>
                </c:pt>
                <c:pt idx="92">
                  <c:v>0.81744740590906084</c:v>
                </c:pt>
                <c:pt idx="93">
                  <c:v>0.92133267513438244</c:v>
                </c:pt>
                <c:pt idx="94">
                  <c:v>0.91945250971156822</c:v>
                </c:pt>
                <c:pt idx="95">
                  <c:v>0.98109382797009248</c:v>
                </c:pt>
                <c:pt idx="96">
                  <c:v>0.83294856405228801</c:v>
                </c:pt>
                <c:pt idx="97">
                  <c:v>0.95215126980913301</c:v>
                </c:pt>
                <c:pt idx="98">
                  <c:v>1.0102427810133063</c:v>
                </c:pt>
                <c:pt idx="99">
                  <c:v>0.94842251193902527</c:v>
                </c:pt>
                <c:pt idx="100">
                  <c:v>0.98041677132771143</c:v>
                </c:pt>
                <c:pt idx="101">
                  <c:v>0.95600959605001479</c:v>
                </c:pt>
                <c:pt idx="102">
                  <c:v>0.98891815250333082</c:v>
                </c:pt>
                <c:pt idx="103">
                  <c:v>1.0596943671157519</c:v>
                </c:pt>
                <c:pt idx="104">
                  <c:v>1.0504229334679156</c:v>
                </c:pt>
                <c:pt idx="105">
                  <c:v>0.90697422605628719</c:v>
                </c:pt>
                <c:pt idx="106">
                  <c:v>0.85980017574335554</c:v>
                </c:pt>
                <c:pt idx="107">
                  <c:v>0.88141908754175113</c:v>
                </c:pt>
                <c:pt idx="108">
                  <c:v>0.79410277052201894</c:v>
                </c:pt>
                <c:pt idx="109">
                  <c:v>0.84936679658357805</c:v>
                </c:pt>
                <c:pt idx="110">
                  <c:v>0.9048094345485449</c:v>
                </c:pt>
                <c:pt idx="111">
                  <c:v>0.98362672111556693</c:v>
                </c:pt>
                <c:pt idx="112">
                  <c:v>0.98575157933884205</c:v>
                </c:pt>
                <c:pt idx="113">
                  <c:v>1.0228252303674346</c:v>
                </c:pt>
                <c:pt idx="114">
                  <c:v>1.0413209193761941</c:v>
                </c:pt>
                <c:pt idx="115">
                  <c:v>1.0034718829686975</c:v>
                </c:pt>
                <c:pt idx="116">
                  <c:v>1.0646918572985369</c:v>
                </c:pt>
                <c:pt idx="117">
                  <c:v>1.1595717736989153</c:v>
                </c:pt>
                <c:pt idx="118">
                  <c:v>1.0864440943868763</c:v>
                </c:pt>
                <c:pt idx="119">
                  <c:v>1.1256253096909794</c:v>
                </c:pt>
                <c:pt idx="120">
                  <c:v>1.0496848894448965</c:v>
                </c:pt>
                <c:pt idx="121">
                  <c:v>0.99882433334498266</c:v>
                </c:pt>
                <c:pt idx="122">
                  <c:v>0.9073038798120967</c:v>
                </c:pt>
                <c:pt idx="123">
                  <c:v>0.93925396920385218</c:v>
                </c:pt>
                <c:pt idx="124">
                  <c:v>0.93522766739925522</c:v>
                </c:pt>
                <c:pt idx="125">
                  <c:v>0.90020171714978092</c:v>
                </c:pt>
                <c:pt idx="126">
                  <c:v>0.78100544181154641</c:v>
                </c:pt>
                <c:pt idx="127">
                  <c:v>0.81669481416952228</c:v>
                </c:pt>
                <c:pt idx="128">
                  <c:v>0.90952361821679495</c:v>
                </c:pt>
                <c:pt idx="129">
                  <c:v>0.92057206565614891</c:v>
                </c:pt>
                <c:pt idx="130">
                  <c:v>0.89198642826908126</c:v>
                </c:pt>
                <c:pt idx="131">
                  <c:v>0.87882296764369405</c:v>
                </c:pt>
                <c:pt idx="132">
                  <c:v>0.82902120985047523</c:v>
                </c:pt>
                <c:pt idx="133">
                  <c:v>0.90077983554687791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6-4C1C-B361-E36828264117}"/>
            </c:ext>
          </c:extLst>
        </c:ser>
        <c:ser>
          <c:idx val="1"/>
          <c:order val="1"/>
          <c:tx>
            <c:strRef>
              <c:f>NN1再投資累積報酬!$A$13:$B$13</c:f>
              <c:strCache>
                <c:ptCount val="2"/>
                <c:pt idx="0">
                  <c:v>48</c:v>
                </c:pt>
                <c:pt idx="1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NN1再投資累積報酬!$C$13:$EF$13</c:f>
              <c:numCache>
                <c:formatCode>General</c:formatCode>
                <c:ptCount val="134"/>
                <c:pt idx="0">
                  <c:v>0.1041127502527619</c:v>
                </c:pt>
                <c:pt idx="1">
                  <c:v>0.13710100106834244</c:v>
                </c:pt>
                <c:pt idx="2">
                  <c:v>9.787486051125116E-2</c:v>
                </c:pt>
                <c:pt idx="3">
                  <c:v>5.9534703492829744E-2</c:v>
                </c:pt>
                <c:pt idx="4">
                  <c:v>4.373918158099821E-2</c:v>
                </c:pt>
                <c:pt idx="5">
                  <c:v>6.0366348133676917E-2</c:v>
                </c:pt>
                <c:pt idx="6">
                  <c:v>9.5022156203340202E-2</c:v>
                </c:pt>
                <c:pt idx="7">
                  <c:v>0.13285505340453296</c:v>
                </c:pt>
                <c:pt idx="8">
                  <c:v>8.1501612032803594E-2</c:v>
                </c:pt>
                <c:pt idx="9">
                  <c:v>4.9991339001152157E-2</c:v>
                </c:pt>
                <c:pt idx="10">
                  <c:v>5.8085361312105954E-2</c:v>
                </c:pt>
                <c:pt idx="11">
                  <c:v>0.1037438102721131</c:v>
                </c:pt>
                <c:pt idx="12">
                  <c:v>0.14378021382627115</c:v>
                </c:pt>
                <c:pt idx="13">
                  <c:v>0.11992448934514077</c:v>
                </c:pt>
                <c:pt idx="14">
                  <c:v>0.10037465685223945</c:v>
                </c:pt>
                <c:pt idx="15">
                  <c:v>0.11854262489439504</c:v>
                </c:pt>
                <c:pt idx="16">
                  <c:v>-1.8943375174173216E-2</c:v>
                </c:pt>
                <c:pt idx="17">
                  <c:v>-7.0841077269727326E-2</c:v>
                </c:pt>
                <c:pt idx="18">
                  <c:v>-0.12116532340938135</c:v>
                </c:pt>
                <c:pt idx="19">
                  <c:v>-7.4780658642457309E-2</c:v>
                </c:pt>
                <c:pt idx="20">
                  <c:v>-4.6003480155894838E-2</c:v>
                </c:pt>
                <c:pt idx="21">
                  <c:v>2.053870130554003E-2</c:v>
                </c:pt>
                <c:pt idx="22">
                  <c:v>-6.4768800141986604E-3</c:v>
                </c:pt>
                <c:pt idx="23">
                  <c:v>7.1439609136570326E-2</c:v>
                </c:pt>
                <c:pt idx="24">
                  <c:v>3.7025493533860532E-2</c:v>
                </c:pt>
                <c:pt idx="25">
                  <c:v>8.5431997792513981E-2</c:v>
                </c:pt>
                <c:pt idx="26">
                  <c:v>0.10917208469158912</c:v>
                </c:pt>
                <c:pt idx="27">
                  <c:v>0.11646937797417145</c:v>
                </c:pt>
                <c:pt idx="28">
                  <c:v>6.9000213346928074E-2</c:v>
                </c:pt>
                <c:pt idx="29">
                  <c:v>0.10314457600019589</c:v>
                </c:pt>
                <c:pt idx="30">
                  <c:v>0.13809416313533718</c:v>
                </c:pt>
                <c:pt idx="31">
                  <c:v>0.1664955380495774</c:v>
                </c:pt>
                <c:pt idx="32">
                  <c:v>0.18972035948465726</c:v>
                </c:pt>
                <c:pt idx="33">
                  <c:v>0.21337952405985838</c:v>
                </c:pt>
                <c:pt idx="34">
                  <c:v>0.2174060569972478</c:v>
                </c:pt>
                <c:pt idx="35">
                  <c:v>0.15743799228743294</c:v>
                </c:pt>
                <c:pt idx="36">
                  <c:v>0.14073140948627794</c:v>
                </c:pt>
                <c:pt idx="37">
                  <c:v>0.26088492049672141</c:v>
                </c:pt>
                <c:pt idx="38">
                  <c:v>0.27262525691100525</c:v>
                </c:pt>
                <c:pt idx="39">
                  <c:v>0.26993911771159129</c:v>
                </c:pt>
                <c:pt idx="40">
                  <c:v>0.26696736599807536</c:v>
                </c:pt>
                <c:pt idx="41">
                  <c:v>0.29338115713088908</c:v>
                </c:pt>
                <c:pt idx="42">
                  <c:v>0.32365269595892654</c:v>
                </c:pt>
                <c:pt idx="43">
                  <c:v>0.43804662003074202</c:v>
                </c:pt>
                <c:pt idx="44">
                  <c:v>0.415475876612585</c:v>
                </c:pt>
                <c:pt idx="45">
                  <c:v>0.52824114332979999</c:v>
                </c:pt>
                <c:pt idx="46">
                  <c:v>0.53447638795278185</c:v>
                </c:pt>
                <c:pt idx="47">
                  <c:v>0.63752228966755653</c:v>
                </c:pt>
                <c:pt idx="48">
                  <c:v>0.66628429831687086</c:v>
                </c:pt>
                <c:pt idx="49">
                  <c:v>0.65278161771052234</c:v>
                </c:pt>
                <c:pt idx="50">
                  <c:v>0.60949811976005486</c:v>
                </c:pt>
                <c:pt idx="51">
                  <c:v>0.67850595439668027</c:v>
                </c:pt>
                <c:pt idx="52">
                  <c:v>0.69744582468162308</c:v>
                </c:pt>
                <c:pt idx="53">
                  <c:v>0.70312281067744986</c:v>
                </c:pt>
                <c:pt idx="54">
                  <c:v>0.74977442082224632</c:v>
                </c:pt>
                <c:pt idx="55">
                  <c:v>0.53690186342516966</c:v>
                </c:pt>
                <c:pt idx="56">
                  <c:v>0.40104351047637832</c:v>
                </c:pt>
                <c:pt idx="57">
                  <c:v>0.34356758319229375</c:v>
                </c:pt>
                <c:pt idx="58">
                  <c:v>0.31454442863518062</c:v>
                </c:pt>
                <c:pt idx="59">
                  <c:v>0.28264557835859505</c:v>
                </c:pt>
                <c:pt idx="60">
                  <c:v>0.25905641161510151</c:v>
                </c:pt>
                <c:pt idx="61">
                  <c:v>0.29928056985388252</c:v>
                </c:pt>
                <c:pt idx="62">
                  <c:v>0.32126259839632176</c:v>
                </c:pt>
                <c:pt idx="63">
                  <c:v>0.33586590859333354</c:v>
                </c:pt>
                <c:pt idx="64">
                  <c:v>0.37711573291075906</c:v>
                </c:pt>
                <c:pt idx="65">
                  <c:v>0.39010564655562319</c:v>
                </c:pt>
                <c:pt idx="66">
                  <c:v>0.44800780572564536</c:v>
                </c:pt>
                <c:pt idx="67">
                  <c:v>0.43833306105614245</c:v>
                </c:pt>
                <c:pt idx="68">
                  <c:v>0.44900473269950547</c:v>
                </c:pt>
                <c:pt idx="69">
                  <c:v>0.50456465380606486</c:v>
                </c:pt>
                <c:pt idx="70">
                  <c:v>0.47792399695739429</c:v>
                </c:pt>
                <c:pt idx="71">
                  <c:v>0.50844844340422735</c:v>
                </c:pt>
                <c:pt idx="72">
                  <c:v>0.51110819673509478</c:v>
                </c:pt>
                <c:pt idx="73">
                  <c:v>0.54295943734198704</c:v>
                </c:pt>
                <c:pt idx="74">
                  <c:v>0.52056739639784388</c:v>
                </c:pt>
                <c:pt idx="75">
                  <c:v>0.6208894608432669</c:v>
                </c:pt>
                <c:pt idx="76">
                  <c:v>0.63875325991140586</c:v>
                </c:pt>
                <c:pt idx="77">
                  <c:v>0.68138932541857455</c:v>
                </c:pt>
                <c:pt idx="78">
                  <c:v>0.66031998338649567</c:v>
                </c:pt>
                <c:pt idx="79">
                  <c:v>0.83479609170844071</c:v>
                </c:pt>
                <c:pt idx="80">
                  <c:v>0.85171471771041474</c:v>
                </c:pt>
                <c:pt idx="81">
                  <c:v>0.82941328224342592</c:v>
                </c:pt>
                <c:pt idx="82">
                  <c:v>0.72327992956793752</c:v>
                </c:pt>
                <c:pt idx="83">
                  <c:v>0.71633596265175137</c:v>
                </c:pt>
                <c:pt idx="84">
                  <c:v>0.69139193165635016</c:v>
                </c:pt>
                <c:pt idx="85">
                  <c:v>0.68613831952157711</c:v>
                </c:pt>
                <c:pt idx="86">
                  <c:v>0.74017107594056486</c:v>
                </c:pt>
                <c:pt idx="87">
                  <c:v>0.88191386766957747</c:v>
                </c:pt>
                <c:pt idx="88">
                  <c:v>0.69098953036581889</c:v>
                </c:pt>
                <c:pt idx="89">
                  <c:v>0.64552293776473957</c:v>
                </c:pt>
                <c:pt idx="90">
                  <c:v>0.5873794640891461</c:v>
                </c:pt>
                <c:pt idx="91">
                  <c:v>0.62004296455967722</c:v>
                </c:pt>
                <c:pt idx="92">
                  <c:v>0.73535578397708345</c:v>
                </c:pt>
                <c:pt idx="93">
                  <c:v>0.92909938330890451</c:v>
                </c:pt>
                <c:pt idx="94">
                  <c:v>0.91064242852377864</c:v>
                </c:pt>
                <c:pt idx="95">
                  <c:v>0.99368328174531961</c:v>
                </c:pt>
                <c:pt idx="96">
                  <c:v>0.78017782175081285</c:v>
                </c:pt>
                <c:pt idx="97">
                  <c:v>0.91841940192321991</c:v>
                </c:pt>
                <c:pt idx="98">
                  <c:v>0.9384802424958536</c:v>
                </c:pt>
                <c:pt idx="99">
                  <c:v>0.87919600852809232</c:v>
                </c:pt>
                <c:pt idx="100">
                  <c:v>0.95662217621305179</c:v>
                </c:pt>
                <c:pt idx="101">
                  <c:v>0.94703821785038289</c:v>
                </c:pt>
                <c:pt idx="102">
                  <c:v>0.98001447687880394</c:v>
                </c:pt>
                <c:pt idx="103">
                  <c:v>1.1015006118946591</c:v>
                </c:pt>
                <c:pt idx="104">
                  <c:v>1.0717646580988722</c:v>
                </c:pt>
                <c:pt idx="105">
                  <c:v>0.92886042519973122</c:v>
                </c:pt>
                <c:pt idx="106">
                  <c:v>0.88557294642490403</c:v>
                </c:pt>
                <c:pt idx="107">
                  <c:v>0.91813986851785034</c:v>
                </c:pt>
                <c:pt idx="108">
                  <c:v>0.82658881036447873</c:v>
                </c:pt>
                <c:pt idx="109">
                  <c:v>0.89747235997682884</c:v>
                </c:pt>
                <c:pt idx="110">
                  <c:v>0.95358141390607254</c:v>
                </c:pt>
                <c:pt idx="111">
                  <c:v>0.96729775050616351</c:v>
                </c:pt>
                <c:pt idx="112">
                  <c:v>0.92126122852013093</c:v>
                </c:pt>
                <c:pt idx="113">
                  <c:v>0.96362636558203207</c:v>
                </c:pt>
                <c:pt idx="114">
                  <c:v>0.94073854399327628</c:v>
                </c:pt>
                <c:pt idx="115">
                  <c:v>0.91594388283360328</c:v>
                </c:pt>
                <c:pt idx="116">
                  <c:v>0.98848815714569582</c:v>
                </c:pt>
                <c:pt idx="117">
                  <c:v>1.0779644583424814</c:v>
                </c:pt>
                <c:pt idx="118">
                  <c:v>1.0073833570072717</c:v>
                </c:pt>
                <c:pt idx="119">
                  <c:v>1.0350274533063746</c:v>
                </c:pt>
                <c:pt idx="120">
                  <c:v>0.95589006305868529</c:v>
                </c:pt>
                <c:pt idx="121">
                  <c:v>0.89751494149673294</c:v>
                </c:pt>
                <c:pt idx="122">
                  <c:v>0.85254601235055683</c:v>
                </c:pt>
                <c:pt idx="123">
                  <c:v>0.87079878652332821</c:v>
                </c:pt>
                <c:pt idx="124">
                  <c:v>0.84629463552599615</c:v>
                </c:pt>
                <c:pt idx="125">
                  <c:v>0.80340593203037658</c:v>
                </c:pt>
                <c:pt idx="126">
                  <c:v>0.78626523527734093</c:v>
                </c:pt>
                <c:pt idx="127">
                  <c:v>0.84036272712866023</c:v>
                </c:pt>
                <c:pt idx="128">
                  <c:v>0.95468362526196326</c:v>
                </c:pt>
                <c:pt idx="129">
                  <c:v>0.95507691976339726</c:v>
                </c:pt>
                <c:pt idx="130">
                  <c:v>0.91209484199461199</c:v>
                </c:pt>
                <c:pt idx="131">
                  <c:v>0.92564149858881506</c:v>
                </c:pt>
                <c:pt idx="132">
                  <c:v>0.84623885759754125</c:v>
                </c:pt>
                <c:pt idx="133">
                  <c:v>0.96915629963237881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36-4C1C-B361-E36828264117}"/>
            </c:ext>
          </c:extLst>
        </c:ser>
        <c:ser>
          <c:idx val="2"/>
          <c:order val="2"/>
          <c:tx>
            <c:strRef>
              <c:f>NN1再投資累積報酬!$A$14:$B$14</c:f>
              <c:strCache>
                <c:ptCount val="2"/>
                <c:pt idx="0">
                  <c:v>19</c:v>
                </c:pt>
                <c:pt idx="1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NN1再投資累積報酬!$C$14:$EF$14</c:f>
              <c:numCache>
                <c:formatCode>General</c:formatCode>
                <c:ptCount val="134"/>
                <c:pt idx="0">
                  <c:v>0.11994148975270602</c:v>
                </c:pt>
                <c:pt idx="1">
                  <c:v>0.21328560200939384</c:v>
                </c:pt>
                <c:pt idx="2">
                  <c:v>0.15562305932131681</c:v>
                </c:pt>
                <c:pt idx="3">
                  <c:v>9.9628334582150924E-2</c:v>
                </c:pt>
                <c:pt idx="4">
                  <c:v>5.4521672118838183E-2</c:v>
                </c:pt>
                <c:pt idx="5">
                  <c:v>6.2614413382191092E-2</c:v>
                </c:pt>
                <c:pt idx="6">
                  <c:v>0.10914349305421456</c:v>
                </c:pt>
                <c:pt idx="7">
                  <c:v>0.13499759678237155</c:v>
                </c:pt>
                <c:pt idx="8">
                  <c:v>-1.7294909472453046E-2</c:v>
                </c:pt>
                <c:pt idx="9">
                  <c:v>-1.253154412130264E-2</c:v>
                </c:pt>
                <c:pt idx="10">
                  <c:v>-7.5996131030965364E-3</c:v>
                </c:pt>
                <c:pt idx="11">
                  <c:v>7.4530435326522149E-2</c:v>
                </c:pt>
                <c:pt idx="12">
                  <c:v>0.11479930905981206</c:v>
                </c:pt>
                <c:pt idx="13">
                  <c:v>4.9755315641194953E-2</c:v>
                </c:pt>
                <c:pt idx="14">
                  <c:v>-3.3487821922947636E-2</c:v>
                </c:pt>
                <c:pt idx="15">
                  <c:v>-5.0655309523811809E-2</c:v>
                </c:pt>
                <c:pt idx="16">
                  <c:v>-0.20814516393757498</c:v>
                </c:pt>
                <c:pt idx="17">
                  <c:v>-0.26344947725395129</c:v>
                </c:pt>
                <c:pt idx="18">
                  <c:v>-0.34024714359632446</c:v>
                </c:pt>
                <c:pt idx="19">
                  <c:v>-0.32699328455311427</c:v>
                </c:pt>
                <c:pt idx="20">
                  <c:v>-0.27718529628695654</c:v>
                </c:pt>
                <c:pt idx="21">
                  <c:v>-0.19531705621060513</c:v>
                </c:pt>
                <c:pt idx="22">
                  <c:v>-0.19951740026634923</c:v>
                </c:pt>
                <c:pt idx="23">
                  <c:v>-0.16868927339673778</c:v>
                </c:pt>
                <c:pt idx="24">
                  <c:v>-0.20148463144829143</c:v>
                </c:pt>
                <c:pt idx="25">
                  <c:v>-0.14497419601369299</c:v>
                </c:pt>
                <c:pt idx="26">
                  <c:v>-0.15653180964009894</c:v>
                </c:pt>
                <c:pt idx="27">
                  <c:v>-0.16742950858272032</c:v>
                </c:pt>
                <c:pt idx="28">
                  <c:v>-0.25602505986670032</c:v>
                </c:pt>
                <c:pt idx="29">
                  <c:v>-0.22595307011257304</c:v>
                </c:pt>
                <c:pt idx="30">
                  <c:v>-0.21006893461285803</c:v>
                </c:pt>
                <c:pt idx="31">
                  <c:v>-0.14612228932554794</c:v>
                </c:pt>
                <c:pt idx="32">
                  <c:v>-0.13675988681258355</c:v>
                </c:pt>
                <c:pt idx="33">
                  <c:v>-5.3634200219113026E-2</c:v>
                </c:pt>
                <c:pt idx="34">
                  <c:v>-6.452636231670128E-2</c:v>
                </c:pt>
                <c:pt idx="35">
                  <c:v>-0.11245084793707838</c:v>
                </c:pt>
                <c:pt idx="36">
                  <c:v>-0.15013960726761655</c:v>
                </c:pt>
                <c:pt idx="37">
                  <c:v>-6.6347905045533673E-2</c:v>
                </c:pt>
                <c:pt idx="38">
                  <c:v>-9.4831655430740458E-3</c:v>
                </c:pt>
                <c:pt idx="39">
                  <c:v>-1.2105852407299222E-3</c:v>
                </c:pt>
                <c:pt idx="40">
                  <c:v>2.8486800464960771E-2</c:v>
                </c:pt>
                <c:pt idx="41">
                  <c:v>3.6285498756917223E-2</c:v>
                </c:pt>
                <c:pt idx="42">
                  <c:v>2.9374160097379365E-2</c:v>
                </c:pt>
                <c:pt idx="43">
                  <c:v>0.11111005033332666</c:v>
                </c:pt>
                <c:pt idx="44">
                  <c:v>4.7308318895860513E-2</c:v>
                </c:pt>
                <c:pt idx="45">
                  <c:v>0.1167016581496827</c:v>
                </c:pt>
                <c:pt idx="46">
                  <c:v>9.619574208849091E-2</c:v>
                </c:pt>
                <c:pt idx="47">
                  <c:v>0.24632087617944465</c:v>
                </c:pt>
                <c:pt idx="48">
                  <c:v>0.26510058716944251</c:v>
                </c:pt>
                <c:pt idx="49">
                  <c:v>0.19760928098509822</c:v>
                </c:pt>
                <c:pt idx="50">
                  <c:v>0.11750139790190084</c:v>
                </c:pt>
                <c:pt idx="51">
                  <c:v>0.18648954433724274</c:v>
                </c:pt>
                <c:pt idx="52">
                  <c:v>0.17483703176185905</c:v>
                </c:pt>
                <c:pt idx="53">
                  <c:v>0.22574011416881956</c:v>
                </c:pt>
                <c:pt idx="54">
                  <c:v>0.27941167320018478</c:v>
                </c:pt>
                <c:pt idx="55">
                  <c:v>8.2600720262633986E-2</c:v>
                </c:pt>
                <c:pt idx="56">
                  <c:v>-5.305489474159597E-2</c:v>
                </c:pt>
                <c:pt idx="57">
                  <c:v>-0.12257341530570287</c:v>
                </c:pt>
                <c:pt idx="58">
                  <c:v>-8.6571665502687467E-2</c:v>
                </c:pt>
                <c:pt idx="59">
                  <c:v>-0.14923668163122661</c:v>
                </c:pt>
                <c:pt idx="60">
                  <c:v>-0.15399564035312874</c:v>
                </c:pt>
                <c:pt idx="61">
                  <c:v>-0.10345722916891509</c:v>
                </c:pt>
                <c:pt idx="62">
                  <c:v>-6.8261456672632836E-2</c:v>
                </c:pt>
                <c:pt idx="63">
                  <c:v>-4.8754077186595746E-2</c:v>
                </c:pt>
                <c:pt idx="64">
                  <c:v>-1.6783609516448528E-2</c:v>
                </c:pt>
                <c:pt idx="65">
                  <c:v>-1.3729378461001529E-3</c:v>
                </c:pt>
                <c:pt idx="66">
                  <c:v>1.4448833850313925E-2</c:v>
                </c:pt>
                <c:pt idx="67">
                  <c:v>-1.3884143369154778E-2</c:v>
                </c:pt>
                <c:pt idx="68">
                  <c:v>-5.4801990491552099E-2</c:v>
                </c:pt>
                <c:pt idx="69">
                  <c:v>1.5154914186553015E-2</c:v>
                </c:pt>
                <c:pt idx="70">
                  <c:v>2.4143943814570967E-2</c:v>
                </c:pt>
                <c:pt idx="71">
                  <c:v>5.0492281468110134E-2</c:v>
                </c:pt>
                <c:pt idx="72">
                  <c:v>6.3631784569714522E-2</c:v>
                </c:pt>
                <c:pt idx="73">
                  <c:v>0.12210043225738132</c:v>
                </c:pt>
                <c:pt idx="74">
                  <c:v>0.11469872862125752</c:v>
                </c:pt>
                <c:pt idx="75">
                  <c:v>0.21878336375083629</c:v>
                </c:pt>
                <c:pt idx="76">
                  <c:v>0.33641585448100186</c:v>
                </c:pt>
                <c:pt idx="77">
                  <c:v>0.4159019408352107</c:v>
                </c:pt>
                <c:pt idx="78">
                  <c:v>0.39778677702027387</c:v>
                </c:pt>
                <c:pt idx="79">
                  <c:v>0.53479323809053181</c:v>
                </c:pt>
                <c:pt idx="80">
                  <c:v>0.42404759336162057</c:v>
                </c:pt>
                <c:pt idx="81">
                  <c:v>0.36298812073428621</c:v>
                </c:pt>
                <c:pt idx="82">
                  <c:v>0.2848607370824412</c:v>
                </c:pt>
                <c:pt idx="83">
                  <c:v>0.22205716767191364</c:v>
                </c:pt>
                <c:pt idx="84">
                  <c:v>0.20409095733699867</c:v>
                </c:pt>
                <c:pt idx="85">
                  <c:v>0.16957225243246921</c:v>
                </c:pt>
                <c:pt idx="86">
                  <c:v>0.18596540330375144</c:v>
                </c:pt>
                <c:pt idx="87">
                  <c:v>0.25981541545533737</c:v>
                </c:pt>
                <c:pt idx="88">
                  <c:v>0.12114882654098102</c:v>
                </c:pt>
                <c:pt idx="89">
                  <c:v>9.5332481558447757E-2</c:v>
                </c:pt>
                <c:pt idx="90">
                  <c:v>9.0599782646350047E-3</c:v>
                </c:pt>
                <c:pt idx="91">
                  <c:v>0.10356788775109038</c:v>
                </c:pt>
                <c:pt idx="92">
                  <c:v>0.13913356315646852</c:v>
                </c:pt>
                <c:pt idx="93">
                  <c:v>0.37575405949769092</c:v>
                </c:pt>
                <c:pt idx="94">
                  <c:v>0.38182475799413496</c:v>
                </c:pt>
                <c:pt idx="95">
                  <c:v>0.46732150636418779</c:v>
                </c:pt>
                <c:pt idx="96">
                  <c:v>0.31832234406394999</c:v>
                </c:pt>
                <c:pt idx="97">
                  <c:v>0.51791218258275884</c:v>
                </c:pt>
                <c:pt idx="98">
                  <c:v>0.53041067434839073</c:v>
                </c:pt>
                <c:pt idx="99">
                  <c:v>0.39169543329737699</c:v>
                </c:pt>
                <c:pt idx="100">
                  <c:v>0.52580077804289238</c:v>
                </c:pt>
                <c:pt idx="101">
                  <c:v>0.51008289442913912</c:v>
                </c:pt>
                <c:pt idx="102">
                  <c:v>0.42498688345841074</c:v>
                </c:pt>
                <c:pt idx="103">
                  <c:v>0.55357629415307819</c:v>
                </c:pt>
                <c:pt idx="104">
                  <c:v>0.48677477864949337</c:v>
                </c:pt>
                <c:pt idx="105">
                  <c:v>0.36901425918755359</c:v>
                </c:pt>
                <c:pt idx="106">
                  <c:v>0.28341400863957467</c:v>
                </c:pt>
                <c:pt idx="107">
                  <c:v>0.36578404318148783</c:v>
                </c:pt>
                <c:pt idx="108">
                  <c:v>0.3035269686636628</c:v>
                </c:pt>
                <c:pt idx="109">
                  <c:v>0.3144938543767708</c:v>
                </c:pt>
                <c:pt idx="110">
                  <c:v>0.36794003697950739</c:v>
                </c:pt>
                <c:pt idx="111">
                  <c:v>0.37996974186479782</c:v>
                </c:pt>
                <c:pt idx="112">
                  <c:v>0.27314175192603218</c:v>
                </c:pt>
                <c:pt idx="113">
                  <c:v>0.32502848084961711</c:v>
                </c:pt>
                <c:pt idx="114">
                  <c:v>0.28206851776302488</c:v>
                </c:pt>
                <c:pt idx="115">
                  <c:v>0.33967921611954255</c:v>
                </c:pt>
                <c:pt idx="116">
                  <c:v>0.47711983994566731</c:v>
                </c:pt>
                <c:pt idx="117">
                  <c:v>0.48246385017694648</c:v>
                </c:pt>
                <c:pt idx="118">
                  <c:v>0.39941728378969521</c:v>
                </c:pt>
                <c:pt idx="119">
                  <c:v>0.47305814703717863</c:v>
                </c:pt>
                <c:pt idx="120">
                  <c:v>0.42143496234265032</c:v>
                </c:pt>
                <c:pt idx="121">
                  <c:v>0.41041274294652208</c:v>
                </c:pt>
                <c:pt idx="122">
                  <c:v>0.24268986349117072</c:v>
                </c:pt>
                <c:pt idx="123">
                  <c:v>0.29880131714121894</c:v>
                </c:pt>
                <c:pt idx="124">
                  <c:v>0.25841902632153824</c:v>
                </c:pt>
                <c:pt idx="125">
                  <c:v>0.22357378433012731</c:v>
                </c:pt>
                <c:pt idx="126">
                  <c:v>0.16525705058819318</c:v>
                </c:pt>
                <c:pt idx="127">
                  <c:v>0.19054031944965</c:v>
                </c:pt>
                <c:pt idx="128">
                  <c:v>0.31855374256460811</c:v>
                </c:pt>
                <c:pt idx="129">
                  <c:v>0.28544549017939214</c:v>
                </c:pt>
                <c:pt idx="130">
                  <c:v>0.2298370957412621</c:v>
                </c:pt>
                <c:pt idx="131">
                  <c:v>0.1885179048861485</c:v>
                </c:pt>
                <c:pt idx="132">
                  <c:v>0.19255797855562484</c:v>
                </c:pt>
                <c:pt idx="133">
                  <c:v>0.2759850659723726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36-4C1C-B361-E36828264117}"/>
            </c:ext>
          </c:extLst>
        </c:ser>
        <c:ser>
          <c:idx val="3"/>
          <c:order val="3"/>
          <c:tx>
            <c:strRef>
              <c:f>NN1再投資累積報酬!$A$15:$B$15</c:f>
              <c:strCache>
                <c:ptCount val="2"/>
                <c:pt idx="0">
                  <c:v>10</c:v>
                </c:pt>
                <c:pt idx="1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NN1再投資累積報酬!$C$15:$EF$15</c:f>
              <c:numCache>
                <c:formatCode>General</c:formatCode>
                <c:ptCount val="134"/>
                <c:pt idx="0">
                  <c:v>0.22764465877785844</c:v>
                </c:pt>
                <c:pt idx="1">
                  <c:v>0.24845675269082124</c:v>
                </c:pt>
                <c:pt idx="2">
                  <c:v>0.23572445854461899</c:v>
                </c:pt>
                <c:pt idx="3">
                  <c:v>0.10157137734767185</c:v>
                </c:pt>
                <c:pt idx="4">
                  <c:v>3.4775472312837286E-2</c:v>
                </c:pt>
                <c:pt idx="5">
                  <c:v>8.667755885372741E-2</c:v>
                </c:pt>
                <c:pt idx="6">
                  <c:v>0.15017369808406911</c:v>
                </c:pt>
                <c:pt idx="7">
                  <c:v>0.20763806132935803</c:v>
                </c:pt>
                <c:pt idx="8">
                  <c:v>-0.13846451929760173</c:v>
                </c:pt>
                <c:pt idx="9">
                  <c:v>-0.11041421190605516</c:v>
                </c:pt>
                <c:pt idx="10">
                  <c:v>-8.7731811924155023E-2</c:v>
                </c:pt>
                <c:pt idx="11">
                  <c:v>2.2532360068355128E-2</c:v>
                </c:pt>
                <c:pt idx="12">
                  <c:v>9.7951631352913404E-2</c:v>
                </c:pt>
                <c:pt idx="13">
                  <c:v>2.7555163608157907E-2</c:v>
                </c:pt>
                <c:pt idx="14">
                  <c:v>-1.9608314892173184E-2</c:v>
                </c:pt>
                <c:pt idx="15">
                  <c:v>-0.14381517542878219</c:v>
                </c:pt>
                <c:pt idx="16">
                  <c:v>-0.37499183771253985</c:v>
                </c:pt>
                <c:pt idx="17">
                  <c:v>-0.41674246104380708</c:v>
                </c:pt>
                <c:pt idx="18">
                  <c:v>-0.4966301156074584</c:v>
                </c:pt>
                <c:pt idx="19">
                  <c:v>-0.50525377464672783</c:v>
                </c:pt>
                <c:pt idx="20">
                  <c:v>-0.4545207185896073</c:v>
                </c:pt>
                <c:pt idx="21">
                  <c:v>-0.38533030929110268</c:v>
                </c:pt>
                <c:pt idx="22">
                  <c:v>-0.37264968932833176</c:v>
                </c:pt>
                <c:pt idx="23">
                  <c:v>-0.34333990034608552</c:v>
                </c:pt>
                <c:pt idx="24">
                  <c:v>-0.37885283174291218</c:v>
                </c:pt>
                <c:pt idx="25">
                  <c:v>-0.32686270660207428</c:v>
                </c:pt>
                <c:pt idx="26">
                  <c:v>-0.31576875361611179</c:v>
                </c:pt>
                <c:pt idx="27">
                  <c:v>-0.30281195707605679</c:v>
                </c:pt>
                <c:pt idx="28">
                  <c:v>-0.37099533299275156</c:v>
                </c:pt>
                <c:pt idx="29">
                  <c:v>-0.32959448955150494</c:v>
                </c:pt>
                <c:pt idx="30">
                  <c:v>-0.32280765393998556</c:v>
                </c:pt>
                <c:pt idx="31">
                  <c:v>-0.23276317207963315</c:v>
                </c:pt>
                <c:pt idx="32">
                  <c:v>-0.17577515274048261</c:v>
                </c:pt>
                <c:pt idx="33">
                  <c:v>-0.1723262377447804</c:v>
                </c:pt>
                <c:pt idx="34">
                  <c:v>-0.20294959730732687</c:v>
                </c:pt>
                <c:pt idx="35">
                  <c:v>-0.22874228686316078</c:v>
                </c:pt>
                <c:pt idx="36">
                  <c:v>-0.28167463469292087</c:v>
                </c:pt>
                <c:pt idx="37">
                  <c:v>-0.20862905787080388</c:v>
                </c:pt>
                <c:pt idx="38">
                  <c:v>-0.1584800296790394</c:v>
                </c:pt>
                <c:pt idx="39">
                  <c:v>-8.2275873165139402E-2</c:v>
                </c:pt>
                <c:pt idx="40">
                  <c:v>-4.8821782429971816E-2</c:v>
                </c:pt>
                <c:pt idx="41">
                  <c:v>-3.195375365360098E-2</c:v>
                </c:pt>
                <c:pt idx="42">
                  <c:v>-7.9129765657807494E-2</c:v>
                </c:pt>
                <c:pt idx="43">
                  <c:v>-1.3757360289525344E-2</c:v>
                </c:pt>
                <c:pt idx="44">
                  <c:v>-8.9869725953747759E-2</c:v>
                </c:pt>
                <c:pt idx="45">
                  <c:v>-5.5923751885468831E-2</c:v>
                </c:pt>
                <c:pt idx="46">
                  <c:v>-4.1139575188302691E-2</c:v>
                </c:pt>
                <c:pt idx="47">
                  <c:v>7.8942329366322284E-2</c:v>
                </c:pt>
                <c:pt idx="48">
                  <c:v>0.10917112577920696</c:v>
                </c:pt>
                <c:pt idx="49">
                  <c:v>7.8779804157751432E-3</c:v>
                </c:pt>
                <c:pt idx="50">
                  <c:v>2.3149084008691423E-2</c:v>
                </c:pt>
                <c:pt idx="51">
                  <c:v>0.13848342748223152</c:v>
                </c:pt>
                <c:pt idx="52">
                  <c:v>0.20924602848083351</c:v>
                </c:pt>
                <c:pt idx="53">
                  <c:v>0.27338839678782922</c:v>
                </c:pt>
                <c:pt idx="54">
                  <c:v>0.33507479564055154</c:v>
                </c:pt>
                <c:pt idx="55">
                  <c:v>5.3544786528560095E-2</c:v>
                </c:pt>
                <c:pt idx="56">
                  <c:v>-0.12139760582089643</c:v>
                </c:pt>
                <c:pt idx="57">
                  <c:v>-0.20807089417706315</c:v>
                </c:pt>
                <c:pt idx="58">
                  <c:v>-0.1913143756249287</c:v>
                </c:pt>
                <c:pt idx="59">
                  <c:v>-0.29653266845645321</c:v>
                </c:pt>
                <c:pt idx="60">
                  <c:v>-0.29595318564676676</c:v>
                </c:pt>
                <c:pt idx="61">
                  <c:v>-0.25413007926864106</c:v>
                </c:pt>
                <c:pt idx="62">
                  <c:v>-0.20428745505295143</c:v>
                </c:pt>
                <c:pt idx="63">
                  <c:v>-0.17234550872984056</c:v>
                </c:pt>
                <c:pt idx="64">
                  <c:v>-0.14939094514271767</c:v>
                </c:pt>
                <c:pt idx="65">
                  <c:v>-0.13732571857256481</c:v>
                </c:pt>
                <c:pt idx="66">
                  <c:v>-0.12628095902151648</c:v>
                </c:pt>
                <c:pt idx="67">
                  <c:v>-0.17010445989198875</c:v>
                </c:pt>
                <c:pt idx="68">
                  <c:v>-0.18406643776575105</c:v>
                </c:pt>
                <c:pt idx="69">
                  <c:v>-0.11139922685006831</c:v>
                </c:pt>
                <c:pt idx="70">
                  <c:v>-0.12870598853880311</c:v>
                </c:pt>
                <c:pt idx="71">
                  <c:v>-7.7373729950577896E-2</c:v>
                </c:pt>
                <c:pt idx="72">
                  <c:v>-0.11053835248427601</c:v>
                </c:pt>
                <c:pt idx="73">
                  <c:v>-8.5067822081023037E-2</c:v>
                </c:pt>
                <c:pt idx="74">
                  <c:v>-0.14151373156269187</c:v>
                </c:pt>
                <c:pt idx="75">
                  <c:v>3.4235592935905057E-2</c:v>
                </c:pt>
                <c:pt idx="76">
                  <c:v>0.13033731631556367</c:v>
                </c:pt>
                <c:pt idx="77">
                  <c:v>0.23510161941780838</c:v>
                </c:pt>
                <c:pt idx="78">
                  <c:v>4.6973083582502628E-2</c:v>
                </c:pt>
                <c:pt idx="79">
                  <c:v>0.1727690814281968</c:v>
                </c:pt>
                <c:pt idx="80">
                  <c:v>3.6122051748666451E-2</c:v>
                </c:pt>
                <c:pt idx="81">
                  <c:v>-6.7210043647696338E-3</c:v>
                </c:pt>
                <c:pt idx="82">
                  <c:v>-9.2029785569356481E-2</c:v>
                </c:pt>
                <c:pt idx="83">
                  <c:v>-0.16588645078232678</c:v>
                </c:pt>
                <c:pt idx="84">
                  <c:v>-0.1637920427243954</c:v>
                </c:pt>
                <c:pt idx="85">
                  <c:v>-0.23657922590833336</c:v>
                </c:pt>
                <c:pt idx="86">
                  <c:v>-0.19331415080317438</c:v>
                </c:pt>
                <c:pt idx="87">
                  <c:v>-0.16796648822230442</c:v>
                </c:pt>
                <c:pt idx="88">
                  <c:v>-0.25792574826067416</c:v>
                </c:pt>
                <c:pt idx="89">
                  <c:v>-0.28956342784090383</c:v>
                </c:pt>
                <c:pt idx="90">
                  <c:v>-0.36556539538221589</c:v>
                </c:pt>
                <c:pt idx="91">
                  <c:v>-0.28302624784055797</c:v>
                </c:pt>
                <c:pt idx="92">
                  <c:v>-0.30092432205351949</c:v>
                </c:pt>
                <c:pt idx="93">
                  <c:v>-0.17404982371104005</c:v>
                </c:pt>
                <c:pt idx="94">
                  <c:v>-0.17940450090918714</c:v>
                </c:pt>
                <c:pt idx="95">
                  <c:v>-0.15296773969417232</c:v>
                </c:pt>
                <c:pt idx="96">
                  <c:v>-0.25804203349044397</c:v>
                </c:pt>
                <c:pt idx="97">
                  <c:v>-0.12255194088523791</c:v>
                </c:pt>
                <c:pt idx="98">
                  <c:v>-0.14646893006576567</c:v>
                </c:pt>
                <c:pt idx="99">
                  <c:v>-0.27653663402798723</c:v>
                </c:pt>
                <c:pt idx="100">
                  <c:v>-0.20929223029748445</c:v>
                </c:pt>
                <c:pt idx="101">
                  <c:v>-0.2280820840271085</c:v>
                </c:pt>
                <c:pt idx="102">
                  <c:v>-0.18340181750461315</c:v>
                </c:pt>
                <c:pt idx="103">
                  <c:v>-1.2191064430926102E-2</c:v>
                </c:pt>
                <c:pt idx="104">
                  <c:v>-7.9058253576722914E-2</c:v>
                </c:pt>
                <c:pt idx="105">
                  <c:v>-9.2418103275101249E-2</c:v>
                </c:pt>
                <c:pt idx="106">
                  <c:v>-0.14429878330818069</c:v>
                </c:pt>
                <c:pt idx="107">
                  <c:v>-0.14947964880614062</c:v>
                </c:pt>
                <c:pt idx="108">
                  <c:v>-0.19023444495484476</c:v>
                </c:pt>
                <c:pt idx="109">
                  <c:v>-0.19099434090957723</c:v>
                </c:pt>
                <c:pt idx="110">
                  <c:v>-0.14722040491209087</c:v>
                </c:pt>
                <c:pt idx="111">
                  <c:v>-9.6033352929844051E-2</c:v>
                </c:pt>
                <c:pt idx="112">
                  <c:v>-0.16128943764504688</c:v>
                </c:pt>
                <c:pt idx="113">
                  <c:v>-0.16154439995514269</c:v>
                </c:pt>
                <c:pt idx="114">
                  <c:v>-0.19428786589055203</c:v>
                </c:pt>
                <c:pt idx="115">
                  <c:v>-0.1284364393004096</c:v>
                </c:pt>
                <c:pt idx="116">
                  <c:v>1.0617527517158498E-2</c:v>
                </c:pt>
                <c:pt idx="117">
                  <c:v>-3.0140872205808189E-2</c:v>
                </c:pt>
                <c:pt idx="118">
                  <c:v>-0.10088053476462322</c:v>
                </c:pt>
                <c:pt idx="119">
                  <c:v>-3.7932671546276664E-2</c:v>
                </c:pt>
                <c:pt idx="120">
                  <c:v>-0.11128252068822775</c:v>
                </c:pt>
                <c:pt idx="121">
                  <c:v>-0.15813463083968038</c:v>
                </c:pt>
                <c:pt idx="122">
                  <c:v>-0.31694465699906993</c:v>
                </c:pt>
                <c:pt idx="123">
                  <c:v>-0.28502703179803812</c:v>
                </c:pt>
                <c:pt idx="124">
                  <c:v>-0.32109615724830254</c:v>
                </c:pt>
                <c:pt idx="125">
                  <c:v>-0.3357235956235376</c:v>
                </c:pt>
                <c:pt idx="126">
                  <c:v>-0.28014117442886821</c:v>
                </c:pt>
                <c:pt idx="127">
                  <c:v>-0.25379686252859968</c:v>
                </c:pt>
                <c:pt idx="128">
                  <c:v>-0.17232869265174366</c:v>
                </c:pt>
                <c:pt idx="129">
                  <c:v>-0.21878296995145641</c:v>
                </c:pt>
                <c:pt idx="130">
                  <c:v>-0.27827817530369059</c:v>
                </c:pt>
                <c:pt idx="131">
                  <c:v>-0.33051879658135885</c:v>
                </c:pt>
                <c:pt idx="132">
                  <c:v>-0.33265492398249352</c:v>
                </c:pt>
                <c:pt idx="133">
                  <c:v>-0.28880969105651733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36-4C1C-B361-E36828264117}"/>
            </c:ext>
          </c:extLst>
        </c:ser>
        <c:ser>
          <c:idx val="4"/>
          <c:order val="4"/>
          <c:tx>
            <c:strRef>
              <c:f>NN1再投資累積報酬!$A$16:$B$16</c:f>
              <c:strCache>
                <c:ptCount val="2"/>
                <c:pt idx="0">
                  <c:v>9</c:v>
                </c:pt>
                <c:pt idx="1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NN1再投資累積報酬!$C$16:$EF$16</c:f>
              <c:numCache>
                <c:formatCode>General</c:formatCode>
                <c:ptCount val="134"/>
                <c:pt idx="0">
                  <c:v>0.20787477708292901</c:v>
                </c:pt>
                <c:pt idx="1">
                  <c:v>0.20700480688444922</c:v>
                </c:pt>
                <c:pt idx="2">
                  <c:v>0.20358877011174425</c:v>
                </c:pt>
                <c:pt idx="3">
                  <c:v>8.3973117765169469E-2</c:v>
                </c:pt>
                <c:pt idx="4">
                  <c:v>4.0883474878892212E-3</c:v>
                </c:pt>
                <c:pt idx="5">
                  <c:v>6.5336737232115416E-2</c:v>
                </c:pt>
                <c:pt idx="6">
                  <c:v>0.12662621881229374</c:v>
                </c:pt>
                <c:pt idx="7">
                  <c:v>0.17925084617074472</c:v>
                </c:pt>
                <c:pt idx="8">
                  <c:v>-0.15644714106378477</c:v>
                </c:pt>
                <c:pt idx="9">
                  <c:v>-0.14810732654721637</c:v>
                </c:pt>
                <c:pt idx="10">
                  <c:v>-0.11374670007907084</c:v>
                </c:pt>
                <c:pt idx="11">
                  <c:v>-2.3706934886810194E-3</c:v>
                </c:pt>
                <c:pt idx="12">
                  <c:v>7.7266922063858212E-2</c:v>
                </c:pt>
                <c:pt idx="13">
                  <c:v>1.1504913105237824E-2</c:v>
                </c:pt>
                <c:pt idx="14">
                  <c:v>-7.0911134911923579E-2</c:v>
                </c:pt>
                <c:pt idx="15">
                  <c:v>-0.16670920338563433</c:v>
                </c:pt>
                <c:pt idx="16">
                  <c:v>-0.40591617633227184</c:v>
                </c:pt>
                <c:pt idx="17">
                  <c:v>-0.44584993261405059</c:v>
                </c:pt>
                <c:pt idx="18">
                  <c:v>-0.51792405992122659</c:v>
                </c:pt>
                <c:pt idx="19">
                  <c:v>-0.52082719129390698</c:v>
                </c:pt>
                <c:pt idx="20">
                  <c:v>-0.47211176375307318</c:v>
                </c:pt>
                <c:pt idx="21">
                  <c:v>-0.4064373024593384</c:v>
                </c:pt>
                <c:pt idx="22">
                  <c:v>-0.39445885795902169</c:v>
                </c:pt>
                <c:pt idx="23">
                  <c:v>-0.36838550931747471</c:v>
                </c:pt>
                <c:pt idx="24">
                  <c:v>-0.39585293027701207</c:v>
                </c:pt>
                <c:pt idx="25">
                  <c:v>-0.35055093709836993</c:v>
                </c:pt>
                <c:pt idx="26">
                  <c:v>-0.31987990225224594</c:v>
                </c:pt>
                <c:pt idx="27">
                  <c:v>-0.31911678992209669</c:v>
                </c:pt>
                <c:pt idx="28">
                  <c:v>-0.3848236269116736</c:v>
                </c:pt>
                <c:pt idx="29">
                  <c:v>-0.34564560125525745</c:v>
                </c:pt>
                <c:pt idx="30">
                  <c:v>-0.33694873854317053</c:v>
                </c:pt>
                <c:pt idx="31">
                  <c:v>-0.23855085377384655</c:v>
                </c:pt>
                <c:pt idx="32">
                  <c:v>-0.16962245981331436</c:v>
                </c:pt>
                <c:pt idx="33">
                  <c:v>-0.1842613861906448</c:v>
                </c:pt>
                <c:pt idx="34">
                  <c:v>-0.19077682732291645</c:v>
                </c:pt>
                <c:pt idx="35">
                  <c:v>-0.19517876074411333</c:v>
                </c:pt>
                <c:pt idx="36">
                  <c:v>-0.2371467537806462</c:v>
                </c:pt>
                <c:pt idx="37">
                  <c:v>-0.15593629596206016</c:v>
                </c:pt>
                <c:pt idx="38">
                  <c:v>-0.10408995994136572</c:v>
                </c:pt>
                <c:pt idx="39">
                  <c:v>-1.9225165788049003E-2</c:v>
                </c:pt>
                <c:pt idx="40">
                  <c:v>3.422485882041193E-2</c:v>
                </c:pt>
                <c:pt idx="41">
                  <c:v>6.977321401139891E-2</c:v>
                </c:pt>
                <c:pt idx="42">
                  <c:v>1.3457444127387141E-2</c:v>
                </c:pt>
                <c:pt idx="43">
                  <c:v>0.1376708862430851</c:v>
                </c:pt>
                <c:pt idx="44">
                  <c:v>4.427917392352132E-2</c:v>
                </c:pt>
                <c:pt idx="45">
                  <c:v>9.8666105730644382E-2</c:v>
                </c:pt>
                <c:pt idx="46">
                  <c:v>0.1417919695542782</c:v>
                </c:pt>
                <c:pt idx="47">
                  <c:v>0.25691859493622538</c:v>
                </c:pt>
                <c:pt idx="48">
                  <c:v>0.29941826785453562</c:v>
                </c:pt>
                <c:pt idx="49">
                  <c:v>0.16309677142936208</c:v>
                </c:pt>
                <c:pt idx="50">
                  <c:v>0.12365434317083257</c:v>
                </c:pt>
                <c:pt idx="51">
                  <c:v>0.24505274952656109</c:v>
                </c:pt>
                <c:pt idx="52">
                  <c:v>0.32862251545619658</c:v>
                </c:pt>
                <c:pt idx="53">
                  <c:v>0.3763688395475393</c:v>
                </c:pt>
                <c:pt idx="54">
                  <c:v>0.44712933024224788</c:v>
                </c:pt>
                <c:pt idx="55">
                  <c:v>8.8549698789368803E-2</c:v>
                </c:pt>
                <c:pt idx="56">
                  <c:v>-8.6956700617615623E-2</c:v>
                </c:pt>
                <c:pt idx="57">
                  <c:v>-0.17475680187987941</c:v>
                </c:pt>
                <c:pt idx="58">
                  <c:v>-0.13432818676130964</c:v>
                </c:pt>
                <c:pt idx="59">
                  <c:v>-0.21792334666792657</c:v>
                </c:pt>
                <c:pt idx="60">
                  <c:v>-0.21559902244412343</c:v>
                </c:pt>
                <c:pt idx="61">
                  <c:v>-0.16020182846466058</c:v>
                </c:pt>
                <c:pt idx="62">
                  <c:v>-9.1738227267942785E-2</c:v>
                </c:pt>
                <c:pt idx="63">
                  <c:v>-4.8227190822803911E-2</c:v>
                </c:pt>
                <c:pt idx="64">
                  <c:v>-2.7392541435811046E-2</c:v>
                </c:pt>
                <c:pt idx="65">
                  <c:v>-7.1203056572117784E-3</c:v>
                </c:pt>
                <c:pt idx="66">
                  <c:v>9.2403820853570462E-3</c:v>
                </c:pt>
                <c:pt idx="67">
                  <c:v>-1.729945885944606E-2</c:v>
                </c:pt>
                <c:pt idx="68">
                  <c:v>-3.0262824929954357E-2</c:v>
                </c:pt>
                <c:pt idx="69">
                  <c:v>5.2633403486054053E-2</c:v>
                </c:pt>
                <c:pt idx="70">
                  <c:v>-8.1720810505193642E-3</c:v>
                </c:pt>
                <c:pt idx="71">
                  <c:v>5.2043021226884312E-2</c:v>
                </c:pt>
                <c:pt idx="72">
                  <c:v>-1.7119262681184466E-2</c:v>
                </c:pt>
                <c:pt idx="73">
                  <c:v>1.3899703962804377E-2</c:v>
                </c:pt>
                <c:pt idx="74">
                  <c:v>-3.7366849802269564E-2</c:v>
                </c:pt>
                <c:pt idx="75">
                  <c:v>8.9298199904183528E-2</c:v>
                </c:pt>
                <c:pt idx="76">
                  <c:v>0.23141880951088156</c:v>
                </c:pt>
                <c:pt idx="77">
                  <c:v>0.37409782591043195</c:v>
                </c:pt>
                <c:pt idx="78">
                  <c:v>0.15551662959595203</c:v>
                </c:pt>
                <c:pt idx="79">
                  <c:v>0.33470406273280395</c:v>
                </c:pt>
                <c:pt idx="80">
                  <c:v>0.15772889639340115</c:v>
                </c:pt>
                <c:pt idx="81">
                  <c:v>9.6600713026437912E-2</c:v>
                </c:pt>
                <c:pt idx="82">
                  <c:v>2.8909877837194342E-2</c:v>
                </c:pt>
                <c:pt idx="83">
                  <c:v>-2.2997313335036518E-2</c:v>
                </c:pt>
                <c:pt idx="84">
                  <c:v>-1.8854169196210857E-2</c:v>
                </c:pt>
                <c:pt idx="85">
                  <c:v>-6.3519411254914449E-2</c:v>
                </c:pt>
                <c:pt idx="86">
                  <c:v>8.0960535601215522E-3</c:v>
                </c:pt>
                <c:pt idx="87">
                  <c:v>2.4103290557476731E-2</c:v>
                </c:pt>
                <c:pt idx="88">
                  <c:v>-9.167756555586426E-2</c:v>
                </c:pt>
                <c:pt idx="89">
                  <c:v>-0.12170444818536585</c:v>
                </c:pt>
                <c:pt idx="90">
                  <c:v>-0.23995834466444654</c:v>
                </c:pt>
                <c:pt idx="91">
                  <c:v>-0.15547861246024142</c:v>
                </c:pt>
                <c:pt idx="92">
                  <c:v>-0.17265092440806051</c:v>
                </c:pt>
                <c:pt idx="93">
                  <c:v>-1.6044885921805752E-2</c:v>
                </c:pt>
                <c:pt idx="94">
                  <c:v>-5.6241604826935188E-2</c:v>
                </c:pt>
                <c:pt idx="95">
                  <c:v>-1.0088491769961405E-2</c:v>
                </c:pt>
                <c:pt idx="96">
                  <c:v>-0.14419348749493632</c:v>
                </c:pt>
                <c:pt idx="97">
                  <c:v>3.2204873679937407E-3</c:v>
                </c:pt>
                <c:pt idx="98">
                  <c:v>-2.8554629667783882E-2</c:v>
                </c:pt>
                <c:pt idx="99">
                  <c:v>-0.18618716013795211</c:v>
                </c:pt>
                <c:pt idx="100">
                  <c:v>-0.12003993340373897</c:v>
                </c:pt>
                <c:pt idx="101">
                  <c:v>-0.14883647016328705</c:v>
                </c:pt>
                <c:pt idx="102">
                  <c:v>-8.2355237451283703E-2</c:v>
                </c:pt>
                <c:pt idx="103">
                  <c:v>0.13023125387939638</c:v>
                </c:pt>
                <c:pt idx="104">
                  <c:v>3.6123620410471569E-2</c:v>
                </c:pt>
                <c:pt idx="105">
                  <c:v>3.2332121751292853E-3</c:v>
                </c:pt>
                <c:pt idx="106">
                  <c:v>-3.1430903425180734E-2</c:v>
                </c:pt>
                <c:pt idx="107">
                  <c:v>-3.4044115974103728E-2</c:v>
                </c:pt>
                <c:pt idx="108">
                  <c:v>-7.8166000810413361E-2</c:v>
                </c:pt>
                <c:pt idx="109">
                  <c:v>-7.4498178228423972E-2</c:v>
                </c:pt>
                <c:pt idx="110">
                  <c:v>-3.2480860213291773E-2</c:v>
                </c:pt>
                <c:pt idx="111">
                  <c:v>3.6169511083964601E-2</c:v>
                </c:pt>
                <c:pt idx="112">
                  <c:v>-2.3602724337087433E-2</c:v>
                </c:pt>
                <c:pt idx="113">
                  <c:v>-4.4959339165484447E-2</c:v>
                </c:pt>
                <c:pt idx="114">
                  <c:v>-6.3019515408037963E-2</c:v>
                </c:pt>
                <c:pt idx="115">
                  <c:v>4.5564090660163092E-2</c:v>
                </c:pt>
                <c:pt idx="116">
                  <c:v>0.22288229430460649</c:v>
                </c:pt>
                <c:pt idx="117">
                  <c:v>0.19265682211627011</c:v>
                </c:pt>
                <c:pt idx="118">
                  <c:v>0.11208030709738503</c:v>
                </c:pt>
                <c:pt idx="119">
                  <c:v>0.17345741118086688</c:v>
                </c:pt>
                <c:pt idx="120">
                  <c:v>6.3443355705129489E-2</c:v>
                </c:pt>
                <c:pt idx="121">
                  <c:v>5.800551222696626E-4</c:v>
                </c:pt>
                <c:pt idx="122">
                  <c:v>-0.18963846058346512</c:v>
                </c:pt>
                <c:pt idx="123">
                  <c:v>-0.15258199108464099</c:v>
                </c:pt>
                <c:pt idx="124">
                  <c:v>-0.1781224173575271</c:v>
                </c:pt>
                <c:pt idx="125">
                  <c:v>-0.19616076280659467</c:v>
                </c:pt>
                <c:pt idx="126">
                  <c:v>-0.11980820200607634</c:v>
                </c:pt>
                <c:pt idx="127">
                  <c:v>-0.10867450492484687</c:v>
                </c:pt>
                <c:pt idx="128">
                  <c:v>1.5931924667625497E-2</c:v>
                </c:pt>
                <c:pt idx="129">
                  <c:v>-5.6072701343006015E-2</c:v>
                </c:pt>
                <c:pt idx="130">
                  <c:v>-0.12073311884941085</c:v>
                </c:pt>
                <c:pt idx="131">
                  <c:v>-0.19132498360639072</c:v>
                </c:pt>
                <c:pt idx="132">
                  <c:v>-0.19488046508216195</c:v>
                </c:pt>
                <c:pt idx="133">
                  <c:v>-0.16068349470547394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36-4C1C-B361-E36828264117}"/>
            </c:ext>
          </c:extLst>
        </c:ser>
        <c:ser>
          <c:idx val="5"/>
          <c:order val="5"/>
          <c:tx>
            <c:strRef>
              <c:f>NN1再投資累積報酬!$A$17:$B$17</c:f>
              <c:strCache>
                <c:ptCount val="2"/>
                <c:pt idx="0">
                  <c:v>8</c:v>
                </c:pt>
                <c:pt idx="1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NN1再投資累積報酬!$C$17:$EF$17</c:f>
              <c:numCache>
                <c:formatCode>General</c:formatCode>
                <c:ptCount val="134"/>
                <c:pt idx="0">
                  <c:v>0.20609218837920595</c:v>
                </c:pt>
                <c:pt idx="1">
                  <c:v>0.18518533442319085</c:v>
                </c:pt>
                <c:pt idx="2">
                  <c:v>0.19393081877810858</c:v>
                </c:pt>
                <c:pt idx="3">
                  <c:v>5.9210631965228577E-2</c:v>
                </c:pt>
                <c:pt idx="4">
                  <c:v>-1.6229279950122466E-2</c:v>
                </c:pt>
                <c:pt idx="5">
                  <c:v>5.921395348758951E-2</c:v>
                </c:pt>
                <c:pt idx="6">
                  <c:v>0.17967308979643049</c:v>
                </c:pt>
                <c:pt idx="7">
                  <c:v>0.22905231209947163</c:v>
                </c:pt>
                <c:pt idx="8">
                  <c:v>-0.13576304682318652</c:v>
                </c:pt>
                <c:pt idx="9">
                  <c:v>-0.12737053726201941</c:v>
                </c:pt>
                <c:pt idx="10">
                  <c:v>-7.0708930459896124E-2</c:v>
                </c:pt>
                <c:pt idx="11">
                  <c:v>5.5626733364736891E-2</c:v>
                </c:pt>
                <c:pt idx="12">
                  <c:v>0.16248441714075845</c:v>
                </c:pt>
                <c:pt idx="13">
                  <c:v>8.5365934273918809E-2</c:v>
                </c:pt>
                <c:pt idx="14">
                  <c:v>-2.3460265504465894E-2</c:v>
                </c:pt>
                <c:pt idx="15">
                  <c:v>-0.15668611007848376</c:v>
                </c:pt>
                <c:pt idx="16">
                  <c:v>-0.41866446478849506</c:v>
                </c:pt>
                <c:pt idx="17">
                  <c:v>-0.46005672601506176</c:v>
                </c:pt>
                <c:pt idx="18">
                  <c:v>-0.53633512923692306</c:v>
                </c:pt>
                <c:pt idx="19">
                  <c:v>-0.53447528142292977</c:v>
                </c:pt>
                <c:pt idx="20">
                  <c:v>-0.47879667042490393</c:v>
                </c:pt>
                <c:pt idx="21">
                  <c:v>-0.41789604300996641</c:v>
                </c:pt>
                <c:pt idx="22">
                  <c:v>-0.40454955704448381</c:v>
                </c:pt>
                <c:pt idx="23">
                  <c:v>-0.37247354123489329</c:v>
                </c:pt>
                <c:pt idx="24">
                  <c:v>-0.39456861580527525</c:v>
                </c:pt>
                <c:pt idx="25">
                  <c:v>-0.34319651392516548</c:v>
                </c:pt>
                <c:pt idx="26">
                  <c:v>-0.3046233054097599</c:v>
                </c:pt>
                <c:pt idx="27">
                  <c:v>-0.28938562425922265</c:v>
                </c:pt>
                <c:pt idx="28">
                  <c:v>-0.37974622724673945</c:v>
                </c:pt>
                <c:pt idx="29">
                  <c:v>-0.34164446588597608</c:v>
                </c:pt>
                <c:pt idx="30">
                  <c:v>-0.32667281533315362</c:v>
                </c:pt>
                <c:pt idx="31">
                  <c:v>-0.22767696057458786</c:v>
                </c:pt>
                <c:pt idx="32">
                  <c:v>-0.13896450298266894</c:v>
                </c:pt>
                <c:pt idx="33">
                  <c:v>-0.15808591393205129</c:v>
                </c:pt>
                <c:pt idx="34">
                  <c:v>-0.1693050192051615</c:v>
                </c:pt>
                <c:pt idx="35">
                  <c:v>-0.19174888752289165</c:v>
                </c:pt>
                <c:pt idx="36">
                  <c:v>-0.26720051100347519</c:v>
                </c:pt>
                <c:pt idx="37">
                  <c:v>-0.18418376710409878</c:v>
                </c:pt>
                <c:pt idx="38">
                  <c:v>-0.17387810348153454</c:v>
                </c:pt>
                <c:pt idx="39">
                  <c:v>-9.6703795057215491E-2</c:v>
                </c:pt>
                <c:pt idx="40">
                  <c:v>-4.135228576950345E-2</c:v>
                </c:pt>
                <c:pt idx="41">
                  <c:v>2.55629652676026E-3</c:v>
                </c:pt>
                <c:pt idx="42">
                  <c:v>-5.6396978212073789E-2</c:v>
                </c:pt>
                <c:pt idx="43">
                  <c:v>6.3508349747939175E-2</c:v>
                </c:pt>
                <c:pt idx="44">
                  <c:v>-5.9539151054157635E-2</c:v>
                </c:pt>
                <c:pt idx="45">
                  <c:v>-4.4944954445775842E-3</c:v>
                </c:pt>
                <c:pt idx="46">
                  <c:v>3.8895404598204841E-3</c:v>
                </c:pt>
                <c:pt idx="47">
                  <c:v>0.10050443051481528</c:v>
                </c:pt>
                <c:pt idx="48">
                  <c:v>0.13068433022391601</c:v>
                </c:pt>
                <c:pt idx="49">
                  <c:v>-1.0829409460079487E-2</c:v>
                </c:pt>
                <c:pt idx="50">
                  <c:v>-4.9181151010824209E-2</c:v>
                </c:pt>
                <c:pt idx="51">
                  <c:v>6.8496053025304926E-2</c:v>
                </c:pt>
                <c:pt idx="52">
                  <c:v>0.15810354606688959</c:v>
                </c:pt>
                <c:pt idx="53">
                  <c:v>0.18399466743380088</c:v>
                </c:pt>
                <c:pt idx="54">
                  <c:v>0.2755769417683771</c:v>
                </c:pt>
                <c:pt idx="55">
                  <c:v>8.7076224535388214E-2</c:v>
                </c:pt>
                <c:pt idx="56">
                  <c:v>-0.11484989972061999</c:v>
                </c:pt>
                <c:pt idx="57">
                  <c:v>-0.23274402703685726</c:v>
                </c:pt>
                <c:pt idx="58">
                  <c:v>-0.17079700772822726</c:v>
                </c:pt>
                <c:pt idx="59">
                  <c:v>-0.25194964880690951</c:v>
                </c:pt>
                <c:pt idx="60">
                  <c:v>-0.26228991295747717</c:v>
                </c:pt>
                <c:pt idx="61">
                  <c:v>-0.20512994677517593</c:v>
                </c:pt>
                <c:pt idx="62">
                  <c:v>-0.14472159493590731</c:v>
                </c:pt>
                <c:pt idx="63">
                  <c:v>-0.10459575903323171</c:v>
                </c:pt>
                <c:pt idx="64">
                  <c:v>-7.3095782193517422E-2</c:v>
                </c:pt>
                <c:pt idx="65">
                  <c:v>-3.9730956827702779E-2</c:v>
                </c:pt>
                <c:pt idx="66">
                  <c:v>-2.8806446026649057E-2</c:v>
                </c:pt>
                <c:pt idx="67">
                  <c:v>-3.8174943367014991E-2</c:v>
                </c:pt>
                <c:pt idx="68">
                  <c:v>-4.2121762776715865E-2</c:v>
                </c:pt>
                <c:pt idx="69">
                  <c:v>6.2685805339040224E-2</c:v>
                </c:pt>
                <c:pt idx="70">
                  <c:v>-1.2900718012112455E-2</c:v>
                </c:pt>
                <c:pt idx="71">
                  <c:v>5.640382168671465E-2</c:v>
                </c:pt>
                <c:pt idx="72">
                  <c:v>-2.8564546887957398E-2</c:v>
                </c:pt>
                <c:pt idx="73">
                  <c:v>-5.6489719261332283E-4</c:v>
                </c:pt>
                <c:pt idx="74">
                  <c:v>-8.4762774793153861E-2</c:v>
                </c:pt>
                <c:pt idx="75">
                  <c:v>-2.3572273994293735E-2</c:v>
                </c:pt>
                <c:pt idx="76">
                  <c:v>0.10422048529412131</c:v>
                </c:pt>
                <c:pt idx="77">
                  <c:v>0.22476363882670625</c:v>
                </c:pt>
                <c:pt idx="78">
                  <c:v>1.0481473961356347E-2</c:v>
                </c:pt>
                <c:pt idx="79">
                  <c:v>0.18525408820445644</c:v>
                </c:pt>
                <c:pt idx="80">
                  <c:v>-2.2303157692606379E-2</c:v>
                </c:pt>
                <c:pt idx="81">
                  <c:v>-7.9243045223023834E-2</c:v>
                </c:pt>
                <c:pt idx="82">
                  <c:v>-0.14803739062901067</c:v>
                </c:pt>
                <c:pt idx="83">
                  <c:v>-0.17612580738389039</c:v>
                </c:pt>
                <c:pt idx="84">
                  <c:v>-0.17307600359466768</c:v>
                </c:pt>
                <c:pt idx="85">
                  <c:v>-0.21503604686346667</c:v>
                </c:pt>
                <c:pt idx="86">
                  <c:v>-0.14302457421480819</c:v>
                </c:pt>
                <c:pt idx="87">
                  <c:v>-0.15110272003684677</c:v>
                </c:pt>
                <c:pt idx="88">
                  <c:v>-0.2321672072261719</c:v>
                </c:pt>
                <c:pt idx="89">
                  <c:v>-0.25268221073723618</c:v>
                </c:pt>
                <c:pt idx="90">
                  <c:v>-0.35537329694473663</c:v>
                </c:pt>
                <c:pt idx="91">
                  <c:v>-0.28561090329332228</c:v>
                </c:pt>
                <c:pt idx="92">
                  <c:v>-0.24852903462436615</c:v>
                </c:pt>
                <c:pt idx="93">
                  <c:v>-0.10093815933164341</c:v>
                </c:pt>
                <c:pt idx="94">
                  <c:v>-0.1291199885157539</c:v>
                </c:pt>
                <c:pt idx="95">
                  <c:v>-7.8039569456874625E-2</c:v>
                </c:pt>
                <c:pt idx="96">
                  <c:v>-0.22126786742823024</c:v>
                </c:pt>
                <c:pt idx="97">
                  <c:v>-0.10331223287154834</c:v>
                </c:pt>
                <c:pt idx="98">
                  <c:v>-0.12407579565454718</c:v>
                </c:pt>
                <c:pt idx="99">
                  <c:v>-0.23357495378088478</c:v>
                </c:pt>
                <c:pt idx="100">
                  <c:v>-0.17562638882619741</c:v>
                </c:pt>
                <c:pt idx="101">
                  <c:v>-0.201670564135493</c:v>
                </c:pt>
                <c:pt idx="102">
                  <c:v>-0.16326309084026713</c:v>
                </c:pt>
                <c:pt idx="103">
                  <c:v>2.4431198393252807E-2</c:v>
                </c:pt>
                <c:pt idx="104">
                  <c:v>-7.6833203276993611E-2</c:v>
                </c:pt>
                <c:pt idx="105">
                  <c:v>-0.10374851978055366</c:v>
                </c:pt>
                <c:pt idx="106">
                  <c:v>-0.1253704642651452</c:v>
                </c:pt>
                <c:pt idx="107">
                  <c:v>-0.13907979676288396</c:v>
                </c:pt>
                <c:pt idx="108">
                  <c:v>-0.17972469051579376</c:v>
                </c:pt>
                <c:pt idx="109">
                  <c:v>-0.16934501315532058</c:v>
                </c:pt>
                <c:pt idx="110">
                  <c:v>-0.1402350945104851</c:v>
                </c:pt>
                <c:pt idx="111">
                  <c:v>-2.9389852668336602E-2</c:v>
                </c:pt>
                <c:pt idx="112">
                  <c:v>-9.5505982896518127E-2</c:v>
                </c:pt>
                <c:pt idx="113">
                  <c:v>-9.9060401699965883E-2</c:v>
                </c:pt>
                <c:pt idx="114">
                  <c:v>-0.13260010853706838</c:v>
                </c:pt>
                <c:pt idx="115">
                  <c:v>-4.0239400528531255E-2</c:v>
                </c:pt>
                <c:pt idx="116">
                  <c:v>0.13228997318672997</c:v>
                </c:pt>
                <c:pt idx="117">
                  <c:v>0.10387240483585392</c:v>
                </c:pt>
                <c:pt idx="118">
                  <c:v>3.1850969359490167E-2</c:v>
                </c:pt>
                <c:pt idx="119">
                  <c:v>8.951576976210518E-2</c:v>
                </c:pt>
                <c:pt idx="120">
                  <c:v>-4.5928646781502325E-2</c:v>
                </c:pt>
                <c:pt idx="121">
                  <c:v>-0.10299350076975333</c:v>
                </c:pt>
                <c:pt idx="122">
                  <c:v>-0.24611546198724599</c:v>
                </c:pt>
                <c:pt idx="123">
                  <c:v>-0.21207845250519919</c:v>
                </c:pt>
                <c:pt idx="124">
                  <c:v>-0.25008415797771677</c:v>
                </c:pt>
                <c:pt idx="125">
                  <c:v>-0.23280971144500473</c:v>
                </c:pt>
                <c:pt idx="126">
                  <c:v>-0.13613565051172438</c:v>
                </c:pt>
                <c:pt idx="127">
                  <c:v>-0.14027447060743403</c:v>
                </c:pt>
                <c:pt idx="128">
                  <c:v>1.2118693262368474E-3</c:v>
                </c:pt>
                <c:pt idx="129">
                  <c:v>-7.26585132854769E-2</c:v>
                </c:pt>
                <c:pt idx="130">
                  <c:v>-0.18534164803248621</c:v>
                </c:pt>
                <c:pt idx="131">
                  <c:v>-0.2528406728309518</c:v>
                </c:pt>
                <c:pt idx="132">
                  <c:v>-0.25269608170165403</c:v>
                </c:pt>
                <c:pt idx="133">
                  <c:v>-0.21704238587409053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36-4C1C-B361-E36828264117}"/>
            </c:ext>
          </c:extLst>
        </c:ser>
        <c:ser>
          <c:idx val="6"/>
          <c:order val="6"/>
          <c:tx>
            <c:strRef>
              <c:f>NN1再投資累積報酬!$A$18:$B$18</c:f>
              <c:strCache>
                <c:ptCount val="2"/>
                <c:pt idx="0">
                  <c:v>7</c:v>
                </c:pt>
                <c:pt idx="1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NN1再投資累積報酬!$C$18:$EF$18</c:f>
              <c:numCache>
                <c:formatCode>General</c:formatCode>
                <c:ptCount val="134"/>
                <c:pt idx="0">
                  <c:v>0.18975112249235826</c:v>
                </c:pt>
                <c:pt idx="1">
                  <c:v>0.18001007434190197</c:v>
                </c:pt>
                <c:pt idx="2">
                  <c:v>0.11038870457322481</c:v>
                </c:pt>
                <c:pt idx="3">
                  <c:v>-3.886349852988269E-2</c:v>
                </c:pt>
                <c:pt idx="4">
                  <c:v>-0.11651779845042431</c:v>
                </c:pt>
                <c:pt idx="5">
                  <c:v>-8.8100189067127355E-3</c:v>
                </c:pt>
                <c:pt idx="6">
                  <c:v>0.12549640216689872</c:v>
                </c:pt>
                <c:pt idx="7">
                  <c:v>0.1743559069579832</c:v>
                </c:pt>
                <c:pt idx="8">
                  <c:v>-0.2468645341448541</c:v>
                </c:pt>
                <c:pt idx="9">
                  <c:v>-0.23708696286539421</c:v>
                </c:pt>
                <c:pt idx="10">
                  <c:v>-0.17628082769191522</c:v>
                </c:pt>
                <c:pt idx="11">
                  <c:v>-5.8495223842579547E-2</c:v>
                </c:pt>
                <c:pt idx="12">
                  <c:v>3.91110372902852E-2</c:v>
                </c:pt>
                <c:pt idx="13">
                  <c:v>-4.6670292549185199E-2</c:v>
                </c:pt>
                <c:pt idx="14">
                  <c:v>-0.13538676417634887</c:v>
                </c:pt>
                <c:pt idx="15">
                  <c:v>-0.26870077757669475</c:v>
                </c:pt>
                <c:pt idx="16">
                  <c:v>-0.54932415073303975</c:v>
                </c:pt>
                <c:pt idx="17">
                  <c:v>-0.57377080981229578</c:v>
                </c:pt>
                <c:pt idx="18">
                  <c:v>-0.63024405677891759</c:v>
                </c:pt>
                <c:pt idx="19">
                  <c:v>-0.62547600394820169</c:v>
                </c:pt>
                <c:pt idx="20">
                  <c:v>-0.57382268887958476</c:v>
                </c:pt>
                <c:pt idx="21">
                  <c:v>-0.51268690681782558</c:v>
                </c:pt>
                <c:pt idx="22">
                  <c:v>-0.50331473847298991</c:v>
                </c:pt>
                <c:pt idx="23">
                  <c:v>-0.45899334533033753</c:v>
                </c:pt>
                <c:pt idx="24">
                  <c:v>-0.48155616050882111</c:v>
                </c:pt>
                <c:pt idx="25">
                  <c:v>-0.43764484879817422</c:v>
                </c:pt>
                <c:pt idx="26">
                  <c:v>-0.40512777966061719</c:v>
                </c:pt>
                <c:pt idx="27">
                  <c:v>-0.38930680176057697</c:v>
                </c:pt>
                <c:pt idx="28">
                  <c:v>-0.47695913324977679</c:v>
                </c:pt>
                <c:pt idx="29">
                  <c:v>-0.46028803298875087</c:v>
                </c:pt>
                <c:pt idx="30">
                  <c:v>-0.44275110938524131</c:v>
                </c:pt>
                <c:pt idx="31">
                  <c:v>-0.3518813659773864</c:v>
                </c:pt>
                <c:pt idx="32">
                  <c:v>-0.27534780099809841</c:v>
                </c:pt>
                <c:pt idx="33">
                  <c:v>-0.28065764932546267</c:v>
                </c:pt>
                <c:pt idx="34">
                  <c:v>-0.26102684887387029</c:v>
                </c:pt>
                <c:pt idx="35">
                  <c:v>-0.28527463579195689</c:v>
                </c:pt>
                <c:pt idx="36">
                  <c:v>-0.35392617202505494</c:v>
                </c:pt>
                <c:pt idx="37">
                  <c:v>-0.30269598045130275</c:v>
                </c:pt>
                <c:pt idx="38">
                  <c:v>-0.2989113385020894</c:v>
                </c:pt>
                <c:pt idx="39">
                  <c:v>-0.23192526643520162</c:v>
                </c:pt>
                <c:pt idx="40">
                  <c:v>-0.18264945213173811</c:v>
                </c:pt>
                <c:pt idx="41">
                  <c:v>-0.15077075858832001</c:v>
                </c:pt>
                <c:pt idx="42">
                  <c:v>-0.22147174923080293</c:v>
                </c:pt>
                <c:pt idx="43">
                  <c:v>-9.1935696067073414E-2</c:v>
                </c:pt>
                <c:pt idx="44">
                  <c:v>-0.21806420666731907</c:v>
                </c:pt>
                <c:pt idx="45">
                  <c:v>-0.17096378439814419</c:v>
                </c:pt>
                <c:pt idx="46">
                  <c:v>-0.15062086535258767</c:v>
                </c:pt>
                <c:pt idx="47">
                  <c:v>-5.9260908151521408E-2</c:v>
                </c:pt>
                <c:pt idx="48">
                  <c:v>-2.6538918191135075E-2</c:v>
                </c:pt>
                <c:pt idx="49">
                  <c:v>-0.17100938408369371</c:v>
                </c:pt>
                <c:pt idx="50">
                  <c:v>-0.20027460977012568</c:v>
                </c:pt>
                <c:pt idx="51">
                  <c:v>-9.0187577738349178E-2</c:v>
                </c:pt>
                <c:pt idx="52">
                  <c:v>-1.4489753441241593E-2</c:v>
                </c:pt>
                <c:pt idx="53">
                  <c:v>-3.8158035273215263E-2</c:v>
                </c:pt>
                <c:pt idx="54">
                  <c:v>2.7594648378886033E-2</c:v>
                </c:pt>
                <c:pt idx="55">
                  <c:v>-0.14194459062552256</c:v>
                </c:pt>
                <c:pt idx="56">
                  <c:v>-0.26783331035776659</c:v>
                </c:pt>
                <c:pt idx="57">
                  <c:v>-0.36879782666015337</c:v>
                </c:pt>
                <c:pt idx="58">
                  <c:v>-0.32083208313670386</c:v>
                </c:pt>
                <c:pt idx="59">
                  <c:v>-0.38775311732224838</c:v>
                </c:pt>
                <c:pt idx="60">
                  <c:v>-0.42326542275065138</c:v>
                </c:pt>
                <c:pt idx="61">
                  <c:v>-0.37645898604941552</c:v>
                </c:pt>
                <c:pt idx="62">
                  <c:v>-0.31237521987810279</c:v>
                </c:pt>
                <c:pt idx="63">
                  <c:v>-0.27608624181694918</c:v>
                </c:pt>
                <c:pt idx="64">
                  <c:v>-0.26144327909195053</c:v>
                </c:pt>
                <c:pt idx="65">
                  <c:v>-0.22683632775255114</c:v>
                </c:pt>
                <c:pt idx="66">
                  <c:v>-0.22535433991127463</c:v>
                </c:pt>
                <c:pt idx="67">
                  <c:v>-0.229807153124435</c:v>
                </c:pt>
                <c:pt idx="68">
                  <c:v>-0.23287531267887018</c:v>
                </c:pt>
                <c:pt idx="69">
                  <c:v>-0.14447435837393674</c:v>
                </c:pt>
                <c:pt idx="70">
                  <c:v>-0.21349598045104345</c:v>
                </c:pt>
                <c:pt idx="71">
                  <c:v>-0.14984940479010067</c:v>
                </c:pt>
                <c:pt idx="72">
                  <c:v>-0.2223766761243603</c:v>
                </c:pt>
                <c:pt idx="73">
                  <c:v>-0.20758746660063188</c:v>
                </c:pt>
                <c:pt idx="74">
                  <c:v>-0.3051136199914134</c:v>
                </c:pt>
                <c:pt idx="75">
                  <c:v>-0.28055101768933743</c:v>
                </c:pt>
                <c:pt idx="76">
                  <c:v>-0.19829930272499474</c:v>
                </c:pt>
                <c:pt idx="77">
                  <c:v>-0.12022385005468406</c:v>
                </c:pt>
                <c:pt idx="78">
                  <c:v>-0.1450101741647718</c:v>
                </c:pt>
                <c:pt idx="79">
                  <c:v>2.061573487143642E-2</c:v>
                </c:pt>
                <c:pt idx="80">
                  <c:v>-0.16097870402574554</c:v>
                </c:pt>
                <c:pt idx="81">
                  <c:v>-0.12409722120140931</c:v>
                </c:pt>
                <c:pt idx="82">
                  <c:v>-0.20433802271351653</c:v>
                </c:pt>
                <c:pt idx="83">
                  <c:v>-0.24043374466524525</c:v>
                </c:pt>
                <c:pt idx="84">
                  <c:v>-0.32782891451797069</c:v>
                </c:pt>
                <c:pt idx="85">
                  <c:v>-0.36971436698191773</c:v>
                </c:pt>
                <c:pt idx="86">
                  <c:v>-0.3125677651649087</c:v>
                </c:pt>
                <c:pt idx="87">
                  <c:v>-0.33387097738078508</c:v>
                </c:pt>
                <c:pt idx="88">
                  <c:v>-0.40232879832946833</c:v>
                </c:pt>
                <c:pt idx="89">
                  <c:v>-0.42329884190672262</c:v>
                </c:pt>
                <c:pt idx="90">
                  <c:v>-0.51014860011183605</c:v>
                </c:pt>
                <c:pt idx="91">
                  <c:v>-0.4531934211884755</c:v>
                </c:pt>
                <c:pt idx="92">
                  <c:v>-0.4322820745818059</c:v>
                </c:pt>
                <c:pt idx="93">
                  <c:v>-0.32230239120247595</c:v>
                </c:pt>
                <c:pt idx="94">
                  <c:v>-0.36139920584351837</c:v>
                </c:pt>
                <c:pt idx="95">
                  <c:v>-0.31230981797978796</c:v>
                </c:pt>
                <c:pt idx="96">
                  <c:v>-0.41172562616812358</c:v>
                </c:pt>
                <c:pt idx="97">
                  <c:v>-0.33700168091947424</c:v>
                </c:pt>
                <c:pt idx="98">
                  <c:v>-0.35578326741768496</c:v>
                </c:pt>
                <c:pt idx="99">
                  <c:v>-0.45439718801547835</c:v>
                </c:pt>
                <c:pt idx="100">
                  <c:v>-0.40355879973915076</c:v>
                </c:pt>
                <c:pt idx="101">
                  <c:v>-0.4581088427619362</c:v>
                </c:pt>
                <c:pt idx="102">
                  <c:v>-0.41644253562926248</c:v>
                </c:pt>
                <c:pt idx="103">
                  <c:v>-0.28666979392370939</c:v>
                </c:pt>
                <c:pt idx="104">
                  <c:v>-0.345747592735826</c:v>
                </c:pt>
                <c:pt idx="105">
                  <c:v>-0.37258122352148404</c:v>
                </c:pt>
                <c:pt idx="106">
                  <c:v>-0.39668702151381885</c:v>
                </c:pt>
                <c:pt idx="107">
                  <c:v>-0.4136232084100937</c:v>
                </c:pt>
                <c:pt idx="108">
                  <c:v>-0.44573934916623581</c:v>
                </c:pt>
                <c:pt idx="109">
                  <c:v>-0.43850622959457519</c:v>
                </c:pt>
                <c:pt idx="110">
                  <c:v>-0.42805500677848429</c:v>
                </c:pt>
                <c:pt idx="111">
                  <c:v>-0.34443889302479369</c:v>
                </c:pt>
                <c:pt idx="112">
                  <c:v>-0.38197015317140992</c:v>
                </c:pt>
                <c:pt idx="113">
                  <c:v>-0.38433737686671543</c:v>
                </c:pt>
                <c:pt idx="114">
                  <c:v>-0.38757002351440784</c:v>
                </c:pt>
                <c:pt idx="115">
                  <c:v>-0.31094971556150575</c:v>
                </c:pt>
                <c:pt idx="116">
                  <c:v>-0.15913801095916214</c:v>
                </c:pt>
                <c:pt idx="117">
                  <c:v>-0.1772252338299648</c:v>
                </c:pt>
                <c:pt idx="118">
                  <c:v>-0.22820067968903135</c:v>
                </c:pt>
                <c:pt idx="119">
                  <c:v>-0.16889511456378192</c:v>
                </c:pt>
                <c:pt idx="120">
                  <c:v>-0.29166758916341839</c:v>
                </c:pt>
                <c:pt idx="121">
                  <c:v>-0.30767663465982165</c:v>
                </c:pt>
                <c:pt idx="122">
                  <c:v>-0.42024064905898717</c:v>
                </c:pt>
                <c:pt idx="123">
                  <c:v>-0.37935155982829627</c:v>
                </c:pt>
                <c:pt idx="124">
                  <c:v>-0.41533513049542181</c:v>
                </c:pt>
                <c:pt idx="125">
                  <c:v>-0.37547426207536116</c:v>
                </c:pt>
                <c:pt idx="126">
                  <c:v>-0.27195093681564453</c:v>
                </c:pt>
                <c:pt idx="127">
                  <c:v>-0.30342293605681103</c:v>
                </c:pt>
                <c:pt idx="128">
                  <c:v>-0.16484189091651591</c:v>
                </c:pt>
                <c:pt idx="129">
                  <c:v>-0.24588788001502115</c:v>
                </c:pt>
                <c:pt idx="130">
                  <c:v>-0.35375625155048684</c:v>
                </c:pt>
                <c:pt idx="131">
                  <c:v>-0.40562971774096646</c:v>
                </c:pt>
                <c:pt idx="132">
                  <c:v>-0.40629023410845666</c:v>
                </c:pt>
                <c:pt idx="133">
                  <c:v>-0.37722516236061476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36-4C1C-B361-E36828264117}"/>
            </c:ext>
          </c:extLst>
        </c:ser>
        <c:ser>
          <c:idx val="7"/>
          <c:order val="7"/>
          <c:tx>
            <c:strRef>
              <c:f>NN1再投資累積報酬!$A$19:$B$19</c:f>
              <c:strCache>
                <c:ptCount val="2"/>
                <c:pt idx="0">
                  <c:v>6</c:v>
                </c:pt>
                <c:pt idx="1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NN1再投資累積報酬!$C$19:$EF$19</c:f>
              <c:numCache>
                <c:formatCode>General</c:formatCode>
                <c:ptCount val="134"/>
                <c:pt idx="0">
                  <c:v>0.19660026531165431</c:v>
                </c:pt>
                <c:pt idx="1">
                  <c:v>0.17246388133321555</c:v>
                </c:pt>
                <c:pt idx="2">
                  <c:v>0.10809784923688071</c:v>
                </c:pt>
                <c:pt idx="3">
                  <c:v>6.5273544158591656E-2</c:v>
                </c:pt>
                <c:pt idx="4">
                  <c:v>-3.86035061522777E-2</c:v>
                </c:pt>
                <c:pt idx="5">
                  <c:v>0.10454278072752077</c:v>
                </c:pt>
                <c:pt idx="6">
                  <c:v>0.25327425201647036</c:v>
                </c:pt>
                <c:pt idx="7">
                  <c:v>0.29767723805526725</c:v>
                </c:pt>
                <c:pt idx="8">
                  <c:v>-0.24519026896498375</c:v>
                </c:pt>
                <c:pt idx="9">
                  <c:v>-0.2126964968310463</c:v>
                </c:pt>
                <c:pt idx="10">
                  <c:v>-0.1448227949064006</c:v>
                </c:pt>
                <c:pt idx="11">
                  <c:v>-6.3283456510458636E-2</c:v>
                </c:pt>
                <c:pt idx="12">
                  <c:v>2.3101838627352267E-2</c:v>
                </c:pt>
                <c:pt idx="13">
                  <c:v>-7.1570057396143194E-2</c:v>
                </c:pt>
                <c:pt idx="14">
                  <c:v>-0.14757700774533067</c:v>
                </c:pt>
                <c:pt idx="15">
                  <c:v>-0.27167553676961842</c:v>
                </c:pt>
                <c:pt idx="16">
                  <c:v>-0.40580385491184823</c:v>
                </c:pt>
                <c:pt idx="17">
                  <c:v>-0.42193882221395917</c:v>
                </c:pt>
                <c:pt idx="18">
                  <c:v>-0.5003807636671378</c:v>
                </c:pt>
                <c:pt idx="19">
                  <c:v>-0.48208536284025905</c:v>
                </c:pt>
                <c:pt idx="20">
                  <c:v>-0.40614820563279797</c:v>
                </c:pt>
                <c:pt idx="21">
                  <c:v>-0.3368818993094389</c:v>
                </c:pt>
                <c:pt idx="22">
                  <c:v>-0.31988708586848091</c:v>
                </c:pt>
                <c:pt idx="23">
                  <c:v>-0.2575757455844836</c:v>
                </c:pt>
                <c:pt idx="24">
                  <c:v>-0.28843845884613928</c:v>
                </c:pt>
                <c:pt idx="25">
                  <c:v>-0.21567872545482147</c:v>
                </c:pt>
                <c:pt idx="26">
                  <c:v>-0.19336256192422696</c:v>
                </c:pt>
                <c:pt idx="27">
                  <c:v>-0.16505851846321895</c:v>
                </c:pt>
                <c:pt idx="28">
                  <c:v>-0.3065110154288393</c:v>
                </c:pt>
                <c:pt idx="29">
                  <c:v>-0.27961358273762005</c:v>
                </c:pt>
                <c:pt idx="30">
                  <c:v>-0.26366695118821215</c:v>
                </c:pt>
                <c:pt idx="31">
                  <c:v>-0.11333992982575847</c:v>
                </c:pt>
                <c:pt idx="32">
                  <c:v>-3.2167385932608594E-2</c:v>
                </c:pt>
                <c:pt idx="33">
                  <c:v>-2.0391581103768708E-2</c:v>
                </c:pt>
                <c:pt idx="34">
                  <c:v>2.7666817344407679E-2</c:v>
                </c:pt>
                <c:pt idx="35">
                  <c:v>1.2339570092318786E-2</c:v>
                </c:pt>
                <c:pt idx="36">
                  <c:v>-4.9538806460998952E-2</c:v>
                </c:pt>
                <c:pt idx="37">
                  <c:v>2.9889614343825865E-2</c:v>
                </c:pt>
                <c:pt idx="38">
                  <c:v>5.6556446275509931E-2</c:v>
                </c:pt>
                <c:pt idx="39">
                  <c:v>0.18844453934295968</c:v>
                </c:pt>
                <c:pt idx="40">
                  <c:v>0.23880566720244034</c:v>
                </c:pt>
                <c:pt idx="41">
                  <c:v>0.18783560897550577</c:v>
                </c:pt>
                <c:pt idx="42">
                  <c:v>5.812529553957102E-2</c:v>
                </c:pt>
                <c:pt idx="43">
                  <c:v>0.25344852061332079</c:v>
                </c:pt>
                <c:pt idx="44">
                  <c:v>6.1652563426958906E-2</c:v>
                </c:pt>
                <c:pt idx="45">
                  <c:v>5.8432985668476878E-2</c:v>
                </c:pt>
                <c:pt idx="46">
                  <c:v>8.2095491475965954E-2</c:v>
                </c:pt>
                <c:pt idx="47">
                  <c:v>0.16888649078871709</c:v>
                </c:pt>
                <c:pt idx="48">
                  <c:v>0.20340250536843874</c:v>
                </c:pt>
                <c:pt idx="49">
                  <c:v>-2.1488895337439473E-2</c:v>
                </c:pt>
                <c:pt idx="50">
                  <c:v>-2.2965484794443713E-2</c:v>
                </c:pt>
                <c:pt idx="51">
                  <c:v>0.13311206537221976</c:v>
                </c:pt>
                <c:pt idx="52">
                  <c:v>0.20569410980436831</c:v>
                </c:pt>
                <c:pt idx="53">
                  <c:v>0.20179442166150041</c:v>
                </c:pt>
                <c:pt idx="54">
                  <c:v>0.26324442256013381</c:v>
                </c:pt>
                <c:pt idx="55">
                  <c:v>8.4104444775783049E-2</c:v>
                </c:pt>
                <c:pt idx="56">
                  <c:v>-8.2098253790408915E-2</c:v>
                </c:pt>
                <c:pt idx="57">
                  <c:v>-0.21106060910223856</c:v>
                </c:pt>
                <c:pt idx="58">
                  <c:v>-0.13115349041066571</c:v>
                </c:pt>
                <c:pt idx="59">
                  <c:v>-0.18233916467312272</c:v>
                </c:pt>
                <c:pt idx="60">
                  <c:v>-0.22465272540527126</c:v>
                </c:pt>
                <c:pt idx="61">
                  <c:v>-0.16265234564748099</c:v>
                </c:pt>
                <c:pt idx="62">
                  <c:v>-6.6984873512494936E-2</c:v>
                </c:pt>
                <c:pt idx="63">
                  <c:v>-4.2371361291988485E-3</c:v>
                </c:pt>
                <c:pt idx="64">
                  <c:v>2.1382808024573485E-2</c:v>
                </c:pt>
                <c:pt idx="65">
                  <c:v>8.5544858060540463E-2</c:v>
                </c:pt>
                <c:pt idx="66">
                  <c:v>9.6328708937675644E-2</c:v>
                </c:pt>
                <c:pt idx="67">
                  <c:v>0.10364697279248269</c:v>
                </c:pt>
                <c:pt idx="68">
                  <c:v>7.6876537966106051E-2</c:v>
                </c:pt>
                <c:pt idx="69">
                  <c:v>0.22939744790968408</c:v>
                </c:pt>
                <c:pt idx="70">
                  <c:v>0.13604161443848328</c:v>
                </c:pt>
                <c:pt idx="71">
                  <c:v>0.24243786579895654</c:v>
                </c:pt>
                <c:pt idx="72">
                  <c:v>0.1070531868548632</c:v>
                </c:pt>
                <c:pt idx="73">
                  <c:v>0.14479017817289797</c:v>
                </c:pt>
                <c:pt idx="74">
                  <c:v>2.1553817081091831E-2</c:v>
                </c:pt>
                <c:pt idx="75">
                  <c:v>2.505266768633363E-2</c:v>
                </c:pt>
                <c:pt idx="76">
                  <c:v>8.2676150836970219E-2</c:v>
                </c:pt>
                <c:pt idx="77">
                  <c:v>0.16818245691478739</c:v>
                </c:pt>
                <c:pt idx="78">
                  <c:v>0.13930118675587777</c:v>
                </c:pt>
                <c:pt idx="79">
                  <c:v>0.38495639503140122</c:v>
                </c:pt>
                <c:pt idx="80">
                  <c:v>0.11036686699656806</c:v>
                </c:pt>
                <c:pt idx="81">
                  <c:v>0.19814306110971214</c:v>
                </c:pt>
                <c:pt idx="82">
                  <c:v>0.12970797520829991</c:v>
                </c:pt>
                <c:pt idx="83">
                  <c:v>8.1452449630761814E-2</c:v>
                </c:pt>
                <c:pt idx="84">
                  <c:v>-3.8301330602403483E-2</c:v>
                </c:pt>
                <c:pt idx="85">
                  <c:v>-9.7869427001562315E-2</c:v>
                </c:pt>
                <c:pt idx="86">
                  <c:v>-4.0769701538837522E-3</c:v>
                </c:pt>
                <c:pt idx="87">
                  <c:v>-4.714096079777097E-2</c:v>
                </c:pt>
                <c:pt idx="88">
                  <c:v>-0.15218021429707262</c:v>
                </c:pt>
                <c:pt idx="89">
                  <c:v>-0.21740524109066317</c:v>
                </c:pt>
                <c:pt idx="90">
                  <c:v>-0.34743066641642506</c:v>
                </c:pt>
                <c:pt idx="91">
                  <c:v>-0.25775803105663375</c:v>
                </c:pt>
                <c:pt idx="92">
                  <c:v>-0.23371339379049971</c:v>
                </c:pt>
                <c:pt idx="93">
                  <c:v>-9.8611912415971004E-2</c:v>
                </c:pt>
                <c:pt idx="94">
                  <c:v>-0.14751262138491716</c:v>
                </c:pt>
                <c:pt idx="95">
                  <c:v>-0.12498888075882786</c:v>
                </c:pt>
                <c:pt idx="96">
                  <c:v>-0.25327211127678073</c:v>
                </c:pt>
                <c:pt idx="97">
                  <c:v>-0.18266674326188315</c:v>
                </c:pt>
                <c:pt idx="98">
                  <c:v>-0.20897844448509428</c:v>
                </c:pt>
                <c:pt idx="99">
                  <c:v>-0.32616851796725943</c:v>
                </c:pt>
                <c:pt idx="100">
                  <c:v>-0.25346741121376704</c:v>
                </c:pt>
                <c:pt idx="101">
                  <c:v>-0.2963924849405345</c:v>
                </c:pt>
                <c:pt idx="102">
                  <c:v>-0.21217319963312742</c:v>
                </c:pt>
                <c:pt idx="103">
                  <c:v>1.3254342965862698E-2</c:v>
                </c:pt>
                <c:pt idx="104">
                  <c:v>-5.3202562114452845E-2</c:v>
                </c:pt>
                <c:pt idx="105">
                  <c:v>-5.9073771617732307E-2</c:v>
                </c:pt>
                <c:pt idx="106">
                  <c:v>-9.0141663986968545E-2</c:v>
                </c:pt>
                <c:pt idx="107">
                  <c:v>-0.10951831867091433</c:v>
                </c:pt>
                <c:pt idx="108">
                  <c:v>-0.16862338576014224</c:v>
                </c:pt>
                <c:pt idx="109">
                  <c:v>-0.13269078510808008</c:v>
                </c:pt>
                <c:pt idx="110">
                  <c:v>-8.1825672951336248E-2</c:v>
                </c:pt>
                <c:pt idx="111">
                  <c:v>6.9903065179635737E-2</c:v>
                </c:pt>
                <c:pt idx="112">
                  <c:v>5.2801424768983862E-2</c:v>
                </c:pt>
                <c:pt idx="113">
                  <c:v>4.0185930691314597E-2</c:v>
                </c:pt>
                <c:pt idx="114">
                  <c:v>8.813632029124463E-2</c:v>
                </c:pt>
                <c:pt idx="115">
                  <c:v>0.27739402252865242</c:v>
                </c:pt>
                <c:pt idx="116">
                  <c:v>0.59579974968650551</c:v>
                </c:pt>
                <c:pt idx="117">
                  <c:v>0.58941262353421986</c:v>
                </c:pt>
                <c:pt idx="118">
                  <c:v>0.50895151578867748</c:v>
                </c:pt>
                <c:pt idx="119">
                  <c:v>0.62357502398138398</c:v>
                </c:pt>
                <c:pt idx="120">
                  <c:v>0.33458589956701212</c:v>
                </c:pt>
                <c:pt idx="121">
                  <c:v>0.32786859973223503</c:v>
                </c:pt>
                <c:pt idx="122">
                  <c:v>6.9572344031829436E-2</c:v>
                </c:pt>
                <c:pt idx="123">
                  <c:v>0.1461466503519897</c:v>
                </c:pt>
                <c:pt idx="124">
                  <c:v>8.0995103544699631E-2</c:v>
                </c:pt>
                <c:pt idx="125">
                  <c:v>0.18327258329002927</c:v>
                </c:pt>
                <c:pt idx="126">
                  <c:v>0.36327131006128455</c:v>
                </c:pt>
                <c:pt idx="127">
                  <c:v>0.25469551858724504</c:v>
                </c:pt>
                <c:pt idx="128">
                  <c:v>0.54709707749672409</c:v>
                </c:pt>
                <c:pt idx="129">
                  <c:v>0.38272442104942672</c:v>
                </c:pt>
                <c:pt idx="130">
                  <c:v>0.18392431968637313</c:v>
                </c:pt>
                <c:pt idx="131">
                  <c:v>8.1917932123160897E-2</c:v>
                </c:pt>
                <c:pt idx="132">
                  <c:v>8.9822994356681729E-2</c:v>
                </c:pt>
                <c:pt idx="133">
                  <c:v>0.10832595997635508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36-4C1C-B361-E36828264117}"/>
            </c:ext>
          </c:extLst>
        </c:ser>
        <c:ser>
          <c:idx val="8"/>
          <c:order val="8"/>
          <c:tx>
            <c:strRef>
              <c:f>NN1再投資累積報酬!$A$20:$B$20</c:f>
              <c:strCache>
                <c:ptCount val="2"/>
                <c:pt idx="0">
                  <c:v>5</c:v>
                </c:pt>
                <c:pt idx="1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NN1再投資累積報酬!$C$20:$EF$20</c:f>
              <c:numCache>
                <c:formatCode>General</c:formatCode>
                <c:ptCount val="134"/>
                <c:pt idx="0">
                  <c:v>0.20155104786391576</c:v>
                </c:pt>
                <c:pt idx="1">
                  <c:v>0.20197365531227218</c:v>
                </c:pt>
                <c:pt idx="2">
                  <c:v>0.22060423271941421</c:v>
                </c:pt>
                <c:pt idx="3">
                  <c:v>0.10926264051422829</c:v>
                </c:pt>
                <c:pt idx="4">
                  <c:v>-2.0695159585091272E-3</c:v>
                </c:pt>
                <c:pt idx="5">
                  <c:v>0.16196231169690156</c:v>
                </c:pt>
                <c:pt idx="6">
                  <c:v>0.34572614305073146</c:v>
                </c:pt>
                <c:pt idx="7">
                  <c:v>0.39211501710332763</c:v>
                </c:pt>
                <c:pt idx="8">
                  <c:v>0.2666734065281835</c:v>
                </c:pt>
                <c:pt idx="9">
                  <c:v>0.38790498989687805</c:v>
                </c:pt>
                <c:pt idx="10">
                  <c:v>0.52688065534820461</c:v>
                </c:pt>
                <c:pt idx="11">
                  <c:v>0.68250785780573042</c:v>
                </c:pt>
                <c:pt idx="12">
                  <c:v>0.84924688359901745</c:v>
                </c:pt>
                <c:pt idx="13">
                  <c:v>0.68065117898004934</c:v>
                </c:pt>
                <c:pt idx="14">
                  <c:v>0.50074533327958481</c:v>
                </c:pt>
                <c:pt idx="15">
                  <c:v>0.21418931702018074</c:v>
                </c:pt>
                <c:pt idx="16">
                  <c:v>2.5768239659415659E-2</c:v>
                </c:pt>
                <c:pt idx="17">
                  <c:v>4.1834755810699287E-2</c:v>
                </c:pt>
                <c:pt idx="18">
                  <c:v>-0.1130336473761413</c:v>
                </c:pt>
                <c:pt idx="19">
                  <c:v>-0.10181875335208834</c:v>
                </c:pt>
                <c:pt idx="20">
                  <c:v>5.3643285599614066E-2</c:v>
                </c:pt>
                <c:pt idx="21">
                  <c:v>0.21031709329164716</c:v>
                </c:pt>
                <c:pt idx="22">
                  <c:v>0.261232094952079</c:v>
                </c:pt>
                <c:pt idx="23">
                  <c:v>0.39443959528535544</c:v>
                </c:pt>
                <c:pt idx="24">
                  <c:v>0.36432729499960481</c:v>
                </c:pt>
                <c:pt idx="25">
                  <c:v>0.4799674592221419</c:v>
                </c:pt>
                <c:pt idx="26">
                  <c:v>0.56350177405973878</c:v>
                </c:pt>
                <c:pt idx="27">
                  <c:v>0.61737051229185624</c:v>
                </c:pt>
                <c:pt idx="28">
                  <c:v>0.29504011019961807</c:v>
                </c:pt>
                <c:pt idx="29">
                  <c:v>0.34560453480137832</c:v>
                </c:pt>
                <c:pt idx="30">
                  <c:v>0.38282290469771962</c:v>
                </c:pt>
                <c:pt idx="31">
                  <c:v>0.68240105034976417</c:v>
                </c:pt>
                <c:pt idx="32">
                  <c:v>0.87812612924912381</c:v>
                </c:pt>
                <c:pt idx="33">
                  <c:v>0.91050824604861891</c:v>
                </c:pt>
                <c:pt idx="34">
                  <c:v>1.0384480312195126</c:v>
                </c:pt>
                <c:pt idx="35">
                  <c:v>0.9960885407206781</c:v>
                </c:pt>
                <c:pt idx="36">
                  <c:v>0.86129296144072409</c:v>
                </c:pt>
                <c:pt idx="37">
                  <c:v>1.001765101436205</c:v>
                </c:pt>
                <c:pt idx="38">
                  <c:v>1.0924151981287964</c:v>
                </c:pt>
                <c:pt idx="39">
                  <c:v>1.3847679899559413</c:v>
                </c:pt>
                <c:pt idx="40">
                  <c:v>1.4642003932746506</c:v>
                </c:pt>
                <c:pt idx="41">
                  <c:v>1.3909175381479444</c:v>
                </c:pt>
                <c:pt idx="42">
                  <c:v>1.2898015315717082</c:v>
                </c:pt>
                <c:pt idx="43">
                  <c:v>1.8373474547065971</c:v>
                </c:pt>
                <c:pt idx="44">
                  <c:v>1.4314006611337531</c:v>
                </c:pt>
                <c:pt idx="45">
                  <c:v>1.3529962254846928</c:v>
                </c:pt>
                <c:pt idx="46">
                  <c:v>1.3691501755971753</c:v>
                </c:pt>
                <c:pt idx="47">
                  <c:v>1.6314922111326218</c:v>
                </c:pt>
                <c:pt idx="48">
                  <c:v>1.7332643788530406</c:v>
                </c:pt>
                <c:pt idx="49">
                  <c:v>1.1488858096045251</c:v>
                </c:pt>
                <c:pt idx="50">
                  <c:v>0.92953276726329448</c:v>
                </c:pt>
                <c:pt idx="51">
                  <c:v>1.2530294002777853</c:v>
                </c:pt>
                <c:pt idx="52">
                  <c:v>1.4121058200790371</c:v>
                </c:pt>
                <c:pt idx="53">
                  <c:v>1.2832274566414861</c:v>
                </c:pt>
                <c:pt idx="54">
                  <c:v>1.2696495661340497</c:v>
                </c:pt>
                <c:pt idx="55">
                  <c:v>0.95650314877058307</c:v>
                </c:pt>
                <c:pt idx="56">
                  <c:v>0.77247044079303162</c:v>
                </c:pt>
                <c:pt idx="57">
                  <c:v>0.50649831111911303</c:v>
                </c:pt>
                <c:pt idx="58">
                  <c:v>0.67862427858396268</c:v>
                </c:pt>
                <c:pt idx="59">
                  <c:v>0.59613704443399085</c:v>
                </c:pt>
                <c:pt idx="60">
                  <c:v>0.50159279098087795</c:v>
                </c:pt>
                <c:pt idx="61">
                  <c:v>0.63116858323309777</c:v>
                </c:pt>
                <c:pt idx="62">
                  <c:v>0.85450437088179543</c:v>
                </c:pt>
                <c:pt idx="63">
                  <c:v>1.0743692933419253</c:v>
                </c:pt>
                <c:pt idx="64">
                  <c:v>0.9945854875575868</c:v>
                </c:pt>
                <c:pt idx="65">
                  <c:v>1.1150734518107108</c:v>
                </c:pt>
                <c:pt idx="66">
                  <c:v>1.1477549469887487</c:v>
                </c:pt>
                <c:pt idx="67">
                  <c:v>1.1736861492659916</c:v>
                </c:pt>
                <c:pt idx="68">
                  <c:v>1.1854403705758538</c:v>
                </c:pt>
                <c:pt idx="69">
                  <c:v>1.5084550861780319</c:v>
                </c:pt>
                <c:pt idx="70">
                  <c:v>1.2607327311513541</c:v>
                </c:pt>
                <c:pt idx="71">
                  <c:v>1.5227930974564461</c:v>
                </c:pt>
                <c:pt idx="72">
                  <c:v>1.1809464291010285</c:v>
                </c:pt>
                <c:pt idx="73">
                  <c:v>1.2478876064214743</c:v>
                </c:pt>
                <c:pt idx="74">
                  <c:v>1.0113334776453429</c:v>
                </c:pt>
                <c:pt idx="75">
                  <c:v>1.0228384220395923</c:v>
                </c:pt>
                <c:pt idx="76">
                  <c:v>0.97378755429051989</c:v>
                </c:pt>
                <c:pt idx="77">
                  <c:v>0.97357486861319886</c:v>
                </c:pt>
                <c:pt idx="78">
                  <c:v>0.92217699163649725</c:v>
                </c:pt>
                <c:pt idx="79">
                  <c:v>1.2701438821664564</c:v>
                </c:pt>
                <c:pt idx="80">
                  <c:v>0.71631096441073305</c:v>
                </c:pt>
                <c:pt idx="81">
                  <c:v>0.89787072974426474</c:v>
                </c:pt>
                <c:pt idx="82">
                  <c:v>0.75368903350629468</c:v>
                </c:pt>
                <c:pt idx="83">
                  <c:v>0.71476550377051229</c:v>
                </c:pt>
                <c:pt idx="84">
                  <c:v>0.5686534175965503</c:v>
                </c:pt>
                <c:pt idx="85">
                  <c:v>0.37501833793604566</c:v>
                </c:pt>
                <c:pt idx="86">
                  <c:v>0.50011530182346342</c:v>
                </c:pt>
                <c:pt idx="87">
                  <c:v>0.36182727144876203</c:v>
                </c:pt>
                <c:pt idx="88">
                  <c:v>0.23003533982683932</c:v>
                </c:pt>
                <c:pt idx="89">
                  <c:v>0.25729219892229604</c:v>
                </c:pt>
                <c:pt idx="90">
                  <c:v>-3.0021955249595722E-2</c:v>
                </c:pt>
                <c:pt idx="91">
                  <c:v>0.12193553776374944</c:v>
                </c:pt>
                <c:pt idx="92">
                  <c:v>0.14787249434976912</c:v>
                </c:pt>
                <c:pt idx="93">
                  <c:v>0.37226562360285431</c:v>
                </c:pt>
                <c:pt idx="94">
                  <c:v>0.23896772223322782</c:v>
                </c:pt>
                <c:pt idx="95">
                  <c:v>0.27417225584398541</c:v>
                </c:pt>
                <c:pt idx="96">
                  <c:v>8.7215497529693931E-2</c:v>
                </c:pt>
                <c:pt idx="97">
                  <c:v>0.21682694524701662</c:v>
                </c:pt>
                <c:pt idx="98">
                  <c:v>0.18541285096869942</c:v>
                </c:pt>
                <c:pt idx="99">
                  <c:v>1.3345211141730928E-2</c:v>
                </c:pt>
                <c:pt idx="100">
                  <c:v>0.11565928961098648</c:v>
                </c:pt>
                <c:pt idx="101">
                  <c:v>0.1010858407956905</c:v>
                </c:pt>
                <c:pt idx="102">
                  <c:v>0.34841114877419188</c:v>
                </c:pt>
                <c:pt idx="103">
                  <c:v>0.86416482155514607</c:v>
                </c:pt>
                <c:pt idx="104">
                  <c:v>0.79457124042358807</c:v>
                </c:pt>
                <c:pt idx="105">
                  <c:v>0.78811583611227487</c:v>
                </c:pt>
                <c:pt idx="106">
                  <c:v>0.76948595501501638</c:v>
                </c:pt>
                <c:pt idx="107">
                  <c:v>0.68897441751178246</c:v>
                </c:pt>
                <c:pt idx="108">
                  <c:v>0.60056536695895768</c:v>
                </c:pt>
                <c:pt idx="109">
                  <c:v>0.67748599709411206</c:v>
                </c:pt>
                <c:pt idx="110">
                  <c:v>0.80203654035739302</c:v>
                </c:pt>
                <c:pt idx="111">
                  <c:v>1.0481192128026162</c:v>
                </c:pt>
                <c:pt idx="112">
                  <c:v>1.0055886686868565</c:v>
                </c:pt>
                <c:pt idx="113">
                  <c:v>0.96654913649718943</c:v>
                </c:pt>
                <c:pt idx="114">
                  <c:v>0.88225345198827454</c:v>
                </c:pt>
                <c:pt idx="115">
                  <c:v>1.2271476618708714</c:v>
                </c:pt>
                <c:pt idx="116">
                  <c:v>1.8017547952581059</c:v>
                </c:pt>
                <c:pt idx="117">
                  <c:v>1.7410372336884308</c:v>
                </c:pt>
                <c:pt idx="118">
                  <c:v>1.6353968060082416</c:v>
                </c:pt>
                <c:pt idx="119">
                  <c:v>1.8423088194780095</c:v>
                </c:pt>
                <c:pt idx="120">
                  <c:v>1.2565626983033438</c:v>
                </c:pt>
                <c:pt idx="121">
                  <c:v>1.3235495265233088</c:v>
                </c:pt>
                <c:pt idx="122">
                  <c:v>0.69004692765689035</c:v>
                </c:pt>
                <c:pt idx="123">
                  <c:v>0.8625030024557403</c:v>
                </c:pt>
                <c:pt idx="124">
                  <c:v>0.74649627301011412</c:v>
                </c:pt>
                <c:pt idx="125">
                  <c:v>0.91739306091416628</c:v>
                </c:pt>
                <c:pt idx="126">
                  <c:v>1.2767160294339317</c:v>
                </c:pt>
                <c:pt idx="127">
                  <c:v>1.3179590283398968</c:v>
                </c:pt>
                <c:pt idx="128">
                  <c:v>1.998720378202647</c:v>
                </c:pt>
                <c:pt idx="129">
                  <c:v>1.6799196171457735</c:v>
                </c:pt>
                <c:pt idx="130">
                  <c:v>1.32883367715135</c:v>
                </c:pt>
                <c:pt idx="131">
                  <c:v>1.1550429316275945</c:v>
                </c:pt>
                <c:pt idx="132">
                  <c:v>1.1587948177359357</c:v>
                </c:pt>
                <c:pt idx="133">
                  <c:v>1.2025782348226999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36-4C1C-B361-E36828264117}"/>
            </c:ext>
          </c:extLst>
        </c:ser>
        <c:ser>
          <c:idx val="9"/>
          <c:order val="9"/>
          <c:tx>
            <c:strRef>
              <c:f>NN1再投資累積報酬!$A$21:$B$21</c:f>
              <c:strCache>
                <c:ptCount val="2"/>
                <c:pt idx="0">
                  <c:v>4</c:v>
                </c:pt>
                <c:pt idx="1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NN1再投資累積報酬!$C$21:$EF$21</c:f>
              <c:numCache>
                <c:formatCode>General</c:formatCode>
                <c:ptCount val="134"/>
                <c:pt idx="0">
                  <c:v>0.2146295798069533</c:v>
                </c:pt>
                <c:pt idx="1">
                  <c:v>0.21418294909882007</c:v>
                </c:pt>
                <c:pt idx="2">
                  <c:v>0.21384376433483254</c:v>
                </c:pt>
                <c:pt idx="3">
                  <c:v>0.15181940219467016</c:v>
                </c:pt>
                <c:pt idx="4">
                  <c:v>0.14341556885310047</c:v>
                </c:pt>
                <c:pt idx="5">
                  <c:v>0.37057572281122186</c:v>
                </c:pt>
                <c:pt idx="6">
                  <c:v>0.57240068435853919</c:v>
                </c:pt>
                <c:pt idx="7">
                  <c:v>0.66742923183550884</c:v>
                </c:pt>
                <c:pt idx="8">
                  <c:v>0.51907302185480431</c:v>
                </c:pt>
                <c:pt idx="9">
                  <c:v>0.68568435458614996</c:v>
                </c:pt>
                <c:pt idx="10">
                  <c:v>0.81322432842550985</c:v>
                </c:pt>
                <c:pt idx="11">
                  <c:v>0.99379864689176522</c:v>
                </c:pt>
                <c:pt idx="12">
                  <c:v>1.2525587370998705</c:v>
                </c:pt>
                <c:pt idx="13">
                  <c:v>0.92644995007313824</c:v>
                </c:pt>
                <c:pt idx="14">
                  <c:v>0.77003113548614643</c:v>
                </c:pt>
                <c:pt idx="15">
                  <c:v>0.51746169211825377</c:v>
                </c:pt>
                <c:pt idx="16">
                  <c:v>0.32233085996939281</c:v>
                </c:pt>
                <c:pt idx="17">
                  <c:v>0.30376485291712596</c:v>
                </c:pt>
                <c:pt idx="18">
                  <c:v>0.19127808446960981</c:v>
                </c:pt>
                <c:pt idx="19">
                  <c:v>0.25508010267672798</c:v>
                </c:pt>
                <c:pt idx="20">
                  <c:v>0.45311728387370742</c:v>
                </c:pt>
                <c:pt idx="21">
                  <c:v>0.7398713488244768</c:v>
                </c:pt>
                <c:pt idx="22">
                  <c:v>0.77611823285670956</c:v>
                </c:pt>
                <c:pt idx="23">
                  <c:v>0.97895801682792527</c:v>
                </c:pt>
                <c:pt idx="24">
                  <c:v>1.0175299736979362</c:v>
                </c:pt>
                <c:pt idx="25">
                  <c:v>1.2794852229564473</c:v>
                </c:pt>
                <c:pt idx="26">
                  <c:v>1.4488535503663313</c:v>
                </c:pt>
                <c:pt idx="27">
                  <c:v>1.5632087042752865</c:v>
                </c:pt>
                <c:pt idx="28">
                  <c:v>0.94686950886297017</c:v>
                </c:pt>
                <c:pt idx="29">
                  <c:v>1.0502981388908688</c:v>
                </c:pt>
                <c:pt idx="30">
                  <c:v>1.1411320417409789</c:v>
                </c:pt>
                <c:pt idx="31">
                  <c:v>1.6557558165046422</c:v>
                </c:pt>
                <c:pt idx="32">
                  <c:v>1.926971361747098</c:v>
                </c:pt>
                <c:pt idx="33">
                  <c:v>1.9421504175962148</c:v>
                </c:pt>
                <c:pt idx="34">
                  <c:v>2.2510427007986311</c:v>
                </c:pt>
                <c:pt idx="35">
                  <c:v>2.1294813827282253</c:v>
                </c:pt>
                <c:pt idx="36">
                  <c:v>2.327032142003997</c:v>
                </c:pt>
                <c:pt idx="37">
                  <c:v>2.6995135390179135</c:v>
                </c:pt>
                <c:pt idx="38">
                  <c:v>2.8760779858704058</c:v>
                </c:pt>
                <c:pt idx="39">
                  <c:v>3.6051729286724186</c:v>
                </c:pt>
                <c:pt idx="40">
                  <c:v>3.7757309811062152</c:v>
                </c:pt>
                <c:pt idx="41">
                  <c:v>3.6124110075747966</c:v>
                </c:pt>
                <c:pt idx="42">
                  <c:v>3.4029767274237663</c:v>
                </c:pt>
                <c:pt idx="43">
                  <c:v>4.56905341193906</c:v>
                </c:pt>
                <c:pt idx="44">
                  <c:v>4.2156672920505054</c:v>
                </c:pt>
                <c:pt idx="45">
                  <c:v>3.8572783850906625</c:v>
                </c:pt>
                <c:pt idx="46">
                  <c:v>3.9048361432544745</c:v>
                </c:pt>
                <c:pt idx="47">
                  <c:v>4.606952094579432</c:v>
                </c:pt>
                <c:pt idx="48">
                  <c:v>4.8705982205185716</c:v>
                </c:pt>
                <c:pt idx="49">
                  <c:v>3.3741165730703129</c:v>
                </c:pt>
                <c:pt idx="50">
                  <c:v>3.2897258338032787</c:v>
                </c:pt>
                <c:pt idx="51">
                  <c:v>4.2563989708249599</c:v>
                </c:pt>
                <c:pt idx="52">
                  <c:v>4.4578302122885001</c:v>
                </c:pt>
                <c:pt idx="53">
                  <c:v>4.3391176930409276</c:v>
                </c:pt>
                <c:pt idx="54">
                  <c:v>4.3730239382632412</c:v>
                </c:pt>
                <c:pt idx="55">
                  <c:v>3.3031623678612672</c:v>
                </c:pt>
                <c:pt idx="56">
                  <c:v>2.9060425694546832</c:v>
                </c:pt>
                <c:pt idx="57">
                  <c:v>2.4887127410005361</c:v>
                </c:pt>
                <c:pt idx="58">
                  <c:v>3.0255371793395405</c:v>
                </c:pt>
                <c:pt idx="59">
                  <c:v>2.896790378489329</c:v>
                </c:pt>
                <c:pt idx="60">
                  <c:v>2.6300555432176123</c:v>
                </c:pt>
                <c:pt idx="61">
                  <c:v>3.1481410367125688</c:v>
                </c:pt>
                <c:pt idx="62">
                  <c:v>3.7916006905926976</c:v>
                </c:pt>
                <c:pt idx="63">
                  <c:v>4.0965762421471617</c:v>
                </c:pt>
                <c:pt idx="64">
                  <c:v>3.7711229681520244</c:v>
                </c:pt>
                <c:pt idx="65">
                  <c:v>4.269748875906564</c:v>
                </c:pt>
                <c:pt idx="66">
                  <c:v>4.5571727355361329</c:v>
                </c:pt>
                <c:pt idx="67">
                  <c:v>4.6256585664608085</c:v>
                </c:pt>
                <c:pt idx="68">
                  <c:v>4.6586258975219055</c:v>
                </c:pt>
                <c:pt idx="69">
                  <c:v>5.4069491476555465</c:v>
                </c:pt>
                <c:pt idx="70">
                  <c:v>4.538830204662081</c:v>
                </c:pt>
                <c:pt idx="71">
                  <c:v>5.3261361474705575</c:v>
                </c:pt>
                <c:pt idx="72">
                  <c:v>4.3982235776534768</c:v>
                </c:pt>
                <c:pt idx="73">
                  <c:v>4.3820784664758525</c:v>
                </c:pt>
                <c:pt idx="74">
                  <c:v>4.1109301540905703</c:v>
                </c:pt>
                <c:pt idx="75">
                  <c:v>3.8477264303116101</c:v>
                </c:pt>
                <c:pt idx="76">
                  <c:v>3.6631301489791248</c:v>
                </c:pt>
                <c:pt idx="77">
                  <c:v>4.0057121320421478</c:v>
                </c:pt>
                <c:pt idx="78">
                  <c:v>3.7719776649772498</c:v>
                </c:pt>
                <c:pt idx="79">
                  <c:v>5.1465747703762208</c:v>
                </c:pt>
                <c:pt idx="80">
                  <c:v>2.7182109500379648</c:v>
                </c:pt>
                <c:pt idx="81">
                  <c:v>3.1440433633335854</c:v>
                </c:pt>
                <c:pt idx="82">
                  <c:v>2.7914460435450006</c:v>
                </c:pt>
                <c:pt idx="83">
                  <c:v>2.1976053449153445</c:v>
                </c:pt>
                <c:pt idx="84">
                  <c:v>1.9635958656648476</c:v>
                </c:pt>
                <c:pt idx="85">
                  <c:v>1.7098297989845874</c:v>
                </c:pt>
                <c:pt idx="86">
                  <c:v>2.0541151564911888</c:v>
                </c:pt>
                <c:pt idx="87">
                  <c:v>1.6451983813411513</c:v>
                </c:pt>
                <c:pt idx="88">
                  <c:v>1.3377421613843987</c:v>
                </c:pt>
                <c:pt idx="89">
                  <c:v>1.4091342125756539</c:v>
                </c:pt>
                <c:pt idx="90">
                  <c:v>0.83626141533659881</c:v>
                </c:pt>
                <c:pt idx="91">
                  <c:v>1.0167793284178757</c:v>
                </c:pt>
                <c:pt idx="92">
                  <c:v>1.0629881679876125</c:v>
                </c:pt>
                <c:pt idx="93">
                  <c:v>1.5561660500304249</c:v>
                </c:pt>
                <c:pt idx="94">
                  <c:v>1.3995522197284869</c:v>
                </c:pt>
                <c:pt idx="95">
                  <c:v>1.5147141791385237</c:v>
                </c:pt>
                <c:pt idx="96">
                  <c:v>1.1150842956960303</c:v>
                </c:pt>
                <c:pt idx="97">
                  <c:v>1.4415091569045262</c:v>
                </c:pt>
                <c:pt idx="98">
                  <c:v>1.3664266921934143</c:v>
                </c:pt>
                <c:pt idx="99">
                  <c:v>0.9949714230189548</c:v>
                </c:pt>
                <c:pt idx="100">
                  <c:v>1.2991094173517008</c:v>
                </c:pt>
                <c:pt idx="101">
                  <c:v>1.2672731746865469</c:v>
                </c:pt>
                <c:pt idx="102">
                  <c:v>1.8934279708044697</c:v>
                </c:pt>
                <c:pt idx="103">
                  <c:v>3.2601408008453889</c:v>
                </c:pt>
                <c:pt idx="104">
                  <c:v>2.6044847026450904</c:v>
                </c:pt>
                <c:pt idx="105">
                  <c:v>2.5943244013825737</c:v>
                </c:pt>
                <c:pt idx="106">
                  <c:v>2.4901690139697932</c:v>
                </c:pt>
                <c:pt idx="107">
                  <c:v>1.9708007934972396</c:v>
                </c:pt>
                <c:pt idx="108">
                  <c:v>1.7943069477714815</c:v>
                </c:pt>
                <c:pt idx="109">
                  <c:v>1.7653703023756968</c:v>
                </c:pt>
                <c:pt idx="110">
                  <c:v>2.0146662303544041</c:v>
                </c:pt>
                <c:pt idx="111">
                  <c:v>2.4867802012871336</c:v>
                </c:pt>
                <c:pt idx="112">
                  <c:v>2.4136761508765199</c:v>
                </c:pt>
                <c:pt idx="113">
                  <c:v>2.3701961867555941</c:v>
                </c:pt>
                <c:pt idx="114">
                  <c:v>2.3845349021950901</c:v>
                </c:pt>
                <c:pt idx="115">
                  <c:v>3.1301331875025182</c:v>
                </c:pt>
                <c:pt idx="116">
                  <c:v>4.4997960601972355</c:v>
                </c:pt>
                <c:pt idx="117">
                  <c:v>4.2957061460842683</c:v>
                </c:pt>
                <c:pt idx="118">
                  <c:v>4.1462822258121568</c:v>
                </c:pt>
                <c:pt idx="119">
                  <c:v>4.4044756259284119</c:v>
                </c:pt>
                <c:pt idx="120">
                  <c:v>3.3190435848504611</c:v>
                </c:pt>
                <c:pt idx="121">
                  <c:v>3.3415682192610605</c:v>
                </c:pt>
                <c:pt idx="122">
                  <c:v>1.866274515303123</c:v>
                </c:pt>
                <c:pt idx="123">
                  <c:v>2.3102554249817917</c:v>
                </c:pt>
                <c:pt idx="124">
                  <c:v>1.9042051580149253</c:v>
                </c:pt>
                <c:pt idx="125">
                  <c:v>2.2435002225944261</c:v>
                </c:pt>
                <c:pt idx="126">
                  <c:v>2.9754345844587458</c:v>
                </c:pt>
                <c:pt idx="127">
                  <c:v>3.6905795736575344</c:v>
                </c:pt>
                <c:pt idx="128">
                  <c:v>4.9385403165790631</c:v>
                </c:pt>
                <c:pt idx="129">
                  <c:v>4.3251154747914216</c:v>
                </c:pt>
                <c:pt idx="130">
                  <c:v>3.5790986518683168</c:v>
                </c:pt>
                <c:pt idx="131">
                  <c:v>3.2002696028773592</c:v>
                </c:pt>
                <c:pt idx="132">
                  <c:v>3.1107593697873117</c:v>
                </c:pt>
                <c:pt idx="133">
                  <c:v>3.0335952202434191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36-4C1C-B361-E36828264117}"/>
            </c:ext>
          </c:extLst>
        </c:ser>
        <c:ser>
          <c:idx val="10"/>
          <c:order val="10"/>
          <c:tx>
            <c:strRef>
              <c:f>NN1再投資累積報酬!$A$22:$B$22</c:f>
              <c:strCache>
                <c:ptCount val="2"/>
                <c:pt idx="0">
                  <c:v>3</c:v>
                </c:pt>
                <c:pt idx="1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NN1再投資累積報酬!$C$22:$EF$22</c:f>
              <c:numCache>
                <c:formatCode>General</c:formatCode>
                <c:ptCount val="134"/>
                <c:pt idx="0">
                  <c:v>0.20528030103697548</c:v>
                </c:pt>
                <c:pt idx="1">
                  <c:v>0.15142729616653927</c:v>
                </c:pt>
                <c:pt idx="2">
                  <c:v>0.10418707592668031</c:v>
                </c:pt>
                <c:pt idx="3">
                  <c:v>-3.3982827475338429E-3</c:v>
                </c:pt>
                <c:pt idx="4">
                  <c:v>-3.6241117186636362E-2</c:v>
                </c:pt>
                <c:pt idx="5">
                  <c:v>0.13603026604768331</c:v>
                </c:pt>
                <c:pt idx="6">
                  <c:v>0.27632224406588235</c:v>
                </c:pt>
                <c:pt idx="7">
                  <c:v>0.34345499355172437</c:v>
                </c:pt>
                <c:pt idx="8">
                  <c:v>0.13752111607050588</c:v>
                </c:pt>
                <c:pt idx="9">
                  <c:v>0.33224580213735555</c:v>
                </c:pt>
                <c:pt idx="10">
                  <c:v>3.2279195726296228E-2</c:v>
                </c:pt>
                <c:pt idx="11">
                  <c:v>0.16986179948167668</c:v>
                </c:pt>
                <c:pt idx="12">
                  <c:v>0.33771397524848834</c:v>
                </c:pt>
                <c:pt idx="13">
                  <c:v>0.24035129399047861</c:v>
                </c:pt>
                <c:pt idx="14">
                  <c:v>0.12960960712964331</c:v>
                </c:pt>
                <c:pt idx="15">
                  <c:v>-7.4487951908023597E-2</c:v>
                </c:pt>
                <c:pt idx="16">
                  <c:v>-0.23149788299420249</c:v>
                </c:pt>
                <c:pt idx="17">
                  <c:v>-0.24705129952790938</c:v>
                </c:pt>
                <c:pt idx="18">
                  <c:v>-0.33031991393400306</c:v>
                </c:pt>
                <c:pt idx="19">
                  <c:v>-0.30468002213899659</c:v>
                </c:pt>
                <c:pt idx="20">
                  <c:v>-0.16041484746506696</c:v>
                </c:pt>
                <c:pt idx="21">
                  <c:v>2.0012041887724319E-2</c:v>
                </c:pt>
                <c:pt idx="22">
                  <c:v>3.605908391500301E-2</c:v>
                </c:pt>
                <c:pt idx="23">
                  <c:v>0.11433155443761223</c:v>
                </c:pt>
                <c:pt idx="24">
                  <c:v>0.12218538205084584</c:v>
                </c:pt>
                <c:pt idx="25">
                  <c:v>0.27304773477601785</c:v>
                </c:pt>
                <c:pt idx="26">
                  <c:v>0.36778843202609246</c:v>
                </c:pt>
                <c:pt idx="27">
                  <c:v>0.38484106439746935</c:v>
                </c:pt>
                <c:pt idx="28">
                  <c:v>6.8237160856765344E-2</c:v>
                </c:pt>
                <c:pt idx="29">
                  <c:v>0.11863906431205917</c:v>
                </c:pt>
                <c:pt idx="30">
                  <c:v>0.17774967537105013</c:v>
                </c:pt>
                <c:pt idx="31">
                  <c:v>0.46938669540464617</c:v>
                </c:pt>
                <c:pt idx="32">
                  <c:v>0.63249407182206441</c:v>
                </c:pt>
                <c:pt idx="33">
                  <c:v>0.65384961099534333</c:v>
                </c:pt>
                <c:pt idx="34">
                  <c:v>0.54094240916818714</c:v>
                </c:pt>
                <c:pt idx="35">
                  <c:v>0.53917845198312864</c:v>
                </c:pt>
                <c:pt idx="36">
                  <c:v>0.62594771995701404</c:v>
                </c:pt>
                <c:pt idx="37">
                  <c:v>0.80664385844189512</c:v>
                </c:pt>
                <c:pt idx="38">
                  <c:v>0.94163154220254319</c:v>
                </c:pt>
                <c:pt idx="39">
                  <c:v>1.4297481156864391</c:v>
                </c:pt>
                <c:pt idx="40">
                  <c:v>1.2958040698824944</c:v>
                </c:pt>
                <c:pt idx="41">
                  <c:v>1.0474354898689042</c:v>
                </c:pt>
                <c:pt idx="42">
                  <c:v>1.1986257074512077</c:v>
                </c:pt>
                <c:pt idx="43">
                  <c:v>1.2376037596708085</c:v>
                </c:pt>
                <c:pt idx="44">
                  <c:v>0.99165844346893595</c:v>
                </c:pt>
                <c:pt idx="45">
                  <c:v>0.81289916763934089</c:v>
                </c:pt>
                <c:pt idx="46">
                  <c:v>0.75824136504111994</c:v>
                </c:pt>
                <c:pt idx="47">
                  <c:v>1.0637593626161839</c:v>
                </c:pt>
                <c:pt idx="48">
                  <c:v>1.2117998082118566</c:v>
                </c:pt>
                <c:pt idx="49">
                  <c:v>0.86918366102984046</c:v>
                </c:pt>
                <c:pt idx="50">
                  <c:v>0.77726292875488689</c:v>
                </c:pt>
                <c:pt idx="51">
                  <c:v>1.3138718262675999</c:v>
                </c:pt>
                <c:pt idx="52">
                  <c:v>1.0111319213097767</c:v>
                </c:pt>
                <c:pt idx="53">
                  <c:v>0.96653671713493394</c:v>
                </c:pt>
                <c:pt idx="54">
                  <c:v>1.0102256574947832</c:v>
                </c:pt>
                <c:pt idx="55">
                  <c:v>0.60998480695267721</c:v>
                </c:pt>
                <c:pt idx="56">
                  <c:v>0.67636684585699158</c:v>
                </c:pt>
                <c:pt idx="57">
                  <c:v>0.46228304932129216</c:v>
                </c:pt>
                <c:pt idx="58">
                  <c:v>0.58996676715570961</c:v>
                </c:pt>
                <c:pt idx="59">
                  <c:v>0.60623844801567195</c:v>
                </c:pt>
                <c:pt idx="60">
                  <c:v>0.53903401612804092</c:v>
                </c:pt>
                <c:pt idx="61">
                  <c:v>0.78801946109909249</c:v>
                </c:pt>
                <c:pt idx="62">
                  <c:v>1.130956300227695</c:v>
                </c:pt>
                <c:pt idx="63">
                  <c:v>1.0982939566771255</c:v>
                </c:pt>
                <c:pt idx="64">
                  <c:v>0.99236278416354651</c:v>
                </c:pt>
                <c:pt idx="65">
                  <c:v>1.1414623492249851</c:v>
                </c:pt>
                <c:pt idx="66">
                  <c:v>1.2010594549787355</c:v>
                </c:pt>
                <c:pt idx="67">
                  <c:v>1.2468714468871065</c:v>
                </c:pt>
                <c:pt idx="68">
                  <c:v>1.21008390965858</c:v>
                </c:pt>
                <c:pt idx="69">
                  <c:v>1.4985677168190983</c:v>
                </c:pt>
                <c:pt idx="70">
                  <c:v>0.96650080441020592</c:v>
                </c:pt>
                <c:pt idx="71">
                  <c:v>1.2782776536644933</c:v>
                </c:pt>
                <c:pt idx="72">
                  <c:v>0.88033431803688278</c:v>
                </c:pt>
                <c:pt idx="73">
                  <c:v>0.94922496449671123</c:v>
                </c:pt>
                <c:pt idx="74">
                  <c:v>0.93997240993936737</c:v>
                </c:pt>
                <c:pt idx="75">
                  <c:v>0.83070860049193773</c:v>
                </c:pt>
                <c:pt idx="76">
                  <c:v>0.71462929218994597</c:v>
                </c:pt>
                <c:pt idx="77">
                  <c:v>0.82368703585104108</c:v>
                </c:pt>
                <c:pt idx="78">
                  <c:v>0.79635780276776691</c:v>
                </c:pt>
                <c:pt idx="79">
                  <c:v>1.3961222191894498</c:v>
                </c:pt>
                <c:pt idx="80">
                  <c:v>0.45351807521387433</c:v>
                </c:pt>
                <c:pt idx="81">
                  <c:v>0.59998961060864309</c:v>
                </c:pt>
                <c:pt idx="82">
                  <c:v>0.26865522988558732</c:v>
                </c:pt>
                <c:pt idx="83">
                  <c:v>7.3781813318665179E-2</c:v>
                </c:pt>
                <c:pt idx="84">
                  <c:v>4.3969072595440029E-3</c:v>
                </c:pt>
                <c:pt idx="85">
                  <c:v>-9.9437147926435099E-2</c:v>
                </c:pt>
                <c:pt idx="86">
                  <c:v>-6.6869784969848856E-2</c:v>
                </c:pt>
                <c:pt idx="87">
                  <c:v>-0.2914292495682258</c:v>
                </c:pt>
                <c:pt idx="88">
                  <c:v>-0.44719611857387431</c:v>
                </c:pt>
                <c:pt idx="89">
                  <c:v>-0.45192080721013528</c:v>
                </c:pt>
                <c:pt idx="90">
                  <c:v>-0.55347207583829028</c:v>
                </c:pt>
                <c:pt idx="91">
                  <c:v>-0.47673905039801612</c:v>
                </c:pt>
                <c:pt idx="92">
                  <c:v>-0.46776009368667448</c:v>
                </c:pt>
                <c:pt idx="93">
                  <c:v>-0.33641777770551284</c:v>
                </c:pt>
                <c:pt idx="94">
                  <c:v>-0.39267756313008806</c:v>
                </c:pt>
                <c:pt idx="95">
                  <c:v>-0.36943981880521759</c:v>
                </c:pt>
                <c:pt idx="96">
                  <c:v>-0.47496653136654943</c:v>
                </c:pt>
                <c:pt idx="97">
                  <c:v>-0.3876940618086292</c:v>
                </c:pt>
                <c:pt idx="98">
                  <c:v>-0.39596006861658561</c:v>
                </c:pt>
                <c:pt idx="99">
                  <c:v>-0.42875538708916139</c:v>
                </c:pt>
                <c:pt idx="100">
                  <c:v>-0.33596248716466104</c:v>
                </c:pt>
                <c:pt idx="101">
                  <c:v>-0.34100070342070377</c:v>
                </c:pt>
                <c:pt idx="102">
                  <c:v>-0.13970827206498093</c:v>
                </c:pt>
                <c:pt idx="103">
                  <c:v>0.37076747973311752</c:v>
                </c:pt>
                <c:pt idx="104">
                  <c:v>0.17726002380526862</c:v>
                </c:pt>
                <c:pt idx="105">
                  <c:v>0.13992890934533042</c:v>
                </c:pt>
                <c:pt idx="106">
                  <c:v>0.16017006101607545</c:v>
                </c:pt>
                <c:pt idx="107">
                  <c:v>4.755037436515952E-2</c:v>
                </c:pt>
                <c:pt idx="108">
                  <c:v>-2.7757497662045938E-2</c:v>
                </c:pt>
                <c:pt idx="109">
                  <c:v>5.968381802691658E-3</c:v>
                </c:pt>
                <c:pt idx="110">
                  <c:v>8.7557994494915414E-2</c:v>
                </c:pt>
                <c:pt idx="111">
                  <c:v>0.25471540031301276</c:v>
                </c:pt>
                <c:pt idx="112">
                  <c:v>0.2254225929532081</c:v>
                </c:pt>
                <c:pt idx="113">
                  <c:v>0.22148490486193495</c:v>
                </c:pt>
                <c:pt idx="114">
                  <c:v>0.27361366539877774</c:v>
                </c:pt>
                <c:pt idx="115">
                  <c:v>0.6625434744777936</c:v>
                </c:pt>
                <c:pt idx="116">
                  <c:v>0.78842431037463867</c:v>
                </c:pt>
                <c:pt idx="117">
                  <c:v>0.60046259682994463</c:v>
                </c:pt>
                <c:pt idx="118">
                  <c:v>0.51747828815074848</c:v>
                </c:pt>
                <c:pt idx="119">
                  <c:v>0.50823297183758731</c:v>
                </c:pt>
                <c:pt idx="120">
                  <c:v>0.21103427480625481</c:v>
                </c:pt>
                <c:pt idx="121">
                  <c:v>0.17818042390590438</c:v>
                </c:pt>
                <c:pt idx="122">
                  <c:v>-0.26395401518865103</c:v>
                </c:pt>
                <c:pt idx="123">
                  <c:v>-0.14834888871660068</c:v>
                </c:pt>
                <c:pt idx="124">
                  <c:v>-0.14655423690058145</c:v>
                </c:pt>
                <c:pt idx="125">
                  <c:v>-6.2886129809396341E-3</c:v>
                </c:pt>
                <c:pt idx="126">
                  <c:v>0.30946752511274123</c:v>
                </c:pt>
                <c:pt idx="127">
                  <c:v>0.52634971585169499</c:v>
                </c:pt>
                <c:pt idx="128">
                  <c:v>0.74058230383948831</c:v>
                </c:pt>
                <c:pt idx="129">
                  <c:v>0.4918059645232864</c:v>
                </c:pt>
                <c:pt idx="130">
                  <c:v>0.53421623549809261</c:v>
                </c:pt>
                <c:pt idx="131">
                  <c:v>0.44600000078000179</c:v>
                </c:pt>
                <c:pt idx="132">
                  <c:v>0.37711739127257049</c:v>
                </c:pt>
                <c:pt idx="133">
                  <c:v>0.32920713794679446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36-4C1C-B361-E36828264117}"/>
            </c:ext>
          </c:extLst>
        </c:ser>
        <c:ser>
          <c:idx val="11"/>
          <c:order val="11"/>
          <c:tx>
            <c:strRef>
              <c:f>NN1再投資累積報酬!$A$23:$B$23</c:f>
              <c:strCache>
                <c:ptCount val="2"/>
                <c:pt idx="0">
                  <c:v>2</c:v>
                </c:pt>
                <c:pt idx="1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NN1再投資累積報酬!$C$23:$EF$23</c:f>
              <c:numCache>
                <c:formatCode>General</c:formatCode>
                <c:ptCount val="134"/>
                <c:pt idx="0">
                  <c:v>0.28298926569632887</c:v>
                </c:pt>
                <c:pt idx="1">
                  <c:v>0.24474249905269185</c:v>
                </c:pt>
                <c:pt idx="2">
                  <c:v>0.14399158163081816</c:v>
                </c:pt>
                <c:pt idx="3">
                  <c:v>-1.8071881737052986E-2</c:v>
                </c:pt>
                <c:pt idx="4">
                  <c:v>-6.9352266489982162E-2</c:v>
                </c:pt>
                <c:pt idx="5">
                  <c:v>0.12023771501208191</c:v>
                </c:pt>
                <c:pt idx="6">
                  <c:v>0.28620320500567975</c:v>
                </c:pt>
                <c:pt idx="7">
                  <c:v>0.15994655152241211</c:v>
                </c:pt>
                <c:pt idx="8">
                  <c:v>-7.7250311534178717E-2</c:v>
                </c:pt>
                <c:pt idx="9">
                  <c:v>-2.7381661270151847E-2</c:v>
                </c:pt>
                <c:pt idx="10">
                  <c:v>-0.28276142339671684</c:v>
                </c:pt>
                <c:pt idx="11">
                  <c:v>-0.17057151204129239</c:v>
                </c:pt>
                <c:pt idx="12">
                  <c:v>-8.9998932893164962E-4</c:v>
                </c:pt>
                <c:pt idx="13">
                  <c:v>-9.1220339935675909E-2</c:v>
                </c:pt>
                <c:pt idx="14">
                  <c:v>-0.31918742403683664</c:v>
                </c:pt>
                <c:pt idx="15">
                  <c:v>-0.38020729566571265</c:v>
                </c:pt>
                <c:pt idx="16">
                  <c:v>-0.45069293141587485</c:v>
                </c:pt>
                <c:pt idx="17">
                  <c:v>-0.4508980257612839</c:v>
                </c:pt>
                <c:pt idx="18">
                  <c:v>-0.50238041152305735</c:v>
                </c:pt>
                <c:pt idx="19">
                  <c:v>-0.51384032049287898</c:v>
                </c:pt>
                <c:pt idx="20">
                  <c:v>-0.35262046068933106</c:v>
                </c:pt>
                <c:pt idx="21">
                  <c:v>-0.1816567851454538</c:v>
                </c:pt>
                <c:pt idx="22">
                  <c:v>-0.16966003603186286</c:v>
                </c:pt>
                <c:pt idx="23">
                  <c:v>-0.14223181834841847</c:v>
                </c:pt>
                <c:pt idx="24">
                  <c:v>-0.13656515129830649</c:v>
                </c:pt>
                <c:pt idx="25">
                  <c:v>-8.1270973649506084E-2</c:v>
                </c:pt>
                <c:pt idx="26">
                  <c:v>-1.1129376738435948E-2</c:v>
                </c:pt>
                <c:pt idx="27">
                  <c:v>3.7144616533546504E-3</c:v>
                </c:pt>
                <c:pt idx="28">
                  <c:v>-0.32986426692635495</c:v>
                </c:pt>
                <c:pt idx="29">
                  <c:v>-0.28502799127389356</c:v>
                </c:pt>
                <c:pt idx="30">
                  <c:v>-0.21934089771746079</c:v>
                </c:pt>
                <c:pt idx="31">
                  <c:v>-0.32523646210400836</c:v>
                </c:pt>
                <c:pt idx="32">
                  <c:v>-0.18410858946239683</c:v>
                </c:pt>
                <c:pt idx="33">
                  <c:v>-0.16486379952993402</c:v>
                </c:pt>
                <c:pt idx="34">
                  <c:v>-0.1493655667931304</c:v>
                </c:pt>
                <c:pt idx="35">
                  <c:v>-0.19301188426351323</c:v>
                </c:pt>
                <c:pt idx="36">
                  <c:v>-0.20953136943096584</c:v>
                </c:pt>
                <c:pt idx="37">
                  <c:v>-1.7989200863253174E-2</c:v>
                </c:pt>
                <c:pt idx="38">
                  <c:v>-2.3230145549708148E-2</c:v>
                </c:pt>
                <c:pt idx="39">
                  <c:v>-3.3435262584353809E-2</c:v>
                </c:pt>
                <c:pt idx="40">
                  <c:v>0.13640196216540357</c:v>
                </c:pt>
                <c:pt idx="41">
                  <c:v>-0.15163138349138405</c:v>
                </c:pt>
                <c:pt idx="42">
                  <c:v>-8.2350530510687303E-2</c:v>
                </c:pt>
                <c:pt idx="43">
                  <c:v>1.8137503251001386E-2</c:v>
                </c:pt>
                <c:pt idx="44">
                  <c:v>-0.18915110906878096</c:v>
                </c:pt>
                <c:pt idx="45">
                  <c:v>-0.22900438608433793</c:v>
                </c:pt>
                <c:pt idx="46">
                  <c:v>-0.26911690537533206</c:v>
                </c:pt>
                <c:pt idx="47">
                  <c:v>-0.21807337938334848</c:v>
                </c:pt>
                <c:pt idx="48">
                  <c:v>-8.4962898030552236E-2</c:v>
                </c:pt>
                <c:pt idx="49">
                  <c:v>-0.1432998233372873</c:v>
                </c:pt>
                <c:pt idx="50">
                  <c:v>4.1219221251831417E-3</c:v>
                </c:pt>
                <c:pt idx="51">
                  <c:v>-4.71379839757049E-2</c:v>
                </c:pt>
                <c:pt idx="52">
                  <c:v>-0.33378579595981139</c:v>
                </c:pt>
                <c:pt idx="53">
                  <c:v>-0.27060811582515643</c:v>
                </c:pt>
                <c:pt idx="54">
                  <c:v>-0.32270913419816616</c:v>
                </c:pt>
                <c:pt idx="55">
                  <c:v>-0.46494638807369615</c:v>
                </c:pt>
                <c:pt idx="56">
                  <c:v>-0.48545115530353855</c:v>
                </c:pt>
                <c:pt idx="57">
                  <c:v>-0.51805564354660494</c:v>
                </c:pt>
                <c:pt idx="58">
                  <c:v>-0.45144150895372037</c:v>
                </c:pt>
                <c:pt idx="59">
                  <c:v>-0.48326898974595234</c:v>
                </c:pt>
                <c:pt idx="60">
                  <c:v>-0.48221790289027822</c:v>
                </c:pt>
                <c:pt idx="61">
                  <c:v>-0.40479172138800279</c:v>
                </c:pt>
                <c:pt idx="62">
                  <c:v>-0.29218981045878545</c:v>
                </c:pt>
                <c:pt idx="63">
                  <c:v>-0.29710708871035618</c:v>
                </c:pt>
                <c:pt idx="64">
                  <c:v>-0.27143396607182635</c:v>
                </c:pt>
                <c:pt idx="65">
                  <c:v>-0.19984040532993286</c:v>
                </c:pt>
                <c:pt idx="66">
                  <c:v>-0.14219058572066134</c:v>
                </c:pt>
                <c:pt idx="67">
                  <c:v>-0.12688355877744717</c:v>
                </c:pt>
                <c:pt idx="68">
                  <c:v>-0.19086150535164259</c:v>
                </c:pt>
                <c:pt idx="69">
                  <c:v>-7.462891754723866E-2</c:v>
                </c:pt>
                <c:pt idx="70">
                  <c:v>-0.26496640031425922</c:v>
                </c:pt>
                <c:pt idx="71">
                  <c:v>-0.18156392509488206</c:v>
                </c:pt>
                <c:pt idx="72">
                  <c:v>-0.34701268727394996</c:v>
                </c:pt>
                <c:pt idx="73">
                  <c:v>-0.35237575025374634</c:v>
                </c:pt>
                <c:pt idx="74">
                  <c:v>-0.35898520432806402</c:v>
                </c:pt>
                <c:pt idx="75">
                  <c:v>-0.48867850919183997</c:v>
                </c:pt>
                <c:pt idx="76">
                  <c:v>-0.47114855758221719</c:v>
                </c:pt>
                <c:pt idx="77">
                  <c:v>-0.49318314678455388</c:v>
                </c:pt>
                <c:pt idx="78">
                  <c:v>-0.37917032309352761</c:v>
                </c:pt>
                <c:pt idx="79">
                  <c:v>-0.26017189145612052</c:v>
                </c:pt>
                <c:pt idx="80">
                  <c:v>-0.3464540537120202</c:v>
                </c:pt>
                <c:pt idx="81">
                  <c:v>-0.33589220522806318</c:v>
                </c:pt>
                <c:pt idx="82">
                  <c:v>-0.47976268603058014</c:v>
                </c:pt>
                <c:pt idx="83">
                  <c:v>-0.56410489862710067</c:v>
                </c:pt>
                <c:pt idx="84">
                  <c:v>-0.62304759174436319</c:v>
                </c:pt>
                <c:pt idx="85">
                  <c:v>-0.63053965940745638</c:v>
                </c:pt>
                <c:pt idx="86">
                  <c:v>-0.59502824179853198</c:v>
                </c:pt>
                <c:pt idx="87">
                  <c:v>-0.76052441060684883</c:v>
                </c:pt>
                <c:pt idx="88">
                  <c:v>-0.81673052225759257</c:v>
                </c:pt>
                <c:pt idx="89">
                  <c:v>-0.82644475361506953</c:v>
                </c:pt>
                <c:pt idx="90">
                  <c:v>-0.87303582905377086</c:v>
                </c:pt>
                <c:pt idx="91">
                  <c:v>-0.84178972154546949</c:v>
                </c:pt>
                <c:pt idx="92">
                  <c:v>-0.84569787457318735</c:v>
                </c:pt>
                <c:pt idx="93">
                  <c:v>-0.8223985359334971</c:v>
                </c:pt>
                <c:pt idx="94">
                  <c:v>-0.83397102678237545</c:v>
                </c:pt>
                <c:pt idx="95">
                  <c:v>-0.82311435646436304</c:v>
                </c:pt>
                <c:pt idx="96">
                  <c:v>-0.85886363222136863</c:v>
                </c:pt>
                <c:pt idx="97">
                  <c:v>-0.83722305629153804</c:v>
                </c:pt>
                <c:pt idx="98">
                  <c:v>-0.82677845544861062</c:v>
                </c:pt>
                <c:pt idx="99">
                  <c:v>-0.83749393900752089</c:v>
                </c:pt>
                <c:pt idx="100">
                  <c:v>-0.79171422209578601</c:v>
                </c:pt>
                <c:pt idx="101">
                  <c:v>-0.77895024040426764</c:v>
                </c:pt>
                <c:pt idx="102">
                  <c:v>-0.66449709381252386</c:v>
                </c:pt>
                <c:pt idx="103">
                  <c:v>-0.37442947591645248</c:v>
                </c:pt>
                <c:pt idx="104">
                  <c:v>-0.47323765164139153</c:v>
                </c:pt>
                <c:pt idx="105">
                  <c:v>-0.52212049943889527</c:v>
                </c:pt>
                <c:pt idx="106">
                  <c:v>-0.4934066568519937</c:v>
                </c:pt>
                <c:pt idx="107">
                  <c:v>-0.59035538737782811</c:v>
                </c:pt>
                <c:pt idx="108">
                  <c:v>-0.61805573116807233</c:v>
                </c:pt>
                <c:pt idx="109">
                  <c:v>-0.5762014385376657</c:v>
                </c:pt>
                <c:pt idx="110">
                  <c:v>-0.49783569653988202</c:v>
                </c:pt>
                <c:pt idx="111">
                  <c:v>-0.43755961869575422</c:v>
                </c:pt>
                <c:pt idx="112">
                  <c:v>-0.46441603275495735</c:v>
                </c:pt>
                <c:pt idx="113">
                  <c:v>-0.45036088902973115</c:v>
                </c:pt>
                <c:pt idx="114">
                  <c:v>-0.45624770765632883</c:v>
                </c:pt>
                <c:pt idx="115">
                  <c:v>-0.31216702202972324</c:v>
                </c:pt>
                <c:pt idx="116">
                  <c:v>-0.22682865610517111</c:v>
                </c:pt>
                <c:pt idx="117">
                  <c:v>-0.25652183444670529</c:v>
                </c:pt>
                <c:pt idx="118">
                  <c:v>-0.34658086227052587</c:v>
                </c:pt>
                <c:pt idx="119">
                  <c:v>-0.40531409666916551</c:v>
                </c:pt>
                <c:pt idx="120">
                  <c:v>-0.57664106976078977</c:v>
                </c:pt>
                <c:pt idx="121">
                  <c:v>-0.56720166554761287</c:v>
                </c:pt>
                <c:pt idx="122">
                  <c:v>-0.79452540137200378</c:v>
                </c:pt>
                <c:pt idx="123">
                  <c:v>-0.75492193931775886</c:v>
                </c:pt>
                <c:pt idx="124">
                  <c:v>-0.68948876038621909</c:v>
                </c:pt>
                <c:pt idx="125">
                  <c:v>-0.63639047302723295</c:v>
                </c:pt>
                <c:pt idx="126">
                  <c:v>-0.53886242416451213</c:v>
                </c:pt>
                <c:pt idx="127">
                  <c:v>-0.479222110897499</c:v>
                </c:pt>
                <c:pt idx="128">
                  <c:v>-0.4941990475226189</c:v>
                </c:pt>
                <c:pt idx="129">
                  <c:v>-0.56411363461259212</c:v>
                </c:pt>
                <c:pt idx="130">
                  <c:v>-0.51041027982988441</c:v>
                </c:pt>
                <c:pt idx="131">
                  <c:v>-0.49136503282947408</c:v>
                </c:pt>
                <c:pt idx="132">
                  <c:v>-0.52656871482590484</c:v>
                </c:pt>
                <c:pt idx="133">
                  <c:v>-0.54919034038810088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36-4C1C-B361-E36828264117}"/>
            </c:ext>
          </c:extLst>
        </c:ser>
        <c:ser>
          <c:idx val="12"/>
          <c:order val="12"/>
          <c:tx>
            <c:strRef>
              <c:f>NN1再投資累積報酬!$A$24:$B$24</c:f>
              <c:strCache>
                <c:ptCount val="2"/>
                <c:pt idx="0">
                  <c:v>1</c:v>
                </c:pt>
                <c:pt idx="1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NN1再投資累積報酬!$C$24:$EF$24</c:f>
              <c:numCache>
                <c:formatCode>General</c:formatCode>
                <c:ptCount val="134"/>
                <c:pt idx="0">
                  <c:v>9.9113364206882659E-2</c:v>
                </c:pt>
                <c:pt idx="1">
                  <c:v>-1.5248293186291617E-2</c:v>
                </c:pt>
                <c:pt idx="2">
                  <c:v>5.506330381498592E-2</c:v>
                </c:pt>
                <c:pt idx="3">
                  <c:v>-0.18460439795269667</c:v>
                </c:pt>
                <c:pt idx="4">
                  <c:v>-5.206680334542968E-4</c:v>
                </c:pt>
                <c:pt idx="5">
                  <c:v>0.24603761856331308</c:v>
                </c:pt>
                <c:pt idx="6">
                  <c:v>0.24340607034430328</c:v>
                </c:pt>
                <c:pt idx="7">
                  <c:v>0.11910003881420828</c:v>
                </c:pt>
                <c:pt idx="8">
                  <c:v>9.5022289972073848E-2</c:v>
                </c:pt>
                <c:pt idx="9">
                  <c:v>0.1997318807186641</c:v>
                </c:pt>
                <c:pt idx="10">
                  <c:v>-0.3557770257091124</c:v>
                </c:pt>
                <c:pt idx="11">
                  <c:v>-0.26292487697781408</c:v>
                </c:pt>
                <c:pt idx="12">
                  <c:v>-8.9484324300260543E-2</c:v>
                </c:pt>
                <c:pt idx="13">
                  <c:v>-0.18440413978649717</c:v>
                </c:pt>
                <c:pt idx="14">
                  <c:v>-0.11088229272714945</c:v>
                </c:pt>
                <c:pt idx="15">
                  <c:v>-0.20723197311096464</c:v>
                </c:pt>
                <c:pt idx="16">
                  <c:v>-0.48669416685548283</c:v>
                </c:pt>
                <c:pt idx="17">
                  <c:v>-0.42320283241543177</c:v>
                </c:pt>
                <c:pt idx="18">
                  <c:v>-0.50886798304120284</c:v>
                </c:pt>
                <c:pt idx="19">
                  <c:v>-0.54184224426105487</c:v>
                </c:pt>
                <c:pt idx="20">
                  <c:v>-0.31472795328258474</c:v>
                </c:pt>
                <c:pt idx="21">
                  <c:v>-0.23385047940062742</c:v>
                </c:pt>
                <c:pt idx="22">
                  <c:v>-0.22658966895803978</c:v>
                </c:pt>
                <c:pt idx="23">
                  <c:v>-0.14473011957908621</c:v>
                </c:pt>
                <c:pt idx="24">
                  <c:v>-0.13314312145856322</c:v>
                </c:pt>
                <c:pt idx="25">
                  <c:v>3.6188374109160648E-2</c:v>
                </c:pt>
                <c:pt idx="26">
                  <c:v>0.16610606701059538</c:v>
                </c:pt>
                <c:pt idx="27">
                  <c:v>0.17522716079847034</c:v>
                </c:pt>
                <c:pt idx="28">
                  <c:v>-0.46087408429291099</c:v>
                </c:pt>
                <c:pt idx="29">
                  <c:v>-0.44873188500934036</c:v>
                </c:pt>
                <c:pt idx="30">
                  <c:v>-0.37225130747142732</c:v>
                </c:pt>
                <c:pt idx="31">
                  <c:v>-0.5619084729143331</c:v>
                </c:pt>
                <c:pt idx="32">
                  <c:v>-0.42591862657358115</c:v>
                </c:pt>
                <c:pt idx="33">
                  <c:v>-0.37687186859051858</c:v>
                </c:pt>
                <c:pt idx="34">
                  <c:v>-0.37597395523528654</c:v>
                </c:pt>
                <c:pt idx="35">
                  <c:v>-0.44302831587531988</c:v>
                </c:pt>
                <c:pt idx="36">
                  <c:v>-0.43469237391504456</c:v>
                </c:pt>
                <c:pt idx="37">
                  <c:v>-0.30965228245867982</c:v>
                </c:pt>
                <c:pt idx="38">
                  <c:v>-0.26402712460548594</c:v>
                </c:pt>
                <c:pt idx="39">
                  <c:v>-0.57049251063111028</c:v>
                </c:pt>
                <c:pt idx="40">
                  <c:v>-0.41737655606744362</c:v>
                </c:pt>
                <c:pt idx="41">
                  <c:v>-0.42923343517278301</c:v>
                </c:pt>
                <c:pt idx="42">
                  <c:v>-0.42735745463488961</c:v>
                </c:pt>
                <c:pt idx="43">
                  <c:v>-0.3410207222081465</c:v>
                </c:pt>
                <c:pt idx="44">
                  <c:v>-0.49248118872751678</c:v>
                </c:pt>
                <c:pt idx="45">
                  <c:v>-0.36677656439699202</c:v>
                </c:pt>
                <c:pt idx="46">
                  <c:v>-0.36361833622615913</c:v>
                </c:pt>
                <c:pt idx="47">
                  <c:v>-0.34560479810992484</c:v>
                </c:pt>
                <c:pt idx="48">
                  <c:v>-0.23558310368489066</c:v>
                </c:pt>
                <c:pt idx="49">
                  <c:v>-0.20663687281129883</c:v>
                </c:pt>
                <c:pt idx="50">
                  <c:v>-0.12588623615987127</c:v>
                </c:pt>
                <c:pt idx="51">
                  <c:v>-0.20119903312989473</c:v>
                </c:pt>
                <c:pt idx="52">
                  <c:v>-0.84280876095529444</c:v>
                </c:pt>
                <c:pt idx="53">
                  <c:v>-0.81363481848117358</c:v>
                </c:pt>
                <c:pt idx="54">
                  <c:v>-0.82221961018183642</c:v>
                </c:pt>
                <c:pt idx="55">
                  <c:v>-0.81077581165268142</c:v>
                </c:pt>
                <c:pt idx="56">
                  <c:v>-0.7935593950123343</c:v>
                </c:pt>
                <c:pt idx="57">
                  <c:v>-0.82404521516358487</c:v>
                </c:pt>
                <c:pt idx="58">
                  <c:v>-0.82899862954101144</c:v>
                </c:pt>
                <c:pt idx="59">
                  <c:v>-0.81864154604693284</c:v>
                </c:pt>
                <c:pt idx="60">
                  <c:v>-0.81791184180277743</c:v>
                </c:pt>
                <c:pt idx="61">
                  <c:v>-0.76015997967610327</c:v>
                </c:pt>
                <c:pt idx="62">
                  <c:v>-0.75740829053772862</c:v>
                </c:pt>
                <c:pt idx="63">
                  <c:v>-0.75574669699071917</c:v>
                </c:pt>
                <c:pt idx="64">
                  <c:v>-0.79509827118763465</c:v>
                </c:pt>
                <c:pt idx="65">
                  <c:v>-0.76982340092318935</c:v>
                </c:pt>
                <c:pt idx="66">
                  <c:v>-0.78459374888712119</c:v>
                </c:pt>
                <c:pt idx="67">
                  <c:v>-0.77546995361403204</c:v>
                </c:pt>
                <c:pt idx="68">
                  <c:v>-0.77575841129041001</c:v>
                </c:pt>
                <c:pt idx="69">
                  <c:v>-0.74968568568684923</c:v>
                </c:pt>
                <c:pt idx="70">
                  <c:v>-0.80683910990520713</c:v>
                </c:pt>
                <c:pt idx="71">
                  <c:v>-0.78603018586366857</c:v>
                </c:pt>
                <c:pt idx="72">
                  <c:v>-0.79926119839213228</c:v>
                </c:pt>
                <c:pt idx="73">
                  <c:v>-0.82595144063716486</c:v>
                </c:pt>
                <c:pt idx="74">
                  <c:v>-0.80685036502226559</c:v>
                </c:pt>
                <c:pt idx="75">
                  <c:v>-0.86872187696968961</c:v>
                </c:pt>
                <c:pt idx="76">
                  <c:v>-0.85751700839307898</c:v>
                </c:pt>
                <c:pt idx="77">
                  <c:v>-0.84837998974198037</c:v>
                </c:pt>
                <c:pt idx="78">
                  <c:v>-0.7816892440800316</c:v>
                </c:pt>
                <c:pt idx="79">
                  <c:v>-0.75018562429788127</c:v>
                </c:pt>
                <c:pt idx="80">
                  <c:v>-0.80267697946301786</c:v>
                </c:pt>
                <c:pt idx="81">
                  <c:v>-0.81135221384005574</c:v>
                </c:pt>
                <c:pt idx="82">
                  <c:v>-0.90944320816177637</c:v>
                </c:pt>
                <c:pt idx="83">
                  <c:v>-0.92872934928800543</c:v>
                </c:pt>
                <c:pt idx="84">
                  <c:v>-0.94965438693972815</c:v>
                </c:pt>
                <c:pt idx="85">
                  <c:v>-0.94899438185938279</c:v>
                </c:pt>
                <c:pt idx="86">
                  <c:v>-0.9442238223491447</c:v>
                </c:pt>
                <c:pt idx="87">
                  <c:v>-0.93631725169200164</c:v>
                </c:pt>
                <c:pt idx="88">
                  <c:v>-0.97684707108104618</c:v>
                </c:pt>
                <c:pt idx="89">
                  <c:v>-0.97934153908264576</c:v>
                </c:pt>
                <c:pt idx="90">
                  <c:v>-0.99116664063406756</c:v>
                </c:pt>
                <c:pt idx="91">
                  <c:v>-0.98941704059219371</c:v>
                </c:pt>
                <c:pt idx="92">
                  <c:v>-0.99111232112000347</c:v>
                </c:pt>
                <c:pt idx="93">
                  <c:v>-0.9898877104569509</c:v>
                </c:pt>
                <c:pt idx="94">
                  <c:v>-0.9909795771939558</c:v>
                </c:pt>
                <c:pt idx="95">
                  <c:v>-0.9920579181208351</c:v>
                </c:pt>
                <c:pt idx="96">
                  <c:v>-0.99247669651215531</c:v>
                </c:pt>
                <c:pt idx="97">
                  <c:v>-0.99110095442913815</c:v>
                </c:pt>
                <c:pt idx="98">
                  <c:v>-0.99111508737901843</c:v>
                </c:pt>
                <c:pt idx="99">
                  <c:v>-0.99241845631006653</c:v>
                </c:pt>
                <c:pt idx="100">
                  <c:v>-0.98968737163514997</c:v>
                </c:pt>
                <c:pt idx="101">
                  <c:v>-0.98801562331820225</c:v>
                </c:pt>
                <c:pt idx="102">
                  <c:v>-0.97827205666293116</c:v>
                </c:pt>
                <c:pt idx="103">
                  <c:v>-0.95767158522755169</c:v>
                </c:pt>
                <c:pt idx="104">
                  <c:v>-0.96963908857009495</c:v>
                </c:pt>
                <c:pt idx="105">
                  <c:v>-0.96369306430589941</c:v>
                </c:pt>
                <c:pt idx="106">
                  <c:v>-0.96847053390733651</c:v>
                </c:pt>
                <c:pt idx="107">
                  <c:v>-0.97460736813887083</c:v>
                </c:pt>
                <c:pt idx="108">
                  <c:v>-0.9776429375871627</c:v>
                </c:pt>
                <c:pt idx="109">
                  <c:v>-0.97534389727617832</c:v>
                </c:pt>
                <c:pt idx="110">
                  <c:v>-0.96491192980775076</c:v>
                </c:pt>
                <c:pt idx="111">
                  <c:v>-0.95686378355021651</c:v>
                </c:pt>
                <c:pt idx="112">
                  <c:v>-0.96402533275987268</c:v>
                </c:pt>
                <c:pt idx="113">
                  <c:v>-0.96181790871526451</c:v>
                </c:pt>
                <c:pt idx="114">
                  <c:v>-0.96595364374697867</c:v>
                </c:pt>
                <c:pt idx="115">
                  <c:v>-0.94835685468722886</c:v>
                </c:pt>
                <c:pt idx="116">
                  <c:v>-0.94238628969405769</c:v>
                </c:pt>
                <c:pt idx="117">
                  <c:v>-0.95070171351243005</c:v>
                </c:pt>
                <c:pt idx="118">
                  <c:v>-0.95319059619432611</c:v>
                </c:pt>
                <c:pt idx="119">
                  <c:v>-0.95415092061324891</c:v>
                </c:pt>
                <c:pt idx="120">
                  <c:v>-0.96406631317636493</c:v>
                </c:pt>
                <c:pt idx="121">
                  <c:v>-0.96300857900288128</c:v>
                </c:pt>
                <c:pt idx="122">
                  <c:v>-0.99151207089659432</c:v>
                </c:pt>
                <c:pt idx="123">
                  <c:v>-0.98514224891188984</c:v>
                </c:pt>
                <c:pt idx="124">
                  <c:v>-0.97944633330159481</c:v>
                </c:pt>
                <c:pt idx="125">
                  <c:v>-0.97587539411849422</c:v>
                </c:pt>
                <c:pt idx="126">
                  <c:v>-0.97510180158202397</c:v>
                </c:pt>
                <c:pt idx="127">
                  <c:v>-0.97631943961630407</c:v>
                </c:pt>
                <c:pt idx="128">
                  <c:v>-0.97761998034604647</c:v>
                </c:pt>
                <c:pt idx="129">
                  <c:v>-0.98006452241852704</c:v>
                </c:pt>
                <c:pt idx="130">
                  <c:v>-0.97494805458701006</c:v>
                </c:pt>
                <c:pt idx="131">
                  <c:v>-0.97669756104457395</c:v>
                </c:pt>
                <c:pt idx="132">
                  <c:v>-0.979202122498668</c:v>
                </c:pt>
                <c:pt idx="133">
                  <c:v>-0.97780291041081091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36-4C1C-B361-E36828264117}"/>
            </c:ext>
          </c:extLst>
        </c:ser>
        <c:ser>
          <c:idx val="13"/>
          <c:order val="13"/>
          <c:tx>
            <c:strRef>
              <c:f>NN1再投資累積報酬!$A$25:$B$25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NN1再投資累積報酬!$C$11:$EF$11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NN1再投資累積報酬!$C$25:$EF$25</c:f>
              <c:numCache>
                <c:formatCode>#,##0.0000</c:formatCode>
                <c:ptCount val="134"/>
                <c:pt idx="0">
                  <c:v>-1.7446770539390338E-2</c:v>
                </c:pt>
                <c:pt idx="1">
                  <c:v>2.070106053181563E-2</c:v>
                </c:pt>
                <c:pt idx="2">
                  <c:v>2.3982129254766709E-2</c:v>
                </c:pt>
                <c:pt idx="3">
                  <c:v>-6.557578972823077E-3</c:v>
                </c:pt>
                <c:pt idx="4">
                  <c:v>3.1845129800519692E-2</c:v>
                </c:pt>
                <c:pt idx="5">
                  <c:v>3.4348532736990518E-2</c:v>
                </c:pt>
                <c:pt idx="6">
                  <c:v>-8.2549327813252367E-3</c:v>
                </c:pt>
                <c:pt idx="7">
                  <c:v>1.2843524394052759E-2</c:v>
                </c:pt>
                <c:pt idx="8">
                  <c:v>-5.1018524626790823E-2</c:v>
                </c:pt>
                <c:pt idx="9">
                  <c:v>8.7394274103658827E-4</c:v>
                </c:pt>
                <c:pt idx="10">
                  <c:v>2.3389575505495919E-2</c:v>
                </c:pt>
                <c:pt idx="11">
                  <c:v>1.2988972200332851E-2</c:v>
                </c:pt>
                <c:pt idx="12">
                  <c:v>5.8545887256348812E-3</c:v>
                </c:pt>
                <c:pt idx="13">
                  <c:v>2.7413206571790558E-2</c:v>
                </c:pt>
                <c:pt idx="14">
                  <c:v>-3.7129361176928542E-3</c:v>
                </c:pt>
                <c:pt idx="15">
                  <c:v>2.4076614047823328E-2</c:v>
                </c:pt>
                <c:pt idx="16">
                  <c:v>-1.219002529903996E-2</c:v>
                </c:pt>
                <c:pt idx="17">
                  <c:v>-3.9749578159589592E-2</c:v>
                </c:pt>
                <c:pt idx="18">
                  <c:v>-7.3155449831649552E-2</c:v>
                </c:pt>
                <c:pt idx="19">
                  <c:v>-5.8260229910114661E-2</c:v>
                </c:pt>
                <c:pt idx="20">
                  <c:v>7.7279756550837221E-4</c:v>
                </c:pt>
                <c:pt idx="21">
                  <c:v>4.459152113521897E-2</c:v>
                </c:pt>
                <c:pt idx="22">
                  <c:v>-2.7699680050213091E-2</c:v>
                </c:pt>
                <c:pt idx="23">
                  <c:v>2.0950059497436462E-3</c:v>
                </c:pt>
                <c:pt idx="24">
                  <c:v>-2.340055099256411E-2</c:v>
                </c:pt>
                <c:pt idx="25">
                  <c:v>3.2129371097322189E-2</c:v>
                </c:pt>
                <c:pt idx="26">
                  <c:v>3.890327309406643E-2</c:v>
                </c:pt>
                <c:pt idx="27">
                  <c:v>-4.286538217110427E-2</c:v>
                </c:pt>
                <c:pt idx="28">
                  <c:v>1.8647194550152159E-2</c:v>
                </c:pt>
                <c:pt idx="29">
                  <c:v>1.5229768322528949E-2</c:v>
                </c:pt>
                <c:pt idx="30">
                  <c:v>3.6016603778892417E-2</c:v>
                </c:pt>
                <c:pt idx="31">
                  <c:v>9.3546113853161701E-3</c:v>
                </c:pt>
                <c:pt idx="32">
                  <c:v>1.0748251336838139E-2</c:v>
                </c:pt>
                <c:pt idx="33">
                  <c:v>1.335775405308097E-2</c:v>
                </c:pt>
                <c:pt idx="34">
                  <c:v>-5.3327473290953921E-3</c:v>
                </c:pt>
                <c:pt idx="35">
                  <c:v>1.383135807261675E-3</c:v>
                </c:pt>
                <c:pt idx="36">
                  <c:v>2.079592842007446E-2</c:v>
                </c:pt>
                <c:pt idx="37">
                  <c:v>3.1517702220390638E-2</c:v>
                </c:pt>
                <c:pt idx="38">
                  <c:v>6.2417165333294418E-3</c:v>
                </c:pt>
                <c:pt idx="39">
                  <c:v>6.1452616535713897E-3</c:v>
                </c:pt>
                <c:pt idx="40">
                  <c:v>1.694635767669651E-2</c:v>
                </c:pt>
                <c:pt idx="41">
                  <c:v>3.4682830454308228E-2</c:v>
                </c:pt>
                <c:pt idx="42">
                  <c:v>3.0985886171969678E-3</c:v>
                </c:pt>
                <c:pt idx="43">
                  <c:v>1.508134714348611E-2</c:v>
                </c:pt>
                <c:pt idx="44">
                  <c:v>-1.9251209229863991E-2</c:v>
                </c:pt>
                <c:pt idx="45">
                  <c:v>3.8711513387631437E-2</c:v>
                </c:pt>
                <c:pt idx="46">
                  <c:v>-2.1856951135736599E-2</c:v>
                </c:pt>
                <c:pt idx="47">
                  <c:v>7.7743007097896798E-3</c:v>
                </c:pt>
                <c:pt idx="48">
                  <c:v>4.2397246695325942E-2</c:v>
                </c:pt>
                <c:pt idx="49">
                  <c:v>-2.630897486115975E-2</c:v>
                </c:pt>
                <c:pt idx="50">
                  <c:v>9.5717493087162323E-3</c:v>
                </c:pt>
                <c:pt idx="51">
                  <c:v>-2.424974126627483E-2</c:v>
                </c:pt>
                <c:pt idx="52">
                  <c:v>2.0163374143915822E-2</c:v>
                </c:pt>
                <c:pt idx="53">
                  <c:v>-3.5049987821160239E-3</c:v>
                </c:pt>
                <c:pt idx="54">
                  <c:v>2.0151935098542271E-2</c:v>
                </c:pt>
                <c:pt idx="55">
                  <c:v>5.8133623077027128E-4</c:v>
                </c:pt>
                <c:pt idx="56">
                  <c:v>-5.2197009532526043E-3</c:v>
                </c:pt>
                <c:pt idx="57">
                  <c:v>-0.11587176140213</c:v>
                </c:pt>
                <c:pt idx="58">
                  <c:v>8.7252256924373536E-3</c:v>
                </c:pt>
                <c:pt idx="59">
                  <c:v>-1.6377260977822151E-2</c:v>
                </c:pt>
                <c:pt idx="60">
                  <c:v>2.0840371600260421E-2</c:v>
                </c:pt>
                <c:pt idx="61">
                  <c:v>4.4975872102114713E-2</c:v>
                </c:pt>
                <c:pt idx="62">
                  <c:v>2.3954306081863871E-2</c:v>
                </c:pt>
                <c:pt idx="63">
                  <c:v>3.0239101391442601E-2</c:v>
                </c:pt>
                <c:pt idx="64">
                  <c:v>-4.372588759108751E-2</c:v>
                </c:pt>
                <c:pt idx="65">
                  <c:v>2.1889469568198618E-2</c:v>
                </c:pt>
                <c:pt idx="66">
                  <c:v>8.6274302635084028E-3</c:v>
                </c:pt>
                <c:pt idx="67">
                  <c:v>-1.9192953994658781E-2</c:v>
                </c:pt>
                <c:pt idx="68">
                  <c:v>1.973512988813305E-2</c:v>
                </c:pt>
                <c:pt idx="69">
                  <c:v>4.7694337483699438E-2</c:v>
                </c:pt>
                <c:pt idx="70">
                  <c:v>1.145481680658339E-2</c:v>
                </c:pt>
                <c:pt idx="71">
                  <c:v>4.3228620735213191E-2</c:v>
                </c:pt>
                <c:pt idx="72">
                  <c:v>-4.2747430436922793E-2</c:v>
                </c:pt>
                <c:pt idx="73">
                  <c:v>-1.781129242779457E-2</c:v>
                </c:pt>
                <c:pt idx="74">
                  <c:v>-0.1511530968690756</c:v>
                </c:pt>
                <c:pt idx="75">
                  <c:v>0.12422400361957529</c:v>
                </c:pt>
                <c:pt idx="76">
                  <c:v>-4.5572538445296431E-3</c:v>
                </c:pt>
                <c:pt idx="77">
                  <c:v>6.0211240204911178E-2</c:v>
                </c:pt>
                <c:pt idx="78">
                  <c:v>8.5992033482502284E-2</c:v>
                </c:pt>
                <c:pt idx="79">
                  <c:v>-5.8084795823660634E-3</c:v>
                </c:pt>
                <c:pt idx="80">
                  <c:v>-6.0413469889680736E-3</c:v>
                </c:pt>
                <c:pt idx="81">
                  <c:v>2.4523243722520739E-3</c:v>
                </c:pt>
                <c:pt idx="82">
                  <c:v>8.963625193702289E-2</c:v>
                </c:pt>
                <c:pt idx="83">
                  <c:v>7.099273252675789E-2</c:v>
                </c:pt>
                <c:pt idx="84">
                  <c:v>2.7170642901783448E-2</c:v>
                </c:pt>
                <c:pt idx="85">
                  <c:v>5.2468428425330033E-2</c:v>
                </c:pt>
                <c:pt idx="86">
                  <c:v>2.9480660943049509E-2</c:v>
                </c:pt>
                <c:pt idx="87">
                  <c:v>6.6825081060201283E-2</c:v>
                </c:pt>
                <c:pt idx="88">
                  <c:v>-2.8772229019816971E-2</c:v>
                </c:pt>
                <c:pt idx="89">
                  <c:v>3.9462515901637851E-2</c:v>
                </c:pt>
                <c:pt idx="90">
                  <c:v>-2.9031086977359909E-2</c:v>
                </c:pt>
                <c:pt idx="91">
                  <c:v>1.3983882519467901E-2</c:v>
                </c:pt>
                <c:pt idx="92">
                  <c:v>-3.2276964959333833E-2</c:v>
                </c:pt>
                <c:pt idx="93">
                  <c:v>3.1035766128940231E-3</c:v>
                </c:pt>
                <c:pt idx="94">
                  <c:v>2.5591855767083171E-2</c:v>
                </c:pt>
                <c:pt idx="95">
                  <c:v>4.4391886287193302E-2</c:v>
                </c:pt>
                <c:pt idx="96">
                  <c:v>-3.0338958549577438E-2</c:v>
                </c:pt>
                <c:pt idx="97">
                  <c:v>-1.2579764545717069E-3</c:v>
                </c:pt>
                <c:pt idx="98">
                  <c:v>2.336356455857952E-3</c:v>
                </c:pt>
                <c:pt idx="99">
                  <c:v>-6.4264144925906069E-2</c:v>
                </c:pt>
                <c:pt idx="100">
                  <c:v>1.2909779458992439E-2</c:v>
                </c:pt>
                <c:pt idx="101">
                  <c:v>-0.12547709467085871</c:v>
                </c:pt>
                <c:pt idx="102">
                  <c:v>1.1690682939792569E-2</c:v>
                </c:pt>
                <c:pt idx="103">
                  <c:v>6.3378437007417512E-3</c:v>
                </c:pt>
                <c:pt idx="104">
                  <c:v>-0.1173053564693855</c:v>
                </c:pt>
                <c:pt idx="105">
                  <c:v>-3.6010872049446613E-2</c:v>
                </c:pt>
                <c:pt idx="106">
                  <c:v>0.1389113040722679</c:v>
                </c:pt>
                <c:pt idx="107">
                  <c:v>-5.1143506226105737E-2</c:v>
                </c:pt>
                <c:pt idx="108">
                  <c:v>7.6731447181969059E-2</c:v>
                </c:pt>
                <c:pt idx="109">
                  <c:v>1.550878219700816E-2</c:v>
                </c:pt>
                <c:pt idx="110">
                  <c:v>2.3223773674755831E-2</c:v>
                </c:pt>
                <c:pt idx="111">
                  <c:v>-1.8372876361227891E-2</c:v>
                </c:pt>
                <c:pt idx="112">
                  <c:v>6.2199014085099431E-2</c:v>
                </c:pt>
                <c:pt idx="113">
                  <c:v>2.0098304486957191E-2</c:v>
                </c:pt>
                <c:pt idx="114">
                  <c:v>1.349893974806809E-2</c:v>
                </c:pt>
                <c:pt idx="115">
                  <c:v>-3.025221272842088E-2</c:v>
                </c:pt>
                <c:pt idx="116">
                  <c:v>-1.7022835708053841E-2</c:v>
                </c:pt>
                <c:pt idx="117">
                  <c:v>-2.1788523272461981E-2</c:v>
                </c:pt>
                <c:pt idx="118">
                  <c:v>8.5745624585137223E-2</c:v>
                </c:pt>
                <c:pt idx="119">
                  <c:v>2.8106743604973752E-2</c:v>
                </c:pt>
                <c:pt idx="120">
                  <c:v>-2.3031598073594501E-3</c:v>
                </c:pt>
                <c:pt idx="121">
                  <c:v>5.8471198131487503E-2</c:v>
                </c:pt>
                <c:pt idx="122">
                  <c:v>6.7658949048647651E-2</c:v>
                </c:pt>
                <c:pt idx="123">
                  <c:v>5.0207706404322644E-3</c:v>
                </c:pt>
                <c:pt idx="124">
                  <c:v>3.7416183675207063E-2</c:v>
                </c:pt>
                <c:pt idx="125">
                  <c:v>8.4111003746042121E-2</c:v>
                </c:pt>
                <c:pt idx="126">
                  <c:v>-3.6832398544012837E-2</c:v>
                </c:pt>
                <c:pt idx="127">
                  <c:v>3.0917028169369942E-3</c:v>
                </c:pt>
                <c:pt idx="128">
                  <c:v>-1.957628214294549E-3</c:v>
                </c:pt>
                <c:pt idx="129">
                  <c:v>2.6459103603519739E-2</c:v>
                </c:pt>
                <c:pt idx="130">
                  <c:v>-2.4752538760690269E-2</c:v>
                </c:pt>
                <c:pt idx="131">
                  <c:v>3.4115490982559941E-2</c:v>
                </c:pt>
                <c:pt idx="132">
                  <c:v>2.1061973989032982E-2</c:v>
                </c:pt>
                <c:pt idx="133" formatCode="General">
                  <c:v>-2.0277392706005901E-2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236-4C1C-B361-E36828264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515455"/>
        <c:axId val="1751515935"/>
      </c:lineChart>
      <c:catAx>
        <c:axId val="175151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1515935"/>
        <c:crosses val="autoZero"/>
        <c:auto val="1"/>
        <c:lblAlgn val="ctr"/>
        <c:lblOffset val="100"/>
        <c:noMultiLvlLbl val="0"/>
      </c:catAx>
      <c:valAx>
        <c:axId val="175151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15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RF</a:t>
            </a:r>
            <a:r>
              <a:rPr lang="zh-TW" alt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累積報酬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畫圖!$B$12:$B$12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畫圖!$C$12:$EF$12</c:f>
              <c:numCache>
                <c:formatCode>General</c:formatCode>
                <c:ptCount val="134"/>
                <c:pt idx="0">
                  <c:v>8.4653346747999555E-2</c:v>
                </c:pt>
                <c:pt idx="1">
                  <c:v>0.10547514201987786</c:v>
                </c:pt>
                <c:pt idx="2">
                  <c:v>9.8721113661519935E-2</c:v>
                </c:pt>
                <c:pt idx="3">
                  <c:v>7.8852288713613591E-2</c:v>
                </c:pt>
                <c:pt idx="4">
                  <c:v>8.6756635459541959E-2</c:v>
                </c:pt>
                <c:pt idx="5">
                  <c:v>9.6116019221297616E-2</c:v>
                </c:pt>
                <c:pt idx="6">
                  <c:v>0.13241995607034962</c:v>
                </c:pt>
                <c:pt idx="7">
                  <c:v>0.17620453481522114</c:v>
                </c:pt>
                <c:pt idx="8">
                  <c:v>0.16521613096239904</c:v>
                </c:pt>
                <c:pt idx="9">
                  <c:v>0.16293890018143578</c:v>
                </c:pt>
                <c:pt idx="10">
                  <c:v>0.14738709598127464</c:v>
                </c:pt>
                <c:pt idx="11">
                  <c:v>0.19946120365663375</c:v>
                </c:pt>
                <c:pt idx="12">
                  <c:v>0.21809109230261273</c:v>
                </c:pt>
                <c:pt idx="13">
                  <c:v>0.19667067109815037</c:v>
                </c:pt>
                <c:pt idx="14">
                  <c:v>0.2017863544721144</c:v>
                </c:pt>
                <c:pt idx="15">
                  <c:v>0.21493984313265299</c:v>
                </c:pt>
                <c:pt idx="16">
                  <c:v>0.14388594603804594</c:v>
                </c:pt>
                <c:pt idx="17">
                  <c:v>0.10064245721853277</c:v>
                </c:pt>
                <c:pt idx="18">
                  <c:v>8.0275236665401775E-2</c:v>
                </c:pt>
                <c:pt idx="19">
                  <c:v>0.12530522746825049</c:v>
                </c:pt>
                <c:pt idx="20">
                  <c:v>0.14758366944156223</c:v>
                </c:pt>
                <c:pt idx="21">
                  <c:v>0.19610294422187668</c:v>
                </c:pt>
                <c:pt idx="22">
                  <c:v>0.1793145669700606</c:v>
                </c:pt>
                <c:pt idx="23">
                  <c:v>0.24293825028563457</c:v>
                </c:pt>
                <c:pt idx="24">
                  <c:v>0.20353458888452278</c:v>
                </c:pt>
                <c:pt idx="25">
                  <c:v>0.23822369943600094</c:v>
                </c:pt>
                <c:pt idx="26">
                  <c:v>0.27333846349964736</c:v>
                </c:pt>
                <c:pt idx="27">
                  <c:v>0.27918557349888456</c:v>
                </c:pt>
                <c:pt idx="28">
                  <c:v>0.24128794996665398</c:v>
                </c:pt>
                <c:pt idx="29">
                  <c:v>0.26172010127051892</c:v>
                </c:pt>
                <c:pt idx="30">
                  <c:v>0.29170224620324331</c:v>
                </c:pt>
                <c:pt idx="31">
                  <c:v>0.30741527997252416</c:v>
                </c:pt>
                <c:pt idx="32">
                  <c:v>0.33066173915138874</c:v>
                </c:pt>
                <c:pt idx="33">
                  <c:v>0.35172400184506231</c:v>
                </c:pt>
                <c:pt idx="34">
                  <c:v>0.36122750969908729</c:v>
                </c:pt>
                <c:pt idx="35">
                  <c:v>0.31342701974700998</c:v>
                </c:pt>
                <c:pt idx="36">
                  <c:v>0.33013377175329728</c:v>
                </c:pt>
                <c:pt idx="37">
                  <c:v>0.39936700606672582</c:v>
                </c:pt>
                <c:pt idx="38">
                  <c:v>0.40159579910639887</c:v>
                </c:pt>
                <c:pt idx="39">
                  <c:v>0.40797616860329722</c:v>
                </c:pt>
                <c:pt idx="40">
                  <c:v>0.40627923802576776</c:v>
                </c:pt>
                <c:pt idx="41">
                  <c:v>0.42850226401335995</c:v>
                </c:pt>
                <c:pt idx="42">
                  <c:v>0.44847853692373113</c:v>
                </c:pt>
                <c:pt idx="43">
                  <c:v>0.52067391927616624</c:v>
                </c:pt>
                <c:pt idx="44">
                  <c:v>0.52438745571621082</c:v>
                </c:pt>
                <c:pt idx="45">
                  <c:v>0.57810308637293051</c:v>
                </c:pt>
                <c:pt idx="46">
                  <c:v>0.57872456339094658</c:v>
                </c:pt>
                <c:pt idx="47">
                  <c:v>0.62232303064436945</c:v>
                </c:pt>
                <c:pt idx="48">
                  <c:v>0.64727832371204275</c:v>
                </c:pt>
                <c:pt idx="49">
                  <c:v>0.64497829764038506</c:v>
                </c:pt>
                <c:pt idx="50">
                  <c:v>0.61854396776332343</c:v>
                </c:pt>
                <c:pt idx="51">
                  <c:v>0.63381857301578282</c:v>
                </c:pt>
                <c:pt idx="52">
                  <c:v>0.64609136205425932</c:v>
                </c:pt>
                <c:pt idx="53">
                  <c:v>0.65972191899591193</c:v>
                </c:pt>
                <c:pt idx="54">
                  <c:v>0.67833072883529721</c:v>
                </c:pt>
                <c:pt idx="55">
                  <c:v>0.61071377958760187</c:v>
                </c:pt>
                <c:pt idx="56">
                  <c:v>0.56395602570631809</c:v>
                </c:pt>
                <c:pt idx="57">
                  <c:v>0.52887643667640105</c:v>
                </c:pt>
                <c:pt idx="58">
                  <c:v>0.48512037229655647</c:v>
                </c:pt>
                <c:pt idx="59">
                  <c:v>0.46045724612143707</c:v>
                </c:pt>
                <c:pt idx="60">
                  <c:v>0.43917258116130309</c:v>
                </c:pt>
                <c:pt idx="61">
                  <c:v>0.46388182699145175</c:v>
                </c:pt>
                <c:pt idx="62">
                  <c:v>0.45871273503522186</c:v>
                </c:pt>
                <c:pt idx="63">
                  <c:v>0.47022927054731839</c:v>
                </c:pt>
                <c:pt idx="64">
                  <c:v>0.4944755808035553</c:v>
                </c:pt>
                <c:pt idx="65">
                  <c:v>0.48396659549826121</c:v>
                </c:pt>
                <c:pt idx="66">
                  <c:v>0.49786334511700792</c:v>
                </c:pt>
                <c:pt idx="67">
                  <c:v>0.49560233666360909</c:v>
                </c:pt>
                <c:pt idx="68">
                  <c:v>0.51446563004800505</c:v>
                </c:pt>
                <c:pt idx="69">
                  <c:v>0.53649709872544926</c:v>
                </c:pt>
                <c:pt idx="70">
                  <c:v>0.52771558158535281</c:v>
                </c:pt>
                <c:pt idx="71">
                  <c:v>0.5507780373185438</c:v>
                </c:pt>
                <c:pt idx="72">
                  <c:v>0.52129426859901429</c:v>
                </c:pt>
                <c:pt idx="73">
                  <c:v>0.53277143060296439</c:v>
                </c:pt>
                <c:pt idx="74">
                  <c:v>0.49940063027139292</c:v>
                </c:pt>
                <c:pt idx="75">
                  <c:v>0.53177935620387762</c:v>
                </c:pt>
                <c:pt idx="76">
                  <c:v>0.53238304463837682</c:v>
                </c:pt>
                <c:pt idx="77">
                  <c:v>0.55955690743140851</c:v>
                </c:pt>
                <c:pt idx="78">
                  <c:v>0.54278594303729832</c:v>
                </c:pt>
                <c:pt idx="79">
                  <c:v>0.65371957662175084</c:v>
                </c:pt>
                <c:pt idx="80">
                  <c:v>0.66533898506398004</c:v>
                </c:pt>
                <c:pt idx="81">
                  <c:v>0.67336025957791001</c:v>
                </c:pt>
                <c:pt idx="82">
                  <c:v>0.62408229961482942</c:v>
                </c:pt>
                <c:pt idx="83">
                  <c:v>0.60761918723604358</c:v>
                </c:pt>
                <c:pt idx="84">
                  <c:v>0.57202115633493777</c:v>
                </c:pt>
                <c:pt idx="85">
                  <c:v>0.58746633681362659</c:v>
                </c:pt>
                <c:pt idx="86">
                  <c:v>0.60026948096846144</c:v>
                </c:pt>
                <c:pt idx="87">
                  <c:v>0.71828508863807183</c:v>
                </c:pt>
                <c:pt idx="88">
                  <c:v>0.64657670062085959</c:v>
                </c:pt>
                <c:pt idx="89">
                  <c:v>0.6194929994063002</c:v>
                </c:pt>
                <c:pt idx="90">
                  <c:v>0.59467321415108765</c:v>
                </c:pt>
                <c:pt idx="91">
                  <c:v>0.59366819211539579</c:v>
                </c:pt>
                <c:pt idx="92">
                  <c:v>0.65635253911897062</c:v>
                </c:pt>
                <c:pt idx="93">
                  <c:v>0.71351252564048417</c:v>
                </c:pt>
                <c:pt idx="94">
                  <c:v>0.71253395204563152</c:v>
                </c:pt>
                <c:pt idx="95">
                  <c:v>0.74464796265368072</c:v>
                </c:pt>
                <c:pt idx="96">
                  <c:v>0.66986843337232393</c:v>
                </c:pt>
                <c:pt idx="97">
                  <c:v>0.73490173986801277</c:v>
                </c:pt>
                <c:pt idx="98">
                  <c:v>0.7646594292963802</c:v>
                </c:pt>
                <c:pt idx="99">
                  <c:v>0.7339067910289172</c:v>
                </c:pt>
                <c:pt idx="100">
                  <c:v>0.75032738727672277</c:v>
                </c:pt>
                <c:pt idx="101">
                  <c:v>0.73800312521680611</c:v>
                </c:pt>
                <c:pt idx="102">
                  <c:v>0.75482745804204987</c:v>
                </c:pt>
                <c:pt idx="103">
                  <c:v>0.79041274068595335</c:v>
                </c:pt>
                <c:pt idx="104">
                  <c:v>0.78591137689341184</c:v>
                </c:pt>
                <c:pt idx="105">
                  <c:v>0.71595083115906855</c:v>
                </c:pt>
                <c:pt idx="106">
                  <c:v>0.69121318674397347</c:v>
                </c:pt>
                <c:pt idx="107">
                  <c:v>0.70283750643184251</c:v>
                </c:pt>
                <c:pt idx="108">
                  <c:v>0.65642768865231782</c:v>
                </c:pt>
                <c:pt idx="109">
                  <c:v>0.68723084383917443</c:v>
                </c:pt>
                <c:pt idx="110">
                  <c:v>0.71721009839667416</c:v>
                </c:pt>
                <c:pt idx="111">
                  <c:v>0.75858814133234576</c:v>
                </c:pt>
                <c:pt idx="112">
                  <c:v>0.75965933996092638</c:v>
                </c:pt>
                <c:pt idx="113">
                  <c:v>0.77832917329472939</c:v>
                </c:pt>
                <c:pt idx="114">
                  <c:v>0.78747266662825854</c:v>
                </c:pt>
                <c:pt idx="115">
                  <c:v>0.76893122316964613</c:v>
                </c:pt>
                <c:pt idx="116">
                  <c:v>0.79948816527113697</c:v>
                </c:pt>
                <c:pt idx="117">
                  <c:v>0.845441713286055</c:v>
                </c:pt>
                <c:pt idx="118">
                  <c:v>0.81157959293300652</c:v>
                </c:pt>
                <c:pt idx="119">
                  <c:v>0.83035853621239342</c:v>
                </c:pt>
                <c:pt idx="120">
                  <c:v>0.79463238076069564</c:v>
                </c:pt>
                <c:pt idx="121">
                  <c:v>0.76981853919810894</c:v>
                </c:pt>
                <c:pt idx="122">
                  <c:v>0.72403139722364196</c:v>
                </c:pt>
                <c:pt idx="123">
                  <c:v>0.74078283873746253</c:v>
                </c:pt>
                <c:pt idx="124">
                  <c:v>0.73870662702484713</c:v>
                </c:pt>
                <c:pt idx="125">
                  <c:v>0.72060749024651372</c:v>
                </c:pt>
                <c:pt idx="126">
                  <c:v>0.6578792681517438</c:v>
                </c:pt>
                <c:pt idx="127">
                  <c:v>0.67791815827533286</c:v>
                </c:pt>
                <c:pt idx="128">
                  <c:v>0.72901579081286416</c:v>
                </c:pt>
                <c:pt idx="129">
                  <c:v>0.73480176137324482</c:v>
                </c:pt>
                <c:pt idx="130">
                  <c:v>0.71991784324372565</c:v>
                </c:pt>
                <c:pt idx="131">
                  <c:v>0.71296036171600141</c:v>
                </c:pt>
                <c:pt idx="132">
                  <c:v>0.68645346955485376</c:v>
                </c:pt>
                <c:pt idx="133">
                  <c:v>0.72568681759364939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A-46C7-9882-818CA7556E8D}"/>
            </c:ext>
          </c:extLst>
        </c:ser>
        <c:ser>
          <c:idx val="1"/>
          <c:order val="1"/>
          <c:tx>
            <c:strRef>
              <c:f>畫圖!$B$13:$B$13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畫圖!$C$13:$EF$13</c:f>
              <c:numCache>
                <c:formatCode>General</c:formatCode>
                <c:ptCount val="134"/>
                <c:pt idx="0">
                  <c:v>0.104112750252762</c:v>
                </c:pt>
                <c:pt idx="1">
                  <c:v>0.13399036085732077</c:v>
                </c:pt>
                <c:pt idx="2">
                  <c:v>9.9493741365967725E-2</c:v>
                </c:pt>
                <c:pt idx="3">
                  <c:v>6.4571585483313224E-2</c:v>
                </c:pt>
                <c:pt idx="4">
                  <c:v>4.9663605726009835E-2</c:v>
                </c:pt>
                <c:pt idx="5">
                  <c:v>6.5593990295354954E-2</c:v>
                </c:pt>
                <c:pt idx="6">
                  <c:v>9.8276853280077292E-2</c:v>
                </c:pt>
                <c:pt idx="7">
                  <c:v>0.13282674524972199</c:v>
                </c:pt>
                <c:pt idx="8">
                  <c:v>8.7495755007502979E-2</c:v>
                </c:pt>
                <c:pt idx="9">
                  <c:v>5.8360085970057513E-2</c:v>
                </c:pt>
                <c:pt idx="10">
                  <c:v>6.6068742232549715E-2</c:v>
                </c:pt>
                <c:pt idx="11">
                  <c:v>0.10922069445631657</c:v>
                </c:pt>
                <c:pt idx="12">
                  <c:v>0.14549397017623905</c:v>
                </c:pt>
                <c:pt idx="13">
                  <c:v>0.1246370571148335</c:v>
                </c:pt>
                <c:pt idx="14">
                  <c:v>0.10718067261847081</c:v>
                </c:pt>
                <c:pt idx="15">
                  <c:v>0.12369138370130076</c:v>
                </c:pt>
                <c:pt idx="16">
                  <c:v>7.7608569775015901E-4</c:v>
                </c:pt>
                <c:pt idx="17">
                  <c:v>-5.212371721094318E-2</c:v>
                </c:pt>
                <c:pt idx="18">
                  <c:v>-0.10628479225263736</c:v>
                </c:pt>
                <c:pt idx="19">
                  <c:v>-5.35050533524037E-2</c:v>
                </c:pt>
                <c:pt idx="20">
                  <c:v>-2.2401965468033809E-2</c:v>
                </c:pt>
                <c:pt idx="21">
                  <c:v>4.7349003301022756E-2</c:v>
                </c:pt>
                <c:pt idx="22">
                  <c:v>2.0877120083680235E-2</c:v>
                </c:pt>
                <c:pt idx="23">
                  <c:v>9.9301554888863802E-2</c:v>
                </c:pt>
                <c:pt idx="24">
                  <c:v>6.718204455039252E-2</c:v>
                </c:pt>
                <c:pt idx="25">
                  <c:v>0.1138602646717698</c:v>
                </c:pt>
                <c:pt idx="26">
                  <c:v>0.13573182083314733</c:v>
                </c:pt>
                <c:pt idx="27">
                  <c:v>0.1423108660356881</c:v>
                </c:pt>
                <c:pt idx="28">
                  <c:v>9.9793654579896932E-2</c:v>
                </c:pt>
                <c:pt idx="29">
                  <c:v>0.13173411841419816</c:v>
                </c:pt>
                <c:pt idx="30">
                  <c:v>0.16341590146920104</c:v>
                </c:pt>
                <c:pt idx="31">
                  <c:v>0.18837110801906792</c:v>
                </c:pt>
                <c:pt idx="32">
                  <c:v>0.20828101823948139</c:v>
                </c:pt>
                <c:pt idx="33">
                  <c:v>0.2281673422706591</c:v>
                </c:pt>
                <c:pt idx="34">
                  <c:v>0.23148578704209966</c:v>
                </c:pt>
                <c:pt idx="35">
                  <c:v>0.18222690224754959</c:v>
                </c:pt>
                <c:pt idx="36">
                  <c:v>0.16779279613346057</c:v>
                </c:pt>
                <c:pt idx="37">
                  <c:v>0.27312303426949469</c:v>
                </c:pt>
                <c:pt idx="38">
                  <c:v>0.28243422216890962</c:v>
                </c:pt>
                <c:pt idx="39">
                  <c:v>0.28032351504218334</c:v>
                </c:pt>
                <c:pt idx="40">
                  <c:v>0.27798344088266685</c:v>
                </c:pt>
                <c:pt idx="41">
                  <c:v>0.29883148467739068</c:v>
                </c:pt>
                <c:pt idx="42">
                  <c:v>0.322236448218988</c:v>
                </c:pt>
                <c:pt idx="43">
                  <c:v>0.40865936294658745</c:v>
                </c:pt>
                <c:pt idx="44">
                  <c:v>0.39296394452011496</c:v>
                </c:pt>
                <c:pt idx="45">
                  <c:v>0.47262992016858507</c:v>
                </c:pt>
                <c:pt idx="46">
                  <c:v>0.4767099337516485</c:v>
                </c:pt>
                <c:pt idx="47">
                  <c:v>0.54386372153475881</c:v>
                </c:pt>
                <c:pt idx="48">
                  <c:v>0.56142806788338373</c:v>
                </c:pt>
                <c:pt idx="49">
                  <c:v>0.55332460041388432</c:v>
                </c:pt>
                <c:pt idx="50">
                  <c:v>0.5271363263632417</c:v>
                </c:pt>
                <c:pt idx="51">
                  <c:v>0.57001170086005259</c:v>
                </c:pt>
                <c:pt idx="52">
                  <c:v>0.58129546797171028</c:v>
                </c:pt>
                <c:pt idx="53">
                  <c:v>0.5846398963553916</c:v>
                </c:pt>
                <c:pt idx="54">
                  <c:v>0.61203170266103313</c:v>
                </c:pt>
                <c:pt idx="55">
                  <c:v>0.49037455939507746</c:v>
                </c:pt>
                <c:pt idx="56">
                  <c:v>0.40197701353875664</c:v>
                </c:pt>
                <c:pt idx="57">
                  <c:v>0.36095335734656464</c:v>
                </c:pt>
                <c:pt idx="58">
                  <c:v>0.33935179824363171</c:v>
                </c:pt>
                <c:pt idx="59">
                  <c:v>0.31508571063052282</c:v>
                </c:pt>
                <c:pt idx="60">
                  <c:v>0.29669468575077335</c:v>
                </c:pt>
                <c:pt idx="61">
                  <c:v>0.32864254596394848</c:v>
                </c:pt>
                <c:pt idx="62">
                  <c:v>0.34556116158283012</c:v>
                </c:pt>
                <c:pt idx="63">
                  <c:v>0.35661370345810639</c:v>
                </c:pt>
                <c:pt idx="64">
                  <c:v>0.38749241969158049</c:v>
                </c:pt>
                <c:pt idx="65">
                  <c:v>0.39692511538623199</c:v>
                </c:pt>
                <c:pt idx="66">
                  <c:v>0.43857817917565778</c:v>
                </c:pt>
                <c:pt idx="67">
                  <c:v>0.43189676169210034</c:v>
                </c:pt>
                <c:pt idx="68">
                  <c:v>0.43931623353232002</c:v>
                </c:pt>
                <c:pt idx="69">
                  <c:v>0.47765973914879284</c:v>
                </c:pt>
                <c:pt idx="70">
                  <c:v>0.45995318411223907</c:v>
                </c:pt>
                <c:pt idx="71">
                  <c:v>0.48060678098844772</c:v>
                </c:pt>
                <c:pt idx="72">
                  <c:v>0.48237001879912472</c:v>
                </c:pt>
                <c:pt idx="73">
                  <c:v>0.5034480863231513</c:v>
                </c:pt>
                <c:pt idx="74">
                  <c:v>0.48893568865266079</c:v>
                </c:pt>
                <c:pt idx="75">
                  <c:v>0.554912418578004</c:v>
                </c:pt>
                <c:pt idx="76">
                  <c:v>0.56593340396885561</c:v>
                </c:pt>
                <c:pt idx="77">
                  <c:v>0.5919507834915505</c:v>
                </c:pt>
                <c:pt idx="78">
                  <c:v>0.57941987127891714</c:v>
                </c:pt>
                <c:pt idx="79">
                  <c:v>0.68450570417124457</c:v>
                </c:pt>
                <c:pt idx="80">
                  <c:v>0.69372668849665831</c:v>
                </c:pt>
                <c:pt idx="81">
                  <c:v>0.68168302148159898</c:v>
                </c:pt>
                <c:pt idx="82">
                  <c:v>0.62366805367435962</c:v>
                </c:pt>
                <c:pt idx="83">
                  <c:v>0.61963854761614934</c:v>
                </c:pt>
                <c:pt idx="84">
                  <c:v>0.6051052443828695</c:v>
                </c:pt>
                <c:pt idx="85">
                  <c:v>0.60199915641091828</c:v>
                </c:pt>
                <c:pt idx="86">
                  <c:v>0.63404442564738228</c:v>
                </c:pt>
                <c:pt idx="87">
                  <c:v>0.71549779174956307</c:v>
                </c:pt>
                <c:pt idx="88">
                  <c:v>0.61404557303554452</c:v>
                </c:pt>
                <c:pt idx="89">
                  <c:v>0.58715800703669219</c:v>
                </c:pt>
                <c:pt idx="90">
                  <c:v>0.5518236629560348</c:v>
                </c:pt>
                <c:pt idx="91">
                  <c:v>0.5724006586961643</c:v>
                </c:pt>
                <c:pt idx="92">
                  <c:v>0.64357952366456816</c:v>
                </c:pt>
                <c:pt idx="93">
                  <c:v>0.75522441004504293</c:v>
                </c:pt>
                <c:pt idx="94">
                  <c:v>0.74565675637990758</c:v>
                </c:pt>
                <c:pt idx="95">
                  <c:v>0.78911902434895986</c:v>
                </c:pt>
                <c:pt idx="96">
                  <c:v>0.68202806263532256</c:v>
                </c:pt>
                <c:pt idx="97">
                  <c:v>0.75968411389229518</c:v>
                </c:pt>
                <c:pt idx="98">
                  <c:v>0.77014107682361388</c:v>
                </c:pt>
                <c:pt idx="99">
                  <c:v>0.73955823534392406</c:v>
                </c:pt>
                <c:pt idx="100">
                  <c:v>0.78075998722802087</c:v>
                </c:pt>
                <c:pt idx="101">
                  <c:v>0.77586177106795562</c:v>
                </c:pt>
                <c:pt idx="102">
                  <c:v>0.79279839754302717</c:v>
                </c:pt>
                <c:pt idx="103">
                  <c:v>0.85415458278029865</c:v>
                </c:pt>
                <c:pt idx="104">
                  <c:v>0.84000471595300441</c:v>
                </c:pt>
                <c:pt idx="105">
                  <c:v>0.77102765702862097</c:v>
                </c:pt>
                <c:pt idx="106">
                  <c:v>0.74858566059938492</c:v>
                </c:pt>
                <c:pt idx="107">
                  <c:v>0.7658572926275673</c:v>
                </c:pt>
                <c:pt idx="108">
                  <c:v>0.71812820902110786</c:v>
                </c:pt>
                <c:pt idx="109">
                  <c:v>0.7569347259613961</c:v>
                </c:pt>
                <c:pt idx="110">
                  <c:v>0.7865051455958243</c:v>
                </c:pt>
                <c:pt idx="111">
                  <c:v>0.79352626921138225</c:v>
                </c:pt>
                <c:pt idx="112">
                  <c:v>0.770125377315792</c:v>
                </c:pt>
                <c:pt idx="113">
                  <c:v>0.79217606799388018</c:v>
                </c:pt>
                <c:pt idx="114">
                  <c:v>0.78052017357836001</c:v>
                </c:pt>
                <c:pt idx="115">
                  <c:v>0.76774428409215678</c:v>
                </c:pt>
                <c:pt idx="116">
                  <c:v>0.80560774917694955</c:v>
                </c:pt>
                <c:pt idx="117">
                  <c:v>0.85060489983899878</c:v>
                </c:pt>
                <c:pt idx="118">
                  <c:v>0.81663843758703614</c:v>
                </c:pt>
                <c:pt idx="119">
                  <c:v>0.83040964685934804</c:v>
                </c:pt>
                <c:pt idx="120">
                  <c:v>0.79152201901967822</c:v>
                </c:pt>
                <c:pt idx="121">
                  <c:v>0.7616762098586749</c:v>
                </c:pt>
                <c:pt idx="122">
                  <c:v>0.73797735607747339</c:v>
                </c:pt>
                <c:pt idx="123">
                  <c:v>0.74783016083972143</c:v>
                </c:pt>
                <c:pt idx="124">
                  <c:v>0.7347319317977461</c:v>
                </c:pt>
                <c:pt idx="125">
                  <c:v>0.71150232224877996</c:v>
                </c:pt>
                <c:pt idx="126">
                  <c:v>0.70199769744490248</c:v>
                </c:pt>
                <c:pt idx="127">
                  <c:v>0.7322829489198438</c:v>
                </c:pt>
                <c:pt idx="128">
                  <c:v>0.79440162609587373</c:v>
                </c:pt>
                <c:pt idx="129">
                  <c:v>0.79460283231479889</c:v>
                </c:pt>
                <c:pt idx="130">
                  <c:v>0.77261797978327451</c:v>
                </c:pt>
                <c:pt idx="131">
                  <c:v>0.77970269979646789</c:v>
                </c:pt>
                <c:pt idx="132">
                  <c:v>0.73846831580055627</c:v>
                </c:pt>
                <c:pt idx="133">
                  <c:v>0.80504553116411248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5A-46C7-9882-818CA7556E8D}"/>
            </c:ext>
          </c:extLst>
        </c:ser>
        <c:ser>
          <c:idx val="2"/>
          <c:order val="2"/>
          <c:tx>
            <c:strRef>
              <c:f>畫圖!$B$14:$B$14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畫圖!$C$14:$EF$14</c:f>
              <c:numCache>
                <c:formatCode>General</c:formatCode>
                <c:ptCount val="134"/>
                <c:pt idx="0">
                  <c:v>0.1199414897527061</c:v>
                </c:pt>
                <c:pt idx="1">
                  <c:v>0.20328880129600749</c:v>
                </c:pt>
                <c:pt idx="2">
                  <c:v>0.15576285802875148</c:v>
                </c:pt>
                <c:pt idx="3">
                  <c:v>0.10730871522889163</c:v>
                </c:pt>
                <c:pt idx="4">
                  <c:v>6.6288798730966186E-2</c:v>
                </c:pt>
                <c:pt idx="5">
                  <c:v>7.3963123002645015E-2</c:v>
                </c:pt>
                <c:pt idx="6">
                  <c:v>0.11775048282578732</c:v>
                </c:pt>
                <c:pt idx="7">
                  <c:v>0.1410604547906982</c:v>
                </c:pt>
                <c:pt idx="8">
                  <c:v>6.8817510766447099E-3</c:v>
                </c:pt>
                <c:pt idx="9">
                  <c:v>1.1728948264351516E-2</c:v>
                </c:pt>
                <c:pt idx="10">
                  <c:v>1.6723468331139267E-2</c:v>
                </c:pt>
                <c:pt idx="11">
                  <c:v>9.9482453025238393E-2</c:v>
                </c:pt>
                <c:pt idx="12">
                  <c:v>0.13695824003824489</c:v>
                </c:pt>
                <c:pt idx="13">
                  <c:v>7.8612318140003662E-2</c:v>
                </c:pt>
                <c:pt idx="14">
                  <c:v>-6.8533944156079496E-4</c:v>
                </c:pt>
                <c:pt idx="15">
                  <c:v>-1.8447648070739325E-2</c:v>
                </c:pt>
                <c:pt idx="16">
                  <c:v>-0.18434087525544801</c:v>
                </c:pt>
                <c:pt idx="17">
                  <c:v>-0.25418235477634388</c:v>
                </c:pt>
                <c:pt idx="18">
                  <c:v>-0.35844901941199148</c:v>
                </c:pt>
                <c:pt idx="19">
                  <c:v>-0.33835989222661311</c:v>
                </c:pt>
                <c:pt idx="20">
                  <c:v>-0.26435173283836011</c:v>
                </c:pt>
                <c:pt idx="21">
                  <c:v>-0.15108862452609062</c:v>
                </c:pt>
                <c:pt idx="22">
                  <c:v>-0.15630849912162254</c:v>
                </c:pt>
                <c:pt idx="23">
                  <c:v>-0.11779657284131487</c:v>
                </c:pt>
                <c:pt idx="24">
                  <c:v>-0.15724675314339703</c:v>
                </c:pt>
                <c:pt idx="25">
                  <c:v>-8.6477375796166822E-2</c:v>
                </c:pt>
                <c:pt idx="26">
                  <c:v>-9.9994644599660162E-2</c:v>
                </c:pt>
                <c:pt idx="27">
                  <c:v>-0.1129147512108785</c:v>
                </c:pt>
                <c:pt idx="28">
                  <c:v>-0.21932682345855609</c:v>
                </c:pt>
                <c:pt idx="29">
                  <c:v>-0.17890612091615699</c:v>
                </c:pt>
                <c:pt idx="30">
                  <c:v>-0.15838522626959448</c:v>
                </c:pt>
                <c:pt idx="31">
                  <c:v>-7.7433041845792833E-2</c:v>
                </c:pt>
                <c:pt idx="32">
                  <c:v>-6.6468471163218926E-2</c:v>
                </c:pt>
                <c:pt idx="33">
                  <c:v>2.9826505545565291E-2</c:v>
                </c:pt>
                <c:pt idx="34">
                  <c:v>1.8317042608390111E-2</c:v>
                </c:pt>
                <c:pt idx="35">
                  <c:v>-3.2913140359739385E-2</c:v>
                </c:pt>
                <c:pt idx="36">
                  <c:v>-7.5376996297113197E-2</c:v>
                </c:pt>
                <c:pt idx="37">
                  <c:v>2.3217670472430521E-2</c:v>
                </c:pt>
                <c:pt idx="38">
                  <c:v>8.4123375937840472E-2</c:v>
                </c:pt>
                <c:pt idx="39">
                  <c:v>9.2475157567962693E-2</c:v>
                </c:pt>
                <c:pt idx="40">
                  <c:v>0.12220853806524035</c:v>
                </c:pt>
                <c:pt idx="41">
                  <c:v>0.1297912297326792</c:v>
                </c:pt>
                <c:pt idx="42">
                  <c:v>0.12312189134298977</c:v>
                </c:pt>
                <c:pt idx="43">
                  <c:v>0.20252537105362783</c:v>
                </c:pt>
                <c:pt idx="44">
                  <c:v>0.14510375793949395</c:v>
                </c:pt>
                <c:pt idx="45">
                  <c:v>0.2113625071557525</c:v>
                </c:pt>
                <c:pt idx="46">
                  <c:v>0.192999575649795</c:v>
                </c:pt>
                <c:pt idx="47">
                  <c:v>0.32995060394418774</c:v>
                </c:pt>
                <c:pt idx="48">
                  <c:v>0.3450187227159493</c:v>
                </c:pt>
                <c:pt idx="49">
                  <c:v>0.29167015354379322</c:v>
                </c:pt>
                <c:pt idx="50">
                  <c:v>0.22478032198094461</c:v>
                </c:pt>
                <c:pt idx="51">
                  <c:v>0.28651460398261946</c:v>
                </c:pt>
                <c:pt idx="52">
                  <c:v>0.27669360502734203</c:v>
                </c:pt>
                <c:pt idx="53">
                  <c:v>0.32002138669474745</c:v>
                </c:pt>
                <c:pt idx="54">
                  <c:v>0.36380844923023448</c:v>
                </c:pt>
                <c:pt idx="55">
                  <c:v>0.20997918765622617</c:v>
                </c:pt>
                <c:pt idx="56">
                  <c:v>8.4673881216636382E-2</c:v>
                </c:pt>
                <c:pt idx="57">
                  <c:v>1.1260417037911308E-2</c:v>
                </c:pt>
                <c:pt idx="58">
                  <c:v>5.22914849711432E-2</c:v>
                </c:pt>
                <c:pt idx="59">
                  <c:v>-1.6312710631159487E-2</c:v>
                </c:pt>
                <c:pt idx="60">
                  <c:v>-2.1906462288232315E-2</c:v>
                </c:pt>
                <c:pt idx="61">
                  <c:v>3.7831304554138023E-2</c:v>
                </c:pt>
                <c:pt idx="62">
                  <c:v>7.7088519760565105E-2</c:v>
                </c:pt>
                <c:pt idx="63">
                  <c:v>9.8025057833116491E-2</c:v>
                </c:pt>
                <c:pt idx="64">
                  <c:v>0.13163410351038096</c:v>
                </c:pt>
                <c:pt idx="65">
                  <c:v>0.1473078370033401</c:v>
                </c:pt>
                <c:pt idx="66">
                  <c:v>0.16315136087329088</c:v>
                </c:pt>
                <c:pt idx="67">
                  <c:v>0.13522193134067295</c:v>
                </c:pt>
                <c:pt idx="68">
                  <c:v>9.3727976196095047E-2</c:v>
                </c:pt>
                <c:pt idx="69">
                  <c:v>0.16774093853240638</c:v>
                </c:pt>
                <c:pt idx="70">
                  <c:v>0.17659577389043724</c:v>
                </c:pt>
                <c:pt idx="71">
                  <c:v>0.20232295590686464</c:v>
                </c:pt>
                <c:pt idx="72">
                  <c:v>0.21483090416445796</c:v>
                </c:pt>
                <c:pt idx="73">
                  <c:v>0.26980166428641106</c:v>
                </c:pt>
                <c:pt idx="74">
                  <c:v>0.26320537092144602</c:v>
                </c:pt>
                <c:pt idx="75">
                  <c:v>0.35658004917044561</c:v>
                </c:pt>
                <c:pt idx="76">
                  <c:v>0.45309637375182887</c:v>
                </c:pt>
                <c:pt idx="77">
                  <c:v>0.5125734340453687</c:v>
                </c:pt>
                <c:pt idx="78">
                  <c:v>0.49977935326019007</c:v>
                </c:pt>
                <c:pt idx="79">
                  <c:v>0.59779606319238787</c:v>
                </c:pt>
                <c:pt idx="80">
                  <c:v>0.5256393439806899</c:v>
                </c:pt>
                <c:pt idx="81">
                  <c:v>0.48276193390537298</c:v>
                </c:pt>
                <c:pt idx="82">
                  <c:v>0.4254412702375524</c:v>
                </c:pt>
                <c:pt idx="83">
                  <c:v>0.37656159978148662</c:v>
                </c:pt>
                <c:pt idx="84">
                  <c:v>0.36185998777004386</c:v>
                </c:pt>
                <c:pt idx="85">
                  <c:v>0.33319213282586929</c:v>
                </c:pt>
                <c:pt idx="86">
                  <c:v>0.34720849721651537</c:v>
                </c:pt>
                <c:pt idx="87">
                  <c:v>0.40947845209535183</c:v>
                </c:pt>
                <c:pt idx="88">
                  <c:v>0.29940947912264226</c:v>
                </c:pt>
                <c:pt idx="89">
                  <c:v>0.27638279045171621</c:v>
                </c:pt>
                <c:pt idx="90">
                  <c:v>0.1976190317333921</c:v>
                </c:pt>
                <c:pt idx="91">
                  <c:v>0.29127838947443396</c:v>
                </c:pt>
                <c:pt idx="92">
                  <c:v>0.32350628936182169</c:v>
                </c:pt>
                <c:pt idx="93">
                  <c:v>0.53122600195246972</c:v>
                </c:pt>
                <c:pt idx="94">
                  <c:v>0.53563863548571933</c:v>
                </c:pt>
                <c:pt idx="95">
                  <c:v>0.59751098787732082</c:v>
                </c:pt>
                <c:pt idx="96">
                  <c:v>0.49596598792060631</c:v>
                </c:pt>
                <c:pt idx="97">
                  <c:v>0.64736282907823961</c:v>
                </c:pt>
                <c:pt idx="98">
                  <c:v>0.65559683095861554</c:v>
                </c:pt>
                <c:pt idx="99">
                  <c:v>0.56495760360869185</c:v>
                </c:pt>
                <c:pt idx="100">
                  <c:v>0.66131873373597572</c:v>
                </c:pt>
                <c:pt idx="101">
                  <c:v>0.65101733407755236</c:v>
                </c:pt>
                <c:pt idx="102">
                  <c:v>0.59466545347241684</c:v>
                </c:pt>
                <c:pt idx="103">
                  <c:v>0.68490446702921803</c:v>
                </c:pt>
                <c:pt idx="104">
                  <c:v>0.641905925049018</c:v>
                </c:pt>
                <c:pt idx="105">
                  <c:v>0.56270057320083344</c:v>
                </c:pt>
                <c:pt idx="106">
                  <c:v>0.50017364919437446</c:v>
                </c:pt>
                <c:pt idx="107">
                  <c:v>0.56435405706542907</c:v>
                </c:pt>
                <c:pt idx="108">
                  <c:v>0.51877066133853067</c:v>
                </c:pt>
                <c:pt idx="109">
                  <c:v>0.527183901706201</c:v>
                </c:pt>
                <c:pt idx="110">
                  <c:v>0.56784303634177258</c:v>
                </c:pt>
                <c:pt idx="111">
                  <c:v>0.57663706572909335</c:v>
                </c:pt>
                <c:pt idx="112">
                  <c:v>0.49922378143895713</c:v>
                </c:pt>
                <c:pt idx="113">
                  <c:v>0.53997865327085615</c:v>
                </c:pt>
                <c:pt idx="114">
                  <c:v>0.50755673652907718</c:v>
                </c:pt>
                <c:pt idx="115">
                  <c:v>0.55249247713757277</c:v>
                </c:pt>
                <c:pt idx="116">
                  <c:v>0.65508466650080655</c:v>
                </c:pt>
                <c:pt idx="117">
                  <c:v>0.65870252477253322</c:v>
                </c:pt>
                <c:pt idx="118">
                  <c:v>0.60268323878634278</c:v>
                </c:pt>
                <c:pt idx="119">
                  <c:v>0.65530575824534232</c:v>
                </c:pt>
                <c:pt idx="120">
                  <c:v>0.62026085197442549</c:v>
                </c:pt>
                <c:pt idx="121">
                  <c:v>0.61250656163534267</c:v>
                </c:pt>
                <c:pt idx="122">
                  <c:v>0.49358897506776955</c:v>
                </c:pt>
                <c:pt idx="123">
                  <c:v>0.53874219897225262</c:v>
                </c:pt>
                <c:pt idx="124">
                  <c:v>0.50765022956420958</c:v>
                </c:pt>
                <c:pt idx="125">
                  <c:v>0.47996053220381096</c:v>
                </c:pt>
                <c:pt idx="126">
                  <c:v>0.43229954560146977</c:v>
                </c:pt>
                <c:pt idx="127">
                  <c:v>0.45399713485758658</c:v>
                </c:pt>
                <c:pt idx="128">
                  <c:v>0.56152261805511039</c:v>
                </c:pt>
                <c:pt idx="129">
                  <c:v>0.53641309743684584</c:v>
                </c:pt>
                <c:pt idx="130">
                  <c:v>0.49315307990753821</c:v>
                </c:pt>
                <c:pt idx="131">
                  <c:v>0.45955579210560443</c:v>
                </c:pt>
                <c:pt idx="132">
                  <c:v>0.46295504562367695</c:v>
                </c:pt>
                <c:pt idx="133">
                  <c:v>0.53291146612223506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5A-46C7-9882-818CA7556E8D}"/>
            </c:ext>
          </c:extLst>
        </c:ser>
        <c:ser>
          <c:idx val="3"/>
          <c:order val="3"/>
          <c:tx>
            <c:strRef>
              <c:f>畫圖!$B$15:$B$15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畫圖!$C$15:$EF$15</c:f>
              <c:numCache>
                <c:formatCode>General</c:formatCode>
                <c:ptCount val="134"/>
                <c:pt idx="0">
                  <c:v>0.22764465877785839</c:v>
                </c:pt>
                <c:pt idx="1">
                  <c:v>0.24459752356992412</c:v>
                </c:pt>
                <c:pt idx="2">
                  <c:v>0.23439909729784061</c:v>
                </c:pt>
                <c:pt idx="3">
                  <c:v>0.12583680392465071</c:v>
                </c:pt>
                <c:pt idx="4">
                  <c:v>6.5199875253116435E-2</c:v>
                </c:pt>
                <c:pt idx="5">
                  <c:v>0.11535769975670951</c:v>
                </c:pt>
                <c:pt idx="6">
                  <c:v>0.17378914403657506</c:v>
                </c:pt>
                <c:pt idx="7">
                  <c:v>0.2237506092839647</c:v>
                </c:pt>
                <c:pt idx="8">
                  <c:v>-6.284401845240592E-2</c:v>
                </c:pt>
                <c:pt idx="9">
                  <c:v>-3.0285513295221278E-2</c:v>
                </c:pt>
                <c:pt idx="10">
                  <c:v>-4.7878038157340187E-3</c:v>
                </c:pt>
                <c:pt idx="11">
                  <c:v>0.11608035034524708</c:v>
                </c:pt>
                <c:pt idx="12">
                  <c:v>0.18983769459156169</c:v>
                </c:pt>
                <c:pt idx="13">
                  <c:v>0.12572151156989991</c:v>
                </c:pt>
                <c:pt idx="14">
                  <c:v>7.9822780123968318E-2</c:v>
                </c:pt>
                <c:pt idx="15">
                  <c:v>-4.6868278585845469E-2</c:v>
                </c:pt>
                <c:pt idx="16">
                  <c:v>-0.31687617366799925</c:v>
                </c:pt>
                <c:pt idx="17">
                  <c:v>-0.38367629861111135</c:v>
                </c:pt>
                <c:pt idx="18">
                  <c:v>-0.52064436027838012</c:v>
                </c:pt>
                <c:pt idx="19">
                  <c:v>-0.53777621362649286</c:v>
                </c:pt>
                <c:pt idx="20">
                  <c:v>-0.43523261964374976</c:v>
                </c:pt>
                <c:pt idx="21">
                  <c:v>-0.30838928818007666</c:v>
                </c:pt>
                <c:pt idx="22">
                  <c:v>-0.28775931381425685</c:v>
                </c:pt>
                <c:pt idx="23">
                  <c:v>-0.24103934176089817</c:v>
                </c:pt>
                <c:pt idx="24">
                  <c:v>-0.29512048878893182</c:v>
                </c:pt>
                <c:pt idx="25">
                  <c:v>-0.21142031627310132</c:v>
                </c:pt>
                <c:pt idx="26">
                  <c:v>-0.19493935006491322</c:v>
                </c:pt>
                <c:pt idx="27">
                  <c:v>-0.1760030670340948</c:v>
                </c:pt>
                <c:pt idx="28">
                  <c:v>-0.27380075104304591</c:v>
                </c:pt>
                <c:pt idx="29">
                  <c:v>-0.20798113854600606</c:v>
                </c:pt>
                <c:pt idx="30">
                  <c:v>-0.19785766028435051</c:v>
                </c:pt>
                <c:pt idx="31">
                  <c:v>-6.4890295274627696E-2</c:v>
                </c:pt>
                <c:pt idx="32">
                  <c:v>9.3866649354541892E-3</c:v>
                </c:pt>
                <c:pt idx="33">
                  <c:v>1.3571099567787334E-2</c:v>
                </c:pt>
                <c:pt idx="34">
                  <c:v>-2.3428212188942699E-2</c:v>
                </c:pt>
                <c:pt idx="35">
                  <c:v>-5.5788385985604122E-2</c:v>
                </c:pt>
                <c:pt idx="36">
                  <c:v>-0.12441959307522271</c:v>
                </c:pt>
                <c:pt idx="37">
                  <c:v>-2.2730887162839206E-2</c:v>
                </c:pt>
                <c:pt idx="38">
                  <c:v>4.063892530062789E-2</c:v>
                </c:pt>
                <c:pt idx="39">
                  <c:v>0.1311943003380561</c:v>
                </c:pt>
                <c:pt idx="40">
                  <c:v>0.16764761975829129</c:v>
                </c:pt>
                <c:pt idx="41">
                  <c:v>0.18538144551753064</c:v>
                </c:pt>
                <c:pt idx="42">
                  <c:v>0.13664822416342884</c:v>
                </c:pt>
                <c:pt idx="43">
                  <c:v>0.2076380367671338</c:v>
                </c:pt>
                <c:pt idx="44">
                  <c:v>0.13046395951717202</c:v>
                </c:pt>
                <c:pt idx="45">
                  <c:v>0.16776188821628246</c:v>
                </c:pt>
                <c:pt idx="46">
                  <c:v>0.18342182747086341</c:v>
                </c:pt>
                <c:pt idx="47">
                  <c:v>0.30865580464559861</c:v>
                </c:pt>
                <c:pt idx="48">
                  <c:v>0.33667286875563152</c:v>
                </c:pt>
                <c:pt idx="49">
                  <c:v>0.24534958868712803</c:v>
                </c:pt>
                <c:pt idx="50">
                  <c:v>0.26050132718092522</c:v>
                </c:pt>
                <c:pt idx="51">
                  <c:v>0.37322619325973833</c:v>
                </c:pt>
                <c:pt idx="52">
                  <c:v>0.43538133692756864</c:v>
                </c:pt>
                <c:pt idx="53">
                  <c:v>0.48842461083236471</c:v>
                </c:pt>
                <c:pt idx="54">
                  <c:v>0.53686733185002788</c:v>
                </c:pt>
                <c:pt idx="55">
                  <c:v>0.32599524436004046</c:v>
                </c:pt>
                <c:pt idx="56">
                  <c:v>0.15994402889544365</c:v>
                </c:pt>
                <c:pt idx="57">
                  <c:v>6.1294982489022987E-2</c:v>
                </c:pt>
                <c:pt idx="58">
                  <c:v>8.245409689576258E-2</c:v>
                </c:pt>
                <c:pt idx="59">
                  <c:v>-4.7656158140406829E-2</c:v>
                </c:pt>
                <c:pt idx="60">
                  <c:v>-4.6832405872600791E-2</c:v>
                </c:pt>
                <c:pt idx="61">
                  <c:v>1.2571465468747649E-2</c:v>
                </c:pt>
                <c:pt idx="62">
                  <c:v>7.9396286835476865E-2</c:v>
                </c:pt>
                <c:pt idx="63">
                  <c:v>0.11953885656866675</c:v>
                </c:pt>
                <c:pt idx="64">
                  <c:v>0.14727333252359773</c:v>
                </c:pt>
                <c:pt idx="65">
                  <c:v>0.16145755323140251</c:v>
                </c:pt>
                <c:pt idx="66">
                  <c:v>0.17426048452173026</c:v>
                </c:pt>
                <c:pt idx="67">
                  <c:v>0.12410305539967056</c:v>
                </c:pt>
                <c:pt idx="68">
                  <c:v>0.10727927794938426</c:v>
                </c:pt>
                <c:pt idx="69">
                  <c:v>0.19633948368071868</c:v>
                </c:pt>
                <c:pt idx="70">
                  <c:v>0.1768630638849252</c:v>
                </c:pt>
                <c:pt idx="71">
                  <c:v>0.23577803163747393</c:v>
                </c:pt>
                <c:pt idx="72">
                  <c:v>0.19983214150807022</c:v>
                </c:pt>
                <c:pt idx="73">
                  <c:v>0.22846803657380169</c:v>
                </c:pt>
                <c:pt idx="74">
                  <c:v>0.16677394509474186</c:v>
                </c:pt>
                <c:pt idx="75">
                  <c:v>0.37149396329434703</c:v>
                </c:pt>
                <c:pt idx="76">
                  <c:v>0.46441449710314087</c:v>
                </c:pt>
                <c:pt idx="77">
                  <c:v>0.55709860262637834</c:v>
                </c:pt>
                <c:pt idx="78">
                  <c:v>0.40478033757221688</c:v>
                </c:pt>
                <c:pt idx="79">
                  <c:v>0.52493242153530129</c:v>
                </c:pt>
                <c:pt idx="80">
                  <c:v>0.40841585246518058</c:v>
                </c:pt>
                <c:pt idx="81">
                  <c:v>0.36706642259721306</c:v>
                </c:pt>
                <c:pt idx="82">
                  <c:v>0.28118040106704922</c:v>
                </c:pt>
                <c:pt idx="83">
                  <c:v>0.19983779308372096</c:v>
                </c:pt>
                <c:pt idx="84">
                  <c:v>0.20234873186405333</c:v>
                </c:pt>
                <c:pt idx="85">
                  <c:v>0.11530437579133525</c:v>
                </c:pt>
                <c:pt idx="86">
                  <c:v>0.17197702156343467</c:v>
                </c:pt>
                <c:pt idx="87">
                  <c:v>0.20339899655668298</c:v>
                </c:pt>
                <c:pt idx="88">
                  <c:v>9.5279240843760271E-2</c:v>
                </c:pt>
                <c:pt idx="89">
                  <c:v>5.264512504459997E-2</c:v>
                </c:pt>
                <c:pt idx="90">
                  <c:v>-5.4334119154968129E-2</c:v>
                </c:pt>
                <c:pt idx="91">
                  <c:v>7.5764628518771554E-2</c:v>
                </c:pt>
                <c:pt idx="92">
                  <c:v>5.0801268062332754E-2</c:v>
                </c:pt>
                <c:pt idx="93">
                  <c:v>0.23229020029806785</c:v>
                </c:pt>
                <c:pt idx="94">
                  <c:v>0.22580714919902223</c:v>
                </c:pt>
                <c:pt idx="95">
                  <c:v>0.25802370564407423</c:v>
                </c:pt>
                <c:pt idx="96">
                  <c:v>0.13397377423020612</c:v>
                </c:pt>
                <c:pt idx="97">
                  <c:v>0.31658532194712241</c:v>
                </c:pt>
                <c:pt idx="98">
                  <c:v>0.28932788040162849</c:v>
                </c:pt>
                <c:pt idx="99">
                  <c:v>0.1369401015100605</c:v>
                </c:pt>
                <c:pt idx="100">
                  <c:v>0.22988800584541846</c:v>
                </c:pt>
                <c:pt idx="101">
                  <c:v>0.20612467070493634</c:v>
                </c:pt>
                <c:pt idx="102">
                  <c:v>0.26400681801354281</c:v>
                </c:pt>
                <c:pt idx="103">
                  <c:v>0.4736702200927585</c:v>
                </c:pt>
                <c:pt idx="104">
                  <c:v>0.40597778814763258</c:v>
                </c:pt>
                <c:pt idx="105">
                  <c:v>0.39147106201618631</c:v>
                </c:pt>
                <c:pt idx="106">
                  <c:v>0.33430742728493379</c:v>
                </c:pt>
                <c:pt idx="107">
                  <c:v>0.32825290101232962</c:v>
                </c:pt>
                <c:pt idx="108">
                  <c:v>0.28033541603798728</c:v>
                </c:pt>
                <c:pt idx="109">
                  <c:v>0.27939700127090072</c:v>
                </c:pt>
                <c:pt idx="110">
                  <c:v>0.33350531992803101</c:v>
                </c:pt>
                <c:pt idx="111">
                  <c:v>0.3935290966190883</c:v>
                </c:pt>
                <c:pt idx="112">
                  <c:v>0.32134049881329074</c:v>
                </c:pt>
                <c:pt idx="113">
                  <c:v>0.32103650561046293</c:v>
                </c:pt>
                <c:pt idx="114">
                  <c:v>0.28198438891679717</c:v>
                </c:pt>
                <c:pt idx="115">
                  <c:v>0.36371510116792627</c:v>
                </c:pt>
                <c:pt idx="116">
                  <c:v>0.52326051252719852</c:v>
                </c:pt>
                <c:pt idx="117">
                  <c:v>0.48293031973596506</c:v>
                </c:pt>
                <c:pt idx="118">
                  <c:v>0.40999223983182226</c:v>
                </c:pt>
                <c:pt idx="119">
                  <c:v>0.48000280644976068</c:v>
                </c:pt>
                <c:pt idx="120">
                  <c:v>0.40376089803796356</c:v>
                </c:pt>
                <c:pt idx="121">
                  <c:v>0.35104210804889391</c:v>
                </c:pt>
                <c:pt idx="122">
                  <c:v>0.162401463146506</c:v>
                </c:pt>
                <c:pt idx="123">
                  <c:v>0.20912919249974565</c:v>
                </c:pt>
                <c:pt idx="124">
                  <c:v>0.15868095591679859</c:v>
                </c:pt>
                <c:pt idx="125">
                  <c:v>0.13713528559631857</c:v>
                </c:pt>
                <c:pt idx="126">
                  <c:v>0.22080892028885735</c:v>
                </c:pt>
                <c:pt idx="127">
                  <c:v>0.25740541805266132</c:v>
                </c:pt>
                <c:pt idx="128">
                  <c:v>0.36658235096253988</c:v>
                </c:pt>
                <c:pt idx="129">
                  <c:v>0.31045587069521519</c:v>
                </c:pt>
                <c:pt idx="130">
                  <c:v>0.23429879389859531</c:v>
                </c:pt>
                <c:pt idx="131">
                  <c:v>0.16191547460566635</c:v>
                </c:pt>
                <c:pt idx="132">
                  <c:v>0.15872475410413953</c:v>
                </c:pt>
                <c:pt idx="133">
                  <c:v>0.22442574524298176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5A-46C7-9882-818CA7556E8D}"/>
            </c:ext>
          </c:extLst>
        </c:ser>
        <c:ser>
          <c:idx val="4"/>
          <c:order val="4"/>
          <c:tx>
            <c:strRef>
              <c:f>畫圖!$B$16:$B$16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畫圖!$C$16:$EF$16</c:f>
              <c:numCache>
                <c:formatCode>General</c:formatCode>
                <c:ptCount val="134"/>
                <c:pt idx="0">
                  <c:v>0.20787477708292909</c:v>
                </c:pt>
                <c:pt idx="1">
                  <c:v>0.20715452841561205</c:v>
                </c:pt>
                <c:pt idx="2">
                  <c:v>0.20432435180552666</c:v>
                </c:pt>
                <c:pt idx="3">
                  <c:v>0.10494185895003957</c:v>
                </c:pt>
                <c:pt idx="4">
                  <c:v>3.1245593823115717E-2</c:v>
                </c:pt>
                <c:pt idx="5">
                  <c:v>9.2244598440052561E-2</c:v>
                </c:pt>
                <c:pt idx="6">
                  <c:v>0.14977521710567399</c:v>
                </c:pt>
                <c:pt idx="7">
                  <c:v>0.19648514314834015</c:v>
                </c:pt>
                <c:pt idx="8">
                  <c:v>-8.8185407078191946E-2</c:v>
                </c:pt>
                <c:pt idx="9">
                  <c:v>-7.8298872490323149E-2</c:v>
                </c:pt>
                <c:pt idx="10">
                  <c:v>-3.7964417765082567E-2</c:v>
                </c:pt>
                <c:pt idx="11">
                  <c:v>8.770620777766773E-2</c:v>
                </c:pt>
                <c:pt idx="12">
                  <c:v>0.16753306834878481</c:v>
                </c:pt>
                <c:pt idx="13">
                  <c:v>0.10648783655736251</c:v>
                </c:pt>
                <c:pt idx="14">
                  <c:v>2.5009193251369244E-2</c:v>
                </c:pt>
                <c:pt idx="15">
                  <c:v>-7.8100500636339956E-2</c:v>
                </c:pt>
                <c:pt idx="16">
                  <c:v>-0.36516352103513472</c:v>
                </c:pt>
                <c:pt idx="17">
                  <c:v>-0.43238258119273604</c:v>
                </c:pt>
                <c:pt idx="18">
                  <c:v>-0.56244505262248057</c:v>
                </c:pt>
                <c:pt idx="19">
                  <c:v>-0.5684671979554462</c:v>
                </c:pt>
                <c:pt idx="20">
                  <c:v>-0.46680152190763441</c:v>
                </c:pt>
                <c:pt idx="21">
                  <c:v>-0.34239173819914759</c:v>
                </c:pt>
                <c:pt idx="22">
                  <c:v>-0.32221114977951198</c:v>
                </c:pt>
                <c:pt idx="23">
                  <c:v>-0.27915321889530026</c:v>
                </c:pt>
                <c:pt idx="24">
                  <c:v>-0.32264085473129239</c:v>
                </c:pt>
                <c:pt idx="25">
                  <c:v>-0.247655813093312</c:v>
                </c:pt>
                <c:pt idx="26">
                  <c:v>-0.20042957689075147</c:v>
                </c:pt>
                <c:pt idx="27">
                  <c:v>-0.19930755104167522</c:v>
                </c:pt>
                <c:pt idx="28">
                  <c:v>-0.29580991153028091</c:v>
                </c:pt>
                <c:pt idx="29">
                  <c:v>-0.23212406894869175</c:v>
                </c:pt>
                <c:pt idx="30">
                  <c:v>-0.21883331591215635</c:v>
                </c:pt>
                <c:pt idx="31">
                  <c:v>-7.0431690745003855E-2</c:v>
                </c:pt>
                <c:pt idx="32">
                  <c:v>2.0090958472150991E-2</c:v>
                </c:pt>
                <c:pt idx="33">
                  <c:v>2.4617167491158415E-3</c:v>
                </c:pt>
                <c:pt idx="34">
                  <c:v>-5.5254509808089838E-3</c:v>
                </c:pt>
                <c:pt idx="35">
                  <c:v>-1.0965153611461961E-2</c:v>
                </c:pt>
                <c:pt idx="36">
                  <c:v>-6.3110886091553103E-2</c:v>
                </c:pt>
                <c:pt idx="37">
                  <c:v>4.3345313998122498E-2</c:v>
                </c:pt>
                <c:pt idx="38">
                  <c:v>0.10476998582403482</c:v>
                </c:pt>
                <c:pt idx="39">
                  <c:v>0.19949466839122948</c:v>
                </c:pt>
                <c:pt idx="40">
                  <c:v>0.25399242133511279</c:v>
                </c:pt>
                <c:pt idx="41">
                  <c:v>0.28836440039538375</c:v>
                </c:pt>
                <c:pt idx="42">
                  <c:v>0.23572168215715</c:v>
                </c:pt>
                <c:pt idx="43">
                  <c:v>0.35828572550743482</c:v>
                </c:pt>
                <c:pt idx="44">
                  <c:v>0.27619545366443288</c:v>
                </c:pt>
                <c:pt idx="45">
                  <c:v>0.3282762891011704</c:v>
                </c:pt>
                <c:pt idx="46">
                  <c:v>0.36752921917582104</c:v>
                </c:pt>
                <c:pt idx="47">
                  <c:v>0.46835899241979395</c:v>
                </c:pt>
                <c:pt idx="48">
                  <c:v>0.50217158226413994</c:v>
                </c:pt>
                <c:pt idx="49">
                  <c:v>0.39726194708542772</c:v>
                </c:pt>
                <c:pt idx="50">
                  <c:v>0.3633503851007292</c:v>
                </c:pt>
                <c:pt idx="51">
                  <c:v>0.47138930925346728</c:v>
                </c:pt>
                <c:pt idx="52">
                  <c:v>0.5385107753611591</c:v>
                </c:pt>
                <c:pt idx="53">
                  <c:v>0.57444748690706315</c:v>
                </c:pt>
                <c:pt idx="54">
                  <c:v>0.62585848130153809</c:v>
                </c:pt>
                <c:pt idx="55">
                  <c:v>0.37807162220107798</c:v>
                </c:pt>
                <c:pt idx="56">
                  <c:v>0.21684205261672737</c:v>
                </c:pt>
                <c:pt idx="57">
                  <c:v>0.12068001810899368</c:v>
                </c:pt>
                <c:pt idx="58">
                  <c:v>0.16966995854190467</c:v>
                </c:pt>
                <c:pt idx="59">
                  <c:v>7.3103155016366633E-2</c:v>
                </c:pt>
                <c:pt idx="60">
                  <c:v>7.6075145311563661E-2</c:v>
                </c:pt>
                <c:pt idx="61">
                  <c:v>0.14669871101908682</c:v>
                </c:pt>
                <c:pt idx="62">
                  <c:v>0.22822258606105189</c:v>
                </c:pt>
                <c:pt idx="63">
                  <c:v>0.27612841866507915</c:v>
                </c:pt>
                <c:pt idx="64">
                  <c:v>0.29801877861873682</c:v>
                </c:pt>
                <c:pt idx="65">
                  <c:v>0.3188619621663174</c:v>
                </c:pt>
                <c:pt idx="66">
                  <c:v>0.33533997842124602</c:v>
                </c:pt>
                <c:pt idx="67">
                  <c:v>0.30904313039980164</c:v>
                </c:pt>
                <c:pt idx="68">
                  <c:v>0.29585155725233747</c:v>
                </c:pt>
                <c:pt idx="69">
                  <c:v>0.3813347485201371</c:v>
                </c:pt>
                <c:pt idx="70">
                  <c:v>0.32356963833533664</c:v>
                </c:pt>
                <c:pt idx="71">
                  <c:v>0.38428087778217745</c:v>
                </c:pt>
                <c:pt idx="72">
                  <c:v>0.31853995035564281</c:v>
                </c:pt>
                <c:pt idx="73">
                  <c:v>0.35009918787677374</c:v>
                </c:pt>
                <c:pt idx="74">
                  <c:v>0.29953545502953083</c:v>
                </c:pt>
                <c:pt idx="75">
                  <c:v>0.43111730392018593</c:v>
                </c:pt>
                <c:pt idx="76">
                  <c:v>0.56158718775842165</c:v>
                </c:pt>
                <c:pt idx="77">
                  <c:v>0.67745273674757689</c:v>
                </c:pt>
                <c:pt idx="78">
                  <c:v>0.51838022226364244</c:v>
                </c:pt>
                <c:pt idx="79">
                  <c:v>0.67345149389000425</c:v>
                </c:pt>
                <c:pt idx="80">
                  <c:v>0.54085643309649289</c:v>
                </c:pt>
                <c:pt idx="81">
                  <c:v>0.48805634876121201</c:v>
                </c:pt>
                <c:pt idx="82">
                  <c:v>0.42632847061454543</c:v>
                </c:pt>
                <c:pt idx="83">
                  <c:v>0.37587974591054935</c:v>
                </c:pt>
                <c:pt idx="84">
                  <c:v>0.38012041402270003</c:v>
                </c:pt>
                <c:pt idx="85">
                  <c:v>0.3345968632350334</c:v>
                </c:pt>
                <c:pt idx="86">
                  <c:v>0.41106984695272381</c:v>
                </c:pt>
                <c:pt idx="87">
                  <c:v>0.42694852928743315</c:v>
                </c:pt>
                <c:pt idx="88">
                  <c:v>0.31389269089605853</c:v>
                </c:pt>
                <c:pt idx="89">
                  <c:v>0.28083517575510852</c:v>
                </c:pt>
                <c:pt idx="90">
                  <c:v>0.14619496696120321</c:v>
                </c:pt>
                <c:pt idx="91">
                  <c:v>0.25734641716284751</c:v>
                </c:pt>
                <c:pt idx="92">
                  <c:v>0.23701263734248659</c:v>
                </c:pt>
                <c:pt idx="93">
                  <c:v>0.426299170809885</c:v>
                </c:pt>
                <c:pt idx="94">
                  <c:v>0.38544698321514165</c:v>
                </c:pt>
                <c:pt idx="95">
                  <c:v>0.43435050904657047</c:v>
                </c:pt>
                <c:pt idx="96">
                  <c:v>0.29887880818236434</c:v>
                </c:pt>
                <c:pt idx="97">
                  <c:v>0.47113033082085065</c:v>
                </c:pt>
                <c:pt idx="98">
                  <c:v>0.43945721664916793</c:v>
                </c:pt>
                <c:pt idx="99">
                  <c:v>0.27719124134655171</c:v>
                </c:pt>
                <c:pt idx="100">
                  <c:v>0.35847187922076595</c:v>
                </c:pt>
                <c:pt idx="101">
                  <c:v>0.32574705697862172</c:v>
                </c:pt>
                <c:pt idx="102">
                  <c:v>0.40385335545308432</c:v>
                </c:pt>
                <c:pt idx="103">
                  <c:v>0.63551870135472821</c:v>
                </c:pt>
                <c:pt idx="104">
                  <c:v>0.55225464973174354</c:v>
                </c:pt>
                <c:pt idx="105">
                  <c:v>0.52051093924446357</c:v>
                </c:pt>
                <c:pt idx="106">
                  <c:v>0.48595853888567353</c:v>
                </c:pt>
                <c:pt idx="107">
                  <c:v>0.48326052533334757</c:v>
                </c:pt>
                <c:pt idx="108">
                  <c:v>0.43758361030445514</c:v>
                </c:pt>
                <c:pt idx="109">
                  <c:v>0.44156244226901048</c:v>
                </c:pt>
                <c:pt idx="110">
                  <c:v>0.48696194017027167</c:v>
                </c:pt>
                <c:pt idx="111">
                  <c:v>0.55791699260715721</c:v>
                </c:pt>
                <c:pt idx="112">
                  <c:v>0.50023122325989788</c:v>
                </c:pt>
                <c:pt idx="113">
                  <c:v>0.47835834901012364</c:v>
                </c:pt>
                <c:pt idx="114">
                  <c:v>0.4594479748415804</c:v>
                </c:pt>
                <c:pt idx="115">
                  <c:v>0.57533470658657204</c:v>
                </c:pt>
                <c:pt idx="116">
                  <c:v>0.7449256529746463</c:v>
                </c:pt>
                <c:pt idx="117">
                  <c:v>0.72020906959691078</c:v>
                </c:pt>
                <c:pt idx="118">
                  <c:v>0.65264854965127483</c:v>
                </c:pt>
                <c:pt idx="119">
                  <c:v>0.70783980130079005</c:v>
                </c:pt>
                <c:pt idx="120">
                  <c:v>0.61408773631103575</c:v>
                </c:pt>
                <c:pt idx="121">
                  <c:v>0.55497476123284983</c:v>
                </c:pt>
                <c:pt idx="122">
                  <c:v>0.36486651878693144</c:v>
                </c:pt>
                <c:pt idx="123">
                  <c:v>0.41059483595941842</c:v>
                </c:pt>
                <c:pt idx="124">
                  <c:v>0.38045572396960337</c:v>
                </c:pt>
                <c:pt idx="125">
                  <c:v>0.35850799619356244</c:v>
                </c:pt>
                <c:pt idx="126">
                  <c:v>0.45349286041479941</c:v>
                </c:pt>
                <c:pt idx="127">
                  <c:v>0.46614203200058879</c:v>
                </c:pt>
                <c:pt idx="128">
                  <c:v>0.60594105074397853</c:v>
                </c:pt>
                <c:pt idx="129">
                  <c:v>0.53506560696442751</c:v>
                </c:pt>
                <c:pt idx="130">
                  <c:v>0.46656412639658851</c:v>
                </c:pt>
                <c:pt idx="131">
                  <c:v>0.38627921373775503</c:v>
                </c:pt>
                <c:pt idx="132">
                  <c:v>0.38188253843099534</c:v>
                </c:pt>
                <c:pt idx="133">
                  <c:v>0.42435693992490259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5A-46C7-9882-818CA7556E8D}"/>
            </c:ext>
          </c:extLst>
        </c:ser>
        <c:ser>
          <c:idx val="5"/>
          <c:order val="5"/>
          <c:tx>
            <c:strRef>
              <c:f>畫圖!$B$17:$B$17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畫圖!$C$17:$EF$17</c:f>
              <c:numCache>
                <c:formatCode>General</c:formatCode>
                <c:ptCount val="134"/>
                <c:pt idx="0">
                  <c:v>0.2060921883792059</c:v>
                </c:pt>
                <c:pt idx="1">
                  <c:v>0.1887578136461181</c:v>
                </c:pt>
                <c:pt idx="2">
                  <c:v>0.19613681514141945</c:v>
                </c:pt>
                <c:pt idx="3">
                  <c:v>8.3299300024123751E-2</c:v>
                </c:pt>
                <c:pt idx="4">
                  <c:v>1.2076533145941981E-2</c:v>
                </c:pt>
                <c:pt idx="5">
                  <c:v>8.876435470855884E-2</c:v>
                </c:pt>
                <c:pt idx="6">
                  <c:v>0.20248938251074633</c:v>
                </c:pt>
                <c:pt idx="8">
                  <c:v>-0.29682655110056239</c:v>
                </c:pt>
                <c:pt idx="9">
                  <c:v>-0.28711566159240437</c:v>
                </c:pt>
                <c:pt idx="10">
                  <c:v>-0.22218362660891819</c:v>
                </c:pt>
                <c:pt idx="11">
                  <c:v>-8.6235194556132988E-2</c:v>
                </c:pt>
                <c:pt idx="12">
                  <c:v>1.4991574716202716E-2</c:v>
                </c:pt>
                <c:pt idx="13">
                  <c:v>-5.1347794422628296E-2</c:v>
                </c:pt>
                <c:pt idx="14">
                  <c:v>-0.1516146227261963</c:v>
                </c:pt>
                <c:pt idx="15">
                  <c:v>-0.28804106792644246</c:v>
                </c:pt>
                <c:pt idx="16">
                  <c:v>-0.59869450058174067</c:v>
                </c:pt>
                <c:pt idx="17">
                  <c:v>-0.66989651511454773</c:v>
                </c:pt>
                <c:pt idx="18">
                  <c:v>-0.81116765765310461</c:v>
                </c:pt>
                <c:pt idx="19">
                  <c:v>-0.80715646782340611</c:v>
                </c:pt>
                <c:pt idx="20">
                  <c:v>-0.68755248381109857</c:v>
                </c:pt>
                <c:pt idx="21">
                  <c:v>-0.57070628587029493</c:v>
                </c:pt>
                <c:pt idx="22">
                  <c:v>-0.54777827480764008</c:v>
                </c:pt>
                <c:pt idx="23">
                  <c:v>-0.49390978551677428</c:v>
                </c:pt>
                <c:pt idx="24">
                  <c:v>-0.52911957509897334</c:v>
                </c:pt>
                <c:pt idx="25">
                  <c:v>-0.44426751222080102</c:v>
                </c:pt>
                <c:pt idx="26">
                  <c:v>-0.3855388219303072</c:v>
                </c:pt>
                <c:pt idx="27">
                  <c:v>-0.36362597775666661</c:v>
                </c:pt>
                <c:pt idx="28">
                  <c:v>-0.49078440020389158</c:v>
                </c:pt>
                <c:pt idx="29">
                  <c:v>-0.42935509008195144</c:v>
                </c:pt>
                <c:pt idx="30">
                  <c:v>-0.40661410929416125</c:v>
                </c:pt>
                <c:pt idx="31">
                  <c:v>-0.25958922003835666</c:v>
                </c:pt>
                <c:pt idx="32">
                  <c:v>-0.14472477464007005</c:v>
                </c:pt>
                <c:pt idx="33">
                  <c:v>-0.16693223416481651</c:v>
                </c:pt>
                <c:pt idx="34">
                  <c:v>-0.18025794691718017</c:v>
                </c:pt>
                <c:pt idx="35">
                  <c:v>-0.20727612908586879</c:v>
                </c:pt>
                <c:pt idx="36">
                  <c:v>-0.30062783911239904</c:v>
                </c:pt>
                <c:pt idx="37">
                  <c:v>-0.18734071876648134</c:v>
                </c:pt>
                <c:pt idx="38">
                  <c:v>-0.17470838417075715</c:v>
                </c:pt>
                <c:pt idx="39">
                  <c:v>-8.1290804090195706E-2</c:v>
                </c:pt>
                <c:pt idx="40">
                  <c:v>-2.0013551971973735E-2</c:v>
                </c:pt>
                <c:pt idx="41">
                  <c:v>2.5789073585329093E-2</c:v>
                </c:pt>
                <c:pt idx="42">
                  <c:v>-3.301388335890524E-2</c:v>
                </c:pt>
                <c:pt idx="43">
                  <c:v>9.4057909748346463E-2</c:v>
                </c:pt>
                <c:pt idx="44">
                  <c:v>-2.1641699785758431E-2</c:v>
                </c:pt>
                <c:pt idx="45">
                  <c:v>3.6887749548872951E-2</c:v>
                </c:pt>
                <c:pt idx="46">
                  <c:v>4.5309637590709745E-2</c:v>
                </c:pt>
                <c:pt idx="47">
                  <c:v>0.14155019609950872</c:v>
                </c:pt>
                <c:pt idx="48">
                  <c:v>0.1689738927901096</c:v>
                </c:pt>
                <c:pt idx="49">
                  <c:v>4.3816290529918506E-2</c:v>
                </c:pt>
                <c:pt idx="50">
                  <c:v>5.0446752822279478E-3</c:v>
                </c:pt>
                <c:pt idx="51">
                  <c:v>0.12880873839607235</c:v>
                </c:pt>
                <c:pt idx="52">
                  <c:v>0.21267193357388597</c:v>
                </c:pt>
                <c:pt idx="53">
                  <c:v>0.23502841582009079</c:v>
                </c:pt>
                <c:pt idx="54">
                  <c:v>0.31237865805815118</c:v>
                </c:pt>
                <c:pt idx="55">
                  <c:v>0.16460182777799287</c:v>
                </c:pt>
                <c:pt idx="56">
                  <c:v>-2.1149750352888019E-2</c:v>
                </c:pt>
                <c:pt idx="57">
                  <c:v>-0.15434086367821712</c:v>
                </c:pt>
                <c:pt idx="58">
                  <c:v>-7.3602464119865527E-2</c:v>
                </c:pt>
                <c:pt idx="59">
                  <c:v>-0.17147070848828949</c:v>
                </c:pt>
                <c:pt idx="60">
                  <c:v>-0.185293660558395</c:v>
                </c:pt>
                <c:pt idx="61">
                  <c:v>-0.10781069375844883</c:v>
                </c:pt>
                <c:pt idx="62">
                  <c:v>-3.1812923312588864E-2</c:v>
                </c:pt>
                <c:pt idx="63">
                  <c:v>1.5102602281289124E-2</c:v>
                </c:pt>
                <c:pt idx="64">
                  <c:v>5.0282217698012735E-2</c:v>
                </c:pt>
                <c:pt idx="65">
                  <c:v>8.6278197352493646E-2</c:v>
                </c:pt>
                <c:pt idx="66">
                  <c:v>9.7654707798945251E-2</c:v>
                </c:pt>
                <c:pt idx="67">
                  <c:v>8.8008332674195361E-2</c:v>
                </c:pt>
                <c:pt idx="68">
                  <c:v>8.3904863563588755E-2</c:v>
                </c:pt>
                <c:pt idx="69">
                  <c:v>0.19332124243401205</c:v>
                </c:pt>
                <c:pt idx="70">
                  <c:v>0.12219342368325964</c:v>
                </c:pt>
                <c:pt idx="71">
                  <c:v>0.19240372670288797</c:v>
                </c:pt>
                <c:pt idx="72">
                  <c:v>0.11197201410362206</c:v>
                </c:pt>
                <c:pt idx="73">
                  <c:v>0.1407949787232948</c:v>
                </c:pt>
                <c:pt idx="74">
                  <c:v>5.6549511094600463E-2</c:v>
                </c:pt>
                <c:pt idx="75">
                  <c:v>0.12340704170370664</c:v>
                </c:pt>
                <c:pt idx="76">
                  <c:v>0.25428488947968053</c:v>
                </c:pt>
                <c:pt idx="77">
                  <c:v>0.36345072650042454</c:v>
                </c:pt>
                <c:pt idx="78">
                  <c:v>0.18849275251074363</c:v>
                </c:pt>
                <c:pt idx="79">
                  <c:v>0.36145249372989219</c:v>
                </c:pt>
                <c:pt idx="80">
                  <c:v>0.18633624822384068</c:v>
                </c:pt>
                <c:pt idx="81">
                  <c:v>0.12809745162914415</c:v>
                </c:pt>
                <c:pt idx="82">
                  <c:v>5.338246300041305E-2</c:v>
                </c:pt>
                <c:pt idx="83">
                  <c:v>2.041339082996E-2</c:v>
                </c:pt>
                <c:pt idx="84">
                  <c:v>2.4115174204844561E-2</c:v>
                </c:pt>
                <c:pt idx="85">
                  <c:v>-2.6627147279597488E-2</c:v>
                </c:pt>
                <c:pt idx="86">
                  <c:v>6.5111425378315449E-2</c:v>
                </c:pt>
                <c:pt idx="87">
                  <c:v>5.5685080609284135E-2</c:v>
                </c:pt>
                <c:pt idx="88">
                  <c:v>-3.9808790207269504E-2</c:v>
                </c:pt>
                <c:pt idx="89">
                  <c:v>-6.6526851358256478E-2</c:v>
                </c:pt>
                <c:pt idx="90">
                  <c:v>-0.20393972668778157</c:v>
                </c:pt>
                <c:pt idx="91">
                  <c:v>-9.5718343178892565E-2</c:v>
                </c:pt>
                <c:pt idx="92">
                  <c:v>-4.3811239837166054E-2</c:v>
                </c:pt>
                <c:pt idx="93">
                  <c:v>0.15259139192512325</c:v>
                </c:pt>
                <c:pt idx="94">
                  <c:v>0.12124557352940502</c:v>
                </c:pt>
                <c:pt idx="95">
                  <c:v>0.17989937013201909</c:v>
                </c:pt>
                <c:pt idx="96">
                  <c:v>2.4547477332259704E-2</c:v>
                </c:pt>
                <c:pt idx="97">
                  <c:v>0.1760188621936141</c:v>
                </c:pt>
                <c:pt idx="98">
                  <c:v>0.15286301737876629</c:v>
                </c:pt>
                <c:pt idx="99">
                  <c:v>2.7853161979048885E-2</c:v>
                </c:pt>
                <c:pt idx="100">
                  <c:v>0.10346207538885456</c:v>
                </c:pt>
                <c:pt idx="101">
                  <c:v>7.1869391008513861E-2</c:v>
                </c:pt>
                <c:pt idx="102">
                  <c:v>0.11997919577054754</c:v>
                </c:pt>
                <c:pt idx="103">
                  <c:v>0.34429616706563004</c:v>
                </c:pt>
                <c:pt idx="104">
                  <c:v>0.24544677451582053</c:v>
                </c:pt>
                <c:pt idx="105">
                  <c:v>0.2162913536329398</c:v>
                </c:pt>
                <c:pt idx="106">
                  <c:v>0.19216649028621779</c:v>
                </c:pt>
                <c:pt idx="107">
                  <c:v>0.1764920453496879</c:v>
                </c:pt>
                <c:pt idx="108">
                  <c:v>0.12928105692116412</c:v>
                </c:pt>
                <c:pt idx="109">
                  <c:v>0.14193495158367689</c:v>
                </c:pt>
                <c:pt idx="110">
                  <c:v>0.17697948764962196</c:v>
                </c:pt>
                <c:pt idx="111">
                  <c:v>0.30590454743563145</c:v>
                </c:pt>
                <c:pt idx="112">
                  <c:v>0.23778643594674631</c:v>
                </c:pt>
                <c:pt idx="113">
                  <c:v>0.23385670425561761</c:v>
                </c:pt>
                <c:pt idx="114">
                  <c:v>0.19662922873962529</c:v>
                </c:pt>
                <c:pt idx="115">
                  <c:v>0.30310919134691172</c:v>
                </c:pt>
                <c:pt idx="116">
                  <c:v>0.48287211744564051</c:v>
                </c:pt>
                <c:pt idx="117">
                  <c:v>0.45777468743758581</c:v>
                </c:pt>
                <c:pt idx="118">
                  <c:v>0.39253033930382353</c:v>
                </c:pt>
                <c:pt idx="119">
                  <c:v>0.44841515418015182</c:v>
                </c:pt>
                <c:pt idx="120">
                  <c:v>0.32409899437534095</c:v>
                </c:pt>
                <c:pt idx="121">
                  <c:v>0.26428705914036466</c:v>
                </c:pt>
                <c:pt idx="122">
                  <c:v>0.10473195966192086</c:v>
                </c:pt>
                <c:pt idx="123">
                  <c:v>0.14988079581097963</c:v>
                </c:pt>
                <c:pt idx="124">
                  <c:v>0.10164540284151849</c:v>
                </c:pt>
                <c:pt idx="125">
                  <c:v>0.12468058301070715</c:v>
                </c:pt>
                <c:pt idx="126">
                  <c:v>0.25069112091176188</c:v>
                </c:pt>
                <c:pt idx="127">
                  <c:v>0.2459000676657733</c:v>
                </c:pt>
                <c:pt idx="128">
                  <c:v>0.41047159089788809</c:v>
                </c:pt>
                <c:pt idx="129">
                  <c:v>0.33669062118023524</c:v>
                </c:pt>
                <c:pt idx="130">
                  <c:v>0.21517860391221214</c:v>
                </c:pt>
                <c:pt idx="131">
                  <c:v>0.13232298150872729</c:v>
                </c:pt>
                <c:pt idx="132">
                  <c:v>0.13251650265480672</c:v>
                </c:pt>
                <c:pt idx="133">
                  <c:v>0.18022626966465857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5A-46C7-9882-818CA7556E8D}"/>
            </c:ext>
          </c:extLst>
        </c:ser>
        <c:ser>
          <c:idx val="6"/>
          <c:order val="6"/>
          <c:tx>
            <c:strRef>
              <c:f>畫圖!$B$18:$B$18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畫圖!$C$18:$EF$18</c:f>
              <c:numCache>
                <c:formatCode>General</c:formatCode>
                <c:ptCount val="134"/>
                <c:pt idx="0">
                  <c:v>0.18975112249235829</c:v>
                </c:pt>
                <c:pt idx="1">
                  <c:v>0.18156365541096556</c:v>
                </c:pt>
                <c:pt idx="2">
                  <c:v>0.12256299831275777</c:v>
                </c:pt>
                <c:pt idx="3">
                  <c:v>-1.1851376120627921E-2</c:v>
                </c:pt>
                <c:pt idx="4">
                  <c:v>-9.2645623141487776E-2</c:v>
                </c:pt>
                <c:pt idx="5">
                  <c:v>2.9267166221782326E-2</c:v>
                </c:pt>
                <c:pt idx="6">
                  <c:v>0.16476734644502342</c:v>
                </c:pt>
                <c:pt idx="7">
                  <c:v>0.20817886219666504</c:v>
                </c:pt>
                <c:pt idx="8">
                  <c:v>-0.15050323631123469</c:v>
                </c:pt>
                <c:pt idx="9">
                  <c:v>-0.13752074946425308</c:v>
                </c:pt>
                <c:pt idx="10">
                  <c:v>-5.7818172350276628E-2</c:v>
                </c:pt>
                <c:pt idx="11">
                  <c:v>8.5174254934494473E-2</c:v>
                </c:pt>
                <c:pt idx="12">
                  <c:v>0.18884474456411365</c:v>
                </c:pt>
                <c:pt idx="13">
                  <c:v>0.10629213299416589</c:v>
                </c:pt>
                <c:pt idx="14">
                  <c:v>1.3232543081259679E-2</c:v>
                </c:pt>
                <c:pt idx="15">
                  <c:v>-0.14095664565276173</c:v>
                </c:pt>
                <c:pt idx="16">
                  <c:v>-0.52468927458465608</c:v>
                </c:pt>
                <c:pt idx="17">
                  <c:v>-0.57893371461626475</c:v>
                </c:pt>
                <c:pt idx="18">
                  <c:v>-0.71142873904608372</c:v>
                </c:pt>
                <c:pt idx="19">
                  <c:v>-0.69853360397623288</c:v>
                </c:pt>
                <c:pt idx="20">
                  <c:v>-0.56061636606052667</c:v>
                </c:pt>
                <c:pt idx="21">
                  <c:v>-0.41716484842568607</c:v>
                </c:pt>
                <c:pt idx="22">
                  <c:v>-0.39793251406825053</c:v>
                </c:pt>
                <c:pt idx="23">
                  <c:v>-0.30869815062772765</c:v>
                </c:pt>
                <c:pt idx="24">
                  <c:v>-0.35040339581045171</c:v>
                </c:pt>
                <c:pt idx="25">
                  <c:v>-0.26570509607996751</c:v>
                </c:pt>
                <c:pt idx="26">
                  <c:v>-0.20788208322401025</c:v>
                </c:pt>
                <c:pt idx="27">
                  <c:v>-0.18128649284493006</c:v>
                </c:pt>
                <c:pt idx="28">
                  <c:v>-0.32481573427400456</c:v>
                </c:pt>
                <c:pt idx="29">
                  <c:v>-0.29294231611337895</c:v>
                </c:pt>
                <c:pt idx="30">
                  <c:v>-0.26044920001550287</c:v>
                </c:pt>
                <c:pt idx="31">
                  <c:v>-9.738069519065326E-2</c:v>
                </c:pt>
                <c:pt idx="32">
                  <c:v>2.0705039367346939E-2</c:v>
                </c:pt>
                <c:pt idx="33">
                  <c:v>1.337759547815745E-2</c:v>
                </c:pt>
                <c:pt idx="34">
                  <c:v>4.066752277520061E-2</c:v>
                </c:pt>
                <c:pt idx="35">
                  <c:v>7.854710995591159E-3</c:v>
                </c:pt>
                <c:pt idx="36">
                  <c:v>-8.8198318141226861E-2</c:v>
                </c:pt>
                <c:pt idx="37">
                  <c:v>-8.9036781860250686E-3</c:v>
                </c:pt>
                <c:pt idx="38">
                  <c:v>-3.4761432183322803E-3</c:v>
                </c:pt>
                <c:pt idx="39">
                  <c:v>9.2069649697172462E-2</c:v>
                </c:pt>
                <c:pt idx="40">
                  <c:v>0.15622462336069087</c:v>
                </c:pt>
                <c:pt idx="41">
                  <c:v>0.19522709742345515</c:v>
                </c:pt>
                <c:pt idx="42">
                  <c:v>0.1119739695342692</c:v>
                </c:pt>
                <c:pt idx="43">
                  <c:v>0.27835977895832809</c:v>
                </c:pt>
                <c:pt idx="44">
                  <c:v>0.13946156431210838</c:v>
                </c:pt>
                <c:pt idx="45">
                  <c:v>0.19969722901857823</c:v>
                </c:pt>
                <c:pt idx="46">
                  <c:v>0.22423526325968568</c:v>
                </c:pt>
                <c:pt idx="47">
                  <c:v>0.33179613151552179</c:v>
                </c:pt>
                <c:pt idx="48">
                  <c:v>0.36657941015666984</c:v>
                </c:pt>
                <c:pt idx="49">
                  <c:v>0.21817032776777073</c:v>
                </c:pt>
                <c:pt idx="50">
                  <c:v>0.18286808776100738</c:v>
                </c:pt>
                <c:pt idx="51">
                  <c:v>0.32052412991834445</c:v>
                </c:pt>
                <c:pt idx="52">
                  <c:v>0.40372570251166506</c:v>
                </c:pt>
                <c:pt idx="53">
                  <c:v>0.37970943082436465</c:v>
                </c:pt>
                <c:pt idx="54">
                  <c:v>0.4480706440625275</c:v>
                </c:pt>
                <c:pt idx="55">
                  <c:v>0.2830841493665201</c:v>
                </c:pt>
                <c:pt idx="56">
                  <c:v>0.1363701745382315</c:v>
                </c:pt>
                <c:pt idx="57">
                  <c:v>-1.5280906119110038E-3</c:v>
                </c:pt>
                <c:pt idx="58">
                  <c:v>7.4463003128547617E-2</c:v>
                </c:pt>
                <c:pt idx="59">
                  <c:v>-2.4070853556874175E-2</c:v>
                </c:pt>
                <c:pt idx="60">
                  <c:v>-8.2074097727076772E-2</c:v>
                </c:pt>
                <c:pt idx="61">
                  <c:v>-9.164239068726876E-4</c:v>
                </c:pt>
                <c:pt idx="62">
                  <c:v>0.10185751515656691</c:v>
                </c:pt>
                <c:pt idx="63">
                  <c:v>0.15463190478039707</c:v>
                </c:pt>
                <c:pt idx="64">
                  <c:v>0.17485940088677171</c:v>
                </c:pt>
                <c:pt idx="65">
                  <c:v>0.22171694122145372</c:v>
                </c:pt>
                <c:pt idx="66">
                  <c:v>0.22363372533130271</c:v>
                </c:pt>
                <c:pt idx="67">
                  <c:v>0.21788553174734798</c:v>
                </c:pt>
                <c:pt idx="68">
                  <c:v>0.21390190665022873</c:v>
                </c:pt>
                <c:pt idx="69">
                  <c:v>0.32913865468611536</c:v>
                </c:pt>
                <c:pt idx="70">
                  <c:v>0.24846121064607457</c:v>
                </c:pt>
                <c:pt idx="71">
                  <c:v>0.32938460592311691</c:v>
                </c:pt>
                <c:pt idx="72">
                  <c:v>0.24407351898992147</c:v>
                </c:pt>
                <c:pt idx="73">
                  <c:v>0.26309199370595715</c:v>
                </c:pt>
                <c:pt idx="74">
                  <c:v>0.14001701788193235</c:v>
                </c:pt>
                <c:pt idx="75">
                  <c:v>0.17536467040287035</c:v>
                </c:pt>
                <c:pt idx="76">
                  <c:v>0.28969065735495958</c:v>
                </c:pt>
                <c:pt idx="77">
                  <c:v>0.38707794033436882</c:v>
                </c:pt>
                <c:pt idx="78">
                  <c:v>0.35890449631496868</c:v>
                </c:pt>
                <c:pt idx="79">
                  <c:v>0.55262131496179934</c:v>
                </c:pt>
                <c:pt idx="80">
                  <c:v>0.37469495865292191</c:v>
                </c:pt>
                <c:pt idx="81">
                  <c:v>0.41865270203953059</c:v>
                </c:pt>
                <c:pt idx="82">
                  <c:v>0.32704344647561123</c:v>
                </c:pt>
                <c:pt idx="83">
                  <c:v>0.28167779751645244</c:v>
                </c:pt>
                <c:pt idx="84">
                  <c:v>0.16661848670727394</c:v>
                </c:pt>
                <c:pt idx="85">
                  <c:v>0.10430480888236426</c:v>
                </c:pt>
                <c:pt idx="86">
                  <c:v>0.19497259317464799</c:v>
                </c:pt>
                <c:pt idx="87">
                  <c:v>0.16398304811645487</c:v>
                </c:pt>
                <c:pt idx="88">
                  <c:v>6.1213436488503969E-2</c:v>
                </c:pt>
                <c:pt idx="89">
                  <c:v>2.6127182510327362E-2</c:v>
                </c:pt>
                <c:pt idx="90">
                  <c:v>-0.12447032711191994</c:v>
                </c:pt>
                <c:pt idx="91">
                  <c:v>-8.2000073039865395E-3</c:v>
                </c:pt>
                <c:pt idx="92">
                  <c:v>3.0042668290956163E-2</c:v>
                </c:pt>
                <c:pt idx="93">
                  <c:v>0.22376507594316536</c:v>
                </c:pt>
                <c:pt idx="94">
                  <c:v>0.1660744272917499</c:v>
                </c:pt>
                <c:pt idx="95">
                  <c:v>0.24294465406397286</c:v>
                </c:pt>
                <c:pt idx="96">
                  <c:v>9.837983288783797E-2</c:v>
                </c:pt>
                <c:pt idx="97">
                  <c:v>0.22540210102084487</c:v>
                </c:pt>
                <c:pt idx="98">
                  <c:v>0.19707384443603515</c:v>
                </c:pt>
                <c:pt idx="99">
                  <c:v>4.3998154826881852E-2</c:v>
                </c:pt>
                <c:pt idx="100">
                  <c:v>0.13717653873478936</c:v>
                </c:pt>
                <c:pt idx="101">
                  <c:v>4.5717325322086819E-2</c:v>
                </c:pt>
                <c:pt idx="102">
                  <c:v>0.12260787165438078</c:v>
                </c:pt>
                <c:pt idx="103">
                  <c:v>0.34498998417776328</c:v>
                </c:pt>
                <c:pt idx="104">
                  <c:v>0.26217027696660078</c:v>
                </c:pt>
                <c:pt idx="105">
                  <c:v>0.22115608964726685</c:v>
                </c:pt>
                <c:pt idx="106">
                  <c:v>0.18273550216081597</c:v>
                </c:pt>
                <c:pt idx="107">
                  <c:v>0.15466352708285444</c:v>
                </c:pt>
                <c:pt idx="108">
                  <c:v>9.9893042955980643E-2</c:v>
                </c:pt>
                <c:pt idx="109">
                  <c:v>0.11294307557290913</c:v>
                </c:pt>
                <c:pt idx="110">
                  <c:v>0.13155632360332731</c:v>
                </c:pt>
                <c:pt idx="111">
                  <c:v>0.27775239970273957</c:v>
                </c:pt>
                <c:pt idx="112">
                  <c:v>0.22050180971611355</c:v>
                </c:pt>
                <c:pt idx="113">
                  <c:v>0.2166715356485214</c:v>
                </c:pt>
                <c:pt idx="114">
                  <c:v>0.21142085690625739</c:v>
                </c:pt>
                <c:pt idx="115">
                  <c:v>0.33652954017578807</c:v>
                </c:pt>
                <c:pt idx="116">
                  <c:v>0.55684975196708653</c:v>
                </c:pt>
                <c:pt idx="117">
                  <c:v>0.53533941720759215</c:v>
                </c:pt>
                <c:pt idx="118">
                  <c:v>0.47338388824022476</c:v>
                </c:pt>
                <c:pt idx="119">
                  <c:v>0.55022454301218582</c:v>
                </c:pt>
                <c:pt idx="120">
                  <c:v>0.40250254456045309</c:v>
                </c:pt>
                <c:pt idx="121">
                  <c:v>0.37990150971934566</c:v>
                </c:pt>
                <c:pt idx="122">
                  <c:v>0.21731272529509557</c:v>
                </c:pt>
                <c:pt idx="123">
                  <c:v>0.28784041780117309</c:v>
                </c:pt>
                <c:pt idx="124">
                  <c:v>0.22986303747106124</c:v>
                </c:pt>
                <c:pt idx="125">
                  <c:v>0.29804033099279653</c:v>
                </c:pt>
                <c:pt idx="126">
                  <c:v>0.46380343565479965</c:v>
                </c:pt>
                <c:pt idx="127">
                  <c:v>0.42057558078535778</c:v>
                </c:pt>
                <c:pt idx="128">
                  <c:v>0.61952132894969503</c:v>
                </c:pt>
                <c:pt idx="129">
                  <c:v>0.52247863940741612</c:v>
                </c:pt>
                <c:pt idx="130">
                  <c:v>0.37943840881463065</c:v>
                </c:pt>
                <c:pt idx="131">
                  <c:v>0.29916921268710756</c:v>
                </c:pt>
                <c:pt idx="132">
                  <c:v>0.29805792501474992</c:v>
                </c:pt>
                <c:pt idx="133">
                  <c:v>0.34701294212516648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5A-46C7-9882-818CA7556E8D}"/>
            </c:ext>
          </c:extLst>
        </c:ser>
        <c:ser>
          <c:idx val="7"/>
          <c:order val="7"/>
          <c:tx>
            <c:strRef>
              <c:f>畫圖!$B$19:$B$19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畫圖!$C$19:$EF$19</c:f>
              <c:numCache>
                <c:formatCode>General</c:formatCode>
                <c:ptCount val="134"/>
                <c:pt idx="0">
                  <c:v>0.19660026531165431</c:v>
                </c:pt>
                <c:pt idx="1">
                  <c:v>0.17642946585745856</c:v>
                </c:pt>
                <c:pt idx="2">
                  <c:v>0.12153137209004639</c:v>
                </c:pt>
                <c:pt idx="3">
                  <c:v>8.2884690203802305E-2</c:v>
                </c:pt>
                <c:pt idx="4">
                  <c:v>-1.4627400357797818E-2</c:v>
                </c:pt>
                <c:pt idx="5">
                  <c:v>0.13426672167804948</c:v>
                </c:pt>
                <c:pt idx="6">
                  <c:v>0.26892105456951598</c:v>
                </c:pt>
                <c:pt idx="7">
                  <c:v>0.304350639089707</c:v>
                </c:pt>
                <c:pt idx="8">
                  <c:v>-0.11398721187992722</c:v>
                </c:pt>
                <c:pt idx="9">
                  <c:v>-7.093825424476119E-2</c:v>
                </c:pt>
                <c:pt idx="10">
                  <c:v>1.5272084781356526E-2</c:v>
                </c:pt>
                <c:pt idx="11">
                  <c:v>0.11061997047133743</c:v>
                </c:pt>
                <c:pt idx="12">
                  <c:v>0.20284135349079463</c:v>
                </c:pt>
                <c:pt idx="13">
                  <c:v>0.11030716730409752</c:v>
                </c:pt>
                <c:pt idx="14">
                  <c:v>2.8441054567556689E-2</c:v>
                </c:pt>
                <c:pt idx="15">
                  <c:v>-0.1171422182346534</c:v>
                </c:pt>
                <c:pt idx="16">
                  <c:v>-0.30130233493226144</c:v>
                </c:pt>
                <c:pt idx="17">
                  <c:v>-0.32845661291856054</c:v>
                </c:pt>
                <c:pt idx="18">
                  <c:v>-0.46415495155048375</c:v>
                </c:pt>
                <c:pt idx="19">
                  <c:v>-0.42753626376503245</c:v>
                </c:pt>
                <c:pt idx="20">
                  <c:v>-0.28091527304752234</c:v>
                </c:pt>
                <c:pt idx="21">
                  <c:v>-0.16427622778342893</c:v>
                </c:pt>
                <c:pt idx="22">
                  <c:v>-0.13864759025527243</c:v>
                </c:pt>
                <c:pt idx="23">
                  <c:v>-4.7028479679248864E-2</c:v>
                </c:pt>
                <c:pt idx="24">
                  <c:v>-8.8598664217404602E-2</c:v>
                </c:pt>
                <c:pt idx="25">
                  <c:v>1.3654941666538092E-2</c:v>
                </c:pt>
                <c:pt idx="26">
                  <c:v>4.2107776308229414E-2</c:v>
                </c:pt>
                <c:pt idx="27">
                  <c:v>7.7196704896179746E-2</c:v>
                </c:pt>
                <c:pt idx="28">
                  <c:v>-9.2219356101610056E-2</c:v>
                </c:pt>
                <c:pt idx="29">
                  <c:v>-5.3433689292710307E-2</c:v>
                </c:pt>
                <c:pt idx="30">
                  <c:v>-3.1297470220162486E-2</c:v>
                </c:pt>
                <c:pt idx="31">
                  <c:v>0.17285881694504709</c:v>
                </c:pt>
                <c:pt idx="32">
                  <c:v>0.26440747986972157</c:v>
                </c:pt>
                <c:pt idx="33">
                  <c:v>0.27657467144570208</c:v>
                </c:pt>
                <c:pt idx="34">
                  <c:v>0.32563345607959293</c:v>
                </c:pt>
                <c:pt idx="35">
                  <c:v>0.31071884854979454</c:v>
                </c:pt>
                <c:pt idx="36">
                  <c:v>0.24959471749594783</c:v>
                </c:pt>
                <c:pt idx="37">
                  <c:v>0.33316301186162989</c:v>
                </c:pt>
                <c:pt idx="38">
                  <c:v>0.3590559149070443</c:v>
                </c:pt>
                <c:pt idx="39">
                  <c:v>0.48388416571406123</c:v>
                </c:pt>
                <c:pt idx="40">
                  <c:v>0.52625983087326422</c:v>
                </c:pt>
                <c:pt idx="41">
                  <c:v>0.48511531597768842</c:v>
                </c:pt>
                <c:pt idx="42">
                  <c:v>0.37591643992462209</c:v>
                </c:pt>
                <c:pt idx="43">
                  <c:v>0.56051010373468013</c:v>
                </c:pt>
                <c:pt idx="44">
                  <c:v>0.40749547726041946</c:v>
                </c:pt>
                <c:pt idx="45">
                  <c:v>0.40446286765781142</c:v>
                </c:pt>
                <c:pt idx="46">
                  <c:v>0.42681903581194791</c:v>
                </c:pt>
                <c:pt idx="47">
                  <c:v>0.50702545012236078</c:v>
                </c:pt>
                <c:pt idx="48">
                  <c:v>0.53655442051574065</c:v>
                </c:pt>
                <c:pt idx="49">
                  <c:v>0.34967480234756632</c:v>
                </c:pt>
                <c:pt idx="50">
                  <c:v>0.34816578579173124</c:v>
                </c:pt>
                <c:pt idx="51">
                  <c:v>0.50791198486416289</c:v>
                </c:pt>
                <c:pt idx="52">
                  <c:v>0.57196747121034863</c:v>
                </c:pt>
                <c:pt idx="53">
                  <c:v>0.56873307858028044</c:v>
                </c:pt>
                <c:pt idx="54">
                  <c:v>0.61986495254394702</c:v>
                </c:pt>
                <c:pt idx="55">
                  <c:v>0.47805551758020531</c:v>
                </c:pt>
                <c:pt idx="56">
                  <c:v>0.324746766410417</c:v>
                </c:pt>
                <c:pt idx="57">
                  <c:v>0.18424986045684369</c:v>
                </c:pt>
                <c:pt idx="58">
                  <c:v>0.28553409041605987</c:v>
                </c:pt>
                <c:pt idx="59">
                  <c:v>0.22662187324360414</c:v>
                </c:pt>
                <c:pt idx="60">
                  <c:v>0.17487234715161176</c:v>
                </c:pt>
                <c:pt idx="61">
                  <c:v>0.25483700529811487</c:v>
                </c:pt>
                <c:pt idx="62">
                  <c:v>0.36908760555681058</c:v>
                </c:pt>
                <c:pt idx="63">
                  <c:v>0.43634025302408236</c:v>
                </c:pt>
                <c:pt idx="64">
                  <c:v>0.46206921428919773</c:v>
                </c:pt>
                <c:pt idx="65">
                  <c:v>0.52488802182332983</c:v>
                </c:pt>
                <c:pt idx="66">
                  <c:v>0.53482206627765294</c:v>
                </c:pt>
                <c:pt idx="67">
                  <c:v>0.54149731230117293</c:v>
                </c:pt>
                <c:pt idx="68">
                  <c:v>0.51724097355669085</c:v>
                </c:pt>
                <c:pt idx="69">
                  <c:v>0.65887365341026427</c:v>
                </c:pt>
                <c:pt idx="70">
                  <c:v>0.58293740217602619</c:v>
                </c:pt>
                <c:pt idx="71">
                  <c:v>0.67659264332937252</c:v>
                </c:pt>
                <c:pt idx="72">
                  <c:v>0.56762568194572749</c:v>
                </c:pt>
                <c:pt idx="73">
                  <c:v>0.60171346721758578</c:v>
                </c:pt>
                <c:pt idx="74">
                  <c:v>0.49406373066193759</c:v>
                </c:pt>
                <c:pt idx="75">
                  <c:v>0.49748875883640931</c:v>
                </c:pt>
                <c:pt idx="76">
                  <c:v>0.55370390266965241</c:v>
                </c:pt>
                <c:pt idx="77">
                  <c:v>0.63268071028817796</c:v>
                </c:pt>
                <c:pt idx="78">
                  <c:v>0.60795745752235053</c:v>
                </c:pt>
                <c:pt idx="79">
                  <c:v>0.82357665561606841</c:v>
                </c:pt>
                <c:pt idx="80">
                  <c:v>0.62531082643910918</c:v>
                </c:pt>
                <c:pt idx="81">
                  <c:v>0.70436235140992354</c:v>
                </c:pt>
                <c:pt idx="82">
                  <c:v>0.64724472654296639</c:v>
                </c:pt>
                <c:pt idx="83">
                  <c:v>0.60452968280023223</c:v>
                </c:pt>
                <c:pt idx="84">
                  <c:v>0.49379547504652782</c:v>
                </c:pt>
                <c:pt idx="85">
                  <c:v>0.43185497508049164</c:v>
                </c:pt>
                <c:pt idx="86">
                  <c:v>0.53582269289758988</c:v>
                </c:pt>
                <c:pt idx="87">
                  <c:v>0.49258241292279997</c:v>
                </c:pt>
                <c:pt idx="88">
                  <c:v>0.3823465341854323</c:v>
                </c:pt>
                <c:pt idx="89">
                  <c:v>0.30541387951812882</c:v>
                </c:pt>
                <c:pt idx="90">
                  <c:v>0.13926732174284823</c:v>
                </c:pt>
                <c:pt idx="91">
                  <c:v>0.27668204650068412</c:v>
                </c:pt>
                <c:pt idx="92">
                  <c:v>0.30907665401710277</c:v>
                </c:pt>
                <c:pt idx="93">
                  <c:v>0.48538337826329481</c:v>
                </c:pt>
                <c:pt idx="94">
                  <c:v>0.43113292871496128</c:v>
                </c:pt>
                <c:pt idx="95">
                  <c:v>0.45755413000322021</c:v>
                </c:pt>
                <c:pt idx="96">
                  <c:v>0.31094658674228121</c:v>
                </c:pt>
                <c:pt idx="97">
                  <c:v>0.40549959471366015</c:v>
                </c:pt>
                <c:pt idx="98">
                  <c:v>0.37330746132584458</c:v>
                </c:pt>
                <c:pt idx="99">
                  <c:v>0.22515717052133968</c:v>
                </c:pt>
                <c:pt idx="100">
                  <c:v>0.33304928997853067</c:v>
                </c:pt>
                <c:pt idx="101">
                  <c:v>0.27555002689001873</c:v>
                </c:pt>
                <c:pt idx="102">
                  <c:v>0.39524642510186736</c:v>
                </c:pt>
                <c:pt idx="103">
                  <c:v>0.68138487900317379</c:v>
                </c:pt>
                <c:pt idx="104">
                  <c:v>0.61579729426527696</c:v>
                </c:pt>
                <c:pt idx="105">
                  <c:v>0.609596169010448</c:v>
                </c:pt>
                <c:pt idx="106">
                  <c:v>0.57657775435465597</c:v>
                </c:pt>
                <c:pt idx="107">
                  <c:v>0.55528141192748903</c:v>
                </c:pt>
                <c:pt idx="108">
                  <c:v>0.48890714693305271</c:v>
                </c:pt>
                <c:pt idx="109">
                  <c:v>0.53212775241630417</c:v>
                </c:pt>
                <c:pt idx="110">
                  <c:v>0.59077478542757267</c:v>
                </c:pt>
                <c:pt idx="111">
                  <c:v>0.75602525438664459</c:v>
                </c:pt>
                <c:pt idx="112">
                  <c:v>0.74004096481198067</c:v>
                </c:pt>
                <c:pt idx="113">
                  <c:v>0.72805817890300684</c:v>
                </c:pt>
                <c:pt idx="114">
                  <c:v>0.77415608138863456</c:v>
                </c:pt>
                <c:pt idx="115">
                  <c:v>0.94808438311718291</c:v>
                </c:pt>
                <c:pt idx="116">
                  <c:v>1.1973463348269271</c:v>
                </c:pt>
                <c:pt idx="117">
                  <c:v>1.193343873895635</c:v>
                </c:pt>
                <c:pt idx="118">
                  <c:v>1.1427207024459021</c:v>
                </c:pt>
                <c:pt idx="119">
                  <c:v>1.2186830557709503</c:v>
                </c:pt>
                <c:pt idx="120">
                  <c:v>1.04068750881698</c:v>
                </c:pt>
                <c:pt idx="121">
                  <c:v>1.035654262296875</c:v>
                </c:pt>
                <c:pt idx="122">
                  <c:v>0.84113482283389573</c:v>
                </c:pt>
                <c:pt idx="123">
                  <c:v>0.91272820943129784</c:v>
                </c:pt>
                <c:pt idx="124">
                  <c:v>0.85588422110983686</c:v>
                </c:pt>
                <c:pt idx="125">
                  <c:v>0.9504984144673746</c:v>
                </c:pt>
                <c:pt idx="126">
                  <c:v>1.1026178240718614</c:v>
                </c:pt>
                <c:pt idx="127">
                  <c:v>1.0229742559334263</c:v>
                </c:pt>
                <c:pt idx="128">
                  <c:v>1.2560200862387068</c:v>
                </c:pt>
                <c:pt idx="129">
                  <c:v>1.1497742282132621</c:v>
                </c:pt>
                <c:pt idx="130">
                  <c:v>1.0060000253882531</c:v>
                </c:pt>
                <c:pt idx="131">
                  <c:v>0.91984047459007867</c:v>
                </c:pt>
                <c:pt idx="132">
                  <c:v>0.92714700126720639</c:v>
                </c:pt>
                <c:pt idx="133">
                  <c:v>0.94412495614197556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5A-46C7-9882-818CA7556E8D}"/>
            </c:ext>
          </c:extLst>
        </c:ser>
        <c:ser>
          <c:idx val="8"/>
          <c:order val="8"/>
          <c:tx>
            <c:strRef>
              <c:f>畫圖!$B$20:$B$20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畫圖!$C$20:$EF$20</c:f>
              <c:numCache>
                <c:formatCode>General</c:formatCode>
                <c:ptCount val="134"/>
                <c:pt idx="0">
                  <c:v>0.2015510478639157</c:v>
                </c:pt>
                <c:pt idx="1">
                  <c:v>0.20190276612766125</c:v>
                </c:pt>
                <c:pt idx="2">
                  <c:v>0.21740275427199524</c:v>
                </c:pt>
                <c:pt idx="3">
                  <c:v>0.12618433209994928</c:v>
                </c:pt>
                <c:pt idx="4">
                  <c:v>2.5818420181085378E-2</c:v>
                </c:pt>
                <c:pt idx="5">
                  <c:v>0.19019041830975528</c:v>
                </c:pt>
                <c:pt idx="6">
                  <c:v>0.34833998091085694</c:v>
                </c:pt>
                <c:pt idx="7">
                  <c:v>0.38281123963771319</c:v>
                </c:pt>
                <c:pt idx="8">
                  <c:v>0.29270258551503919</c:v>
                </c:pt>
                <c:pt idx="9">
                  <c:v>0.38841122101957493</c:v>
                </c:pt>
                <c:pt idx="10">
                  <c:v>0.48854463538366094</c:v>
                </c:pt>
                <c:pt idx="11">
                  <c:v>0.59046956442930087</c:v>
                </c:pt>
                <c:pt idx="12">
                  <c:v>0.6895710485737746</c:v>
                </c:pt>
                <c:pt idx="13">
                  <c:v>0.59840112090524933</c:v>
                </c:pt>
                <c:pt idx="14">
                  <c:v>0.49135579945452124</c:v>
                </c:pt>
                <c:pt idx="15">
                  <c:v>0.30041333246500734</c:v>
                </c:pt>
                <c:pt idx="16">
                  <c:v>0.14523071413726474</c:v>
                </c:pt>
                <c:pt idx="17">
                  <c:v>0.1608936246565241</c:v>
                </c:pt>
                <c:pt idx="18">
                  <c:v>1.2243944538749191E-2</c:v>
                </c:pt>
                <c:pt idx="19">
                  <c:v>2.488804765593813E-2</c:v>
                </c:pt>
                <c:pt idx="20">
                  <c:v>0.19797342383351904</c:v>
                </c:pt>
                <c:pt idx="21">
                  <c:v>0.34667062509065261</c:v>
                </c:pt>
                <c:pt idx="22">
                  <c:v>0.38873811462924984</c:v>
                </c:pt>
                <c:pt idx="23">
                  <c:v>0.49435507511290916</c:v>
                </c:pt>
                <c:pt idx="24">
                  <c:v>0.47276052172561206</c:v>
                </c:pt>
                <c:pt idx="25">
                  <c:v>0.55752036245178527</c:v>
                </c:pt>
                <c:pt idx="26">
                  <c:v>0.61396370809230483</c:v>
                </c:pt>
                <c:pt idx="27">
                  <c:v>0.64841761094413453</c:v>
                </c:pt>
                <c:pt idx="28">
                  <c:v>0.44912474660503665</c:v>
                </c:pt>
                <c:pt idx="29">
                  <c:v>0.48816942499261662</c:v>
                </c:pt>
                <c:pt idx="30">
                  <c:v>0.5158286435325089</c:v>
                </c:pt>
                <c:pt idx="31">
                  <c:v>0.7324710961808697</c:v>
                </c:pt>
                <c:pt idx="32">
                  <c:v>0.84880785123619329</c:v>
                </c:pt>
                <c:pt idx="33">
                  <c:v>0.86604956695229451</c:v>
                </c:pt>
                <c:pt idx="34">
                  <c:v>0.93301592809493983</c:v>
                </c:pt>
                <c:pt idx="35">
                  <c:v>0.91223566298634506</c:v>
                </c:pt>
                <c:pt idx="36">
                  <c:v>0.84470580319801791</c:v>
                </c:pt>
                <c:pt idx="37">
                  <c:v>0.92017599671701622</c:v>
                </c:pt>
                <c:pt idx="38">
                  <c:v>0.96546107868170461</c:v>
                </c:pt>
                <c:pt idx="39">
                  <c:v>1.1051813369213648</c:v>
                </c:pt>
                <c:pt idx="40">
                  <c:v>1.1384895680169091</c:v>
                </c:pt>
                <c:pt idx="41">
                  <c:v>1.1087505681666081</c:v>
                </c:pt>
                <c:pt idx="42">
                  <c:v>1.0664588517176321</c:v>
                </c:pt>
                <c:pt idx="43">
                  <c:v>1.3055825991627026</c:v>
                </c:pt>
                <c:pt idx="44">
                  <c:v>1.1625099582355372</c:v>
                </c:pt>
                <c:pt idx="45">
                  <c:v>1.1302633454487738</c:v>
                </c:pt>
                <c:pt idx="46">
                  <c:v>1.1371286136279248</c:v>
                </c:pt>
                <c:pt idx="47">
                  <c:v>1.2478611616266264</c:v>
                </c:pt>
                <c:pt idx="48">
                  <c:v>1.2865358600695358</c:v>
                </c:pt>
                <c:pt idx="49">
                  <c:v>1.072733428892447</c:v>
                </c:pt>
                <c:pt idx="50">
                  <c:v>0.97065585857166781</c:v>
                </c:pt>
                <c:pt idx="51">
                  <c:v>1.1383112819482371</c:v>
                </c:pt>
                <c:pt idx="52">
                  <c:v>1.2089168496259772</c:v>
                </c:pt>
                <c:pt idx="53">
                  <c:v>1.1554870364043799</c:v>
                </c:pt>
                <c:pt idx="54">
                  <c:v>1.1495402392651195</c:v>
                </c:pt>
                <c:pt idx="55">
                  <c:v>1.0115689761961442</c:v>
                </c:pt>
                <c:pt idx="56">
                  <c:v>0.91750692058780392</c:v>
                </c:pt>
                <c:pt idx="57">
                  <c:v>0.76744962002434947</c:v>
                </c:pt>
                <c:pt idx="58">
                  <c:v>0.88170528575887297</c:v>
                </c:pt>
                <c:pt idx="59">
                  <c:v>0.83256550194759893</c:v>
                </c:pt>
                <c:pt idx="60">
                  <c:v>0.77333233410477165</c:v>
                </c:pt>
                <c:pt idx="61">
                  <c:v>0.85962456528122644</c:v>
                </c:pt>
                <c:pt idx="62">
                  <c:v>0.99654222660966474</c:v>
                </c:pt>
                <c:pt idx="63">
                  <c:v>1.1150994680550361</c:v>
                </c:pt>
                <c:pt idx="64">
                  <c:v>1.076637750539057</c:v>
                </c:pt>
                <c:pt idx="65">
                  <c:v>1.1370452713020121</c:v>
                </c:pt>
                <c:pt idx="66">
                  <c:v>1.1524969782628551</c:v>
                </c:pt>
                <c:pt idx="67">
                  <c:v>1.1645706099933277</c:v>
                </c:pt>
                <c:pt idx="68">
                  <c:v>1.1699781161845189</c:v>
                </c:pt>
                <c:pt idx="69">
                  <c:v>1.3177811493631661</c:v>
                </c:pt>
                <c:pt idx="70">
                  <c:v>1.2190261999954595</c:v>
                </c:pt>
                <c:pt idx="71">
                  <c:v>1.3349445315585315</c:v>
                </c:pt>
                <c:pt idx="72">
                  <c:v>1.1994412797460554</c:v>
                </c:pt>
                <c:pt idx="73">
                  <c:v>1.2301349164292996</c:v>
                </c:pt>
                <c:pt idx="74">
                  <c:v>1.1249009500599962</c:v>
                </c:pt>
                <c:pt idx="75">
                  <c:v>1.1306210081816948</c:v>
                </c:pt>
                <c:pt idx="76">
                  <c:v>1.1063724734422689</c:v>
                </c:pt>
                <c:pt idx="77">
                  <c:v>1.1062647183412404</c:v>
                </c:pt>
                <c:pt idx="78">
                  <c:v>1.0802216845581754</c:v>
                </c:pt>
                <c:pt idx="79">
                  <c:v>1.2612491820487723</c:v>
                </c:pt>
                <c:pt idx="80">
                  <c:v>1.0172853865790392</c:v>
                </c:pt>
                <c:pt idx="81">
                  <c:v>1.123070275855131</c:v>
                </c:pt>
                <c:pt idx="82">
                  <c:v>1.047100035112023</c:v>
                </c:pt>
                <c:pt idx="83">
                  <c:v>1.02490480608789</c:v>
                </c:pt>
                <c:pt idx="84">
                  <c:v>0.9396966036528146</c:v>
                </c:pt>
                <c:pt idx="85">
                  <c:v>0.81625628376546355</c:v>
                </c:pt>
                <c:pt idx="86">
                  <c:v>0.90723468051557021</c:v>
                </c:pt>
                <c:pt idx="87">
                  <c:v>0.81504974632644123</c:v>
                </c:pt>
                <c:pt idx="88">
                  <c:v>0.71827394047720339</c:v>
                </c:pt>
                <c:pt idx="89">
                  <c:v>0.74043335184768799</c:v>
                </c:pt>
                <c:pt idx="90">
                  <c:v>0.51191514866614696</c:v>
                </c:pt>
                <c:pt idx="91">
                  <c:v>0.66857590386132992</c:v>
                </c:pt>
                <c:pt idx="92">
                  <c:v>0.69169394916161298</c:v>
                </c:pt>
                <c:pt idx="93">
                  <c:v>0.88718005964655511</c:v>
                </c:pt>
                <c:pt idx="94">
                  <c:v>0.79004296091223303</c:v>
                </c:pt>
                <c:pt idx="95">
                  <c:v>0.8184573683088211</c:v>
                </c:pt>
                <c:pt idx="96">
                  <c:v>0.67172935923719423</c:v>
                </c:pt>
                <c:pt idx="97">
                  <c:v>0.79094348744987897</c:v>
                </c:pt>
                <c:pt idx="98">
                  <c:v>0.7651270848784022</c:v>
                </c:pt>
                <c:pt idx="99">
                  <c:v>0.61997289687853552</c:v>
                </c:pt>
                <c:pt idx="100">
                  <c:v>0.72093955399035903</c:v>
                </c:pt>
                <c:pt idx="101">
                  <c:v>0.7078769201280285</c:v>
                </c:pt>
                <c:pt idx="102">
                  <c:v>0.93249638104106136</c:v>
                </c:pt>
                <c:pt idx="103">
                  <c:v>1.314986301307453</c:v>
                </c:pt>
                <c:pt idx="104">
                  <c:v>1.2776539901690522</c:v>
                </c:pt>
                <c:pt idx="105">
                  <c:v>1.274056805412102</c:v>
                </c:pt>
                <c:pt idx="106">
                  <c:v>1.2636380838052492</c:v>
                </c:pt>
                <c:pt idx="107">
                  <c:v>1.2181381253144508</c:v>
                </c:pt>
                <c:pt idx="108">
                  <c:v>1.1657933120146318</c:v>
                </c:pt>
                <c:pt idx="109">
                  <c:v>1.2138517242001348</c:v>
                </c:pt>
                <c:pt idx="110">
                  <c:v>1.2881000597922281</c:v>
                </c:pt>
                <c:pt idx="111">
                  <c:v>1.4246581522249255</c:v>
                </c:pt>
                <c:pt idx="112">
                  <c:v>1.4038924937369308</c:v>
                </c:pt>
                <c:pt idx="113">
                  <c:v>1.384427120403311</c:v>
                </c:pt>
                <c:pt idx="114">
                  <c:v>1.3415623462949651</c:v>
                </c:pt>
                <c:pt idx="115">
                  <c:v>1.5247970799161339</c:v>
                </c:pt>
                <c:pt idx="116">
                  <c:v>1.7827984433751454</c:v>
                </c:pt>
                <c:pt idx="117">
                  <c:v>1.7611271816100409</c:v>
                </c:pt>
                <c:pt idx="118">
                  <c:v>1.7225868705256724</c:v>
                </c:pt>
                <c:pt idx="119">
                  <c:v>1.8010995305539628</c:v>
                </c:pt>
                <c:pt idx="120">
                  <c:v>1.5950184329756081</c:v>
                </c:pt>
                <c:pt idx="121">
                  <c:v>1.6247037717744506</c:v>
                </c:pt>
                <c:pt idx="122">
                  <c:v>1.3520594439325051</c:v>
                </c:pt>
                <c:pt idx="123">
                  <c:v>1.4541016251149803</c:v>
                </c:pt>
                <c:pt idx="124">
                  <c:v>1.391816233202769</c:v>
                </c:pt>
                <c:pt idx="125">
                  <c:v>1.4896674514074943</c:v>
                </c:pt>
                <c:pt idx="126">
                  <c:v>1.6770692814466877</c:v>
                </c:pt>
                <c:pt idx="127">
                  <c:v>1.6951844079590703</c:v>
                </c:pt>
                <c:pt idx="128">
                  <c:v>1.9888743919232417</c:v>
                </c:pt>
                <c:pt idx="129">
                  <c:v>1.8825621250729545</c:v>
                </c:pt>
                <c:pt idx="130">
                  <c:v>1.751555979310887</c:v>
                </c:pt>
                <c:pt idx="131">
                  <c:v>1.6769303213135596</c:v>
                </c:pt>
                <c:pt idx="132">
                  <c:v>1.6786713010654142</c:v>
                </c:pt>
                <c:pt idx="133">
                  <c:v>1.6989527176813215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45A-46C7-9882-818CA7556E8D}"/>
            </c:ext>
          </c:extLst>
        </c:ser>
        <c:ser>
          <c:idx val="9"/>
          <c:order val="9"/>
          <c:tx>
            <c:strRef>
              <c:f>畫圖!$B$21:$B$21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畫圖!$C$21:$EF$21</c:f>
              <c:numCache>
                <c:formatCode>General</c:formatCode>
                <c:ptCount val="134"/>
                <c:pt idx="0">
                  <c:v>0.21462957980695321</c:v>
                </c:pt>
                <c:pt idx="1">
                  <c:v>0.21426187041179401</c:v>
                </c:pt>
                <c:pt idx="2">
                  <c:v>0.21398251814100216</c:v>
                </c:pt>
                <c:pt idx="3">
                  <c:v>0.16288503429459394</c:v>
                </c:pt>
                <c:pt idx="4">
                  <c:v>0.15558889626674249</c:v>
                </c:pt>
                <c:pt idx="5">
                  <c:v>0.3542569572465083</c:v>
                </c:pt>
                <c:pt idx="6">
                  <c:v>0.50151256537398126</c:v>
                </c:pt>
                <c:pt idx="7">
                  <c:v>0.56194789106562359</c:v>
                </c:pt>
                <c:pt idx="8">
                  <c:v>0.47297487371160152</c:v>
                </c:pt>
                <c:pt idx="9">
                  <c:v>0.58265448116583141</c:v>
                </c:pt>
                <c:pt idx="10">
                  <c:v>0.65831513109259188</c:v>
                </c:pt>
                <c:pt idx="11">
                  <c:v>0.75790254321553341</c:v>
                </c:pt>
                <c:pt idx="12">
                  <c:v>0.88768500174588694</c:v>
                </c:pt>
                <c:pt idx="13">
                  <c:v>0.74291240085620203</c:v>
                </c:pt>
                <c:pt idx="14">
                  <c:v>0.66171703184022868</c:v>
                </c:pt>
                <c:pt idx="15">
                  <c:v>0.51902494111690733</c:v>
                </c:pt>
                <c:pt idx="16">
                  <c:v>0.39043465566695035</c:v>
                </c:pt>
                <c:pt idx="17">
                  <c:v>0.3763942913267454</c:v>
                </c:pt>
                <c:pt idx="18">
                  <c:v>0.29011587371498737</c:v>
                </c:pt>
                <c:pt idx="19">
                  <c:v>0.34367349308101858</c:v>
                </c:pt>
                <c:pt idx="20">
                  <c:v>0.50146197269648118</c:v>
                </c:pt>
                <c:pt idx="21">
                  <c:v>0.69879915128012793</c:v>
                </c:pt>
                <c:pt idx="22">
                  <c:v>0.71963223417256272</c:v>
                </c:pt>
                <c:pt idx="23">
                  <c:v>0.83383622139528724</c:v>
                </c:pt>
                <c:pt idx="24">
                  <c:v>0.85332726493538114</c:v>
                </c:pt>
                <c:pt idx="25">
                  <c:v>0.98316684733245097</c:v>
                </c:pt>
                <c:pt idx="26">
                  <c:v>1.0574679771244733</c:v>
                </c:pt>
                <c:pt idx="27">
                  <c:v>1.1041654016772189</c:v>
                </c:pt>
                <c:pt idx="28">
                  <c:v>0.86370929118403217</c:v>
                </c:pt>
                <c:pt idx="29">
                  <c:v>0.91683490107059518</c:v>
                </c:pt>
                <c:pt idx="30">
                  <c:v>0.96113767886038926</c:v>
                </c:pt>
                <c:pt idx="31">
                  <c:v>1.2014889345191562</c:v>
                </c:pt>
                <c:pt idx="32">
                  <c:v>1.30361261003064</c:v>
                </c:pt>
                <c:pt idx="33">
                  <c:v>1.308798535676341</c:v>
                </c:pt>
                <c:pt idx="34">
                  <c:v>1.4137871458286344</c:v>
                </c:pt>
                <c:pt idx="35">
                  <c:v>1.3763956596938802</c:v>
                </c:pt>
                <c:pt idx="36">
                  <c:v>1.4395213777013638</c:v>
                </c:pt>
                <c:pt idx="37">
                  <c:v>1.5514774337644581</c:v>
                </c:pt>
                <c:pt idx="38">
                  <c:v>1.5992038294081847</c:v>
                </c:pt>
                <c:pt idx="39">
                  <c:v>1.7873050351785038</c:v>
                </c:pt>
                <c:pt idx="40">
                  <c:v>1.8243412236290786</c:v>
                </c:pt>
                <c:pt idx="41">
                  <c:v>1.7901433229982544</c:v>
                </c:pt>
                <c:pt idx="42">
                  <c:v>1.7447366409382463</c:v>
                </c:pt>
                <c:pt idx="43">
                  <c:v>2.0095748984862434</c:v>
                </c:pt>
                <c:pt idx="44">
                  <c:v>1.9461195688729633</c:v>
                </c:pt>
                <c:pt idx="45">
                  <c:v>1.8774056561764838</c:v>
                </c:pt>
                <c:pt idx="46">
                  <c:v>1.8871966861305811</c:v>
                </c:pt>
                <c:pt idx="47">
                  <c:v>2.0303443736003377</c:v>
                </c:pt>
                <c:pt idx="48">
                  <c:v>2.0773656645783758</c:v>
                </c:pt>
                <c:pt idx="49">
                  <c:v>1.8224543946812393</c:v>
                </c:pt>
                <c:pt idx="50">
                  <c:v>1.803161187045532</c:v>
                </c:pt>
                <c:pt idx="51">
                  <c:v>2.0285073220838701</c:v>
                </c:pt>
                <c:pt idx="52">
                  <c:v>2.0668284698090638</c:v>
                </c:pt>
                <c:pt idx="53">
                  <c:v>2.0450776064384359</c:v>
                </c:pt>
                <c:pt idx="54">
                  <c:v>2.0514281398358376</c:v>
                </c:pt>
                <c:pt idx="55">
                  <c:v>1.8523109234052344</c:v>
                </c:pt>
                <c:pt idx="56">
                  <c:v>1.7600253518979807</c:v>
                </c:pt>
                <c:pt idx="57">
                  <c:v>1.6531832422605506</c:v>
                </c:pt>
                <c:pt idx="58">
                  <c:v>1.8070578883528072</c:v>
                </c:pt>
                <c:pt idx="59">
                  <c:v>1.7750753739418152</c:v>
                </c:pt>
                <c:pt idx="60">
                  <c:v>1.7066254935622804</c:v>
                </c:pt>
                <c:pt idx="61">
                  <c:v>1.8493465862086302</c:v>
                </c:pt>
                <c:pt idx="62">
                  <c:v>2.0044665901297298</c:v>
                </c:pt>
                <c:pt idx="63">
                  <c:v>2.0681145381219777</c:v>
                </c:pt>
                <c:pt idx="64">
                  <c:v>2.0042573017082974</c:v>
                </c:pt>
                <c:pt idx="65">
                  <c:v>2.1087664311277119</c:v>
                </c:pt>
                <c:pt idx="66">
                  <c:v>2.1633086619622168</c:v>
                </c:pt>
                <c:pt idx="67">
                  <c:v>2.1756325241460814</c:v>
                </c:pt>
                <c:pt idx="68">
                  <c:v>2.1814926969012576</c:v>
                </c:pt>
                <c:pt idx="69">
                  <c:v>2.3137373908757004</c:v>
                </c:pt>
                <c:pt idx="70">
                  <c:v>2.1782409286771314</c:v>
                </c:pt>
                <c:pt idx="71">
                  <c:v>2.3203839288625847</c:v>
                </c:pt>
                <c:pt idx="72">
                  <c:v>2.1737047319268537</c:v>
                </c:pt>
                <c:pt idx="73">
                  <c:v>2.1707139126424395</c:v>
                </c:pt>
                <c:pt idx="74">
                  <c:v>2.1203340614243231</c:v>
                </c:pt>
                <c:pt idx="75">
                  <c:v>2.0688358574098733</c:v>
                </c:pt>
                <c:pt idx="76">
                  <c:v>2.0307569179346068</c:v>
                </c:pt>
                <c:pt idx="77">
                  <c:v>2.1042230173395358</c:v>
                </c:pt>
                <c:pt idx="78">
                  <c:v>2.0575294678705727</c:v>
                </c:pt>
                <c:pt idx="79">
                  <c:v>2.3455855322330459</c:v>
                </c:pt>
                <c:pt idx="80">
                  <c:v>1.9505095897680005</c:v>
                </c:pt>
                <c:pt idx="81">
                  <c:v>2.0650357473791687</c:v>
                </c:pt>
                <c:pt idx="82">
                  <c:v>1.9799504119050377</c:v>
                </c:pt>
                <c:pt idx="83">
                  <c:v>1.8233239712780691</c:v>
                </c:pt>
                <c:pt idx="84">
                  <c:v>1.7501412442030704</c:v>
                </c:pt>
                <c:pt idx="85">
                  <c:v>1.6645134871865681</c:v>
                </c:pt>
                <c:pt idx="86">
                  <c:v>1.7915640339167023</c:v>
                </c:pt>
                <c:pt idx="87">
                  <c:v>1.6576736092937376</c:v>
                </c:pt>
                <c:pt idx="88">
                  <c:v>1.5414417901131785</c:v>
                </c:pt>
                <c:pt idx="89">
                  <c:v>1.571980680316954</c:v>
                </c:pt>
                <c:pt idx="90">
                  <c:v>1.3341886991775616</c:v>
                </c:pt>
                <c:pt idx="91">
                  <c:v>1.432496005301612</c:v>
                </c:pt>
                <c:pt idx="92">
                  <c:v>1.4554081994711083</c:v>
                </c:pt>
                <c:pt idx="93">
                  <c:v>1.6944681658323761</c:v>
                </c:pt>
                <c:pt idx="94">
                  <c:v>1.6331991296130453</c:v>
                </c:pt>
                <c:pt idx="95">
                  <c:v>1.6811922336860492</c:v>
                </c:pt>
                <c:pt idx="96">
                  <c:v>1.5222756113685991</c:v>
                </c:pt>
                <c:pt idx="97">
                  <c:v>1.6766074561431714</c:v>
                </c:pt>
                <c:pt idx="98">
                  <c:v>1.6458549748351325</c:v>
                </c:pt>
                <c:pt idx="99">
                  <c:v>1.488886127923521</c:v>
                </c:pt>
                <c:pt idx="100">
                  <c:v>1.6413384341688402</c:v>
                </c:pt>
                <c:pt idx="101">
                  <c:v>1.6274912277571396</c:v>
                </c:pt>
                <c:pt idx="102">
                  <c:v>1.903662093759861</c:v>
                </c:pt>
                <c:pt idx="103">
                  <c:v>2.3760128292305378</c:v>
                </c:pt>
                <c:pt idx="104">
                  <c:v>2.222108033860819</c:v>
                </c:pt>
                <c:pt idx="105">
                  <c:v>2.2192892394697483</c:v>
                </c:pt>
                <c:pt idx="106">
                  <c:v>2.1903115024094215</c:v>
                </c:pt>
                <c:pt idx="107">
                  <c:v>2.0415025999196783</c:v>
                </c:pt>
                <c:pt idx="108">
                  <c:v>1.9820930810747648</c:v>
                </c:pt>
                <c:pt idx="109">
                  <c:v>1.9717375095729073</c:v>
                </c:pt>
                <c:pt idx="110">
                  <c:v>2.0618867122907281</c:v>
                </c:pt>
                <c:pt idx="111">
                  <c:v>2.2184924307543699</c:v>
                </c:pt>
                <c:pt idx="112">
                  <c:v>2.1975263686023512</c:v>
                </c:pt>
                <c:pt idx="113">
                  <c:v>2.184789377101338</c:v>
                </c:pt>
                <c:pt idx="114">
                  <c:v>2.1890439411222236</c:v>
                </c:pt>
                <c:pt idx="115">
                  <c:v>2.4093395819867509</c:v>
                </c:pt>
                <c:pt idx="116">
                  <c:v>2.7409663868653968</c:v>
                </c:pt>
                <c:pt idx="117">
                  <c:v>2.7038577537671635</c:v>
                </c:pt>
                <c:pt idx="118">
                  <c:v>2.6756417017147665</c:v>
                </c:pt>
                <c:pt idx="119">
                  <c:v>2.7258125607518471</c:v>
                </c:pt>
                <c:pt idx="120">
                  <c:v>2.5249730869145512</c:v>
                </c:pt>
                <c:pt idx="121">
                  <c:v>2.5301882772612303</c:v>
                </c:pt>
                <c:pt idx="122">
                  <c:v>2.1903816384036623</c:v>
                </c:pt>
                <c:pt idx="123">
                  <c:v>2.3452798895335669</c:v>
                </c:pt>
                <c:pt idx="124">
                  <c:v>2.2226155585872323</c:v>
                </c:pt>
                <c:pt idx="125">
                  <c:v>2.3394444484620149</c:v>
                </c:pt>
                <c:pt idx="126">
                  <c:v>2.5651063296500043</c:v>
                </c:pt>
                <c:pt idx="127">
                  <c:v>2.7449973513749044</c:v>
                </c:pt>
                <c:pt idx="128">
                  <c:v>3.0110541836542506</c:v>
                </c:pt>
                <c:pt idx="129">
                  <c:v>2.9077586246302429</c:v>
                </c:pt>
                <c:pt idx="130">
                  <c:v>2.7676646066780171</c:v>
                </c:pt>
                <c:pt idx="131">
                  <c:v>2.6849345591748057</c:v>
                </c:pt>
                <c:pt idx="132">
                  <c:v>2.6636239668669384</c:v>
                </c:pt>
                <c:pt idx="133">
                  <c:v>2.6448527028248194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45A-46C7-9882-818CA7556E8D}"/>
            </c:ext>
          </c:extLst>
        </c:ser>
        <c:ser>
          <c:idx val="10"/>
          <c:order val="10"/>
          <c:tx>
            <c:strRef>
              <c:f>畫圖!$B$22:$B$22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畫圖!$C$22:$EF$22</c:f>
              <c:numCache>
                <c:formatCode>General</c:formatCode>
                <c:ptCount val="134"/>
                <c:pt idx="0">
                  <c:v>0.20528030103697539</c:v>
                </c:pt>
                <c:pt idx="1">
                  <c:v>0.16059940413348889</c:v>
                </c:pt>
                <c:pt idx="2">
                  <c:v>0.11957187213286984</c:v>
                </c:pt>
                <c:pt idx="3">
                  <c:v>2.2137876553883384E-2</c:v>
                </c:pt>
                <c:pt idx="4">
                  <c:v>-1.0816947695915229E-2</c:v>
                </c:pt>
                <c:pt idx="5">
                  <c:v>0.16793251579170768</c:v>
                </c:pt>
                <c:pt idx="6">
                  <c:v>0.29142568512977746</c:v>
                </c:pt>
                <c:pt idx="7">
                  <c:v>0.34402427439512034</c:v>
                </c:pt>
                <c:pt idx="8">
                  <c:v>0.19073750374061105</c:v>
                </c:pt>
                <c:pt idx="9">
                  <c:v>0.36192086316651229</c:v>
                </c:pt>
                <c:pt idx="10">
                  <c:v>0.13676225810293058</c:v>
                </c:pt>
                <c:pt idx="11">
                  <c:v>0.27004267712617708</c:v>
                </c:pt>
                <c:pt idx="12">
                  <c:v>0.41352302313044947</c:v>
                </c:pt>
                <c:pt idx="13">
                  <c:v>0.34074013900163247</c:v>
                </c:pt>
                <c:pt idx="14">
                  <c:v>0.25145762089778523</c:v>
                </c:pt>
                <c:pt idx="15">
                  <c:v>7.0777890706500618E-2</c:v>
                </c:pt>
                <c:pt idx="16">
                  <c:v>-9.8868664851439969E-2</c:v>
                </c:pt>
                <c:pt idx="17">
                  <c:v>-0.119107277328274</c:v>
                </c:pt>
                <c:pt idx="18">
                  <c:v>-0.22969730073077821</c:v>
                </c:pt>
                <c:pt idx="19">
                  <c:v>-0.19141052421092269</c:v>
                </c:pt>
                <c:pt idx="20">
                  <c:v>1.6069742813374699E-2</c:v>
                </c:pt>
                <c:pt idx="21">
                  <c:v>0.2309697905429397</c:v>
                </c:pt>
                <c:pt idx="22">
                  <c:v>0.24670199895646075</c:v>
                </c:pt>
                <c:pt idx="23">
                  <c:v>0.32225026810230678</c:v>
                </c:pt>
                <c:pt idx="24">
                  <c:v>0.32929828498916353</c:v>
                </c:pt>
                <c:pt idx="25">
                  <c:v>0.46373449770248903</c:v>
                </c:pt>
                <c:pt idx="26">
                  <c:v>0.53815487854291644</c:v>
                </c:pt>
                <c:pt idx="27">
                  <c:v>0.55062218121348894</c:v>
                </c:pt>
                <c:pt idx="28">
                  <c:v>0.32200106960711472</c:v>
                </c:pt>
                <c:pt idx="29">
                  <c:v>0.36918338576513887</c:v>
                </c:pt>
                <c:pt idx="30">
                  <c:v>0.42202492594087276</c:v>
                </c:pt>
                <c:pt idx="31">
                  <c:v>0.66964717210427405</c:v>
                </c:pt>
                <c:pt idx="32">
                  <c:v>0.78065088333122301</c:v>
                </c:pt>
                <c:pt idx="33">
                  <c:v>0.79373242496857999</c:v>
                </c:pt>
                <c:pt idx="34">
                  <c:v>0.7254630968044522</c:v>
                </c:pt>
                <c:pt idx="35">
                  <c:v>0.72431837058070536</c:v>
                </c:pt>
                <c:pt idx="36">
                  <c:v>0.78069212494433293</c:v>
                </c:pt>
                <c:pt idx="37">
                  <c:v>0.89182493460789225</c:v>
                </c:pt>
                <c:pt idx="38">
                  <c:v>0.96654230800159791</c:v>
                </c:pt>
                <c:pt idx="39">
                  <c:v>1.2179373656499648</c:v>
                </c:pt>
                <c:pt idx="40">
                  <c:v>1.1628106449256219</c:v>
                </c:pt>
                <c:pt idx="41">
                  <c:v>1.0546269443773855</c:v>
                </c:pt>
                <c:pt idx="42">
                  <c:v>1.1284706470632191</c:v>
                </c:pt>
                <c:pt idx="43">
                  <c:v>1.1461990180576558</c:v>
                </c:pt>
                <c:pt idx="44">
                  <c:v>1.0362844207394715</c:v>
                </c:pt>
                <c:pt idx="45">
                  <c:v>0.94653043886783883</c:v>
                </c:pt>
                <c:pt idx="46">
                  <c:v>0.91638104966082989</c:v>
                </c:pt>
                <c:pt idx="47">
                  <c:v>1.0901444496408541</c:v>
                </c:pt>
                <c:pt idx="48">
                  <c:v>1.1618778349750847</c:v>
                </c:pt>
                <c:pt idx="49">
                  <c:v>1.0069740566539327</c:v>
                </c:pt>
                <c:pt idx="50">
                  <c:v>0.95779711690671221</c:v>
                </c:pt>
                <c:pt idx="51">
                  <c:v>1.2597270614471352</c:v>
                </c:pt>
                <c:pt idx="52">
                  <c:v>1.1288901233241799</c:v>
                </c:pt>
                <c:pt idx="53">
                  <c:v>1.1067159418583516</c:v>
                </c:pt>
                <c:pt idx="54">
                  <c:v>1.1289321252528322</c:v>
                </c:pt>
                <c:pt idx="55">
                  <c:v>0.92982967670439365</c:v>
                </c:pt>
                <c:pt idx="56">
                  <c:v>0.97106114585717407</c:v>
                </c:pt>
                <c:pt idx="57">
                  <c:v>0.84335413646075785</c:v>
                </c:pt>
                <c:pt idx="58">
                  <c:v>0.93067219563793357</c:v>
                </c:pt>
                <c:pt idx="59">
                  <c:v>0.94090617108703711</c:v>
                </c:pt>
                <c:pt idx="60">
                  <c:v>0.89906653515337198</c:v>
                </c:pt>
                <c:pt idx="61">
                  <c:v>1.0608468742244073</c:v>
                </c:pt>
                <c:pt idx="62">
                  <c:v>1.2526439136804544</c:v>
                </c:pt>
                <c:pt idx="63">
                  <c:v>1.2373163616574121</c:v>
                </c:pt>
                <c:pt idx="64">
                  <c:v>1.1868319325446617</c:v>
                </c:pt>
                <c:pt idx="65">
                  <c:v>1.261667482699768</c:v>
                </c:pt>
                <c:pt idx="66">
                  <c:v>1.2894975800980806</c:v>
                </c:pt>
                <c:pt idx="67">
                  <c:v>1.3103111895645334</c:v>
                </c:pt>
                <c:pt idx="68">
                  <c:v>1.2939384071877342</c:v>
                </c:pt>
                <c:pt idx="69">
                  <c:v>1.4244691105242804</c:v>
                </c:pt>
                <c:pt idx="70">
                  <c:v>1.2115203443862701</c:v>
                </c:pt>
                <c:pt idx="71">
                  <c:v>1.3700643167838791</c:v>
                </c:pt>
                <c:pt idx="72">
                  <c:v>1.1953958188562717</c:v>
                </c:pt>
                <c:pt idx="73">
                  <c:v>1.2320332645482441</c:v>
                </c:pt>
                <c:pt idx="74">
                  <c:v>1.2272864781455095</c:v>
                </c:pt>
                <c:pt idx="75">
                  <c:v>1.1709641258854355</c:v>
                </c:pt>
                <c:pt idx="76">
                  <c:v>1.1075573618210728</c:v>
                </c:pt>
                <c:pt idx="77">
                  <c:v>1.1711616313607616</c:v>
                </c:pt>
                <c:pt idx="78">
                  <c:v>1.1561759279226052</c:v>
                </c:pt>
                <c:pt idx="79">
                  <c:v>1.4900539646353281</c:v>
                </c:pt>
                <c:pt idx="80">
                  <c:v>1.09666662553105</c:v>
                </c:pt>
                <c:pt idx="81">
                  <c:v>1.1974369825651148</c:v>
                </c:pt>
                <c:pt idx="82">
                  <c:v>0.99035164993160174</c:v>
                </c:pt>
                <c:pt idx="83">
                  <c:v>0.83674536512205844</c:v>
                </c:pt>
                <c:pt idx="84">
                  <c:v>0.77212804231168419</c:v>
                </c:pt>
                <c:pt idx="85">
                  <c:v>0.66874853722212146</c:v>
                </c:pt>
                <c:pt idx="86">
                  <c:v>0.70491187982680392</c:v>
                </c:pt>
                <c:pt idx="87">
                  <c:v>0.4642600812017631</c:v>
                </c:pt>
                <c:pt idx="88">
                  <c:v>0.24442759600429981</c:v>
                </c:pt>
                <c:pt idx="89">
                  <c:v>0.2358808241833924</c:v>
                </c:pt>
                <c:pt idx="90">
                  <c:v>5.0595066278165596E-2</c:v>
                </c:pt>
                <c:pt idx="91">
                  <c:v>0.22243879942056441</c:v>
                </c:pt>
                <c:pt idx="92">
                  <c:v>0.2395984149396882</c:v>
                </c:pt>
                <c:pt idx="93">
                  <c:v>0.48637118493157488</c:v>
                </c:pt>
                <c:pt idx="94">
                  <c:v>0.40158924904721049</c:v>
                </c:pt>
                <c:pt idx="95">
                  <c:v>0.43985186362248579</c:v>
                </c:pt>
                <c:pt idx="96">
                  <c:v>0.27249795243611763</c:v>
                </c:pt>
                <c:pt idx="97">
                  <c:v>0.43872063112567194</c:v>
                </c:pt>
                <c:pt idx="98">
                  <c:v>0.42522083258971033</c:v>
                </c:pt>
                <c:pt idx="99">
                  <c:v>0.37092753711590665</c:v>
                </c:pt>
                <c:pt idx="100">
                  <c:v>0.53336740582935338</c:v>
                </c:pt>
                <c:pt idx="101">
                  <c:v>0.52578015938821432</c:v>
                </c:pt>
                <c:pt idx="102">
                  <c:v>0.83123182284306552</c:v>
                </c:pt>
                <c:pt idx="103">
                  <c:v>1.4246069945692972</c:v>
                </c:pt>
                <c:pt idx="104">
                  <c:v>1.2834397588499875</c:v>
                </c:pt>
                <c:pt idx="105">
                  <c:v>1.251729589724162</c:v>
                </c:pt>
                <c:pt idx="106">
                  <c:v>1.269486093226095</c:v>
                </c:pt>
                <c:pt idx="107">
                  <c:v>1.172414387589868</c:v>
                </c:pt>
                <c:pt idx="108">
                  <c:v>1.1005248881728649</c:v>
                </c:pt>
                <c:pt idx="109">
                  <c:v>1.135213640602055</c:v>
                </c:pt>
                <c:pt idx="110">
                  <c:v>1.2163191844423251</c:v>
                </c:pt>
                <c:pt idx="111">
                  <c:v>1.3700189472726549</c:v>
                </c:pt>
                <c:pt idx="112">
                  <c:v>1.3466727706396935</c:v>
                </c:pt>
                <c:pt idx="113">
                  <c:v>1.3434594398965547</c:v>
                </c:pt>
                <c:pt idx="114">
                  <c:v>1.3861359890125955</c:v>
                </c:pt>
                <c:pt idx="115">
                  <c:v>1.6915110172847987</c:v>
                </c:pt>
                <c:pt idx="116">
                  <c:v>1.7672268333397048</c:v>
                </c:pt>
                <c:pt idx="117">
                  <c:v>1.6621277735392261</c:v>
                </c:pt>
                <c:pt idx="118">
                  <c:v>1.6102775717016049</c:v>
                </c:pt>
                <c:pt idx="119">
                  <c:v>1.604185019086287</c:v>
                </c:pt>
                <c:pt idx="120">
                  <c:v>1.4071340975239277</c:v>
                </c:pt>
                <c:pt idx="121">
                  <c:v>1.3800053435457578</c:v>
                </c:pt>
                <c:pt idx="122">
                  <c:v>1.0047364712037856</c:v>
                </c:pt>
                <c:pt idx="123">
                  <c:v>1.1617988407535365</c:v>
                </c:pt>
                <c:pt idx="124">
                  <c:v>1.163906102509251</c:v>
                </c:pt>
                <c:pt idx="125">
                  <c:v>1.3282582265507901</c:v>
                </c:pt>
                <c:pt idx="126">
                  <c:v>1.6460125989152725</c:v>
                </c:pt>
                <c:pt idx="127">
                  <c:v>1.8116388451410281</c:v>
                </c:pt>
                <c:pt idx="128">
                  <c:v>1.9519950071417218</c:v>
                </c:pt>
                <c:pt idx="129">
                  <c:v>1.8090679310893942</c:v>
                </c:pt>
                <c:pt idx="130">
                  <c:v>1.8374967428674451</c:v>
                </c:pt>
                <c:pt idx="131">
                  <c:v>1.7799975242586348</c:v>
                </c:pt>
                <c:pt idx="132">
                  <c:v>1.7323608648739359</c:v>
                </c:pt>
                <c:pt idx="133">
                  <c:v>1.6975706185017636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45A-46C7-9882-818CA7556E8D}"/>
            </c:ext>
          </c:extLst>
        </c:ser>
        <c:ser>
          <c:idx val="11"/>
          <c:order val="11"/>
          <c:tx>
            <c:strRef>
              <c:f>畫圖!$B$23:$B$23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畫圖!$C$23:$EF$23</c:f>
              <c:numCache>
                <c:formatCode>General</c:formatCode>
                <c:ptCount val="134"/>
                <c:pt idx="0">
                  <c:v>0.28298926569632887</c:v>
                </c:pt>
                <c:pt idx="1">
                  <c:v>0.25317859801090681</c:v>
                </c:pt>
                <c:pt idx="2">
                  <c:v>0.1722374254402346</c:v>
                </c:pt>
                <c:pt idx="3">
                  <c:v>3.0572516388332888E-2</c:v>
                </c:pt>
                <c:pt idx="4">
                  <c:v>-2.1651657458165489E-2</c:v>
                </c:pt>
                <c:pt idx="5">
                  <c:v>0.18206665042080961</c:v>
                </c:pt>
                <c:pt idx="6">
                  <c:v>0.33021867902110358</c:v>
                </c:pt>
                <c:pt idx="7">
                  <c:v>0.23205638787465122</c:v>
                </c:pt>
                <c:pt idx="8">
                  <c:v>2.7566911402417626E-2</c:v>
                </c:pt>
                <c:pt idx="9">
                  <c:v>8.1610441178016246E-2</c:v>
                </c:pt>
                <c:pt idx="10">
                  <c:v>-0.18095890586932406</c:v>
                </c:pt>
                <c:pt idx="11">
                  <c:v>-2.4539668233311274E-2</c:v>
                </c:pt>
                <c:pt idx="12">
                  <c:v>0.18002470973969081</c:v>
                </c:pt>
                <c:pt idx="13">
                  <c:v>8.9622998557565434E-2</c:v>
                </c:pt>
                <c:pt idx="14">
                  <c:v>-0.16122667834324134</c:v>
                </c:pt>
                <c:pt idx="15">
                  <c:v>-0.25085468138438599</c:v>
                </c:pt>
                <c:pt idx="16">
                  <c:v>-0.36457921421164807</c:v>
                </c:pt>
                <c:pt idx="17">
                  <c:v>-0.36495258342012682</c:v>
                </c:pt>
                <c:pt idx="18">
                  <c:v>-0.4587100058609212</c:v>
                </c:pt>
                <c:pt idx="19">
                  <c:v>-0.4817394629707123</c:v>
                </c:pt>
                <c:pt idx="20">
                  <c:v>-0.15012031272156778</c:v>
                </c:pt>
                <c:pt idx="21">
                  <c:v>0.11396538224172953</c:v>
                </c:pt>
                <c:pt idx="22">
                  <c:v>0.12862518377221979</c:v>
                </c:pt>
                <c:pt idx="23">
                  <c:v>0.1616576992160951</c:v>
                </c:pt>
                <c:pt idx="24">
                  <c:v>0.16826399118556537</c:v>
                </c:pt>
                <c:pt idx="25">
                  <c:v>0.23230377106234887</c:v>
                </c:pt>
                <c:pt idx="26">
                  <c:v>0.3086501092091869</c:v>
                </c:pt>
                <c:pt idx="27">
                  <c:v>0.32366100956623428</c:v>
                </c:pt>
                <c:pt idx="28">
                  <c:v>-8.6832390462912024E-3</c:v>
                </c:pt>
                <c:pt idx="29">
                  <c:v>5.8223021043460083E-2</c:v>
                </c:pt>
                <c:pt idx="30">
                  <c:v>0.1500966786898203</c:v>
                </c:pt>
                <c:pt idx="31">
                  <c:v>1.4447758339153099E-2</c:v>
                </c:pt>
                <c:pt idx="32">
                  <c:v>0.2235993569594168</c:v>
                </c:pt>
                <c:pt idx="33">
                  <c:v>0.24718679725344098</c:v>
                </c:pt>
                <c:pt idx="34">
                  <c:v>0.26574452799015225</c:v>
                </c:pt>
                <c:pt idx="35">
                  <c:v>0.21443421680766542</c:v>
                </c:pt>
                <c:pt idx="36">
                  <c:v>0.19396367350557936</c:v>
                </c:pt>
                <c:pt idx="37">
                  <c:v>0.43627837286288007</c:v>
                </c:pt>
                <c:pt idx="38">
                  <c:v>0.43094142067145597</c:v>
                </c:pt>
                <c:pt idx="39">
                  <c:v>0.42049359922390628</c:v>
                </c:pt>
                <c:pt idx="40">
                  <c:v>0.59620580780691323</c:v>
                </c:pt>
                <c:pt idx="41">
                  <c:v>0.34274501202656915</c:v>
                </c:pt>
                <c:pt idx="42">
                  <c:v>0.42440863280713936</c:v>
                </c:pt>
                <c:pt idx="43">
                  <c:v>0.53391453577203962</c:v>
                </c:pt>
                <c:pt idx="44">
                  <c:v>0.33031864459045374</c:v>
                </c:pt>
                <c:pt idx="45">
                  <c:v>0.28116857796116174</c:v>
                </c:pt>
                <c:pt idx="46">
                  <c:v>0.22914166812275899</c:v>
                </c:pt>
                <c:pt idx="47">
                  <c:v>0.29897982194980305</c:v>
                </c:pt>
                <c:pt idx="48">
                  <c:v>0.46921380279038516</c:v>
                </c:pt>
                <c:pt idx="49">
                  <c:v>0.40546018538932493</c:v>
                </c:pt>
                <c:pt idx="50">
                  <c:v>0.57754109476505766</c:v>
                </c:pt>
                <c:pt idx="51">
                  <c:v>0.52649161066217254</c:v>
                </c:pt>
                <c:pt idx="52">
                  <c:v>0.22566336148910676</c:v>
                </c:pt>
                <c:pt idx="53">
                  <c:v>0.32049424283555711</c:v>
                </c:pt>
                <c:pt idx="54">
                  <c:v>0.24906348043826054</c:v>
                </c:pt>
                <c:pt idx="55">
                  <c:v>3.9054367577809335E-2</c:v>
                </c:pt>
                <c:pt idx="56">
                  <c:v>7.3154015866352257E-4</c:v>
                </c:pt>
                <c:pt idx="57">
                  <c:v>-6.2633655544574701E-2</c:v>
                </c:pt>
                <c:pt idx="58">
                  <c:v>7.5585899681872404E-2</c:v>
                </c:pt>
                <c:pt idx="59">
                  <c:v>1.7565686137229974E-2</c:v>
                </c:pt>
                <c:pt idx="60">
                  <c:v>1.9599794473707462E-2</c:v>
                </c:pt>
                <c:pt idx="61">
                  <c:v>0.16913409072394706</c:v>
                </c:pt>
                <c:pt idx="62">
                  <c:v>0.35831477751110097</c:v>
                </c:pt>
                <c:pt idx="63">
                  <c:v>0.35136760675228779</c:v>
                </c:pt>
                <c:pt idx="64">
                  <c:v>0.38789254849828686</c:v>
                </c:pt>
                <c:pt idx="65">
                  <c:v>0.48615894770974333</c:v>
                </c:pt>
                <c:pt idx="66">
                  <c:v>0.55820684914500951</c:v>
                </c:pt>
                <c:pt idx="67">
                  <c:v>0.57605117060897237</c:v>
                </c:pt>
                <c:pt idx="68">
                  <c:v>0.50277578195106054</c:v>
                </c:pt>
                <c:pt idx="69">
                  <c:v>0.64642558797705763</c:v>
                </c:pt>
                <c:pt idx="70">
                  <c:v>0.44073785213111172</c:v>
                </c:pt>
                <c:pt idx="71">
                  <c:v>0.55420542049130017</c:v>
                </c:pt>
                <c:pt idx="72">
                  <c:v>0.35205308721560896</c:v>
                </c:pt>
                <c:pt idx="73">
                  <c:v>0.34383996748835582</c:v>
                </c:pt>
                <c:pt idx="74">
                  <c:v>0.3336342747940082</c:v>
                </c:pt>
                <c:pt idx="75">
                  <c:v>0.13130929612042461</c:v>
                </c:pt>
                <c:pt idx="76">
                  <c:v>0.16559291596577116</c:v>
                </c:pt>
                <c:pt idx="77">
                  <c:v>0.12392792758718271</c:v>
                </c:pt>
                <c:pt idx="78">
                  <c:v>0.34888655508286281</c:v>
                </c:pt>
                <c:pt idx="79">
                  <c:v>0.54056301009764796</c:v>
                </c:pt>
                <c:pt idx="80">
                  <c:v>0.42393840330118654</c:v>
                </c:pt>
                <c:pt idx="81">
                  <c:v>0.44009923873126833</c:v>
                </c:pt>
                <c:pt idx="82">
                  <c:v>0.22346199710406534</c:v>
                </c:pt>
                <c:pt idx="83">
                  <c:v>6.1339422786994724E-2</c:v>
                </c:pt>
                <c:pt idx="84">
                  <c:v>-7.3882773864484469E-2</c:v>
                </c:pt>
                <c:pt idx="85">
                  <c:v>-9.3758141414895038E-2</c:v>
                </c:pt>
                <c:pt idx="86">
                  <c:v>2.3588533130664974E-3</c:v>
                </c:pt>
                <c:pt idx="87">
                  <c:v>-0.40630215935435188</c:v>
                </c:pt>
                <c:pt idx="88">
                  <c:v>-0.64100713197045089</c:v>
                </c:pt>
                <c:pt idx="89">
                  <c:v>-0.69401231034025412</c:v>
                </c:pt>
                <c:pt idx="90">
                  <c:v>-0.96246328724340324</c:v>
                </c:pt>
                <c:pt idx="91">
                  <c:v>-0.71636151478718435</c:v>
                </c:pt>
                <c:pt idx="92">
                  <c:v>-0.74106378486656521</c:v>
                </c:pt>
                <c:pt idx="93">
                  <c:v>-0.59006561439261762</c:v>
                </c:pt>
                <c:pt idx="94">
                  <c:v>-0.65522549868582969</c:v>
                </c:pt>
                <c:pt idx="95">
                  <c:v>-0.58983528330587975</c:v>
                </c:pt>
                <c:pt idx="96">
                  <c:v>-0.79193916829303657</c:v>
                </c:pt>
                <c:pt idx="97">
                  <c:v>-0.6386082000214619</c:v>
                </c:pt>
                <c:pt idx="98">
                  <c:v>-0.5744430879056206</c:v>
                </c:pt>
                <c:pt idx="99">
                  <c:v>-0.63630308105290123</c:v>
                </c:pt>
                <c:pt idx="100">
                  <c:v>-0.35459225357888136</c:v>
                </c:pt>
                <c:pt idx="101">
                  <c:v>-0.29331115306424044</c:v>
                </c:pt>
                <c:pt idx="102">
                  <c:v>0.22445980855572195</c:v>
                </c:pt>
                <c:pt idx="103">
                  <c:v>1.0890353831529331</c:v>
                </c:pt>
                <c:pt idx="104">
                  <c:v>0.93108648383468007</c:v>
                </c:pt>
                <c:pt idx="105">
                  <c:v>0.83828780915752699</c:v>
                </c:pt>
                <c:pt idx="106">
                  <c:v>0.89837375666769859</c:v>
                </c:pt>
                <c:pt idx="107">
                  <c:v>0.70699988285524729</c:v>
                </c:pt>
                <c:pt idx="108">
                  <c:v>0.63937945544883801</c:v>
                </c:pt>
                <c:pt idx="109">
                  <c:v>0.74896165381093538</c:v>
                </c:pt>
                <c:pt idx="110">
                  <c:v>0.93387436735904061</c:v>
                </c:pt>
                <c:pt idx="111">
                  <c:v>1.0539069491829594</c:v>
                </c:pt>
                <c:pt idx="112">
                  <c:v>1.0061571521343804</c:v>
                </c:pt>
                <c:pt idx="113">
                  <c:v>1.0323998042390048</c:v>
                </c:pt>
                <c:pt idx="114">
                  <c:v>1.0216894699321799</c:v>
                </c:pt>
                <c:pt idx="115">
                  <c:v>1.2866643264161712</c:v>
                </c:pt>
                <c:pt idx="116">
                  <c:v>1.4107327684039002</c:v>
                </c:pt>
                <c:pt idx="117">
                  <c:v>1.3723283725659019</c:v>
                </c:pt>
                <c:pt idx="118">
                  <c:v>1.2511963313084442</c:v>
                </c:pt>
                <c:pt idx="119">
                  <c:v>1.1613103285771376</c:v>
                </c:pt>
                <c:pt idx="120">
                  <c:v>0.87321375165809134</c:v>
                </c:pt>
                <c:pt idx="121">
                  <c:v>0.89551020872784859</c:v>
                </c:pt>
                <c:pt idx="122">
                  <c:v>0.37026850207474871</c:v>
                </c:pt>
                <c:pt idx="123">
                  <c:v>0.56300990329264566</c:v>
                </c:pt>
                <c:pt idx="124">
                  <c:v>0.82999903626272398</c:v>
                </c:pt>
                <c:pt idx="125">
                  <c:v>1.0010018232311784</c:v>
                </c:pt>
                <c:pt idx="126">
                  <c:v>1.2692237526033023</c:v>
                </c:pt>
                <c:pt idx="127">
                  <c:v>1.3985567681550211</c:v>
                </c:pt>
                <c:pt idx="128">
                  <c:v>1.369797988378616</c:v>
                </c:pt>
                <c:pt idx="129">
                  <c:v>1.231572493255414</c:v>
                </c:pt>
                <c:pt idx="130">
                  <c:v>1.3547774362110787</c:v>
                </c:pt>
                <c:pt idx="131">
                  <c:v>1.3936778587808025</c:v>
                </c:pt>
                <c:pt idx="132">
                  <c:v>1.32446578279581</c:v>
                </c:pt>
                <c:pt idx="133">
                  <c:v>1.2766835042041502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45A-46C7-9882-818CA7556E8D}"/>
            </c:ext>
          </c:extLst>
        </c:ser>
        <c:ser>
          <c:idx val="12"/>
          <c:order val="12"/>
          <c:tx>
            <c:strRef>
              <c:f>畫圖!$B$24:$B$24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畫圖!$C$24:$EF$24</c:f>
              <c:numCache>
                <c:formatCode>General</c:formatCode>
                <c:ptCount val="134"/>
                <c:pt idx="0">
                  <c:v>9.9113364206882743E-2</c:v>
                </c:pt>
                <c:pt idx="1">
                  <c:v>-4.9356457655301555E-3</c:v>
                </c:pt>
                <c:pt idx="2">
                  <c:v>6.6464684403766752E-2</c:v>
                </c:pt>
                <c:pt idx="3">
                  <c:v>-0.16069486223298207</c:v>
                </c:pt>
                <c:pt idx="4">
                  <c:v>6.5065160824590323E-2</c:v>
                </c:pt>
                <c:pt idx="5">
                  <c:v>0.31175188931516012</c:v>
                </c:pt>
                <c:pt idx="6">
                  <c:v>0.30963995611201661</c:v>
                </c:pt>
                <c:pt idx="7">
                  <c:v>0.20966776320188046</c:v>
                </c:pt>
                <c:pt idx="8">
                  <c:v>0.18815248484692035</c:v>
                </c:pt>
                <c:pt idx="9">
                  <c:v>0.28377573535560247</c:v>
                </c:pt>
                <c:pt idx="10">
                  <c:v>-0.17925180884453601</c:v>
                </c:pt>
                <c:pt idx="11">
                  <c:v>-3.5121356444102803E-2</c:v>
                </c:pt>
                <c:pt idx="12">
                  <c:v>0.2001878369613202</c:v>
                </c:pt>
                <c:pt idx="13">
                  <c:v>9.5939422552320699E-2</c:v>
                </c:pt>
                <c:pt idx="14">
                  <c:v>0.18608437135098366</c:v>
                </c:pt>
                <c:pt idx="15">
                  <c:v>7.7718876438792453E-2</c:v>
                </c:pt>
                <c:pt idx="16">
                  <c:v>-0.27479558462137194</c:v>
                </c:pt>
                <c:pt idx="17">
                  <c:v>-0.15110454052958272</c:v>
                </c:pt>
                <c:pt idx="18">
                  <c:v>-0.29962321475350073</c:v>
                </c:pt>
                <c:pt idx="19">
                  <c:v>-0.36676251759112921</c:v>
                </c:pt>
                <c:pt idx="20">
                  <c:v>0.12894946836481341</c:v>
                </c:pt>
                <c:pt idx="21">
                  <c:v>0.24697190087081733</c:v>
                </c:pt>
                <c:pt idx="22">
                  <c:v>0.25644891579723439</c:v>
                </c:pt>
                <c:pt idx="23">
                  <c:v>0.36229124307604138</c:v>
                </c:pt>
                <c:pt idx="24">
                  <c:v>0.37583901131361863</c:v>
                </c:pt>
                <c:pt idx="25">
                  <c:v>0.57117863398886248</c:v>
                </c:pt>
                <c:pt idx="26">
                  <c:v>0.69655901476482751</c:v>
                </c:pt>
                <c:pt idx="27">
                  <c:v>0.70438085365745717</c:v>
                </c:pt>
                <c:pt idx="28">
                  <c:v>0.16312273241117592</c:v>
                </c:pt>
                <c:pt idx="29">
                  <c:v>0.1856447424459664</c:v>
                </c:pt>
                <c:pt idx="30">
                  <c:v>0.32438046007260402</c:v>
                </c:pt>
                <c:pt idx="31">
                  <c:v>2.2257703466028733E-2</c:v>
                </c:pt>
                <c:pt idx="32">
                  <c:v>0.33267193869537104</c:v>
                </c:pt>
                <c:pt idx="33">
                  <c:v>0.41810714048623515</c:v>
                </c:pt>
                <c:pt idx="34">
                  <c:v>0.41954811756618332</c:v>
                </c:pt>
                <c:pt idx="35">
                  <c:v>0.31209369126044173</c:v>
                </c:pt>
                <c:pt idx="36">
                  <c:v>0.32706023659456568</c:v>
                </c:pt>
                <c:pt idx="37">
                  <c:v>0.54824970173999699</c:v>
                </c:pt>
                <c:pt idx="38">
                  <c:v>0.61433981356898704</c:v>
                </c:pt>
                <c:pt idx="39">
                  <c:v>0.19793127967927632</c:v>
                </c:pt>
                <c:pt idx="40">
                  <c:v>0.55442321137679451</c:v>
                </c:pt>
                <c:pt idx="41">
                  <c:v>0.53407236688398008</c:v>
                </c:pt>
                <c:pt idx="42">
                  <c:v>0.53735914059060286</c:v>
                </c:pt>
                <c:pt idx="43">
                  <c:v>0.68812812051628369</c:v>
                </c:pt>
                <c:pt idx="44">
                  <c:v>0.4582871048368638</c:v>
                </c:pt>
                <c:pt idx="45">
                  <c:v>0.70597176506719128</c:v>
                </c:pt>
                <c:pt idx="46">
                  <c:v>0.71095930657823048</c:v>
                </c:pt>
                <c:pt idx="47">
                  <c:v>0.73926549316665502</c:v>
                </c:pt>
                <c:pt idx="48">
                  <c:v>0.90739278705154436</c:v>
                </c:pt>
                <c:pt idx="49">
                  <c:v>0.94525986065120959</c:v>
                </c:pt>
                <c:pt idx="50">
                  <c:v>1.047042554961152</c:v>
                </c:pt>
                <c:pt idx="51">
                  <c:v>0.96088352156581713</c:v>
                </c:pt>
                <c:pt idx="52">
                  <c:v>0.15766750852143974</c:v>
                </c:pt>
                <c:pt idx="53">
                  <c:v>0.34326272776787492</c:v>
                </c:pt>
                <c:pt idx="54">
                  <c:v>0.29719837373618807</c:v>
                </c:pt>
                <c:pt idx="55">
                  <c:v>0.36156879468565162</c:v>
                </c:pt>
                <c:pt idx="56">
                  <c:v>0.45255302239308726</c:v>
                </c:pt>
                <c:pt idx="57">
                  <c:v>0.30487945714136755</c:v>
                </c:pt>
                <c:pt idx="58">
                  <c:v>0.27672782499318938</c:v>
                </c:pt>
                <c:pt idx="59">
                  <c:v>0.33729507931564878</c:v>
                </c:pt>
                <c:pt idx="60">
                  <c:v>0.34131862620993503</c:v>
                </c:pt>
                <c:pt idx="61">
                  <c:v>0.65848292013465159</c:v>
                </c:pt>
                <c:pt idx="62">
                  <c:v>0.66995593925238872</c:v>
                </c:pt>
                <c:pt idx="63">
                  <c:v>0.67680528109796345</c:v>
                </c:pt>
                <c:pt idx="64">
                  <c:v>0.51569559000232157</c:v>
                </c:pt>
                <c:pt idx="65">
                  <c:v>0.63904677113164343</c:v>
                </c:pt>
                <c:pt idx="66">
                  <c:v>0.57487713780152838</c:v>
                </c:pt>
                <c:pt idx="67">
                  <c:v>0.61723336110494609</c:v>
                </c:pt>
                <c:pt idx="68">
                  <c:v>0.61594864362048918</c:v>
                </c:pt>
                <c:pt idx="69">
                  <c:v>0.73221933967467645</c:v>
                </c:pt>
                <c:pt idx="70">
                  <c:v>0.50389270811473574</c:v>
                </c:pt>
                <c:pt idx="71">
                  <c:v>0.61162116200271865</c:v>
                </c:pt>
                <c:pt idx="72">
                  <c:v>0.54978527836712554</c:v>
                </c:pt>
                <c:pt idx="73">
                  <c:v>0.41682522265666777</c:v>
                </c:pt>
                <c:pt idx="74">
                  <c:v>0.52657089182408512</c:v>
                </c:pt>
                <c:pt idx="75">
                  <c:v>0.20624146456652753</c:v>
                </c:pt>
                <c:pt idx="76">
                  <c:v>0.29159360335376067</c:v>
                </c:pt>
                <c:pt idx="77">
                  <c:v>0.35572068650980276</c:v>
                </c:pt>
                <c:pt idx="78">
                  <c:v>0.79557519877673633</c:v>
                </c:pt>
                <c:pt idx="79">
                  <c:v>0.93988150951893124</c:v>
                </c:pt>
                <c:pt idx="80">
                  <c:v>0.72976007428284284</c:v>
                </c:pt>
                <c:pt idx="81">
                  <c:v>0.68579544028611128</c:v>
                </c:pt>
                <c:pt idx="82">
                  <c:v>0.16582647421218921</c:v>
                </c:pt>
                <c:pt idx="83">
                  <c:v>-4.7146409817129087E-2</c:v>
                </c:pt>
                <c:pt idx="84">
                  <c:v>-0.34074605346681297</c:v>
                </c:pt>
                <c:pt idx="85">
                  <c:v>-0.32763656804739338</c:v>
                </c:pt>
                <c:pt idx="86">
                  <c:v>-0.23410648873169682</c:v>
                </c:pt>
                <c:pt idx="87">
                  <c:v>-9.2351155359156112E-2</c:v>
                </c:pt>
                <c:pt idx="88">
                  <c:v>-0.72878441971866681</c:v>
                </c:pt>
                <c:pt idx="89">
                  <c:v>-0.83652318617587995</c:v>
                </c:pt>
                <c:pt idx="90">
                  <c:v>-1.4089327959105549</c:v>
                </c:pt>
                <c:pt idx="91">
                  <c:v>-1.2108654503634619</c:v>
                </c:pt>
                <c:pt idx="92">
                  <c:v>-1.3710550969909625</c:v>
                </c:pt>
                <c:pt idx="93">
                  <c:v>-1.2332676409422594</c:v>
                </c:pt>
                <c:pt idx="94">
                  <c:v>-1.3412418768812868</c:v>
                </c:pt>
                <c:pt idx="95">
                  <c:v>-1.4607862652171266</c:v>
                </c:pt>
                <c:pt idx="96">
                  <c:v>-1.5135153100307814</c:v>
                </c:pt>
                <c:pt idx="97">
                  <c:v>-1.3306512151235586</c:v>
                </c:pt>
                <c:pt idx="98">
                  <c:v>-1.3322393573313662</c:v>
                </c:pt>
                <c:pt idx="99">
                  <c:v>-1.4789339830016537</c:v>
                </c:pt>
                <c:pt idx="100">
                  <c:v>-1.1187059362329159</c:v>
                </c:pt>
                <c:pt idx="101">
                  <c:v>-0.95659902635475569</c:v>
                </c:pt>
                <c:pt idx="102">
                  <c:v>-0.14357662944779226</c:v>
                </c:pt>
                <c:pt idx="103">
                  <c:v>0.80453295993217688</c:v>
                </c:pt>
                <c:pt idx="104">
                  <c:v>0.52180318120365876</c:v>
                </c:pt>
                <c:pt idx="105">
                  <c:v>0.71764790338610007</c:v>
                </c:pt>
                <c:pt idx="106">
                  <c:v>0.58606231209056725</c:v>
                </c:pt>
                <c:pt idx="107">
                  <c:v>0.39142424833463674</c:v>
                </c:pt>
                <c:pt idx="108">
                  <c:v>0.271878961934504</c:v>
                </c:pt>
                <c:pt idx="109">
                  <c:v>0.37471180591601849</c:v>
                </c:pt>
                <c:pt idx="110">
                  <c:v>0.79781060564435746</c:v>
                </c:pt>
                <c:pt idx="111">
                  <c:v>1.0271804801754469</c:v>
                </c:pt>
                <c:pt idx="112">
                  <c:v>0.86115875182119694</c:v>
                </c:pt>
                <c:pt idx="113">
                  <c:v>0.92251926503661386</c:v>
                </c:pt>
                <c:pt idx="114">
                  <c:v>0.81420316991042885</c:v>
                </c:pt>
                <c:pt idx="115">
                  <c:v>1.3310511089079611</c:v>
                </c:pt>
                <c:pt idx="116">
                  <c:v>1.4466630639314415</c:v>
                </c:pt>
                <c:pt idx="117">
                  <c:v>1.3023324215510854</c:v>
                </c:pt>
                <c:pt idx="118">
                  <c:v>1.2518462310721603</c:v>
                </c:pt>
                <c:pt idx="119">
                  <c:v>1.231330600860131</c:v>
                </c:pt>
                <c:pt idx="120">
                  <c:v>1.0150690598272853</c:v>
                </c:pt>
                <c:pt idx="121">
                  <c:v>1.0445047862161487</c:v>
                </c:pt>
                <c:pt idx="122">
                  <c:v>0.27396147846019003</c:v>
                </c:pt>
                <c:pt idx="123">
                  <c:v>1.0244180276494113</c:v>
                </c:pt>
                <c:pt idx="124">
                  <c:v>1.4077812685946172</c:v>
                </c:pt>
                <c:pt idx="125">
                  <c:v>1.5815185990426963</c:v>
                </c:pt>
                <c:pt idx="126">
                  <c:v>1.6135851347726478</c:v>
                </c:pt>
                <c:pt idx="127">
                  <c:v>1.564680470513848</c:v>
                </c:pt>
                <c:pt idx="128">
                  <c:v>1.5097602866723454</c:v>
                </c:pt>
                <c:pt idx="129">
                  <c:v>1.4005315142995391</c:v>
                </c:pt>
                <c:pt idx="130">
                  <c:v>1.6571828942630655</c:v>
                </c:pt>
                <c:pt idx="131">
                  <c:v>1.5873477405964489</c:v>
                </c:pt>
                <c:pt idx="132">
                  <c:v>1.4798670833620309</c:v>
                </c:pt>
                <c:pt idx="133">
                  <c:v>1.5471437604059992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45A-46C7-9882-818CA7556E8D}"/>
            </c:ext>
          </c:extLst>
        </c:ser>
        <c:ser>
          <c:idx val="13"/>
          <c:order val="13"/>
          <c:tx>
            <c:strRef>
              <c:f>畫圖!$A$25:$B$25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畫圖!$C$11:$EF$11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畫圖!$C$25:$EF$25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45A-46C7-9882-818CA7556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617423"/>
        <c:axId val="732617903"/>
      </c:lineChart>
      <c:catAx>
        <c:axId val="73261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903"/>
        <c:crosses val="autoZero"/>
        <c:auto val="1"/>
        <c:lblAlgn val="ctr"/>
        <c:lblOffset val="100"/>
        <c:noMultiLvlLbl val="0"/>
      </c:catAx>
      <c:valAx>
        <c:axId val="7326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326174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120</xdr:col>
      <xdr:colOff>476250</xdr:colOff>
      <xdr:row>26</xdr:row>
      <xdr:rowOff>15240</xdr:rowOff>
    </xdr:from>
    <xdr:to>
      <xdr:col>129</xdr:col>
      <xdr:colOff>110490</xdr:colOff>
      <xdr:row>40</xdr:row>
      <xdr:rowOff>91440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730E6FA-D288-F0E6-9ABE-5B999BB60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540310</xdr:colOff>
      <xdr:row>26</xdr:row>
      <xdr:rowOff>104485</xdr:rowOff>
    </xdr:from>
    <xdr:to>
      <xdr:col>127</xdr:col>
      <xdr:colOff>174550</xdr:colOff>
      <xdr:row>40</xdr:row>
      <xdr:rowOff>180684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股價淨值比"/>
      <sheetName val="bm(函數)"/>
      <sheetName val="bm"/>
      <sheetName val="下個月月報酬"/>
      <sheetName val="bm補值"/>
      <sheetName val="下個月月報酬補值"/>
      <sheetName val="bmIC"/>
    </sheetNames>
    <sheetDataSet>
      <sheetData sheetId="0"/>
      <sheetData sheetId="1"/>
      <sheetData sheetId="2"/>
      <sheetData sheetId="3"/>
      <sheetData sheetId="4">
        <row r="2">
          <cell r="C2">
            <v>0.77519379844961234</v>
          </cell>
          <cell r="EG2">
            <v>0.78125</v>
          </cell>
        </row>
        <row r="3">
          <cell r="EG3">
            <v>0.77519379844961234</v>
          </cell>
        </row>
        <row r="4">
          <cell r="EG4">
            <v>1.4925373134328357</v>
          </cell>
        </row>
        <row r="5">
          <cell r="EG5">
            <v>1.2345679012345678</v>
          </cell>
        </row>
        <row r="6">
          <cell r="EG6">
            <v>1.2987012987012987</v>
          </cell>
        </row>
        <row r="7">
          <cell r="EG7">
            <v>1.4285714285714286</v>
          </cell>
        </row>
        <row r="8">
          <cell r="EG8">
            <v>1.2820512820512819</v>
          </cell>
        </row>
        <row r="9">
          <cell r="EG9">
            <v>0.28735632183908044</v>
          </cell>
        </row>
        <row r="10">
          <cell r="EG10">
            <v>0.72992700729927007</v>
          </cell>
        </row>
        <row r="11">
          <cell r="EG11">
            <v>0.61349693251533743</v>
          </cell>
        </row>
        <row r="12">
          <cell r="EG12">
            <v>0.96153846153846145</v>
          </cell>
        </row>
        <row r="13">
          <cell r="EG13">
            <v>0.85470085470085477</v>
          </cell>
        </row>
        <row r="14">
          <cell r="EG14">
            <v>0.45248868778280543</v>
          </cell>
        </row>
        <row r="15">
          <cell r="EG15">
            <v>0.81967213114754101</v>
          </cell>
        </row>
        <row r="16">
          <cell r="EG16">
            <v>0.89285714285714279</v>
          </cell>
        </row>
        <row r="17">
          <cell r="EG17">
            <v>1.0309278350515465</v>
          </cell>
        </row>
        <row r="18">
          <cell r="EG18">
            <v>0.83333333333333337</v>
          </cell>
        </row>
        <row r="19">
          <cell r="EG19">
            <v>0.76923076923076916</v>
          </cell>
        </row>
        <row r="20">
          <cell r="EG20">
            <v>0.29069767441860467</v>
          </cell>
        </row>
        <row r="21">
          <cell r="EG21">
            <v>1.2195121951219512</v>
          </cell>
        </row>
        <row r="22">
          <cell r="EG22">
            <v>1.0416666666666667</v>
          </cell>
        </row>
        <row r="23">
          <cell r="EG23">
            <v>0.4081632653061224</v>
          </cell>
        </row>
        <row r="24">
          <cell r="EG24">
            <v>0.31847133757961782</v>
          </cell>
        </row>
        <row r="25">
          <cell r="EG25">
            <v>0.67114093959731547</v>
          </cell>
        </row>
        <row r="26">
          <cell r="EG26">
            <v>0.4329004329004329</v>
          </cell>
        </row>
        <row r="27">
          <cell r="EG27">
            <v>0.63291139240506322</v>
          </cell>
        </row>
        <row r="28">
          <cell r="EG28">
            <v>0.49019607843137253</v>
          </cell>
        </row>
        <row r="29">
          <cell r="EG29">
            <v>0.47169811320754712</v>
          </cell>
        </row>
        <row r="30">
          <cell r="EG30">
            <v>0.74626865671641784</v>
          </cell>
        </row>
        <row r="31">
          <cell r="EG31">
            <v>0.9174311926605504</v>
          </cell>
        </row>
        <row r="32">
          <cell r="EG32">
            <v>0.4504504504504504</v>
          </cell>
        </row>
        <row r="33">
          <cell r="EG33">
            <v>0.79365079365079361</v>
          </cell>
        </row>
        <row r="34">
          <cell r="EG34">
            <v>0.88495575221238942</v>
          </cell>
        </row>
        <row r="35">
          <cell r="EG35">
            <v>0.61728395061728392</v>
          </cell>
        </row>
        <row r="36">
          <cell r="EG36">
            <v>0.76335877862595414</v>
          </cell>
        </row>
        <row r="37">
          <cell r="EG37">
            <v>0.81967213114754101</v>
          </cell>
        </row>
        <row r="38">
          <cell r="EG38">
            <v>0.88495575221238942</v>
          </cell>
        </row>
        <row r="39">
          <cell r="EG39">
            <v>1.0989010989010988</v>
          </cell>
        </row>
        <row r="40">
          <cell r="EG40">
            <v>1.1494252873563218</v>
          </cell>
        </row>
        <row r="41">
          <cell r="EG41">
            <v>0.3623188405797102</v>
          </cell>
        </row>
        <row r="42">
          <cell r="EG42">
            <v>0.47619047619047616</v>
          </cell>
        </row>
        <row r="43">
          <cell r="EG43">
            <v>0.75757575757575757</v>
          </cell>
        </row>
        <row r="44">
          <cell r="EG44">
            <v>0.56497175141242939</v>
          </cell>
        </row>
        <row r="45">
          <cell r="EG45">
            <v>0.625</v>
          </cell>
        </row>
        <row r="46">
          <cell r="EG46">
            <v>0.51546391752577325</v>
          </cell>
        </row>
        <row r="47">
          <cell r="EG47">
            <v>0.54347826086956519</v>
          </cell>
        </row>
        <row r="48">
          <cell r="EG48">
            <v>1</v>
          </cell>
        </row>
        <row r="49">
          <cell r="EG49">
            <v>0.78125</v>
          </cell>
        </row>
        <row r="50">
          <cell r="EG50">
            <v>1.3888888888888888</v>
          </cell>
        </row>
        <row r="51">
          <cell r="EG51">
            <v>1.3888888888888888</v>
          </cell>
        </row>
        <row r="52">
          <cell r="EG52">
            <v>0.87719298245614041</v>
          </cell>
        </row>
        <row r="53">
          <cell r="EG53">
            <v>1.2658227848101264</v>
          </cell>
        </row>
        <row r="54">
          <cell r="EG54">
            <v>0.65359477124183007</v>
          </cell>
        </row>
        <row r="55">
          <cell r="EG55">
            <v>0.43103448275862072</v>
          </cell>
        </row>
        <row r="56">
          <cell r="EG56">
            <v>1.6949152542372883</v>
          </cell>
        </row>
        <row r="57">
          <cell r="EG57">
            <v>0.52631578947368418</v>
          </cell>
        </row>
        <row r="58">
          <cell r="EG58">
            <v>1.1764705882352942</v>
          </cell>
        </row>
        <row r="59">
          <cell r="EG59">
            <v>1.0416666666666667</v>
          </cell>
        </row>
        <row r="60">
          <cell r="EG60">
            <v>1.25</v>
          </cell>
        </row>
        <row r="61">
          <cell r="EG61">
            <v>0.77519379844961234</v>
          </cell>
        </row>
        <row r="62">
          <cell r="EG62">
            <v>6.4350064350064351E-2</v>
          </cell>
        </row>
        <row r="63">
          <cell r="EG63">
            <v>0.36764705882352938</v>
          </cell>
        </row>
        <row r="64">
          <cell r="EG64">
            <v>1.1494252873563218</v>
          </cell>
        </row>
        <row r="65">
          <cell r="EG65">
            <v>0.83333333333333337</v>
          </cell>
        </row>
        <row r="66">
          <cell r="EG66">
            <v>0.64102564102564097</v>
          </cell>
        </row>
        <row r="67">
          <cell r="EG67">
            <v>2.1276595744680851</v>
          </cell>
        </row>
        <row r="68">
          <cell r="EG68">
            <v>0.96153846153846145</v>
          </cell>
        </row>
        <row r="69">
          <cell r="EG69">
            <v>1.5384615384615383</v>
          </cell>
        </row>
        <row r="70">
          <cell r="EG70">
            <v>1.0101010101010102</v>
          </cell>
        </row>
        <row r="71">
          <cell r="EG71">
            <v>0.63291139240506322</v>
          </cell>
        </row>
        <row r="72">
          <cell r="EG72">
            <v>1.5151515151515151</v>
          </cell>
        </row>
        <row r="73">
          <cell r="EG73">
            <v>1.0869565217391304</v>
          </cell>
        </row>
        <row r="74">
          <cell r="EG74">
            <v>1.3888888888888888</v>
          </cell>
        </row>
        <row r="75">
          <cell r="EG75">
            <v>1.2820512820512819</v>
          </cell>
        </row>
        <row r="76">
          <cell r="EG76">
            <v>1.5151515151515151</v>
          </cell>
        </row>
        <row r="77">
          <cell r="EG77">
            <v>0.85470085470085477</v>
          </cell>
        </row>
        <row r="78">
          <cell r="EG78">
            <v>2.2222222222222223</v>
          </cell>
        </row>
        <row r="79">
          <cell r="EG79">
            <v>1.4084507042253522</v>
          </cell>
        </row>
        <row r="80">
          <cell r="EG80">
            <v>1.0101010101010102</v>
          </cell>
        </row>
        <row r="81">
          <cell r="EG81">
            <v>1.7543859649122808</v>
          </cell>
        </row>
        <row r="82">
          <cell r="EG82">
            <v>0.970873786407767</v>
          </cell>
        </row>
        <row r="83">
          <cell r="EG83">
            <v>1.6129032258064517</v>
          </cell>
        </row>
        <row r="84">
          <cell r="EG84">
            <v>1.5384615384615383</v>
          </cell>
        </row>
        <row r="85">
          <cell r="EG85">
            <v>0.89285714285714279</v>
          </cell>
        </row>
        <row r="86">
          <cell r="EG86">
            <v>0.9009009009009008</v>
          </cell>
        </row>
        <row r="87">
          <cell r="EG87">
            <v>0.89285714285714279</v>
          </cell>
        </row>
        <row r="88">
          <cell r="EG88">
            <v>1.0416666666666667</v>
          </cell>
        </row>
        <row r="89">
          <cell r="EG89">
            <v>0.34843205574912889</v>
          </cell>
        </row>
        <row r="90">
          <cell r="EG90">
            <v>1.4925373134328357</v>
          </cell>
        </row>
        <row r="91">
          <cell r="EG91">
            <v>0.80645161290322587</v>
          </cell>
        </row>
        <row r="92">
          <cell r="EG92">
            <v>1.5625</v>
          </cell>
        </row>
        <row r="93">
          <cell r="EG93">
            <v>0.54945054945054939</v>
          </cell>
        </row>
        <row r="94">
          <cell r="EG94">
            <v>0.76335877862595414</v>
          </cell>
        </row>
        <row r="95">
          <cell r="EG95">
            <v>0.303951367781155</v>
          </cell>
        </row>
        <row r="96">
          <cell r="EG96">
            <v>0.77519379844961234</v>
          </cell>
        </row>
        <row r="97">
          <cell r="EG97">
            <v>1.3698630136986301</v>
          </cell>
        </row>
        <row r="98">
          <cell r="EG98">
            <v>0.43103448275862072</v>
          </cell>
        </row>
        <row r="99">
          <cell r="EG99">
            <v>1.2195121951219512</v>
          </cell>
        </row>
        <row r="100">
          <cell r="EG100">
            <v>0.82644628099173556</v>
          </cell>
        </row>
        <row r="101">
          <cell r="EG101">
            <v>0.80645161290322587</v>
          </cell>
        </row>
        <row r="102">
          <cell r="EG102">
            <v>0.76923076923076916</v>
          </cell>
        </row>
        <row r="103">
          <cell r="EG103">
            <v>0.44843049327354262</v>
          </cell>
        </row>
        <row r="104">
          <cell r="EG104">
            <v>1.0309278350515465</v>
          </cell>
        </row>
        <row r="105">
          <cell r="EG105">
            <v>0.46296296296296291</v>
          </cell>
        </row>
        <row r="106">
          <cell r="EG106">
            <v>0.36101083032490977</v>
          </cell>
        </row>
        <row r="107">
          <cell r="EG107">
            <v>0.70921985815602839</v>
          </cell>
        </row>
        <row r="108">
          <cell r="EG108">
            <v>0.96153846153846145</v>
          </cell>
        </row>
        <row r="109">
          <cell r="EG109">
            <v>0.57471264367816088</v>
          </cell>
        </row>
        <row r="110">
          <cell r="EG110">
            <v>0.96153846153846145</v>
          </cell>
        </row>
        <row r="111">
          <cell r="EG111">
            <v>0.51546391752577325</v>
          </cell>
        </row>
        <row r="112">
          <cell r="EG112">
            <v>1.0638297872340425</v>
          </cell>
        </row>
        <row r="113">
          <cell r="EG113">
            <v>1.2345679012345678</v>
          </cell>
        </row>
        <row r="114">
          <cell r="EG114">
            <v>0.5524861878453039</v>
          </cell>
        </row>
        <row r="115">
          <cell r="EG115">
            <v>0.87719298245614041</v>
          </cell>
        </row>
        <row r="116">
          <cell r="EG116">
            <v>0.73529411764705876</v>
          </cell>
        </row>
        <row r="117">
          <cell r="EG117">
            <v>0.70422535211267612</v>
          </cell>
        </row>
        <row r="118">
          <cell r="EG118">
            <v>0.35714285714285715</v>
          </cell>
        </row>
        <row r="119">
          <cell r="EG119">
            <v>0.5714285714285714</v>
          </cell>
        </row>
        <row r="120">
          <cell r="EG120">
            <v>0.49261083743842371</v>
          </cell>
        </row>
        <row r="121">
          <cell r="EG121">
            <v>0.27932960893854747</v>
          </cell>
        </row>
        <row r="122">
          <cell r="EG122">
            <v>1.2195121951219512</v>
          </cell>
        </row>
        <row r="123">
          <cell r="EG123">
            <v>0.51282051282051289</v>
          </cell>
        </row>
        <row r="124">
          <cell r="EG124">
            <v>0.5714285714285714</v>
          </cell>
        </row>
        <row r="125">
          <cell r="EG125">
            <v>0.5181347150259068</v>
          </cell>
        </row>
        <row r="126">
          <cell r="EG126">
            <v>0.16666666666666666</v>
          </cell>
        </row>
        <row r="127">
          <cell r="EG127">
            <v>0.93457943925233644</v>
          </cell>
        </row>
        <row r="128">
          <cell r="EG128">
            <v>1.639344262295082</v>
          </cell>
        </row>
        <row r="129">
          <cell r="EG129">
            <v>1.4285714285714286</v>
          </cell>
        </row>
        <row r="130">
          <cell r="EG130">
            <v>0.93457943925233644</v>
          </cell>
        </row>
        <row r="131">
          <cell r="EG131">
            <v>1.4084507042253522</v>
          </cell>
        </row>
        <row r="132">
          <cell r="EG132">
            <v>0.46511627906976744</v>
          </cell>
        </row>
        <row r="133">
          <cell r="EG133">
            <v>1.0869565217391304</v>
          </cell>
        </row>
        <row r="134">
          <cell r="EG134">
            <v>0.52083333333333337</v>
          </cell>
        </row>
        <row r="135">
          <cell r="EG135">
            <v>0.94339622641509424</v>
          </cell>
        </row>
        <row r="136">
          <cell r="EG136">
            <v>1.5151515151515151</v>
          </cell>
        </row>
        <row r="137">
          <cell r="EG137">
            <v>1.4705882352941175</v>
          </cell>
        </row>
        <row r="138">
          <cell r="EG138">
            <v>1.9230769230769229</v>
          </cell>
        </row>
        <row r="139">
          <cell r="EG139">
            <v>0.26954177897574122</v>
          </cell>
        </row>
        <row r="140">
          <cell r="EG140">
            <v>0.29154518950437314</v>
          </cell>
        </row>
        <row r="141">
          <cell r="EG141">
            <v>0.625</v>
          </cell>
        </row>
        <row r="142">
          <cell r="EG142">
            <v>0.970873786407767</v>
          </cell>
        </row>
        <row r="143">
          <cell r="EG143">
            <v>0.6097560975609756</v>
          </cell>
        </row>
        <row r="144">
          <cell r="EG144">
            <v>0.41152263374485593</v>
          </cell>
        </row>
        <row r="145">
          <cell r="EG145">
            <v>0.9174311926605504</v>
          </cell>
        </row>
        <row r="146">
          <cell r="EG146">
            <v>1.1627906976744187</v>
          </cell>
        </row>
        <row r="147">
          <cell r="EG147">
            <v>0.66666666666666663</v>
          </cell>
        </row>
        <row r="148">
          <cell r="EG148">
            <v>0.60606060606060608</v>
          </cell>
        </row>
        <row r="149">
          <cell r="EG149">
            <v>1.2195121951219512</v>
          </cell>
        </row>
        <row r="150">
          <cell r="EG150">
            <v>0.6097560975609756</v>
          </cell>
        </row>
        <row r="151">
          <cell r="EG151">
            <v>0.6097560975609756</v>
          </cell>
        </row>
        <row r="152">
          <cell r="EG152">
            <v>0.49751243781094534</v>
          </cell>
        </row>
        <row r="153">
          <cell r="EG153">
            <v>0.22172949002217296</v>
          </cell>
        </row>
        <row r="154">
          <cell r="EG154">
            <v>0.5780346820809249</v>
          </cell>
        </row>
        <row r="155">
          <cell r="EG155">
            <v>0.78740157480314954</v>
          </cell>
        </row>
        <row r="156">
          <cell r="EG156">
            <v>0.44247787610619471</v>
          </cell>
        </row>
        <row r="157">
          <cell r="EG157">
            <v>0.75757575757575757</v>
          </cell>
        </row>
        <row r="158">
          <cell r="EG158">
            <v>0.66225165562913912</v>
          </cell>
        </row>
        <row r="159">
          <cell r="EG159">
            <v>0.73529411764705876</v>
          </cell>
        </row>
        <row r="160">
          <cell r="EG160">
            <v>0.2293577981651376</v>
          </cell>
        </row>
        <row r="161">
          <cell r="EG161">
            <v>0.5181347150259068</v>
          </cell>
        </row>
        <row r="162">
          <cell r="EG162">
            <v>0.81967213114754101</v>
          </cell>
        </row>
        <row r="163">
          <cell r="EG163">
            <v>0.54054054054054046</v>
          </cell>
        </row>
        <row r="164">
          <cell r="EG164">
            <v>1.1494252873563218</v>
          </cell>
        </row>
        <row r="165">
          <cell r="EG165">
            <v>0.31645569620253161</v>
          </cell>
        </row>
        <row r="166">
          <cell r="EG166">
            <v>0.31446540880503143</v>
          </cell>
        </row>
        <row r="167">
          <cell r="EG167">
            <v>0.37174721189591081</v>
          </cell>
        </row>
        <row r="168">
          <cell r="EG168">
            <v>0.58479532163742687</v>
          </cell>
        </row>
        <row r="169">
          <cell r="EG169">
            <v>0.37735849056603776</v>
          </cell>
        </row>
        <row r="170">
          <cell r="EG170">
            <v>0.60240963855421692</v>
          </cell>
        </row>
        <row r="171">
          <cell r="EG171">
            <v>0.61349693251533743</v>
          </cell>
        </row>
        <row r="172">
          <cell r="EG172">
            <v>0.61349693251533743</v>
          </cell>
        </row>
        <row r="173">
          <cell r="EG173">
            <v>1.2820512820512819</v>
          </cell>
        </row>
        <row r="174">
          <cell r="EG174">
            <v>0.2386634844868735</v>
          </cell>
        </row>
        <row r="175">
          <cell r="EG175">
            <v>1.2658227848101264</v>
          </cell>
        </row>
        <row r="176">
          <cell r="EG176">
            <v>0.76923076923076916</v>
          </cell>
        </row>
        <row r="177">
          <cell r="EG177">
            <v>1.2658227848101264</v>
          </cell>
        </row>
        <row r="178">
          <cell r="EG178">
            <v>1.0204081632653061</v>
          </cell>
        </row>
        <row r="179">
          <cell r="EG179">
            <v>1.1363636363636365</v>
          </cell>
        </row>
        <row r="180">
          <cell r="EG180">
            <v>0.52356020942408377</v>
          </cell>
        </row>
        <row r="181">
          <cell r="EG181">
            <v>0.5524861878453039</v>
          </cell>
        </row>
        <row r="182">
          <cell r="EG182">
            <v>1.1363636363636365</v>
          </cell>
        </row>
        <row r="183">
          <cell r="EG183">
            <v>0.59171597633136097</v>
          </cell>
        </row>
        <row r="184">
          <cell r="EG184">
            <v>0.7142857142857143</v>
          </cell>
        </row>
        <row r="185">
          <cell r="EG185">
            <v>1.1764705882352942</v>
          </cell>
        </row>
        <row r="186">
          <cell r="EG186">
            <v>1.0416666666666667</v>
          </cell>
        </row>
        <row r="187">
          <cell r="EG187">
            <v>0.82644628099173556</v>
          </cell>
        </row>
        <row r="188">
          <cell r="EG188">
            <v>0.49261083743842371</v>
          </cell>
        </row>
        <row r="189">
          <cell r="EG189">
            <v>0.4366812227074236</v>
          </cell>
        </row>
        <row r="190">
          <cell r="EG190">
            <v>1.0204081632653061</v>
          </cell>
        </row>
        <row r="191">
          <cell r="EG191">
            <v>0.5617977528089888</v>
          </cell>
        </row>
        <row r="192">
          <cell r="EG192">
            <v>1.0638297872340425</v>
          </cell>
        </row>
        <row r="193">
          <cell r="EG193">
            <v>1.3888888888888888</v>
          </cell>
        </row>
        <row r="194">
          <cell r="EG194">
            <v>1.2345679012345678</v>
          </cell>
        </row>
        <row r="195">
          <cell r="EG195">
            <v>1.0869565217391304</v>
          </cell>
        </row>
        <row r="196">
          <cell r="EG196">
            <v>0.7246376811594204</v>
          </cell>
        </row>
        <row r="197">
          <cell r="EG197">
            <v>0.67114093959731547</v>
          </cell>
        </row>
        <row r="198">
          <cell r="EG198">
            <v>0.96153846153846145</v>
          </cell>
        </row>
        <row r="199">
          <cell r="EG199">
            <v>0.67567567567567566</v>
          </cell>
        </row>
        <row r="200">
          <cell r="EG200">
            <v>0.58823529411764708</v>
          </cell>
        </row>
        <row r="201">
          <cell r="EG201">
            <v>0.53475935828876997</v>
          </cell>
        </row>
        <row r="202">
          <cell r="EG202">
            <v>0.51282051282051289</v>
          </cell>
        </row>
        <row r="203">
          <cell r="EG203">
            <v>0.59523809523809523</v>
          </cell>
        </row>
        <row r="204">
          <cell r="EG204">
            <v>0.3236245954692557</v>
          </cell>
        </row>
        <row r="205">
          <cell r="EG205">
            <v>0.86206896551724144</v>
          </cell>
        </row>
        <row r="206">
          <cell r="EG206">
            <v>0.41841004184100417</v>
          </cell>
        </row>
        <row r="207">
          <cell r="EG207">
            <v>0.7246376811594204</v>
          </cell>
        </row>
        <row r="208">
          <cell r="EG208">
            <v>0.32786885245901642</v>
          </cell>
        </row>
        <row r="209">
          <cell r="EG209">
            <v>0.5</v>
          </cell>
        </row>
        <row r="210">
          <cell r="EG210">
            <v>0.58823529411764708</v>
          </cell>
        </row>
        <row r="211">
          <cell r="EG211">
            <v>0.64516129032258063</v>
          </cell>
        </row>
        <row r="212">
          <cell r="EG212">
            <v>0.94339622641509424</v>
          </cell>
        </row>
        <row r="213">
          <cell r="EG213">
            <v>1.0638297872340425</v>
          </cell>
        </row>
        <row r="214">
          <cell r="EG214">
            <v>1.3157894736842106</v>
          </cell>
        </row>
        <row r="215">
          <cell r="EG215">
            <v>1.25</v>
          </cell>
        </row>
        <row r="216">
          <cell r="EG216">
            <v>0.53475935828876997</v>
          </cell>
        </row>
        <row r="217">
          <cell r="EG217">
            <v>0.69930069930069938</v>
          </cell>
        </row>
        <row r="218">
          <cell r="EG218">
            <v>0.64102564102564097</v>
          </cell>
        </row>
        <row r="219">
          <cell r="EG219">
            <v>1.7857142857142856</v>
          </cell>
        </row>
        <row r="220">
          <cell r="EG220">
            <v>0.93457943925233644</v>
          </cell>
        </row>
        <row r="221">
          <cell r="EG221">
            <v>1.2195121951219512</v>
          </cell>
        </row>
        <row r="222">
          <cell r="EG222">
            <v>0.25188916876574308</v>
          </cell>
        </row>
        <row r="223">
          <cell r="EG223">
            <v>1.5384615384615383</v>
          </cell>
        </row>
        <row r="224">
          <cell r="EG224">
            <v>1.4705882352941175</v>
          </cell>
        </row>
        <row r="225">
          <cell r="EG225">
            <v>0.5617977528089888</v>
          </cell>
        </row>
        <row r="226">
          <cell r="EG226">
            <v>1.0526315789473684</v>
          </cell>
        </row>
        <row r="227">
          <cell r="EG227">
            <v>0.34965034965034969</v>
          </cell>
        </row>
        <row r="228">
          <cell r="EG228">
            <v>0.625</v>
          </cell>
        </row>
        <row r="229">
          <cell r="EG229">
            <v>1.6949152542372883</v>
          </cell>
        </row>
        <row r="230">
          <cell r="EG230">
            <v>0.49019607843137253</v>
          </cell>
        </row>
        <row r="231">
          <cell r="EG231">
            <v>1.0638297872340425</v>
          </cell>
        </row>
        <row r="232">
          <cell r="EG232">
            <v>0.4854368932038835</v>
          </cell>
        </row>
        <row r="233">
          <cell r="EG233">
            <v>0.69444444444444442</v>
          </cell>
        </row>
        <row r="234">
          <cell r="EG234">
            <v>0.29069767441860467</v>
          </cell>
        </row>
        <row r="235">
          <cell r="EG235">
            <v>1.3513513513513513</v>
          </cell>
        </row>
        <row r="236">
          <cell r="EG236">
            <v>0.66666666666666663</v>
          </cell>
        </row>
        <row r="237">
          <cell r="EG237">
            <v>0.56497175141242939</v>
          </cell>
        </row>
        <row r="238">
          <cell r="EG238">
            <v>0.96153846153846145</v>
          </cell>
        </row>
        <row r="239">
          <cell r="EG239">
            <v>0.4366812227074236</v>
          </cell>
        </row>
        <row r="240">
          <cell r="EG240">
            <v>0.58823529411764708</v>
          </cell>
        </row>
        <row r="241">
          <cell r="EG241">
            <v>1</v>
          </cell>
        </row>
        <row r="242">
          <cell r="EG242">
            <v>0.970873786407767</v>
          </cell>
        </row>
        <row r="243">
          <cell r="EG243">
            <v>0.32894736842105265</v>
          </cell>
        </row>
        <row r="244">
          <cell r="EG244">
            <v>0.16778523489932887</v>
          </cell>
        </row>
        <row r="245">
          <cell r="EG245">
            <v>1.3513513513513513</v>
          </cell>
        </row>
        <row r="246">
          <cell r="EG246">
            <v>0.41152263374485593</v>
          </cell>
        </row>
        <row r="247">
          <cell r="EG247">
            <v>0.64935064935064934</v>
          </cell>
        </row>
        <row r="248">
          <cell r="EG248">
            <v>0.35587188612099646</v>
          </cell>
        </row>
        <row r="249">
          <cell r="EG249">
            <v>0.38910505836575876</v>
          </cell>
        </row>
        <row r="250">
          <cell r="EG250">
            <v>0.96153846153846145</v>
          </cell>
        </row>
        <row r="251">
          <cell r="EG251">
            <v>0.76923076923076916</v>
          </cell>
        </row>
        <row r="252">
          <cell r="EG252">
            <v>0.70422535211267612</v>
          </cell>
        </row>
        <row r="253">
          <cell r="EG253">
            <v>1.3333333333333333</v>
          </cell>
        </row>
        <row r="254">
          <cell r="EG254">
            <v>0.25125628140703515</v>
          </cell>
        </row>
        <row r="255">
          <cell r="EG255">
            <v>0.2061855670103093</v>
          </cell>
        </row>
        <row r="256">
          <cell r="EG256">
            <v>0.81300813008130079</v>
          </cell>
        </row>
        <row r="257">
          <cell r="EG257">
            <v>0.970873786407767</v>
          </cell>
        </row>
        <row r="258">
          <cell r="EG258">
            <v>0.49504950495049505</v>
          </cell>
        </row>
        <row r="259">
          <cell r="EG259">
            <v>1.2658227848101264</v>
          </cell>
        </row>
        <row r="260">
          <cell r="EG260">
            <v>1.3333333333333333</v>
          </cell>
        </row>
        <row r="261">
          <cell r="EG261">
            <v>0.84745762711864414</v>
          </cell>
        </row>
        <row r="262">
          <cell r="EG262">
            <v>0.75187969924812026</v>
          </cell>
        </row>
        <row r="263">
          <cell r="EG263">
            <v>0.37878787878787878</v>
          </cell>
        </row>
        <row r="264">
          <cell r="EG264">
            <v>0.37735849056603776</v>
          </cell>
        </row>
        <row r="265">
          <cell r="EG265">
            <v>1.4705882352941175</v>
          </cell>
        </row>
        <row r="266">
          <cell r="EG266">
            <v>1.0101010101010102</v>
          </cell>
        </row>
        <row r="267">
          <cell r="EG267">
            <v>1.1904761904761905</v>
          </cell>
        </row>
        <row r="268">
          <cell r="EG268">
            <v>0.4065040650406504</v>
          </cell>
        </row>
        <row r="269">
          <cell r="EG269">
            <v>1.2345679012345678</v>
          </cell>
        </row>
        <row r="270">
          <cell r="EG270">
            <v>0.40485829959514169</v>
          </cell>
        </row>
        <row r="271">
          <cell r="EG271">
            <v>0.4587155963302752</v>
          </cell>
        </row>
        <row r="272">
          <cell r="EG272">
            <v>0.21551724137931036</v>
          </cell>
        </row>
        <row r="273">
          <cell r="EG273">
            <v>0.43859649122807021</v>
          </cell>
        </row>
        <row r="274">
          <cell r="EG274">
            <v>0.32786885245901642</v>
          </cell>
        </row>
        <row r="275">
          <cell r="EG275">
            <v>1.0638297872340425</v>
          </cell>
        </row>
        <row r="276">
          <cell r="EG276">
            <v>0.62893081761006286</v>
          </cell>
        </row>
        <row r="277">
          <cell r="EG277">
            <v>0.23529411764705882</v>
          </cell>
        </row>
        <row r="278">
          <cell r="EG278">
            <v>0.34965034965034969</v>
          </cell>
        </row>
        <row r="279">
          <cell r="EG279">
            <v>0.6211180124223602</v>
          </cell>
        </row>
        <row r="280">
          <cell r="EG280">
            <v>0.64516129032258063</v>
          </cell>
        </row>
        <row r="281">
          <cell r="EG281">
            <v>0.67114093959731547</v>
          </cell>
        </row>
        <row r="282">
          <cell r="EG282">
            <v>0.970873786407767</v>
          </cell>
        </row>
        <row r="283">
          <cell r="EG283">
            <v>0.51282051282051289</v>
          </cell>
        </row>
        <row r="284">
          <cell r="EG284">
            <v>0.28653295128939826</v>
          </cell>
        </row>
        <row r="285">
          <cell r="EG285">
            <v>0.2040816326530612</v>
          </cell>
        </row>
        <row r="286">
          <cell r="EG286">
            <v>0.1972386587771203</v>
          </cell>
        </row>
        <row r="287">
          <cell r="EG287">
            <v>0.84745762711864414</v>
          </cell>
        </row>
        <row r="288">
          <cell r="EG288">
            <v>0.6211180124223602</v>
          </cell>
        </row>
        <row r="289">
          <cell r="EG289">
            <v>0.75187969924812026</v>
          </cell>
        </row>
        <row r="290">
          <cell r="EG290">
            <v>0.69444444444444442</v>
          </cell>
        </row>
        <row r="291">
          <cell r="EG291">
            <v>1.075268817204301</v>
          </cell>
        </row>
        <row r="292">
          <cell r="EG292">
            <v>0.4065040650406504</v>
          </cell>
        </row>
        <row r="293">
          <cell r="EG293">
            <v>0.5988023952095809</v>
          </cell>
        </row>
        <row r="294">
          <cell r="EG294">
            <v>0.48780487804878053</v>
          </cell>
        </row>
        <row r="295">
          <cell r="EG295">
            <v>0.46082949308755761</v>
          </cell>
        </row>
        <row r="296">
          <cell r="EG296">
            <v>0.52356020942408377</v>
          </cell>
        </row>
        <row r="297">
          <cell r="EG297">
            <v>0.51546391752577325</v>
          </cell>
        </row>
        <row r="298">
          <cell r="EG298">
            <v>0.40485829959514169</v>
          </cell>
        </row>
        <row r="299">
          <cell r="EG299">
            <v>0.38167938931297707</v>
          </cell>
        </row>
        <row r="300">
          <cell r="EG300">
            <v>1.1627906976744187</v>
          </cell>
        </row>
        <row r="301">
          <cell r="EG301">
            <v>0.36101083032490977</v>
          </cell>
        </row>
        <row r="302">
          <cell r="EG302">
            <v>2.6925148088314484E-2</v>
          </cell>
        </row>
        <row r="303">
          <cell r="EG303">
            <v>0.9009009009009008</v>
          </cell>
        </row>
        <row r="304">
          <cell r="EG304">
            <v>0.64516129032258063</v>
          </cell>
        </row>
        <row r="305">
          <cell r="EG305">
            <v>0.79365079365079361</v>
          </cell>
        </row>
        <row r="306">
          <cell r="EG306">
            <v>0.4504504504504504</v>
          </cell>
        </row>
        <row r="307">
          <cell r="EG307">
            <v>0.42735042735042739</v>
          </cell>
        </row>
        <row r="308">
          <cell r="EG308">
            <v>1.8518518518518516</v>
          </cell>
        </row>
        <row r="309">
          <cell r="EG309">
            <v>0.43103448275862072</v>
          </cell>
        </row>
        <row r="310">
          <cell r="EG310">
            <v>0.90909090909090906</v>
          </cell>
        </row>
        <row r="311">
          <cell r="EG311">
            <v>0.5524861878453039</v>
          </cell>
        </row>
        <row r="312">
          <cell r="EG312">
            <v>0.5714285714285714</v>
          </cell>
        </row>
        <row r="313">
          <cell r="EG313">
            <v>0.7142857142857143</v>
          </cell>
        </row>
        <row r="314">
          <cell r="EG314">
            <v>1.0416666666666667</v>
          </cell>
        </row>
        <row r="315">
          <cell r="EG315">
            <v>0.32894736842105265</v>
          </cell>
        </row>
        <row r="316">
          <cell r="EG316">
            <v>0.34246575342465752</v>
          </cell>
        </row>
        <row r="317">
          <cell r="EG317">
            <v>0.86206896551724144</v>
          </cell>
        </row>
        <row r="318">
          <cell r="EG318">
            <v>0.1669449081803005</v>
          </cell>
        </row>
        <row r="319">
          <cell r="EG319">
            <v>0.16339869281045752</v>
          </cell>
        </row>
        <row r="320">
          <cell r="EG320">
            <v>0.56497175141242939</v>
          </cell>
        </row>
        <row r="321">
          <cell r="EG321">
            <v>0.27173913043478259</v>
          </cell>
        </row>
        <row r="322">
          <cell r="EG322">
            <v>1.0989010989010988</v>
          </cell>
        </row>
        <row r="323">
          <cell r="EG323">
            <v>0.59523809523809523</v>
          </cell>
        </row>
        <row r="324">
          <cell r="EG324">
            <v>0.56818181818181823</v>
          </cell>
        </row>
        <row r="325">
          <cell r="EG325">
            <v>0.29940119760479045</v>
          </cell>
        </row>
        <row r="326">
          <cell r="EG326">
            <v>0.49751243781094534</v>
          </cell>
        </row>
        <row r="327">
          <cell r="EG327">
            <v>0.4366812227074236</v>
          </cell>
        </row>
        <row r="328">
          <cell r="EG328">
            <v>0.36101083032490977</v>
          </cell>
        </row>
        <row r="329">
          <cell r="EG329">
            <v>0.70422535211267612</v>
          </cell>
        </row>
        <row r="330">
          <cell r="EG330">
            <v>0.96153846153846145</v>
          </cell>
        </row>
        <row r="331">
          <cell r="EG331">
            <v>0.47846889952153115</v>
          </cell>
        </row>
        <row r="332">
          <cell r="EG332">
            <v>0.63694267515923564</v>
          </cell>
        </row>
        <row r="333">
          <cell r="EG333">
            <v>0.59523809523809523</v>
          </cell>
        </row>
        <row r="334">
          <cell r="EG334">
            <v>0.67567567567567566</v>
          </cell>
        </row>
        <row r="335">
          <cell r="EG335">
            <v>0.93457943925233644</v>
          </cell>
        </row>
        <row r="336">
          <cell r="EG336">
            <v>0.44247787610619471</v>
          </cell>
        </row>
        <row r="337">
          <cell r="EG337">
            <v>0.5617977528089888</v>
          </cell>
        </row>
        <row r="338">
          <cell r="EG338">
            <v>0.51282051282051289</v>
          </cell>
        </row>
        <row r="339">
          <cell r="EG339">
            <v>0.53475935828876997</v>
          </cell>
        </row>
        <row r="340">
          <cell r="EG340">
            <v>1.0526315789473684</v>
          </cell>
        </row>
        <row r="341">
          <cell r="EG341">
            <v>1.2658227848101264</v>
          </cell>
        </row>
        <row r="342">
          <cell r="EG342">
            <v>0.32573289902280134</v>
          </cell>
        </row>
        <row r="343">
          <cell r="EG343">
            <v>0.390625</v>
          </cell>
        </row>
        <row r="344">
          <cell r="EG344">
            <v>1.0101010101010102</v>
          </cell>
        </row>
        <row r="345">
          <cell r="EG345">
            <v>0.41493775933609955</v>
          </cell>
        </row>
        <row r="346">
          <cell r="EG346">
            <v>2.1739130434782608</v>
          </cell>
        </row>
        <row r="347">
          <cell r="EG347">
            <v>1.1363636363636365</v>
          </cell>
        </row>
        <row r="348">
          <cell r="EG348">
            <v>0.7142857142857143</v>
          </cell>
        </row>
        <row r="349">
          <cell r="EG349">
            <v>0.29850746268656714</v>
          </cell>
        </row>
        <row r="350">
          <cell r="EG350">
            <v>0.23640661938534277</v>
          </cell>
        </row>
        <row r="351">
          <cell r="EG351">
            <v>0.36900369003690037</v>
          </cell>
        </row>
        <row r="352">
          <cell r="EG352">
            <v>0.2061855670103093</v>
          </cell>
        </row>
        <row r="353">
          <cell r="EG353">
            <v>0.88495575221238942</v>
          </cell>
        </row>
        <row r="354">
          <cell r="EG354">
            <v>0.95238095238095233</v>
          </cell>
        </row>
        <row r="355">
          <cell r="EG355">
            <v>0.50251256281407031</v>
          </cell>
        </row>
        <row r="356">
          <cell r="EG356">
            <v>0.80645161290322587</v>
          </cell>
        </row>
        <row r="357">
          <cell r="EG357">
            <v>0.7246376811594204</v>
          </cell>
        </row>
        <row r="358">
          <cell r="EG358">
            <v>0.76335877862595414</v>
          </cell>
        </row>
        <row r="359">
          <cell r="EG359">
            <v>0.52083333333333337</v>
          </cell>
        </row>
        <row r="360">
          <cell r="EG360">
            <v>1.5873015873015872</v>
          </cell>
        </row>
        <row r="361">
          <cell r="EG361">
            <v>1.2048192771084338</v>
          </cell>
        </row>
        <row r="362">
          <cell r="EG362">
            <v>0.65359477124183007</v>
          </cell>
        </row>
        <row r="363">
          <cell r="EG363">
            <v>0.53475935828876997</v>
          </cell>
        </row>
        <row r="364">
          <cell r="EG364">
            <v>0.85470085470085477</v>
          </cell>
        </row>
        <row r="365">
          <cell r="EG365">
            <v>0.42553191489361702</v>
          </cell>
        </row>
        <row r="366">
          <cell r="EG366">
            <v>0.85470085470085477</v>
          </cell>
        </row>
        <row r="367">
          <cell r="EG367">
            <v>0.94339622641509424</v>
          </cell>
        </row>
        <row r="368">
          <cell r="EG368">
            <v>0.7407407407407407</v>
          </cell>
        </row>
        <row r="369">
          <cell r="EG369">
            <v>0.76923076923076916</v>
          </cell>
        </row>
        <row r="370">
          <cell r="EG370">
            <v>0.34722222222222221</v>
          </cell>
        </row>
        <row r="371">
          <cell r="EG371">
            <v>0.81967213114754101</v>
          </cell>
        </row>
        <row r="372">
          <cell r="EG372">
            <v>0.44843049327354262</v>
          </cell>
        </row>
        <row r="373">
          <cell r="EG373">
            <v>1.2987012987012987</v>
          </cell>
        </row>
        <row r="374">
          <cell r="EG374">
            <v>0.29498525073746312</v>
          </cell>
        </row>
        <row r="375">
          <cell r="EG375">
            <v>1.5873015873015872</v>
          </cell>
        </row>
        <row r="376">
          <cell r="EG376">
            <v>0.40160642570281119</v>
          </cell>
        </row>
        <row r="377">
          <cell r="EG377">
            <v>0.5617977528089888</v>
          </cell>
        </row>
        <row r="378">
          <cell r="EG378">
            <v>0.5524861878453039</v>
          </cell>
        </row>
        <row r="379">
          <cell r="EG379">
            <v>0.39370078740157477</v>
          </cell>
        </row>
        <row r="380">
          <cell r="EG380">
            <v>0.42553191489361702</v>
          </cell>
        </row>
        <row r="381">
          <cell r="EG381">
            <v>0.99009900990099009</v>
          </cell>
        </row>
        <row r="382">
          <cell r="EG382">
            <v>0.59523809523809523</v>
          </cell>
        </row>
        <row r="383">
          <cell r="EG383">
            <v>0.48076923076923073</v>
          </cell>
        </row>
        <row r="384">
          <cell r="EG384">
            <v>0.69930069930069938</v>
          </cell>
        </row>
        <row r="385">
          <cell r="EG385">
            <v>0.5</v>
          </cell>
        </row>
        <row r="386">
          <cell r="EG386">
            <v>1.2195121951219512</v>
          </cell>
        </row>
        <row r="387">
          <cell r="EG387">
            <v>0.75757575757575757</v>
          </cell>
        </row>
        <row r="388">
          <cell r="EG388">
            <v>0.71942446043165476</v>
          </cell>
        </row>
        <row r="389">
          <cell r="EG389">
            <v>0.44843049327354262</v>
          </cell>
        </row>
        <row r="390">
          <cell r="EG390">
            <v>0.93457943925233644</v>
          </cell>
        </row>
        <row r="391">
          <cell r="EG391">
            <v>1.2987012987012987</v>
          </cell>
        </row>
        <row r="392">
          <cell r="EG392">
            <v>0.67567567567567566</v>
          </cell>
        </row>
        <row r="393">
          <cell r="EG393">
            <v>1.075268817204301</v>
          </cell>
        </row>
        <row r="394">
          <cell r="EG394">
            <v>0.52631578947368418</v>
          </cell>
        </row>
        <row r="395">
          <cell r="EG395">
            <v>0.68493150684931503</v>
          </cell>
        </row>
        <row r="396">
          <cell r="EG396">
            <v>1.0204081632653061</v>
          </cell>
        </row>
        <row r="397">
          <cell r="EG397">
            <v>0.43103448275862072</v>
          </cell>
        </row>
        <row r="398">
          <cell r="EG398">
            <v>0.65359477124183007</v>
          </cell>
        </row>
        <row r="399">
          <cell r="EG399">
            <v>0.72992700729927007</v>
          </cell>
        </row>
        <row r="400">
          <cell r="EG400">
            <v>0.73529411764705876</v>
          </cell>
        </row>
        <row r="401">
          <cell r="EG401">
            <v>9.9206349206349201E-2</v>
          </cell>
        </row>
        <row r="402">
          <cell r="EG402">
            <v>0.88495575221238942</v>
          </cell>
        </row>
        <row r="403">
          <cell r="EG403">
            <v>1.1627906976744187</v>
          </cell>
        </row>
        <row r="404">
          <cell r="EG404">
            <v>1.2987012987012987</v>
          </cell>
        </row>
        <row r="405">
          <cell r="EG405">
            <v>0.26455026455026459</v>
          </cell>
        </row>
        <row r="406">
          <cell r="EG406">
            <v>1.3698630136986301</v>
          </cell>
        </row>
        <row r="407">
          <cell r="EG407">
            <v>0.53475935828876997</v>
          </cell>
        </row>
        <row r="408">
          <cell r="EG408">
            <v>1.2658227848101264</v>
          </cell>
        </row>
        <row r="409">
          <cell r="EG409">
            <v>1.6129032258064517</v>
          </cell>
        </row>
        <row r="410">
          <cell r="EG410">
            <v>1.4705882352941175</v>
          </cell>
        </row>
        <row r="411">
          <cell r="EG411">
            <v>1.0309278350515465</v>
          </cell>
        </row>
        <row r="412">
          <cell r="EG412">
            <v>1.2195121951219512</v>
          </cell>
        </row>
        <row r="413">
          <cell r="EG413">
            <v>0.54644808743169393</v>
          </cell>
        </row>
        <row r="414">
          <cell r="EG414">
            <v>0.82644628099173556</v>
          </cell>
        </row>
        <row r="415">
          <cell r="EG415">
            <v>0.88495575221238942</v>
          </cell>
        </row>
        <row r="416">
          <cell r="EG416">
            <v>0.86206896551724144</v>
          </cell>
        </row>
        <row r="417">
          <cell r="EG417">
            <v>0.75187969924812026</v>
          </cell>
        </row>
        <row r="418">
          <cell r="EG418">
            <v>0.64516129032258063</v>
          </cell>
        </row>
        <row r="419">
          <cell r="EG419">
            <v>0.3968253968253968</v>
          </cell>
        </row>
        <row r="420">
          <cell r="EG420">
            <v>1.25</v>
          </cell>
        </row>
        <row r="421">
          <cell r="EG421">
            <v>1.0869565217391304</v>
          </cell>
        </row>
        <row r="422">
          <cell r="EG422">
            <v>0.73529411764705876</v>
          </cell>
        </row>
        <row r="423">
          <cell r="EG423">
            <v>0.94339622641509424</v>
          </cell>
        </row>
        <row r="424">
          <cell r="EG424">
            <v>1.2345679012345678</v>
          </cell>
        </row>
        <row r="425">
          <cell r="EG425">
            <v>0.7246376811594204</v>
          </cell>
        </row>
        <row r="426">
          <cell r="EG426">
            <v>1.075268817204301</v>
          </cell>
        </row>
        <row r="427">
          <cell r="EG427">
            <v>1.0526315789473684</v>
          </cell>
        </row>
        <row r="428">
          <cell r="EG428">
            <v>0.89285714285714279</v>
          </cell>
        </row>
        <row r="429">
          <cell r="EG429">
            <v>0.93457943925233644</v>
          </cell>
        </row>
        <row r="430">
          <cell r="EG430">
            <v>0.4464285714285714</v>
          </cell>
        </row>
        <row r="431">
          <cell r="EG431">
            <v>0.73529411764705876</v>
          </cell>
        </row>
        <row r="432">
          <cell r="EG432">
            <v>0.78125</v>
          </cell>
        </row>
        <row r="433">
          <cell r="EG433">
            <v>0.81967213114754101</v>
          </cell>
        </row>
        <row r="434">
          <cell r="EG434">
            <v>1.0638297872340425</v>
          </cell>
        </row>
        <row r="435">
          <cell r="EG435">
            <v>0.6097560975609756</v>
          </cell>
        </row>
        <row r="436">
          <cell r="EG436">
            <v>0.38314176245210729</v>
          </cell>
        </row>
        <row r="437">
          <cell r="EG437">
            <v>0.44843049327354262</v>
          </cell>
        </row>
        <row r="438">
          <cell r="EG438">
            <v>0.22075055187637968</v>
          </cell>
        </row>
        <row r="439">
          <cell r="EG439">
            <v>0.80645161290322587</v>
          </cell>
        </row>
        <row r="440">
          <cell r="EG440">
            <v>0.17152658662092624</v>
          </cell>
        </row>
        <row r="441">
          <cell r="EG441">
            <v>0.51546391752577325</v>
          </cell>
        </row>
        <row r="442">
          <cell r="EG442">
            <v>0.46948356807511737</v>
          </cell>
        </row>
        <row r="443">
          <cell r="EG443">
            <v>0.33444816053511706</v>
          </cell>
        </row>
        <row r="444">
          <cell r="EG444">
            <v>0.74626865671641784</v>
          </cell>
        </row>
        <row r="445">
          <cell r="EG445">
            <v>0.44843049327354262</v>
          </cell>
        </row>
        <row r="446">
          <cell r="EG446">
            <v>0.19960079840319361</v>
          </cell>
        </row>
        <row r="447">
          <cell r="EG447">
            <v>0.65789473684210531</v>
          </cell>
        </row>
        <row r="448">
          <cell r="EG448">
            <v>1.0638297872340425</v>
          </cell>
        </row>
        <row r="449">
          <cell r="EG449">
            <v>0.45662100456621008</v>
          </cell>
        </row>
        <row r="450">
          <cell r="EG450">
            <v>0.5</v>
          </cell>
        </row>
        <row r="451">
          <cell r="EG451">
            <v>0.5376344086021505</v>
          </cell>
        </row>
        <row r="452">
          <cell r="EG452">
            <v>0.3058103975535168</v>
          </cell>
        </row>
        <row r="453">
          <cell r="EG453">
            <v>0.52910052910052918</v>
          </cell>
        </row>
        <row r="454">
          <cell r="EG454">
            <v>0.4329004329004329</v>
          </cell>
        </row>
        <row r="455">
          <cell r="EG455">
            <v>0.85470085470085477</v>
          </cell>
        </row>
        <row r="456">
          <cell r="EG456">
            <v>0.46296296296296291</v>
          </cell>
        </row>
        <row r="457">
          <cell r="EG457">
            <v>0.7407407407407407</v>
          </cell>
        </row>
        <row r="458">
          <cell r="EG458">
            <v>1.0416666666666667</v>
          </cell>
        </row>
        <row r="459">
          <cell r="EG459">
            <v>0.6211180124223602</v>
          </cell>
        </row>
        <row r="460">
          <cell r="EG460">
            <v>0.54054054054054046</v>
          </cell>
        </row>
        <row r="461">
          <cell r="EG461">
            <v>0.6211180124223602</v>
          </cell>
        </row>
        <row r="462">
          <cell r="EG462">
            <v>0.82644628099173556</v>
          </cell>
        </row>
        <row r="463">
          <cell r="EG463">
            <v>0.34965034965034969</v>
          </cell>
        </row>
        <row r="464">
          <cell r="EG464">
            <v>0.34722222222222221</v>
          </cell>
        </row>
        <row r="465">
          <cell r="EG465">
            <v>0.3401360544217687</v>
          </cell>
        </row>
        <row r="466">
          <cell r="EG466">
            <v>0.89285714285714279</v>
          </cell>
        </row>
        <row r="467">
          <cell r="EG467">
            <v>0.69444444444444442</v>
          </cell>
        </row>
        <row r="468">
          <cell r="EG468">
            <v>0.33222591362126247</v>
          </cell>
        </row>
        <row r="469">
          <cell r="EG469">
            <v>0.27777777777777779</v>
          </cell>
        </row>
        <row r="470">
          <cell r="EG470">
            <v>0.84745762711864414</v>
          </cell>
        </row>
        <row r="471">
          <cell r="EG471">
            <v>0.47846889952153115</v>
          </cell>
        </row>
        <row r="472">
          <cell r="EG472">
            <v>0.7407407407407407</v>
          </cell>
        </row>
        <row r="473">
          <cell r="EG473">
            <v>1.1764705882352942</v>
          </cell>
        </row>
        <row r="474">
          <cell r="EG474">
            <v>0.24449877750611249</v>
          </cell>
        </row>
        <row r="475">
          <cell r="EG475">
            <v>0.34602076124567471</v>
          </cell>
        </row>
        <row r="476">
          <cell r="EG476">
            <v>0.60606060606060608</v>
          </cell>
        </row>
        <row r="477">
          <cell r="EG477">
            <v>0.32679738562091504</v>
          </cell>
        </row>
        <row r="478">
          <cell r="EG478">
            <v>0.21367521367521369</v>
          </cell>
        </row>
        <row r="479">
          <cell r="EG479">
            <v>0.51546391752577325</v>
          </cell>
        </row>
        <row r="480">
          <cell r="EG480">
            <v>0.3115264797507788</v>
          </cell>
        </row>
        <row r="481">
          <cell r="EG481">
            <v>0.68965517241379315</v>
          </cell>
        </row>
        <row r="482">
          <cell r="EG482">
            <v>0.26595744680851063</v>
          </cell>
        </row>
        <row r="483">
          <cell r="EG483">
            <v>0.7246376811594204</v>
          </cell>
        </row>
        <row r="484">
          <cell r="EG484">
            <v>1.3698630136986301</v>
          </cell>
        </row>
        <row r="485">
          <cell r="EG485">
            <v>0.54945054945054939</v>
          </cell>
        </row>
        <row r="486">
          <cell r="EG486">
            <v>0.53475935828876997</v>
          </cell>
        </row>
        <row r="487">
          <cell r="EG487">
            <v>0.74626865671641784</v>
          </cell>
        </row>
        <row r="488">
          <cell r="EG488">
            <v>0.32051282051282048</v>
          </cell>
        </row>
        <row r="489">
          <cell r="EG489">
            <v>0.46082949308755761</v>
          </cell>
        </row>
        <row r="490">
          <cell r="EG490">
            <v>0.49504950495049505</v>
          </cell>
        </row>
        <row r="491">
          <cell r="EG491">
            <v>0.49751243781094534</v>
          </cell>
        </row>
        <row r="492">
          <cell r="EG492">
            <v>0.29850746268656714</v>
          </cell>
        </row>
        <row r="493">
          <cell r="EG493">
            <v>0.34246575342465752</v>
          </cell>
        </row>
        <row r="494">
          <cell r="EG494">
            <v>0.27027027027027023</v>
          </cell>
        </row>
        <row r="495">
          <cell r="EG495">
            <v>0.63694267515923564</v>
          </cell>
        </row>
        <row r="496">
          <cell r="EG496">
            <v>0.303951367781155</v>
          </cell>
        </row>
        <row r="497">
          <cell r="EG497">
            <v>0.42735042735042739</v>
          </cell>
        </row>
        <row r="498">
          <cell r="EG498">
            <v>0.38759689922480617</v>
          </cell>
        </row>
        <row r="499">
          <cell r="EG499">
            <v>7.3637702503681887E-2</v>
          </cell>
        </row>
        <row r="500">
          <cell r="EG500">
            <v>0.39370078740157477</v>
          </cell>
        </row>
        <row r="501">
          <cell r="EG501">
            <v>0.38167938931297707</v>
          </cell>
        </row>
        <row r="502">
          <cell r="EG502">
            <v>0.46511627906976744</v>
          </cell>
        </row>
        <row r="503">
          <cell r="EG503">
            <v>1.0416666666666667</v>
          </cell>
        </row>
        <row r="504">
          <cell r="EG504">
            <v>0.67567567567567566</v>
          </cell>
        </row>
        <row r="505">
          <cell r="EG505">
            <v>0.52083333333333337</v>
          </cell>
        </row>
        <row r="506">
          <cell r="EG506">
            <v>0.49261083743842371</v>
          </cell>
        </row>
        <row r="507">
          <cell r="EG507">
            <v>0.76335877862595414</v>
          </cell>
        </row>
        <row r="508">
          <cell r="EG508">
            <v>0.58479532163742687</v>
          </cell>
        </row>
        <row r="509">
          <cell r="EG509">
            <v>0.32679738562091504</v>
          </cell>
        </row>
        <row r="510">
          <cell r="EG510">
            <v>0.2304147465437788</v>
          </cell>
        </row>
        <row r="511">
          <cell r="EG511">
            <v>0.53191489361702127</v>
          </cell>
        </row>
        <row r="512">
          <cell r="EG512">
            <v>0.47169811320754712</v>
          </cell>
        </row>
        <row r="513">
          <cell r="EG513">
            <v>0.54054054054054046</v>
          </cell>
        </row>
        <row r="514">
          <cell r="EG514">
            <v>0.90909090909090906</v>
          </cell>
        </row>
        <row r="515">
          <cell r="EG515">
            <v>0.35211267605633806</v>
          </cell>
        </row>
        <row r="516">
          <cell r="EG516">
            <v>0.4587155963302752</v>
          </cell>
        </row>
        <row r="517">
          <cell r="EG517">
            <v>0.625</v>
          </cell>
        </row>
        <row r="518">
          <cell r="EG518">
            <v>0.7407407407407407</v>
          </cell>
        </row>
        <row r="519">
          <cell r="EG519">
            <v>1.0104071940992221E-2</v>
          </cell>
        </row>
        <row r="520">
          <cell r="EG520">
            <v>0.32573289902280134</v>
          </cell>
        </row>
        <row r="521">
          <cell r="EG521">
            <v>0.59523809523809523</v>
          </cell>
        </row>
        <row r="522">
          <cell r="EG522">
            <v>0.6097560975609756</v>
          </cell>
        </row>
        <row r="523">
          <cell r="EG523">
            <v>0.34722222222222221</v>
          </cell>
        </row>
        <row r="524">
          <cell r="EG524">
            <v>0.9174311926605504</v>
          </cell>
        </row>
        <row r="525">
          <cell r="EG525">
            <v>0.64935064935064934</v>
          </cell>
        </row>
        <row r="526">
          <cell r="EG526">
            <v>0.23923444976076558</v>
          </cell>
        </row>
        <row r="527">
          <cell r="EG527">
            <v>0.59523809523809523</v>
          </cell>
        </row>
        <row r="528">
          <cell r="EG528">
            <v>0.38759689922480617</v>
          </cell>
        </row>
        <row r="529">
          <cell r="EG529">
            <v>0.37735849056603776</v>
          </cell>
        </row>
        <row r="530">
          <cell r="EG530">
            <v>0.55865921787709494</v>
          </cell>
        </row>
        <row r="531">
          <cell r="EG531">
            <v>0.16750418760469013</v>
          </cell>
        </row>
        <row r="532">
          <cell r="EG532">
            <v>0.53475935828876997</v>
          </cell>
        </row>
        <row r="533">
          <cell r="EG533">
            <v>0.34246575342465752</v>
          </cell>
        </row>
        <row r="534">
          <cell r="EG534">
            <v>0.38610038610038611</v>
          </cell>
        </row>
        <row r="535">
          <cell r="EG535">
            <v>0.69930069930069938</v>
          </cell>
        </row>
        <row r="536">
          <cell r="EG536">
            <v>0.87719298245614041</v>
          </cell>
        </row>
        <row r="537">
          <cell r="EG537">
            <v>0.49261083743842371</v>
          </cell>
        </row>
        <row r="538">
          <cell r="EG538">
            <v>0.37878787878787878</v>
          </cell>
        </row>
        <row r="539">
          <cell r="EG539">
            <v>0.36630036630036628</v>
          </cell>
        </row>
        <row r="540">
          <cell r="EG540">
            <v>0.4098360655737705</v>
          </cell>
        </row>
        <row r="541">
          <cell r="EG541">
            <v>0.81967213114754101</v>
          </cell>
        </row>
        <row r="542">
          <cell r="EG542">
            <v>0.30864197530864196</v>
          </cell>
        </row>
        <row r="543">
          <cell r="EG543">
            <v>0.18691588785046731</v>
          </cell>
        </row>
        <row r="544">
          <cell r="EG544">
            <v>0.36900369003690037</v>
          </cell>
        </row>
        <row r="545">
          <cell r="EG545">
            <v>0.13245033112582782</v>
          </cell>
        </row>
        <row r="546">
          <cell r="EG546">
            <v>0.58139534883720934</v>
          </cell>
        </row>
        <row r="547">
          <cell r="EG547">
            <v>0.94339622641509424</v>
          </cell>
        </row>
        <row r="548">
          <cell r="EG548">
            <v>1.5625</v>
          </cell>
        </row>
        <row r="549">
          <cell r="EG549">
            <v>0.75757575757575757</v>
          </cell>
        </row>
        <row r="550">
          <cell r="EG550">
            <v>0.58823529411764708</v>
          </cell>
        </row>
        <row r="551">
          <cell r="EG551">
            <v>0.66666666666666663</v>
          </cell>
        </row>
        <row r="552">
          <cell r="EG552">
            <v>1.2658227848101264</v>
          </cell>
        </row>
        <row r="553">
          <cell r="EG553">
            <v>1.2345679012345678</v>
          </cell>
        </row>
        <row r="554">
          <cell r="EG554">
            <v>1.2345679012345678</v>
          </cell>
        </row>
        <row r="555">
          <cell r="EG555">
            <v>4.7096500729995761E-3</v>
          </cell>
        </row>
        <row r="556">
          <cell r="EG556">
            <v>1.5384615384615383</v>
          </cell>
        </row>
        <row r="557">
          <cell r="EG557">
            <v>0.28409090909090912</v>
          </cell>
        </row>
        <row r="558">
          <cell r="EG558">
            <v>0.58479532163742687</v>
          </cell>
        </row>
        <row r="559">
          <cell r="EG559">
            <v>0.49019607843137253</v>
          </cell>
        </row>
        <row r="560">
          <cell r="EG560">
            <v>0.970873786407767</v>
          </cell>
        </row>
        <row r="561">
          <cell r="EG561">
            <v>1.0869565217391304</v>
          </cell>
        </row>
        <row r="562">
          <cell r="EG562">
            <v>0.95238095238095233</v>
          </cell>
        </row>
        <row r="563">
          <cell r="EG563">
            <v>1.3513513513513513</v>
          </cell>
        </row>
        <row r="564">
          <cell r="EG564">
            <v>0.87719298245614041</v>
          </cell>
        </row>
        <row r="565">
          <cell r="EG565">
            <v>0.75757575757575757</v>
          </cell>
        </row>
        <row r="566">
          <cell r="EG566">
            <v>0.78125</v>
          </cell>
        </row>
        <row r="567">
          <cell r="EG567">
            <v>0.68493150684931503</v>
          </cell>
        </row>
        <row r="568">
          <cell r="EG568">
            <v>0.80645161290322587</v>
          </cell>
        </row>
        <row r="569">
          <cell r="EG569">
            <v>0.81967213114754101</v>
          </cell>
        </row>
        <row r="570">
          <cell r="EG570">
            <v>0.73529411764705876</v>
          </cell>
        </row>
        <row r="571">
          <cell r="EG571">
            <v>0.69444444444444442</v>
          </cell>
        </row>
        <row r="572">
          <cell r="EG572">
            <v>0.84745762711864414</v>
          </cell>
        </row>
        <row r="573">
          <cell r="EG573">
            <v>0.85470085470085477</v>
          </cell>
        </row>
        <row r="574">
          <cell r="EG574">
            <v>0.83333333333333337</v>
          </cell>
        </row>
        <row r="575">
          <cell r="EG575">
            <v>0.5376344086021505</v>
          </cell>
        </row>
        <row r="576">
          <cell r="EG576">
            <v>0.41493775933609955</v>
          </cell>
        </row>
        <row r="577">
          <cell r="EG577">
            <v>1.0526315789473684</v>
          </cell>
        </row>
        <row r="578">
          <cell r="EG578">
            <v>1.0416666666666667</v>
          </cell>
        </row>
        <row r="579">
          <cell r="EG579">
            <v>0.99009900990099009</v>
          </cell>
        </row>
        <row r="580">
          <cell r="EG580">
            <v>0.73529411764705876</v>
          </cell>
        </row>
        <row r="581">
          <cell r="EG581">
            <v>0.970873786407767</v>
          </cell>
        </row>
        <row r="582">
          <cell r="EG582">
            <v>0.4</v>
          </cell>
        </row>
        <row r="583">
          <cell r="EG583">
            <v>0.67567567567567566</v>
          </cell>
        </row>
        <row r="584">
          <cell r="EG584">
            <v>0.35211267605633806</v>
          </cell>
        </row>
        <row r="585">
          <cell r="EG585">
            <v>0.69444444444444442</v>
          </cell>
        </row>
        <row r="586">
          <cell r="EG586">
            <v>0.86956521739130443</v>
          </cell>
        </row>
        <row r="587">
          <cell r="EG587">
            <v>0.55865921787709494</v>
          </cell>
        </row>
        <row r="588">
          <cell r="EG588">
            <v>0.72992700729927007</v>
          </cell>
        </row>
        <row r="589">
          <cell r="EG589">
            <v>0.51020408163265307</v>
          </cell>
        </row>
        <row r="590">
          <cell r="EG590">
            <v>0.42194092827004215</v>
          </cell>
        </row>
        <row r="591">
          <cell r="EG591">
            <v>0.22222222222222221</v>
          </cell>
        </row>
        <row r="592">
          <cell r="EG592">
            <v>0.41666666666666669</v>
          </cell>
        </row>
        <row r="593">
          <cell r="EG593">
            <v>0.47393364928909953</v>
          </cell>
        </row>
        <row r="594">
          <cell r="EG594">
            <v>0.62893081761006286</v>
          </cell>
        </row>
        <row r="595">
          <cell r="EG595">
            <v>0.2824858757062147</v>
          </cell>
        </row>
        <row r="596">
          <cell r="EG596">
            <v>0.87719298245614041</v>
          </cell>
        </row>
        <row r="597">
          <cell r="EG597">
            <v>1</v>
          </cell>
        </row>
        <row r="598">
          <cell r="EG598">
            <v>0.9009009009009008</v>
          </cell>
        </row>
        <row r="599">
          <cell r="EG599">
            <v>0.92592592592592582</v>
          </cell>
        </row>
        <row r="600">
          <cell r="EG600">
            <v>0.32894736842105265</v>
          </cell>
        </row>
        <row r="601">
          <cell r="EG601">
            <v>1.0638297872340425</v>
          </cell>
        </row>
        <row r="602">
          <cell r="EG602">
            <v>0.27548209366391185</v>
          </cell>
        </row>
        <row r="603">
          <cell r="EG603">
            <v>0.125</v>
          </cell>
        </row>
        <row r="604">
          <cell r="EG604">
            <v>1.4705882352941175</v>
          </cell>
        </row>
        <row r="605">
          <cell r="EG605">
            <v>0.23923444976076558</v>
          </cell>
        </row>
        <row r="606">
          <cell r="EG606">
            <v>1.0869565217391304</v>
          </cell>
        </row>
        <row r="607">
          <cell r="EG607">
            <v>0.2610966057441253</v>
          </cell>
        </row>
        <row r="608">
          <cell r="EG608">
            <v>0.36764705882352938</v>
          </cell>
        </row>
        <row r="609">
          <cell r="EG609">
            <v>0.32679738562091504</v>
          </cell>
        </row>
        <row r="610">
          <cell r="EG610">
            <v>1</v>
          </cell>
        </row>
        <row r="611">
          <cell r="EG611">
            <v>0.52910052910052918</v>
          </cell>
        </row>
        <row r="612">
          <cell r="EG612">
            <v>1</v>
          </cell>
        </row>
        <row r="613">
          <cell r="EG613">
            <v>0.5714285714285714</v>
          </cell>
        </row>
        <row r="614">
          <cell r="EG614">
            <v>0.22831050228310504</v>
          </cell>
        </row>
        <row r="615">
          <cell r="EG615">
            <v>0.20746887966804978</v>
          </cell>
        </row>
        <row r="616">
          <cell r="EG616">
            <v>0.75187969924812026</v>
          </cell>
        </row>
        <row r="617">
          <cell r="EG617">
            <v>1.0526315789473684</v>
          </cell>
        </row>
        <row r="618">
          <cell r="EG618">
            <v>1.1494252873563218</v>
          </cell>
        </row>
        <row r="619">
          <cell r="EG619">
            <v>0.28011204481792717</v>
          </cell>
        </row>
        <row r="620">
          <cell r="EG620">
            <v>0.83333333333333337</v>
          </cell>
        </row>
        <row r="621">
          <cell r="EG621">
            <v>0.98039215686274506</v>
          </cell>
        </row>
        <row r="622">
          <cell r="EG622">
            <v>0.49751243781094534</v>
          </cell>
        </row>
        <row r="623">
          <cell r="EG623">
            <v>0.83333333333333337</v>
          </cell>
        </row>
        <row r="624">
          <cell r="EG624">
            <v>0.7246376811594204</v>
          </cell>
        </row>
        <row r="625">
          <cell r="EG625">
            <v>0.58139534883720934</v>
          </cell>
        </row>
        <row r="626">
          <cell r="EG626">
            <v>0.49261083743842371</v>
          </cell>
        </row>
        <row r="627">
          <cell r="EG627">
            <v>1.0526315789473684</v>
          </cell>
        </row>
        <row r="628">
          <cell r="EG628">
            <v>0.29154518950437314</v>
          </cell>
        </row>
        <row r="629">
          <cell r="EG629">
            <v>1.0526315789473684</v>
          </cell>
        </row>
        <row r="630">
          <cell r="EG630">
            <v>0.48076923076923073</v>
          </cell>
        </row>
        <row r="631">
          <cell r="EG631">
            <v>0.5714285714285714</v>
          </cell>
        </row>
        <row r="632">
          <cell r="EG632">
            <v>1.2987012987012987</v>
          </cell>
        </row>
        <row r="633">
          <cell r="EG633">
            <v>4.8239266763145196E-2</v>
          </cell>
        </row>
        <row r="634">
          <cell r="EG634">
            <v>0.5617977528089888</v>
          </cell>
        </row>
        <row r="635">
          <cell r="EG635">
            <v>0.21881838074398249</v>
          </cell>
        </row>
        <row r="636">
          <cell r="EG636">
            <v>0.82644628099173556</v>
          </cell>
        </row>
        <row r="637">
          <cell r="EG637">
            <v>0.40322580645161293</v>
          </cell>
        </row>
        <row r="638">
          <cell r="EG638">
            <v>0.24570024570024568</v>
          </cell>
        </row>
        <row r="639">
          <cell r="EG639">
            <v>0.54945054945054939</v>
          </cell>
        </row>
        <row r="640">
          <cell r="EG640">
            <v>0.75187969924812026</v>
          </cell>
        </row>
        <row r="641">
          <cell r="EG641">
            <v>2.9205607476635514E-2</v>
          </cell>
        </row>
        <row r="642">
          <cell r="EG642">
            <v>0.59523809523809523</v>
          </cell>
        </row>
        <row r="643">
          <cell r="EG643">
            <v>0.54644808743169393</v>
          </cell>
        </row>
        <row r="644">
          <cell r="EG644">
            <v>0.5181347150259068</v>
          </cell>
        </row>
        <row r="645">
          <cell r="EG645">
            <v>0.6211180124223602</v>
          </cell>
        </row>
        <row r="646">
          <cell r="EG646">
            <v>0.34129692832764502</v>
          </cell>
        </row>
        <row r="647">
          <cell r="EG647">
            <v>0.56497175141242939</v>
          </cell>
        </row>
        <row r="648">
          <cell r="EG648">
            <v>0.53475935828876997</v>
          </cell>
        </row>
        <row r="649">
          <cell r="EG649">
            <v>0.66666666666666663</v>
          </cell>
        </row>
        <row r="650">
          <cell r="EG650">
            <v>0.64102564102564097</v>
          </cell>
        </row>
        <row r="651">
          <cell r="EG651">
            <v>0.44444444444444442</v>
          </cell>
        </row>
        <row r="652">
          <cell r="EG652">
            <v>0.84033613445378152</v>
          </cell>
        </row>
        <row r="653">
          <cell r="EG653">
            <v>0.51546391752577325</v>
          </cell>
        </row>
        <row r="654">
          <cell r="EG654">
            <v>0.79365079365079361</v>
          </cell>
        </row>
        <row r="655">
          <cell r="EG655">
            <v>0.22831050228310504</v>
          </cell>
        </row>
        <row r="656">
          <cell r="EG656">
            <v>0.49751243781094534</v>
          </cell>
        </row>
        <row r="657">
          <cell r="EG657">
            <v>0.66225165562913912</v>
          </cell>
        </row>
        <row r="658">
          <cell r="EG658">
            <v>0.23255813953488372</v>
          </cell>
        </row>
        <row r="659">
          <cell r="EG659">
            <v>1.1363636363636365</v>
          </cell>
        </row>
        <row r="660">
          <cell r="EG660">
            <v>0.3968253968253968</v>
          </cell>
        </row>
        <row r="661">
          <cell r="EG661">
            <v>0.4587155963302752</v>
          </cell>
        </row>
        <row r="662">
          <cell r="EG662">
            <v>0.72992700729927007</v>
          </cell>
        </row>
        <row r="663">
          <cell r="EG663">
            <v>0.75187969924812026</v>
          </cell>
        </row>
        <row r="664">
          <cell r="EG664">
            <v>0.34246575342465752</v>
          </cell>
        </row>
        <row r="665">
          <cell r="EG665">
            <v>0.52356020942408377</v>
          </cell>
        </row>
        <row r="666">
          <cell r="EG666">
            <v>0.53475935828876997</v>
          </cell>
        </row>
        <row r="667">
          <cell r="EG667">
            <v>1.0204081632653061</v>
          </cell>
        </row>
        <row r="668">
          <cell r="EG668">
            <v>0.41152263374485593</v>
          </cell>
        </row>
        <row r="669">
          <cell r="EG669">
            <v>0.96153846153846145</v>
          </cell>
        </row>
        <row r="670">
          <cell r="EG670">
            <v>0.96153846153846145</v>
          </cell>
        </row>
        <row r="671">
          <cell r="EG671">
            <v>0.69930069930069938</v>
          </cell>
        </row>
        <row r="672">
          <cell r="EG672">
            <v>0.77519379844961234</v>
          </cell>
        </row>
        <row r="673">
          <cell r="EG673">
            <v>0.86956521739130443</v>
          </cell>
        </row>
        <row r="674">
          <cell r="EG674">
            <v>0.49261083743842371</v>
          </cell>
        </row>
        <row r="675">
          <cell r="EG675">
            <v>0.95238095238095233</v>
          </cell>
        </row>
        <row r="676">
          <cell r="EG676">
            <v>0.92592592592592582</v>
          </cell>
        </row>
        <row r="677">
          <cell r="EG677">
            <v>0.42553191489361702</v>
          </cell>
        </row>
        <row r="678">
          <cell r="EG678">
            <v>1.0101010101010102</v>
          </cell>
        </row>
        <row r="679">
          <cell r="EG679">
            <v>0.8</v>
          </cell>
        </row>
        <row r="680">
          <cell r="EG680">
            <v>1.4084507042253522</v>
          </cell>
        </row>
        <row r="681">
          <cell r="EG681">
            <v>0.117096018735363</v>
          </cell>
        </row>
        <row r="682">
          <cell r="EG682">
            <v>0.40160642570281119</v>
          </cell>
        </row>
        <row r="683">
          <cell r="EG683">
            <v>0.7407407407407407</v>
          </cell>
        </row>
        <row r="684">
          <cell r="EG684">
            <v>0.43478260869565222</v>
          </cell>
        </row>
        <row r="685">
          <cell r="EG685">
            <v>1.2345679012345678</v>
          </cell>
        </row>
        <row r="686">
          <cell r="EG686">
            <v>0.99009900990099009</v>
          </cell>
        </row>
        <row r="687">
          <cell r="EG687">
            <v>0.81967213114754101</v>
          </cell>
        </row>
        <row r="688">
          <cell r="EG688">
            <v>0.50505050505050508</v>
          </cell>
        </row>
        <row r="689">
          <cell r="EG689">
            <v>0.5524861878453039</v>
          </cell>
        </row>
        <row r="690">
          <cell r="EG690">
            <v>0.35971223021582738</v>
          </cell>
        </row>
        <row r="691">
          <cell r="EG691">
            <v>0.86206896551724144</v>
          </cell>
        </row>
        <row r="692">
          <cell r="EG692">
            <v>0.4366812227074236</v>
          </cell>
        </row>
        <row r="693">
          <cell r="EG693">
            <v>0.60606060606060608</v>
          </cell>
        </row>
        <row r="694">
          <cell r="EG694">
            <v>0.26737967914438499</v>
          </cell>
        </row>
        <row r="695">
          <cell r="EG695">
            <v>0.68027210884353739</v>
          </cell>
        </row>
        <row r="696">
          <cell r="EG696">
            <v>0.26246719160104987</v>
          </cell>
        </row>
        <row r="697">
          <cell r="EG697">
            <v>0.55555555555555558</v>
          </cell>
        </row>
        <row r="698">
          <cell r="EG698">
            <v>0.45454545454545453</v>
          </cell>
        </row>
        <row r="699">
          <cell r="EG699">
            <v>0.61349693251533743</v>
          </cell>
        </row>
        <row r="700">
          <cell r="EG700">
            <v>0.92592592592592582</v>
          </cell>
        </row>
        <row r="701">
          <cell r="EG701">
            <v>1.0989010989010988</v>
          </cell>
        </row>
        <row r="702">
          <cell r="EG702">
            <v>0.87719298245614041</v>
          </cell>
        </row>
        <row r="703">
          <cell r="EG703">
            <v>0.75757575757575757</v>
          </cell>
        </row>
        <row r="704">
          <cell r="EG704">
            <v>0.43478260869565222</v>
          </cell>
        </row>
        <row r="705">
          <cell r="EG705">
            <v>0.93457943925233644</v>
          </cell>
        </row>
        <row r="706">
          <cell r="EG706">
            <v>0.390625</v>
          </cell>
        </row>
        <row r="707">
          <cell r="EG707">
            <v>0.42194092827004215</v>
          </cell>
        </row>
        <row r="708">
          <cell r="EG708">
            <v>0.42918454935622319</v>
          </cell>
        </row>
        <row r="709">
          <cell r="EG709">
            <v>8.5106382978723402E-2</v>
          </cell>
        </row>
        <row r="710">
          <cell r="EG710">
            <v>0.9174311926605504</v>
          </cell>
        </row>
        <row r="711">
          <cell r="EG711">
            <v>0.72992700729927007</v>
          </cell>
        </row>
        <row r="712">
          <cell r="EG712">
            <v>0.7246376811594204</v>
          </cell>
        </row>
        <row r="713">
          <cell r="EG713">
            <v>0.4081632653061224</v>
          </cell>
        </row>
        <row r="714">
          <cell r="EG714">
            <v>1.3333333333333333</v>
          </cell>
        </row>
        <row r="715">
          <cell r="EG715">
            <v>0.92592592592592582</v>
          </cell>
        </row>
        <row r="716">
          <cell r="EG716">
            <v>0.41493775933609955</v>
          </cell>
        </row>
        <row r="717">
          <cell r="EG717">
            <v>0.54644808743169393</v>
          </cell>
        </row>
        <row r="718">
          <cell r="EG718">
            <v>0.25575447570332482</v>
          </cell>
        </row>
        <row r="719">
          <cell r="EG719">
            <v>0.66666666666666663</v>
          </cell>
        </row>
        <row r="720">
          <cell r="EG720">
            <v>0.41841004184100417</v>
          </cell>
        </row>
        <row r="721">
          <cell r="EG721">
            <v>0.36764705882352938</v>
          </cell>
        </row>
        <row r="722">
          <cell r="EG722">
            <v>0.68027210884353739</v>
          </cell>
        </row>
        <row r="723">
          <cell r="EG723">
            <v>0.35087719298245612</v>
          </cell>
        </row>
        <row r="724">
          <cell r="EG724">
            <v>0.52631578947368418</v>
          </cell>
        </row>
        <row r="725">
          <cell r="EG725">
            <v>0.38610038610038611</v>
          </cell>
        </row>
        <row r="726">
          <cell r="EG726">
            <v>0.4854368932038835</v>
          </cell>
        </row>
        <row r="727">
          <cell r="EG727">
            <v>0.61349693251533743</v>
          </cell>
        </row>
        <row r="728">
          <cell r="EG728">
            <v>0.96153846153846145</v>
          </cell>
        </row>
        <row r="729">
          <cell r="EG729">
            <v>0.33112582781456956</v>
          </cell>
        </row>
        <row r="730">
          <cell r="EG730">
            <v>1.0101010101010102</v>
          </cell>
        </row>
        <row r="731">
          <cell r="EG731">
            <v>0.3623188405797102</v>
          </cell>
        </row>
        <row r="732">
          <cell r="EG732">
            <v>0.88495575221238942</v>
          </cell>
        </row>
        <row r="733">
          <cell r="EG733">
            <v>0.76335877862595414</v>
          </cell>
        </row>
        <row r="734">
          <cell r="EG734">
            <v>0.7142857142857143</v>
          </cell>
        </row>
        <row r="735">
          <cell r="EG735">
            <v>0.84745762711864414</v>
          </cell>
        </row>
        <row r="736">
          <cell r="EG736">
            <v>0.15797788309636651</v>
          </cell>
        </row>
        <row r="737">
          <cell r="EG737">
            <v>0.58823529411764708</v>
          </cell>
        </row>
        <row r="738">
          <cell r="EG738">
            <v>0.30211480362537763</v>
          </cell>
        </row>
        <row r="739">
          <cell r="EG739">
            <v>0.44843049327354262</v>
          </cell>
        </row>
        <row r="740">
          <cell r="EG740">
            <v>1.0989010989010988</v>
          </cell>
        </row>
        <row r="741">
          <cell r="EG741">
            <v>0.20661157024793389</v>
          </cell>
        </row>
        <row r="742">
          <cell r="EG742">
            <v>0.3546099290780142</v>
          </cell>
        </row>
        <row r="743">
          <cell r="EG743">
            <v>0.46082949308755761</v>
          </cell>
        </row>
        <row r="744">
          <cell r="EG744">
            <v>0.64516129032258063</v>
          </cell>
        </row>
        <row r="745">
          <cell r="EG745">
            <v>0.49019607843137253</v>
          </cell>
        </row>
        <row r="746">
          <cell r="EG746">
            <v>0.49504950495049505</v>
          </cell>
        </row>
        <row r="747">
          <cell r="EG747">
            <v>1.0309278350515465</v>
          </cell>
        </row>
        <row r="748">
          <cell r="EG748">
            <v>0.42016806722689076</v>
          </cell>
        </row>
        <row r="749">
          <cell r="EG749">
            <v>0.29069767441860467</v>
          </cell>
        </row>
        <row r="750">
          <cell r="EG750">
            <v>0.61728395061728392</v>
          </cell>
        </row>
        <row r="751">
          <cell r="EG751">
            <v>0.5780346820809249</v>
          </cell>
        </row>
        <row r="752">
          <cell r="EG752">
            <v>0.38759689922480617</v>
          </cell>
        </row>
        <row r="753">
          <cell r="EG753">
            <v>0.85470085470085477</v>
          </cell>
        </row>
        <row r="754">
          <cell r="EG754">
            <v>0.43478260869565222</v>
          </cell>
        </row>
        <row r="755">
          <cell r="EG755">
            <v>0.9009009009009008</v>
          </cell>
        </row>
        <row r="756">
          <cell r="EG756">
            <v>0.38759689922480617</v>
          </cell>
        </row>
        <row r="757">
          <cell r="EG757">
            <v>0.20576131687242796</v>
          </cell>
        </row>
        <row r="758">
          <cell r="EG758">
            <v>0.44247787610619471</v>
          </cell>
        </row>
        <row r="759">
          <cell r="EG759">
            <v>0.9009009009009008</v>
          </cell>
        </row>
        <row r="760">
          <cell r="EG760">
            <v>0.49019607843137253</v>
          </cell>
        </row>
        <row r="761">
          <cell r="EG761">
            <v>0.5</v>
          </cell>
        </row>
        <row r="762">
          <cell r="EG762">
            <v>0.71942446043165476</v>
          </cell>
        </row>
        <row r="763">
          <cell r="EG763">
            <v>0.73529411764705876</v>
          </cell>
        </row>
        <row r="764">
          <cell r="EG764">
            <v>0.3546099290780142</v>
          </cell>
        </row>
        <row r="765">
          <cell r="EG765">
            <v>0.4854368932038835</v>
          </cell>
        </row>
        <row r="766">
          <cell r="EG766">
            <v>0.3115264797507788</v>
          </cell>
        </row>
        <row r="767">
          <cell r="EG767">
            <v>0.4366812227074236</v>
          </cell>
        </row>
        <row r="768">
          <cell r="EG768">
            <v>0.58479532163742687</v>
          </cell>
        </row>
        <row r="769">
          <cell r="EG769">
            <v>0.41322314049586778</v>
          </cell>
        </row>
        <row r="770">
          <cell r="EG770">
            <v>0.52631578947368418</v>
          </cell>
        </row>
        <row r="771">
          <cell r="EG771">
            <v>0.42372881355932207</v>
          </cell>
        </row>
        <row r="772">
          <cell r="EG772">
            <v>0.39525691699604748</v>
          </cell>
        </row>
        <row r="773">
          <cell r="EG773">
            <v>0.51282051282051289</v>
          </cell>
        </row>
        <row r="774">
          <cell r="EG774">
            <v>0.63291139240506322</v>
          </cell>
        </row>
        <row r="775">
          <cell r="EG775">
            <v>0.64935064935064934</v>
          </cell>
        </row>
        <row r="776">
          <cell r="EG776">
            <v>0.92592592592592582</v>
          </cell>
        </row>
        <row r="777">
          <cell r="EG777">
            <v>0.42735042735042739</v>
          </cell>
        </row>
        <row r="778">
          <cell r="EG778">
            <v>0.67567567567567566</v>
          </cell>
        </row>
        <row r="779">
          <cell r="EG779">
            <v>0.1801801801801802</v>
          </cell>
        </row>
        <row r="780">
          <cell r="EG780">
            <v>1.3888888888888888</v>
          </cell>
        </row>
        <row r="781">
          <cell r="EG781">
            <v>0.15174506828528073</v>
          </cell>
        </row>
        <row r="782">
          <cell r="EG782">
            <v>0.63694267515923564</v>
          </cell>
        </row>
        <row r="783">
          <cell r="EG783">
            <v>0.71942446043165476</v>
          </cell>
        </row>
        <row r="784">
          <cell r="EG784">
            <v>0.82644628099173556</v>
          </cell>
        </row>
        <row r="785">
          <cell r="EG785">
            <v>0.33112582781456956</v>
          </cell>
        </row>
        <row r="786">
          <cell r="EG786">
            <v>0.20449897750511248</v>
          </cell>
        </row>
        <row r="787">
          <cell r="EG787">
            <v>0.5988023952095809</v>
          </cell>
        </row>
        <row r="788">
          <cell r="EG788">
            <v>0.42194092827004215</v>
          </cell>
        </row>
        <row r="789">
          <cell r="EG789">
            <v>0.2824858757062147</v>
          </cell>
        </row>
        <row r="790">
          <cell r="EG790">
            <v>0.42553191489361702</v>
          </cell>
        </row>
        <row r="791">
          <cell r="EG791">
            <v>0.8</v>
          </cell>
        </row>
        <row r="792">
          <cell r="EG792">
            <v>0.76335877862595414</v>
          </cell>
        </row>
        <row r="793">
          <cell r="EG793">
            <v>0.38314176245210729</v>
          </cell>
        </row>
        <row r="794">
          <cell r="EG794">
            <v>0.57471264367816088</v>
          </cell>
        </row>
        <row r="795">
          <cell r="EG795">
            <v>0.39840637450199207</v>
          </cell>
        </row>
        <row r="796">
          <cell r="EG796">
            <v>0.96153846153846145</v>
          </cell>
        </row>
        <row r="797">
          <cell r="EG797">
            <v>0.35087719298245612</v>
          </cell>
        </row>
        <row r="798">
          <cell r="EG798">
            <v>0.55555555555555558</v>
          </cell>
        </row>
        <row r="799">
          <cell r="EG799">
            <v>0.19493177387914232</v>
          </cell>
        </row>
        <row r="800">
          <cell r="EG800">
            <v>0.68965517241379315</v>
          </cell>
        </row>
        <row r="801">
          <cell r="EG801">
            <v>0.15974440894568689</v>
          </cell>
        </row>
        <row r="802">
          <cell r="EG802">
            <v>0.61349693251533743</v>
          </cell>
        </row>
        <row r="803">
          <cell r="EG803">
            <v>1</v>
          </cell>
        </row>
        <row r="804">
          <cell r="EG804">
            <v>0.42735042735042739</v>
          </cell>
        </row>
        <row r="805">
          <cell r="EG805">
            <v>0.21459227467811159</v>
          </cell>
        </row>
        <row r="806">
          <cell r="EG806">
            <v>0.22123893805309736</v>
          </cell>
        </row>
        <row r="807">
          <cell r="EG807">
            <v>0.26041666666666669</v>
          </cell>
        </row>
        <row r="808">
          <cell r="EG808">
            <v>0.65789473684210531</v>
          </cell>
        </row>
        <row r="809">
          <cell r="EG809">
            <v>0.87719298245614041</v>
          </cell>
        </row>
        <row r="810">
          <cell r="EG810">
            <v>0.86206896551724144</v>
          </cell>
        </row>
        <row r="811">
          <cell r="EG811">
            <v>0.66666666666666663</v>
          </cell>
        </row>
        <row r="812">
          <cell r="EG812">
            <v>0.45662100456621008</v>
          </cell>
        </row>
        <row r="813">
          <cell r="EG813">
            <v>0.13333333333333333</v>
          </cell>
        </row>
        <row r="814">
          <cell r="EG814">
            <v>0.3236245954692557</v>
          </cell>
        </row>
        <row r="815">
          <cell r="EG815">
            <v>1.2345679012345678</v>
          </cell>
        </row>
        <row r="816">
          <cell r="EG816">
            <v>0.75757575757575757</v>
          </cell>
        </row>
        <row r="817">
          <cell r="EG817">
            <v>0.16920473773265651</v>
          </cell>
        </row>
        <row r="818">
          <cell r="EG818">
            <v>0.23310023310023309</v>
          </cell>
        </row>
        <row r="819">
          <cell r="EG819">
            <v>0.30959752321981426</v>
          </cell>
        </row>
        <row r="820">
          <cell r="EG820">
            <v>0.2824858757062147</v>
          </cell>
        </row>
        <row r="821">
          <cell r="EG821">
            <v>0.33112582781456956</v>
          </cell>
        </row>
        <row r="822">
          <cell r="EG822">
            <v>1.2658227848101264</v>
          </cell>
        </row>
        <row r="823">
          <cell r="EG823">
            <v>0.29325513196480935</v>
          </cell>
        </row>
        <row r="824">
          <cell r="EG824">
            <v>0.24213075060532688</v>
          </cell>
        </row>
        <row r="825">
          <cell r="EG825">
            <v>0.50251256281407031</v>
          </cell>
        </row>
        <row r="826">
          <cell r="EG826">
            <v>0.31446540880503143</v>
          </cell>
        </row>
        <row r="827">
          <cell r="EG827">
            <v>0.43103448275862072</v>
          </cell>
        </row>
        <row r="828">
          <cell r="EG828">
            <v>0.77519379844961234</v>
          </cell>
        </row>
        <row r="829">
          <cell r="EG829">
            <v>0.38759689922480617</v>
          </cell>
        </row>
        <row r="830">
          <cell r="EG830">
            <v>0.40485829959514169</v>
          </cell>
        </row>
        <row r="831">
          <cell r="EG831">
            <v>0.40322580645161293</v>
          </cell>
        </row>
        <row r="832">
          <cell r="EG832">
            <v>0.4854368932038835</v>
          </cell>
        </row>
        <row r="833">
          <cell r="EG833">
            <v>0.88495575221238942</v>
          </cell>
        </row>
        <row r="834">
          <cell r="EG834">
            <v>1.1904761904761905</v>
          </cell>
        </row>
        <row r="835">
          <cell r="EG835">
            <v>0.27472527472527469</v>
          </cell>
        </row>
        <row r="836">
          <cell r="EG836">
            <v>0.98039215686274506</v>
          </cell>
        </row>
        <row r="837">
          <cell r="EG837">
            <v>1.0869565217391304</v>
          </cell>
        </row>
        <row r="838">
          <cell r="EG838">
            <v>0.36900369003690037</v>
          </cell>
        </row>
        <row r="839">
          <cell r="EG839">
            <v>1.0869565217391304</v>
          </cell>
        </row>
        <row r="840">
          <cell r="EG840">
            <v>0.35211267605633806</v>
          </cell>
        </row>
        <row r="841">
          <cell r="EG841">
            <v>0.40322580645161293</v>
          </cell>
        </row>
        <row r="842">
          <cell r="EG842">
            <v>0.20746887966804978</v>
          </cell>
        </row>
        <row r="843">
          <cell r="EG843">
            <v>0.51282051282051289</v>
          </cell>
        </row>
        <row r="844">
          <cell r="EG844">
            <v>1.0526315789473684</v>
          </cell>
        </row>
        <row r="845">
          <cell r="EG845">
            <v>1.0204081632653061</v>
          </cell>
        </row>
        <row r="846">
          <cell r="EG846">
            <v>0.4329004329004329</v>
          </cell>
        </row>
        <row r="847">
          <cell r="EG847">
            <v>0.5780346820809249</v>
          </cell>
        </row>
        <row r="848">
          <cell r="EG848">
            <v>0.49751243781094534</v>
          </cell>
        </row>
        <row r="849">
          <cell r="EG849">
            <v>0.58479532163742687</v>
          </cell>
        </row>
        <row r="850">
          <cell r="EG850">
            <v>0.12690355329949238</v>
          </cell>
        </row>
        <row r="851">
          <cell r="EG851">
            <v>0.27548209366391185</v>
          </cell>
        </row>
        <row r="852">
          <cell r="EG852">
            <v>0.64102564102564097</v>
          </cell>
        </row>
        <row r="853">
          <cell r="EG853">
            <v>0.52910052910052918</v>
          </cell>
        </row>
        <row r="854">
          <cell r="EG854">
            <v>1.1627906976744187</v>
          </cell>
        </row>
        <row r="855">
          <cell r="EG855">
            <v>0.5988023952095809</v>
          </cell>
        </row>
        <row r="856">
          <cell r="EG856">
            <v>0.9174311926605504</v>
          </cell>
        </row>
        <row r="857">
          <cell r="EG857">
            <v>0.4329004329004329</v>
          </cell>
        </row>
        <row r="858">
          <cell r="EG858">
            <v>0.67567567567567566</v>
          </cell>
        </row>
        <row r="859">
          <cell r="EG859">
            <v>0.75187969924812026</v>
          </cell>
        </row>
        <row r="860">
          <cell r="EG860">
            <v>0.86956521739130443</v>
          </cell>
        </row>
        <row r="861">
          <cell r="EG861">
            <v>1.0204081632653061</v>
          </cell>
        </row>
        <row r="862">
          <cell r="EG862">
            <v>0.3401360544217687</v>
          </cell>
        </row>
        <row r="863">
          <cell r="EG863">
            <v>0.390625</v>
          </cell>
        </row>
        <row r="864">
          <cell r="EG864">
            <v>0.86956521739130443</v>
          </cell>
        </row>
        <row r="865">
          <cell r="EG865">
            <v>0.17667844522968199</v>
          </cell>
        </row>
        <row r="866">
          <cell r="EG866">
            <v>0.83333333333333337</v>
          </cell>
        </row>
        <row r="867">
          <cell r="EG867">
            <v>0.33112582781456956</v>
          </cell>
        </row>
        <row r="868">
          <cell r="EG868">
            <v>0.32894736842105265</v>
          </cell>
        </row>
        <row r="869">
          <cell r="EG869">
            <v>0.3546099290780142</v>
          </cell>
        </row>
        <row r="870">
          <cell r="EG870">
            <v>1.2048192771084338</v>
          </cell>
        </row>
        <row r="871">
          <cell r="EG871">
            <v>0.67114093959731547</v>
          </cell>
        </row>
        <row r="872">
          <cell r="EG872">
            <v>0.117096018735363</v>
          </cell>
        </row>
        <row r="873">
          <cell r="EG873">
            <v>0.15552099533437014</v>
          </cell>
        </row>
        <row r="874">
          <cell r="EG874">
            <v>0.24509803921568626</v>
          </cell>
        </row>
        <row r="875">
          <cell r="EG875">
            <v>0.21186440677966104</v>
          </cell>
        </row>
        <row r="876">
          <cell r="EG876">
            <v>0.34722222222222221</v>
          </cell>
        </row>
        <row r="877">
          <cell r="EG877">
            <v>0.65789473684210531</v>
          </cell>
        </row>
        <row r="878">
          <cell r="EG878">
            <v>0.24154589371980678</v>
          </cell>
        </row>
        <row r="879">
          <cell r="EG879">
            <v>1.4492753623188408</v>
          </cell>
        </row>
        <row r="880">
          <cell r="EG880">
            <v>0.70921985815602839</v>
          </cell>
        </row>
        <row r="881">
          <cell r="EG881">
            <v>0.23584905660377356</v>
          </cell>
        </row>
        <row r="882">
          <cell r="EG882">
            <v>0.4854368932038835</v>
          </cell>
        </row>
        <row r="883">
          <cell r="EG883">
            <v>0.64935064935064934</v>
          </cell>
        </row>
        <row r="884">
          <cell r="EG884">
            <v>1.3513513513513513</v>
          </cell>
        </row>
        <row r="885">
          <cell r="EG885">
            <v>0.88495575221238942</v>
          </cell>
        </row>
        <row r="886">
          <cell r="EG886">
            <v>0.47846889952153115</v>
          </cell>
        </row>
        <row r="887">
          <cell r="EG887">
            <v>0.31645569620253161</v>
          </cell>
        </row>
        <row r="888">
          <cell r="EG888">
            <v>0.84033613445378152</v>
          </cell>
        </row>
        <row r="889">
          <cell r="EG889">
            <v>0.7246376811594204</v>
          </cell>
        </row>
        <row r="890">
          <cell r="EG890">
            <v>0.54054054054054046</v>
          </cell>
        </row>
        <row r="891">
          <cell r="EG891">
            <v>0.86956521739130443</v>
          </cell>
        </row>
        <row r="892">
          <cell r="EG892">
            <v>0.39215686274509809</v>
          </cell>
        </row>
        <row r="893">
          <cell r="EG893">
            <v>0.70422535211267612</v>
          </cell>
        </row>
        <row r="894">
          <cell r="EG894">
            <v>0.41666666666666669</v>
          </cell>
        </row>
        <row r="895">
          <cell r="EG895">
            <v>1.1235955056179776</v>
          </cell>
        </row>
        <row r="896">
          <cell r="EG896">
            <v>0.33444816053511706</v>
          </cell>
        </row>
        <row r="897">
          <cell r="EG897">
            <v>0.58823529411764708</v>
          </cell>
        </row>
        <row r="898">
          <cell r="EG898">
            <v>0.3623188405797102</v>
          </cell>
        </row>
        <row r="899">
          <cell r="EG899">
            <v>0.13477088948787061</v>
          </cell>
        </row>
        <row r="900">
          <cell r="EG900">
            <v>0.19047619047619047</v>
          </cell>
        </row>
        <row r="901">
          <cell r="EG901">
            <v>1.1363636363636365</v>
          </cell>
        </row>
        <row r="902">
          <cell r="EG902">
            <v>0.46296296296296291</v>
          </cell>
        </row>
        <row r="903">
          <cell r="EG903">
            <v>0.5714285714285714</v>
          </cell>
        </row>
        <row r="904">
          <cell r="EG904">
            <v>0.78125</v>
          </cell>
        </row>
        <row r="905">
          <cell r="EG905">
            <v>1.2195121951219512</v>
          </cell>
        </row>
        <row r="906">
          <cell r="EG906">
            <v>0.54945054945054939</v>
          </cell>
        </row>
        <row r="907">
          <cell r="EG907">
            <v>1.2195121951219512</v>
          </cell>
        </row>
        <row r="908">
          <cell r="EG908">
            <v>0.3401360544217687</v>
          </cell>
        </row>
        <row r="909">
          <cell r="EG909">
            <v>1.2987012987012987</v>
          </cell>
        </row>
        <row r="910">
          <cell r="EG910">
            <v>0.9174311926605504</v>
          </cell>
        </row>
        <row r="911">
          <cell r="EG911">
            <v>0.45248868778280543</v>
          </cell>
        </row>
        <row r="912">
          <cell r="EG912">
            <v>0.79365079365079361</v>
          </cell>
        </row>
        <row r="913">
          <cell r="EG913">
            <v>0.48076923076923073</v>
          </cell>
        </row>
        <row r="914">
          <cell r="EG914">
            <v>0.86956521739130443</v>
          </cell>
        </row>
        <row r="915">
          <cell r="EG915">
            <v>0.29325513196480935</v>
          </cell>
        </row>
        <row r="916">
          <cell r="EG916">
            <v>0.86206896551724144</v>
          </cell>
        </row>
        <row r="917">
          <cell r="EG917">
            <v>0.95238095238095233</v>
          </cell>
        </row>
        <row r="918">
          <cell r="EG918">
            <v>0.82644628099173556</v>
          </cell>
        </row>
        <row r="919">
          <cell r="EG919">
            <v>0.66666666666666663</v>
          </cell>
        </row>
        <row r="920">
          <cell r="EG920">
            <v>0.49261083743842371</v>
          </cell>
        </row>
        <row r="921">
          <cell r="EG921">
            <v>0.33003300330033003</v>
          </cell>
        </row>
        <row r="922">
          <cell r="EG922">
            <v>0.9009009009009008</v>
          </cell>
        </row>
        <row r="923">
          <cell r="EG923">
            <v>0.36630036630036628</v>
          </cell>
        </row>
        <row r="924">
          <cell r="EG924">
            <v>0.61349693251533743</v>
          </cell>
        </row>
        <row r="925">
          <cell r="EG925">
            <v>0.9174311926605504</v>
          </cell>
        </row>
        <row r="926">
          <cell r="EG926">
            <v>0.46728971962616822</v>
          </cell>
        </row>
        <row r="927">
          <cell r="EG927">
            <v>0.7142857142857143</v>
          </cell>
        </row>
        <row r="928">
          <cell r="EG928">
            <v>0.68493150684931503</v>
          </cell>
        </row>
        <row r="929">
          <cell r="EG929">
            <v>0.70921985815602839</v>
          </cell>
        </row>
        <row r="930">
          <cell r="EG930">
            <v>0.83333333333333337</v>
          </cell>
        </row>
        <row r="931">
          <cell r="EG931">
            <v>0.95238095238095233</v>
          </cell>
        </row>
        <row r="932">
          <cell r="EG932">
            <v>0.81967213114754101</v>
          </cell>
        </row>
        <row r="933">
          <cell r="EG933">
            <v>0.53475935828876997</v>
          </cell>
        </row>
        <row r="934">
          <cell r="EG934">
            <v>0.52083333333333337</v>
          </cell>
        </row>
        <row r="935">
          <cell r="EG935">
            <v>0.95238095238095233</v>
          </cell>
        </row>
        <row r="936">
          <cell r="EG936">
            <v>0.47619047619047616</v>
          </cell>
        </row>
        <row r="937">
          <cell r="EG937">
            <v>0.38167938931297707</v>
          </cell>
        </row>
        <row r="938">
          <cell r="EG938">
            <v>0.49019607843137253</v>
          </cell>
        </row>
        <row r="939">
          <cell r="EG939">
            <v>0.66666666666666663</v>
          </cell>
        </row>
        <row r="940">
          <cell r="EG940">
            <v>0.32051282051282048</v>
          </cell>
        </row>
        <row r="941">
          <cell r="EG941">
            <v>0.96153846153846145</v>
          </cell>
        </row>
        <row r="942">
          <cell r="EG942">
            <v>0.65789473684210531</v>
          </cell>
        </row>
        <row r="943">
          <cell r="EG943">
            <v>0.58479532163742687</v>
          </cell>
        </row>
        <row r="944">
          <cell r="EG944">
            <v>0.4065040650406504</v>
          </cell>
        </row>
        <row r="945">
          <cell r="EG945">
            <v>0.64935064935064934</v>
          </cell>
        </row>
        <row r="946">
          <cell r="EG946">
            <v>1.6129032258064517</v>
          </cell>
        </row>
        <row r="947">
          <cell r="EG947">
            <v>0.4081632653061224</v>
          </cell>
        </row>
        <row r="948">
          <cell r="EG948">
            <v>0.5988023952095809</v>
          </cell>
        </row>
        <row r="949">
          <cell r="EG949">
            <v>0.48780487804878053</v>
          </cell>
        </row>
        <row r="950">
          <cell r="EG950">
            <v>0.4464285714285714</v>
          </cell>
        </row>
        <row r="951">
          <cell r="EG951">
            <v>0.96153846153846145</v>
          </cell>
        </row>
        <row r="952">
          <cell r="EG952">
            <v>0.37453183520599254</v>
          </cell>
        </row>
        <row r="953">
          <cell r="EG953">
            <v>0.625</v>
          </cell>
        </row>
        <row r="954">
          <cell r="EG954">
            <v>0.47846889952153115</v>
          </cell>
        </row>
        <row r="955">
          <cell r="EG955">
            <v>0.25839793281653745</v>
          </cell>
        </row>
        <row r="956">
          <cell r="EG956">
            <v>0.51282051282051289</v>
          </cell>
        </row>
        <row r="957">
          <cell r="EG957">
            <v>0.5376344086021505</v>
          </cell>
        </row>
        <row r="958">
          <cell r="EG958">
            <v>0.60606060606060608</v>
          </cell>
        </row>
        <row r="959">
          <cell r="EG959">
            <v>1.0416666666666667</v>
          </cell>
        </row>
        <row r="960">
          <cell r="EG960">
            <v>0.29069767441860467</v>
          </cell>
        </row>
        <row r="961">
          <cell r="EG961">
            <v>0.3546099290780142</v>
          </cell>
        </row>
        <row r="962">
          <cell r="EG962">
            <v>0.78740157480314954</v>
          </cell>
        </row>
        <row r="963">
          <cell r="EG963">
            <v>0.27777777777777779</v>
          </cell>
        </row>
        <row r="964">
          <cell r="EG964">
            <v>0.26246719160104987</v>
          </cell>
        </row>
        <row r="965">
          <cell r="EG965">
            <v>0.44444444444444442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市值"/>
      <sheetName val="size(函數)"/>
      <sheetName val="size"/>
      <sheetName val="下個月月報酬"/>
      <sheetName val="size補值"/>
      <sheetName val="下個月月報酬補值"/>
      <sheetName val="sizeIC"/>
    </sheetNames>
    <sheetDataSet>
      <sheetData sheetId="0"/>
      <sheetData sheetId="1"/>
      <sheetData sheetId="2"/>
      <sheetData sheetId="3"/>
      <sheetData sheetId="4">
        <row r="2">
          <cell r="C2">
            <v>10.631788632342237</v>
          </cell>
          <cell r="EG2">
            <v>10.993881319528226</v>
          </cell>
        </row>
        <row r="3">
          <cell r="EG3">
            <v>10.966413961778308</v>
          </cell>
        </row>
        <row r="4">
          <cell r="EG4">
            <v>10.050573076755148</v>
          </cell>
        </row>
        <row r="5">
          <cell r="EG5">
            <v>9.9918017988446444</v>
          </cell>
        </row>
        <row r="6">
          <cell r="EG6">
            <v>9.5173278822943743</v>
          </cell>
        </row>
        <row r="7">
          <cell r="EG7">
            <v>9.6307328928171962</v>
          </cell>
        </row>
        <row r="8">
          <cell r="EG8">
            <v>9.8161749904288023</v>
          </cell>
        </row>
        <row r="9">
          <cell r="EG9">
            <v>10.273001272063738</v>
          </cell>
        </row>
        <row r="10">
          <cell r="EG10">
            <v>9.7667102072622587</v>
          </cell>
        </row>
        <row r="11">
          <cell r="EG11">
            <v>10.187012807018954</v>
          </cell>
        </row>
        <row r="12">
          <cell r="EG12">
            <v>8.7831886910752583</v>
          </cell>
        </row>
        <row r="13">
          <cell r="EG13">
            <v>9.5268559871258738</v>
          </cell>
        </row>
        <row r="14">
          <cell r="EG14">
            <v>11.148883251624792</v>
          </cell>
        </row>
        <row r="15">
          <cell r="EG15">
            <v>9.7615519885641824</v>
          </cell>
        </row>
        <row r="16">
          <cell r="EG16">
            <v>9.6126779183165016</v>
          </cell>
        </row>
        <row r="17">
          <cell r="EG17">
            <v>9.5385737338068548</v>
          </cell>
        </row>
        <row r="18">
          <cell r="EG18">
            <v>9.2588766293721321</v>
          </cell>
        </row>
        <row r="19">
          <cell r="EG19">
            <v>9.4044916177586853</v>
          </cell>
        </row>
        <row r="20">
          <cell r="EG20">
            <v>10.271980930009406</v>
          </cell>
        </row>
        <row r="21">
          <cell r="EG21">
            <v>10.09981870961523</v>
          </cell>
        </row>
        <row r="22">
          <cell r="EG22">
            <v>9.2174839442139067</v>
          </cell>
        </row>
        <row r="23">
          <cell r="EG23">
            <v>9.8168376309020342</v>
          </cell>
        </row>
        <row r="24">
          <cell r="EG24">
            <v>9.600537294364468</v>
          </cell>
        </row>
        <row r="25">
          <cell r="EG25">
            <v>10.152257759187657</v>
          </cell>
        </row>
        <row r="26">
          <cell r="EG26">
            <v>9.2462523122993225</v>
          </cell>
        </row>
        <row r="27">
          <cell r="EG27">
            <v>9.2769211320657732</v>
          </cell>
        </row>
        <row r="28">
          <cell r="EG28">
            <v>11.631913324299761</v>
          </cell>
        </row>
        <row r="29">
          <cell r="EG29">
            <v>11.706571855354714</v>
          </cell>
        </row>
        <row r="30">
          <cell r="EG30">
            <v>10.212587078123894</v>
          </cell>
        </row>
        <row r="31">
          <cell r="EG31">
            <v>9.7438232216037495</v>
          </cell>
        </row>
        <row r="32">
          <cell r="EG32">
            <v>10.031610414723481</v>
          </cell>
        </row>
        <row r="33">
          <cell r="EG33">
            <v>9.8796692056320534</v>
          </cell>
        </row>
        <row r="34">
          <cell r="EG34">
            <v>9.5639554649958125</v>
          </cell>
        </row>
        <row r="35">
          <cell r="EG35">
            <v>10.006722692201684</v>
          </cell>
        </row>
        <row r="36">
          <cell r="EG36">
            <v>10.149157506231855</v>
          </cell>
        </row>
        <row r="37">
          <cell r="EG37">
            <v>10.253725595250899</v>
          </cell>
        </row>
        <row r="38">
          <cell r="EG38">
            <v>10.392362752025857</v>
          </cell>
        </row>
        <row r="39">
          <cell r="EG39">
            <v>9.7125655278733092</v>
          </cell>
        </row>
        <row r="40">
          <cell r="EG40">
            <v>8.8432327780980096</v>
          </cell>
        </row>
        <row r="41">
          <cell r="EG41">
            <v>10.437607887914936</v>
          </cell>
        </row>
        <row r="42">
          <cell r="EG42">
            <v>9.7438232216037495</v>
          </cell>
        </row>
        <row r="43">
          <cell r="EG43">
            <v>9.1664301138432833</v>
          </cell>
        </row>
        <row r="44">
          <cell r="EG44">
            <v>9.2260841159758247</v>
          </cell>
        </row>
        <row r="45">
          <cell r="EG45">
            <v>9.3483048630481616</v>
          </cell>
        </row>
        <row r="46">
          <cell r="EG46">
            <v>11.626137033003671</v>
          </cell>
        </row>
        <row r="47">
          <cell r="EG47">
            <v>11.21133683334865</v>
          </cell>
        </row>
        <row r="48">
          <cell r="EG48">
            <v>10.243781916093795</v>
          </cell>
        </row>
        <row r="49">
          <cell r="EG49">
            <v>9.1637575239819551</v>
          </cell>
        </row>
        <row r="50">
          <cell r="EG50">
            <v>8.9921114877869499</v>
          </cell>
        </row>
        <row r="51">
          <cell r="EG51">
            <v>9.0542299098633965</v>
          </cell>
        </row>
        <row r="52">
          <cell r="EG52">
            <v>9.7488080049586028</v>
          </cell>
        </row>
        <row r="53">
          <cell r="EG53">
            <v>9.5146805441249818</v>
          </cell>
        </row>
        <row r="54">
          <cell r="EG54">
            <v>9.2489536154957079</v>
          </cell>
        </row>
        <row r="55">
          <cell r="EG55">
            <v>10.071587470514975</v>
          </cell>
        </row>
        <row r="56">
          <cell r="EG56">
            <v>9.1461280356782382</v>
          </cell>
        </row>
        <row r="57">
          <cell r="EG57">
            <v>8.9164539485499255</v>
          </cell>
        </row>
        <row r="58">
          <cell r="EG58">
            <v>10.629633824744316</v>
          </cell>
        </row>
        <row r="59">
          <cell r="EG59">
            <v>8.7965743332104296</v>
          </cell>
        </row>
        <row r="60">
          <cell r="EG60">
            <v>9.4474681309497566</v>
          </cell>
        </row>
        <row r="61">
          <cell r="EG61">
            <v>9.6419695977020599</v>
          </cell>
        </row>
        <row r="62">
          <cell r="EG62">
            <v>8.2787536009528289</v>
          </cell>
        </row>
        <row r="63">
          <cell r="EG63">
            <v>9.5658478186735181</v>
          </cell>
        </row>
        <row r="64">
          <cell r="EG64">
            <v>10.281419740153989</v>
          </cell>
        </row>
        <row r="65">
          <cell r="EG65">
            <v>8.8149131812750738</v>
          </cell>
        </row>
        <row r="66">
          <cell r="EG66">
            <v>9.5196967671598536</v>
          </cell>
        </row>
        <row r="67">
          <cell r="EG67">
            <v>8.958085848521085</v>
          </cell>
        </row>
        <row r="68">
          <cell r="EG68">
            <v>9.8960850854232856</v>
          </cell>
        </row>
        <row r="69">
          <cell r="EG69">
            <v>9.0707764628434351</v>
          </cell>
        </row>
        <row r="70">
          <cell r="EG70">
            <v>9.2817149700272967</v>
          </cell>
        </row>
        <row r="71">
          <cell r="EG71">
            <v>10.002338880892056</v>
          </cell>
        </row>
        <row r="72">
          <cell r="EG72">
            <v>8.7619278384205295</v>
          </cell>
        </row>
        <row r="73">
          <cell r="EG73">
            <v>10.038500943076674</v>
          </cell>
        </row>
        <row r="74">
          <cell r="EG74">
            <v>9.1031192535457137</v>
          </cell>
        </row>
        <row r="75">
          <cell r="EG75">
            <v>8.5740312677277188</v>
          </cell>
        </row>
        <row r="76">
          <cell r="EG76">
            <v>8.9863237770507656</v>
          </cell>
        </row>
        <row r="77">
          <cell r="EG77">
            <v>9.8182918907999959</v>
          </cell>
        </row>
        <row r="78">
          <cell r="EG78">
            <v>8.4116197059632309</v>
          </cell>
        </row>
        <row r="79">
          <cell r="EG79">
            <v>9.2662316966898928</v>
          </cell>
        </row>
        <row r="80">
          <cell r="EG80">
            <v>9.4963760540124014</v>
          </cell>
        </row>
        <row r="81">
          <cell r="EG81">
            <v>9.4426365257822322</v>
          </cell>
        </row>
        <row r="82">
          <cell r="EG82">
            <v>9.253338005326107</v>
          </cell>
        </row>
        <row r="83">
          <cell r="EG83">
            <v>9.0413926851582254</v>
          </cell>
        </row>
        <row r="84">
          <cell r="EG84">
            <v>8.998695158311655</v>
          </cell>
        </row>
        <row r="85">
          <cell r="EG85">
            <v>8.7481880270062007</v>
          </cell>
        </row>
        <row r="86">
          <cell r="EG86">
            <v>9.2817149700272967</v>
          </cell>
        </row>
        <row r="87">
          <cell r="EG87">
            <v>9.2734642726213465</v>
          </cell>
        </row>
        <row r="88">
          <cell r="EG88">
            <v>8.8948696567452519</v>
          </cell>
        </row>
        <row r="89">
          <cell r="EG89">
            <v>9.7799570512469067</v>
          </cell>
        </row>
        <row r="90">
          <cell r="EG90">
            <v>8.6464037262230704</v>
          </cell>
        </row>
        <row r="91">
          <cell r="EG91">
            <v>9.6833172619218821</v>
          </cell>
        </row>
        <row r="92">
          <cell r="EG92">
            <v>9.0507663112330423</v>
          </cell>
        </row>
        <row r="93">
          <cell r="EG93">
            <v>8.7355988996981804</v>
          </cell>
        </row>
        <row r="94">
          <cell r="EG94">
            <v>9.5941714791149124</v>
          </cell>
        </row>
        <row r="95">
          <cell r="EG95">
            <v>10.044696517110195</v>
          </cell>
        </row>
        <row r="96">
          <cell r="EG96">
            <v>10.302828588260255</v>
          </cell>
        </row>
        <row r="97">
          <cell r="EG97">
            <v>10.405414666951865</v>
          </cell>
        </row>
        <row r="98">
          <cell r="EG98">
            <v>9.2219355998280061</v>
          </cell>
        </row>
        <row r="99">
          <cell r="EG99">
            <v>9.2450188707377539</v>
          </cell>
        </row>
        <row r="100">
          <cell r="EG100">
            <v>9.9495851513266516</v>
          </cell>
        </row>
        <row r="101">
          <cell r="EG101">
            <v>9.4571246263034094</v>
          </cell>
        </row>
        <row r="102">
          <cell r="EG102">
            <v>9.3827372657613299</v>
          </cell>
        </row>
        <row r="103">
          <cell r="EG103">
            <v>9.1986570869544231</v>
          </cell>
        </row>
        <row r="104">
          <cell r="EG104">
            <v>9.4164740791002206</v>
          </cell>
        </row>
        <row r="105">
          <cell r="EG105">
            <v>9.8364507137201542</v>
          </cell>
        </row>
        <row r="106">
          <cell r="EG106">
            <v>9.5665553308830553</v>
          </cell>
        </row>
        <row r="107">
          <cell r="EG107">
            <v>9.8591983615338776</v>
          </cell>
        </row>
        <row r="108">
          <cell r="EG108">
            <v>9.3376588910261429</v>
          </cell>
        </row>
        <row r="109">
          <cell r="EG109">
            <v>9.5067755366066429</v>
          </cell>
        </row>
        <row r="110">
          <cell r="EG110">
            <v>8.6095944092252203</v>
          </cell>
        </row>
        <row r="111">
          <cell r="EG111">
            <v>9.7017406324372129</v>
          </cell>
        </row>
        <row r="112">
          <cell r="EG112">
            <v>9.1646502159342962</v>
          </cell>
        </row>
        <row r="113">
          <cell r="EG113">
            <v>8.9454685851318203</v>
          </cell>
        </row>
        <row r="114">
          <cell r="EG114">
            <v>9.5289167002776551</v>
          </cell>
        </row>
        <row r="115">
          <cell r="EG115">
            <v>9.6419695977020599</v>
          </cell>
        </row>
        <row r="116">
          <cell r="EG116">
            <v>10.099369826389838</v>
          </cell>
        </row>
        <row r="117">
          <cell r="EG117">
            <v>9.4234097277330928</v>
          </cell>
        </row>
        <row r="118">
          <cell r="EG118">
            <v>9.7322328802204972</v>
          </cell>
        </row>
        <row r="119">
          <cell r="EG119">
            <v>9.4036351897905472</v>
          </cell>
        </row>
        <row r="120">
          <cell r="EG120">
            <v>9.469527479187013</v>
          </cell>
        </row>
        <row r="121">
          <cell r="EG121">
            <v>9.8270460170047347</v>
          </cell>
        </row>
        <row r="122">
          <cell r="EG122">
            <v>8.7930916001765809</v>
          </cell>
        </row>
        <row r="123">
          <cell r="EG123">
            <v>9.4168068718229438</v>
          </cell>
        </row>
        <row r="124">
          <cell r="EG124">
            <v>9.2345172835126874</v>
          </cell>
        </row>
        <row r="125">
          <cell r="EG125">
            <v>9.7902147702439795</v>
          </cell>
        </row>
        <row r="126">
          <cell r="EG126">
            <v>10.066176785772006</v>
          </cell>
        </row>
        <row r="127">
          <cell r="EG127">
            <v>9.6296134453781832</v>
          </cell>
        </row>
        <row r="128">
          <cell r="EG128">
            <v>9.6838572054003471</v>
          </cell>
        </row>
        <row r="129">
          <cell r="EG129">
            <v>10.583935202536752</v>
          </cell>
        </row>
        <row r="130">
          <cell r="EG130">
            <v>9.8858133746604882</v>
          </cell>
        </row>
        <row r="131">
          <cell r="EG131">
            <v>9.6850247851057141</v>
          </cell>
        </row>
        <row r="132">
          <cell r="EG132">
            <v>10.054498146636677</v>
          </cell>
        </row>
        <row r="133">
          <cell r="EG133">
            <v>9.6505988981726567</v>
          </cell>
        </row>
        <row r="134">
          <cell r="EG134">
            <v>10.012415374762433</v>
          </cell>
        </row>
        <row r="135">
          <cell r="EG135">
            <v>9.1162755875805441</v>
          </cell>
        </row>
        <row r="136">
          <cell r="EG136">
            <v>9.1293675957229858</v>
          </cell>
        </row>
        <row r="137">
          <cell r="EG137">
            <v>8.9722028383790651</v>
          </cell>
        </row>
        <row r="138">
          <cell r="EG138">
            <v>9.6931991451537165</v>
          </cell>
        </row>
        <row r="139">
          <cell r="EG139">
            <v>10.00949338828754</v>
          </cell>
        </row>
        <row r="140">
          <cell r="EG140">
            <v>9.7868223794991867</v>
          </cell>
        </row>
        <row r="141">
          <cell r="EG141">
            <v>9.7219754015859543</v>
          </cell>
        </row>
        <row r="142">
          <cell r="EG142">
            <v>9.6427612032653212</v>
          </cell>
        </row>
        <row r="143">
          <cell r="EG143">
            <v>10.329967072734659</v>
          </cell>
        </row>
        <row r="144">
          <cell r="EG144">
            <v>10.1136760118971</v>
          </cell>
        </row>
        <row r="145">
          <cell r="EG145">
            <v>9.6966184592322247</v>
          </cell>
        </row>
        <row r="146">
          <cell r="EG146">
            <v>9.2688119037397811</v>
          </cell>
        </row>
        <row r="147">
          <cell r="EG147">
            <v>10.052693941924968</v>
          </cell>
        </row>
        <row r="148">
          <cell r="EG148">
            <v>10.46551668871213</v>
          </cell>
        </row>
        <row r="149">
          <cell r="EG149">
            <v>10.06744284277638</v>
          </cell>
        </row>
        <row r="150">
          <cell r="EG150">
            <v>9.6264430253312945</v>
          </cell>
        </row>
        <row r="151">
          <cell r="EG151">
            <v>9.0860037056183813</v>
          </cell>
        </row>
        <row r="152">
          <cell r="EG152">
            <v>10.997692117941726</v>
          </cell>
        </row>
        <row r="153">
          <cell r="EG153">
            <v>10.326397313347112</v>
          </cell>
        </row>
        <row r="154">
          <cell r="EG154">
            <v>9.498999363580154</v>
          </cell>
        </row>
        <row r="155">
          <cell r="EG155">
            <v>9.8675264111997425</v>
          </cell>
        </row>
        <row r="156">
          <cell r="EG156">
            <v>9.3380578754197554</v>
          </cell>
        </row>
        <row r="157">
          <cell r="EG157">
            <v>8.9523080096621257</v>
          </cell>
        </row>
        <row r="158">
          <cell r="EG158">
            <v>9.3809344633307017</v>
          </cell>
        </row>
        <row r="159">
          <cell r="EG159">
            <v>8.8293037728310253</v>
          </cell>
        </row>
        <row r="160">
          <cell r="EG160">
            <v>9.773932647467646</v>
          </cell>
        </row>
        <row r="161">
          <cell r="EG161">
            <v>9.5613399414589004</v>
          </cell>
        </row>
        <row r="162">
          <cell r="EG162">
            <v>9.1950689964685903</v>
          </cell>
        </row>
        <row r="163">
          <cell r="EG163">
            <v>9.9384196457931928</v>
          </cell>
        </row>
        <row r="164">
          <cell r="EG164">
            <v>9.7570162347313012</v>
          </cell>
        </row>
        <row r="165">
          <cell r="EG165">
            <v>9.2968844755385476</v>
          </cell>
        </row>
        <row r="166">
          <cell r="EG166">
            <v>8.8785217955012072</v>
          </cell>
        </row>
        <row r="167">
          <cell r="EG167">
            <v>10.27554168840131</v>
          </cell>
        </row>
        <row r="168">
          <cell r="EG168">
            <v>10.830505265872731</v>
          </cell>
        </row>
        <row r="169">
          <cell r="EG169">
            <v>8.7767011839884113</v>
          </cell>
        </row>
        <row r="170">
          <cell r="EG170">
            <v>9.9408152086508021</v>
          </cell>
        </row>
        <row r="171">
          <cell r="EG171">
            <v>9.3982873053574014</v>
          </cell>
        </row>
        <row r="172">
          <cell r="EG172">
            <v>9.6276730317666157</v>
          </cell>
        </row>
        <row r="173">
          <cell r="EG173">
            <v>9.6332664111554251</v>
          </cell>
        </row>
        <row r="174">
          <cell r="EG174">
            <v>10.272375437300544</v>
          </cell>
        </row>
        <row r="175">
          <cell r="EG175">
            <v>10.115810141409787</v>
          </cell>
        </row>
        <row r="176">
          <cell r="EG176">
            <v>10.003632837004409</v>
          </cell>
        </row>
        <row r="177">
          <cell r="EG177">
            <v>9.1577588860468637</v>
          </cell>
        </row>
        <row r="178">
          <cell r="EG178">
            <v>10.325720858019412</v>
          </cell>
        </row>
        <row r="179">
          <cell r="EG179">
            <v>9.8726806071519295</v>
          </cell>
        </row>
        <row r="180">
          <cell r="EG180">
            <v>11.633624975382235</v>
          </cell>
        </row>
        <row r="181">
          <cell r="EG181">
            <v>10.543708051190357</v>
          </cell>
        </row>
        <row r="182">
          <cell r="EG182">
            <v>9.7160033436347994</v>
          </cell>
        </row>
        <row r="183">
          <cell r="EG183">
            <v>9.53567380342575</v>
          </cell>
        </row>
        <row r="184">
          <cell r="EG184">
            <v>9.7362370989047289</v>
          </cell>
        </row>
        <row r="185">
          <cell r="EG185">
            <v>9.9004763713892565</v>
          </cell>
        </row>
        <row r="186">
          <cell r="EG186">
            <v>9.4718781993072909</v>
          </cell>
        </row>
        <row r="187">
          <cell r="EG187">
            <v>9.5766868052009961</v>
          </cell>
        </row>
        <row r="188">
          <cell r="EG188">
            <v>10.399673721481038</v>
          </cell>
        </row>
        <row r="189">
          <cell r="EG189">
            <v>10.495405563146193</v>
          </cell>
        </row>
        <row r="190">
          <cell r="EG190">
            <v>9.5502283530550933</v>
          </cell>
        </row>
        <row r="191">
          <cell r="EG191">
            <v>9.7647737169110407</v>
          </cell>
        </row>
        <row r="192">
          <cell r="EG192">
            <v>9.6397852129868209</v>
          </cell>
        </row>
        <row r="193">
          <cell r="EG193">
            <v>10.273209683400331</v>
          </cell>
        </row>
        <row r="194">
          <cell r="EG194">
            <v>8.876794976200701</v>
          </cell>
        </row>
        <row r="195">
          <cell r="EG195">
            <v>9.3277674899027296</v>
          </cell>
        </row>
        <row r="196">
          <cell r="EG196">
            <v>10.1081250947386</v>
          </cell>
        </row>
        <row r="197">
          <cell r="EG197">
            <v>9.43822580760453</v>
          </cell>
        </row>
        <row r="198">
          <cell r="EG198">
            <v>9.8694077493822014</v>
          </cell>
        </row>
        <row r="199">
          <cell r="EG199">
            <v>9.6852041344710145</v>
          </cell>
        </row>
        <row r="200">
          <cell r="EG200">
            <v>9.9752019622578523</v>
          </cell>
        </row>
        <row r="201">
          <cell r="EG201">
            <v>9.4692327425066125</v>
          </cell>
        </row>
        <row r="202">
          <cell r="EG202">
            <v>9.2392994791268919</v>
          </cell>
        </row>
        <row r="203">
          <cell r="EG203">
            <v>10.010935664704386</v>
          </cell>
        </row>
        <row r="204">
          <cell r="EG204">
            <v>10.49859998697719</v>
          </cell>
        </row>
        <row r="205">
          <cell r="EG205">
            <v>9.9347004017154248</v>
          </cell>
        </row>
        <row r="206">
          <cell r="EG206">
            <v>10.439190537827571</v>
          </cell>
        </row>
        <row r="207">
          <cell r="EG207">
            <v>10.240798771117332</v>
          </cell>
        </row>
        <row r="208">
          <cell r="EG208">
            <v>11.04698654038023</v>
          </cell>
        </row>
        <row r="209">
          <cell r="EG209">
            <v>10.291413254570214</v>
          </cell>
        </row>
        <row r="210">
          <cell r="EG210">
            <v>10.150049945162385</v>
          </cell>
        </row>
        <row r="211">
          <cell r="EG211">
            <v>9.8654001181793021</v>
          </cell>
        </row>
        <row r="212">
          <cell r="EG212">
            <v>9.6498214632245656</v>
          </cell>
        </row>
        <row r="213">
          <cell r="EG213">
            <v>10.743862387810379</v>
          </cell>
        </row>
        <row r="214">
          <cell r="EG214">
            <v>10.476875084758506</v>
          </cell>
        </row>
        <row r="215">
          <cell r="EG215">
            <v>10.042811691807147</v>
          </cell>
        </row>
        <row r="216">
          <cell r="EG216">
            <v>10.583051338285831</v>
          </cell>
        </row>
        <row r="217">
          <cell r="EG217">
            <v>10.352182518111363</v>
          </cell>
        </row>
        <row r="218">
          <cell r="EG218">
            <v>10.979398121064358</v>
          </cell>
        </row>
        <row r="219">
          <cell r="EG219">
            <v>9.0030294705536171</v>
          </cell>
        </row>
        <row r="220">
          <cell r="EG220">
            <v>11.340138613120468</v>
          </cell>
        </row>
        <row r="221">
          <cell r="EG221">
            <v>9.0224283711854874</v>
          </cell>
        </row>
        <row r="222">
          <cell r="EG222">
            <v>11.379378045219338</v>
          </cell>
        </row>
        <row r="223">
          <cell r="EG223">
            <v>10.138334282071019</v>
          </cell>
        </row>
        <row r="224">
          <cell r="EG224">
            <v>10.031892987710474</v>
          </cell>
        </row>
        <row r="225">
          <cell r="EG225">
            <v>9.9297764328049016</v>
          </cell>
        </row>
        <row r="226">
          <cell r="EG226">
            <v>9.7182525000977513</v>
          </cell>
        </row>
        <row r="227">
          <cell r="EG227">
            <v>12.071735868391281</v>
          </cell>
        </row>
        <row r="228">
          <cell r="EG228">
            <v>9.5433229006469116</v>
          </cell>
        </row>
        <row r="229">
          <cell r="EG229">
            <v>10.394731780469529</v>
          </cell>
        </row>
        <row r="230">
          <cell r="EG230">
            <v>11.247872655421908</v>
          </cell>
        </row>
        <row r="231">
          <cell r="EG231">
            <v>10.434824296268493</v>
          </cell>
        </row>
        <row r="232">
          <cell r="EG232">
            <v>10.408494360212361</v>
          </cell>
        </row>
        <row r="233">
          <cell r="EG233">
            <v>9.7889457270237479</v>
          </cell>
        </row>
        <row r="234">
          <cell r="EG234">
            <v>12.202238130622836</v>
          </cell>
        </row>
        <row r="235">
          <cell r="EG235">
            <v>10.224558958940841</v>
          </cell>
        </row>
        <row r="236">
          <cell r="EG236">
            <v>10.32717495893762</v>
          </cell>
        </row>
        <row r="237">
          <cell r="EG237">
            <v>10.844706998985673</v>
          </cell>
        </row>
        <row r="238">
          <cell r="EG238">
            <v>9.6538875580709771</v>
          </cell>
        </row>
        <row r="239">
          <cell r="EG239">
            <v>10.163906433457752</v>
          </cell>
        </row>
        <row r="240">
          <cell r="EG240">
            <v>9.9807757739626215</v>
          </cell>
        </row>
        <row r="241">
          <cell r="EG241">
            <v>10.514401635137583</v>
          </cell>
        </row>
        <row r="242">
          <cell r="EG242">
            <v>9.8668188029260477</v>
          </cell>
        </row>
        <row r="243">
          <cell r="EG243">
            <v>10.968534313680799</v>
          </cell>
        </row>
        <row r="244">
          <cell r="EG244">
            <v>8.649334858712141</v>
          </cell>
        </row>
        <row r="245">
          <cell r="EG245">
            <v>10.340820736655919</v>
          </cell>
        </row>
        <row r="246">
          <cell r="EG246">
            <v>9.8668188029260477</v>
          </cell>
        </row>
        <row r="247">
          <cell r="EG247">
            <v>10.538007877724324</v>
          </cell>
        </row>
        <row r="248">
          <cell r="EG248">
            <v>11.401822566409718</v>
          </cell>
        </row>
        <row r="249">
          <cell r="EG249">
            <v>11.05401136604619</v>
          </cell>
        </row>
        <row r="250">
          <cell r="EG250">
            <v>10.015150103229471</v>
          </cell>
        </row>
        <row r="251">
          <cell r="EG251">
            <v>10.709346295093871</v>
          </cell>
        </row>
        <row r="252">
          <cell r="EG252">
            <v>11.370785016757857</v>
          </cell>
        </row>
        <row r="253">
          <cell r="EG253">
            <v>9.4356851379416291</v>
          </cell>
        </row>
        <row r="254">
          <cell r="EG254">
            <v>10.383168827057428</v>
          </cell>
        </row>
        <row r="255">
          <cell r="EG255">
            <v>10.645294516889896</v>
          </cell>
        </row>
        <row r="256">
          <cell r="EG256">
            <v>10.19089171692217</v>
          </cell>
        </row>
        <row r="257">
          <cell r="EG257">
            <v>9.1565491513317809</v>
          </cell>
        </row>
        <row r="258">
          <cell r="EG258">
            <v>9.9647309210536292</v>
          </cell>
        </row>
        <row r="259">
          <cell r="EG259">
            <v>9.7604978752265268</v>
          </cell>
        </row>
        <row r="260">
          <cell r="EG260">
            <v>9.8397921844453293</v>
          </cell>
        </row>
        <row r="261">
          <cell r="EG261">
            <v>9.8007170782823856</v>
          </cell>
        </row>
        <row r="262">
          <cell r="EG262">
            <v>10.625271283656851</v>
          </cell>
        </row>
        <row r="263">
          <cell r="EG263">
            <v>10.13132989404281</v>
          </cell>
        </row>
        <row r="264">
          <cell r="EG264">
            <v>10.363517966582565</v>
          </cell>
        </row>
        <row r="265">
          <cell r="EG265">
            <v>9.3018977171952084</v>
          </cell>
        </row>
        <row r="266">
          <cell r="EG266">
            <v>10.296467738800116</v>
          </cell>
        </row>
        <row r="267">
          <cell r="EG267">
            <v>10.327869568756626</v>
          </cell>
        </row>
        <row r="268">
          <cell r="EG268">
            <v>10.611457765668343</v>
          </cell>
        </row>
        <row r="269">
          <cell r="EG269">
            <v>9.5324995860946622</v>
          </cell>
        </row>
        <row r="270">
          <cell r="EG270">
            <v>11.370459423990827</v>
          </cell>
        </row>
        <row r="271">
          <cell r="EG271">
            <v>9.9215304135012428</v>
          </cell>
        </row>
        <row r="272">
          <cell r="EG272">
            <v>10.698639815041942</v>
          </cell>
        </row>
        <row r="273">
          <cell r="EG273">
            <v>10.129141845792285</v>
          </cell>
        </row>
        <row r="274">
          <cell r="EG274">
            <v>10.099162492928595</v>
          </cell>
        </row>
        <row r="275">
          <cell r="EG275">
            <v>9.4151403521958734</v>
          </cell>
        </row>
        <row r="276">
          <cell r="EG276">
            <v>10.455499617516322</v>
          </cell>
        </row>
        <row r="277">
          <cell r="EG277">
            <v>10.615813327273354</v>
          </cell>
        </row>
        <row r="278">
          <cell r="EG278">
            <v>10.543993587485465</v>
          </cell>
        </row>
        <row r="279">
          <cell r="EG279">
            <v>9.6674529528899544</v>
          </cell>
        </row>
        <row r="280">
          <cell r="EG280">
            <v>9.6161603128475832</v>
          </cell>
        </row>
        <row r="281">
          <cell r="EG281">
            <v>10.23530114031999</v>
          </cell>
        </row>
        <row r="282">
          <cell r="EG282">
            <v>9.7827591926239972</v>
          </cell>
        </row>
        <row r="283">
          <cell r="EG283">
            <v>9.8890774926500633</v>
          </cell>
        </row>
        <row r="284">
          <cell r="EG284">
            <v>9.9381192691943117</v>
          </cell>
        </row>
        <row r="285">
          <cell r="EG285">
            <v>10.027594211826226</v>
          </cell>
        </row>
        <row r="286">
          <cell r="EG286">
            <v>11.016586287078004</v>
          </cell>
        </row>
        <row r="287">
          <cell r="EG287">
            <v>11.503322100259346</v>
          </cell>
        </row>
        <row r="288">
          <cell r="EG288">
            <v>11.779720557672581</v>
          </cell>
        </row>
        <row r="289">
          <cell r="EG289">
            <v>9.4278105726759893</v>
          </cell>
        </row>
        <row r="290">
          <cell r="EG290">
            <v>9.5378190950732744</v>
          </cell>
        </row>
        <row r="291">
          <cell r="EG291">
            <v>9.0285712526925384</v>
          </cell>
        </row>
        <row r="292">
          <cell r="EG292">
            <v>10.000303899784813</v>
          </cell>
        </row>
        <row r="293">
          <cell r="EG293">
            <v>9.4827307000799426</v>
          </cell>
        </row>
        <row r="294">
          <cell r="EG294">
            <v>9.6162654052817089</v>
          </cell>
        </row>
        <row r="295">
          <cell r="EG295">
            <v>9.873901597864462</v>
          </cell>
        </row>
        <row r="296">
          <cell r="EG296">
            <v>9.4308809464528913</v>
          </cell>
        </row>
        <row r="297">
          <cell r="EG297">
            <v>8.8375884382355121</v>
          </cell>
        </row>
        <row r="298">
          <cell r="EG298">
            <v>9.2586372827240773</v>
          </cell>
        </row>
        <row r="299">
          <cell r="EG299">
            <v>9.975063996095237</v>
          </cell>
        </row>
        <row r="300">
          <cell r="EG300">
            <v>9.2626883443016972</v>
          </cell>
        </row>
        <row r="301">
          <cell r="EG301">
            <v>9.8460895803579849</v>
          </cell>
        </row>
        <row r="302">
          <cell r="EG302">
            <v>9.4563660331290436</v>
          </cell>
        </row>
        <row r="303">
          <cell r="EG303">
            <v>9.862906213562999</v>
          </cell>
        </row>
        <row r="304">
          <cell r="EG304">
            <v>9.3752977382173395</v>
          </cell>
        </row>
        <row r="305">
          <cell r="EG305">
            <v>9.5336449787987636</v>
          </cell>
        </row>
        <row r="306">
          <cell r="EG306">
            <v>9.4073909044707307</v>
          </cell>
        </row>
        <row r="307">
          <cell r="EG307">
            <v>9.833274639290563</v>
          </cell>
        </row>
        <row r="308">
          <cell r="EG308">
            <v>8.5670263661590607</v>
          </cell>
        </row>
        <row r="309">
          <cell r="EG309">
            <v>9.9933480399232604</v>
          </cell>
        </row>
        <row r="310">
          <cell r="EG310">
            <v>9.220631019448092</v>
          </cell>
        </row>
        <row r="311">
          <cell r="EG311">
            <v>10.247826022935442</v>
          </cell>
        </row>
        <row r="312">
          <cell r="EG312">
            <v>9.4649364291217335</v>
          </cell>
        </row>
        <row r="313">
          <cell r="EG313">
            <v>9.198106998873401</v>
          </cell>
        </row>
        <row r="314">
          <cell r="EG314">
            <v>10.284904251407587</v>
          </cell>
        </row>
        <row r="315">
          <cell r="EG315">
            <v>10.090998297753199</v>
          </cell>
        </row>
        <row r="316">
          <cell r="EG316">
            <v>10.688179469624272</v>
          </cell>
        </row>
        <row r="317">
          <cell r="EG317">
            <v>9.2491983573911121</v>
          </cell>
        </row>
        <row r="318">
          <cell r="EG318">
            <v>11.778625096599027</v>
          </cell>
        </row>
        <row r="319">
          <cell r="EG319">
            <v>10.085968077046074</v>
          </cell>
        </row>
        <row r="320">
          <cell r="EG320">
            <v>10.050843580956919</v>
          </cell>
        </row>
        <row r="321">
          <cell r="EG321">
            <v>10.321453434333344</v>
          </cell>
        </row>
        <row r="322">
          <cell r="EG322">
            <v>9.5459253293558426</v>
          </cell>
        </row>
        <row r="323">
          <cell r="EG323">
            <v>9.6651117370750512</v>
          </cell>
        </row>
        <row r="324">
          <cell r="EG324">
            <v>9.568201724066995</v>
          </cell>
        </row>
        <row r="325">
          <cell r="EG325">
            <v>9.6688516480825193</v>
          </cell>
        </row>
        <row r="326">
          <cell r="EG326">
            <v>9.7272972028035873</v>
          </cell>
        </row>
        <row r="327">
          <cell r="EG327">
            <v>9.3682868849021315</v>
          </cell>
        </row>
        <row r="328">
          <cell r="EG328">
            <v>9.6331653536839035</v>
          </cell>
        </row>
        <row r="329">
          <cell r="EG329">
            <v>9.4855794769846788</v>
          </cell>
        </row>
        <row r="330">
          <cell r="EG330">
            <v>9.0472748673841803</v>
          </cell>
        </row>
        <row r="331">
          <cell r="EG331">
            <v>9.1556396337597761</v>
          </cell>
        </row>
        <row r="332">
          <cell r="EG332">
            <v>9.5204835327407924</v>
          </cell>
        </row>
        <row r="333">
          <cell r="EG333">
            <v>10.714857634796667</v>
          </cell>
        </row>
        <row r="334">
          <cell r="EG334">
            <v>9.7884512070234564</v>
          </cell>
        </row>
        <row r="335">
          <cell r="EG335">
            <v>9.5717088318086869</v>
          </cell>
        </row>
        <row r="336">
          <cell r="EG336">
            <v>9.9429500700770994</v>
          </cell>
        </row>
        <row r="337">
          <cell r="EG337">
            <v>9.668385916690001</v>
          </cell>
        </row>
        <row r="338">
          <cell r="EG338">
            <v>10.022304622935069</v>
          </cell>
        </row>
        <row r="339">
          <cell r="EG339">
            <v>9.2011238972073794</v>
          </cell>
        </row>
        <row r="340">
          <cell r="EG340">
            <v>9.3255156633631486</v>
          </cell>
        </row>
        <row r="341">
          <cell r="EG341">
            <v>9.3201462861110542</v>
          </cell>
        </row>
        <row r="342">
          <cell r="EG342">
            <v>10.277975746223223</v>
          </cell>
        </row>
        <row r="343">
          <cell r="EG343">
            <v>10.027349607774756</v>
          </cell>
        </row>
        <row r="344">
          <cell r="EG344">
            <v>9.204119982655925</v>
          </cell>
        </row>
        <row r="345">
          <cell r="EG345">
            <v>10.438621448045396</v>
          </cell>
        </row>
        <row r="346">
          <cell r="EG346">
            <v>8.7589118923979736</v>
          </cell>
        </row>
        <row r="347">
          <cell r="EG347">
            <v>10.113207769822735</v>
          </cell>
        </row>
        <row r="348">
          <cell r="EG348">
            <v>9.363987829748492</v>
          </cell>
        </row>
        <row r="349">
          <cell r="EG349">
            <v>10.175279818442384</v>
          </cell>
        </row>
        <row r="350">
          <cell r="EG350">
            <v>8.8325089127062366</v>
          </cell>
        </row>
        <row r="351">
          <cell r="EG351">
            <v>9.351216345339342</v>
          </cell>
        </row>
        <row r="352">
          <cell r="EG352">
            <v>11.466415303605789</v>
          </cell>
        </row>
        <row r="353">
          <cell r="EG353">
            <v>10.347915186501691</v>
          </cell>
        </row>
        <row r="354">
          <cell r="EG354">
            <v>10.295830894958586</v>
          </cell>
        </row>
        <row r="355">
          <cell r="EG355">
            <v>10.003934206173708</v>
          </cell>
        </row>
        <row r="356">
          <cell r="EG356">
            <v>9.7005306569785912</v>
          </cell>
        </row>
        <row r="357">
          <cell r="EG357">
            <v>9.6119356250401218</v>
          </cell>
        </row>
        <row r="358">
          <cell r="EG358">
            <v>10.139690221652923</v>
          </cell>
        </row>
        <row r="359">
          <cell r="EG359">
            <v>9.9629845843169971</v>
          </cell>
        </row>
        <row r="360">
          <cell r="EG360">
            <v>10.071440127177887</v>
          </cell>
        </row>
        <row r="361">
          <cell r="EG361">
            <v>9.2019430634016501</v>
          </cell>
        </row>
        <row r="362">
          <cell r="EG362">
            <v>10.079723775139918</v>
          </cell>
        </row>
        <row r="363">
          <cell r="EG363">
            <v>9.988603543345663</v>
          </cell>
        </row>
        <row r="364">
          <cell r="EG364">
            <v>9.6907275438703664</v>
          </cell>
        </row>
        <row r="365">
          <cell r="EG365">
            <v>9.2878017299302265</v>
          </cell>
        </row>
        <row r="366">
          <cell r="EG366">
            <v>9.5118833609788744</v>
          </cell>
        </row>
        <row r="367">
          <cell r="EG367">
            <v>10.015862508097314</v>
          </cell>
        </row>
        <row r="368">
          <cell r="EG368">
            <v>9.7113009599161657</v>
          </cell>
        </row>
        <row r="369">
          <cell r="EG369">
            <v>10.086573365620573</v>
          </cell>
        </row>
        <row r="370">
          <cell r="EG370">
            <v>9.277150613963796</v>
          </cell>
        </row>
        <row r="371">
          <cell r="EG371">
            <v>9.7978213113640233</v>
          </cell>
        </row>
        <row r="372">
          <cell r="EG372">
            <v>9.522183317618687</v>
          </cell>
        </row>
        <row r="373">
          <cell r="EG373">
            <v>7.7708520116421438</v>
          </cell>
        </row>
        <row r="374">
          <cell r="EG374">
            <v>10.543732887887259</v>
          </cell>
        </row>
        <row r="375">
          <cell r="EG375">
            <v>9.105169427999332</v>
          </cell>
        </row>
        <row r="376">
          <cell r="EG376">
            <v>10.260596042301909</v>
          </cell>
        </row>
        <row r="377">
          <cell r="EG377">
            <v>9.2750808984568582</v>
          </cell>
        </row>
        <row r="378">
          <cell r="EG378">
            <v>10.222430314660491</v>
          </cell>
        </row>
        <row r="379">
          <cell r="EG379">
            <v>10.303131232510763</v>
          </cell>
        </row>
        <row r="380">
          <cell r="EG380">
            <v>10.136181326960601</v>
          </cell>
        </row>
        <row r="381">
          <cell r="EG381">
            <v>10.757934766327757</v>
          </cell>
        </row>
        <row r="382">
          <cell r="EG382">
            <v>10.360422994329248</v>
          </cell>
        </row>
        <row r="383">
          <cell r="EG383">
            <v>10.742379442998091</v>
          </cell>
        </row>
        <row r="384">
          <cell r="EG384">
            <v>10.453104198432209</v>
          </cell>
        </row>
        <row r="385">
          <cell r="EG385">
            <v>10.089304451847871</v>
          </cell>
        </row>
        <row r="386">
          <cell r="EG386">
            <v>10.484200153763631</v>
          </cell>
        </row>
        <row r="387">
          <cell r="EG387">
            <v>10.724587138976274</v>
          </cell>
        </row>
        <row r="388">
          <cell r="EG388">
            <v>9.4559102403827424</v>
          </cell>
        </row>
        <row r="389">
          <cell r="EG389">
            <v>10.321784782959902</v>
          </cell>
        </row>
        <row r="390">
          <cell r="EG390">
            <v>9.2070955404192176</v>
          </cell>
        </row>
        <row r="391">
          <cell r="EG391">
            <v>10.069853021113625</v>
          </cell>
        </row>
        <row r="392">
          <cell r="EG392">
            <v>10.576468048945626</v>
          </cell>
        </row>
        <row r="393">
          <cell r="EG393">
            <v>9.2664668954402423</v>
          </cell>
        </row>
        <row r="394">
          <cell r="EG394">
            <v>10.235856568752974</v>
          </cell>
        </row>
        <row r="395">
          <cell r="EG395">
            <v>10.646325291243283</v>
          </cell>
        </row>
        <row r="396">
          <cell r="EG396">
            <v>9.7121444142148867</v>
          </cell>
        </row>
        <row r="397">
          <cell r="EG397">
            <v>9.3014640731433005</v>
          </cell>
        </row>
        <row r="398">
          <cell r="EG398">
            <v>10.104213884199323</v>
          </cell>
        </row>
        <row r="399">
          <cell r="EG399">
            <v>9.7216457662897469</v>
          </cell>
        </row>
        <row r="400">
          <cell r="EG400">
            <v>9.8796119070658506</v>
          </cell>
        </row>
        <row r="401">
          <cell r="EG401">
            <v>10.401900036760585</v>
          </cell>
        </row>
        <row r="402">
          <cell r="EG402">
            <v>10.951415237923166</v>
          </cell>
        </row>
        <row r="403">
          <cell r="EG403">
            <v>9.9754777631658751</v>
          </cell>
        </row>
        <row r="404">
          <cell r="EG404">
            <v>10.050070264367438</v>
          </cell>
        </row>
        <row r="405">
          <cell r="EG405">
            <v>9.7709992051639407</v>
          </cell>
        </row>
        <row r="406">
          <cell r="EG406">
            <v>10.202706226990356</v>
          </cell>
        </row>
        <row r="407">
          <cell r="EG407">
            <v>9.9425536803342105</v>
          </cell>
        </row>
        <row r="408">
          <cell r="EG408">
            <v>10.511869997866151</v>
          </cell>
        </row>
        <row r="409">
          <cell r="EG409">
            <v>9.7622282842864738</v>
          </cell>
        </row>
        <row r="410">
          <cell r="EG410">
            <v>10.060471192797678</v>
          </cell>
        </row>
        <row r="411">
          <cell r="EG411">
            <v>10.297125561527981</v>
          </cell>
        </row>
        <row r="412">
          <cell r="EG412">
            <v>10.178487731047397</v>
          </cell>
        </row>
        <row r="413">
          <cell r="EG413">
            <v>9.9373674175172901</v>
          </cell>
        </row>
        <row r="414">
          <cell r="EG414">
            <v>9.9522110581086682</v>
          </cell>
        </row>
        <row r="415">
          <cell r="EG415">
            <v>9.5910646070264995</v>
          </cell>
        </row>
        <row r="416">
          <cell r="EG416">
            <v>10.337618972419385</v>
          </cell>
        </row>
        <row r="417">
          <cell r="EG417">
            <v>11.086345591277974</v>
          </cell>
        </row>
        <row r="418">
          <cell r="EG418">
            <v>11.497080380188191</v>
          </cell>
        </row>
        <row r="419">
          <cell r="EG419">
            <v>11.709741321751897</v>
          </cell>
        </row>
        <row r="420">
          <cell r="EG420">
            <v>11.004127833122505</v>
          </cell>
        </row>
        <row r="421">
          <cell r="EG421">
            <v>10.671524580629669</v>
          </cell>
        </row>
        <row r="422">
          <cell r="EG422">
            <v>11.188492565093906</v>
          </cell>
        </row>
        <row r="423">
          <cell r="EG423">
            <v>11.308549474427771</v>
          </cell>
        </row>
        <row r="424">
          <cell r="EG424">
            <v>10.836811315727346</v>
          </cell>
        </row>
        <row r="425">
          <cell r="EG425">
            <v>10.992761116636471</v>
          </cell>
        </row>
        <row r="426">
          <cell r="EG426">
            <v>10.345706921278428</v>
          </cell>
        </row>
        <row r="427">
          <cell r="EG427">
            <v>10.898176483497677</v>
          </cell>
        </row>
        <row r="428">
          <cell r="EG428">
            <v>11.227681072752871</v>
          </cell>
        </row>
        <row r="429">
          <cell r="EG429">
            <v>11.042433743144318</v>
          </cell>
        </row>
        <row r="430">
          <cell r="EG430">
            <v>9.2683439139510639</v>
          </cell>
        </row>
        <row r="431">
          <cell r="EG431">
            <v>10.503572800457903</v>
          </cell>
        </row>
        <row r="432">
          <cell r="EG432">
            <v>9.0236639181977942</v>
          </cell>
        </row>
        <row r="433">
          <cell r="EG433">
            <v>9.9653428355606213</v>
          </cell>
        </row>
        <row r="434">
          <cell r="EG434">
            <v>9.4869968884318219</v>
          </cell>
        </row>
        <row r="435">
          <cell r="EG435">
            <v>9.9994350498763307</v>
          </cell>
        </row>
        <row r="436">
          <cell r="EG436">
            <v>9.6755950563867454</v>
          </cell>
        </row>
        <row r="437">
          <cell r="EG437">
            <v>9.7697464671794538</v>
          </cell>
        </row>
        <row r="438">
          <cell r="EG438">
            <v>10.91560031372398</v>
          </cell>
        </row>
        <row r="439">
          <cell r="EG439">
            <v>10.074816440645174</v>
          </cell>
        </row>
        <row r="440">
          <cell r="EG440">
            <v>10.711275630961277</v>
          </cell>
        </row>
        <row r="441">
          <cell r="EG441">
            <v>9.4431064567372669</v>
          </cell>
        </row>
        <row r="442">
          <cell r="EG442">
            <v>9.6480671294489344</v>
          </cell>
        </row>
        <row r="443">
          <cell r="EG443">
            <v>8.3283796034387372</v>
          </cell>
        </row>
        <row r="444">
          <cell r="EG444">
            <v>10.171082577357526</v>
          </cell>
        </row>
        <row r="445">
          <cell r="EG445">
            <v>10.087852375163168</v>
          </cell>
        </row>
        <row r="446">
          <cell r="EG446">
            <v>10.806532694976926</v>
          </cell>
        </row>
        <row r="447">
          <cell r="EG447">
            <v>10.006466042249231</v>
          </cell>
        </row>
        <row r="448">
          <cell r="EG448">
            <v>9.1806992012960347</v>
          </cell>
        </row>
        <row r="449">
          <cell r="EG449">
            <v>9.680063427481949</v>
          </cell>
        </row>
        <row r="450">
          <cell r="EG450">
            <v>10.091139153825754</v>
          </cell>
        </row>
        <row r="451">
          <cell r="EG451">
            <v>9.9593276459721718</v>
          </cell>
        </row>
        <row r="452">
          <cell r="EG452">
            <v>9.5398285583778986</v>
          </cell>
        </row>
        <row r="453">
          <cell r="EG453">
            <v>10.000477461374455</v>
          </cell>
        </row>
        <row r="454">
          <cell r="EG454">
            <v>8.9894498176666922</v>
          </cell>
        </row>
        <row r="455">
          <cell r="EG455">
            <v>10.23509899009494</v>
          </cell>
        </row>
        <row r="456">
          <cell r="EG456">
            <v>9.9146075677710801</v>
          </cell>
        </row>
        <row r="457">
          <cell r="EG457">
            <v>9.6238692683503029</v>
          </cell>
        </row>
        <row r="458">
          <cell r="EG458">
            <v>9.6049816296074315</v>
          </cell>
        </row>
        <row r="459">
          <cell r="EG459">
            <v>9.1673173347481764</v>
          </cell>
        </row>
        <row r="460">
          <cell r="EG460">
            <v>10.164085057458859</v>
          </cell>
        </row>
        <row r="461">
          <cell r="EG461">
            <v>9.3879234669734366</v>
          </cell>
        </row>
        <row r="462">
          <cell r="EG462">
            <v>9.6620018793899174</v>
          </cell>
        </row>
        <row r="463">
          <cell r="EG463">
            <v>9.5743785644130828</v>
          </cell>
        </row>
        <row r="464">
          <cell r="EG464">
            <v>9.9397188823541054</v>
          </cell>
        </row>
        <row r="465">
          <cell r="EG465">
            <v>9.9243309847086785</v>
          </cell>
        </row>
        <row r="466">
          <cell r="EG466">
            <v>9.2491983573911121</v>
          </cell>
        </row>
        <row r="467">
          <cell r="EG467">
            <v>9.6942541120252788</v>
          </cell>
        </row>
        <row r="468">
          <cell r="EG468">
            <v>10.770741583752775</v>
          </cell>
        </row>
        <row r="469">
          <cell r="EG469">
            <v>10.339530938740655</v>
          </cell>
        </row>
        <row r="470">
          <cell r="EG470">
            <v>9.8532113345033174</v>
          </cell>
        </row>
        <row r="471">
          <cell r="EG471">
            <v>10.799733304907949</v>
          </cell>
        </row>
        <row r="472">
          <cell r="EG472">
            <v>9.3889887851247149</v>
          </cell>
        </row>
        <row r="473">
          <cell r="EG473">
            <v>9.1841233542396719</v>
          </cell>
        </row>
        <row r="474">
          <cell r="EG474">
            <v>10.344333315681277</v>
          </cell>
        </row>
        <row r="475">
          <cell r="EG475">
            <v>10.209622234511551</v>
          </cell>
        </row>
        <row r="476">
          <cell r="EG476">
            <v>9.7007902213743478</v>
          </cell>
        </row>
        <row r="477">
          <cell r="EG477">
            <v>10.706743378506737</v>
          </cell>
        </row>
        <row r="478">
          <cell r="EG478">
            <v>11.356589882287693</v>
          </cell>
        </row>
        <row r="479">
          <cell r="EG479">
            <v>9.3900514964589874</v>
          </cell>
        </row>
        <row r="480">
          <cell r="EG480">
            <v>9.5700757053216048</v>
          </cell>
        </row>
        <row r="481">
          <cell r="EG481">
            <v>9.4707044297227885</v>
          </cell>
        </row>
        <row r="482">
          <cell r="EG482">
            <v>10.3220124385824</v>
          </cell>
        </row>
        <row r="483">
          <cell r="EG483">
            <v>9.5929535715478664</v>
          </cell>
        </row>
        <row r="484">
          <cell r="EG484">
            <v>9.1595671932336202</v>
          </cell>
        </row>
        <row r="485">
          <cell r="EG485">
            <v>9.494293768665333</v>
          </cell>
        </row>
        <row r="486">
          <cell r="EG486">
            <v>9.2683439139510639</v>
          </cell>
        </row>
        <row r="487">
          <cell r="EG487">
            <v>9.5737995822157398</v>
          </cell>
        </row>
        <row r="488">
          <cell r="EG488">
            <v>9.1875207208364635</v>
          </cell>
        </row>
        <row r="489">
          <cell r="EG489">
            <v>9.5790973265526436</v>
          </cell>
        </row>
        <row r="490">
          <cell r="EG490">
            <v>9.5639554649958125</v>
          </cell>
        </row>
        <row r="491">
          <cell r="EG491">
            <v>10.321266939574789</v>
          </cell>
        </row>
        <row r="492">
          <cell r="EG492">
            <v>9.9369156809452548</v>
          </cell>
        </row>
        <row r="493">
          <cell r="EG493">
            <v>10.164620489079711</v>
          </cell>
        </row>
        <row r="494">
          <cell r="EG494">
            <v>9.6420686273415033</v>
          </cell>
        </row>
        <row r="495">
          <cell r="EG495">
            <v>9.307067950661299</v>
          </cell>
        </row>
        <row r="496">
          <cell r="EG496">
            <v>9.0322157032979824</v>
          </cell>
        </row>
        <row r="497">
          <cell r="EG497">
            <v>9.5342800052050816</v>
          </cell>
        </row>
        <row r="498">
          <cell r="EG498">
            <v>9.8376515578463923</v>
          </cell>
        </row>
        <row r="499">
          <cell r="EG499">
            <v>10.480107595576447</v>
          </cell>
        </row>
        <row r="500">
          <cell r="EG500">
            <v>9.0394141191761364</v>
          </cell>
        </row>
        <row r="501">
          <cell r="EG501">
            <v>9.1911714557285578</v>
          </cell>
        </row>
        <row r="502">
          <cell r="EG502">
            <v>9.476251796007034</v>
          </cell>
        </row>
        <row r="503">
          <cell r="EG503">
            <v>8.8512583487190746</v>
          </cell>
        </row>
        <row r="504">
          <cell r="EG504">
            <v>8.7450747915820575</v>
          </cell>
        </row>
        <row r="505">
          <cell r="EG505">
            <v>9.0145205387579246</v>
          </cell>
        </row>
        <row r="506">
          <cell r="EG506">
            <v>10.569455844240684</v>
          </cell>
        </row>
        <row r="507">
          <cell r="EG507">
            <v>8.8061799739838875</v>
          </cell>
        </row>
        <row r="508">
          <cell r="EG508">
            <v>9.2116544005531829</v>
          </cell>
        </row>
        <row r="509">
          <cell r="EG509">
            <v>10.105612359686786</v>
          </cell>
        </row>
        <row r="510">
          <cell r="EG510">
            <v>9.5848963441374497</v>
          </cell>
        </row>
        <row r="511">
          <cell r="EG511">
            <v>9.3326404103874623</v>
          </cell>
        </row>
        <row r="512">
          <cell r="EG512">
            <v>9.1622656142980219</v>
          </cell>
        </row>
        <row r="513">
          <cell r="EG513">
            <v>8.8048206787211623</v>
          </cell>
        </row>
        <row r="514">
          <cell r="EG514">
            <v>8.5693739096150452</v>
          </cell>
        </row>
        <row r="515">
          <cell r="EG515">
            <v>8.8680563618230419</v>
          </cell>
        </row>
        <row r="516">
          <cell r="EG516">
            <v>11.032969116894197</v>
          </cell>
        </row>
        <row r="517">
          <cell r="EG517">
            <v>8.6127838567197355</v>
          </cell>
        </row>
        <row r="518">
          <cell r="EG518">
            <v>8.9122220565324159</v>
          </cell>
        </row>
        <row r="519">
          <cell r="EG519">
            <v>8.5809249756756198</v>
          </cell>
        </row>
        <row r="520">
          <cell r="EG520">
            <v>10.312790692146443</v>
          </cell>
        </row>
        <row r="521">
          <cell r="EG521">
            <v>10.037107632667928</v>
          </cell>
        </row>
        <row r="522">
          <cell r="EG522">
            <v>9.2100508498751381</v>
          </cell>
        </row>
        <row r="523">
          <cell r="EG523">
            <v>8.9489017609702142</v>
          </cell>
        </row>
        <row r="524">
          <cell r="EG524">
            <v>8.8864907251724823</v>
          </cell>
        </row>
        <row r="525">
          <cell r="EG525">
            <v>9.3040594662175984</v>
          </cell>
        </row>
        <row r="526">
          <cell r="EG526">
            <v>10.30982172568023</v>
          </cell>
        </row>
        <row r="527">
          <cell r="EG527">
            <v>10.148571808932157</v>
          </cell>
        </row>
        <row r="528">
          <cell r="EG528">
            <v>9.2484637175510311</v>
          </cell>
        </row>
        <row r="529">
          <cell r="EG529">
            <v>9.0902580529313166</v>
          </cell>
        </row>
        <row r="530">
          <cell r="EG530">
            <v>9.8510136068236704</v>
          </cell>
        </row>
        <row r="531">
          <cell r="EG531">
            <v>10.068705219691941</v>
          </cell>
        </row>
        <row r="532">
          <cell r="EG532">
            <v>9.3541084391474012</v>
          </cell>
        </row>
        <row r="533">
          <cell r="EG533">
            <v>9.5459253293558426</v>
          </cell>
        </row>
        <row r="534">
          <cell r="EG534">
            <v>9.7520484478194387</v>
          </cell>
        </row>
        <row r="535">
          <cell r="EG535">
            <v>8.9360107957152088</v>
          </cell>
        </row>
        <row r="536">
          <cell r="EG536">
            <v>8.9508514588885468</v>
          </cell>
        </row>
        <row r="537">
          <cell r="EG537">
            <v>8.9836262871245349</v>
          </cell>
        </row>
        <row r="538">
          <cell r="EG538">
            <v>9.4044916177586853</v>
          </cell>
        </row>
        <row r="539">
          <cell r="EG539">
            <v>9.43822580760453</v>
          </cell>
        </row>
        <row r="540">
          <cell r="EG540">
            <v>9.5975855017522047</v>
          </cell>
        </row>
        <row r="541">
          <cell r="EG541">
            <v>9.06744284277638</v>
          </cell>
        </row>
        <row r="542">
          <cell r="EG542">
            <v>9.5039268041935099</v>
          </cell>
        </row>
        <row r="543">
          <cell r="EG543">
            <v>9.6907275438703664</v>
          </cell>
        </row>
        <row r="544">
          <cell r="EG544">
            <v>9.2377949932739227</v>
          </cell>
        </row>
        <row r="545">
          <cell r="EG545">
            <v>9.4163075870598831</v>
          </cell>
        </row>
        <row r="546">
          <cell r="EG546">
            <v>9.2273724422896368</v>
          </cell>
        </row>
        <row r="547">
          <cell r="EG547">
            <v>9.1541195255158474</v>
          </cell>
        </row>
        <row r="548">
          <cell r="EG548">
            <v>8.6253124509616743</v>
          </cell>
        </row>
        <row r="549">
          <cell r="EG549">
            <v>8.8055008581583998</v>
          </cell>
        </row>
        <row r="550">
          <cell r="EG550">
            <v>9.0877814178095431</v>
          </cell>
        </row>
        <row r="551">
          <cell r="EG551">
            <v>9.7666358863102669</v>
          </cell>
        </row>
        <row r="552">
          <cell r="EG552">
            <v>9.10140335055533</v>
          </cell>
        </row>
        <row r="553">
          <cell r="EG553">
            <v>8.5932860670204576</v>
          </cell>
        </row>
        <row r="554">
          <cell r="EG554">
            <v>8.6711728427150838</v>
          </cell>
        </row>
        <row r="555">
          <cell r="EG555">
            <v>8.7450747915820575</v>
          </cell>
        </row>
        <row r="556">
          <cell r="EG556">
            <v>8.7168377232995251</v>
          </cell>
        </row>
        <row r="557">
          <cell r="EG557">
            <v>9.7080808104682319</v>
          </cell>
        </row>
        <row r="558">
          <cell r="EG558">
            <v>9.2169572073610961</v>
          </cell>
        </row>
        <row r="559">
          <cell r="EG559">
            <v>8.7126497016272122</v>
          </cell>
        </row>
        <row r="560">
          <cell r="EG560">
            <v>8.729974285699555</v>
          </cell>
        </row>
        <row r="561">
          <cell r="EG561">
            <v>8.3324384599156058</v>
          </cell>
        </row>
        <row r="562">
          <cell r="EG562">
            <v>8.423245873936807</v>
          </cell>
        </row>
        <row r="563">
          <cell r="EG563">
            <v>9.3692158574101434</v>
          </cell>
        </row>
        <row r="564">
          <cell r="EG564">
            <v>9.0526939419249679</v>
          </cell>
        </row>
        <row r="565">
          <cell r="EG565">
            <v>8.9439888750737726</v>
          </cell>
        </row>
        <row r="566">
          <cell r="EG566">
            <v>9.2187979981117376</v>
          </cell>
        </row>
        <row r="567">
          <cell r="EG567">
            <v>9.7743709598499162</v>
          </cell>
        </row>
        <row r="568">
          <cell r="EG568">
            <v>8.8864907251724823</v>
          </cell>
        </row>
        <row r="569">
          <cell r="EG569">
            <v>9.0546130545568886</v>
          </cell>
        </row>
        <row r="570">
          <cell r="EG570">
            <v>8.8567288903828825</v>
          </cell>
        </row>
        <row r="571">
          <cell r="EG571">
            <v>8.9449759084120473</v>
          </cell>
        </row>
        <row r="572">
          <cell r="EG572">
            <v>9.7370335313338785</v>
          </cell>
        </row>
        <row r="573">
          <cell r="EG573">
            <v>9.2496874278053021</v>
          </cell>
        </row>
        <row r="574">
          <cell r="EG574">
            <v>8.8954225460394074</v>
          </cell>
        </row>
        <row r="575">
          <cell r="EG575">
            <v>9.5011962420270883</v>
          </cell>
        </row>
        <row r="576">
          <cell r="EG576">
            <v>9.1664301138432833</v>
          </cell>
        </row>
        <row r="577">
          <cell r="EG577">
            <v>8.5514499979728757</v>
          </cell>
        </row>
        <row r="578">
          <cell r="EG578">
            <v>9.0576661039098294</v>
          </cell>
        </row>
        <row r="579">
          <cell r="EG579">
            <v>9.5319895514125506</v>
          </cell>
        </row>
        <row r="580">
          <cell r="EG580">
            <v>9.1568519010700111</v>
          </cell>
        </row>
        <row r="581">
          <cell r="EG581">
            <v>8.8195439355418692</v>
          </cell>
        </row>
        <row r="582">
          <cell r="EG582">
            <v>9.2211533219547057</v>
          </cell>
        </row>
        <row r="583">
          <cell r="EG583">
            <v>9.1179338350396417</v>
          </cell>
        </row>
        <row r="584">
          <cell r="EG584">
            <v>9.4104397862103468</v>
          </cell>
        </row>
        <row r="585">
          <cell r="EG585">
            <v>9.1139433523068369</v>
          </cell>
        </row>
        <row r="586">
          <cell r="EG586">
            <v>8.957607287060096</v>
          </cell>
        </row>
        <row r="587">
          <cell r="EG587">
            <v>11.092801321948428</v>
          </cell>
        </row>
        <row r="588">
          <cell r="EG588">
            <v>9.0488300865283495</v>
          </cell>
        </row>
        <row r="589">
          <cell r="EG589">
            <v>10.155457501451842</v>
          </cell>
        </row>
        <row r="590">
          <cell r="EG590">
            <v>8.3483048630481616</v>
          </cell>
        </row>
        <row r="591">
          <cell r="EG591">
            <v>9.5970366649776526</v>
          </cell>
        </row>
        <row r="592">
          <cell r="EG592">
            <v>9.612359947967775</v>
          </cell>
        </row>
        <row r="593">
          <cell r="EG593">
            <v>9.7979596437371956</v>
          </cell>
        </row>
        <row r="594">
          <cell r="EG594">
            <v>9.881897973573011</v>
          </cell>
        </row>
        <row r="595">
          <cell r="EG595">
            <v>8.9969492484953815</v>
          </cell>
        </row>
        <row r="596">
          <cell r="EG596">
            <v>9.0817072700973487</v>
          </cell>
        </row>
        <row r="597">
          <cell r="EG597">
            <v>9.2552725051033065</v>
          </cell>
        </row>
        <row r="598">
          <cell r="EG598">
            <v>9.0145205387579246</v>
          </cell>
        </row>
        <row r="599">
          <cell r="EG599">
            <v>8.9365137424788941</v>
          </cell>
        </row>
        <row r="600">
          <cell r="EG600">
            <v>8.6998377258672459</v>
          </cell>
        </row>
        <row r="601">
          <cell r="EG601">
            <v>8.7497363155690611</v>
          </cell>
        </row>
        <row r="602">
          <cell r="EG602">
            <v>10.232767474176342</v>
          </cell>
        </row>
        <row r="603">
          <cell r="EG603">
            <v>9.2810333672477281</v>
          </cell>
        </row>
        <row r="604">
          <cell r="EG604">
            <v>7.9395192526186182</v>
          </cell>
        </row>
        <row r="605">
          <cell r="EG605">
            <v>9.159867847092567</v>
          </cell>
        </row>
        <row r="606">
          <cell r="EG606">
            <v>8.8750612633917001</v>
          </cell>
        </row>
        <row r="607">
          <cell r="EG607">
            <v>9.2821687783046407</v>
          </cell>
        </row>
        <row r="608">
          <cell r="EG608">
            <v>8.9647309210536292</v>
          </cell>
        </row>
        <row r="609">
          <cell r="EG609">
            <v>9.6394864892685863</v>
          </cell>
        </row>
        <row r="610">
          <cell r="EG610">
            <v>8.5514499979728757</v>
          </cell>
        </row>
        <row r="611">
          <cell r="EG611">
            <v>9.4315245841874518</v>
          </cell>
        </row>
        <row r="612">
          <cell r="EG612">
            <v>8.668385916690001</v>
          </cell>
        </row>
        <row r="613">
          <cell r="EG613">
            <v>9.2636360685881076</v>
          </cell>
        </row>
        <row r="614">
          <cell r="EG614">
            <v>8.7678976160180913</v>
          </cell>
        </row>
        <row r="615">
          <cell r="EG615">
            <v>9.6553305580093411</v>
          </cell>
        </row>
        <row r="616">
          <cell r="EG616">
            <v>9.1038037209559572</v>
          </cell>
        </row>
        <row r="617">
          <cell r="EG617">
            <v>9.1934029030624167</v>
          </cell>
        </row>
        <row r="618">
          <cell r="EG618">
            <v>9.0877814178095431</v>
          </cell>
        </row>
        <row r="619">
          <cell r="EG619">
            <v>9.1661339703051095</v>
          </cell>
        </row>
        <row r="620">
          <cell r="EG620">
            <v>9.3100557377508917</v>
          </cell>
        </row>
        <row r="621">
          <cell r="EG621">
            <v>9.2342641243787895</v>
          </cell>
        </row>
        <row r="622">
          <cell r="EG622">
            <v>9.2523675144598982</v>
          </cell>
        </row>
        <row r="623">
          <cell r="EG623">
            <v>8.9138138523837167</v>
          </cell>
        </row>
        <row r="624">
          <cell r="EG624">
            <v>10.437100219421662</v>
          </cell>
        </row>
        <row r="625">
          <cell r="EG625">
            <v>8.568201724066995</v>
          </cell>
        </row>
        <row r="626">
          <cell r="EG626">
            <v>10.045557669136548</v>
          </cell>
        </row>
        <row r="627">
          <cell r="EG627">
            <v>9.1146109842321739</v>
          </cell>
        </row>
        <row r="628">
          <cell r="EG628">
            <v>9.6074550232146692</v>
          </cell>
        </row>
        <row r="629">
          <cell r="EG629">
            <v>9.4168068718229438</v>
          </cell>
        </row>
        <row r="630">
          <cell r="EG630">
            <v>9.5148132949992856</v>
          </cell>
        </row>
        <row r="631">
          <cell r="EG631">
            <v>10.513457328390572</v>
          </cell>
        </row>
        <row r="632">
          <cell r="EG632">
            <v>9.3390537357091397</v>
          </cell>
        </row>
        <row r="633">
          <cell r="EG633">
            <v>8.5965970956264606</v>
          </cell>
        </row>
        <row r="634">
          <cell r="EG634">
            <v>9.6231458746379399</v>
          </cell>
        </row>
        <row r="635">
          <cell r="EG635">
            <v>10.094051655509965</v>
          </cell>
        </row>
        <row r="636">
          <cell r="EG636">
            <v>8.7242758696007883</v>
          </cell>
        </row>
        <row r="637">
          <cell r="EG637">
            <v>9.2407987711173316</v>
          </cell>
        </row>
        <row r="638">
          <cell r="EG638">
            <v>9.5178554189300293</v>
          </cell>
        </row>
        <row r="639">
          <cell r="EG639">
            <v>9.8857003801283305</v>
          </cell>
        </row>
        <row r="640">
          <cell r="EG640">
            <v>9.4445132063340438</v>
          </cell>
        </row>
        <row r="641">
          <cell r="EG641">
            <v>8.2810333672477281</v>
          </cell>
        </row>
        <row r="642">
          <cell r="EG642">
            <v>9.784545974054522</v>
          </cell>
        </row>
        <row r="643">
          <cell r="EG643">
            <v>9.4937368022768407</v>
          </cell>
        </row>
        <row r="644">
          <cell r="EG644">
            <v>9.2787536009528289</v>
          </cell>
        </row>
        <row r="645">
          <cell r="EG645">
            <v>9.6444385894678391</v>
          </cell>
        </row>
        <row r="646">
          <cell r="EG646">
            <v>9.2844307338445198</v>
          </cell>
        </row>
        <row r="647">
          <cell r="EG647">
            <v>9.4611982886224926</v>
          </cell>
        </row>
        <row r="648">
          <cell r="EG648">
            <v>8.7267272090265724</v>
          </cell>
        </row>
        <row r="649">
          <cell r="EG649">
            <v>9.4313637641589878</v>
          </cell>
        </row>
        <row r="650">
          <cell r="EG650">
            <v>9.1129399760840801</v>
          </cell>
        </row>
        <row r="651">
          <cell r="EG651">
            <v>9.3332456989619637</v>
          </cell>
        </row>
        <row r="652">
          <cell r="EG652">
            <v>9.2362852774480277</v>
          </cell>
        </row>
        <row r="653">
          <cell r="EG653">
            <v>9.0362295440862948</v>
          </cell>
        </row>
        <row r="654">
          <cell r="EG654">
            <v>10.075473964588946</v>
          </cell>
        </row>
        <row r="655">
          <cell r="EG655">
            <v>10.129722108695878</v>
          </cell>
        </row>
        <row r="656">
          <cell r="EG656">
            <v>8.9722028383790651</v>
          </cell>
        </row>
        <row r="657">
          <cell r="EG657">
            <v>9.5065050324048723</v>
          </cell>
        </row>
        <row r="658">
          <cell r="EG658">
            <v>10.290991232025503</v>
          </cell>
        </row>
        <row r="659">
          <cell r="EG659">
            <v>9.2153731527834228</v>
          </cell>
        </row>
        <row r="660">
          <cell r="EG660">
            <v>10.385606273598313</v>
          </cell>
        </row>
        <row r="661">
          <cell r="EG661">
            <v>9.4886916983169414</v>
          </cell>
        </row>
        <row r="662">
          <cell r="EG662">
            <v>8.9978230807457251</v>
          </cell>
        </row>
        <row r="663">
          <cell r="EG663">
            <v>9.2942457161381178</v>
          </cell>
        </row>
        <row r="664">
          <cell r="EG664">
            <v>9.6002103064093287</v>
          </cell>
        </row>
        <row r="665">
          <cell r="EG665">
            <v>9.3981136917305026</v>
          </cell>
        </row>
        <row r="666">
          <cell r="EG666">
            <v>9.0603200286882846</v>
          </cell>
        </row>
        <row r="667">
          <cell r="EG667">
            <v>9.1838390370564209</v>
          </cell>
        </row>
        <row r="668">
          <cell r="EG668">
            <v>9.8778894253714835</v>
          </cell>
        </row>
        <row r="669">
          <cell r="EG669">
            <v>9.1328997699444834</v>
          </cell>
        </row>
        <row r="670">
          <cell r="EG670">
            <v>9.8947589943718928</v>
          </cell>
        </row>
        <row r="671">
          <cell r="EG671">
            <v>9.2385478876813281</v>
          </cell>
        </row>
        <row r="672">
          <cell r="EG672">
            <v>9.7277851741829053</v>
          </cell>
        </row>
        <row r="673">
          <cell r="EG673">
            <v>8.6989700043360187</v>
          </cell>
        </row>
        <row r="674">
          <cell r="EG674">
            <v>9.1945143418824671</v>
          </cell>
        </row>
        <row r="675">
          <cell r="EG675">
            <v>9.2650537885040141</v>
          </cell>
        </row>
        <row r="676">
          <cell r="EG676">
            <v>9.6237660001339318</v>
          </cell>
        </row>
        <row r="677">
          <cell r="EG677">
            <v>10.678982470996925</v>
          </cell>
        </row>
        <row r="678">
          <cell r="EG678">
            <v>9.0877814178095431</v>
          </cell>
        </row>
        <row r="679">
          <cell r="EG679">
            <v>9.5542468081661109</v>
          </cell>
        </row>
        <row r="680">
          <cell r="EG680">
            <v>8.6821450763738319</v>
          </cell>
        </row>
        <row r="681">
          <cell r="EG681">
            <v>10.23545269126322</v>
          </cell>
        </row>
        <row r="682">
          <cell r="EG682">
            <v>10.11169927757355</v>
          </cell>
        </row>
        <row r="683">
          <cell r="EG683">
            <v>9.6495295659478195</v>
          </cell>
        </row>
        <row r="684">
          <cell r="EG684">
            <v>10.128657700431415</v>
          </cell>
        </row>
        <row r="685">
          <cell r="EG685">
            <v>9.0588054866759062</v>
          </cell>
        </row>
        <row r="686">
          <cell r="EG686">
            <v>8.9258275746247424</v>
          </cell>
        </row>
        <row r="687">
          <cell r="EG687">
            <v>9.4239009185284175</v>
          </cell>
        </row>
        <row r="688">
          <cell r="EG688">
            <v>9.7449185424413525</v>
          </cell>
        </row>
        <row r="689">
          <cell r="EG689">
            <v>10.176669932668149</v>
          </cell>
        </row>
        <row r="690">
          <cell r="EG690">
            <v>9.6515687388657927</v>
          </cell>
        </row>
        <row r="691">
          <cell r="EG691">
            <v>9.7015679850559273</v>
          </cell>
        </row>
        <row r="692">
          <cell r="EG692">
            <v>9.2375437381428753</v>
          </cell>
        </row>
        <row r="693">
          <cell r="EG693">
            <v>9.0599418880619549</v>
          </cell>
        </row>
        <row r="694">
          <cell r="EG694">
            <v>9.4034637013453182</v>
          </cell>
        </row>
        <row r="695">
          <cell r="EG695">
            <v>9.0599418880619549</v>
          </cell>
        </row>
        <row r="696">
          <cell r="EG696">
            <v>10.154910645788524</v>
          </cell>
        </row>
        <row r="697">
          <cell r="EG697">
            <v>9.3378584290410949</v>
          </cell>
        </row>
        <row r="698">
          <cell r="EG698">
            <v>9.6475785542124548</v>
          </cell>
        </row>
        <row r="699">
          <cell r="EG699">
            <v>10.487590824516055</v>
          </cell>
        </row>
        <row r="700">
          <cell r="EG700">
            <v>9.6159500516564016</v>
          </cell>
        </row>
        <row r="701">
          <cell r="EG701">
            <v>9.8377146682849119</v>
          </cell>
        </row>
        <row r="702">
          <cell r="EG702">
            <v>9.5706596700215343</v>
          </cell>
        </row>
        <row r="703">
          <cell r="EG703">
            <v>9.6795187436957892</v>
          </cell>
        </row>
        <row r="704">
          <cell r="EG704">
            <v>8.9003671286564696</v>
          </cell>
        </row>
        <row r="705">
          <cell r="EG705">
            <v>8.1398790864012369</v>
          </cell>
        </row>
        <row r="706">
          <cell r="EG706">
            <v>9.5662017188549129</v>
          </cell>
        </row>
        <row r="707">
          <cell r="EG707">
            <v>9.8285954563717031</v>
          </cell>
        </row>
        <row r="708">
          <cell r="EG708">
            <v>9.0115704435972788</v>
          </cell>
        </row>
        <row r="709">
          <cell r="EG709">
            <v>9.0326187608507205</v>
          </cell>
        </row>
        <row r="710">
          <cell r="EG710">
            <v>9.2187979981117376</v>
          </cell>
        </row>
        <row r="711">
          <cell r="EG711">
            <v>8.8976270912904418</v>
          </cell>
        </row>
        <row r="712">
          <cell r="EG712">
            <v>8.3283796034387372</v>
          </cell>
        </row>
        <row r="713">
          <cell r="EG713">
            <v>9.9838517189914722</v>
          </cell>
        </row>
        <row r="714">
          <cell r="EG714">
            <v>10.563136835879313</v>
          </cell>
        </row>
        <row r="715">
          <cell r="EG715">
            <v>9.3306166672944375</v>
          </cell>
        </row>
        <row r="716">
          <cell r="EG716">
            <v>9.3762118502826723</v>
          </cell>
        </row>
        <row r="717">
          <cell r="EG717">
            <v>10.180326625415148</v>
          </cell>
        </row>
        <row r="718">
          <cell r="EG718">
            <v>10.622452353098465</v>
          </cell>
        </row>
        <row r="719">
          <cell r="EG719">
            <v>9.1055101847699742</v>
          </cell>
        </row>
        <row r="720">
          <cell r="EG720">
            <v>9.0927206446840998</v>
          </cell>
        </row>
        <row r="721">
          <cell r="EG721">
            <v>9.8431081419996076</v>
          </cell>
        </row>
        <row r="722">
          <cell r="EG722">
            <v>9.7921114090871679</v>
          </cell>
        </row>
        <row r="723">
          <cell r="EG723">
            <v>9.5718252490408293</v>
          </cell>
        </row>
        <row r="724">
          <cell r="EG724">
            <v>9.246744709723842</v>
          </cell>
        </row>
        <row r="725">
          <cell r="EG725">
            <v>9.5878231713189557</v>
          </cell>
        </row>
        <row r="726">
          <cell r="EG726">
            <v>9.6630409748939741</v>
          </cell>
        </row>
        <row r="727">
          <cell r="EG727">
            <v>9.5941714791149124</v>
          </cell>
        </row>
        <row r="728">
          <cell r="EG728">
            <v>9.1934029030624167</v>
          </cell>
        </row>
        <row r="729">
          <cell r="EG729">
            <v>9.7352794480604565</v>
          </cell>
        </row>
        <row r="730">
          <cell r="EG730">
            <v>9.5614591712419159</v>
          </cell>
        </row>
        <row r="731">
          <cell r="EG731">
            <v>9.746712022516661</v>
          </cell>
        </row>
        <row r="732">
          <cell r="EG732">
            <v>9.8280150642239761</v>
          </cell>
        </row>
        <row r="733">
          <cell r="EG733">
            <v>8.7209857441537384</v>
          </cell>
        </row>
        <row r="734">
          <cell r="EG734">
            <v>9.5435714239623657</v>
          </cell>
        </row>
        <row r="735">
          <cell r="EG735">
            <v>9.6062738531699878</v>
          </cell>
        </row>
        <row r="736">
          <cell r="EG736">
            <v>9.8293037728310253</v>
          </cell>
        </row>
        <row r="737">
          <cell r="EG737">
            <v>8.7242758696007883</v>
          </cell>
        </row>
        <row r="738">
          <cell r="EG738">
            <v>9.7070589406275971</v>
          </cell>
        </row>
        <row r="739">
          <cell r="EG739">
            <v>10.135832049712681</v>
          </cell>
        </row>
        <row r="740">
          <cell r="EG740">
            <v>8.8488047010518045</v>
          </cell>
        </row>
        <row r="741">
          <cell r="EG741">
            <v>9.585460729508501</v>
          </cell>
        </row>
        <row r="742">
          <cell r="EG742">
            <v>9.2022157758011307</v>
          </cell>
        </row>
        <row r="743">
          <cell r="EG743">
            <v>9.699404081815338</v>
          </cell>
        </row>
        <row r="744">
          <cell r="EG744">
            <v>9.9442852206887533</v>
          </cell>
        </row>
        <row r="745">
          <cell r="EG745">
            <v>9.3651134316275773</v>
          </cell>
        </row>
        <row r="746">
          <cell r="EG746">
            <v>9.4681995860726129</v>
          </cell>
        </row>
        <row r="747">
          <cell r="EG747">
            <v>8.9642596301968496</v>
          </cell>
        </row>
        <row r="748">
          <cell r="EG748">
            <v>9.8969669019331548</v>
          </cell>
        </row>
        <row r="749">
          <cell r="EG749">
            <v>9.5043349118024647</v>
          </cell>
        </row>
        <row r="750">
          <cell r="EG750">
            <v>9.3607826898732807</v>
          </cell>
        </row>
        <row r="751">
          <cell r="EG751">
            <v>9.3244882333076564</v>
          </cell>
        </row>
        <row r="752">
          <cell r="EG752">
            <v>9.5422027824340283</v>
          </cell>
        </row>
        <row r="753">
          <cell r="EG753">
            <v>9.0277572046905536</v>
          </cell>
        </row>
        <row r="754">
          <cell r="EG754">
            <v>9.6047658847038875</v>
          </cell>
        </row>
        <row r="755">
          <cell r="EG755">
            <v>8.989004615698537</v>
          </cell>
        </row>
        <row r="756">
          <cell r="EG756">
            <v>9.8501559224220916</v>
          </cell>
        </row>
        <row r="757">
          <cell r="EG757">
            <v>9.6231458746379399</v>
          </cell>
        </row>
        <row r="758">
          <cell r="EG758">
            <v>9.4353665066126613</v>
          </cell>
        </row>
        <row r="759">
          <cell r="EG759">
            <v>8.5477747053878232</v>
          </cell>
        </row>
        <row r="760">
          <cell r="EG760">
            <v>9.6769678142947591</v>
          </cell>
        </row>
        <row r="761">
          <cell r="EG761">
            <v>8.989004615698537</v>
          </cell>
        </row>
        <row r="762">
          <cell r="EG762">
            <v>9.1176026916900845</v>
          </cell>
        </row>
        <row r="763">
          <cell r="EG763">
            <v>10.258469661550693</v>
          </cell>
        </row>
        <row r="764">
          <cell r="EG764">
            <v>9.2506639194632427</v>
          </cell>
        </row>
        <row r="765">
          <cell r="EG765">
            <v>9.0762762554042169</v>
          </cell>
        </row>
        <row r="766">
          <cell r="EG766">
            <v>9.9062272630523598</v>
          </cell>
        </row>
        <row r="767">
          <cell r="EG767">
            <v>10.147985320683805</v>
          </cell>
        </row>
        <row r="768">
          <cell r="EG768">
            <v>9.4910814134231867</v>
          </cell>
        </row>
        <row r="769">
          <cell r="EG769">
            <v>9.4913616938342731</v>
          </cell>
        </row>
        <row r="770">
          <cell r="EG770">
            <v>9.4413808849165122</v>
          </cell>
        </row>
        <row r="771">
          <cell r="EG771">
            <v>8.7067177823367583</v>
          </cell>
        </row>
        <row r="772">
          <cell r="EG772">
            <v>9.4260230156898768</v>
          </cell>
        </row>
        <row r="773">
          <cell r="EG773">
            <v>10.193820026016112</v>
          </cell>
        </row>
        <row r="774">
          <cell r="EG774">
            <v>9.6552345070342938</v>
          </cell>
        </row>
        <row r="775">
          <cell r="EG775">
            <v>9.2929202996000058</v>
          </cell>
        </row>
        <row r="776">
          <cell r="EG776">
            <v>10.021520064114032</v>
          </cell>
        </row>
        <row r="777">
          <cell r="EG777">
            <v>9.7496590320949004</v>
          </cell>
        </row>
        <row r="778">
          <cell r="EG778">
            <v>9.6677330525332668</v>
          </cell>
        </row>
        <row r="779">
          <cell r="EG779">
            <v>9.0817072700973487</v>
          </cell>
        </row>
        <row r="780">
          <cell r="EG780">
            <v>9.4328090050331674</v>
          </cell>
        </row>
        <row r="781">
          <cell r="EG781">
            <v>10.308671106715419</v>
          </cell>
        </row>
        <row r="782">
          <cell r="EG782">
            <v>8.6766936096248664</v>
          </cell>
        </row>
        <row r="783">
          <cell r="EG783">
            <v>8.9628426812012432</v>
          </cell>
        </row>
        <row r="784">
          <cell r="EG784">
            <v>9.4608978427565482</v>
          </cell>
        </row>
        <row r="785">
          <cell r="EG785">
            <v>10.004020273253241</v>
          </cell>
        </row>
        <row r="786">
          <cell r="EG786">
            <v>9.6885977750811705</v>
          </cell>
        </row>
        <row r="787">
          <cell r="EG787">
            <v>9.0595634179012681</v>
          </cell>
        </row>
        <row r="788">
          <cell r="EG788">
            <v>9.4664227224337925</v>
          </cell>
        </row>
        <row r="789">
          <cell r="EG789">
            <v>9.8217754671834641</v>
          </cell>
        </row>
        <row r="790">
          <cell r="EG790">
            <v>9.4087486061842434</v>
          </cell>
        </row>
        <row r="791">
          <cell r="EG791">
            <v>9.1720188094245572</v>
          </cell>
        </row>
        <row r="792">
          <cell r="EG792">
            <v>9.6267508536833937</v>
          </cell>
        </row>
        <row r="793">
          <cell r="EG793">
            <v>9.0421815945157658</v>
          </cell>
        </row>
        <row r="794">
          <cell r="EG794">
            <v>9.1105897102992497</v>
          </cell>
        </row>
        <row r="795">
          <cell r="EG795">
            <v>10.066996420449694</v>
          </cell>
        </row>
        <row r="796">
          <cell r="EG796">
            <v>10.124699808932117</v>
          </cell>
        </row>
        <row r="797">
          <cell r="EG797">
            <v>9.383815365980432</v>
          </cell>
        </row>
        <row r="798">
          <cell r="EG798">
            <v>9.2782962080912732</v>
          </cell>
        </row>
        <row r="799">
          <cell r="EG799">
            <v>9.286456469746982</v>
          </cell>
        </row>
        <row r="800">
          <cell r="EG800">
            <v>9.0788191830988492</v>
          </cell>
        </row>
        <row r="801">
          <cell r="EG801">
            <v>9.6553305580093411</v>
          </cell>
        </row>
        <row r="802">
          <cell r="EG802">
            <v>9.4693801358499243</v>
          </cell>
        </row>
        <row r="803">
          <cell r="EG803">
            <v>8.6148972160331354</v>
          </cell>
        </row>
        <row r="804">
          <cell r="EG804">
            <v>8.7965743332104296</v>
          </cell>
        </row>
        <row r="805">
          <cell r="EG805">
            <v>9.9439888750737726</v>
          </cell>
        </row>
        <row r="806">
          <cell r="EG806">
            <v>9.6637951222194083</v>
          </cell>
        </row>
        <row r="807">
          <cell r="EG807">
            <v>9.5950550897593043</v>
          </cell>
        </row>
        <row r="808">
          <cell r="EG808">
            <v>9.1414497734004669</v>
          </cell>
        </row>
        <row r="809">
          <cell r="EG809">
            <v>9.1132746924643513</v>
          </cell>
        </row>
        <row r="810">
          <cell r="EG810">
            <v>8.7041505168397997</v>
          </cell>
        </row>
        <row r="811">
          <cell r="EG811">
            <v>8.8007170782823856</v>
          </cell>
        </row>
        <row r="812">
          <cell r="EG812">
            <v>9.6386888866901241</v>
          </cell>
        </row>
        <row r="813">
          <cell r="EG813">
            <v>9.6335694425540925</v>
          </cell>
        </row>
        <row r="814">
          <cell r="EG814">
            <v>9.5848963441374497</v>
          </cell>
        </row>
        <row r="815">
          <cell r="EG815">
            <v>9.3068537486930083</v>
          </cell>
        </row>
        <row r="816">
          <cell r="EG816">
            <v>9.4039779636693552</v>
          </cell>
        </row>
        <row r="817">
          <cell r="EG817">
            <v>8.2479732663618073</v>
          </cell>
        </row>
        <row r="818">
          <cell r="EG818">
            <v>9.6817837664678805</v>
          </cell>
        </row>
        <row r="819">
          <cell r="EG819">
            <v>10.88067070875198</v>
          </cell>
        </row>
        <row r="820">
          <cell r="EG820">
            <v>8.668385916690001</v>
          </cell>
        </row>
        <row r="821">
          <cell r="EG821">
            <v>8.8014037100173557</v>
          </cell>
        </row>
        <row r="822">
          <cell r="EG822">
            <v>8.0644579892269181</v>
          </cell>
        </row>
        <row r="823">
          <cell r="EG823">
            <v>9.6520528482481058</v>
          </cell>
        </row>
        <row r="824">
          <cell r="EG824">
            <v>10.706128653676931</v>
          </cell>
        </row>
        <row r="825">
          <cell r="EG825">
            <v>9.2513948500401035</v>
          </cell>
        </row>
        <row r="826">
          <cell r="EG826">
            <v>9.4220971631317099</v>
          </cell>
        </row>
        <row r="827">
          <cell r="EG827">
            <v>9.0511525224473814</v>
          </cell>
        </row>
        <row r="828">
          <cell r="EG828">
            <v>9.834357112718406</v>
          </cell>
        </row>
        <row r="829">
          <cell r="EG829">
            <v>8.9590413923210939</v>
          </cell>
        </row>
        <row r="830">
          <cell r="EG830">
            <v>9.8659918001262756</v>
          </cell>
        </row>
        <row r="831">
          <cell r="EG831">
            <v>9.3051363189436387</v>
          </cell>
        </row>
        <row r="832">
          <cell r="EG832">
            <v>8.9912260756924951</v>
          </cell>
        </row>
        <row r="833">
          <cell r="EG833">
            <v>9.219060332448862</v>
          </cell>
        </row>
        <row r="834">
          <cell r="EG834">
            <v>8.9148718175400496</v>
          </cell>
        </row>
        <row r="835">
          <cell r="EG835">
            <v>9.8313577854420675</v>
          </cell>
        </row>
        <row r="836">
          <cell r="EG836">
            <v>9.3645509953539712</v>
          </cell>
        </row>
        <row r="837">
          <cell r="EG837">
            <v>9.5770319856260322</v>
          </cell>
        </row>
        <row r="838">
          <cell r="EG838">
            <v>9.0515383905153275</v>
          </cell>
        </row>
        <row r="839">
          <cell r="EG839">
            <v>8.5440680443502757</v>
          </cell>
        </row>
        <row r="840">
          <cell r="EG840">
            <v>9.8539414458804906</v>
          </cell>
        </row>
        <row r="841">
          <cell r="EG841">
            <v>10.144698718643125</v>
          </cell>
        </row>
        <row r="842">
          <cell r="EG842">
            <v>9.8033888249836139</v>
          </cell>
        </row>
        <row r="843">
          <cell r="EG843">
            <v>10.126877868835267</v>
          </cell>
        </row>
        <row r="844">
          <cell r="EG844">
            <v>9.1411360901207388</v>
          </cell>
        </row>
        <row r="845">
          <cell r="EG845">
            <v>9.4490153163477864</v>
          </cell>
        </row>
        <row r="846">
          <cell r="EG846">
            <v>10.163012209774829</v>
          </cell>
        </row>
        <row r="847">
          <cell r="EG847">
            <v>9.2437819160937948</v>
          </cell>
        </row>
        <row r="848">
          <cell r="EG848">
            <v>8.9106244048892016</v>
          </cell>
        </row>
        <row r="849">
          <cell r="EG849">
            <v>9.151063253353751</v>
          </cell>
        </row>
        <row r="850">
          <cell r="EG850">
            <v>8.2095150145426317</v>
          </cell>
        </row>
        <row r="851">
          <cell r="EG851">
            <v>11.901634292161853</v>
          </cell>
        </row>
        <row r="852">
          <cell r="EG852">
            <v>9.357934847000454</v>
          </cell>
        </row>
        <row r="853">
          <cell r="EG853">
            <v>9.6690378008851567</v>
          </cell>
        </row>
        <row r="854">
          <cell r="EG854">
            <v>9.0354297381845488</v>
          </cell>
        </row>
        <row r="855">
          <cell r="EG855">
            <v>10.110050716147654</v>
          </cell>
        </row>
        <row r="856">
          <cell r="EG856">
            <v>9.0652061280543119</v>
          </cell>
        </row>
        <row r="857">
          <cell r="EG857">
            <v>9.8298181874388781</v>
          </cell>
        </row>
        <row r="858">
          <cell r="EG858">
            <v>9.6220066730068048</v>
          </cell>
        </row>
        <row r="859">
          <cell r="EG859">
            <v>9.0762762554042169</v>
          </cell>
        </row>
        <row r="860">
          <cell r="EG860">
            <v>9.1129399760840801</v>
          </cell>
        </row>
        <row r="861">
          <cell r="EG861">
            <v>8.7986506454452691</v>
          </cell>
        </row>
        <row r="862">
          <cell r="EG862">
            <v>10.019365574572488</v>
          </cell>
        </row>
        <row r="863">
          <cell r="EG863">
            <v>9.670060217473134</v>
          </cell>
        </row>
        <row r="864">
          <cell r="EG864">
            <v>9.3132342916947248</v>
          </cell>
        </row>
        <row r="865">
          <cell r="EG865">
            <v>9.570192561095725</v>
          </cell>
        </row>
        <row r="866">
          <cell r="EG866">
            <v>8.7993405494535821</v>
          </cell>
        </row>
        <row r="867">
          <cell r="EG867">
            <v>9.341236623238693</v>
          </cell>
        </row>
        <row r="868">
          <cell r="EG868">
            <v>9.5888317255942077</v>
          </cell>
        </row>
        <row r="869">
          <cell r="EG869">
            <v>9.6779717528107394</v>
          </cell>
        </row>
        <row r="870">
          <cell r="EG870">
            <v>8.3074960379132126</v>
          </cell>
        </row>
        <row r="871">
          <cell r="EG871">
            <v>8.8182258936139561</v>
          </cell>
        </row>
        <row r="872">
          <cell r="EG872">
            <v>9.2940250940953231</v>
          </cell>
        </row>
        <row r="873">
          <cell r="EG873">
            <v>10.79051738261732</v>
          </cell>
        </row>
        <row r="874">
          <cell r="EG874">
            <v>10.05522538385382</v>
          </cell>
        </row>
        <row r="875">
          <cell r="EG875">
            <v>9.2258259914618925</v>
          </cell>
        </row>
        <row r="876">
          <cell r="EG876">
            <v>10.071882007306126</v>
          </cell>
        </row>
        <row r="877">
          <cell r="EG877">
            <v>9.0043213737826431</v>
          </cell>
        </row>
        <row r="878">
          <cell r="EG878">
            <v>10.032256025890453</v>
          </cell>
        </row>
        <row r="879">
          <cell r="EG879">
            <v>8.8034571156484134</v>
          </cell>
        </row>
        <row r="880">
          <cell r="EG880">
            <v>8.9390197764486672</v>
          </cell>
        </row>
        <row r="881">
          <cell r="EG881">
            <v>10.173739713951887</v>
          </cell>
        </row>
        <row r="882">
          <cell r="EG882">
            <v>8.9090208542111569</v>
          </cell>
        </row>
        <row r="883">
          <cell r="EG883">
            <v>8.7701152947871019</v>
          </cell>
        </row>
        <row r="884">
          <cell r="EG884">
            <v>9.2437819160937948</v>
          </cell>
        </row>
        <row r="885">
          <cell r="EG885">
            <v>8.6803355134145637</v>
          </cell>
        </row>
        <row r="886">
          <cell r="EG886">
            <v>9.0813473078041334</v>
          </cell>
        </row>
        <row r="887">
          <cell r="EG887">
            <v>9.1734776434529941</v>
          </cell>
        </row>
        <row r="888">
          <cell r="EG888">
            <v>8.6020599913279625</v>
          </cell>
        </row>
        <row r="889">
          <cell r="EG889">
            <v>9.0445397603924107</v>
          </cell>
        </row>
        <row r="890">
          <cell r="EG890">
            <v>9.3923451553612036</v>
          </cell>
        </row>
        <row r="891">
          <cell r="EG891">
            <v>8.4345689040341991</v>
          </cell>
        </row>
        <row r="892">
          <cell r="EG892">
            <v>9.3664229572259732</v>
          </cell>
        </row>
        <row r="893">
          <cell r="EG893">
            <v>9.7031193462360772</v>
          </cell>
        </row>
        <row r="894">
          <cell r="EG894">
            <v>9.4527062265110295</v>
          </cell>
        </row>
        <row r="895">
          <cell r="EG895">
            <v>9.8806992892187022</v>
          </cell>
        </row>
        <row r="896">
          <cell r="EG896">
            <v>9.4658288153574368</v>
          </cell>
        </row>
        <row r="897">
          <cell r="EG897">
            <v>9.7343997425205675</v>
          </cell>
        </row>
        <row r="898">
          <cell r="EG898">
            <v>9.7690078709437742</v>
          </cell>
        </row>
        <row r="899">
          <cell r="EG899">
            <v>9.6770591773921613</v>
          </cell>
        </row>
        <row r="900">
          <cell r="EG900">
            <v>10.578650668774207</v>
          </cell>
        </row>
        <row r="901">
          <cell r="EG901">
            <v>8.8305886686851451</v>
          </cell>
        </row>
        <row r="902">
          <cell r="EG902">
            <v>9.3388547462523235</v>
          </cell>
        </row>
        <row r="903">
          <cell r="EG903">
            <v>9.4772659954248528</v>
          </cell>
        </row>
        <row r="904">
          <cell r="EG904">
            <v>9.2489536154957079</v>
          </cell>
        </row>
        <row r="905">
          <cell r="EG905">
            <v>8.5622928644564755</v>
          </cell>
        </row>
        <row r="906">
          <cell r="EG906">
            <v>9.1711411510283813</v>
          </cell>
        </row>
        <row r="907">
          <cell r="EG907">
            <v>9.1458177144918285</v>
          </cell>
        </row>
        <row r="908">
          <cell r="EG908">
            <v>9.6552345070342938</v>
          </cell>
        </row>
        <row r="909">
          <cell r="EG909">
            <v>8.77232170672292</v>
          </cell>
        </row>
        <row r="910">
          <cell r="EG910">
            <v>8.6618126855372619</v>
          </cell>
        </row>
        <row r="911">
          <cell r="EG911">
            <v>9.6986224297020982</v>
          </cell>
        </row>
        <row r="912">
          <cell r="EG912">
            <v>9.9592799501309397</v>
          </cell>
        </row>
        <row r="913">
          <cell r="EG913">
            <v>9.3382572302462563</v>
          </cell>
        </row>
        <row r="914">
          <cell r="EG914">
            <v>8.9334872878487062</v>
          </cell>
        </row>
        <row r="915">
          <cell r="EG915">
            <v>9.1092409685882032</v>
          </cell>
        </row>
        <row r="916">
          <cell r="EG916">
            <v>8.8350561017201166</v>
          </cell>
        </row>
        <row r="917">
          <cell r="EG917">
            <v>9.1892094895823053</v>
          </cell>
        </row>
        <row r="918">
          <cell r="EG918">
            <v>8.7092699609758313</v>
          </cell>
        </row>
        <row r="919">
          <cell r="EG919">
            <v>9.3986343245383921</v>
          </cell>
        </row>
        <row r="920">
          <cell r="EG920">
            <v>9.3182720802116261</v>
          </cell>
        </row>
        <row r="921">
          <cell r="EG921">
            <v>9.5335178620169678</v>
          </cell>
        </row>
        <row r="922">
          <cell r="EG922">
            <v>8.9921114877869499</v>
          </cell>
        </row>
        <row r="923">
          <cell r="EG923">
            <v>9.9649192942866431</v>
          </cell>
        </row>
        <row r="924">
          <cell r="EG924">
            <v>9.1482940974347464</v>
          </cell>
        </row>
        <row r="925">
          <cell r="EG925">
            <v>9.0955180423231514</v>
          </cell>
        </row>
        <row r="926">
          <cell r="EG926">
            <v>9.4886916983169414</v>
          </cell>
        </row>
        <row r="927">
          <cell r="EG927">
            <v>9.0670708560453708</v>
          </cell>
        </row>
        <row r="928">
          <cell r="EG928">
            <v>10.8679327645066</v>
          </cell>
        </row>
        <row r="929">
          <cell r="EG929">
            <v>9.8822398480188234</v>
          </cell>
        </row>
        <row r="930">
          <cell r="EG930">
            <v>8.1643528557844363</v>
          </cell>
        </row>
        <row r="931">
          <cell r="EG931">
            <v>10.272398632455404</v>
          </cell>
        </row>
        <row r="932">
          <cell r="EG932">
            <v>9.9777693180915747</v>
          </cell>
        </row>
        <row r="933">
          <cell r="EG933">
            <v>10.170467076385938</v>
          </cell>
        </row>
        <row r="934">
          <cell r="EG934">
            <v>9.7803893284709531</v>
          </cell>
        </row>
        <row r="935">
          <cell r="EG935">
            <v>8.6434526764861879</v>
          </cell>
        </row>
        <row r="936">
          <cell r="EG936">
            <v>10.078601800355392</v>
          </cell>
        </row>
        <row r="937">
          <cell r="EG937">
            <v>10.353762403067199</v>
          </cell>
        </row>
        <row r="938">
          <cell r="EG938">
            <v>9.6914351521440629</v>
          </cell>
        </row>
        <row r="939">
          <cell r="EG939">
            <v>9.6468936241677454</v>
          </cell>
        </row>
        <row r="940">
          <cell r="EG940">
            <v>10.514561033634031</v>
          </cell>
        </row>
        <row r="941">
          <cell r="EG941">
            <v>9.5890555310523435</v>
          </cell>
        </row>
        <row r="942">
          <cell r="EG942">
            <v>9.9543872501445154</v>
          </cell>
        </row>
        <row r="943">
          <cell r="EG943">
            <v>9.5336449787987636</v>
          </cell>
        </row>
        <row r="944">
          <cell r="EG944">
            <v>9.9187116653823217</v>
          </cell>
        </row>
        <row r="945">
          <cell r="EG945">
            <v>9.370883016777606</v>
          </cell>
        </row>
        <row r="946">
          <cell r="EG946">
            <v>8.8561244442423011</v>
          </cell>
        </row>
        <row r="947">
          <cell r="EG947">
            <v>9.9657189702442217</v>
          </cell>
        </row>
        <row r="948">
          <cell r="EG948">
            <v>9.3106933123433606</v>
          </cell>
        </row>
        <row r="949">
          <cell r="EG949">
            <v>10.345883212931712</v>
          </cell>
        </row>
        <row r="950">
          <cell r="EG950">
            <v>10.006637159068585</v>
          </cell>
        </row>
        <row r="951">
          <cell r="EG951">
            <v>9.3079237036118823</v>
          </cell>
        </row>
        <row r="952">
          <cell r="EG952">
            <v>10.030356805310841</v>
          </cell>
        </row>
        <row r="953">
          <cell r="EG953">
            <v>9.8663464227496025</v>
          </cell>
        </row>
        <row r="954">
          <cell r="EG954">
            <v>10.145848756590544</v>
          </cell>
        </row>
        <row r="955">
          <cell r="EG955">
            <v>10.272560963861556</v>
          </cell>
        </row>
        <row r="956">
          <cell r="EG956">
            <v>9.9288565335819108</v>
          </cell>
        </row>
        <row r="957">
          <cell r="EG957">
            <v>9.5054213275832815</v>
          </cell>
        </row>
        <row r="958">
          <cell r="EG958">
            <v>9.6801541417343735</v>
          </cell>
        </row>
        <row r="959">
          <cell r="EG959">
            <v>9.3651134316275773</v>
          </cell>
        </row>
        <row r="960">
          <cell r="EG960">
            <v>10.533632268794756</v>
          </cell>
        </row>
        <row r="961">
          <cell r="EG961">
            <v>9.2626883443016972</v>
          </cell>
        </row>
        <row r="962">
          <cell r="EG962">
            <v>8.9508514588885468</v>
          </cell>
        </row>
        <row r="963">
          <cell r="EG963">
            <v>9.4331295175804861</v>
          </cell>
        </row>
        <row r="964">
          <cell r="EG964">
            <v>9.7889457270237479</v>
          </cell>
        </row>
        <row r="965">
          <cell r="EG965">
            <v>8.9122220565324159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25"/>
  <sheetViews>
    <sheetView zoomScale="96" workbookViewId="0">
      <selection activeCell="C20" sqref="C20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5.723077803850174E-2</v>
      </c>
      <c r="D3" s="7">
        <v>7.545451819896698E-2</v>
      </c>
      <c r="E3" s="7">
        <v>5.3419496864080429E-2</v>
      </c>
      <c r="F3" s="7">
        <v>4.8055462539196007E-2</v>
      </c>
      <c r="G3" s="7">
        <v>5.6244600564241409E-2</v>
      </c>
      <c r="H3" s="7">
        <v>5.3408809006214142E-2</v>
      </c>
      <c r="I3" s="7">
        <v>5.4677728563547127E-2</v>
      </c>
      <c r="J3" s="7">
        <v>6.1407111585140228E-2</v>
      </c>
      <c r="K3" s="7">
        <v>6.1087191104888923E-2</v>
      </c>
      <c r="L3" s="7">
        <v>6.1945471912622452E-2</v>
      </c>
      <c r="M3" s="7">
        <v>6.4090974628925323E-2</v>
      </c>
      <c r="N3" s="7">
        <v>5.0166409462690353E-2</v>
      </c>
      <c r="O3" s="7">
        <v>5.0939202308654792E-2</v>
      </c>
      <c r="P3" s="7">
        <v>5.3945809602737427E-2</v>
      </c>
      <c r="Q3" s="7">
        <v>5.463515967130661E-2</v>
      </c>
      <c r="R3" s="7">
        <v>5.4097041487693787E-2</v>
      </c>
      <c r="S3" s="7">
        <v>5.4209418594837189E-2</v>
      </c>
      <c r="T3" s="7">
        <v>5.6115321815013892E-2</v>
      </c>
      <c r="U3" s="7">
        <v>5.4694335907697678E-2</v>
      </c>
      <c r="V3" s="7">
        <v>5.5520310997962952E-2</v>
      </c>
      <c r="W3" s="7">
        <v>5.7895615696907043E-2</v>
      </c>
      <c r="X3" s="7">
        <v>5.6128561496734619E-2</v>
      </c>
      <c r="Y3" s="7">
        <v>5.4498970508575439E-2</v>
      </c>
      <c r="Z3" s="7">
        <v>5.640922486782074E-2</v>
      </c>
      <c r="AA3" s="7">
        <v>5.4687082767486572E-2</v>
      </c>
      <c r="AB3" s="7">
        <v>5.4479975253343582E-2</v>
      </c>
      <c r="AC3" s="7">
        <v>5.7393115013837807E-2</v>
      </c>
      <c r="AD3" s="7">
        <v>5.7433716952800751E-2</v>
      </c>
      <c r="AE3" s="7">
        <v>4.2686142027378082E-2</v>
      </c>
      <c r="AF3" s="7">
        <v>5.614069476723671E-2</v>
      </c>
      <c r="AG3" s="7">
        <v>5.5614285171031952E-2</v>
      </c>
      <c r="AH3" s="7">
        <v>2.0760968327522281E-2</v>
      </c>
      <c r="AI3" s="7">
        <v>2.509923838078976E-2</v>
      </c>
      <c r="AJ3" s="7">
        <v>2.919439785182476E-2</v>
      </c>
      <c r="AK3" s="7">
        <v>3.0455950647592541E-2</v>
      </c>
      <c r="AL3" s="7">
        <v>3.425038605928421E-2</v>
      </c>
      <c r="AM3" s="7">
        <v>3.9540499448776252E-2</v>
      </c>
      <c r="AN3" s="7">
        <v>4.3252840638160713E-2</v>
      </c>
      <c r="AO3" s="7">
        <v>4.4728361070156097E-2</v>
      </c>
      <c r="AP3" s="7">
        <v>4.2892593890428543E-2</v>
      </c>
      <c r="AQ3" s="7">
        <v>4.543033242225647E-2</v>
      </c>
      <c r="AR3" s="7">
        <v>4.4913444668054581E-2</v>
      </c>
      <c r="AS3" s="7">
        <v>4.8380430787801743E-2</v>
      </c>
      <c r="AT3" s="7">
        <v>4.19180728495121E-2</v>
      </c>
      <c r="AU3" s="7">
        <v>4.1785150766372681E-2</v>
      </c>
      <c r="AV3" s="7">
        <v>4.3081630021333688E-2</v>
      </c>
      <c r="AW3" s="7">
        <v>4.6142738312482827E-2</v>
      </c>
      <c r="AX3" s="7">
        <v>4.5525301247835159E-2</v>
      </c>
      <c r="AY3" s="7">
        <v>4.7935985028743737E-2</v>
      </c>
      <c r="AZ3" s="7">
        <v>4.1659116744995117E-2</v>
      </c>
      <c r="BA3" s="7">
        <v>3.8711324334144592E-2</v>
      </c>
      <c r="BB3" s="7">
        <v>3.8947168737649918E-2</v>
      </c>
      <c r="BC3" s="7">
        <v>4.2427822947502143E-2</v>
      </c>
      <c r="BD3" s="7">
        <v>4.4051360338926322E-2</v>
      </c>
      <c r="BE3" s="7">
        <v>4.56375852227211E-2</v>
      </c>
      <c r="BF3" s="7">
        <v>4.8670642077922821E-2</v>
      </c>
      <c r="BG3" s="7">
        <v>4.9968019127845757E-2</v>
      </c>
      <c r="BH3" s="7">
        <v>5.1808405667543411E-2</v>
      </c>
      <c r="BI3" s="7">
        <v>5.0584189593791962E-2</v>
      </c>
      <c r="BJ3" s="7">
        <v>5.2059561014175422E-2</v>
      </c>
      <c r="BK3" s="7">
        <v>5.2372250705957413E-2</v>
      </c>
      <c r="BL3" s="7">
        <v>5.0854671746492393E-2</v>
      </c>
      <c r="BM3" s="7">
        <v>5.2194196730852127E-2</v>
      </c>
      <c r="BN3" s="7">
        <v>5.6162696331739433E-2</v>
      </c>
      <c r="BO3" s="7">
        <v>5.4506797343492508E-2</v>
      </c>
      <c r="BP3" s="7">
        <v>4.0165632963180542E-2</v>
      </c>
      <c r="BQ3" s="7">
        <v>5.2233844995498657E-2</v>
      </c>
      <c r="BR3" s="7">
        <v>3.6525636911392212E-2</v>
      </c>
      <c r="BS3" s="7">
        <v>5.2801784127950668E-2</v>
      </c>
      <c r="BT3" s="7">
        <v>4.8056013882160187E-2</v>
      </c>
      <c r="BU3" s="7">
        <v>-9.9144220352172852E-2</v>
      </c>
      <c r="BV3" s="7">
        <v>5.2249498665332787E-2</v>
      </c>
      <c r="BW3" s="7">
        <v>3.9474610239267349E-2</v>
      </c>
      <c r="BX3" s="7">
        <v>4.7410383820533752E-2</v>
      </c>
      <c r="BY3" s="7">
        <v>4.704391211271286E-2</v>
      </c>
      <c r="BZ3" s="7">
        <v>4.6114489436149597E-2</v>
      </c>
      <c r="CA3" s="7">
        <v>4.2742863297462463E-2</v>
      </c>
      <c r="CB3" s="7">
        <v>3.8489740341901779E-2</v>
      </c>
      <c r="CC3" s="7">
        <v>3.745705634355545E-2</v>
      </c>
      <c r="CD3" s="7">
        <v>3.9794288575649261E-2</v>
      </c>
      <c r="CE3" s="7">
        <v>3.74956876039505E-2</v>
      </c>
      <c r="CF3" s="7">
        <v>2.513935416936874E-2</v>
      </c>
      <c r="CG3" s="7">
        <v>3.5978682339191437E-2</v>
      </c>
      <c r="CH3" s="7">
        <v>3.177894651889801E-2</v>
      </c>
      <c r="CI3" s="7">
        <v>3.4042399376630783E-2</v>
      </c>
      <c r="CJ3" s="7">
        <v>3.8737695664167397E-2</v>
      </c>
      <c r="CK3" s="7">
        <v>3.9908383041620248E-2</v>
      </c>
      <c r="CL3" s="7">
        <v>3.7117619067430503E-2</v>
      </c>
      <c r="CM3" s="7">
        <v>1.7108667641878132E-2</v>
      </c>
      <c r="CN3" s="7">
        <v>4.0649183094501502E-2</v>
      </c>
      <c r="CO3" s="7">
        <v>2.8012029826641079E-2</v>
      </c>
      <c r="CP3" s="7">
        <v>6.033631507307291E-3</v>
      </c>
      <c r="CQ3" s="7">
        <v>3.3265896141529083E-2</v>
      </c>
      <c r="CR3" s="7">
        <v>3.3467646688222892E-2</v>
      </c>
      <c r="CS3" s="7">
        <v>2.295568585395813E-2</v>
      </c>
      <c r="CT3" s="7">
        <v>1.8620189279317859E-2</v>
      </c>
      <c r="CU3" s="7">
        <v>1.673657447099686E-2</v>
      </c>
      <c r="CV3" s="7">
        <v>8.8566392660140991E-3</v>
      </c>
      <c r="CW3" s="7">
        <v>1.8140114843845371E-2</v>
      </c>
      <c r="CX3" s="7">
        <v>2.3012114688754082E-2</v>
      </c>
      <c r="CY3" s="7">
        <v>2.5537870824337009E-2</v>
      </c>
      <c r="CZ3" s="7">
        <v>-1.074089854955673E-2</v>
      </c>
      <c r="DA3" s="7">
        <v>1.7809309065341949E-2</v>
      </c>
      <c r="DB3" s="7">
        <v>3.122199326753616E-2</v>
      </c>
      <c r="DC3" s="7">
        <v>9.9241826683282852E-3</v>
      </c>
      <c r="DD3" s="7">
        <v>3.3772524446249008E-2</v>
      </c>
      <c r="DE3" s="7">
        <v>2.3819208145141602E-2</v>
      </c>
      <c r="DF3" s="7">
        <v>2.5578401982784271E-2</v>
      </c>
      <c r="DG3" s="7">
        <v>1.3096854090690609E-2</v>
      </c>
      <c r="DH3" s="7">
        <v>2.5391291826963421E-2</v>
      </c>
      <c r="DI3" s="7">
        <v>2.3517698049545292E-2</v>
      </c>
      <c r="DJ3" s="7">
        <v>3.1970106065273281E-3</v>
      </c>
      <c r="DK3" s="7">
        <v>6.1636377358809114E-4</v>
      </c>
      <c r="DL3" s="7">
        <v>5.1844632253050804E-3</v>
      </c>
      <c r="DM3" s="7">
        <v>2.578671462833881E-2</v>
      </c>
      <c r="DN3" s="7">
        <v>9.7193727269768715E-3</v>
      </c>
      <c r="DO3" s="7">
        <v>2.619513776153326E-3</v>
      </c>
      <c r="DP3" s="7">
        <v>-4.3171625584363937E-3</v>
      </c>
      <c r="DQ3" s="7">
        <v>2.6535039767622951E-2</v>
      </c>
      <c r="DR3" s="7">
        <v>3.2421927899122238E-2</v>
      </c>
      <c r="DS3" s="7">
        <v>2.6365883648395538E-2</v>
      </c>
      <c r="DT3" s="7">
        <v>1.8022846430540081E-2</v>
      </c>
      <c r="DU3" s="7">
        <v>2.060607448220253E-2</v>
      </c>
      <c r="DV3" s="7">
        <v>2.3552460595965389E-2</v>
      </c>
      <c r="DW3" s="7">
        <v>2.1600417792797089E-2</v>
      </c>
      <c r="DX3" s="7">
        <v>1.422623824328184E-2</v>
      </c>
      <c r="DY3" s="7">
        <v>1.5565707348287111E-2</v>
      </c>
      <c r="DZ3" s="7">
        <v>1.340680755674839E-2</v>
      </c>
      <c r="EA3" s="7">
        <v>4.9481242895126343E-3</v>
      </c>
      <c r="EB3" s="7">
        <v>-1.2768213637173179E-2</v>
      </c>
      <c r="EC3" s="7">
        <v>3.6291155964136117E-2</v>
      </c>
      <c r="ED3" s="7">
        <v>2.4168495088815689E-2</v>
      </c>
      <c r="EE3" s="7">
        <v>2.1592959761619571E-2</v>
      </c>
      <c r="EF3" s="7">
        <v>2.6417184621095661E-2</v>
      </c>
      <c r="EG3" s="1"/>
    </row>
    <row r="4" spans="1:137" x14ac:dyDescent="0.3">
      <c r="B4" s="1" t="s">
        <v>138</v>
      </c>
      <c r="C4" s="7">
        <v>-8.5349202156066895E-2</v>
      </c>
      <c r="D4" s="7">
        <v>-5.1032017916440957E-2</v>
      </c>
      <c r="E4" s="7">
        <v>-2.325590513646603E-2</v>
      </c>
      <c r="F4" s="7">
        <v>-3.0555792152881619E-2</v>
      </c>
      <c r="G4" s="7">
        <v>-4.1839428246021271E-2</v>
      </c>
      <c r="H4" s="7">
        <v>-2.72638313472271E-2</v>
      </c>
      <c r="I4" s="7">
        <v>-4.8288483172655113E-2</v>
      </c>
      <c r="J4" s="7">
        <v>-3.7104912102222443E-2</v>
      </c>
      <c r="K4" s="7">
        <v>-3.6805965006351471E-2</v>
      </c>
      <c r="L4" s="7">
        <v>-3.4764140844345093E-2</v>
      </c>
      <c r="M4" s="7">
        <v>-3.7611726671457291E-2</v>
      </c>
      <c r="N4" s="7">
        <v>-2.7905764058232311E-2</v>
      </c>
      <c r="O4" s="7">
        <v>-3.4595735371112817E-2</v>
      </c>
      <c r="P4" s="7">
        <v>-3.8765542209148407E-2</v>
      </c>
      <c r="Q4" s="7">
        <v>-3.8997773081064217E-2</v>
      </c>
      <c r="R4" s="7">
        <v>-3.3448915928602219E-2</v>
      </c>
      <c r="S4" s="7">
        <v>-2.8517939150333401E-2</v>
      </c>
      <c r="T4" s="7">
        <v>-2.1613039076328281E-2</v>
      </c>
      <c r="U4" s="7">
        <v>-2.8846664354205132E-2</v>
      </c>
      <c r="V4" s="7">
        <v>-2.773757092654705E-2</v>
      </c>
      <c r="W4" s="7">
        <v>-2.7205523103475571E-2</v>
      </c>
      <c r="X4" s="7">
        <v>-2.877160906791687E-2</v>
      </c>
      <c r="Y4" s="7">
        <v>-2.6057502254843708E-2</v>
      </c>
      <c r="Z4" s="7">
        <v>-3.0218640342354771E-2</v>
      </c>
      <c r="AA4" s="7">
        <v>-2.9684331268072128E-2</v>
      </c>
      <c r="AB4" s="7">
        <v>-2.8848921880125999E-2</v>
      </c>
      <c r="AC4" s="7">
        <v>-2.9010215774178501E-2</v>
      </c>
      <c r="AD4" s="7">
        <v>-3.6633200943470001E-2</v>
      </c>
      <c r="AE4" s="7">
        <v>-2.956033498048782E-2</v>
      </c>
      <c r="AF4" s="7">
        <v>-2.8750766068696979E-2</v>
      </c>
      <c r="AG4" s="7">
        <v>-2.7635267004370689E-2</v>
      </c>
      <c r="AH4" s="7">
        <v>-1.887181214988232E-2</v>
      </c>
      <c r="AI4" s="7">
        <v>-3.7307038903236389E-2</v>
      </c>
      <c r="AJ4" s="7">
        <v>-3.6262791603803628E-2</v>
      </c>
      <c r="AK4" s="7">
        <v>-5.3278349339962013E-2</v>
      </c>
      <c r="AL4" s="7">
        <v>-2.6777856051921841E-2</v>
      </c>
      <c r="AM4" s="7">
        <v>-2.986512333154678E-2</v>
      </c>
      <c r="AN4" s="7">
        <v>-2.4307837709784511E-2</v>
      </c>
      <c r="AO4" s="7">
        <v>-3.5743501037359238E-2</v>
      </c>
      <c r="AP4" s="7">
        <v>-1.8087023869156841E-2</v>
      </c>
      <c r="AQ4" s="7">
        <v>-2.1320786327123638E-2</v>
      </c>
      <c r="AR4" s="7">
        <v>-1.7324458807706829E-2</v>
      </c>
      <c r="AS4" s="7">
        <v>-2.9941694810986519E-2</v>
      </c>
      <c r="AT4" s="7">
        <v>-2.865689247846603E-2</v>
      </c>
      <c r="AU4" s="7">
        <v>-3.0558155849576E-2</v>
      </c>
      <c r="AV4" s="7">
        <v>-3.1591556966304779E-2</v>
      </c>
      <c r="AW4" s="7">
        <v>-3.095143660902977E-2</v>
      </c>
      <c r="AX4" s="7">
        <v>-2.90380883961916E-2</v>
      </c>
      <c r="AY4" s="7">
        <v>-3.3474009484052658E-2</v>
      </c>
      <c r="AZ4" s="7">
        <v>-2.7750197798013691E-2</v>
      </c>
      <c r="BA4" s="7">
        <v>-3.0938461422920231E-2</v>
      </c>
      <c r="BB4" s="7">
        <v>-3.3736608922481537E-2</v>
      </c>
      <c r="BC4" s="7">
        <v>-3.0917055904865261E-2</v>
      </c>
      <c r="BD4" s="7">
        <v>-3.0206931754946709E-2</v>
      </c>
      <c r="BE4" s="7">
        <v>-3.2964803278446198E-2</v>
      </c>
      <c r="BF4" s="7">
        <v>-3.150445967912674E-2</v>
      </c>
      <c r="BG4" s="7">
        <v>-3.220750018954277E-2</v>
      </c>
      <c r="BH4" s="7">
        <v>-3.1379878520965583E-2</v>
      </c>
      <c r="BI4" s="7">
        <v>-3.1143169850111011E-2</v>
      </c>
      <c r="BJ4" s="7">
        <v>-3.1001970171928409E-2</v>
      </c>
      <c r="BK4" s="7">
        <v>-3.2686032354831702E-2</v>
      </c>
      <c r="BL4" s="7">
        <v>-3.190472349524498E-2</v>
      </c>
      <c r="BM4" s="7">
        <v>-3.1684242188930511E-2</v>
      </c>
      <c r="BN4" s="7">
        <v>-6.7815873771905899E-3</v>
      </c>
      <c r="BO4" s="7">
        <v>-2.2827595472335819E-2</v>
      </c>
      <c r="BP4" s="7">
        <v>-3.092782199382782E-2</v>
      </c>
      <c r="BQ4" s="7">
        <v>-3.3150501549243927E-2</v>
      </c>
      <c r="BR4" s="7">
        <v>-1.157776825129986E-2</v>
      </c>
      <c r="BS4" s="7">
        <v>-3.3143915235996253E-2</v>
      </c>
      <c r="BT4" s="7">
        <v>-2.5744425132870671E-2</v>
      </c>
      <c r="BU4" s="7">
        <v>-3.5931199789047241E-2</v>
      </c>
      <c r="BV4" s="7">
        <v>-3.3979345113039017E-2</v>
      </c>
      <c r="BW4" s="7">
        <v>-2.417265065014362E-2</v>
      </c>
      <c r="BX4" s="7">
        <v>-3.2862037420272827E-2</v>
      </c>
      <c r="BY4" s="7">
        <v>-3.1837780028581619E-2</v>
      </c>
      <c r="BZ4" s="7">
        <v>-3.5272162407636642E-2</v>
      </c>
      <c r="CA4" s="7">
        <v>-3.2795939594507217E-2</v>
      </c>
      <c r="CB4" s="7">
        <v>-3.1129473820328709E-2</v>
      </c>
      <c r="CC4" s="7">
        <v>-3.2271597534418113E-2</v>
      </c>
      <c r="CD4" s="7">
        <v>-2.4898068979382511E-2</v>
      </c>
      <c r="CE4" s="7">
        <v>-3.059927374124527E-2</v>
      </c>
      <c r="CF4" s="7">
        <v>-3.0437305569648739E-2</v>
      </c>
      <c r="CG4" s="7">
        <v>-2.970433235168457E-2</v>
      </c>
      <c r="CH4" s="7">
        <v>-3.1244968995451931E-2</v>
      </c>
      <c r="CI4" s="7">
        <v>-3.1521577388048172E-2</v>
      </c>
      <c r="CJ4" s="7">
        <v>-2.5299424305558201E-2</v>
      </c>
      <c r="CK4" s="7">
        <v>-3.160746768116951E-2</v>
      </c>
      <c r="CL4" s="7">
        <v>-3.110575117170811E-2</v>
      </c>
      <c r="CM4" s="7">
        <v>-3.1131431460380551E-2</v>
      </c>
      <c r="CN4" s="7">
        <v>-3.0764317139983181E-2</v>
      </c>
      <c r="CO4" s="7">
        <v>-3.050921484827995E-2</v>
      </c>
      <c r="CP4" s="7">
        <v>-3.0214523896574971E-2</v>
      </c>
      <c r="CQ4" s="7">
        <v>-3.058712929487228E-2</v>
      </c>
      <c r="CR4" s="7">
        <v>-3.0247388407588009E-2</v>
      </c>
      <c r="CS4" s="7">
        <v>-2.9346618801355358E-2</v>
      </c>
      <c r="CT4" s="7">
        <v>-2.199074067175388E-2</v>
      </c>
      <c r="CU4" s="7">
        <v>-2.667142823338509E-2</v>
      </c>
      <c r="CV4" s="7">
        <v>-2.8046216815710071E-2</v>
      </c>
      <c r="CW4" s="7">
        <v>-3.3426489681005478E-2</v>
      </c>
      <c r="CX4" s="7">
        <v>-2.6143187656998631E-2</v>
      </c>
      <c r="CY4" s="7">
        <v>-2.7580428868532181E-2</v>
      </c>
      <c r="CZ4" s="7">
        <v>-2.6062972843647E-2</v>
      </c>
      <c r="DA4" s="7">
        <v>-2.9111567884683609E-2</v>
      </c>
      <c r="DB4" s="7">
        <v>-3.3217709511518478E-2</v>
      </c>
      <c r="DC4" s="7">
        <v>-3.2092787325382233E-2</v>
      </c>
      <c r="DD4" s="7">
        <v>-3.1149569898843769E-2</v>
      </c>
      <c r="DE4" s="7">
        <v>-2.9670033603906631E-2</v>
      </c>
      <c r="DF4" s="7">
        <v>-2.939239144325256E-2</v>
      </c>
      <c r="DG4" s="7">
        <v>-2.7210658416152E-2</v>
      </c>
      <c r="DH4" s="7">
        <v>-3.0039669945836071E-2</v>
      </c>
      <c r="DI4" s="7">
        <v>-2.986136823892593E-2</v>
      </c>
      <c r="DJ4" s="7">
        <v>-2.990072593092918E-2</v>
      </c>
      <c r="DK4" s="7">
        <v>-2.9505167156457901E-2</v>
      </c>
      <c r="DL4" s="7">
        <v>-3.0222309753298759E-2</v>
      </c>
      <c r="DM4" s="7">
        <v>-2.8697766363620762E-2</v>
      </c>
      <c r="DN4" s="7">
        <v>-2.7542078867554661E-2</v>
      </c>
      <c r="DO4" s="7">
        <v>-2.8353909030556679E-2</v>
      </c>
      <c r="DP4" s="7">
        <v>-5.9928406029939651E-2</v>
      </c>
      <c r="DQ4" s="7">
        <v>-4.0838062763214111E-2</v>
      </c>
      <c r="DR4" s="7">
        <v>-1.4053512364625931E-2</v>
      </c>
      <c r="DS4" s="7">
        <v>-1.6584597527980801E-2</v>
      </c>
      <c r="DT4" s="7">
        <v>-1.606809347867966E-2</v>
      </c>
      <c r="DU4" s="7">
        <v>-1.636031270027161E-2</v>
      </c>
      <c r="DV4" s="7">
        <v>-2.7348607778549191E-2</v>
      </c>
      <c r="DW4" s="7">
        <v>-2.7253827080130581E-2</v>
      </c>
      <c r="DX4" s="7">
        <v>-2.753619663417339E-2</v>
      </c>
      <c r="DY4" s="7">
        <v>-2.748970873653889E-2</v>
      </c>
      <c r="DZ4" s="7">
        <v>-2.8728349134325981E-2</v>
      </c>
      <c r="EA4" s="7">
        <v>-2.8270183131098751E-2</v>
      </c>
      <c r="EB4" s="7">
        <v>-2.8071155771613121E-2</v>
      </c>
      <c r="EC4" s="7">
        <v>-2.895832248032093E-2</v>
      </c>
      <c r="ED4" s="7">
        <v>-2.9004596173763279E-2</v>
      </c>
      <c r="EE4" s="7">
        <v>-2.8373779729008671E-2</v>
      </c>
      <c r="EF4" s="7">
        <v>-2.2930523380637169E-2</v>
      </c>
      <c r="EG4" s="1"/>
    </row>
    <row r="5" spans="1:137" x14ac:dyDescent="0.3">
      <c r="B5" s="1" t="s">
        <v>139</v>
      </c>
      <c r="C5" s="7">
        <v>-7.343050092458725E-3</v>
      </c>
      <c r="D5" s="7">
        <v>1.6763182356953621E-2</v>
      </c>
      <c r="E5" s="7">
        <v>2.0497759804129601E-2</v>
      </c>
      <c r="F5" s="7">
        <v>2.461670525372028E-2</v>
      </c>
      <c r="G5" s="7">
        <v>2.9157292097806931E-2</v>
      </c>
      <c r="H5" s="7">
        <v>2.9083795845508579E-2</v>
      </c>
      <c r="I5" s="7">
        <v>2.9971791431307789E-2</v>
      </c>
      <c r="J5" s="7">
        <v>3.2223135232925422E-2</v>
      </c>
      <c r="K5" s="7">
        <v>3.7759751081466668E-2</v>
      </c>
      <c r="L5" s="7">
        <v>4.0105007588863373E-2</v>
      </c>
      <c r="M5" s="7">
        <v>4.3352469801902771E-2</v>
      </c>
      <c r="N5" s="7">
        <v>4.3786589056253433E-2</v>
      </c>
      <c r="O5" s="7">
        <v>4.7434929758310318E-2</v>
      </c>
      <c r="P5" s="7">
        <v>2.72324662655592E-2</v>
      </c>
      <c r="Q5" s="7">
        <v>5.5018827319145203E-2</v>
      </c>
      <c r="R5" s="7">
        <v>5.5731110274791718E-2</v>
      </c>
      <c r="S5" s="7">
        <v>5.257532000541687E-2</v>
      </c>
      <c r="T5" s="7">
        <v>5.488121509552002E-2</v>
      </c>
      <c r="U5" s="7">
        <v>4.9723580479621887E-2</v>
      </c>
      <c r="V5" s="7">
        <v>4.5027103275060647E-2</v>
      </c>
      <c r="W5" s="7">
        <v>4.2282227426767349E-2</v>
      </c>
      <c r="X5" s="7">
        <v>3.4414954483509057E-2</v>
      </c>
      <c r="Y5" s="7">
        <v>-3.3293303102254868E-2</v>
      </c>
      <c r="Z5" s="7">
        <v>-3.075113520026207E-2</v>
      </c>
      <c r="AA5" s="7">
        <v>1.084386929869652E-2</v>
      </c>
      <c r="AB5" s="7">
        <v>-3.5410936921834953E-2</v>
      </c>
      <c r="AC5" s="7">
        <v>-3.8289722055196762E-2</v>
      </c>
      <c r="AD5" s="7">
        <v>-4.1016027331352227E-2</v>
      </c>
      <c r="AE5" s="7">
        <v>-4.0779795497655869E-2</v>
      </c>
      <c r="AF5" s="7">
        <v>-4.09894660115242E-2</v>
      </c>
      <c r="AG5" s="7">
        <v>-4.0635053068399429E-2</v>
      </c>
      <c r="AH5" s="7">
        <v>-3.9753090590238571E-2</v>
      </c>
      <c r="AI5" s="7">
        <v>6.6369399428367615E-4</v>
      </c>
      <c r="AJ5" s="7">
        <v>1.486055552959442E-2</v>
      </c>
      <c r="AK5" s="7">
        <v>4.1335824877023697E-2</v>
      </c>
      <c r="AL5" s="7">
        <v>5.410480871796608E-2</v>
      </c>
      <c r="AM5" s="7">
        <v>5.4198719561100013E-2</v>
      </c>
      <c r="AN5" s="7">
        <v>1.8182262778282169E-2</v>
      </c>
      <c r="AO5" s="7">
        <v>4.4361382722854607E-2</v>
      </c>
      <c r="AP5" s="7">
        <v>5.0771180540323257E-2</v>
      </c>
      <c r="AQ5" s="7">
        <v>5.7908575981855392E-2</v>
      </c>
      <c r="AR5" s="7">
        <v>5.5189713835716248E-2</v>
      </c>
      <c r="AS5" s="7">
        <v>5.7133186608552933E-2</v>
      </c>
      <c r="AT5" s="7">
        <v>6.2072180211544037E-2</v>
      </c>
      <c r="AU5" s="7">
        <v>5.7220872491598129E-2</v>
      </c>
      <c r="AV5" s="7">
        <v>4.7043707221746438E-2</v>
      </c>
      <c r="AW5" s="7">
        <v>4.4183865189552307E-2</v>
      </c>
      <c r="AX5" s="7">
        <v>2.5188583880662922E-2</v>
      </c>
      <c r="AY5" s="7">
        <v>2.4216249585151668E-3</v>
      </c>
      <c r="AZ5" s="7">
        <v>3.2670930027961731E-2</v>
      </c>
      <c r="BA5" s="7">
        <v>5.2844863384962082E-2</v>
      </c>
      <c r="BB5" s="7">
        <v>3.031268902122974E-2</v>
      </c>
      <c r="BC5" s="7">
        <v>1.9591217860579491E-2</v>
      </c>
      <c r="BD5" s="7">
        <v>-8.6559727787971497E-4</v>
      </c>
      <c r="BE5" s="7">
        <v>2.272598072886467E-2</v>
      </c>
      <c r="BF5" s="7">
        <v>5.2427183836698532E-2</v>
      </c>
      <c r="BG5" s="7">
        <v>5.059361457824707E-2</v>
      </c>
      <c r="BH5" s="7">
        <v>6.6552937030792236E-2</v>
      </c>
      <c r="BI5" s="7">
        <v>8.5135355591773987E-2</v>
      </c>
      <c r="BJ5" s="7">
        <v>8.2012884318828583E-2</v>
      </c>
      <c r="BK5" s="7">
        <v>-3.775821253657341E-2</v>
      </c>
      <c r="BL5" s="7">
        <v>-3.9183177053928382E-2</v>
      </c>
      <c r="BM5" s="7">
        <v>-3.8690481334924698E-2</v>
      </c>
      <c r="BN5" s="7">
        <v>1.0886680334806441E-2</v>
      </c>
      <c r="BO5" s="7">
        <v>-1.5017952769994739E-2</v>
      </c>
      <c r="BP5" s="7">
        <v>2.401771396398544E-2</v>
      </c>
      <c r="BQ5" s="7">
        <v>-3.6908473819494247E-2</v>
      </c>
      <c r="BR5" s="7">
        <v>-2.858662977814674E-2</v>
      </c>
      <c r="BS5" s="7">
        <v>1.1689776554703711E-2</v>
      </c>
      <c r="BT5" s="7">
        <v>2.6358533650636669E-3</v>
      </c>
      <c r="BU5" s="7">
        <v>4.9531873315572739E-2</v>
      </c>
      <c r="BV5" s="7">
        <v>-3.5415012389421463E-2</v>
      </c>
      <c r="BW5" s="7">
        <v>-2.2897049784660339E-2</v>
      </c>
      <c r="BX5" s="7">
        <v>4.5871362090110779E-3</v>
      </c>
      <c r="BY5" s="7">
        <v>1.332772895693779E-2</v>
      </c>
      <c r="BZ5" s="7">
        <v>6.7076295614242554E-2</v>
      </c>
      <c r="CA5" s="7">
        <v>6.9593861699104309E-2</v>
      </c>
      <c r="CB5" s="7">
        <v>-6.1369147151708603E-2</v>
      </c>
      <c r="CC5" s="7">
        <v>1.245793327689171E-2</v>
      </c>
      <c r="CD5" s="7">
        <v>2.8949599713087078E-2</v>
      </c>
      <c r="CE5" s="7">
        <v>3.5223342478275299E-2</v>
      </c>
      <c r="CF5" s="7">
        <v>4.6291191130876541E-2</v>
      </c>
      <c r="CG5" s="7">
        <v>7.715393602848053E-2</v>
      </c>
      <c r="CH5" s="7">
        <v>7.1323618292808533E-2</v>
      </c>
      <c r="CI5" s="7">
        <v>8.9874282479286194E-2</v>
      </c>
      <c r="CJ5" s="7">
        <v>-1.3270102441310881E-2</v>
      </c>
      <c r="CK5" s="7">
        <v>1.114590093493462E-3</v>
      </c>
      <c r="CL5" s="7">
        <v>9.6226818859577179E-3</v>
      </c>
      <c r="CM5" s="7">
        <v>-2.5430763140320781E-2</v>
      </c>
      <c r="CN5" s="7">
        <v>-3.4368719905614853E-2</v>
      </c>
      <c r="CO5" s="7">
        <v>4.021121934056282E-2</v>
      </c>
      <c r="CP5" s="7">
        <v>9.2609323561191559E-2</v>
      </c>
      <c r="CQ5" s="7">
        <v>-4.2657427489757538E-2</v>
      </c>
      <c r="CR5" s="7">
        <v>-4.6656183898448937E-2</v>
      </c>
      <c r="CS5" s="7">
        <v>-5.4819997400045388E-2</v>
      </c>
      <c r="CT5" s="7">
        <v>1.566677913069725E-2</v>
      </c>
      <c r="CU5" s="7">
        <v>6.9270655512809753E-2</v>
      </c>
      <c r="CV5" s="7">
        <v>6.6144675016403198E-2</v>
      </c>
      <c r="CW5" s="7">
        <v>-2.5959612801671032E-2</v>
      </c>
      <c r="CX5" s="7">
        <v>7.3974847793579102E-2</v>
      </c>
      <c r="CY5" s="7">
        <v>7.5364649295806885E-2</v>
      </c>
      <c r="CZ5" s="7">
        <v>9.9710717797279358E-2</v>
      </c>
      <c r="DA5" s="7">
        <v>7.6109506189823151E-2</v>
      </c>
      <c r="DB5" s="7">
        <v>5.3099829703569412E-2</v>
      </c>
      <c r="DC5" s="7">
        <v>8.2278981804847717E-2</v>
      </c>
      <c r="DD5" s="7">
        <v>8.7736129760742188E-2</v>
      </c>
      <c r="DE5" s="7">
        <v>8.94327312707901E-2</v>
      </c>
      <c r="DF5" s="7">
        <v>8.9542537927627563E-2</v>
      </c>
      <c r="DG5" s="7">
        <v>1.086308062076569E-2</v>
      </c>
      <c r="DH5" s="7">
        <v>8.9483082294464111E-2</v>
      </c>
      <c r="DI5" s="7">
        <v>8.5889443755149841E-2</v>
      </c>
      <c r="DJ5" s="7">
        <v>7.5929015874862671E-2</v>
      </c>
      <c r="DK5" s="7">
        <v>7.9263374209403992E-2</v>
      </c>
      <c r="DL5" s="7">
        <v>6.4476601779460907E-2</v>
      </c>
      <c r="DM5" s="7">
        <v>6.995362788438797E-2</v>
      </c>
      <c r="DN5" s="7">
        <v>5.6044459342956543E-2</v>
      </c>
      <c r="DO5" s="7">
        <v>-1.648229360580444E-2</v>
      </c>
      <c r="DP5" s="7">
        <v>-3.432980552315712E-2</v>
      </c>
      <c r="DQ5" s="7">
        <v>-2.956487983465195E-2</v>
      </c>
      <c r="DR5" s="7">
        <v>-5.1183402538299561E-3</v>
      </c>
      <c r="DS5" s="7">
        <v>2.3898258805274959E-3</v>
      </c>
      <c r="DT5" s="7">
        <v>-2.5626864284276959E-2</v>
      </c>
      <c r="DU5" s="7">
        <v>-3.0835196375846859E-2</v>
      </c>
      <c r="DV5" s="7">
        <v>-3.123639710247517E-2</v>
      </c>
      <c r="DW5" s="7">
        <v>-6.7960456013679504E-2</v>
      </c>
      <c r="DX5" s="7">
        <v>-3.58620285987854E-2</v>
      </c>
      <c r="DY5" s="7">
        <v>-4.3715000152587891E-2</v>
      </c>
      <c r="DZ5" s="7">
        <v>4.6174705028533942E-2</v>
      </c>
      <c r="EA5" s="7">
        <v>-1.536323875188828E-2</v>
      </c>
      <c r="EB5" s="7">
        <v>-2.268550731241703E-2</v>
      </c>
      <c r="EC5" s="7">
        <v>-3.8448672741651542E-2</v>
      </c>
      <c r="ED5" s="7">
        <v>2.138193696737289E-3</v>
      </c>
      <c r="EE5" s="7">
        <v>2.5024030357599258E-2</v>
      </c>
      <c r="EF5" s="7">
        <v>2.1722722798585892E-2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1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1</v>
      </c>
      <c r="N6" s="7">
        <f t="array" ref="N6">MATCH(MAX(ABS(N3:N5)), ABS(N3:N5), 0)</f>
        <v>1</v>
      </c>
      <c r="O6" s="7">
        <f t="array" ref="O6">MATCH(MAX(ABS(O3:O5)), ABS(O3:O5), 0)</f>
        <v>1</v>
      </c>
      <c r="P6" s="7">
        <f t="array" ref="P6">MATCH(MAX(ABS(P3:P5)), ABS(P3:P5), 0)</f>
        <v>1</v>
      </c>
      <c r="Q6" s="7">
        <f t="array" ref="Q6">MATCH(MAX(ABS(Q3:Q5)), ABS(Q3:Q5), 0)</f>
        <v>3</v>
      </c>
      <c r="R6" s="7">
        <f t="array" ref="R6">MATCH(MAX(ABS(R3:R5)), ABS(R3:R5), 0)</f>
        <v>3</v>
      </c>
      <c r="S6" s="7">
        <f t="array" ref="S6">MATCH(MAX(ABS(S3:S5)), ABS(S3:S5), 0)</f>
        <v>1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1</v>
      </c>
      <c r="W6" s="7">
        <f t="array" ref="W6">MATCH(MAX(ABS(W3:W5)), ABS(W3:W5), 0)</f>
        <v>1</v>
      </c>
      <c r="X6" s="7">
        <f t="array" ref="X6">MATCH(MAX(ABS(X3:X5)), ABS(X3:X5), 0)</f>
        <v>1</v>
      </c>
      <c r="Y6" s="7">
        <f t="array" ref="Y6">MATCH(MAX(ABS(Y3:Y5)), ABS(Y3:Y5), 0)</f>
        <v>1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1</v>
      </c>
      <c r="AD6" s="7">
        <f t="array" ref="AD6">MATCH(MAX(ABS(AD3:AD5)), ABS(AD3:AD5), 0)</f>
        <v>1</v>
      </c>
      <c r="AE6" s="7">
        <f t="array" ref="AE6">MATCH(MAX(ABS(AE3:AE5)), ABS(AE3:AE5), 0)</f>
        <v>1</v>
      </c>
      <c r="AF6" s="7">
        <f t="array" ref="AF6">MATCH(MAX(ABS(AF3:AF5)), ABS(AF3:AF5), 0)</f>
        <v>1</v>
      </c>
      <c r="AG6" s="7">
        <f t="array" ref="AG6">MATCH(MAX(ABS(AG3:AG5)), ABS(AG3:AG5), 0)</f>
        <v>1</v>
      </c>
      <c r="AH6" s="7">
        <f t="array" ref="AH6">MATCH(MAX(ABS(AH3:AH5)), ABS(AH3:AH5), 0)</f>
        <v>3</v>
      </c>
      <c r="AI6" s="7">
        <f t="array" ref="AI6">MATCH(MAX(ABS(AI3:AI5)), ABS(AI3:AI5), 0)</f>
        <v>2</v>
      </c>
      <c r="AJ6" s="7">
        <f t="array" ref="AJ6">MATCH(MAX(ABS(AJ3:AJ5)), ABS(AJ3:AJ5), 0)</f>
        <v>2</v>
      </c>
      <c r="AK6" s="7">
        <f t="array" ref="AK6">MATCH(MAX(ABS(AK3:AK5)), ABS(AK3:AK5), 0)</f>
        <v>2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3</v>
      </c>
      <c r="AQ6" s="7">
        <f t="array" ref="AQ6">MATCH(MAX(ABS(AQ3:AQ5)), ABS(AQ3:AQ5), 0)</f>
        <v>3</v>
      </c>
      <c r="AR6" s="7">
        <f t="array" ref="AR6">MATCH(MAX(ABS(AR3:AR5)), ABS(AR3:AR5), 0)</f>
        <v>3</v>
      </c>
      <c r="AS6" s="7">
        <f t="array" ref="AS6">MATCH(MAX(ABS(AS3:AS5)), ABS(AS3:AS5), 0)</f>
        <v>3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3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3</v>
      </c>
      <c r="BB6" s="7">
        <f t="array" ref="BB6">MATCH(MAX(ABS(BB3:BB5)), ABS(BB3:BB5), 0)</f>
        <v>1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3</v>
      </c>
      <c r="BH6" s="7">
        <f t="array" ref="BH6">MATCH(MAX(ABS(BH3:BH5)), ABS(BH3:BH5), 0)</f>
        <v>3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1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3</v>
      </c>
      <c r="CA6" s="7">
        <f t="array" ref="CA6">MATCH(MAX(ABS(CA3:CA5)), ABS(CA3:CA5), 0)</f>
        <v>3</v>
      </c>
      <c r="CB6" s="7">
        <f t="array" ref="CB6">MATCH(MAX(ABS(CB3:CB5)), ABS(CB3:CB5), 0)</f>
        <v>3</v>
      </c>
      <c r="CC6" s="7">
        <f t="array" ref="CC6">MATCH(MAX(ABS(CC3:CC5)), ABS(CC3:CC5), 0)</f>
        <v>1</v>
      </c>
      <c r="CD6" s="7">
        <f t="array" ref="CD6">MATCH(MAX(ABS(CD3:CD5)), ABS(CD3:CD5), 0)</f>
        <v>1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2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3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3</v>
      </c>
      <c r="CT6" s="7">
        <f t="array" ref="CT6">MATCH(MAX(ABS(CT3:CT5)), ABS(CT3:CT5), 0)</f>
        <v>2</v>
      </c>
      <c r="CU6" s="7">
        <f t="array" ref="CU6">MATCH(MAX(ABS(CU3:CU5)), ABS(CU3:CU5), 0)</f>
        <v>3</v>
      </c>
      <c r="CV6" s="7">
        <f t="array" ref="CV6">MATCH(MAX(ABS(CV3:CV5)), ABS(CV3:CV5), 0)</f>
        <v>3</v>
      </c>
      <c r="CW6" s="7">
        <f t="array" ref="CW6">MATCH(MAX(ABS(CW3:CW5)), ABS(CW3:CW5), 0)</f>
        <v>2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3</v>
      </c>
      <c r="DB6" s="7">
        <f t="array" ref="DB6">MATCH(MAX(ABS(DB3:DB5)), ABS(DB3:DB5), 0)</f>
        <v>3</v>
      </c>
      <c r="DC6" s="7">
        <f t="array" ref="DC6">MATCH(MAX(ABS(DC3:DC5)), ABS(DC3:DC5), 0)</f>
        <v>3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2</v>
      </c>
      <c r="DH6" s="7">
        <f t="array" ref="DH6">MATCH(MAX(ABS(DH3:DH5)), ABS(DH3:DH5), 0)</f>
        <v>3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3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2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size</v>
      </c>
      <c r="D7" s="7" t="str">
        <f t="shared" si="0"/>
        <v>bm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bm</v>
      </c>
      <c r="K7" s="7" t="str">
        <f t="shared" si="0"/>
        <v>bm</v>
      </c>
      <c r="L7" s="7" t="str">
        <f t="shared" si="0"/>
        <v>bm</v>
      </c>
      <c r="M7" s="7" t="str">
        <f t="shared" si="0"/>
        <v>bm</v>
      </c>
      <c r="N7" s="7" t="str">
        <f t="shared" si="0"/>
        <v>bm</v>
      </c>
      <c r="O7" s="7" t="str">
        <f t="shared" si="0"/>
        <v>bm</v>
      </c>
      <c r="P7" s="7" t="str">
        <f t="shared" si="0"/>
        <v>bm</v>
      </c>
      <c r="Q7" s="7" t="str">
        <f t="shared" si="0"/>
        <v>mom</v>
      </c>
      <c r="R7" s="7" t="str">
        <f t="shared" si="0"/>
        <v>mom</v>
      </c>
      <c r="S7" s="7" t="str">
        <f t="shared" si="0"/>
        <v>bm</v>
      </c>
      <c r="T7" s="7" t="str">
        <f t="shared" si="0"/>
        <v>bm</v>
      </c>
      <c r="U7" s="7" t="str">
        <f t="shared" si="0"/>
        <v>bm</v>
      </c>
      <c r="V7" s="7" t="str">
        <f t="shared" si="0"/>
        <v>bm</v>
      </c>
      <c r="W7" s="7" t="str">
        <f t="shared" si="0"/>
        <v>bm</v>
      </c>
      <c r="X7" s="7" t="str">
        <f t="shared" si="0"/>
        <v>bm</v>
      </c>
      <c r="Y7" s="7" t="str">
        <f t="shared" si="0"/>
        <v>bm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bm</v>
      </c>
      <c r="AD7" s="7" t="str">
        <f t="shared" si="0"/>
        <v>bm</v>
      </c>
      <c r="AE7" s="7" t="str">
        <f t="shared" si="0"/>
        <v>bm</v>
      </c>
      <c r="AF7" s="7" t="str">
        <f t="shared" si="0"/>
        <v>bm</v>
      </c>
      <c r="AG7" s="7" t="str">
        <f t="shared" si="0"/>
        <v>bm</v>
      </c>
      <c r="AH7" s="7" t="str">
        <f t="shared" si="0"/>
        <v>mom</v>
      </c>
      <c r="AI7" s="7" t="str">
        <f t="shared" ref="AI7:BN7" si="1">IF(AI6=1,"bm",IF(AI6=2,"size",IF(AI6=3,"mom")))</f>
        <v>size</v>
      </c>
      <c r="AJ7" s="7" t="str">
        <f t="shared" si="1"/>
        <v>size</v>
      </c>
      <c r="AK7" s="7" t="str">
        <f t="shared" si="1"/>
        <v>size</v>
      </c>
      <c r="AL7" s="7" t="str">
        <f t="shared" si="1"/>
        <v>mom</v>
      </c>
      <c r="AM7" s="7" t="str">
        <f t="shared" si="1"/>
        <v>mom</v>
      </c>
      <c r="AN7" s="7" t="str">
        <f t="shared" si="1"/>
        <v>bm</v>
      </c>
      <c r="AO7" s="7" t="str">
        <f t="shared" si="1"/>
        <v>bm</v>
      </c>
      <c r="AP7" s="7" t="str">
        <f t="shared" si="1"/>
        <v>mom</v>
      </c>
      <c r="AQ7" s="7" t="str">
        <f t="shared" si="1"/>
        <v>mom</v>
      </c>
      <c r="AR7" s="7" t="str">
        <f t="shared" si="1"/>
        <v>mom</v>
      </c>
      <c r="AS7" s="7" t="str">
        <f t="shared" si="1"/>
        <v>mom</v>
      </c>
      <c r="AT7" s="7" t="str">
        <f t="shared" si="1"/>
        <v>mom</v>
      </c>
      <c r="AU7" s="7" t="str">
        <f t="shared" si="1"/>
        <v>mom</v>
      </c>
      <c r="AV7" s="7" t="str">
        <f t="shared" si="1"/>
        <v>mom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mom</v>
      </c>
      <c r="BB7" s="7" t="str">
        <f t="shared" si="1"/>
        <v>bm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mom</v>
      </c>
      <c r="BH7" s="7" t="str">
        <f t="shared" si="1"/>
        <v>mom</v>
      </c>
      <c r="BI7" s="7" t="str">
        <f t="shared" si="1"/>
        <v>mom</v>
      </c>
      <c r="BJ7" s="7" t="str">
        <f t="shared" si="1"/>
        <v>mom</v>
      </c>
      <c r="BK7" s="7" t="str">
        <f t="shared" si="1"/>
        <v>bm</v>
      </c>
      <c r="BL7" s="7" t="str">
        <f t="shared" si="1"/>
        <v>bm</v>
      </c>
      <c r="BM7" s="7" t="str">
        <f t="shared" si="1"/>
        <v>bm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mom</v>
      </c>
      <c r="CA7" s="7" t="str">
        <f t="shared" si="2"/>
        <v>mom</v>
      </c>
      <c r="CB7" s="7" t="str">
        <f t="shared" si="2"/>
        <v>mom</v>
      </c>
      <c r="CC7" s="7" t="str">
        <f t="shared" si="2"/>
        <v>bm</v>
      </c>
      <c r="CD7" s="7" t="str">
        <f t="shared" si="2"/>
        <v>bm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size</v>
      </c>
      <c r="CN7" s="7" t="str">
        <f t="shared" si="2"/>
        <v>bm</v>
      </c>
      <c r="CO7" s="7" t="str">
        <f t="shared" si="2"/>
        <v>mom</v>
      </c>
      <c r="CP7" s="7" t="str">
        <f t="shared" si="2"/>
        <v>mom</v>
      </c>
      <c r="CQ7" s="7" t="str">
        <f t="shared" si="2"/>
        <v>mom</v>
      </c>
      <c r="CR7" s="7" t="str">
        <f t="shared" si="2"/>
        <v>mom</v>
      </c>
      <c r="CS7" s="7" t="str">
        <f t="shared" si="2"/>
        <v>mom</v>
      </c>
      <c r="CT7" s="7" t="str">
        <f t="shared" si="2"/>
        <v>size</v>
      </c>
      <c r="CU7" s="7" t="str">
        <f t="shared" ref="CU7:DZ7" si="3">IF(CU6=1,"bm",IF(CU6=2,"size",IF(CU6=3,"mom")))</f>
        <v>mom</v>
      </c>
      <c r="CV7" s="7" t="str">
        <f t="shared" si="3"/>
        <v>mom</v>
      </c>
      <c r="CW7" s="7" t="str">
        <f t="shared" si="3"/>
        <v>size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mom</v>
      </c>
      <c r="DB7" s="7" t="str">
        <f t="shared" si="3"/>
        <v>mom</v>
      </c>
      <c r="DC7" s="7" t="str">
        <f t="shared" si="3"/>
        <v>mom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size</v>
      </c>
      <c r="DH7" s="7" t="str">
        <f t="shared" si="3"/>
        <v>mom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size</v>
      </c>
      <c r="DP7" s="7" t="str">
        <f t="shared" si="3"/>
        <v>size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mom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size</v>
      </c>
      <c r="EC7" s="7" t="str">
        <f t="shared" si="4"/>
        <v>mom</v>
      </c>
      <c r="ED7" s="7" t="str">
        <f t="shared" si="4"/>
        <v>size</v>
      </c>
      <c r="EE7" s="7" t="str">
        <f t="shared" si="4"/>
        <v>size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-8.5349202156066895E-2</v>
      </c>
      <c r="D8" s="7">
        <f t="shared" si="5"/>
        <v>7.545451819896698E-2</v>
      </c>
      <c r="E8" s="7">
        <f t="shared" si="5"/>
        <v>5.3419496864080429E-2</v>
      </c>
      <c r="F8" s="7">
        <f t="shared" si="5"/>
        <v>4.8055462539196007E-2</v>
      </c>
      <c r="G8" s="7">
        <f t="shared" si="5"/>
        <v>5.6244600564241409E-2</v>
      </c>
      <c r="H8" s="7">
        <f t="shared" si="5"/>
        <v>5.3408809006214142E-2</v>
      </c>
      <c r="I8" s="7">
        <f t="shared" si="5"/>
        <v>5.4677728563547127E-2</v>
      </c>
      <c r="J8" s="7">
        <f t="shared" si="5"/>
        <v>6.1407111585140228E-2</v>
      </c>
      <c r="K8" s="7">
        <f t="shared" si="5"/>
        <v>6.1087191104888923E-2</v>
      </c>
      <c r="L8" s="7">
        <f t="shared" si="5"/>
        <v>6.1945471912622452E-2</v>
      </c>
      <c r="M8" s="7">
        <f t="shared" si="5"/>
        <v>6.4090974628925323E-2</v>
      </c>
      <c r="N8" s="7">
        <f t="shared" si="5"/>
        <v>5.0166409462690353E-2</v>
      </c>
      <c r="O8" s="7">
        <f t="shared" si="5"/>
        <v>5.0939202308654792E-2</v>
      </c>
      <c r="P8" s="7">
        <f t="shared" si="5"/>
        <v>5.3945809602737427E-2</v>
      </c>
      <c r="Q8" s="7">
        <f t="shared" si="5"/>
        <v>5.5018827319145203E-2</v>
      </c>
      <c r="R8" s="7">
        <f t="shared" si="5"/>
        <v>5.5731110274791718E-2</v>
      </c>
      <c r="S8" s="7">
        <f t="shared" si="5"/>
        <v>5.4209418594837189E-2</v>
      </c>
      <c r="T8" s="7">
        <f t="shared" si="5"/>
        <v>5.6115321815013892E-2</v>
      </c>
      <c r="U8" s="7">
        <f t="shared" si="5"/>
        <v>5.4694335907697678E-2</v>
      </c>
      <c r="V8" s="7">
        <f t="shared" si="5"/>
        <v>5.5520310997962952E-2</v>
      </c>
      <c r="W8" s="7">
        <f t="shared" si="5"/>
        <v>5.7895615696907043E-2</v>
      </c>
      <c r="X8" s="7">
        <f t="shared" si="5"/>
        <v>5.6128561496734619E-2</v>
      </c>
      <c r="Y8" s="7">
        <f t="shared" si="5"/>
        <v>5.4498970508575439E-2</v>
      </c>
      <c r="Z8" s="7">
        <f t="shared" si="5"/>
        <v>5.640922486782074E-2</v>
      </c>
      <c r="AA8" s="7">
        <f t="shared" si="5"/>
        <v>5.4687082767486572E-2</v>
      </c>
      <c r="AB8" s="7">
        <f t="shared" si="5"/>
        <v>5.4479975253343582E-2</v>
      </c>
      <c r="AC8" s="7">
        <f t="shared" si="5"/>
        <v>5.7393115013837807E-2</v>
      </c>
      <c r="AD8" s="7">
        <f t="shared" si="5"/>
        <v>5.7433716952800751E-2</v>
      </c>
      <c r="AE8" s="7">
        <f t="shared" si="5"/>
        <v>4.2686142027378082E-2</v>
      </c>
      <c r="AF8" s="7">
        <f t="shared" si="5"/>
        <v>5.614069476723671E-2</v>
      </c>
      <c r="AG8" s="7">
        <f t="shared" si="5"/>
        <v>5.5614285171031952E-2</v>
      </c>
      <c r="AH8" s="7">
        <f t="shared" si="5"/>
        <v>-3.9753090590238571E-2</v>
      </c>
      <c r="AI8" s="7">
        <f t="shared" ref="AI8:BN8" si="6">IF(AI6=1,AI3,IF(AI6=2,AI4,IF(AI6=3,AI5)))</f>
        <v>-3.7307038903236389E-2</v>
      </c>
      <c r="AJ8" s="7">
        <f t="shared" si="6"/>
        <v>-3.6262791603803628E-2</v>
      </c>
      <c r="AK8" s="7">
        <f t="shared" si="6"/>
        <v>-5.3278349339962013E-2</v>
      </c>
      <c r="AL8" s="7">
        <f t="shared" si="6"/>
        <v>5.410480871796608E-2</v>
      </c>
      <c r="AM8" s="7">
        <f t="shared" si="6"/>
        <v>5.4198719561100013E-2</v>
      </c>
      <c r="AN8" s="7">
        <f t="shared" si="6"/>
        <v>4.3252840638160713E-2</v>
      </c>
      <c r="AO8" s="7">
        <f t="shared" si="6"/>
        <v>4.4728361070156097E-2</v>
      </c>
      <c r="AP8" s="7">
        <f t="shared" si="6"/>
        <v>5.0771180540323257E-2</v>
      </c>
      <c r="AQ8" s="7">
        <f t="shared" si="6"/>
        <v>5.7908575981855392E-2</v>
      </c>
      <c r="AR8" s="7">
        <f t="shared" si="6"/>
        <v>5.5189713835716248E-2</v>
      </c>
      <c r="AS8" s="7">
        <f t="shared" si="6"/>
        <v>5.7133186608552933E-2</v>
      </c>
      <c r="AT8" s="7">
        <f t="shared" si="6"/>
        <v>6.2072180211544037E-2</v>
      </c>
      <c r="AU8" s="7">
        <f t="shared" si="6"/>
        <v>5.7220872491598129E-2</v>
      </c>
      <c r="AV8" s="7">
        <f t="shared" si="6"/>
        <v>4.7043707221746438E-2</v>
      </c>
      <c r="AW8" s="7">
        <f t="shared" si="6"/>
        <v>4.6142738312482827E-2</v>
      </c>
      <c r="AX8" s="7">
        <f t="shared" si="6"/>
        <v>4.5525301247835159E-2</v>
      </c>
      <c r="AY8" s="7">
        <f t="shared" si="6"/>
        <v>4.7935985028743737E-2</v>
      </c>
      <c r="AZ8" s="7">
        <f t="shared" si="6"/>
        <v>4.1659116744995117E-2</v>
      </c>
      <c r="BA8" s="7">
        <f t="shared" si="6"/>
        <v>5.2844863384962082E-2</v>
      </c>
      <c r="BB8" s="7">
        <f t="shared" si="6"/>
        <v>3.8947168737649918E-2</v>
      </c>
      <c r="BC8" s="7">
        <f t="shared" si="6"/>
        <v>4.2427822947502143E-2</v>
      </c>
      <c r="BD8" s="7">
        <f t="shared" si="6"/>
        <v>4.4051360338926322E-2</v>
      </c>
      <c r="BE8" s="7">
        <f t="shared" si="6"/>
        <v>4.56375852227211E-2</v>
      </c>
      <c r="BF8" s="7">
        <f t="shared" si="6"/>
        <v>5.2427183836698532E-2</v>
      </c>
      <c r="BG8" s="7">
        <f t="shared" si="6"/>
        <v>5.059361457824707E-2</v>
      </c>
      <c r="BH8" s="7">
        <f t="shared" si="6"/>
        <v>6.6552937030792236E-2</v>
      </c>
      <c r="BI8" s="7">
        <f t="shared" si="6"/>
        <v>8.5135355591773987E-2</v>
      </c>
      <c r="BJ8" s="7">
        <f t="shared" si="6"/>
        <v>8.2012884318828583E-2</v>
      </c>
      <c r="BK8" s="7">
        <f t="shared" si="6"/>
        <v>5.2372250705957413E-2</v>
      </c>
      <c r="BL8" s="7">
        <f t="shared" si="6"/>
        <v>5.0854671746492393E-2</v>
      </c>
      <c r="BM8" s="7">
        <f t="shared" si="6"/>
        <v>5.2194196730852127E-2</v>
      </c>
      <c r="BN8" s="7">
        <f t="shared" si="6"/>
        <v>5.6162696331739433E-2</v>
      </c>
      <c r="BO8" s="7">
        <f t="shared" ref="BO8:CT8" si="7">IF(BO6=1,BO3,IF(BO6=2,BO4,IF(BO6=3,BO5)))</f>
        <v>5.4506797343492508E-2</v>
      </c>
      <c r="BP8" s="7">
        <f t="shared" si="7"/>
        <v>4.0165632963180542E-2</v>
      </c>
      <c r="BQ8" s="7">
        <f t="shared" si="7"/>
        <v>5.2233844995498657E-2</v>
      </c>
      <c r="BR8" s="7">
        <f t="shared" si="7"/>
        <v>3.6525636911392212E-2</v>
      </c>
      <c r="BS8" s="7">
        <f t="shared" si="7"/>
        <v>5.2801784127950668E-2</v>
      </c>
      <c r="BT8" s="7">
        <f t="shared" si="7"/>
        <v>4.8056013882160187E-2</v>
      </c>
      <c r="BU8" s="7">
        <f t="shared" si="7"/>
        <v>-9.9144220352172852E-2</v>
      </c>
      <c r="BV8" s="7">
        <f t="shared" si="7"/>
        <v>5.2249498665332787E-2</v>
      </c>
      <c r="BW8" s="7">
        <f t="shared" si="7"/>
        <v>3.9474610239267349E-2</v>
      </c>
      <c r="BX8" s="7">
        <f t="shared" si="7"/>
        <v>4.7410383820533752E-2</v>
      </c>
      <c r="BY8" s="7">
        <f t="shared" si="7"/>
        <v>4.704391211271286E-2</v>
      </c>
      <c r="BZ8" s="7">
        <f t="shared" si="7"/>
        <v>6.7076295614242554E-2</v>
      </c>
      <c r="CA8" s="7">
        <f t="shared" si="7"/>
        <v>6.9593861699104309E-2</v>
      </c>
      <c r="CB8" s="7">
        <f t="shared" si="7"/>
        <v>-6.1369147151708603E-2</v>
      </c>
      <c r="CC8" s="7">
        <f t="shared" si="7"/>
        <v>3.745705634355545E-2</v>
      </c>
      <c r="CD8" s="7">
        <f t="shared" si="7"/>
        <v>3.9794288575649261E-2</v>
      </c>
      <c r="CE8" s="7">
        <f t="shared" si="7"/>
        <v>3.74956876039505E-2</v>
      </c>
      <c r="CF8" s="7">
        <f t="shared" si="7"/>
        <v>4.6291191130876541E-2</v>
      </c>
      <c r="CG8" s="7">
        <f t="shared" si="7"/>
        <v>7.715393602848053E-2</v>
      </c>
      <c r="CH8" s="7">
        <f t="shared" si="7"/>
        <v>7.1323618292808533E-2</v>
      </c>
      <c r="CI8" s="7">
        <f t="shared" si="7"/>
        <v>8.9874282479286194E-2</v>
      </c>
      <c r="CJ8" s="7">
        <f t="shared" si="7"/>
        <v>3.8737695664167397E-2</v>
      </c>
      <c r="CK8" s="7">
        <f t="shared" si="7"/>
        <v>3.9908383041620248E-2</v>
      </c>
      <c r="CL8" s="7">
        <f t="shared" si="7"/>
        <v>3.7117619067430503E-2</v>
      </c>
      <c r="CM8" s="7">
        <f t="shared" si="7"/>
        <v>-3.1131431460380551E-2</v>
      </c>
      <c r="CN8" s="7">
        <f t="shared" si="7"/>
        <v>4.0649183094501502E-2</v>
      </c>
      <c r="CO8" s="7">
        <f t="shared" si="7"/>
        <v>4.021121934056282E-2</v>
      </c>
      <c r="CP8" s="7">
        <f t="shared" si="7"/>
        <v>9.2609323561191559E-2</v>
      </c>
      <c r="CQ8" s="7">
        <f t="shared" si="7"/>
        <v>-4.2657427489757538E-2</v>
      </c>
      <c r="CR8" s="7">
        <f t="shared" si="7"/>
        <v>-4.6656183898448937E-2</v>
      </c>
      <c r="CS8" s="7">
        <f t="shared" si="7"/>
        <v>-5.4819997400045388E-2</v>
      </c>
      <c r="CT8" s="7">
        <f t="shared" si="7"/>
        <v>-2.199074067175388E-2</v>
      </c>
      <c r="CU8" s="7">
        <f t="shared" ref="CU8:DZ8" si="8">IF(CU6=1,CU3,IF(CU6=2,CU4,IF(CU6=3,CU5)))</f>
        <v>6.9270655512809753E-2</v>
      </c>
      <c r="CV8" s="7">
        <f t="shared" si="8"/>
        <v>6.6144675016403198E-2</v>
      </c>
      <c r="CW8" s="7">
        <f t="shared" si="8"/>
        <v>-3.3426489681005478E-2</v>
      </c>
      <c r="CX8" s="7">
        <f t="shared" si="8"/>
        <v>7.3974847793579102E-2</v>
      </c>
      <c r="CY8" s="7">
        <f t="shared" si="8"/>
        <v>7.5364649295806885E-2</v>
      </c>
      <c r="CZ8" s="7">
        <f t="shared" si="8"/>
        <v>9.9710717797279358E-2</v>
      </c>
      <c r="DA8" s="7">
        <f t="shared" si="8"/>
        <v>7.6109506189823151E-2</v>
      </c>
      <c r="DB8" s="7">
        <f t="shared" si="8"/>
        <v>5.3099829703569412E-2</v>
      </c>
      <c r="DC8" s="7">
        <f t="shared" si="8"/>
        <v>8.2278981804847717E-2</v>
      </c>
      <c r="DD8" s="7">
        <f t="shared" si="8"/>
        <v>8.7736129760742188E-2</v>
      </c>
      <c r="DE8" s="7">
        <f t="shared" si="8"/>
        <v>8.94327312707901E-2</v>
      </c>
      <c r="DF8" s="7">
        <f t="shared" si="8"/>
        <v>8.9542537927627563E-2</v>
      </c>
      <c r="DG8" s="7">
        <f t="shared" si="8"/>
        <v>-2.7210658416152E-2</v>
      </c>
      <c r="DH8" s="7">
        <f t="shared" si="8"/>
        <v>8.9483082294464111E-2</v>
      </c>
      <c r="DI8" s="7">
        <f t="shared" si="8"/>
        <v>8.5889443755149841E-2</v>
      </c>
      <c r="DJ8" s="7">
        <f t="shared" si="8"/>
        <v>7.5929015874862671E-2</v>
      </c>
      <c r="DK8" s="7">
        <f t="shared" si="8"/>
        <v>7.9263374209403992E-2</v>
      </c>
      <c r="DL8" s="7">
        <f t="shared" si="8"/>
        <v>6.4476601779460907E-2</v>
      </c>
      <c r="DM8" s="7">
        <f t="shared" si="8"/>
        <v>6.995362788438797E-2</v>
      </c>
      <c r="DN8" s="7">
        <f t="shared" si="8"/>
        <v>5.6044459342956543E-2</v>
      </c>
      <c r="DO8" s="7">
        <f t="shared" si="8"/>
        <v>-2.8353909030556679E-2</v>
      </c>
      <c r="DP8" s="7">
        <f t="shared" si="8"/>
        <v>-5.9928406029939651E-2</v>
      </c>
      <c r="DQ8" s="7">
        <f t="shared" si="8"/>
        <v>-4.0838062763214111E-2</v>
      </c>
      <c r="DR8" s="7">
        <f t="shared" si="8"/>
        <v>3.2421927899122238E-2</v>
      </c>
      <c r="DS8" s="7">
        <f t="shared" si="8"/>
        <v>2.6365883648395538E-2</v>
      </c>
      <c r="DT8" s="7">
        <f t="shared" si="8"/>
        <v>-2.5626864284276959E-2</v>
      </c>
      <c r="DU8" s="7">
        <f t="shared" si="8"/>
        <v>-3.0835196375846859E-2</v>
      </c>
      <c r="DV8" s="7">
        <f t="shared" si="8"/>
        <v>-3.123639710247517E-2</v>
      </c>
      <c r="DW8" s="7">
        <f t="shared" si="8"/>
        <v>-6.7960456013679504E-2</v>
      </c>
      <c r="DX8" s="7">
        <f t="shared" si="8"/>
        <v>-3.58620285987854E-2</v>
      </c>
      <c r="DY8" s="7">
        <f t="shared" si="8"/>
        <v>-4.3715000152587891E-2</v>
      </c>
      <c r="DZ8" s="7">
        <f t="shared" si="8"/>
        <v>4.6174705028533942E-2</v>
      </c>
      <c r="EA8" s="7">
        <f t="shared" ref="EA8:EG8" si="9">IF(EA6=1,EA3,IF(EA6=2,EA4,IF(EA6=3,EA5)))</f>
        <v>-2.8270183131098751E-2</v>
      </c>
      <c r="EB8" s="7">
        <f t="shared" si="9"/>
        <v>-2.8071155771613121E-2</v>
      </c>
      <c r="EC8" s="7">
        <f t="shared" si="9"/>
        <v>-3.8448672741651542E-2</v>
      </c>
      <c r="ED8" s="7">
        <f t="shared" si="9"/>
        <v>-2.9004596173763279E-2</v>
      </c>
      <c r="EE8" s="7">
        <f t="shared" si="9"/>
        <v>-2.8373779729008671E-2</v>
      </c>
      <c r="EF8" s="7">
        <f t="shared" si="9"/>
        <v>2.6417184621095661E-2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8.4653346747999555E-2</v>
      </c>
      <c r="D12" s="7">
        <v>2.0821795271878302E-2</v>
      </c>
      <c r="E12" s="7">
        <v>-6.7540283583579167E-3</v>
      </c>
      <c r="F12" s="7">
        <v>-1.986882494790634E-2</v>
      </c>
      <c r="G12" s="7">
        <v>7.9043467459283603E-3</v>
      </c>
      <c r="H12" s="7">
        <v>9.3593837617556644E-3</v>
      </c>
      <c r="I12" s="7">
        <v>3.6303936849052011E-2</v>
      </c>
      <c r="J12" s="7">
        <v>4.3784578744871523E-2</v>
      </c>
      <c r="K12" s="7">
        <v>-1.0988403852822111E-2</v>
      </c>
      <c r="L12" s="7">
        <v>-2.2772307809632709E-3</v>
      </c>
      <c r="M12" s="7">
        <v>-1.555180420016113E-2</v>
      </c>
      <c r="N12" s="7">
        <v>5.2074107675359117E-2</v>
      </c>
      <c r="O12" s="7">
        <v>1.8629888645978979E-2</v>
      </c>
      <c r="P12" s="7">
        <v>-2.1420421204462348E-2</v>
      </c>
      <c r="Q12" s="7">
        <v>5.1156833739640466E-3</v>
      </c>
      <c r="R12" s="7">
        <v>1.315348866053859E-2</v>
      </c>
      <c r="S12" s="7">
        <v>-7.1053897094607049E-2</v>
      </c>
      <c r="T12" s="7">
        <v>-4.3243488819513169E-2</v>
      </c>
      <c r="U12" s="7">
        <v>-2.0367220553130991E-2</v>
      </c>
      <c r="V12" s="7">
        <v>4.5029990802848717E-2</v>
      </c>
      <c r="W12" s="7">
        <v>2.227844197331175E-2</v>
      </c>
      <c r="X12" s="7">
        <v>4.851927478031446E-2</v>
      </c>
      <c r="Y12" s="7">
        <v>-1.6788377251816099E-2</v>
      </c>
      <c r="Z12" s="7">
        <v>6.362368331557397E-2</v>
      </c>
      <c r="AA12" s="7">
        <v>-3.9403661401111782E-2</v>
      </c>
      <c r="AB12" s="7">
        <v>3.4689110551478157E-2</v>
      </c>
      <c r="AC12" s="7">
        <v>3.5114764063646421E-2</v>
      </c>
      <c r="AD12" s="7">
        <v>5.84710999923721E-3</v>
      </c>
      <c r="AE12" s="7">
        <v>-3.789762353223057E-2</v>
      </c>
      <c r="AF12" s="7">
        <v>2.0432151303864929E-2</v>
      </c>
      <c r="AG12" s="7">
        <v>2.998214493272441E-2</v>
      </c>
      <c r="AH12" s="7">
        <v>1.5713033769280859E-2</v>
      </c>
      <c r="AI12" s="7">
        <v>2.324645917886457E-2</v>
      </c>
      <c r="AJ12" s="7">
        <v>2.1062262693673572E-2</v>
      </c>
      <c r="AK12" s="7">
        <v>9.5035078540249979E-3</v>
      </c>
      <c r="AL12" s="7">
        <v>-4.7800489952077287E-2</v>
      </c>
      <c r="AM12" s="7">
        <v>1.670675200628732E-2</v>
      </c>
      <c r="AN12" s="7">
        <v>6.9233234313428524E-2</v>
      </c>
      <c r="AO12" s="7">
        <v>2.228793039673051E-3</v>
      </c>
      <c r="AP12" s="7">
        <v>6.3803694968983726E-3</v>
      </c>
      <c r="AQ12" s="7">
        <v>-1.6969305775294419E-3</v>
      </c>
      <c r="AR12" s="7">
        <v>2.2223025987592161E-2</v>
      </c>
      <c r="AS12" s="7">
        <v>1.9976272910371209E-2</v>
      </c>
      <c r="AT12" s="7">
        <v>7.2195382352435097E-2</v>
      </c>
      <c r="AU12" s="7">
        <v>3.713536440044597E-3</v>
      </c>
      <c r="AV12" s="7">
        <v>5.3715630656719707E-2</v>
      </c>
      <c r="AW12" s="7">
        <v>6.2147701801607523E-4</v>
      </c>
      <c r="AX12" s="7">
        <v>4.3598467253422833E-2</v>
      </c>
      <c r="AY12" s="7">
        <v>2.4955293067673249E-2</v>
      </c>
      <c r="AZ12" s="7">
        <v>-2.3000260716576439E-3</v>
      </c>
      <c r="BA12" s="7">
        <v>-2.6434329877061579E-2</v>
      </c>
      <c r="BB12" s="7">
        <v>1.527460525245942E-2</v>
      </c>
      <c r="BC12" s="7">
        <v>1.227278903847649E-2</v>
      </c>
      <c r="BD12" s="7">
        <v>1.3630556941652629E-2</v>
      </c>
      <c r="BE12" s="7">
        <v>1.860880983938528E-2</v>
      </c>
      <c r="BF12" s="7">
        <v>-6.7616949247695318E-2</v>
      </c>
      <c r="BG12" s="7">
        <v>-4.6757753881283733E-2</v>
      </c>
      <c r="BH12" s="7">
        <v>-3.5079589029917008E-2</v>
      </c>
      <c r="BI12" s="7">
        <v>-4.3756064379844611E-2</v>
      </c>
      <c r="BJ12" s="7">
        <v>-2.4663126175119381E-2</v>
      </c>
      <c r="BK12" s="7">
        <v>-2.1284664960133971E-2</v>
      </c>
      <c r="BL12" s="7">
        <v>2.4709245830148639E-2</v>
      </c>
      <c r="BM12" s="7">
        <v>-5.1690919562298789E-3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-8.7815171400964752E-3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3.237872593248467E-2</v>
      </c>
      <c r="CA12" s="7">
        <v>6.0368843449925408E-4</v>
      </c>
      <c r="CB12" s="7">
        <v>2.7173862793031672E-2</v>
      </c>
      <c r="CC12" s="7">
        <v>-1.677096439411024E-2</v>
      </c>
      <c r="CD12" s="7">
        <v>0.1109336335844525</v>
      </c>
      <c r="CE12" s="7">
        <v>1.161940844222922E-2</v>
      </c>
      <c r="CF12" s="7">
        <v>8.0212745139300254E-3</v>
      </c>
      <c r="CG12" s="7">
        <v>-4.9277959963080598E-2</v>
      </c>
      <c r="CH12" s="7">
        <v>-1.6463112378785821E-2</v>
      </c>
      <c r="CI12" s="7">
        <v>-3.5598030901105832E-2</v>
      </c>
      <c r="CJ12" s="7">
        <v>1.544518047868886E-2</v>
      </c>
      <c r="CK12" s="7">
        <v>1.2803144154834811E-2</v>
      </c>
      <c r="CL12" s="7">
        <v>0.1180156076696104</v>
      </c>
      <c r="CM12" s="7">
        <v>-7.1708388017212202E-2</v>
      </c>
      <c r="CN12" s="7">
        <v>-2.7083701214559368E-2</v>
      </c>
      <c r="CO12" s="7">
        <v>-2.4819785255212591E-2</v>
      </c>
      <c r="CP12" s="7">
        <v>-1.0050220356918669E-3</v>
      </c>
      <c r="CQ12" s="7">
        <v>6.2684347003574781E-2</v>
      </c>
      <c r="CR12" s="7">
        <v>5.7159986521513537E-2</v>
      </c>
      <c r="CS12" s="7">
        <v>-9.7857359485265666E-4</v>
      </c>
      <c r="CT12" s="7">
        <v>3.2114010608049227E-2</v>
      </c>
      <c r="CU12" s="7">
        <v>-7.4779529281356727E-2</v>
      </c>
      <c r="CV12" s="7">
        <v>6.5033306495688795E-2</v>
      </c>
      <c r="CW12" s="7">
        <v>2.975768942836746E-2</v>
      </c>
      <c r="CX12" s="7">
        <v>-3.0752638267462981E-2</v>
      </c>
      <c r="CY12" s="7">
        <v>1.6420596247805602E-2</v>
      </c>
      <c r="CZ12" s="7">
        <v>-1.2324262059916619E-2</v>
      </c>
      <c r="DA12" s="7">
        <v>1.6824332825243801E-2</v>
      </c>
      <c r="DB12" s="7">
        <v>3.5585282643903433E-2</v>
      </c>
      <c r="DC12" s="7">
        <v>-4.5013637925414574E-3</v>
      </c>
      <c r="DD12" s="7">
        <v>-6.9960545734343321E-2</v>
      </c>
      <c r="DE12" s="7">
        <v>-2.473764441509502E-2</v>
      </c>
      <c r="DF12" s="7">
        <v>1.1624319687869001E-2</v>
      </c>
      <c r="DG12" s="7">
        <v>-4.6409817779524638E-2</v>
      </c>
      <c r="DH12" s="7">
        <v>3.080315518685656E-2</v>
      </c>
      <c r="DI12" s="7">
        <v>2.9979254557499689E-2</v>
      </c>
      <c r="DJ12" s="7">
        <v>4.1378042935671558E-2</v>
      </c>
      <c r="DK12" s="7">
        <v>1.0711986285806619E-3</v>
      </c>
      <c r="DL12" s="7">
        <v>1.8669833333803058E-2</v>
      </c>
      <c r="DM12" s="7">
        <v>9.143493333529153E-3</v>
      </c>
      <c r="DN12" s="7">
        <v>-1.854144345861243E-2</v>
      </c>
      <c r="DO12" s="7">
        <v>3.055694210149083E-2</v>
      </c>
      <c r="DP12" s="7">
        <v>4.5953548014918022E-2</v>
      </c>
      <c r="DQ12" s="7">
        <v>-3.3862120353048523E-2</v>
      </c>
      <c r="DR12" s="7">
        <v>1.8778943279386909E-2</v>
      </c>
      <c r="DS12" s="7">
        <v>-3.5726155451697807E-2</v>
      </c>
      <c r="DT12" s="7">
        <v>-2.481384156258671E-2</v>
      </c>
      <c r="DU12" s="7">
        <v>-4.5787141974466997E-2</v>
      </c>
      <c r="DV12" s="7">
        <v>1.6751441513820589E-2</v>
      </c>
      <c r="DW12" s="7">
        <v>-2.0762117126153991E-3</v>
      </c>
      <c r="DX12" s="7">
        <v>-1.8099136778333389E-2</v>
      </c>
      <c r="DY12" s="7">
        <v>-6.2728222094769928E-2</v>
      </c>
      <c r="DZ12" s="7">
        <v>2.0038890123589111E-2</v>
      </c>
      <c r="EA12" s="7">
        <v>5.1097632537531287E-2</v>
      </c>
      <c r="EB12" s="7">
        <v>5.7859705603806079E-3</v>
      </c>
      <c r="EC12" s="7">
        <v>-1.48839181295192E-2</v>
      </c>
      <c r="ED12" s="7">
        <v>-6.9574815277242833E-3</v>
      </c>
      <c r="EE12" s="7">
        <v>-2.6506892161147658E-2</v>
      </c>
      <c r="EF12" s="8">
        <v>3.9233348038795662E-2</v>
      </c>
    </row>
    <row r="13" spans="1:137" x14ac:dyDescent="0.3">
      <c r="A13" s="1">
        <v>20</v>
      </c>
      <c r="B13" s="1">
        <v>48</v>
      </c>
      <c r="C13" s="7">
        <v>0.104112750252762</v>
      </c>
      <c r="D13" s="7">
        <v>2.987761060455878E-2</v>
      </c>
      <c r="E13" s="7">
        <v>-3.4496619491353048E-2</v>
      </c>
      <c r="F13" s="7">
        <v>-3.4922155882654501E-2</v>
      </c>
      <c r="G13" s="7">
        <v>-1.490797975730339E-2</v>
      </c>
      <c r="H13" s="7">
        <v>1.5930384569345112E-2</v>
      </c>
      <c r="I13" s="7">
        <v>3.2682862984722338E-2</v>
      </c>
      <c r="J13" s="7">
        <v>3.4549891969644697E-2</v>
      </c>
      <c r="K13" s="7">
        <v>-4.5330990242219003E-2</v>
      </c>
      <c r="L13" s="7">
        <v>-2.913566903744547E-2</v>
      </c>
      <c r="M13" s="7">
        <v>7.7086562624922028E-3</v>
      </c>
      <c r="N13" s="7">
        <v>4.3151952223766853E-2</v>
      </c>
      <c r="O13" s="7">
        <v>3.6273275719922483E-2</v>
      </c>
      <c r="P13" s="7">
        <v>-2.0856913061405559E-2</v>
      </c>
      <c r="Q13" s="7">
        <v>-1.7456384496362699E-2</v>
      </c>
      <c r="R13" s="7">
        <v>1.6510711082829949E-2</v>
      </c>
      <c r="S13" s="7">
        <v>-0.1229152980035506</v>
      </c>
      <c r="T13" s="7">
        <v>-5.2899802908693339E-2</v>
      </c>
      <c r="U13" s="7">
        <v>-5.4161075041694179E-2</v>
      </c>
      <c r="V13" s="7">
        <v>5.2779738900233658E-2</v>
      </c>
      <c r="W13" s="7">
        <v>3.1103087884369891E-2</v>
      </c>
      <c r="X13" s="7">
        <v>6.9750968769056565E-2</v>
      </c>
      <c r="Y13" s="7">
        <v>-2.6471883217342521E-2</v>
      </c>
      <c r="Z13" s="7">
        <v>7.842443480518356E-2</v>
      </c>
      <c r="AA13" s="7">
        <v>-3.2119510338471283E-2</v>
      </c>
      <c r="AB13" s="7">
        <v>4.6678220121377283E-2</v>
      </c>
      <c r="AC13" s="7">
        <v>2.187155616137754E-2</v>
      </c>
      <c r="AD13" s="7">
        <v>6.5790452025407779E-3</v>
      </c>
      <c r="AE13" s="7">
        <v>-4.2517211455791168E-2</v>
      </c>
      <c r="AF13" s="7">
        <v>3.1940463834301228E-2</v>
      </c>
      <c r="AG13" s="7">
        <v>3.1681783055002889E-2</v>
      </c>
      <c r="AH13" s="7">
        <v>2.4955206549866871E-2</v>
      </c>
      <c r="AI13" s="7">
        <v>1.9909910220413461E-2</v>
      </c>
      <c r="AJ13" s="7">
        <v>1.988632403117771E-2</v>
      </c>
      <c r="AK13" s="7">
        <v>3.3184447714405541E-3</v>
      </c>
      <c r="AL13" s="7">
        <v>-4.9258884794550067E-2</v>
      </c>
      <c r="AM13" s="7">
        <v>-1.4434106114089009E-2</v>
      </c>
      <c r="AN13" s="7">
        <v>0.10533023813603409</v>
      </c>
      <c r="AO13" s="7">
        <v>9.3111878994149404E-3</v>
      </c>
      <c r="AP13" s="7">
        <v>-2.1107071267262652E-3</v>
      </c>
      <c r="AQ13" s="7">
        <v>-2.3400741595164692E-3</v>
      </c>
      <c r="AR13" s="7">
        <v>2.0848043794723811E-2</v>
      </c>
      <c r="AS13" s="7">
        <v>2.340496354159733E-2</v>
      </c>
      <c r="AT13" s="7">
        <v>8.6422914727599456E-2</v>
      </c>
      <c r="AU13" s="7">
        <v>-1.5695418426472509E-2</v>
      </c>
      <c r="AV13" s="7">
        <v>7.9665975648470139E-2</v>
      </c>
      <c r="AW13" s="7">
        <v>4.0800135830634E-3</v>
      </c>
      <c r="AX13" s="7">
        <v>6.7153787783110333E-2</v>
      </c>
      <c r="AY13" s="7">
        <v>1.756434634862496E-2</v>
      </c>
      <c r="AZ13" s="7">
        <v>-8.1034674694993921E-3</v>
      </c>
      <c r="BA13" s="7">
        <v>-2.618827405064264E-2</v>
      </c>
      <c r="BB13" s="7">
        <v>4.2875374496810892E-2</v>
      </c>
      <c r="BC13" s="7">
        <v>1.128376711165765E-2</v>
      </c>
      <c r="BD13" s="7">
        <v>3.344428383681335E-3</v>
      </c>
      <c r="BE13" s="7">
        <v>2.7391806305641558E-2</v>
      </c>
      <c r="BF13" s="7">
        <v>-0.1216571432659557</v>
      </c>
      <c r="BG13" s="7">
        <v>-8.8397545856320814E-2</v>
      </c>
      <c r="BH13" s="7">
        <v>-4.1023656192191983E-2</v>
      </c>
      <c r="BI13" s="7">
        <v>-2.1601559102932929E-2</v>
      </c>
      <c r="BJ13" s="7">
        <v>-2.4266087613108871E-2</v>
      </c>
      <c r="BK13" s="7">
        <v>-1.8391024879749449E-2</v>
      </c>
      <c r="BL13" s="7">
        <v>3.1947860213175139E-2</v>
      </c>
      <c r="BM13" s="7">
        <v>1.6918615618881649E-2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-1.7706555036553769E-2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6.5976729925343203E-2</v>
      </c>
      <c r="CA13" s="7">
        <v>1.1020985390851621E-2</v>
      </c>
      <c r="CB13" s="7">
        <v>2.6017379522694919E-2</v>
      </c>
      <c r="CC13" s="7">
        <v>-1.2530912212633369E-2</v>
      </c>
      <c r="CD13" s="7">
        <v>0.1050858328923274</v>
      </c>
      <c r="CE13" s="7">
        <v>9.2209843254137634E-3</v>
      </c>
      <c r="CF13" s="7">
        <v>-1.2043667015059319E-2</v>
      </c>
      <c r="CG13" s="7">
        <v>-5.8014967807239318E-2</v>
      </c>
      <c r="CH13" s="7">
        <v>-4.0295060582103241E-3</v>
      </c>
      <c r="CI13" s="7">
        <v>-1.4533303233279799E-2</v>
      </c>
      <c r="CJ13" s="7">
        <v>-3.106087971951194E-3</v>
      </c>
      <c r="CK13" s="7">
        <v>3.2045269236463968E-2</v>
      </c>
      <c r="CL13" s="7">
        <v>8.1453366102180805E-2</v>
      </c>
      <c r="CM13" s="7">
        <v>-0.1014522187140186</v>
      </c>
      <c r="CN13" s="7">
        <v>-2.688756599885234E-2</v>
      </c>
      <c r="CO13" s="7">
        <v>-3.5334344080657359E-2</v>
      </c>
      <c r="CP13" s="7">
        <v>2.0576995740129469E-2</v>
      </c>
      <c r="CQ13" s="7">
        <v>7.1178864968403879E-2</v>
      </c>
      <c r="CR13" s="7">
        <v>0.11164488638047471</v>
      </c>
      <c r="CS13" s="7">
        <v>-9.5676536651352929E-3</v>
      </c>
      <c r="CT13" s="7">
        <v>4.3462267969052268E-2</v>
      </c>
      <c r="CU13" s="7">
        <v>-0.1070909617136373</v>
      </c>
      <c r="CV13" s="7">
        <v>7.7656051256972655E-2</v>
      </c>
      <c r="CW13" s="7">
        <v>1.0456962931318739E-2</v>
      </c>
      <c r="CX13" s="7">
        <v>-3.0582841479689871E-2</v>
      </c>
      <c r="CY13" s="7">
        <v>4.1201751884096749E-2</v>
      </c>
      <c r="CZ13" s="7">
        <v>-4.8982161600653051E-3</v>
      </c>
      <c r="DA13" s="7">
        <v>1.69366264750716E-2</v>
      </c>
      <c r="DB13" s="7">
        <v>6.135618523727146E-2</v>
      </c>
      <c r="DC13" s="7">
        <v>-1.41498668272943E-2</v>
      </c>
      <c r="DD13" s="7">
        <v>-6.8977058924383453E-2</v>
      </c>
      <c r="DE13" s="7">
        <v>-2.2441996429236069E-2</v>
      </c>
      <c r="DF13" s="7">
        <v>1.727163202818234E-2</v>
      </c>
      <c r="DG13" s="7">
        <v>-4.7729083606459478E-2</v>
      </c>
      <c r="DH13" s="7">
        <v>3.8806516940288249E-2</v>
      </c>
      <c r="DI13" s="7">
        <v>2.957041963442816E-2</v>
      </c>
      <c r="DJ13" s="7">
        <v>7.0211236155579941E-3</v>
      </c>
      <c r="DK13" s="7">
        <v>-2.3400891895590289E-2</v>
      </c>
      <c r="DL13" s="7">
        <v>2.2050690678088229E-2</v>
      </c>
      <c r="DM13" s="7">
        <v>-1.1655894415520189E-2</v>
      </c>
      <c r="DN13" s="7">
        <v>-1.277588948620326E-2</v>
      </c>
      <c r="DO13" s="7">
        <v>3.7863465084792783E-2</v>
      </c>
      <c r="DP13" s="7">
        <v>4.4997150662049193E-2</v>
      </c>
      <c r="DQ13" s="7">
        <v>-3.3966462251962683E-2</v>
      </c>
      <c r="DR13" s="7">
        <v>1.377120927231194E-2</v>
      </c>
      <c r="DS13" s="7">
        <v>-3.8887627839669842E-2</v>
      </c>
      <c r="DT13" s="7">
        <v>-2.9845809161003281E-2</v>
      </c>
      <c r="DU13" s="7">
        <v>-2.369885378120147E-2</v>
      </c>
      <c r="DV13" s="7">
        <v>9.8528047622480752E-3</v>
      </c>
      <c r="DW13" s="7">
        <v>-1.3098229041975379E-2</v>
      </c>
      <c r="DX13" s="7">
        <v>-2.3229609548966131E-2</v>
      </c>
      <c r="DY13" s="7">
        <v>-9.5046248038774313E-3</v>
      </c>
      <c r="DZ13" s="7">
        <v>3.028525147494129E-2</v>
      </c>
      <c r="EA13" s="7">
        <v>6.2118677176029868E-2</v>
      </c>
      <c r="EB13" s="7">
        <v>2.012062189251651E-4</v>
      </c>
      <c r="EC13" s="7">
        <v>-2.198485253152441E-2</v>
      </c>
      <c r="ED13" s="7">
        <v>7.0847200131933449E-3</v>
      </c>
      <c r="EE13" s="7">
        <v>-4.1234383995911589E-2</v>
      </c>
      <c r="EF13" s="8">
        <v>6.6577215363556236E-2</v>
      </c>
    </row>
    <row r="14" spans="1:137" x14ac:dyDescent="0.3">
      <c r="A14" s="1">
        <v>50</v>
      </c>
      <c r="B14" s="1">
        <v>19</v>
      </c>
      <c r="C14" s="7">
        <v>0.1199414897527061</v>
      </c>
      <c r="D14" s="7">
        <v>8.3347311543301383E-2</v>
      </c>
      <c r="E14" s="7">
        <v>-4.7525943267256017E-2</v>
      </c>
      <c r="F14" s="7">
        <v>-4.8454142799859858E-2</v>
      </c>
      <c r="G14" s="7">
        <v>-4.1019916497925447E-2</v>
      </c>
      <c r="H14" s="7">
        <v>7.6743242716788224E-3</v>
      </c>
      <c r="I14" s="7">
        <v>4.3787359823142302E-2</v>
      </c>
      <c r="J14" s="7">
        <v>2.330997196491089E-2</v>
      </c>
      <c r="K14" s="7">
        <v>-0.13417870371405349</v>
      </c>
      <c r="L14" s="7">
        <v>4.847197187706806E-3</v>
      </c>
      <c r="M14" s="7">
        <v>4.9945200667877512E-3</v>
      </c>
      <c r="N14" s="7">
        <v>8.2758984694099133E-2</v>
      </c>
      <c r="O14" s="7">
        <v>3.7475787013006502E-2</v>
      </c>
      <c r="P14" s="7">
        <v>-5.8345921898241233E-2</v>
      </c>
      <c r="Q14" s="7">
        <v>-7.9297657581564457E-2</v>
      </c>
      <c r="R14" s="7">
        <v>-1.776230862917853E-2</v>
      </c>
      <c r="S14" s="7">
        <v>-0.1658932271847087</v>
      </c>
      <c r="T14" s="7">
        <v>-6.9841479520895866E-2</v>
      </c>
      <c r="U14" s="7">
        <v>-0.1042666646356476</v>
      </c>
      <c r="V14" s="7">
        <v>2.0089127185378371E-2</v>
      </c>
      <c r="W14" s="7">
        <v>7.4008159388253003E-2</v>
      </c>
      <c r="X14" s="7">
        <v>0.1132631083122695</v>
      </c>
      <c r="Y14" s="7">
        <v>-5.2198745955319217E-3</v>
      </c>
      <c r="Z14" s="7">
        <v>3.8511926280307661E-2</v>
      </c>
      <c r="AA14" s="7">
        <v>-3.9450180302082173E-2</v>
      </c>
      <c r="AB14" s="7">
        <v>7.0769377347230211E-2</v>
      </c>
      <c r="AC14" s="7">
        <v>-1.351726880349334E-2</v>
      </c>
      <c r="AD14" s="7">
        <v>-1.292010661121834E-2</v>
      </c>
      <c r="AE14" s="7">
        <v>-0.1064120722476776</v>
      </c>
      <c r="AF14" s="7">
        <v>4.0420702542399108E-2</v>
      </c>
      <c r="AG14" s="7">
        <v>2.0520894646562499E-2</v>
      </c>
      <c r="AH14" s="7">
        <v>8.0952184423801643E-2</v>
      </c>
      <c r="AI14" s="7">
        <v>1.096457068257391E-2</v>
      </c>
      <c r="AJ14" s="7">
        <v>9.6294976708784216E-2</v>
      </c>
      <c r="AK14" s="7">
        <v>-1.1509462937175179E-2</v>
      </c>
      <c r="AL14" s="7">
        <v>-5.1230182968129499E-2</v>
      </c>
      <c r="AM14" s="7">
        <v>-4.2463855937373812E-2</v>
      </c>
      <c r="AN14" s="7">
        <v>9.8594666769543718E-2</v>
      </c>
      <c r="AO14" s="7">
        <v>6.0905705465409951E-2</v>
      </c>
      <c r="AP14" s="7">
        <v>8.3517816301222261E-3</v>
      </c>
      <c r="AQ14" s="7">
        <v>2.973338049727765E-2</v>
      </c>
      <c r="AR14" s="7">
        <v>7.5826916674388654E-3</v>
      </c>
      <c r="AS14" s="7">
        <v>-6.6693383896894304E-3</v>
      </c>
      <c r="AT14" s="7">
        <v>7.9403479710638047E-2</v>
      </c>
      <c r="AU14" s="7">
        <v>-5.7421613114133872E-2</v>
      </c>
      <c r="AV14" s="7">
        <v>6.6258749216258558E-2</v>
      </c>
      <c r="AW14" s="7">
        <v>-1.8362931505957501E-2</v>
      </c>
      <c r="AX14" s="7">
        <v>0.13695102829439271</v>
      </c>
      <c r="AY14" s="7">
        <v>1.5068118771761551E-2</v>
      </c>
      <c r="AZ14" s="7">
        <v>-5.3348569172156059E-2</v>
      </c>
      <c r="BA14" s="7">
        <v>-6.6889831562848612E-2</v>
      </c>
      <c r="BB14" s="7">
        <v>6.1734282001674842E-2</v>
      </c>
      <c r="BC14" s="7">
        <v>-9.8209989552774171E-3</v>
      </c>
      <c r="BD14" s="7">
        <v>4.3327781667405418E-2</v>
      </c>
      <c r="BE14" s="7">
        <v>4.3787062535487017E-2</v>
      </c>
      <c r="BF14" s="7">
        <v>-0.15382926157400831</v>
      </c>
      <c r="BG14" s="7">
        <v>-0.12530530643958979</v>
      </c>
      <c r="BH14" s="7">
        <v>-7.3413464178725074E-2</v>
      </c>
      <c r="BI14" s="7">
        <v>4.1031067933231892E-2</v>
      </c>
      <c r="BJ14" s="7">
        <v>-6.8604195602302687E-2</v>
      </c>
      <c r="BK14" s="7">
        <v>-5.5937516570728277E-3</v>
      </c>
      <c r="BL14" s="7">
        <v>5.9737766842370338E-2</v>
      </c>
      <c r="BM14" s="7">
        <v>3.9257215206427082E-2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9.3374678248999574E-2</v>
      </c>
      <c r="CA14" s="7">
        <v>9.6516324581383234E-2</v>
      </c>
      <c r="CB14" s="7">
        <v>5.9477060293539823E-2</v>
      </c>
      <c r="CC14" s="7">
        <v>-1.2794080785178611E-2</v>
      </c>
      <c r="CD14" s="7">
        <v>9.8016709932197757E-2</v>
      </c>
      <c r="CE14" s="7">
        <v>-7.2156719211697945E-2</v>
      </c>
      <c r="CF14" s="7">
        <v>-4.2877410075316917E-2</v>
      </c>
      <c r="CG14" s="7">
        <v>-5.7320663667820577E-2</v>
      </c>
      <c r="CH14" s="7">
        <v>-4.8879670456065782E-2</v>
      </c>
      <c r="CI14" s="7">
        <v>-1.470161201144274E-2</v>
      </c>
      <c r="CJ14" s="7">
        <v>-2.866785494417454E-2</v>
      </c>
      <c r="CK14" s="7">
        <v>1.40163643906461E-2</v>
      </c>
      <c r="CL14" s="7">
        <v>6.2269954878836478E-2</v>
      </c>
      <c r="CM14" s="7">
        <v>-0.11006897297270959</v>
      </c>
      <c r="CN14" s="7">
        <v>-2.3026688670926061E-2</v>
      </c>
      <c r="CO14" s="7">
        <v>-7.8763758718324112E-2</v>
      </c>
      <c r="CP14" s="7">
        <v>9.3659357741041893E-2</v>
      </c>
      <c r="CQ14" s="7">
        <v>3.2227899887387702E-2</v>
      </c>
      <c r="CR14" s="7">
        <v>0.207719712590648</v>
      </c>
      <c r="CS14" s="7">
        <v>4.4126335332496502E-3</v>
      </c>
      <c r="CT14" s="7">
        <v>6.1872352391601541E-2</v>
      </c>
      <c r="CU14" s="7">
        <v>-0.1015449999567145</v>
      </c>
      <c r="CV14" s="7">
        <v>0.1513968411576333</v>
      </c>
      <c r="CW14" s="7">
        <v>8.2340018803759574E-3</v>
      </c>
      <c r="CX14" s="7">
        <v>-9.0639227349923676E-2</v>
      </c>
      <c r="CY14" s="7">
        <v>9.6361130127283909E-2</v>
      </c>
      <c r="CZ14" s="7">
        <v>-1.030139965842336E-2</v>
      </c>
      <c r="DA14" s="7">
        <v>-5.6351880605135567E-2</v>
      </c>
      <c r="DB14" s="7">
        <v>9.0239013556801195E-2</v>
      </c>
      <c r="DC14" s="7">
        <v>-4.2998541980200089E-2</v>
      </c>
      <c r="DD14" s="7">
        <v>-7.920535184818453E-2</v>
      </c>
      <c r="DE14" s="7">
        <v>-6.2526924006459011E-2</v>
      </c>
      <c r="DF14" s="7">
        <v>6.4180407871054571E-2</v>
      </c>
      <c r="DG14" s="7">
        <v>-4.5583395726898353E-2</v>
      </c>
      <c r="DH14" s="7">
        <v>8.4132403676702716E-3</v>
      </c>
      <c r="DI14" s="7">
        <v>4.0659134635571623E-2</v>
      </c>
      <c r="DJ14" s="7">
        <v>8.7940293873207658E-3</v>
      </c>
      <c r="DK14" s="7">
        <v>-7.7413284290136219E-2</v>
      </c>
      <c r="DL14" s="7">
        <v>4.0754871831899041E-2</v>
      </c>
      <c r="DM14" s="7">
        <v>-3.2421916741778967E-2</v>
      </c>
      <c r="DN14" s="7">
        <v>4.4935740608495638E-2</v>
      </c>
      <c r="DO14" s="7">
        <v>0.1025921893632338</v>
      </c>
      <c r="DP14" s="7">
        <v>3.6178582717266978E-3</v>
      </c>
      <c r="DQ14" s="7">
        <v>-5.6019285986190409E-2</v>
      </c>
      <c r="DR14" s="7">
        <v>5.2622519458999567E-2</v>
      </c>
      <c r="DS14" s="7">
        <v>-3.5044906270916831E-2</v>
      </c>
      <c r="DT14" s="7">
        <v>-7.7542903390828534E-3</v>
      </c>
      <c r="DU14" s="7">
        <v>-0.11891758656757311</v>
      </c>
      <c r="DV14" s="7">
        <v>4.5153223904483022E-2</v>
      </c>
      <c r="DW14" s="7">
        <v>-3.1091969408043079E-2</v>
      </c>
      <c r="DX14" s="7">
        <v>-2.7689697360398641E-2</v>
      </c>
      <c r="DY14" s="7">
        <v>-4.7660986602341179E-2</v>
      </c>
      <c r="DZ14" s="7">
        <v>2.1697589256116791E-2</v>
      </c>
      <c r="EA14" s="7">
        <v>0.10752548319752379</v>
      </c>
      <c r="EB14" s="7">
        <v>-2.510952061826455E-2</v>
      </c>
      <c r="EC14" s="7">
        <v>-4.3260017529307637E-2</v>
      </c>
      <c r="ED14" s="7">
        <v>-3.3597287801933773E-2</v>
      </c>
      <c r="EE14" s="7">
        <v>3.3992535180725199E-3</v>
      </c>
      <c r="EF14" s="8">
        <v>6.9956420498558061E-2</v>
      </c>
    </row>
    <row r="15" spans="1:137" x14ac:dyDescent="0.3">
      <c r="A15" s="1">
        <v>100</v>
      </c>
      <c r="B15" s="1">
        <v>10</v>
      </c>
      <c r="C15" s="7">
        <v>0.22764465877785839</v>
      </c>
      <c r="D15" s="7">
        <v>1.6952864792065741E-2</v>
      </c>
      <c r="E15" s="7">
        <v>-1.019842627208351E-2</v>
      </c>
      <c r="F15" s="7">
        <v>-0.1085622933731899</v>
      </c>
      <c r="G15" s="7">
        <v>-6.0636928671534279E-2</v>
      </c>
      <c r="H15" s="7">
        <v>5.0157824503593081E-2</v>
      </c>
      <c r="I15" s="7">
        <v>5.843144427986554E-2</v>
      </c>
      <c r="J15" s="7">
        <v>4.9961465247389647E-2</v>
      </c>
      <c r="K15" s="7">
        <v>-0.28659462773637062</v>
      </c>
      <c r="L15" s="7">
        <v>3.2558505157184642E-2</v>
      </c>
      <c r="M15" s="7">
        <v>2.5497709479487259E-2</v>
      </c>
      <c r="N15" s="7">
        <v>0.12086815416098109</v>
      </c>
      <c r="O15" s="7">
        <v>7.375734424631461E-2</v>
      </c>
      <c r="P15" s="7">
        <v>-6.4116183021661763E-2</v>
      </c>
      <c r="Q15" s="7">
        <v>-4.5898731445931602E-2</v>
      </c>
      <c r="R15" s="7">
        <v>-0.12669105870981379</v>
      </c>
      <c r="S15" s="7">
        <v>-0.27000789508215378</v>
      </c>
      <c r="T15" s="7">
        <v>-6.6800124943112091E-2</v>
      </c>
      <c r="U15" s="7">
        <v>-0.1369680616672688</v>
      </c>
      <c r="V15" s="7">
        <v>-1.713185334811276E-2</v>
      </c>
      <c r="W15" s="7">
        <v>0.1025435939827431</v>
      </c>
      <c r="X15" s="7">
        <v>0.1268433314636731</v>
      </c>
      <c r="Y15" s="7">
        <v>2.0629974365819839E-2</v>
      </c>
      <c r="Z15" s="7">
        <v>4.6719972053358677E-2</v>
      </c>
      <c r="AA15" s="7">
        <v>-5.4081147028033669E-2</v>
      </c>
      <c r="AB15" s="7">
        <v>8.370017251583052E-2</v>
      </c>
      <c r="AC15" s="7">
        <v>1.6480966208188091E-2</v>
      </c>
      <c r="AD15" s="7">
        <v>1.8936283030818419E-2</v>
      </c>
      <c r="AE15" s="7">
        <v>-9.7797684008951086E-2</v>
      </c>
      <c r="AF15" s="7">
        <v>6.5819612497039853E-2</v>
      </c>
      <c r="AG15" s="7">
        <v>1.012347826165556E-2</v>
      </c>
      <c r="AH15" s="7">
        <v>0.13296736500972281</v>
      </c>
      <c r="AI15" s="7">
        <v>7.4276960210081885E-2</v>
      </c>
      <c r="AJ15" s="7">
        <v>4.1844346323331449E-3</v>
      </c>
      <c r="AK15" s="7">
        <v>-3.6999311756730033E-2</v>
      </c>
      <c r="AL15" s="7">
        <v>-3.2360173796661423E-2</v>
      </c>
      <c r="AM15" s="7">
        <v>-6.863120708961859E-2</v>
      </c>
      <c r="AN15" s="7">
        <v>0.10168870591238351</v>
      </c>
      <c r="AO15" s="7">
        <v>6.3369812463467096E-2</v>
      </c>
      <c r="AP15" s="7">
        <v>9.0555375037428207E-2</v>
      </c>
      <c r="AQ15" s="7">
        <v>3.6453319420235192E-2</v>
      </c>
      <c r="AR15" s="7">
        <v>1.773382575923934E-2</v>
      </c>
      <c r="AS15" s="7">
        <v>-4.8733221354101797E-2</v>
      </c>
      <c r="AT15" s="7">
        <v>7.098981260370496E-2</v>
      </c>
      <c r="AU15" s="7">
        <v>-7.7174077249961781E-2</v>
      </c>
      <c r="AV15" s="7">
        <v>3.7297928699110451E-2</v>
      </c>
      <c r="AW15" s="7">
        <v>1.5659939254580951E-2</v>
      </c>
      <c r="AX15" s="7">
        <v>0.12523397717473519</v>
      </c>
      <c r="AY15" s="7">
        <v>2.8017064110032911E-2</v>
      </c>
      <c r="AZ15" s="7">
        <v>-9.1323280068503487E-2</v>
      </c>
      <c r="BA15" s="7">
        <v>1.5151738493797209E-2</v>
      </c>
      <c r="BB15" s="7">
        <v>0.1127248660788131</v>
      </c>
      <c r="BC15" s="7">
        <v>6.2155143667830287E-2</v>
      </c>
      <c r="BD15" s="7">
        <v>5.3043273904796059E-2</v>
      </c>
      <c r="BE15" s="7">
        <v>4.8442721017663122E-2</v>
      </c>
      <c r="BF15" s="7">
        <v>-0.2108720874899874</v>
      </c>
      <c r="BG15" s="7">
        <v>-0.16605121546459681</v>
      </c>
      <c r="BH15" s="7">
        <v>-9.8649046406420665E-2</v>
      </c>
      <c r="BI15" s="7">
        <v>2.115911440673959E-2</v>
      </c>
      <c r="BJ15" s="7">
        <v>-0.13011025503616941</v>
      </c>
      <c r="BK15" s="7">
        <v>8.2375226780603827E-4</v>
      </c>
      <c r="BL15" s="7">
        <v>5.940387134134844E-2</v>
      </c>
      <c r="BM15" s="7">
        <v>6.6824821366729223E-2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-1.9476419795793471E-2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0.2047200181996052</v>
      </c>
      <c r="CA15" s="7">
        <v>9.2920533808793823E-2</v>
      </c>
      <c r="CB15" s="7">
        <v>9.268410552323747E-2</v>
      </c>
      <c r="CC15" s="7">
        <v>-0.15231826505416149</v>
      </c>
      <c r="CD15" s="7">
        <v>0.1201520839630844</v>
      </c>
      <c r="CE15" s="7">
        <v>-0.1165165690701207</v>
      </c>
      <c r="CF15" s="7">
        <v>-4.1349429867967538E-2</v>
      </c>
      <c r="CG15" s="7">
        <v>-8.5886021530163809E-2</v>
      </c>
      <c r="CH15" s="7">
        <v>-8.1342607983328249E-2</v>
      </c>
      <c r="CI15" s="7">
        <v>2.5109387803323689E-3</v>
      </c>
      <c r="CJ15" s="7">
        <v>-8.7044356072718085E-2</v>
      </c>
      <c r="CK15" s="7">
        <v>5.667264577209942E-2</v>
      </c>
      <c r="CL15" s="7">
        <v>3.1421974993248308E-2</v>
      </c>
      <c r="CM15" s="7">
        <v>-0.1081197557129227</v>
      </c>
      <c r="CN15" s="7">
        <v>-4.2634115799160301E-2</v>
      </c>
      <c r="CO15" s="7">
        <v>-0.1069792441995681</v>
      </c>
      <c r="CP15" s="7">
        <v>0.13009874767373969</v>
      </c>
      <c r="CQ15" s="7">
        <v>-2.49633604564388E-2</v>
      </c>
      <c r="CR15" s="7">
        <v>0.18148893223573509</v>
      </c>
      <c r="CS15" s="7">
        <v>-6.4830510990456294E-3</v>
      </c>
      <c r="CT15" s="7">
        <v>3.2216556445051982E-2</v>
      </c>
      <c r="CU15" s="7">
        <v>-0.12404993141386809</v>
      </c>
      <c r="CV15" s="7">
        <v>0.18261154771691629</v>
      </c>
      <c r="CW15" s="7">
        <v>-2.7257441545493911E-2</v>
      </c>
      <c r="CX15" s="7">
        <v>-0.15238777889156799</v>
      </c>
      <c r="CY15" s="7">
        <v>9.2947904335357948E-2</v>
      </c>
      <c r="CZ15" s="7">
        <v>-2.3763335140482119E-2</v>
      </c>
      <c r="DA15" s="7">
        <v>5.7882147308606448E-2</v>
      </c>
      <c r="DB15" s="7">
        <v>0.20966340207921569</v>
      </c>
      <c r="DC15" s="7">
        <v>-6.7692431945125919E-2</v>
      </c>
      <c r="DD15" s="7">
        <v>-1.450672613144627E-2</v>
      </c>
      <c r="DE15" s="7">
        <v>-5.7163634731252508E-2</v>
      </c>
      <c r="DF15" s="7">
        <v>-6.0545262726041799E-3</v>
      </c>
      <c r="DG15" s="7">
        <v>-4.7917484974342339E-2</v>
      </c>
      <c r="DH15" s="7">
        <v>-9.3841476708658028E-4</v>
      </c>
      <c r="DI15" s="7">
        <v>5.4108318657130297E-2</v>
      </c>
      <c r="DJ15" s="7">
        <v>6.0023776691057282E-2</v>
      </c>
      <c r="DK15" s="7">
        <v>-7.2188597805797533E-2</v>
      </c>
      <c r="DL15" s="7">
        <v>-3.0399320282783332E-4</v>
      </c>
      <c r="DM15" s="7">
        <v>-3.9052116693665768E-2</v>
      </c>
      <c r="DN15" s="7">
        <v>8.1730712251129128E-2</v>
      </c>
      <c r="DO15" s="7">
        <v>0.15954541135927219</v>
      </c>
      <c r="DP15" s="7">
        <v>-4.0330192791233468E-2</v>
      </c>
      <c r="DQ15" s="7">
        <v>-7.2938079904142805E-2</v>
      </c>
      <c r="DR15" s="7">
        <v>7.0010566617938433E-2</v>
      </c>
      <c r="DS15" s="7">
        <v>-7.6241908411797149E-2</v>
      </c>
      <c r="DT15" s="7">
        <v>-5.271878998906962E-2</v>
      </c>
      <c r="DU15" s="7">
        <v>-0.18864064490238791</v>
      </c>
      <c r="DV15" s="7">
        <v>4.6727729353239662E-2</v>
      </c>
      <c r="DW15" s="7">
        <v>-5.0448236582947052E-2</v>
      </c>
      <c r="DX15" s="7">
        <v>-2.1545670320480031E-2</v>
      </c>
      <c r="DY15" s="7">
        <v>8.3673634692538773E-2</v>
      </c>
      <c r="DZ15" s="7">
        <v>3.6596497763803963E-2</v>
      </c>
      <c r="EA15" s="7">
        <v>0.10917693290987859</v>
      </c>
      <c r="EB15" s="7">
        <v>-5.6126480267324717E-2</v>
      </c>
      <c r="EC15" s="7">
        <v>-7.6157076796619858E-2</v>
      </c>
      <c r="ED15" s="7">
        <v>-7.238331929292896E-2</v>
      </c>
      <c r="EE15" s="7">
        <v>-3.1907205015268242E-3</v>
      </c>
      <c r="EF15" s="8">
        <v>6.5700991138842244E-2</v>
      </c>
    </row>
    <row r="16" spans="1:137" x14ac:dyDescent="0.3">
      <c r="A16" s="1">
        <v>107</v>
      </c>
      <c r="B16" s="1">
        <v>9</v>
      </c>
      <c r="C16" s="7">
        <v>0.20787477708292909</v>
      </c>
      <c r="D16" s="7">
        <v>-7.202486673170555E-4</v>
      </c>
      <c r="E16" s="7">
        <v>-2.8301766100853822E-3</v>
      </c>
      <c r="F16" s="7">
        <v>-9.9382492855487087E-2</v>
      </c>
      <c r="G16" s="7">
        <v>-7.3696265126923857E-2</v>
      </c>
      <c r="H16" s="7">
        <v>6.0999004616936837E-2</v>
      </c>
      <c r="I16" s="7">
        <v>5.7530618665621432E-2</v>
      </c>
      <c r="J16" s="7">
        <v>4.6709926042666168E-2</v>
      </c>
      <c r="K16" s="7">
        <v>-0.28467055022653209</v>
      </c>
      <c r="L16" s="7">
        <v>9.8865345878687977E-3</v>
      </c>
      <c r="M16" s="7">
        <v>4.0334454725240582E-2</v>
      </c>
      <c r="N16" s="7">
        <v>0.1256706255427503</v>
      </c>
      <c r="O16" s="7">
        <v>7.9826860571117084E-2</v>
      </c>
      <c r="P16" s="7">
        <v>-6.1045231791422308E-2</v>
      </c>
      <c r="Q16" s="7">
        <v>-8.1478643305993262E-2</v>
      </c>
      <c r="R16" s="7">
        <v>-0.1031096938877092</v>
      </c>
      <c r="S16" s="7">
        <v>-0.28706302039879478</v>
      </c>
      <c r="T16" s="7">
        <v>-6.7219060157601318E-2</v>
      </c>
      <c r="U16" s="7">
        <v>-0.1300624714297445</v>
      </c>
      <c r="V16" s="7">
        <v>-6.0221453329656824E-3</v>
      </c>
      <c r="W16" s="7">
        <v>0.10166567604781181</v>
      </c>
      <c r="X16" s="7">
        <v>0.12440978370848681</v>
      </c>
      <c r="Y16" s="7">
        <v>2.0180588419635579E-2</v>
      </c>
      <c r="Z16" s="7">
        <v>4.3057930884211712E-2</v>
      </c>
      <c r="AA16" s="7">
        <v>-4.3487635835992113E-2</v>
      </c>
      <c r="AB16" s="7">
        <v>7.4985041637980393E-2</v>
      </c>
      <c r="AC16" s="7">
        <v>4.7226236202560543E-2</v>
      </c>
      <c r="AD16" s="7">
        <v>1.122025849076259E-3</v>
      </c>
      <c r="AE16" s="7">
        <v>-9.6502360488605665E-2</v>
      </c>
      <c r="AF16" s="7">
        <v>6.3685842581589158E-2</v>
      </c>
      <c r="AG16" s="7">
        <v>1.32907530365354E-2</v>
      </c>
      <c r="AH16" s="7">
        <v>0.1484016251671525</v>
      </c>
      <c r="AI16" s="7">
        <v>9.0522649217154846E-2</v>
      </c>
      <c r="AJ16" s="7">
        <v>-1.7629241723035149E-2</v>
      </c>
      <c r="AK16" s="7">
        <v>-7.9871677299248253E-3</v>
      </c>
      <c r="AL16" s="7">
        <v>-5.4397026306529771E-3</v>
      </c>
      <c r="AM16" s="7">
        <v>-5.2145732480091148E-2</v>
      </c>
      <c r="AN16" s="7">
        <v>0.1064562000896756</v>
      </c>
      <c r="AO16" s="7">
        <v>6.1424671825912318E-2</v>
      </c>
      <c r="AP16" s="7">
        <v>9.4724682567194671E-2</v>
      </c>
      <c r="AQ16" s="7">
        <v>5.4497752943883322E-2</v>
      </c>
      <c r="AR16" s="7">
        <v>3.4371979060270931E-2</v>
      </c>
      <c r="AS16" s="7">
        <v>-5.2642718238233757E-2</v>
      </c>
      <c r="AT16" s="7">
        <v>0.1225640433502848</v>
      </c>
      <c r="AU16" s="7">
        <v>-8.2090271843001925E-2</v>
      </c>
      <c r="AV16" s="7">
        <v>5.2080835436737513E-2</v>
      </c>
      <c r="AW16" s="7">
        <v>3.9252930074650652E-2</v>
      </c>
      <c r="AX16" s="7">
        <v>0.10082977324397289</v>
      </c>
      <c r="AY16" s="7">
        <v>3.3812589844345937E-2</v>
      </c>
      <c r="AZ16" s="7">
        <v>-0.1049096351787122</v>
      </c>
      <c r="BA16" s="7">
        <v>-3.3911561984698517E-2</v>
      </c>
      <c r="BB16" s="7">
        <v>0.10803892415273809</v>
      </c>
      <c r="BC16" s="7">
        <v>6.712146610769186E-2</v>
      </c>
      <c r="BD16" s="7">
        <v>3.5936711545904013E-2</v>
      </c>
      <c r="BE16" s="7">
        <v>5.1410994394474947E-2</v>
      </c>
      <c r="BF16" s="7">
        <v>-0.24778685910046011</v>
      </c>
      <c r="BG16" s="7">
        <v>-0.16122956958435061</v>
      </c>
      <c r="BH16" s="7">
        <v>-9.6162034507733696E-2</v>
      </c>
      <c r="BI16" s="7">
        <v>4.8989940432910987E-2</v>
      </c>
      <c r="BJ16" s="7">
        <v>-9.6566803525538036E-2</v>
      </c>
      <c r="BK16" s="7">
        <v>2.9719902951970238E-3</v>
      </c>
      <c r="BL16" s="7">
        <v>7.0623565707523178E-2</v>
      </c>
      <c r="BM16" s="7">
        <v>8.1523875041965066E-2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-5.7765110184800447E-2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0.13158184889065511</v>
      </c>
      <c r="CA16" s="7">
        <v>0.13046988383823571</v>
      </c>
      <c r="CB16" s="7">
        <v>0.1158655489891553</v>
      </c>
      <c r="CC16" s="7">
        <v>-0.15907251448393439</v>
      </c>
      <c r="CD16" s="7">
        <v>0.15507127162636181</v>
      </c>
      <c r="CE16" s="7">
        <v>-0.13259506079351141</v>
      </c>
      <c r="CF16" s="7">
        <v>-5.280008433528089E-2</v>
      </c>
      <c r="CG16" s="7">
        <v>-6.1727878146666561E-2</v>
      </c>
      <c r="CH16" s="7">
        <v>-5.0448724703996098E-2</v>
      </c>
      <c r="CI16" s="7">
        <v>4.2406681121506702E-3</v>
      </c>
      <c r="CJ16" s="7">
        <v>-4.5523550787666608E-2</v>
      </c>
      <c r="CK16" s="7">
        <v>7.6472983717690388E-2</v>
      </c>
      <c r="CL16" s="7">
        <v>1.5878682334709331E-2</v>
      </c>
      <c r="CM16" s="7">
        <v>-0.11305583839137461</v>
      </c>
      <c r="CN16" s="7">
        <v>-3.3057515140949983E-2</v>
      </c>
      <c r="CO16" s="7">
        <v>-0.13464020879390531</v>
      </c>
      <c r="CP16" s="7">
        <v>0.1111514502016443</v>
      </c>
      <c r="CQ16" s="7">
        <v>-2.0333779820360921E-2</v>
      </c>
      <c r="CR16" s="7">
        <v>0.1892865334673984</v>
      </c>
      <c r="CS16" s="7">
        <v>-4.0852187594743329E-2</v>
      </c>
      <c r="CT16" s="7">
        <v>4.890352583142879E-2</v>
      </c>
      <c r="CU16" s="7">
        <v>-0.1354717008642061</v>
      </c>
      <c r="CV16" s="7">
        <v>0.17225152263848631</v>
      </c>
      <c r="CW16" s="7">
        <v>-3.1673114171682698E-2</v>
      </c>
      <c r="CX16" s="7">
        <v>-0.16226597530261619</v>
      </c>
      <c r="CY16" s="7">
        <v>8.1280637874214245E-2</v>
      </c>
      <c r="CZ16" s="7">
        <v>-3.2724822242144208E-2</v>
      </c>
      <c r="DA16" s="7">
        <v>7.8106298474462599E-2</v>
      </c>
      <c r="DB16" s="7">
        <v>0.23166534590164389</v>
      </c>
      <c r="DC16" s="7">
        <v>-8.3264051622984642E-2</v>
      </c>
      <c r="DD16" s="7">
        <v>-3.1743710487280023E-2</v>
      </c>
      <c r="DE16" s="7">
        <v>-3.4552400358790022E-2</v>
      </c>
      <c r="DF16" s="7">
        <v>-2.6980135523259619E-3</v>
      </c>
      <c r="DG16" s="7">
        <v>-4.5676915028892429E-2</v>
      </c>
      <c r="DH16" s="7">
        <v>3.9788319645553197E-3</v>
      </c>
      <c r="DI16" s="7">
        <v>4.5399497901261208E-2</v>
      </c>
      <c r="DJ16" s="7">
        <v>7.0955052436885546E-2</v>
      </c>
      <c r="DK16" s="7">
        <v>-5.7685769347259337E-2</v>
      </c>
      <c r="DL16" s="7">
        <v>-2.187287424977424E-2</v>
      </c>
      <c r="DM16" s="7">
        <v>-1.8910374168543239E-2</v>
      </c>
      <c r="DN16" s="7">
        <v>0.1158867317449916</v>
      </c>
      <c r="DO16" s="7">
        <v>0.16959094638807429</v>
      </c>
      <c r="DP16" s="7">
        <v>-2.4716583377735541E-2</v>
      </c>
      <c r="DQ16" s="7">
        <v>-6.7560519945635999E-2</v>
      </c>
      <c r="DR16" s="7">
        <v>5.5191251649515209E-2</v>
      </c>
      <c r="DS16" s="7">
        <v>-9.3752064989754288E-2</v>
      </c>
      <c r="DT16" s="7">
        <v>-5.9112975078185963E-2</v>
      </c>
      <c r="DU16" s="7">
        <v>-0.1901082424459184</v>
      </c>
      <c r="DV16" s="7">
        <v>4.5728317172487008E-2</v>
      </c>
      <c r="DW16" s="7">
        <v>-3.0139111989815032E-2</v>
      </c>
      <c r="DX16" s="7">
        <v>-2.1947727776040898E-2</v>
      </c>
      <c r="DY16" s="7">
        <v>9.4984864221236961E-2</v>
      </c>
      <c r="DZ16" s="7">
        <v>1.264917158578936E-2</v>
      </c>
      <c r="EA16" s="7">
        <v>0.13979901874338971</v>
      </c>
      <c r="EB16" s="7">
        <v>-7.0875443779551073E-2</v>
      </c>
      <c r="EC16" s="7">
        <v>-6.8501480567839029E-2</v>
      </c>
      <c r="ED16" s="7">
        <v>-8.0284912658833474E-2</v>
      </c>
      <c r="EE16" s="7">
        <v>-4.3966753067597054E-3</v>
      </c>
      <c r="EF16" s="8">
        <v>4.2474401493907223E-2</v>
      </c>
    </row>
    <row r="17" spans="1:136" x14ac:dyDescent="0.3">
      <c r="A17" s="1">
        <v>120</v>
      </c>
      <c r="B17" s="1">
        <v>8</v>
      </c>
      <c r="C17" s="7">
        <v>0.2060921883792059</v>
      </c>
      <c r="D17" s="7">
        <v>-1.7334374733087798E-2</v>
      </c>
      <c r="E17" s="7">
        <v>7.3790014953013412E-3</v>
      </c>
      <c r="F17" s="7">
        <v>-0.1128375151172957</v>
      </c>
      <c r="G17" s="7">
        <v>-7.122276687818177E-2</v>
      </c>
      <c r="H17" s="7">
        <v>7.6687821562616859E-2</v>
      </c>
      <c r="I17" s="7">
        <v>0.1137250278021875</v>
      </c>
      <c r="J17" s="7">
        <v>4.1858395118229183E-2</v>
      </c>
      <c r="K17" s="7">
        <v>-0.29682655110056239</v>
      </c>
      <c r="L17" s="7">
        <v>9.7108895081580021E-3</v>
      </c>
      <c r="M17" s="7">
        <v>6.4932034983486181E-2</v>
      </c>
      <c r="N17" s="7">
        <v>0.1359484320527852</v>
      </c>
      <c r="O17" s="7">
        <v>0.1012267692723357</v>
      </c>
      <c r="P17" s="7">
        <v>-6.6339369138831011E-2</v>
      </c>
      <c r="Q17" s="7">
        <v>-0.10026682830356801</v>
      </c>
      <c r="R17" s="7">
        <v>-0.13642644520024619</v>
      </c>
      <c r="S17" s="7">
        <v>-0.31065343265529821</v>
      </c>
      <c r="T17" s="7">
        <v>-7.120201453280707E-2</v>
      </c>
      <c r="U17" s="7">
        <v>-0.14127114253855691</v>
      </c>
      <c r="V17" s="7">
        <v>4.0111898296984957E-3</v>
      </c>
      <c r="W17" s="7">
        <v>0.1196039840123075</v>
      </c>
      <c r="X17" s="7">
        <v>0.1168461979408036</v>
      </c>
      <c r="Y17" s="7">
        <v>2.2928011062654879E-2</v>
      </c>
      <c r="Z17" s="7">
        <v>5.3868489290865788E-2</v>
      </c>
      <c r="AA17" s="7">
        <v>-3.5209789582199093E-2</v>
      </c>
      <c r="AB17" s="7">
        <v>8.4852062878172319E-2</v>
      </c>
      <c r="AC17" s="7">
        <v>5.8728690290493803E-2</v>
      </c>
      <c r="AD17" s="7">
        <v>2.1912844173640599E-2</v>
      </c>
      <c r="AE17" s="7">
        <v>-0.127158422447225</v>
      </c>
      <c r="AF17" s="7">
        <v>6.1429310121940139E-2</v>
      </c>
      <c r="AG17" s="7">
        <v>2.2740980787790199E-2</v>
      </c>
      <c r="AH17" s="7">
        <v>0.14702488925580459</v>
      </c>
      <c r="AI17" s="7">
        <v>0.11486444539828659</v>
      </c>
      <c r="AJ17" s="7">
        <v>-2.220745952474644E-2</v>
      </c>
      <c r="AK17" s="7">
        <v>-1.3325712752363659E-2</v>
      </c>
      <c r="AL17" s="7">
        <v>-2.701818216868862E-2</v>
      </c>
      <c r="AM17" s="7">
        <v>-9.3351710026530269E-2</v>
      </c>
      <c r="AN17" s="7">
        <v>0.1132871203459177</v>
      </c>
      <c r="AO17" s="7">
        <v>1.2632334595724191E-2</v>
      </c>
      <c r="AP17" s="7">
        <v>9.3417580080561446E-2</v>
      </c>
      <c r="AQ17" s="7">
        <v>6.1277252118221971E-2</v>
      </c>
      <c r="AR17" s="7">
        <v>4.5802625557302828E-2</v>
      </c>
      <c r="AS17" s="7">
        <v>-5.8802956944234333E-2</v>
      </c>
      <c r="AT17" s="7">
        <v>0.1270717931072517</v>
      </c>
      <c r="AU17" s="7">
        <v>-0.11569960953410489</v>
      </c>
      <c r="AV17" s="7">
        <v>5.8529449334631382E-2</v>
      </c>
      <c r="AW17" s="7">
        <v>8.4218880418367916E-3</v>
      </c>
      <c r="AX17" s="7">
        <v>9.6240558508798979E-2</v>
      </c>
      <c r="AY17" s="7">
        <v>2.742369669060089E-2</v>
      </c>
      <c r="AZ17" s="7">
        <v>-0.1251576022601911</v>
      </c>
      <c r="BA17" s="7">
        <v>-3.8771615247690558E-2</v>
      </c>
      <c r="BB17" s="7">
        <v>0.1237640631138444</v>
      </c>
      <c r="BC17" s="7">
        <v>8.386319517781364E-2</v>
      </c>
      <c r="BD17" s="7">
        <v>2.235648224620481E-2</v>
      </c>
      <c r="BE17" s="7">
        <v>7.7350242238060404E-2</v>
      </c>
      <c r="BF17" s="7">
        <v>-0.14777683028015831</v>
      </c>
      <c r="BG17" s="7">
        <v>-0.18575157813088089</v>
      </c>
      <c r="BH17" s="7">
        <v>-0.1331911133253291</v>
      </c>
      <c r="BI17" s="7">
        <v>8.073839955835159E-2</v>
      </c>
      <c r="BJ17" s="7">
        <v>-9.7868244368423979E-2</v>
      </c>
      <c r="BK17" s="7">
        <v>-1.3822952070105509E-2</v>
      </c>
      <c r="BL17" s="7">
        <v>7.7482966799946165E-2</v>
      </c>
      <c r="BM17" s="7">
        <v>7.5997770445859966E-2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-7.1127818750752414E-2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6.6857530609106181E-2</v>
      </c>
      <c r="CA17" s="7">
        <v>0.13087784777597389</v>
      </c>
      <c r="CB17" s="7">
        <v>0.10916583702074401</v>
      </c>
      <c r="CC17" s="7">
        <v>-0.17495797398968091</v>
      </c>
      <c r="CD17" s="7">
        <v>0.17295974121914859</v>
      </c>
      <c r="CE17" s="7">
        <v>-0.17511624550605151</v>
      </c>
      <c r="CF17" s="7">
        <v>-5.8238796594696537E-2</v>
      </c>
      <c r="CG17" s="7">
        <v>-7.4714988628731105E-2</v>
      </c>
      <c r="CH17" s="7">
        <v>-3.296907217045305E-2</v>
      </c>
      <c r="CI17" s="7">
        <v>3.7017833748845611E-3</v>
      </c>
      <c r="CJ17" s="7">
        <v>-5.0742321484442049E-2</v>
      </c>
      <c r="CK17" s="7">
        <v>9.1738572657912937E-2</v>
      </c>
      <c r="CL17" s="7">
        <v>-9.426344769031314E-3</v>
      </c>
      <c r="CM17" s="7">
        <v>-9.5493870816553639E-2</v>
      </c>
      <c r="CN17" s="7">
        <v>-2.6718061150986971E-2</v>
      </c>
      <c r="CO17" s="7">
        <v>-0.13741287532952509</v>
      </c>
      <c r="CP17" s="7">
        <v>0.108221383508889</v>
      </c>
      <c r="CQ17" s="7">
        <v>5.1907103341726511E-2</v>
      </c>
      <c r="CR17" s="7">
        <v>0.19640263176228931</v>
      </c>
      <c r="CS17" s="7">
        <v>-3.1345818395718227E-2</v>
      </c>
      <c r="CT17" s="7">
        <v>5.8653796602614071E-2</v>
      </c>
      <c r="CU17" s="7">
        <v>-0.15535189279975939</v>
      </c>
      <c r="CV17" s="7">
        <v>0.15147138486135439</v>
      </c>
      <c r="CW17" s="7">
        <v>-2.3155844814847809E-2</v>
      </c>
      <c r="CX17" s="7">
        <v>-0.1250098553997174</v>
      </c>
      <c r="CY17" s="7">
        <v>7.5608913409805675E-2</v>
      </c>
      <c r="CZ17" s="7">
        <v>-3.1592684380340692E-2</v>
      </c>
      <c r="DA17" s="7">
        <v>4.8109804762033678E-2</v>
      </c>
      <c r="DB17" s="7">
        <v>0.22431697129508249</v>
      </c>
      <c r="DC17" s="7">
        <v>-9.8849392549809512E-2</v>
      </c>
      <c r="DD17" s="7">
        <v>-2.9155420882880739E-2</v>
      </c>
      <c r="DE17" s="7">
        <v>-2.4124863346722019E-2</v>
      </c>
      <c r="DF17" s="7">
        <v>-1.5674444936529901E-2</v>
      </c>
      <c r="DG17" s="7">
        <v>-4.7210988428523781E-2</v>
      </c>
      <c r="DH17" s="7">
        <v>1.2653894662512769E-2</v>
      </c>
      <c r="DI17" s="7">
        <v>3.5044536065945063E-2</v>
      </c>
      <c r="DJ17" s="7">
        <v>0.12892505978600949</v>
      </c>
      <c r="DK17" s="7">
        <v>-6.8118111488885122E-2</v>
      </c>
      <c r="DL17" s="7">
        <v>-3.929731691128693E-3</v>
      </c>
      <c r="DM17" s="7">
        <v>-3.7227475515992328E-2</v>
      </c>
      <c r="DN17" s="7">
        <v>0.1064799626072864</v>
      </c>
      <c r="DO17" s="7">
        <v>0.17976292609872879</v>
      </c>
      <c r="DP17" s="7">
        <v>-2.509743000805471E-2</v>
      </c>
      <c r="DQ17" s="7">
        <v>-6.5244348133762259E-2</v>
      </c>
      <c r="DR17" s="7">
        <v>5.5884814876328279E-2</v>
      </c>
      <c r="DS17" s="7">
        <v>-0.12431615980481089</v>
      </c>
      <c r="DT17" s="7">
        <v>-5.9811935234976271E-2</v>
      </c>
      <c r="DU17" s="7">
        <v>-0.15955509947844379</v>
      </c>
      <c r="DV17" s="7">
        <v>4.5148836149058763E-2</v>
      </c>
      <c r="DW17" s="7">
        <v>-4.8235392969461138E-2</v>
      </c>
      <c r="DX17" s="7">
        <v>2.3035180169188669E-2</v>
      </c>
      <c r="DY17" s="7">
        <v>0.12601053790105471</v>
      </c>
      <c r="DZ17" s="7">
        <v>-4.7910532459885732E-3</v>
      </c>
      <c r="EA17" s="7">
        <v>0.1645715232321148</v>
      </c>
      <c r="EB17" s="7">
        <v>-7.3780969717652869E-2</v>
      </c>
      <c r="EC17" s="7">
        <v>-0.1215120172680231</v>
      </c>
      <c r="ED17" s="7">
        <v>-8.285562240348486E-2</v>
      </c>
      <c r="EE17" s="7">
        <v>1.9352114607941879E-4</v>
      </c>
      <c r="EF17" s="8">
        <v>4.7709767009851849E-2</v>
      </c>
    </row>
    <row r="18" spans="1:136" x14ac:dyDescent="0.3">
      <c r="A18" s="1">
        <v>137</v>
      </c>
      <c r="B18" s="1">
        <v>7</v>
      </c>
      <c r="C18" s="7">
        <v>0.18975112249235829</v>
      </c>
      <c r="D18" s="7">
        <v>-8.1874670813927297E-3</v>
      </c>
      <c r="E18" s="7">
        <v>-5.900065709820778E-2</v>
      </c>
      <c r="F18" s="7">
        <v>-0.13441437443338569</v>
      </c>
      <c r="G18" s="7">
        <v>-8.0794247020859855E-2</v>
      </c>
      <c r="H18" s="7">
        <v>0.1219127893632701</v>
      </c>
      <c r="I18" s="7">
        <v>0.13550018022324109</v>
      </c>
      <c r="J18" s="7">
        <v>4.3411515751641608E-2</v>
      </c>
      <c r="K18" s="7">
        <v>-0.35868209850789973</v>
      </c>
      <c r="L18" s="7">
        <v>1.298248684698161E-2</v>
      </c>
      <c r="M18" s="7">
        <v>7.970257711397645E-2</v>
      </c>
      <c r="N18" s="7">
        <v>0.1429924272847711</v>
      </c>
      <c r="O18" s="7">
        <v>0.10367048962961919</v>
      </c>
      <c r="P18" s="7">
        <v>-8.2552611569947768E-2</v>
      </c>
      <c r="Q18" s="7">
        <v>-9.3059589912906207E-2</v>
      </c>
      <c r="R18" s="7">
        <v>-0.1541891887340214</v>
      </c>
      <c r="S18" s="7">
        <v>-0.3837326289318943</v>
      </c>
      <c r="T18" s="7">
        <v>-5.4244440031608693E-2</v>
      </c>
      <c r="U18" s="7">
        <v>-0.132495024429819</v>
      </c>
      <c r="V18" s="7">
        <v>1.2895135069850801E-2</v>
      </c>
      <c r="W18" s="7">
        <v>0.1379172379157062</v>
      </c>
      <c r="X18" s="7">
        <v>0.1434515176348406</v>
      </c>
      <c r="Y18" s="7">
        <v>1.923233435743554E-2</v>
      </c>
      <c r="Z18" s="7">
        <v>8.9234363440522865E-2</v>
      </c>
      <c r="AA18" s="7">
        <v>-4.1705245182724067E-2</v>
      </c>
      <c r="AB18" s="7">
        <v>8.4698299730484178E-2</v>
      </c>
      <c r="AC18" s="7">
        <v>5.782301285595727E-2</v>
      </c>
      <c r="AD18" s="7">
        <v>2.659559037908019E-2</v>
      </c>
      <c r="AE18" s="7">
        <v>-0.1435292414290745</v>
      </c>
      <c r="AF18" s="7">
        <v>3.187341816062559E-2</v>
      </c>
      <c r="AG18" s="7">
        <v>3.2493116097876071E-2</v>
      </c>
      <c r="AH18" s="7">
        <v>0.16306850482484961</v>
      </c>
      <c r="AI18" s="7">
        <v>0.1180857345580002</v>
      </c>
      <c r="AJ18" s="7">
        <v>-7.3274438891894889E-3</v>
      </c>
      <c r="AK18" s="7">
        <v>2.7289927297043159E-2</v>
      </c>
      <c r="AL18" s="7">
        <v>-3.2812811779609451E-2</v>
      </c>
      <c r="AM18" s="7">
        <v>-9.6053029136818027E-2</v>
      </c>
      <c r="AN18" s="7">
        <v>7.9294639955201793E-2</v>
      </c>
      <c r="AO18" s="7">
        <v>5.4275349676927882E-3</v>
      </c>
      <c r="AP18" s="7">
        <v>9.5545792915504746E-2</v>
      </c>
      <c r="AQ18" s="7">
        <v>6.4154973663518397E-2</v>
      </c>
      <c r="AR18" s="7">
        <v>3.9002474062764268E-2</v>
      </c>
      <c r="AS18" s="7">
        <v>-8.3253127889185943E-2</v>
      </c>
      <c r="AT18" s="7">
        <v>0.16638580942405889</v>
      </c>
      <c r="AU18" s="7">
        <v>-0.13889821464621971</v>
      </c>
      <c r="AV18" s="7">
        <v>6.0235664706469842E-2</v>
      </c>
      <c r="AW18" s="7">
        <v>2.4538034241107461E-2</v>
      </c>
      <c r="AX18" s="7">
        <v>0.10756086825583611</v>
      </c>
      <c r="AY18" s="7">
        <v>3.4783278641148073E-2</v>
      </c>
      <c r="AZ18" s="7">
        <v>-0.14840908238889911</v>
      </c>
      <c r="BA18" s="7">
        <v>-3.5302240006763339E-2</v>
      </c>
      <c r="BB18" s="7">
        <v>0.13765604215733709</v>
      </c>
      <c r="BC18" s="7">
        <v>8.3201572593320602E-2</v>
      </c>
      <c r="BD18" s="7">
        <v>-2.4016271687300441E-2</v>
      </c>
      <c r="BE18" s="7">
        <v>6.8361213238162841E-2</v>
      </c>
      <c r="BF18" s="7">
        <v>-0.1649864946960074</v>
      </c>
      <c r="BG18" s="7">
        <v>-0.1467139748282886</v>
      </c>
      <c r="BH18" s="7">
        <v>-0.1378982651501425</v>
      </c>
      <c r="BI18" s="7">
        <v>7.5991093740458621E-2</v>
      </c>
      <c r="BJ18" s="7">
        <v>-9.8533856685421792E-2</v>
      </c>
      <c r="BK18" s="7">
        <v>-5.8003244170202591E-2</v>
      </c>
      <c r="BL18" s="7">
        <v>8.1157673820204085E-2</v>
      </c>
      <c r="BM18" s="7">
        <v>0.1027739390634396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-8.0677444040040805E-2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3.5347652520937987E-2</v>
      </c>
      <c r="CA18" s="7">
        <v>0.1143259869520892</v>
      </c>
      <c r="CB18" s="7">
        <v>9.7387282979409254E-2</v>
      </c>
      <c r="CC18" s="7">
        <v>-2.817344401940013E-2</v>
      </c>
      <c r="CD18" s="7">
        <v>0.19371681864683071</v>
      </c>
      <c r="CE18" s="7">
        <v>-0.1779263563088774</v>
      </c>
      <c r="CF18" s="7">
        <v>4.3957743386608697E-2</v>
      </c>
      <c r="CG18" s="7">
        <v>-9.1609255563919342E-2</v>
      </c>
      <c r="CH18" s="7">
        <v>-4.5365648959158789E-2</v>
      </c>
      <c r="CI18" s="7">
        <v>-0.1150593108091785</v>
      </c>
      <c r="CJ18" s="7">
        <v>-6.2313677824909687E-2</v>
      </c>
      <c r="CK18" s="7">
        <v>9.0667784292283726E-2</v>
      </c>
      <c r="CL18" s="7">
        <v>-3.0989545058193121E-2</v>
      </c>
      <c r="CM18" s="7">
        <v>-0.1027696116279509</v>
      </c>
      <c r="CN18" s="7">
        <v>-3.5086253978176607E-2</v>
      </c>
      <c r="CO18" s="7">
        <v>-0.1505975096222473</v>
      </c>
      <c r="CP18" s="7">
        <v>0.1162703198079334</v>
      </c>
      <c r="CQ18" s="7">
        <v>3.8242675594942703E-2</v>
      </c>
      <c r="CR18" s="7">
        <v>0.19372240765220919</v>
      </c>
      <c r="CS18" s="7">
        <v>-5.7690648651415453E-2</v>
      </c>
      <c r="CT18" s="7">
        <v>7.6870226772222966E-2</v>
      </c>
      <c r="CU18" s="7">
        <v>-0.14456482117613489</v>
      </c>
      <c r="CV18" s="7">
        <v>0.1270222681330069</v>
      </c>
      <c r="CW18" s="7">
        <v>-2.8328256584809738E-2</v>
      </c>
      <c r="CX18" s="7">
        <v>-0.1530756896091533</v>
      </c>
      <c r="CY18" s="7">
        <v>9.3178383907907517E-2</v>
      </c>
      <c r="CZ18" s="7">
        <v>-9.1459213412702536E-2</v>
      </c>
      <c r="DA18" s="7">
        <v>7.689054633229396E-2</v>
      </c>
      <c r="DB18" s="7">
        <v>0.2223821125233825</v>
      </c>
      <c r="DC18" s="7">
        <v>-8.2819707211162524E-2</v>
      </c>
      <c r="DD18" s="7">
        <v>-4.1014187319333921E-2</v>
      </c>
      <c r="DE18" s="7">
        <v>-3.8420587486450893E-2</v>
      </c>
      <c r="DF18" s="7">
        <v>-2.8071975077961529E-2</v>
      </c>
      <c r="DG18" s="7">
        <v>-5.4770484126873797E-2</v>
      </c>
      <c r="DH18" s="7">
        <v>1.305003261692848E-2</v>
      </c>
      <c r="DI18" s="7">
        <v>1.8613248030418191E-2</v>
      </c>
      <c r="DJ18" s="7">
        <v>0.14619607609941229</v>
      </c>
      <c r="DK18" s="7">
        <v>-5.7250589986626008E-2</v>
      </c>
      <c r="DL18" s="7">
        <v>-3.830274067592157E-3</v>
      </c>
      <c r="DM18" s="7">
        <v>-5.250678742263995E-3</v>
      </c>
      <c r="DN18" s="7">
        <v>0.1251086832695307</v>
      </c>
      <c r="DO18" s="7">
        <v>0.22032021179129849</v>
      </c>
      <c r="DP18" s="7">
        <v>-2.151033475949439E-2</v>
      </c>
      <c r="DQ18" s="7">
        <v>-6.1955528967367397E-2</v>
      </c>
      <c r="DR18" s="7">
        <v>7.6840654771961045E-2</v>
      </c>
      <c r="DS18" s="7">
        <v>-0.1477219984517327</v>
      </c>
      <c r="DT18" s="7">
        <v>-2.2601034841107401E-2</v>
      </c>
      <c r="DU18" s="7">
        <v>-0.16258878442425009</v>
      </c>
      <c r="DV18" s="7">
        <v>7.0527692506077544E-2</v>
      </c>
      <c r="DW18" s="7">
        <v>-5.7977380330111863E-2</v>
      </c>
      <c r="DX18" s="7">
        <v>6.8177293521735294E-2</v>
      </c>
      <c r="DY18" s="7">
        <v>0.16576310466200311</v>
      </c>
      <c r="DZ18" s="7">
        <v>-4.3227854869441883E-2</v>
      </c>
      <c r="EA18" s="7">
        <v>0.19894574816433719</v>
      </c>
      <c r="EB18" s="7">
        <v>-9.7042689542278932E-2</v>
      </c>
      <c r="EC18" s="7">
        <v>-0.14304023059278551</v>
      </c>
      <c r="ED18" s="7">
        <v>-8.0269196127523076E-2</v>
      </c>
      <c r="EE18" s="7">
        <v>-1.111287672357628E-3</v>
      </c>
      <c r="EF18" s="8">
        <v>4.8955017110416547E-2</v>
      </c>
    </row>
    <row r="19" spans="1:136" x14ac:dyDescent="0.3">
      <c r="A19" s="1">
        <v>160</v>
      </c>
      <c r="B19" s="1">
        <v>6</v>
      </c>
      <c r="C19" s="7">
        <v>0.19660026531165431</v>
      </c>
      <c r="D19" s="7">
        <v>-2.017079945419575E-2</v>
      </c>
      <c r="E19" s="7">
        <v>-5.4898093767412171E-2</v>
      </c>
      <c r="F19" s="7">
        <v>-3.864668188624408E-2</v>
      </c>
      <c r="G19" s="7">
        <v>-9.7512090561600123E-2</v>
      </c>
      <c r="H19" s="7">
        <v>0.14889412203584729</v>
      </c>
      <c r="I19" s="7">
        <v>0.1346543328914665</v>
      </c>
      <c r="J19" s="7">
        <v>3.5429584520191022E-2</v>
      </c>
      <c r="K19" s="7">
        <v>-0.41833785096963422</v>
      </c>
      <c r="L19" s="7">
        <v>4.3048957635166023E-2</v>
      </c>
      <c r="M19" s="7">
        <v>8.6210339026117716E-2</v>
      </c>
      <c r="N19" s="7">
        <v>9.5347885689980899E-2</v>
      </c>
      <c r="O19" s="7">
        <v>9.2221383019457218E-2</v>
      </c>
      <c r="P19" s="7">
        <v>-9.2534186186697107E-2</v>
      </c>
      <c r="Q19" s="7">
        <v>-8.1866112736540833E-2</v>
      </c>
      <c r="R19" s="7">
        <v>-0.14558327280221009</v>
      </c>
      <c r="S19" s="7">
        <v>-0.18416011669760801</v>
      </c>
      <c r="T19" s="7">
        <v>-2.7154277986299109E-2</v>
      </c>
      <c r="U19" s="7">
        <v>-0.13569833863192321</v>
      </c>
      <c r="V19" s="7">
        <v>3.6618687785451319E-2</v>
      </c>
      <c r="W19" s="7">
        <v>0.14662099071751011</v>
      </c>
      <c r="X19" s="7">
        <v>0.1166390452640934</v>
      </c>
      <c r="Y19" s="7">
        <v>2.5628637528156511E-2</v>
      </c>
      <c r="Z19" s="7">
        <v>9.1619110576023566E-2</v>
      </c>
      <c r="AA19" s="7">
        <v>-4.1570184538155738E-2</v>
      </c>
      <c r="AB19" s="7">
        <v>0.10225360588394269</v>
      </c>
      <c r="AC19" s="7">
        <v>2.8452834641691321E-2</v>
      </c>
      <c r="AD19" s="7">
        <v>3.5088928587950333E-2</v>
      </c>
      <c r="AE19" s="7">
        <v>-0.1694160609977898</v>
      </c>
      <c r="AF19" s="7">
        <v>3.8785666808899749E-2</v>
      </c>
      <c r="AG19" s="7">
        <v>2.2136219072547821E-2</v>
      </c>
      <c r="AH19" s="7">
        <v>0.20415628716520959</v>
      </c>
      <c r="AI19" s="7">
        <v>9.1548662924674465E-2</v>
      </c>
      <c r="AJ19" s="7">
        <v>1.2167191575980511E-2</v>
      </c>
      <c r="AK19" s="7">
        <v>4.9058784633890858E-2</v>
      </c>
      <c r="AL19" s="7">
        <v>-1.491460752979841E-2</v>
      </c>
      <c r="AM19" s="7">
        <v>-6.112413105384671E-2</v>
      </c>
      <c r="AN19" s="7">
        <v>8.3568294365682083E-2</v>
      </c>
      <c r="AO19" s="7">
        <v>2.589290304541441E-2</v>
      </c>
      <c r="AP19" s="7">
        <v>0.1248282508070169</v>
      </c>
      <c r="AQ19" s="7">
        <v>4.2375665159203019E-2</v>
      </c>
      <c r="AR19" s="7">
        <v>-4.1144514895575801E-2</v>
      </c>
      <c r="AS19" s="7">
        <v>-0.1091988760530663</v>
      </c>
      <c r="AT19" s="7">
        <v>0.18459366381005801</v>
      </c>
      <c r="AU19" s="7">
        <v>-0.1530146264742607</v>
      </c>
      <c r="AV19" s="7">
        <v>-3.0326096026080519E-3</v>
      </c>
      <c r="AW19" s="7">
        <v>2.2356168154136491E-2</v>
      </c>
      <c r="AX19" s="7">
        <v>8.0206414310412866E-2</v>
      </c>
      <c r="AY19" s="7">
        <v>2.9528970393379841E-2</v>
      </c>
      <c r="AZ19" s="7">
        <v>-0.18687961816817431</v>
      </c>
      <c r="BA19" s="7">
        <v>-1.509016555835047E-3</v>
      </c>
      <c r="BB19" s="7">
        <v>0.15974619907243159</v>
      </c>
      <c r="BC19" s="7">
        <v>6.4055486346185769E-2</v>
      </c>
      <c r="BD19" s="7">
        <v>-3.2343926300681461E-3</v>
      </c>
      <c r="BE19" s="7">
        <v>5.1131873963666558E-2</v>
      </c>
      <c r="BF19" s="7">
        <v>-0.14180943496374171</v>
      </c>
      <c r="BG19" s="7">
        <v>-0.15330875116978829</v>
      </c>
      <c r="BH19" s="7">
        <v>-0.14049690595357331</v>
      </c>
      <c r="BI19" s="7">
        <v>0.1012842299592162</v>
      </c>
      <c r="BJ19" s="7">
        <v>-5.8912217172455733E-2</v>
      </c>
      <c r="BK19" s="7">
        <v>-5.1749526091992383E-2</v>
      </c>
      <c r="BL19" s="7">
        <v>7.9964658146503109E-2</v>
      </c>
      <c r="BM19" s="7">
        <v>0.1142506002586957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-7.5936251234238056E-2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3.4250281744717319E-3</v>
      </c>
      <c r="CA19" s="7">
        <v>5.6215143833243067E-2</v>
      </c>
      <c r="CB19" s="7">
        <v>7.8976807618525546E-2</v>
      </c>
      <c r="CC19" s="7">
        <v>-2.4723252765827462E-2</v>
      </c>
      <c r="CD19" s="7">
        <v>0.21561919809371791</v>
      </c>
      <c r="CE19" s="7">
        <v>-0.1982658291769592</v>
      </c>
      <c r="CF19" s="7">
        <v>7.9051524970814385E-2</v>
      </c>
      <c r="CG19" s="7">
        <v>-5.7117624866957151E-2</v>
      </c>
      <c r="CH19" s="7">
        <v>-4.271504374273416E-2</v>
      </c>
      <c r="CI19" s="7">
        <v>-0.11073420775370441</v>
      </c>
      <c r="CJ19" s="7">
        <v>-6.194049996603615E-2</v>
      </c>
      <c r="CK19" s="7">
        <v>0.1039677178170982</v>
      </c>
      <c r="CL19" s="7">
        <v>-4.3240279974789908E-2</v>
      </c>
      <c r="CM19" s="7">
        <v>-0.1102358787373677</v>
      </c>
      <c r="CN19" s="7">
        <v>-7.6932654667303466E-2</v>
      </c>
      <c r="CO19" s="7">
        <v>-0.16614655777528059</v>
      </c>
      <c r="CP19" s="7">
        <v>0.13741472475783589</v>
      </c>
      <c r="CQ19" s="7">
        <v>3.2394607516418629E-2</v>
      </c>
      <c r="CR19" s="7">
        <v>0.17630672424619201</v>
      </c>
      <c r="CS19" s="7">
        <v>-5.4250449548333517E-2</v>
      </c>
      <c r="CT19" s="7">
        <v>2.6421201288258939E-2</v>
      </c>
      <c r="CU19" s="7">
        <v>-0.146607543260939</v>
      </c>
      <c r="CV19" s="7">
        <v>9.4553007971378916E-2</v>
      </c>
      <c r="CW19" s="7">
        <v>-3.2192133387815562E-2</v>
      </c>
      <c r="CX19" s="7">
        <v>-0.1481502908045049</v>
      </c>
      <c r="CY19" s="7">
        <v>0.107892119457191</v>
      </c>
      <c r="CZ19" s="7">
        <v>-5.7499263088511957E-2</v>
      </c>
      <c r="DA19" s="7">
        <v>0.1196963982118486</v>
      </c>
      <c r="DB19" s="7">
        <v>0.28613845390130638</v>
      </c>
      <c r="DC19" s="7">
        <v>-6.5587584737896831E-2</v>
      </c>
      <c r="DD19" s="7">
        <v>-6.2011252548289514E-3</v>
      </c>
      <c r="DE19" s="7">
        <v>-3.3018414655792E-2</v>
      </c>
      <c r="DF19" s="7">
        <v>-2.1296342427166989E-2</v>
      </c>
      <c r="DG19" s="7">
        <v>-6.6374264994436313E-2</v>
      </c>
      <c r="DH19" s="7">
        <v>4.3220605483251413E-2</v>
      </c>
      <c r="DI19" s="7">
        <v>5.8647033011268501E-2</v>
      </c>
      <c r="DJ19" s="7">
        <v>0.16525046895907189</v>
      </c>
      <c r="DK19" s="7">
        <v>-1.598428957466394E-2</v>
      </c>
      <c r="DL19" s="7">
        <v>-1.198278590897381E-2</v>
      </c>
      <c r="DM19" s="7">
        <v>4.6097902485627673E-2</v>
      </c>
      <c r="DN19" s="7">
        <v>0.17392830172854831</v>
      </c>
      <c r="DO19" s="7">
        <v>0.2492619517097443</v>
      </c>
      <c r="DP19" s="7">
        <v>-4.0024609312920081E-3</v>
      </c>
      <c r="DQ19" s="7">
        <v>-5.0623171449732877E-2</v>
      </c>
      <c r="DR19" s="7">
        <v>7.5962353325048193E-2</v>
      </c>
      <c r="DS19" s="7">
        <v>-0.1779955469539703</v>
      </c>
      <c r="DT19" s="7">
        <v>-5.0332465201051654E-3</v>
      </c>
      <c r="DU19" s="7">
        <v>-0.1945194394629792</v>
      </c>
      <c r="DV19" s="7">
        <v>7.1593386597402109E-2</v>
      </c>
      <c r="DW19" s="7">
        <v>-5.6843988321460988E-2</v>
      </c>
      <c r="DX19" s="7">
        <v>9.4614193357537776E-2</v>
      </c>
      <c r="DY19" s="7">
        <v>0.15211940960448689</v>
      </c>
      <c r="DZ19" s="7">
        <v>-7.9643568138435011E-2</v>
      </c>
      <c r="EA19" s="7">
        <v>0.23304583030528039</v>
      </c>
      <c r="EB19" s="7">
        <v>-0.1062458580254447</v>
      </c>
      <c r="EC19" s="7">
        <v>-0.14377420282500911</v>
      </c>
      <c r="ED19" s="7">
        <v>-8.6159550798174361E-2</v>
      </c>
      <c r="EE19" s="7">
        <v>7.3065266771277096E-3</v>
      </c>
      <c r="EF19" s="8">
        <v>1.697795487476916E-2</v>
      </c>
    </row>
    <row r="20" spans="1:136" x14ac:dyDescent="0.3">
      <c r="A20" s="1">
        <v>192</v>
      </c>
      <c r="B20" s="1">
        <v>5</v>
      </c>
      <c r="C20" s="7">
        <v>0.2015510478639157</v>
      </c>
      <c r="D20" s="7">
        <v>3.5171826374555398E-4</v>
      </c>
      <c r="E20" s="7">
        <v>1.5499988144333969E-2</v>
      </c>
      <c r="F20" s="7">
        <v>-9.1218422172045968E-2</v>
      </c>
      <c r="G20" s="7">
        <v>-0.1003659119188639</v>
      </c>
      <c r="H20" s="7">
        <v>0.1643719981286699</v>
      </c>
      <c r="I20" s="7">
        <v>0.15814956260110169</v>
      </c>
      <c r="J20" s="7">
        <v>3.4471258726856233E-2</v>
      </c>
      <c r="K20" s="7">
        <v>-9.0108654122673978E-2</v>
      </c>
      <c r="L20" s="7">
        <v>9.5708635504535719E-2</v>
      </c>
      <c r="M20" s="7">
        <v>0.100133414364086</v>
      </c>
      <c r="N20" s="7">
        <v>0.10192492904563991</v>
      </c>
      <c r="O20" s="7">
        <v>9.9101484144473756E-2</v>
      </c>
      <c r="P20" s="7">
        <v>-9.1169927668525261E-2</v>
      </c>
      <c r="Q20" s="7">
        <v>-0.10704532145072811</v>
      </c>
      <c r="R20" s="7">
        <v>-0.19094246698951389</v>
      </c>
      <c r="S20" s="7">
        <v>-0.15518261832774261</v>
      </c>
      <c r="T20" s="7">
        <v>1.566291051925937E-2</v>
      </c>
      <c r="U20" s="7">
        <v>-0.14864968011777491</v>
      </c>
      <c r="V20" s="7">
        <v>1.2644103117188939E-2</v>
      </c>
      <c r="W20" s="7">
        <v>0.17308537617758091</v>
      </c>
      <c r="X20" s="7">
        <v>0.14869720125713359</v>
      </c>
      <c r="Y20" s="7">
        <v>4.2067489538597257E-2</v>
      </c>
      <c r="Z20" s="7">
        <v>0.1056169604836593</v>
      </c>
      <c r="AA20" s="7">
        <v>-2.159455338729711E-2</v>
      </c>
      <c r="AB20" s="7">
        <v>8.4759840726173208E-2</v>
      </c>
      <c r="AC20" s="7">
        <v>5.6443345640519567E-2</v>
      </c>
      <c r="AD20" s="7">
        <v>3.4453902851829692E-2</v>
      </c>
      <c r="AE20" s="7">
        <v>-0.1992928643390979</v>
      </c>
      <c r="AF20" s="7">
        <v>3.9044678387579961E-2</v>
      </c>
      <c r="AG20" s="7">
        <v>2.7659218539892259E-2</v>
      </c>
      <c r="AH20" s="7">
        <v>0.21664245264836079</v>
      </c>
      <c r="AI20" s="7">
        <v>0.11633675505532361</v>
      </c>
      <c r="AJ20" s="7">
        <v>1.7241715716101249E-2</v>
      </c>
      <c r="AK20" s="7">
        <v>6.6966361142645286E-2</v>
      </c>
      <c r="AL20" s="7">
        <v>-2.0780265108594719E-2</v>
      </c>
      <c r="AM20" s="7">
        <v>-6.7529859788327179E-2</v>
      </c>
      <c r="AN20" s="7">
        <v>7.5470193518998266E-2</v>
      </c>
      <c r="AO20" s="7">
        <v>4.528508196468839E-2</v>
      </c>
      <c r="AP20" s="7">
        <v>0.13972025823966011</v>
      </c>
      <c r="AQ20" s="7">
        <v>3.3308231095544441E-2</v>
      </c>
      <c r="AR20" s="7">
        <v>-2.9738999850300981E-2</v>
      </c>
      <c r="AS20" s="7">
        <v>-4.2291716448975919E-2</v>
      </c>
      <c r="AT20" s="7">
        <v>0.23912374744507051</v>
      </c>
      <c r="AU20" s="7">
        <v>-0.14307264092716551</v>
      </c>
      <c r="AV20" s="7">
        <v>-3.2246612786763357E-2</v>
      </c>
      <c r="AW20" s="7">
        <v>6.8652681791509596E-3</v>
      </c>
      <c r="AX20" s="7">
        <v>0.11073254799870159</v>
      </c>
      <c r="AY20" s="7">
        <v>3.8674698442909439E-2</v>
      </c>
      <c r="AZ20" s="7">
        <v>-0.21380243117708869</v>
      </c>
      <c r="BA20" s="7">
        <v>-0.1020775703207792</v>
      </c>
      <c r="BB20" s="7">
        <v>0.1676554233765693</v>
      </c>
      <c r="BC20" s="7">
        <v>7.0605567677740205E-2</v>
      </c>
      <c r="BD20" s="7">
        <v>-5.3429813221597323E-2</v>
      </c>
      <c r="BE20" s="7">
        <v>-5.9467971392603326E-3</v>
      </c>
      <c r="BF20" s="7">
        <v>-0.13797126306897531</v>
      </c>
      <c r="BG20" s="7">
        <v>-9.4062055608340231E-2</v>
      </c>
      <c r="BH20" s="7">
        <v>-0.1500573005634544</v>
      </c>
      <c r="BI20" s="7">
        <v>0.1142556657345235</v>
      </c>
      <c r="BJ20" s="7">
        <v>-4.9139783811273992E-2</v>
      </c>
      <c r="BK20" s="7">
        <v>-5.9233167842827283E-2</v>
      </c>
      <c r="BL20" s="7">
        <v>8.6292231176454737E-2</v>
      </c>
      <c r="BM20" s="7">
        <v>0.1369176613284383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-9.8754949367706665E-2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5.7200581216984223E-3</v>
      </c>
      <c r="CA20" s="7">
        <v>-2.4248534739425901E-2</v>
      </c>
      <c r="CB20" s="7">
        <v>-1.077551010283638E-4</v>
      </c>
      <c r="CC20" s="7">
        <v>-2.6043033783065061E-2</v>
      </c>
      <c r="CD20" s="7">
        <v>0.1810274974905971</v>
      </c>
      <c r="CE20" s="7">
        <v>-0.2439637954697331</v>
      </c>
      <c r="CF20" s="7">
        <v>0.1057848892760917</v>
      </c>
      <c r="CG20" s="7">
        <v>-7.597024074310807E-2</v>
      </c>
      <c r="CH20" s="7">
        <v>-2.219522902413288E-2</v>
      </c>
      <c r="CI20" s="7">
        <v>-8.5208202435075389E-2</v>
      </c>
      <c r="CJ20" s="7">
        <v>-0.123440319887351</v>
      </c>
      <c r="CK20" s="7">
        <v>9.0978396750106633E-2</v>
      </c>
      <c r="CL20" s="7">
        <v>-9.2184934189128986E-2</v>
      </c>
      <c r="CM20" s="7">
        <v>-9.6775805849237839E-2</v>
      </c>
      <c r="CN20" s="7">
        <v>2.215941137048465E-2</v>
      </c>
      <c r="CO20" s="7">
        <v>-0.22851820318154101</v>
      </c>
      <c r="CP20" s="7">
        <v>0.15666075519518291</v>
      </c>
      <c r="CQ20" s="7">
        <v>2.3118045300283038E-2</v>
      </c>
      <c r="CR20" s="7">
        <v>0.1954861104849421</v>
      </c>
      <c r="CS20" s="7">
        <v>-9.7137098734322067E-2</v>
      </c>
      <c r="CT20" s="7">
        <v>2.841440739658805E-2</v>
      </c>
      <c r="CU20" s="7">
        <v>-0.14672800907162681</v>
      </c>
      <c r="CV20" s="7">
        <v>0.11921412821268471</v>
      </c>
      <c r="CW20" s="7">
        <v>-2.5816402571476719E-2</v>
      </c>
      <c r="CX20" s="7">
        <v>-0.14515418799986671</v>
      </c>
      <c r="CY20" s="7">
        <v>0.1009666571118235</v>
      </c>
      <c r="CZ20" s="7">
        <v>-1.306263386233056E-2</v>
      </c>
      <c r="DA20" s="7">
        <v>0.22461946091303281</v>
      </c>
      <c r="DB20" s="7">
        <v>0.38248992026639161</v>
      </c>
      <c r="DC20" s="7">
        <v>-3.7332311138400742E-2</v>
      </c>
      <c r="DD20" s="7">
        <v>-3.597184756950339E-3</v>
      </c>
      <c r="DE20" s="7">
        <v>-1.0418721606852799E-2</v>
      </c>
      <c r="DF20" s="7">
        <v>-4.5499958490798388E-2</v>
      </c>
      <c r="DG20" s="7">
        <v>-5.2344813299819028E-2</v>
      </c>
      <c r="DH20" s="7">
        <v>4.8058412185503073E-2</v>
      </c>
      <c r="DI20" s="7">
        <v>7.4248335592093345E-2</v>
      </c>
      <c r="DJ20" s="7">
        <v>0.1365580924326974</v>
      </c>
      <c r="DK20" s="7">
        <v>-2.0765658487994779E-2</v>
      </c>
      <c r="DL20" s="7">
        <v>-1.9465373333619789E-2</v>
      </c>
      <c r="DM20" s="7">
        <v>-4.2864774108345972E-2</v>
      </c>
      <c r="DN20" s="7">
        <v>0.18323473362116879</v>
      </c>
      <c r="DO20" s="7">
        <v>0.25800136345901148</v>
      </c>
      <c r="DP20" s="7">
        <v>-2.167126176510448E-2</v>
      </c>
      <c r="DQ20" s="7">
        <v>-3.8540311084368499E-2</v>
      </c>
      <c r="DR20" s="7">
        <v>7.8512660028290493E-2</v>
      </c>
      <c r="DS20" s="7">
        <v>-0.20608109757835469</v>
      </c>
      <c r="DT20" s="7">
        <v>2.968533879884255E-2</v>
      </c>
      <c r="DU20" s="7">
        <v>-0.27264432784194559</v>
      </c>
      <c r="DV20" s="7">
        <v>0.10204218118247529</v>
      </c>
      <c r="DW20" s="7">
        <v>-6.2285391912211358E-2</v>
      </c>
      <c r="DX20" s="7">
        <v>9.7851218204725254E-2</v>
      </c>
      <c r="DY20" s="7">
        <v>0.1874018300391932</v>
      </c>
      <c r="DZ20" s="7">
        <v>1.8115126512382701E-2</v>
      </c>
      <c r="EA20" s="7">
        <v>0.29368998396417129</v>
      </c>
      <c r="EB20" s="7">
        <v>-0.10631226685028709</v>
      </c>
      <c r="EC20" s="7">
        <v>-0.13100614576206751</v>
      </c>
      <c r="ED20" s="7">
        <v>-7.4625657997327538E-2</v>
      </c>
      <c r="EE20" s="7">
        <v>1.7409797518545299E-3</v>
      </c>
      <c r="EF20" s="8">
        <v>2.0281416615907238E-2</v>
      </c>
    </row>
    <row r="21" spans="1:136" x14ac:dyDescent="0.3">
      <c r="A21" s="1">
        <v>241</v>
      </c>
      <c r="B21" s="1">
        <v>4</v>
      </c>
      <c r="C21" s="7">
        <v>0.21462957980695321</v>
      </c>
      <c r="D21" s="7">
        <v>-3.6770939515919088E-4</v>
      </c>
      <c r="E21" s="7">
        <v>-2.7935227079184388E-4</v>
      </c>
      <c r="F21" s="7">
        <v>-5.1097483846408213E-2</v>
      </c>
      <c r="G21" s="7">
        <v>-7.2961380278514509E-3</v>
      </c>
      <c r="H21" s="7">
        <v>0.1986680609797658</v>
      </c>
      <c r="I21" s="7">
        <v>0.14725560812747299</v>
      </c>
      <c r="J21" s="7">
        <v>6.0435325691642318E-2</v>
      </c>
      <c r="K21" s="7">
        <v>-8.8973017354022049E-2</v>
      </c>
      <c r="L21" s="7">
        <v>0.1096796074542299</v>
      </c>
      <c r="M21" s="7">
        <v>7.5660649926760526E-2</v>
      </c>
      <c r="N21" s="7">
        <v>9.9587412122941574E-2</v>
      </c>
      <c r="O21" s="7">
        <v>0.1297824585303535</v>
      </c>
      <c r="P21" s="7">
        <v>-0.14477260088968491</v>
      </c>
      <c r="Q21" s="7">
        <v>-8.1195369015973365E-2</v>
      </c>
      <c r="R21" s="7">
        <v>-0.14269209072332131</v>
      </c>
      <c r="S21" s="7">
        <v>-0.12859028544995699</v>
      </c>
      <c r="T21" s="7">
        <v>-1.4040364340204919E-2</v>
      </c>
      <c r="U21" s="7">
        <v>-8.6278417611758002E-2</v>
      </c>
      <c r="V21" s="7">
        <v>5.3557619366031213E-2</v>
      </c>
      <c r="W21" s="7">
        <v>0.15778847961546261</v>
      </c>
      <c r="X21" s="7">
        <v>0.19733717858364669</v>
      </c>
      <c r="Y21" s="7">
        <v>2.0833082892434851E-2</v>
      </c>
      <c r="Z21" s="7">
        <v>0.1142039872227245</v>
      </c>
      <c r="AA21" s="7">
        <v>1.9491043540093941E-2</v>
      </c>
      <c r="AB21" s="7">
        <v>0.1298395823970698</v>
      </c>
      <c r="AC21" s="7">
        <v>7.43011297920224E-2</v>
      </c>
      <c r="AD21" s="7">
        <v>4.6697424552745621E-2</v>
      </c>
      <c r="AE21" s="7">
        <v>-0.24045611049318669</v>
      </c>
      <c r="AF21" s="7">
        <v>5.3125609886562987E-2</v>
      </c>
      <c r="AG21" s="7">
        <v>4.4302777789794079E-2</v>
      </c>
      <c r="AH21" s="7">
        <v>0.2403512556587668</v>
      </c>
      <c r="AI21" s="7">
        <v>0.10212367551148389</v>
      </c>
      <c r="AJ21" s="7">
        <v>5.1859256457010838E-3</v>
      </c>
      <c r="AK21" s="7">
        <v>0.10498861015229349</v>
      </c>
      <c r="AL21" s="7">
        <v>-3.7391486134754182E-2</v>
      </c>
      <c r="AM21" s="7">
        <v>6.312571800748347E-2</v>
      </c>
      <c r="AN21" s="7">
        <v>0.11195605606309431</v>
      </c>
      <c r="AO21" s="7">
        <v>4.7726395643726653E-2</v>
      </c>
      <c r="AP21" s="7">
        <v>0.188101205770319</v>
      </c>
      <c r="AQ21" s="7">
        <v>3.7036188450574832E-2</v>
      </c>
      <c r="AR21" s="7">
        <v>-3.4197900630824132E-2</v>
      </c>
      <c r="AS21" s="7">
        <v>-4.5406682060008141E-2</v>
      </c>
      <c r="AT21" s="7">
        <v>0.26483825754799722</v>
      </c>
      <c r="AU21" s="7">
        <v>-6.3455329613280029E-2</v>
      </c>
      <c r="AV21" s="7">
        <v>-6.871391269647964E-2</v>
      </c>
      <c r="AW21" s="7">
        <v>9.7910299540974015E-3</v>
      </c>
      <c r="AX21" s="7">
        <v>0.1431476874697567</v>
      </c>
      <c r="AY21" s="7">
        <v>4.7021290978038012E-2</v>
      </c>
      <c r="AZ21" s="7">
        <v>-0.25491126989713642</v>
      </c>
      <c r="BA21" s="7">
        <v>-1.9293207635707351E-2</v>
      </c>
      <c r="BB21" s="7">
        <v>0.2253461350383382</v>
      </c>
      <c r="BC21" s="7">
        <v>3.8321147725193863E-2</v>
      </c>
      <c r="BD21" s="7">
        <v>-2.1750863370627919E-2</v>
      </c>
      <c r="BE21" s="7">
        <v>6.3505333974014731E-3</v>
      </c>
      <c r="BF21" s="7">
        <v>-0.19911721643060321</v>
      </c>
      <c r="BG21" s="7">
        <v>-9.2285571507253639E-2</v>
      </c>
      <c r="BH21" s="7">
        <v>-0.1068421096374302</v>
      </c>
      <c r="BI21" s="7">
        <v>0.15387464609225671</v>
      </c>
      <c r="BJ21" s="7">
        <v>-3.1982514410992063E-2</v>
      </c>
      <c r="BK21" s="7">
        <v>-6.8449880379534783E-2</v>
      </c>
      <c r="BL21" s="7">
        <v>0.1427210926463498</v>
      </c>
      <c r="BM21" s="7">
        <v>0.15512000392109981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-0.1354964621985692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-5.1498204014449961E-2</v>
      </c>
      <c r="CA21" s="7">
        <v>-3.8078939475266402E-2</v>
      </c>
      <c r="CB21" s="7">
        <v>7.3466099404929153E-2</v>
      </c>
      <c r="CC21" s="7">
        <v>-4.6693549468963022E-2</v>
      </c>
      <c r="CD21" s="7">
        <v>0.28805606436247322</v>
      </c>
      <c r="CE21" s="7">
        <v>-0.39507594246504552</v>
      </c>
      <c r="CF21" s="7">
        <v>0.1145261576111684</v>
      </c>
      <c r="CG21" s="7">
        <v>-8.508533547413108E-2</v>
      </c>
      <c r="CH21" s="7">
        <v>-0.15662644062696859</v>
      </c>
      <c r="CI21" s="7">
        <v>-7.3182727074998788E-2</v>
      </c>
      <c r="CJ21" s="7">
        <v>-8.5627757016502298E-2</v>
      </c>
      <c r="CK21" s="7">
        <v>0.12705054673013411</v>
      </c>
      <c r="CL21" s="7">
        <v>-0.13389042462296469</v>
      </c>
      <c r="CM21" s="7">
        <v>-0.1162318191805591</v>
      </c>
      <c r="CN21" s="7">
        <v>3.05388902037756E-2</v>
      </c>
      <c r="CO21" s="7">
        <v>-0.23779198113939251</v>
      </c>
      <c r="CP21" s="7">
        <v>9.8307306124050364E-2</v>
      </c>
      <c r="CQ21" s="7">
        <v>2.2912194169496192E-2</v>
      </c>
      <c r="CR21" s="7">
        <v>0.23905996636126789</v>
      </c>
      <c r="CS21" s="7">
        <v>-6.1269036219330789E-2</v>
      </c>
      <c r="CT21" s="7">
        <v>4.7993104073004042E-2</v>
      </c>
      <c r="CU21" s="7">
        <v>-0.1589166223174501</v>
      </c>
      <c r="CV21" s="7">
        <v>0.1543318447745724</v>
      </c>
      <c r="CW21" s="7">
        <v>-3.0752481308038811E-2</v>
      </c>
      <c r="CX21" s="7">
        <v>-0.15696884691161159</v>
      </c>
      <c r="CY21" s="7">
        <v>0.15245230624531919</v>
      </c>
      <c r="CZ21" s="7">
        <v>-1.3847206411700621E-2</v>
      </c>
      <c r="DA21" s="7">
        <v>0.27617086600272128</v>
      </c>
      <c r="DB21" s="7">
        <v>0.47235073547067691</v>
      </c>
      <c r="DC21" s="7">
        <v>-0.1539047953697186</v>
      </c>
      <c r="DD21" s="7">
        <v>-2.8187943910707451E-3</v>
      </c>
      <c r="DE21" s="7">
        <v>-2.897773706032665E-2</v>
      </c>
      <c r="DF21" s="7">
        <v>-0.1488089024897431</v>
      </c>
      <c r="DG21" s="7">
        <v>-5.9409518844913557E-2</v>
      </c>
      <c r="DH21" s="7">
        <v>-1.0355571501857411E-2</v>
      </c>
      <c r="DI21" s="7">
        <v>9.0149202717820648E-2</v>
      </c>
      <c r="DJ21" s="7">
        <v>0.1566057184636416</v>
      </c>
      <c r="DK21" s="7">
        <v>-2.0966062152018541E-2</v>
      </c>
      <c r="DL21" s="7">
        <v>-1.273699150101321E-2</v>
      </c>
      <c r="DM21" s="7">
        <v>4.2545640208855387E-3</v>
      </c>
      <c r="DN21" s="7">
        <v>0.22029564086452741</v>
      </c>
      <c r="DO21" s="7">
        <v>0.33162680487864599</v>
      </c>
      <c r="DP21" s="7">
        <v>-3.7108633098233243E-2</v>
      </c>
      <c r="DQ21" s="7">
        <v>-2.821605205239688E-2</v>
      </c>
      <c r="DR21" s="7">
        <v>5.0170859037080733E-2</v>
      </c>
      <c r="DS21" s="7">
        <v>-0.20083947383729561</v>
      </c>
      <c r="DT21" s="7">
        <v>5.2151903466792276E-3</v>
      </c>
      <c r="DU21" s="7">
        <v>-0.3398066388575679</v>
      </c>
      <c r="DV21" s="7">
        <v>0.15489825112990471</v>
      </c>
      <c r="DW21" s="7">
        <v>-0.12266433094633469</v>
      </c>
      <c r="DX21" s="7">
        <v>0.1168288898747825</v>
      </c>
      <c r="DY21" s="7">
        <v>0.22566188118798919</v>
      </c>
      <c r="DZ21" s="7">
        <v>0.17989102172490029</v>
      </c>
      <c r="EA21" s="7">
        <v>0.26605683227934601</v>
      </c>
      <c r="EB21" s="7">
        <v>-0.10329555902400769</v>
      </c>
      <c r="EC21" s="7">
        <v>-0.14009401795222581</v>
      </c>
      <c r="ED21" s="7">
        <v>-8.2730047503211529E-2</v>
      </c>
      <c r="EE21" s="7">
        <v>-2.1310592307867391E-2</v>
      </c>
      <c r="EF21" s="8">
        <v>-1.8771264042119089E-2</v>
      </c>
    </row>
    <row r="22" spans="1:136" x14ac:dyDescent="0.3">
      <c r="A22" s="1">
        <v>321</v>
      </c>
      <c r="B22" s="1">
        <v>3</v>
      </c>
      <c r="C22" s="7">
        <v>0.20528030103697539</v>
      </c>
      <c r="D22" s="7">
        <v>-4.4680896903486519E-2</v>
      </c>
      <c r="E22" s="7">
        <v>-4.1027532000619052E-2</v>
      </c>
      <c r="F22" s="7">
        <v>-9.7433995578986451E-2</v>
      </c>
      <c r="G22" s="7">
        <v>-3.2954824249798613E-2</v>
      </c>
      <c r="H22" s="7">
        <v>0.17874946348762291</v>
      </c>
      <c r="I22" s="7">
        <v>0.12349316933806979</v>
      </c>
      <c r="J22" s="7">
        <v>5.2598589265342909E-2</v>
      </c>
      <c r="K22" s="7">
        <v>-0.1532867706545093</v>
      </c>
      <c r="L22" s="7">
        <v>0.17118335942590121</v>
      </c>
      <c r="M22" s="7">
        <v>-0.22515860506358171</v>
      </c>
      <c r="N22" s="7">
        <v>0.1332804190232465</v>
      </c>
      <c r="O22" s="7">
        <v>0.1434803460042724</v>
      </c>
      <c r="P22" s="7">
        <v>-7.2782884128816977E-2</v>
      </c>
      <c r="Q22" s="7">
        <v>-8.9282518103847214E-2</v>
      </c>
      <c r="R22" s="7">
        <v>-0.18067973019128461</v>
      </c>
      <c r="S22" s="7">
        <v>-0.16964655555794059</v>
      </c>
      <c r="T22" s="7">
        <v>-2.023861247683403E-2</v>
      </c>
      <c r="U22" s="7">
        <v>-0.11059002340250421</v>
      </c>
      <c r="V22" s="7">
        <v>3.8286776519855507E-2</v>
      </c>
      <c r="W22" s="7">
        <v>0.20748026702429739</v>
      </c>
      <c r="X22" s="7">
        <v>0.214900047729565</v>
      </c>
      <c r="Y22" s="7">
        <v>1.5732208413521059E-2</v>
      </c>
      <c r="Z22" s="7">
        <v>7.5548269145846045E-2</v>
      </c>
      <c r="AA22" s="7">
        <v>7.0480168868567589E-3</v>
      </c>
      <c r="AB22" s="7">
        <v>0.13443621271332551</v>
      </c>
      <c r="AC22" s="7">
        <v>7.4420380840427389E-2</v>
      </c>
      <c r="AD22" s="7">
        <v>1.2467302670572489E-2</v>
      </c>
      <c r="AE22" s="7">
        <v>-0.22862111160637419</v>
      </c>
      <c r="AF22" s="7">
        <v>4.718231615802413E-2</v>
      </c>
      <c r="AG22" s="7">
        <v>5.2841540175733892E-2</v>
      </c>
      <c r="AH22" s="7">
        <v>0.24762224616340131</v>
      </c>
      <c r="AI22" s="7">
        <v>0.11100371122694901</v>
      </c>
      <c r="AJ22" s="7">
        <v>1.3081541637357001E-2</v>
      </c>
      <c r="AK22" s="7">
        <v>-6.826932816412784E-2</v>
      </c>
      <c r="AL22" s="7">
        <v>-1.1447262237467839E-3</v>
      </c>
      <c r="AM22" s="7">
        <v>5.6373754363627612E-2</v>
      </c>
      <c r="AN22" s="7">
        <v>0.1111328096635593</v>
      </c>
      <c r="AO22" s="7">
        <v>7.4717373393705613E-2</v>
      </c>
      <c r="AP22" s="7">
        <v>0.25139505764836689</v>
      </c>
      <c r="AQ22" s="7">
        <v>-5.5126720724342937E-2</v>
      </c>
      <c r="AR22" s="7">
        <v>-0.10818370054823639</v>
      </c>
      <c r="AS22" s="7">
        <v>7.3843702685833568E-2</v>
      </c>
      <c r="AT22" s="7">
        <v>1.7728370994436651E-2</v>
      </c>
      <c r="AU22" s="7">
        <v>-0.1099145973181844</v>
      </c>
      <c r="AV22" s="7">
        <v>-8.9753981871632596E-2</v>
      </c>
      <c r="AW22" s="7">
        <v>-3.014938920700894E-2</v>
      </c>
      <c r="AX22" s="7">
        <v>0.17376339998002421</v>
      </c>
      <c r="AY22" s="7">
        <v>7.1733385334230598E-2</v>
      </c>
      <c r="AZ22" s="7">
        <v>-0.1549037783211521</v>
      </c>
      <c r="BA22" s="7">
        <v>-4.9176939747220441E-2</v>
      </c>
      <c r="BB22" s="7">
        <v>0.30192994454042299</v>
      </c>
      <c r="BC22" s="7">
        <v>-0.13083693812295519</v>
      </c>
      <c r="BD22" s="7">
        <v>-2.2174181465828179E-2</v>
      </c>
      <c r="BE22" s="7">
        <v>2.221618339448047E-2</v>
      </c>
      <c r="BF22" s="7">
        <v>-0.1991024485484385</v>
      </c>
      <c r="BG22" s="7">
        <v>4.1231469152780448E-2</v>
      </c>
      <c r="BH22" s="7">
        <v>-0.12770700939641619</v>
      </c>
      <c r="BI22" s="7">
        <v>8.731805917717568E-2</v>
      </c>
      <c r="BJ22" s="7">
        <v>1.023397544910358E-2</v>
      </c>
      <c r="BK22" s="7">
        <v>-4.1839635933665138E-2</v>
      </c>
      <c r="BL22" s="7">
        <v>0.16178033907103531</v>
      </c>
      <c r="BM22" s="7">
        <v>0.19179703945604709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-0.21294876613801031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-5.6322352260074017E-2</v>
      </c>
      <c r="CA22" s="7">
        <v>-6.3406764064362658E-2</v>
      </c>
      <c r="CB22" s="7">
        <v>6.3604269539688812E-2</v>
      </c>
      <c r="CC22" s="7">
        <v>-1.498570343815637E-2</v>
      </c>
      <c r="CD22" s="7">
        <v>0.33387803671272293</v>
      </c>
      <c r="CE22" s="7">
        <v>-0.39338733910427809</v>
      </c>
      <c r="CF22" s="7">
        <v>0.1007703570340648</v>
      </c>
      <c r="CG22" s="7">
        <v>-0.207085332633513</v>
      </c>
      <c r="CH22" s="7">
        <v>-0.1536062848095433</v>
      </c>
      <c r="CI22" s="7">
        <v>-6.4617322810374245E-2</v>
      </c>
      <c r="CJ22" s="7">
        <v>-0.1033795050895627</v>
      </c>
      <c r="CK22" s="7">
        <v>3.6163342604682402E-2</v>
      </c>
      <c r="CL22" s="7">
        <v>-0.2406517986250408</v>
      </c>
      <c r="CM22" s="7">
        <v>-0.21983248519746329</v>
      </c>
      <c r="CN22" s="7">
        <v>-8.5467718209073992E-3</v>
      </c>
      <c r="CO22" s="7">
        <v>-0.18528575790522681</v>
      </c>
      <c r="CP22" s="7">
        <v>0.17184373314239881</v>
      </c>
      <c r="CQ22" s="7">
        <v>1.7159615519123799E-2</v>
      </c>
      <c r="CR22" s="7">
        <v>0.24677276999188669</v>
      </c>
      <c r="CS22" s="7">
        <v>-8.4781935884364376E-2</v>
      </c>
      <c r="CT22" s="7">
        <v>3.8262614575275293E-2</v>
      </c>
      <c r="CU22" s="7">
        <v>-0.16735391118636819</v>
      </c>
      <c r="CV22" s="7">
        <v>0.16622267868955429</v>
      </c>
      <c r="CW22" s="7">
        <v>-1.349979853596164E-2</v>
      </c>
      <c r="CX22" s="7">
        <v>-5.4293295473803682E-2</v>
      </c>
      <c r="CY22" s="7">
        <v>0.16243986871344671</v>
      </c>
      <c r="CZ22" s="7">
        <v>-7.58724644113902E-3</v>
      </c>
      <c r="DA22" s="7">
        <v>0.3054516634548512</v>
      </c>
      <c r="DB22" s="7">
        <v>0.59337517172623166</v>
      </c>
      <c r="DC22" s="7">
        <v>-0.14116723571930959</v>
      </c>
      <c r="DD22" s="7">
        <v>-3.1710169125825367E-2</v>
      </c>
      <c r="DE22" s="7">
        <v>1.7756503501932811E-2</v>
      </c>
      <c r="DF22" s="7">
        <v>-9.7071705636226913E-2</v>
      </c>
      <c r="DG22" s="7">
        <v>-7.1889499417003094E-2</v>
      </c>
      <c r="DH22" s="7">
        <v>3.4688752429190083E-2</v>
      </c>
      <c r="DI22" s="7">
        <v>8.1105543840270106E-2</v>
      </c>
      <c r="DJ22" s="7">
        <v>0.15369976283032971</v>
      </c>
      <c r="DK22" s="7">
        <v>-2.3346176632961561E-2</v>
      </c>
      <c r="DL22" s="7">
        <v>-3.213330743138731E-3</v>
      </c>
      <c r="DM22" s="7">
        <v>4.2676549116040817E-2</v>
      </c>
      <c r="DN22" s="7">
        <v>0.30537502827220309</v>
      </c>
      <c r="DO22" s="7">
        <v>7.5715816054906154E-2</v>
      </c>
      <c r="DP22" s="7">
        <v>-0.10509905980047871</v>
      </c>
      <c r="DQ22" s="7">
        <v>-5.1850201837621311E-2</v>
      </c>
      <c r="DR22" s="7">
        <v>-6.0925526153180337E-3</v>
      </c>
      <c r="DS22" s="7">
        <v>-0.19705092156235929</v>
      </c>
      <c r="DT22" s="7">
        <v>-2.712875397817005E-2</v>
      </c>
      <c r="DU22" s="7">
        <v>-0.37526887234197209</v>
      </c>
      <c r="DV22" s="7">
        <v>0.15706236954975081</v>
      </c>
      <c r="DW22" s="7">
        <v>2.1072617557145461E-3</v>
      </c>
      <c r="DX22" s="7">
        <v>0.1643521240415392</v>
      </c>
      <c r="DY22" s="7">
        <v>0.31775437236448251</v>
      </c>
      <c r="DZ22" s="7">
        <v>0.16562624622575561</v>
      </c>
      <c r="EA22" s="7">
        <v>0.14035616200069359</v>
      </c>
      <c r="EB22" s="7">
        <v>-0.14292707605232749</v>
      </c>
      <c r="EC22" s="7">
        <v>2.8428811778050931E-2</v>
      </c>
      <c r="ED22" s="7">
        <v>-5.7499218608810271E-2</v>
      </c>
      <c r="EE22" s="7">
        <v>-4.7636659384698889E-2</v>
      </c>
      <c r="EF22" s="8">
        <v>-3.4790246372172352E-2</v>
      </c>
    </row>
    <row r="23" spans="1:136" x14ac:dyDescent="0.3">
      <c r="A23" s="1">
        <v>482</v>
      </c>
      <c r="B23" s="1">
        <v>2</v>
      </c>
      <c r="C23" s="7">
        <v>0.28298926569632887</v>
      </c>
      <c r="D23" s="7">
        <v>-2.981066768542209E-2</v>
      </c>
      <c r="E23" s="7">
        <v>-8.094117257067221E-2</v>
      </c>
      <c r="F23" s="7">
        <v>-0.14166490905190171</v>
      </c>
      <c r="G23" s="7">
        <v>-5.2224173846498377E-2</v>
      </c>
      <c r="H23" s="7">
        <v>0.2037183078789751</v>
      </c>
      <c r="I23" s="7">
        <v>0.148152028600294</v>
      </c>
      <c r="J23" s="7">
        <v>-9.8162291146452377E-2</v>
      </c>
      <c r="K23" s="7">
        <v>-0.20448947647223359</v>
      </c>
      <c r="L23" s="7">
        <v>5.4043529775598627E-2</v>
      </c>
      <c r="M23" s="7">
        <v>-0.26256934704734031</v>
      </c>
      <c r="N23" s="7">
        <v>0.15641923763601279</v>
      </c>
      <c r="O23" s="7">
        <v>0.20456437797300209</v>
      </c>
      <c r="P23" s="7">
        <v>-9.040171118212538E-2</v>
      </c>
      <c r="Q23" s="7">
        <v>-0.25084967690080678</v>
      </c>
      <c r="R23" s="7">
        <v>-8.9628003041144669E-2</v>
      </c>
      <c r="S23" s="7">
        <v>-0.1137245328272621</v>
      </c>
      <c r="T23" s="7">
        <v>-3.733692084787466E-4</v>
      </c>
      <c r="U23" s="7">
        <v>-9.3757422440794366E-2</v>
      </c>
      <c r="V23" s="7">
        <v>-2.302945710979112E-2</v>
      </c>
      <c r="W23" s="7">
        <v>0.33161915024914451</v>
      </c>
      <c r="X23" s="7">
        <v>0.26408569496329731</v>
      </c>
      <c r="Y23" s="7">
        <v>1.4659801530490259E-2</v>
      </c>
      <c r="Z23" s="7">
        <v>3.3032515443875303E-2</v>
      </c>
      <c r="AA23" s="7">
        <v>6.6062919694702682E-3</v>
      </c>
      <c r="AB23" s="7">
        <v>6.4039779876783498E-2</v>
      </c>
      <c r="AC23" s="7">
        <v>7.6346338146838E-2</v>
      </c>
      <c r="AD23" s="7">
        <v>1.5010900357047399E-2</v>
      </c>
      <c r="AE23" s="7">
        <v>-0.33234424861252548</v>
      </c>
      <c r="AF23" s="7">
        <v>6.6906260089751285E-2</v>
      </c>
      <c r="AG23" s="7">
        <v>9.1873657646360199E-2</v>
      </c>
      <c r="AH23" s="7">
        <v>-0.1356489203506672</v>
      </c>
      <c r="AI23" s="7">
        <v>0.2091515986202637</v>
      </c>
      <c r="AJ23" s="7">
        <v>2.3587440294024171E-2</v>
      </c>
      <c r="AK23" s="7">
        <v>1.8557730736711249E-2</v>
      </c>
      <c r="AL23" s="7">
        <v>-5.1310311182486829E-2</v>
      </c>
      <c r="AM23" s="7">
        <v>-2.0470543302086051E-2</v>
      </c>
      <c r="AN23" s="7">
        <v>0.24231469935730071</v>
      </c>
      <c r="AO23" s="7">
        <v>-5.3369521914240978E-3</v>
      </c>
      <c r="AP23" s="7">
        <v>-1.044782144754966E-2</v>
      </c>
      <c r="AQ23" s="7">
        <v>0.17571220858300701</v>
      </c>
      <c r="AR23" s="7">
        <v>-0.25346079578034408</v>
      </c>
      <c r="AS23" s="7">
        <v>8.1663620780570226E-2</v>
      </c>
      <c r="AT23" s="7">
        <v>0.1095059029649002</v>
      </c>
      <c r="AU23" s="7">
        <v>-0.20359589118158589</v>
      </c>
      <c r="AV23" s="7">
        <v>-4.9150066629292007E-2</v>
      </c>
      <c r="AW23" s="7">
        <v>-5.202690983840276E-2</v>
      </c>
      <c r="AX23" s="7">
        <v>6.9838153827044058E-2</v>
      </c>
      <c r="AY23" s="7">
        <v>0.17023398084058211</v>
      </c>
      <c r="AZ23" s="7">
        <v>-6.3753617401060211E-2</v>
      </c>
      <c r="BA23" s="7">
        <v>0.1720809093757327</v>
      </c>
      <c r="BB23" s="7">
        <v>-5.1049484102885123E-2</v>
      </c>
      <c r="BC23" s="7">
        <v>-0.30082824917306578</v>
      </c>
      <c r="BD23" s="7">
        <v>9.4830881346450333E-2</v>
      </c>
      <c r="BE23" s="7">
        <v>-7.1430762397296579E-2</v>
      </c>
      <c r="BF23" s="7">
        <v>-0.21000911286045121</v>
      </c>
      <c r="BG23" s="7">
        <v>-3.8322827419145812E-2</v>
      </c>
      <c r="BH23" s="7">
        <v>-6.3365195703238231E-2</v>
      </c>
      <c r="BI23" s="7">
        <v>0.13821955522644711</v>
      </c>
      <c r="BJ23" s="7">
        <v>-5.8020213544642429E-2</v>
      </c>
      <c r="BK23" s="7">
        <v>2.0341083364774871E-3</v>
      </c>
      <c r="BL23" s="7">
        <v>0.14953429625023959</v>
      </c>
      <c r="BM23" s="7">
        <v>0.18918068678715391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-0.20568773584594591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-0.20232497867358359</v>
      </c>
      <c r="CA23" s="7">
        <v>3.4283619845346558E-2</v>
      </c>
      <c r="CB23" s="7">
        <v>-4.1664988378588452E-2</v>
      </c>
      <c r="CC23" s="7">
        <v>0.2249586274956801</v>
      </c>
      <c r="CD23" s="7">
        <v>0.19167645501478511</v>
      </c>
      <c r="CE23" s="7">
        <v>-0.1166246067964614</v>
      </c>
      <c r="CF23" s="7">
        <v>1.616083543008176E-2</v>
      </c>
      <c r="CG23" s="7">
        <v>-0.21663724162720299</v>
      </c>
      <c r="CH23" s="7">
        <v>-0.16212257431707061</v>
      </c>
      <c r="CI23" s="7">
        <v>-0.13522219665147919</v>
      </c>
      <c r="CJ23" s="7">
        <v>-1.9875367550410569E-2</v>
      </c>
      <c r="CK23" s="7">
        <v>9.6116994727961536E-2</v>
      </c>
      <c r="CL23" s="7">
        <v>-0.40866101266741839</v>
      </c>
      <c r="CM23" s="7">
        <v>-0.23470497261609899</v>
      </c>
      <c r="CN23" s="7">
        <v>-5.3005178369803271E-2</v>
      </c>
      <c r="CO23" s="7">
        <v>-0.26845097690314912</v>
      </c>
      <c r="CP23" s="7">
        <v>0.24610177245621889</v>
      </c>
      <c r="CQ23" s="7">
        <v>-2.4702270079380868E-2</v>
      </c>
      <c r="CR23" s="7">
        <v>0.15099817047394759</v>
      </c>
      <c r="CS23" s="7">
        <v>-6.5159884293212025E-2</v>
      </c>
      <c r="CT23" s="7">
        <v>6.539021537994999E-2</v>
      </c>
      <c r="CU23" s="7">
        <v>-0.20210388498715681</v>
      </c>
      <c r="CV23" s="7">
        <v>0.15333096827157461</v>
      </c>
      <c r="CW23" s="7">
        <v>6.4165112115841361E-2</v>
      </c>
      <c r="CX23" s="7">
        <v>-6.1859993147280662E-2</v>
      </c>
      <c r="CY23" s="7">
        <v>0.28171082747401988</v>
      </c>
      <c r="CZ23" s="7">
        <v>6.1281100514640897E-2</v>
      </c>
      <c r="DA23" s="7">
        <v>0.51777096161996239</v>
      </c>
      <c r="DB23" s="7">
        <v>0.86457557459721113</v>
      </c>
      <c r="DC23" s="7">
        <v>-0.15794889931825309</v>
      </c>
      <c r="DD23" s="7">
        <v>-9.2798674677153081E-2</v>
      </c>
      <c r="DE23" s="7">
        <v>6.0085947510171572E-2</v>
      </c>
      <c r="DF23" s="7">
        <v>-0.1913738738124513</v>
      </c>
      <c r="DG23" s="7">
        <v>-6.7620427406409236E-2</v>
      </c>
      <c r="DH23" s="7">
        <v>0.1095821983620974</v>
      </c>
      <c r="DI23" s="7">
        <v>0.18491271354810521</v>
      </c>
      <c r="DJ23" s="7">
        <v>0.1200325818239187</v>
      </c>
      <c r="DK23" s="7">
        <v>-4.7749797048578922E-2</v>
      </c>
      <c r="DL23" s="7">
        <v>2.6242652104624471E-2</v>
      </c>
      <c r="DM23" s="7">
        <v>-1.071033430682497E-2</v>
      </c>
      <c r="DN23" s="7">
        <v>0.26497485648399138</v>
      </c>
      <c r="DO23" s="7">
        <v>0.124068441987729</v>
      </c>
      <c r="DP23" s="7">
        <v>-3.8404395837998338E-2</v>
      </c>
      <c r="DQ23" s="7">
        <v>-0.12113204125745761</v>
      </c>
      <c r="DR23" s="7">
        <v>-8.9886002731306744E-2</v>
      </c>
      <c r="DS23" s="7">
        <v>-0.28809657691904628</v>
      </c>
      <c r="DT23" s="7">
        <v>2.2296457069757209E-2</v>
      </c>
      <c r="DU23" s="7">
        <v>-0.52524170665309988</v>
      </c>
      <c r="DV23" s="7">
        <v>0.19274140121789701</v>
      </c>
      <c r="DW23" s="7">
        <v>0.26698913297007831</v>
      </c>
      <c r="DX23" s="7">
        <v>0.1710027869684545</v>
      </c>
      <c r="DY23" s="7">
        <v>0.26822192937212391</v>
      </c>
      <c r="DZ23" s="7">
        <v>0.12933301555171881</v>
      </c>
      <c r="EA23" s="7">
        <v>-2.875877977640498E-2</v>
      </c>
      <c r="EB23" s="7">
        <v>-0.13822549512320209</v>
      </c>
      <c r="EC23" s="7">
        <v>0.1232049429556647</v>
      </c>
      <c r="ED23" s="7">
        <v>3.8900422569723918E-2</v>
      </c>
      <c r="EE23" s="7">
        <v>-6.9212075984992683E-2</v>
      </c>
      <c r="EF23" s="8">
        <v>-4.7782278591659677E-2</v>
      </c>
    </row>
    <row r="24" spans="1:136" x14ac:dyDescent="0.3">
      <c r="A24" s="1">
        <v>964</v>
      </c>
      <c r="B24" s="1">
        <v>1</v>
      </c>
      <c r="C24" s="7">
        <v>9.9113364206882743E-2</v>
      </c>
      <c r="D24" s="7">
        <v>-0.1040490099724129</v>
      </c>
      <c r="E24" s="7">
        <v>7.1400330169296908E-2</v>
      </c>
      <c r="F24" s="7">
        <v>-0.22715954663674881</v>
      </c>
      <c r="G24" s="7">
        <v>0.2257600230575724</v>
      </c>
      <c r="H24" s="7">
        <v>0.2466867284905698</v>
      </c>
      <c r="I24" s="7">
        <v>-2.111933203143501E-3</v>
      </c>
      <c r="J24" s="7">
        <v>-9.9972192910136135E-2</v>
      </c>
      <c r="K24" s="7">
        <v>-2.1515278354960109E-2</v>
      </c>
      <c r="L24" s="7">
        <v>9.5623250508682117E-2</v>
      </c>
      <c r="M24" s="7">
        <v>-0.46302754420013847</v>
      </c>
      <c r="N24" s="7">
        <v>0.14413045240043321</v>
      </c>
      <c r="O24" s="7">
        <v>0.235309193405423</v>
      </c>
      <c r="P24" s="7">
        <v>-0.1042484144089995</v>
      </c>
      <c r="Q24" s="7">
        <v>9.0144948798662944E-2</v>
      </c>
      <c r="R24" s="7">
        <v>-0.1083654949121912</v>
      </c>
      <c r="S24" s="7">
        <v>-0.35251446106016437</v>
      </c>
      <c r="T24" s="7">
        <v>0.1236910440917892</v>
      </c>
      <c r="U24" s="7">
        <v>-0.14851867422391801</v>
      </c>
      <c r="V24" s="7">
        <v>-6.7139302837628506E-2</v>
      </c>
      <c r="W24" s="7">
        <v>0.49571198595594262</v>
      </c>
      <c r="X24" s="7">
        <v>0.1180224325060039</v>
      </c>
      <c r="Y24" s="7">
        <v>9.4770149264170878E-3</v>
      </c>
      <c r="Z24" s="7">
        <v>0.10584232727880701</v>
      </c>
      <c r="AA24" s="7">
        <v>1.354776823757727E-2</v>
      </c>
      <c r="AB24" s="7">
        <v>0.1953396226752438</v>
      </c>
      <c r="AC24" s="7">
        <v>0.125380380775965</v>
      </c>
      <c r="AD24" s="7">
        <v>7.8218388926296623E-3</v>
      </c>
      <c r="AE24" s="7">
        <v>-0.54125812124628125</v>
      </c>
      <c r="AF24" s="7">
        <v>2.2522010034790499E-2</v>
      </c>
      <c r="AG24" s="7">
        <v>0.13873571762663761</v>
      </c>
      <c r="AH24" s="7">
        <v>-0.30212275660657528</v>
      </c>
      <c r="AI24" s="7">
        <v>0.31041423522934231</v>
      </c>
      <c r="AJ24" s="7">
        <v>8.5435201790864113E-2</v>
      </c>
      <c r="AK24" s="7">
        <v>1.440977079948152E-3</v>
      </c>
      <c r="AL24" s="7">
        <v>-0.1074544263057416</v>
      </c>
      <c r="AM24" s="7">
        <v>1.4966545334123929E-2</v>
      </c>
      <c r="AN24" s="7">
        <v>0.22118946514543131</v>
      </c>
      <c r="AO24" s="7">
        <v>6.6090111828990022E-2</v>
      </c>
      <c r="AP24" s="7">
        <v>-0.41640853388971072</v>
      </c>
      <c r="AQ24" s="7">
        <v>0.35649193169751819</v>
      </c>
      <c r="AR24" s="7">
        <v>-2.0350844492814421E-2</v>
      </c>
      <c r="AS24" s="7">
        <v>3.2867737066227462E-3</v>
      </c>
      <c r="AT24" s="7">
        <v>0.15076897992568081</v>
      </c>
      <c r="AU24" s="7">
        <v>-0.22984101567941989</v>
      </c>
      <c r="AV24" s="7">
        <v>0.24768466023032751</v>
      </c>
      <c r="AW24" s="7">
        <v>4.9875415110391882E-3</v>
      </c>
      <c r="AX24" s="7">
        <v>2.8306186588424521E-2</v>
      </c>
      <c r="AY24" s="7">
        <v>0.16812729388488939</v>
      </c>
      <c r="AZ24" s="7">
        <v>3.7867073599665187E-2</v>
      </c>
      <c r="BA24" s="7">
        <v>0.1017826943099424</v>
      </c>
      <c r="BB24" s="7">
        <v>-8.6159033395334803E-2</v>
      </c>
      <c r="BC24" s="7">
        <v>-0.8032160130443774</v>
      </c>
      <c r="BD24" s="7">
        <v>0.18559521924643521</v>
      </c>
      <c r="BE24" s="7">
        <v>-4.606435403168687E-2</v>
      </c>
      <c r="BF24" s="7">
        <v>6.4370420949463519E-2</v>
      </c>
      <c r="BG24" s="7">
        <v>9.0984227707435611E-2</v>
      </c>
      <c r="BH24" s="7">
        <v>-0.14767356525171971</v>
      </c>
      <c r="BI24" s="7">
        <v>-2.8151632148178202E-2</v>
      </c>
      <c r="BJ24" s="7">
        <v>6.0567254322459393E-2</v>
      </c>
      <c r="BK24" s="7">
        <v>4.0235468942862278E-3</v>
      </c>
      <c r="BL24" s="7">
        <v>0.31716429392471662</v>
      </c>
      <c r="BM24" s="7">
        <v>1.1473019117737151E-2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-0.22832663155994071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-0.32032942725755759</v>
      </c>
      <c r="CA24" s="7">
        <v>8.5352138787233134E-2</v>
      </c>
      <c r="CB24" s="7">
        <v>6.4127083156042083E-2</v>
      </c>
      <c r="CC24" s="7">
        <v>0.43985451226693362</v>
      </c>
      <c r="CD24" s="7">
        <v>0.14430631074219491</v>
      </c>
      <c r="CE24" s="7">
        <v>-0.21012143523608839</v>
      </c>
      <c r="CF24" s="7">
        <v>-4.3964633996731547E-2</v>
      </c>
      <c r="CG24" s="7">
        <v>-0.51996896607392207</v>
      </c>
      <c r="CH24" s="7">
        <v>-0.2129728840293183</v>
      </c>
      <c r="CI24" s="7">
        <v>-0.29359964364968388</v>
      </c>
      <c r="CJ24" s="7">
        <v>1.310948541941956E-2</v>
      </c>
      <c r="CK24" s="7">
        <v>9.3530079315696568E-2</v>
      </c>
      <c r="CL24" s="7">
        <v>0.1417553333725407</v>
      </c>
      <c r="CM24" s="7">
        <v>-0.63643326435951064</v>
      </c>
      <c r="CN24" s="7">
        <v>-0.1077387664572132</v>
      </c>
      <c r="CO24" s="7">
        <v>-0.57240960973467503</v>
      </c>
      <c r="CP24" s="7">
        <v>0.19806734554709299</v>
      </c>
      <c r="CQ24" s="7">
        <v>-0.1601896466275006</v>
      </c>
      <c r="CR24" s="7">
        <v>0.1377874560487031</v>
      </c>
      <c r="CS24" s="7">
        <v>-0.1079742359390275</v>
      </c>
      <c r="CT24" s="7">
        <v>-0.1195443883358397</v>
      </c>
      <c r="CU24" s="7">
        <v>-5.2729044813654813E-2</v>
      </c>
      <c r="CV24" s="7">
        <v>0.182864094907223</v>
      </c>
      <c r="CW24" s="7">
        <v>-1.5881422078077021E-3</v>
      </c>
      <c r="CX24" s="7">
        <v>-0.14669462567028749</v>
      </c>
      <c r="CY24" s="7">
        <v>0.36022804676873771</v>
      </c>
      <c r="CZ24" s="7">
        <v>0.16210690987816029</v>
      </c>
      <c r="DA24" s="7">
        <v>0.81302239690696343</v>
      </c>
      <c r="DB24" s="7">
        <v>0.94810958937996914</v>
      </c>
      <c r="DC24" s="7">
        <v>-0.28272977872851818</v>
      </c>
      <c r="DD24" s="7">
        <v>0.19584472218244131</v>
      </c>
      <c r="DE24" s="7">
        <v>-0.13158559129553279</v>
      </c>
      <c r="DF24" s="7">
        <v>-0.19463806375593051</v>
      </c>
      <c r="DG24" s="7">
        <v>-0.11954528640013271</v>
      </c>
      <c r="DH24" s="7">
        <v>0.1028328439815145</v>
      </c>
      <c r="DI24" s="7">
        <v>0.42309879972833903</v>
      </c>
      <c r="DJ24" s="7">
        <v>0.2293698745310894</v>
      </c>
      <c r="DK24" s="7">
        <v>-0.16602172835425</v>
      </c>
      <c r="DL24" s="7">
        <v>6.1360513215416877E-2</v>
      </c>
      <c r="DM24" s="7">
        <v>-0.10831609512618499</v>
      </c>
      <c r="DN24" s="7">
        <v>0.51684793899753223</v>
      </c>
      <c r="DO24" s="7">
        <v>0.1156119550234804</v>
      </c>
      <c r="DP24" s="7">
        <v>-0.14433064238035609</v>
      </c>
      <c r="DQ24" s="7">
        <v>-5.0486190478925157E-2</v>
      </c>
      <c r="DR24" s="7">
        <v>-2.0515630212029241E-2</v>
      </c>
      <c r="DS24" s="7">
        <v>-0.21626154103284559</v>
      </c>
      <c r="DT24" s="7">
        <v>2.9435726388863388E-2</v>
      </c>
      <c r="DU24" s="7">
        <v>-0.7705433077559587</v>
      </c>
      <c r="DV24" s="7">
        <v>0.75045654918922122</v>
      </c>
      <c r="DW24" s="7">
        <v>0.38336324094520591</v>
      </c>
      <c r="DX24" s="7">
        <v>0.17373733044807921</v>
      </c>
      <c r="DY24" s="7">
        <v>3.2066535729951551E-2</v>
      </c>
      <c r="DZ24" s="7">
        <v>-4.8904664258799802E-2</v>
      </c>
      <c r="EA24" s="7">
        <v>-5.4920183841502608E-2</v>
      </c>
      <c r="EB24" s="7">
        <v>-0.1092287723728063</v>
      </c>
      <c r="EC24" s="7">
        <v>0.25665137996352638</v>
      </c>
      <c r="ED24" s="7">
        <v>-6.9835153666616717E-2</v>
      </c>
      <c r="EE24" s="7">
        <v>-0.10748065723441801</v>
      </c>
      <c r="EF24" s="8">
        <v>6.7276677043968364E-2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5"/>
  <sheetViews>
    <sheetView tabSelected="1" topLeftCell="A9" workbookViewId="0">
      <selection activeCell="A11" sqref="A11:B24"/>
    </sheetView>
  </sheetViews>
  <sheetFormatPr defaultRowHeight="15" x14ac:dyDescent="0.3"/>
  <cols>
    <col min="137" max="139" width="10" bestFit="1" customWidth="1"/>
  </cols>
  <sheetData>
    <row r="1" spans="1:139" x14ac:dyDescent="0.3">
      <c r="A1" t="str">
        <f>預測IC!A1</f>
        <v>NN1</v>
      </c>
    </row>
    <row r="2" spans="1:139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9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9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9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9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9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EG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9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9" x14ac:dyDescent="0.3">
      <c r="A10" s="19" t="s">
        <v>141</v>
      </c>
      <c r="B10" s="20"/>
      <c r="C10" s="1" t="s">
        <v>142</v>
      </c>
      <c r="D10" s="2">
        <v>964</v>
      </c>
    </row>
    <row r="11" spans="1:139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s="17" t="s">
        <v>147</v>
      </c>
      <c r="EH11" s="17" t="s">
        <v>148</v>
      </c>
      <c r="EI11" s="17" t="s">
        <v>149</v>
      </c>
    </row>
    <row r="12" spans="1:139" x14ac:dyDescent="0.3">
      <c r="A12" s="1">
        <v>10</v>
      </c>
      <c r="B12" s="1">
        <v>96</v>
      </c>
      <c r="C12" s="7">
        <v>8.4653346747999555E-2</v>
      </c>
      <c r="D12" s="7">
        <v>0.11468862904522351</v>
      </c>
      <c r="E12" s="7">
        <v>4.802682338720253E-2</v>
      </c>
      <c r="F12" s="7">
        <v>1.342110438955847E-2</v>
      </c>
      <c r="G12" s="7">
        <v>1.172466777602472E-2</v>
      </c>
      <c r="H12" s="7">
        <v>3.8530512249887933E-2</v>
      </c>
      <c r="I12" s="7">
        <v>1.2809788693165489E-2</v>
      </c>
      <c r="J12" s="7">
        <v>-2.9408122838989852E-2</v>
      </c>
      <c r="K12" s="7">
        <v>1.8774380137331209E-2</v>
      </c>
      <c r="L12" s="7">
        <v>-4.1890941049973679E-2</v>
      </c>
      <c r="M12" s="7">
        <v>-1.555180420016113E-2</v>
      </c>
      <c r="N12" s="7">
        <v>6.9326986778352848E-2</v>
      </c>
      <c r="O12" s="7">
        <v>1.7240739055052579E-2</v>
      </c>
      <c r="P12" s="7">
        <v>2.2997128793457439E-4</v>
      </c>
      <c r="Q12" s="7">
        <v>3.5269885452478403E-2</v>
      </c>
      <c r="R12" s="7">
        <v>6.6628837952368673E-3</v>
      </c>
      <c r="S12" s="7">
        <v>-1.6472394741932041E-2</v>
      </c>
      <c r="T12" s="7">
        <v>-4.3243488819513169E-2</v>
      </c>
      <c r="U12" s="7">
        <v>-1.6178598882878859E-2</v>
      </c>
      <c r="V12" s="7">
        <v>6.2044700693444643E-3</v>
      </c>
      <c r="W12" s="7">
        <v>2.227844197331175E-2</v>
      </c>
      <c r="X12" s="7">
        <v>2.7073890424547119E-2</v>
      </c>
      <c r="Y12" s="7">
        <v>1.544036841356077E-2</v>
      </c>
      <c r="Z12" s="7">
        <v>5.1659076098035236E-3</v>
      </c>
      <c r="AA12" s="7">
        <v>-1.1512545712225739E-2</v>
      </c>
      <c r="AB12" s="7">
        <v>-1.073332960413877E-2</v>
      </c>
      <c r="AC12" s="7">
        <v>5.1673797604565516E-3</v>
      </c>
      <c r="AD12" s="7">
        <v>2.5304298312235208E-3</v>
      </c>
      <c r="AE12" s="7">
        <v>-5.8316963071098869E-2</v>
      </c>
      <c r="AF12" s="7">
        <v>2.0432151303864929E-2</v>
      </c>
      <c r="AG12" s="7">
        <v>1.207912796320139E-2</v>
      </c>
      <c r="AH12" s="7">
        <v>1.3405804649633229E-2</v>
      </c>
      <c r="AI12" s="7">
        <v>1.9506051180185949E-2</v>
      </c>
      <c r="AJ12" s="7">
        <v>1.298374754605458E-2</v>
      </c>
      <c r="AK12" s="7">
        <v>4.8123704152134412E-2</v>
      </c>
      <c r="AL12" s="7">
        <v>1.7859003021922081E-2</v>
      </c>
      <c r="AM12" s="7">
        <v>3.0086115612597931E-2</v>
      </c>
      <c r="AN12" s="7">
        <v>6.9233234313428524E-2</v>
      </c>
      <c r="AO12" s="7">
        <v>2.228793039673051E-3</v>
      </c>
      <c r="AP12" s="7">
        <v>-3.3718344781849152E-2</v>
      </c>
      <c r="AQ12" s="7">
        <v>-7.6219363885838051E-3</v>
      </c>
      <c r="AR12" s="7">
        <v>1.35262594499664E-2</v>
      </c>
      <c r="AS12" s="7">
        <v>1.9099718454700602E-2</v>
      </c>
      <c r="AT12" s="7">
        <v>1.3834904707671181E-2</v>
      </c>
      <c r="AU12" s="7">
        <v>2.070865868087543E-2</v>
      </c>
      <c r="AV12" s="7">
        <v>-4.1360084745025012E-2</v>
      </c>
      <c r="AW12" s="7">
        <v>6.2147701801607523E-4</v>
      </c>
      <c r="AX12" s="7">
        <v>4.3598467253422833E-2</v>
      </c>
      <c r="AY12" s="7">
        <v>2.4955293067673249E-2</v>
      </c>
      <c r="AZ12" s="7">
        <v>-2.3000260716576439E-3</v>
      </c>
      <c r="BA12" s="7">
        <v>7.1276156280934935E-2</v>
      </c>
      <c r="BB12" s="7">
        <v>5.7853949142751861E-3</v>
      </c>
      <c r="BC12" s="7">
        <v>1.227278903847649E-2</v>
      </c>
      <c r="BD12" s="7">
        <v>1.3630556941652629E-2</v>
      </c>
      <c r="BE12" s="7">
        <v>1.860880983938528E-2</v>
      </c>
      <c r="BF12" s="7">
        <v>6.7792352483200119E-2</v>
      </c>
      <c r="BG12" s="7">
        <v>3.3670862441262807E-2</v>
      </c>
      <c r="BH12" s="7">
        <v>1.422336001132196E-2</v>
      </c>
      <c r="BI12" s="7">
        <v>5.002125303099076E-2</v>
      </c>
      <c r="BJ12" s="7">
        <v>-7.9599331991781624E-4</v>
      </c>
      <c r="BK12" s="7">
        <v>-2.1284664960133971E-2</v>
      </c>
      <c r="BL12" s="7">
        <v>2.4709245830148639E-2</v>
      </c>
      <c r="BM12" s="7">
        <v>-5.030568452332447E-2</v>
      </c>
      <c r="BN12" s="7">
        <v>1.1516535512096511E-2</v>
      </c>
      <c r="BO12" s="7">
        <v>2.4246310256236889E-2</v>
      </c>
      <c r="BP12" s="7">
        <v>-1.0508985305294091E-2</v>
      </c>
      <c r="BQ12" s="7">
        <v>1.3896749618746689E-2</v>
      </c>
      <c r="BR12" s="7">
        <v>-2.2610084533988121E-3</v>
      </c>
      <c r="BS12" s="7">
        <v>1.886329338439598E-2</v>
      </c>
      <c r="BT12" s="7">
        <v>2.2031468677444231E-2</v>
      </c>
      <c r="BU12" s="7">
        <v>8.7815171400964752E-3</v>
      </c>
      <c r="BV12" s="7">
        <v>2.3062455733191E-2</v>
      </c>
      <c r="BW12" s="7">
        <v>-2.948376871952952E-2</v>
      </c>
      <c r="BX12" s="7">
        <v>1.1477162003950089E-2</v>
      </c>
      <c r="BY12" s="7">
        <v>-3.3370800331571443E-2</v>
      </c>
      <c r="BZ12" s="7">
        <v>4.5356945691272972E-2</v>
      </c>
      <c r="CA12" s="7">
        <v>-3.4400287440342493E-2</v>
      </c>
      <c r="CB12" s="7">
        <v>1.943242131762835E-3</v>
      </c>
      <c r="CC12" s="7">
        <v>6.5566612627689883E-2</v>
      </c>
      <c r="CD12" s="7">
        <v>4.4258488563941309E-2</v>
      </c>
      <c r="CE12" s="7">
        <v>0.15400701288974189</v>
      </c>
      <c r="CF12" s="7">
        <v>4.0778952837748463E-3</v>
      </c>
      <c r="CG12" s="7">
        <v>3.0864849735211247E-4</v>
      </c>
      <c r="CH12" s="7">
        <v>6.3297372377959904E-2</v>
      </c>
      <c r="CI12" s="7">
        <v>-3.4655912412205718E-2</v>
      </c>
      <c r="CJ12" s="7">
        <v>1.544518047868886E-2</v>
      </c>
      <c r="CK12" s="7">
        <v>1.2803144154834811E-2</v>
      </c>
      <c r="CL12" s="7">
        <v>0.1180156076696104</v>
      </c>
      <c r="CM12" s="7">
        <v>-1.5219726167340819E-2</v>
      </c>
      <c r="CN12" s="7">
        <v>-2.7083701214559368E-2</v>
      </c>
      <c r="CO12" s="7">
        <v>-2.7266126880105788E-2</v>
      </c>
      <c r="CP12" s="7">
        <v>4.5299021467493747E-2</v>
      </c>
      <c r="CQ12" s="7">
        <v>-6.2684347003574781E-2</v>
      </c>
      <c r="CR12" s="7">
        <v>4.814662528730166E-2</v>
      </c>
      <c r="CS12" s="7">
        <v>-1.450965043846953E-2</v>
      </c>
      <c r="CT12" s="7">
        <v>-8.2403602353092742E-4</v>
      </c>
      <c r="CU12" s="7">
        <v>3.5623715662195188E-2</v>
      </c>
      <c r="CV12" s="7">
        <v>8.1126263755370142E-3</v>
      </c>
      <c r="CW12" s="7">
        <v>5.5479247445322649E-3</v>
      </c>
      <c r="CX12" s="7">
        <v>6.098988253699178E-2</v>
      </c>
      <c r="CY12" s="7">
        <v>-5.982942211490587E-3</v>
      </c>
      <c r="CZ12" s="7">
        <v>7.7792327339500603E-2</v>
      </c>
      <c r="DA12" s="7">
        <v>5.6037840703605252E-3</v>
      </c>
      <c r="DB12" s="7">
        <v>8.8981816498044985E-2</v>
      </c>
      <c r="DC12" s="7">
        <v>1.1472973291489949E-2</v>
      </c>
      <c r="DD12" s="7">
        <v>-3.9091997331507103E-2</v>
      </c>
      <c r="DE12" s="7">
        <v>1.198108381221169E-3</v>
      </c>
      <c r="DF12" s="7">
        <v>-6.834525736040385E-3</v>
      </c>
      <c r="DG12" s="7">
        <v>-9.4770893931691788E-4</v>
      </c>
      <c r="DH12" s="7">
        <v>-3.8226819714325612E-3</v>
      </c>
      <c r="DI12" s="7">
        <v>-5.4443172992132437E-2</v>
      </c>
      <c r="DJ12" s="7">
        <v>1.511820812609203E-2</v>
      </c>
      <c r="DK12" s="7">
        <v>-1.5945953127016341E-2</v>
      </c>
      <c r="DL12" s="7">
        <v>-3.5467602264376702E-4</v>
      </c>
      <c r="DM12" s="7">
        <v>-4.8403492450799163E-3</v>
      </c>
      <c r="DN12" s="7">
        <v>4.2410365386064831E-2</v>
      </c>
      <c r="DO12" s="7">
        <v>2.259973368032869E-2</v>
      </c>
      <c r="DP12" s="7">
        <v>3.2584449600297112E-2</v>
      </c>
      <c r="DQ12" s="7">
        <v>-3.3862120353048523E-2</v>
      </c>
      <c r="DR12" s="7">
        <v>1.8778943279386909E-2</v>
      </c>
      <c r="DS12" s="7">
        <v>-3.5726155451697807E-2</v>
      </c>
      <c r="DT12" s="7">
        <v>2.5117616030836221E-2</v>
      </c>
      <c r="DU12" s="7">
        <v>-5.7230283144308662E-2</v>
      </c>
      <c r="DV12" s="7">
        <v>4.8550824477530688E-2</v>
      </c>
      <c r="DW12" s="7">
        <v>4.3725564220037427E-2</v>
      </c>
      <c r="DX12" s="7">
        <v>-5.0152080542361532E-2</v>
      </c>
      <c r="DY12" s="7">
        <v>5.3145310887610077E-2</v>
      </c>
      <c r="DZ12" s="7">
        <v>6.2271493484882473E-3</v>
      </c>
      <c r="EA12" s="7">
        <v>5.1097632537531287E-2</v>
      </c>
      <c r="EB12" s="7">
        <v>2.8283267748527709E-3</v>
      </c>
      <c r="EC12" s="7">
        <v>-9.8063813353844453E-3</v>
      </c>
      <c r="ED12" s="7">
        <v>-6.050815280848415E-2</v>
      </c>
      <c r="EE12" s="7">
        <v>1.1917096272487391E-2</v>
      </c>
      <c r="EF12" s="8">
        <v>3.9233348038795662E-2</v>
      </c>
      <c r="EG12" s="18">
        <f t="shared" ref="EG12:EG25" si="10">AVERAGE(C12:EF12)</f>
        <v>1.2224182543275309E-2</v>
      </c>
      <c r="EH12" s="18">
        <f t="shared" ref="EH12:EH25" si="11">STDEV(C12:EF12)</f>
        <v>3.6326969517111174E-2</v>
      </c>
      <c r="EI12" s="18">
        <f t="shared" ref="EI12:EI25" si="12">EG12/EH12</f>
        <v>0.33650433013734671</v>
      </c>
    </row>
    <row r="13" spans="1:139" x14ac:dyDescent="0.3">
      <c r="A13" s="1">
        <v>20</v>
      </c>
      <c r="B13" s="1">
        <v>48</v>
      </c>
      <c r="C13" s="7">
        <v>0.104112750252762</v>
      </c>
      <c r="D13" s="7">
        <v>0.1237450287927723</v>
      </c>
      <c r="E13" s="7">
        <v>6.9861556352806456E-2</v>
      </c>
      <c r="F13" s="7">
        <v>-1.14552398753768E-2</v>
      </c>
      <c r="G13" s="7">
        <v>1.574442605445054E-2</v>
      </c>
      <c r="H13" s="7">
        <v>2.9989631725721271E-2</v>
      </c>
      <c r="I13" s="7">
        <v>2.9130594923697638E-2</v>
      </c>
      <c r="J13" s="7">
        <v>-4.3899227077412117E-2</v>
      </c>
      <c r="K13" s="7">
        <v>-1.3673068264474649E-3</v>
      </c>
      <c r="L13" s="7">
        <v>-6.0251612936536372E-3</v>
      </c>
      <c r="M13" s="7">
        <v>7.7086562624922028E-3</v>
      </c>
      <c r="N13" s="7">
        <v>9.9806916956670585E-2</v>
      </c>
      <c r="O13" s="7">
        <v>3.9789291626632438E-2</v>
      </c>
      <c r="P13" s="7">
        <v>1.679162773809062E-2</v>
      </c>
      <c r="Q13" s="7">
        <v>7.3224368487557437E-2</v>
      </c>
      <c r="R13" s="7">
        <v>1.4159944486036529E-2</v>
      </c>
      <c r="S13" s="7">
        <v>-1.224367120891299E-2</v>
      </c>
      <c r="T13" s="7">
        <v>-5.2899802908693339E-2</v>
      </c>
      <c r="U13" s="7">
        <v>1.5970162331858111E-3</v>
      </c>
      <c r="V13" s="7">
        <v>-2.009432801387449E-2</v>
      </c>
      <c r="W13" s="7">
        <v>3.1103087884369891E-2</v>
      </c>
      <c r="X13" s="7">
        <v>5.327689472594363E-2</v>
      </c>
      <c r="Y13" s="7">
        <v>1.392099255764867E-2</v>
      </c>
      <c r="Z13" s="7">
        <v>2.0583761169128259E-2</v>
      </c>
      <c r="AA13" s="7">
        <v>-1.6440619450324361E-2</v>
      </c>
      <c r="AB13" s="7">
        <v>-1.5001573328978489E-2</v>
      </c>
      <c r="AC13" s="7">
        <v>8.0314397959504041E-3</v>
      </c>
      <c r="AD13" s="7">
        <v>2.0440228373792429E-2</v>
      </c>
      <c r="AE13" s="7">
        <v>-6.5719382027610476E-2</v>
      </c>
      <c r="AF13" s="7">
        <v>3.1940463834301228E-2</v>
      </c>
      <c r="AG13" s="7">
        <v>3.282310180952513E-3</v>
      </c>
      <c r="AH13" s="7">
        <v>9.6413392395163916E-3</v>
      </c>
      <c r="AI13" s="7">
        <v>1.20675500740728E-2</v>
      </c>
      <c r="AJ13" s="7">
        <v>-1.628046998827572E-2</v>
      </c>
      <c r="AK13" s="7">
        <v>6.5987912810655996E-2</v>
      </c>
      <c r="AL13" s="7">
        <v>2.3151428595171029E-2</v>
      </c>
      <c r="AM13" s="7">
        <v>4.6282443536828928E-2</v>
      </c>
      <c r="AN13" s="7">
        <v>0.10533023813603409</v>
      </c>
      <c r="AO13" s="7">
        <v>9.3111878994149404E-3</v>
      </c>
      <c r="AP13" s="7">
        <v>-5.9550840361997717E-2</v>
      </c>
      <c r="AQ13" s="7">
        <v>-6.0492887688996834E-3</v>
      </c>
      <c r="AR13" s="7">
        <v>1.0689185535935661E-2</v>
      </c>
      <c r="AS13" s="7">
        <v>4.1313118484234093E-2</v>
      </c>
      <c r="AT13" s="7">
        <v>4.0463087854439743E-2</v>
      </c>
      <c r="AU13" s="7">
        <v>4.0976126475978862E-2</v>
      </c>
      <c r="AV13" s="7">
        <v>-9.475472639553081E-3</v>
      </c>
      <c r="AW13" s="7">
        <v>4.0800135830634E-3</v>
      </c>
      <c r="AX13" s="7">
        <v>6.7153787783110333E-2</v>
      </c>
      <c r="AY13" s="7">
        <v>1.756434634862496E-2</v>
      </c>
      <c r="AZ13" s="7">
        <v>-8.1034674694993921E-3</v>
      </c>
      <c r="BA13" s="7">
        <v>7.9829120343788335E-2</v>
      </c>
      <c r="BB13" s="7">
        <v>2.6046345532896049E-2</v>
      </c>
      <c r="BC13" s="7">
        <v>1.128376711165765E-2</v>
      </c>
      <c r="BD13" s="7">
        <v>3.344428383681335E-3</v>
      </c>
      <c r="BE13" s="7">
        <v>2.7391806305641558E-2</v>
      </c>
      <c r="BF13" s="7">
        <v>8.3929415307496771E-2</v>
      </c>
      <c r="BG13" s="7">
        <v>4.6566462338711673E-2</v>
      </c>
      <c r="BH13" s="7">
        <v>8.4757298116190372E-3</v>
      </c>
      <c r="BI13" s="7">
        <v>5.2409132456701382E-2</v>
      </c>
      <c r="BJ13" s="7">
        <v>-1.6847085990264871E-2</v>
      </c>
      <c r="BK13" s="7">
        <v>-1.8391024879749449E-2</v>
      </c>
      <c r="BL13" s="7">
        <v>3.1947860213175139E-2</v>
      </c>
      <c r="BM13" s="7">
        <v>-5.3371768695190711E-2</v>
      </c>
      <c r="BN13" s="7">
        <v>1.105254187527629E-2</v>
      </c>
      <c r="BO13" s="7">
        <v>3.0878716233474109E-2</v>
      </c>
      <c r="BP13" s="7">
        <v>9.4326956946515182E-3</v>
      </c>
      <c r="BQ13" s="7">
        <v>4.1653063789425779E-2</v>
      </c>
      <c r="BR13" s="7">
        <v>-6.6814174835574522E-3</v>
      </c>
      <c r="BS13" s="7">
        <v>7.4194718402196772E-3</v>
      </c>
      <c r="BT13" s="7">
        <v>3.8343505616472817E-2</v>
      </c>
      <c r="BU13" s="7">
        <v>1.7706555036553769E-2</v>
      </c>
      <c r="BV13" s="7">
        <v>2.065359687620864E-2</v>
      </c>
      <c r="BW13" s="7">
        <v>1.763237810677006E-3</v>
      </c>
      <c r="BX13" s="7">
        <v>2.1078067524026588E-2</v>
      </c>
      <c r="BY13" s="7">
        <v>-1.4512397670490481E-2</v>
      </c>
      <c r="BZ13" s="7">
        <v>7.6138123059050211E-2</v>
      </c>
      <c r="CA13" s="7">
        <v>-3.3531565600396843E-2</v>
      </c>
      <c r="CB13" s="7">
        <v>-6.5958267252201053E-3</v>
      </c>
      <c r="CC13" s="7">
        <v>0.12011817373823321</v>
      </c>
      <c r="CD13" s="7">
        <v>5.52560480214307E-2</v>
      </c>
      <c r="CE13" s="7">
        <v>0.18382783645560871</v>
      </c>
      <c r="CF13" s="7">
        <v>1.8228940836627482E-2</v>
      </c>
      <c r="CG13" s="7">
        <v>7.5602686763741878E-3</v>
      </c>
      <c r="CH13" s="7">
        <v>5.8334611827207158E-2</v>
      </c>
      <c r="CI13" s="7">
        <v>-5.1853509134263308E-2</v>
      </c>
      <c r="CJ13" s="7">
        <v>-3.106087971951194E-3</v>
      </c>
      <c r="CK13" s="7">
        <v>3.2045269236463968E-2</v>
      </c>
      <c r="CL13" s="7">
        <v>8.1453366102180805E-2</v>
      </c>
      <c r="CM13" s="7">
        <v>-1.0296803756394969E-2</v>
      </c>
      <c r="CN13" s="7">
        <v>-2.688756599885234E-2</v>
      </c>
      <c r="CO13" s="7">
        <v>-1.345745856322739E-2</v>
      </c>
      <c r="CP13" s="7">
        <v>6.9726540277734339E-2</v>
      </c>
      <c r="CQ13" s="7">
        <v>-7.1178864968403879E-2</v>
      </c>
      <c r="CR13" s="7">
        <v>6.4380648737412241E-2</v>
      </c>
      <c r="CS13" s="7">
        <v>3.947650662960555E-3</v>
      </c>
      <c r="CT13" s="7">
        <v>8.0707993163786768E-3</v>
      </c>
      <c r="CU13" s="7">
        <v>3.7161402282311212E-2</v>
      </c>
      <c r="CV13" s="7">
        <v>-2.9533121732579042E-3</v>
      </c>
      <c r="CW13" s="7">
        <v>5.97703085624611E-3</v>
      </c>
      <c r="CX13" s="7">
        <v>6.0033255240053027E-2</v>
      </c>
      <c r="CY13" s="7">
        <v>-1.3118740115012659E-2</v>
      </c>
      <c r="CZ13" s="7">
        <v>5.7224220353485122E-2</v>
      </c>
      <c r="DA13" s="7">
        <v>-5.583676925821391E-3</v>
      </c>
      <c r="DB13" s="7">
        <v>0.1062353213029536</v>
      </c>
      <c r="DC13" s="7">
        <v>2.354099866843842E-2</v>
      </c>
      <c r="DD13" s="7">
        <v>-5.1406653602818438E-2</v>
      </c>
      <c r="DE13" s="7">
        <v>5.9289571260749546E-3</v>
      </c>
      <c r="DF13" s="7">
        <v>-2.8518796793634778E-2</v>
      </c>
      <c r="DG13" s="7">
        <v>-1.6306571728899009E-3</v>
      </c>
      <c r="DH13" s="7">
        <v>1.129576788191507E-2</v>
      </c>
      <c r="DI13" s="7">
        <v>-4.5977025094676827E-2</v>
      </c>
      <c r="DJ13" s="7">
        <v>5.9835846368128413E-3</v>
      </c>
      <c r="DK13" s="7">
        <v>1.240907421862765E-2</v>
      </c>
      <c r="DL13" s="7">
        <v>-1.6300246491314559E-2</v>
      </c>
      <c r="DM13" s="7">
        <v>-6.6588690484439203E-3</v>
      </c>
      <c r="DN13" s="7">
        <v>1.1499577922513139E-2</v>
      </c>
      <c r="DO13" s="7">
        <v>4.6891412388131722E-2</v>
      </c>
      <c r="DP13" s="7">
        <v>4.8786635856269467E-2</v>
      </c>
      <c r="DQ13" s="7">
        <v>-3.3966462251962683E-2</v>
      </c>
      <c r="DR13" s="7">
        <v>1.377120927231194E-2</v>
      </c>
      <c r="DS13" s="7">
        <v>-3.8887627839669842E-2</v>
      </c>
      <c r="DT13" s="7">
        <v>5.0831259890505333E-2</v>
      </c>
      <c r="DU13" s="7">
        <v>-3.3006159442618463E-2</v>
      </c>
      <c r="DV13" s="7">
        <v>7.9620144024188558E-2</v>
      </c>
      <c r="DW13" s="7">
        <v>4.4417789624350307E-2</v>
      </c>
      <c r="DX13" s="7">
        <v>-6.4523379578496173E-2</v>
      </c>
      <c r="DY13" s="7">
        <v>5.6981339047558921E-2</v>
      </c>
      <c r="DZ13" s="7">
        <v>1.8302124146301689E-2</v>
      </c>
      <c r="EA13" s="7">
        <v>6.2118677176029868E-2</v>
      </c>
      <c r="EB13" s="7">
        <v>2.1373218199386389E-2</v>
      </c>
      <c r="EC13" s="7">
        <v>-1.877600359538225E-2</v>
      </c>
      <c r="ED13" s="7">
        <v>-6.5682093659234955E-2</v>
      </c>
      <c r="EE13" s="7">
        <v>7.9525935749644935E-3</v>
      </c>
      <c r="EF13" s="8">
        <v>6.6577215363556236E-2</v>
      </c>
      <c r="EG13" s="18">
        <f t="shared" si="10"/>
        <v>1.7978749465763721E-2</v>
      </c>
      <c r="EH13" s="18">
        <f t="shared" si="11"/>
        <v>4.2571185334091759E-2</v>
      </c>
      <c r="EI13" s="18">
        <f t="shared" si="12"/>
        <v>0.42232203131459489</v>
      </c>
    </row>
    <row r="14" spans="1:139" x14ac:dyDescent="0.3">
      <c r="A14" s="1">
        <v>50</v>
      </c>
      <c r="B14" s="1">
        <v>19</v>
      </c>
      <c r="C14" s="7">
        <v>0.1199414897527061</v>
      </c>
      <c r="D14" s="7">
        <v>0.22230844854062601</v>
      </c>
      <c r="E14" s="7">
        <v>9.8768248142222112E-2</v>
      </c>
      <c r="F14" s="7">
        <v>3.454246416569963E-2</v>
      </c>
      <c r="G14" s="7">
        <v>8.5148761783734067E-2</v>
      </c>
      <c r="H14" s="7">
        <v>5.9587806435440108E-2</v>
      </c>
      <c r="I14" s="7">
        <v>7.7114962431364939E-2</v>
      </c>
      <c r="J14" s="7">
        <v>-0.1050943867827082</v>
      </c>
      <c r="K14" s="7">
        <v>1.245116151579238E-2</v>
      </c>
      <c r="L14" s="7">
        <v>-8.4804475655485129E-3</v>
      </c>
      <c r="M14" s="7">
        <v>4.9945200667877512E-3</v>
      </c>
      <c r="N14" s="7">
        <v>0.20483257514122591</v>
      </c>
      <c r="O14" s="7">
        <v>3.9642308069534393E-2</v>
      </c>
      <c r="P14" s="7">
        <v>4.7779764282807252E-2</v>
      </c>
      <c r="Q14" s="7">
        <v>5.8237946154634852E-2</v>
      </c>
      <c r="R14" s="7">
        <v>-1.41517963055246E-2</v>
      </c>
      <c r="S14" s="7">
        <v>3.8534099526017718E-2</v>
      </c>
      <c r="T14" s="7">
        <v>-6.9841479520895866E-2</v>
      </c>
      <c r="U14" s="7">
        <v>3.6579129519701881E-2</v>
      </c>
      <c r="V14" s="7">
        <v>-3.837554626450454E-2</v>
      </c>
      <c r="W14" s="7">
        <v>7.4008159388253003E-2</v>
      </c>
      <c r="X14" s="7">
        <v>5.3581708514183243E-2</v>
      </c>
      <c r="Y14" s="7">
        <v>-1.676266335668946E-2</v>
      </c>
      <c r="Z14" s="7">
        <v>2.1252201103450909E-2</v>
      </c>
      <c r="AA14" s="7">
        <v>-2.6273997668139859E-3</v>
      </c>
      <c r="AB14" s="7">
        <v>-2.7335978605554132E-2</v>
      </c>
      <c r="AC14" s="7">
        <v>-2.929208376556364E-2</v>
      </c>
      <c r="AD14" s="7">
        <v>6.9874591735142114E-2</v>
      </c>
      <c r="AE14" s="7">
        <v>-4.0189068228804886E-3</v>
      </c>
      <c r="AF14" s="7">
        <v>4.0420702542399108E-2</v>
      </c>
      <c r="AG14" s="7">
        <v>6.3902010138930376E-3</v>
      </c>
      <c r="AH14" s="7">
        <v>5.250277930506024E-3</v>
      </c>
      <c r="AI14" s="7">
        <v>7.2072950927120863E-2</v>
      </c>
      <c r="AJ14" s="7">
        <v>1.505903608315101E-2</v>
      </c>
      <c r="AK14" s="7">
        <v>7.6911430858302002E-2</v>
      </c>
      <c r="AL14" s="7">
        <v>3.7969189722460717E-2</v>
      </c>
      <c r="AM14" s="7">
        <v>6.1242166378625243E-2</v>
      </c>
      <c r="AN14" s="7">
        <v>9.8594666769543718E-2</v>
      </c>
      <c r="AO14" s="7">
        <v>6.0905705465409951E-2</v>
      </c>
      <c r="AP14" s="7">
        <v>-6.9976525152084204E-2</v>
      </c>
      <c r="AQ14" s="7">
        <v>-3.6796773775995059E-4</v>
      </c>
      <c r="AR14" s="7">
        <v>3.764583976226292E-2</v>
      </c>
      <c r="AS14" s="7">
        <v>8.5376985953046783E-2</v>
      </c>
      <c r="AT14" s="7">
        <v>3.4506579685144471E-2</v>
      </c>
      <c r="AU14" s="7">
        <v>3.999164900330384E-2</v>
      </c>
      <c r="AV14" s="7">
        <v>-1.868288543361717E-2</v>
      </c>
      <c r="AW14" s="7">
        <v>-1.8362931505957501E-2</v>
      </c>
      <c r="AX14" s="7">
        <v>0.13695102829439271</v>
      </c>
      <c r="AY14" s="7">
        <v>1.5068118771761551E-2</v>
      </c>
      <c r="AZ14" s="7">
        <v>-5.3348569172156059E-2</v>
      </c>
      <c r="BA14" s="7">
        <v>9.6337325355973988E-2</v>
      </c>
      <c r="BB14" s="7">
        <v>0.101898340258458</v>
      </c>
      <c r="BC14" s="7">
        <v>-9.8209989552774171E-3</v>
      </c>
      <c r="BD14" s="7">
        <v>4.3327781667405418E-2</v>
      </c>
      <c r="BE14" s="7">
        <v>4.3787062535487017E-2</v>
      </c>
      <c r="BF14" s="7">
        <v>4.0770521545689782E-2</v>
      </c>
      <c r="BG14" s="7">
        <v>4.1374264073932777E-2</v>
      </c>
      <c r="BH14" s="7">
        <v>5.3427555686006711E-3</v>
      </c>
      <c r="BI14" s="7">
        <v>5.0185212890853773E-2</v>
      </c>
      <c r="BJ14" s="7">
        <v>-2.0017223671233209E-2</v>
      </c>
      <c r="BK14" s="7">
        <v>-5.5937516570728277E-3</v>
      </c>
      <c r="BL14" s="7">
        <v>5.9737766842370338E-2</v>
      </c>
      <c r="BM14" s="7">
        <v>-4.6278325003000387E-2</v>
      </c>
      <c r="BN14" s="7">
        <v>2.0936538072551379E-2</v>
      </c>
      <c r="BO14" s="7">
        <v>3.3609045677264478E-2</v>
      </c>
      <c r="BP14" s="7">
        <v>1.5673733492959141E-2</v>
      </c>
      <c r="BQ14" s="7">
        <v>1.584352386995078E-2</v>
      </c>
      <c r="BR14" s="7">
        <v>-2.7929429532617921E-2</v>
      </c>
      <c r="BS14" s="7">
        <v>-4.1493955144577897E-2</v>
      </c>
      <c r="BT14" s="7">
        <v>7.4012962336311328E-2</v>
      </c>
      <c r="BU14" s="7">
        <v>-8.8548353580308568E-3</v>
      </c>
      <c r="BV14" s="7">
        <v>2.5727182016427399E-2</v>
      </c>
      <c r="BW14" s="7">
        <v>1.250794825759332E-2</v>
      </c>
      <c r="BX14" s="7">
        <v>5.4970760121953073E-2</v>
      </c>
      <c r="BY14" s="7">
        <v>-6.5962933649650326E-3</v>
      </c>
      <c r="BZ14" s="7">
        <v>6.0034056828782267E-2</v>
      </c>
      <c r="CA14" s="7">
        <v>-2.446526611493707E-2</v>
      </c>
      <c r="CB14" s="7">
        <v>2.2127616542174811E-2</v>
      </c>
      <c r="CC14" s="7">
        <v>0.1205961585891825</v>
      </c>
      <c r="CD14" s="7">
        <v>4.7921840912584578E-2</v>
      </c>
      <c r="CE14" s="7">
        <v>0.1705553024885505</v>
      </c>
      <c r="CF14" s="7">
        <v>-2.0310216922519591E-2</v>
      </c>
      <c r="CG14" s="7">
        <v>0.13892667651794</v>
      </c>
      <c r="CH14" s="7">
        <v>6.46613922782171E-2</v>
      </c>
      <c r="CI14" s="7">
        <v>-0.1058847773633588</v>
      </c>
      <c r="CJ14" s="7">
        <v>-2.866785494417454E-2</v>
      </c>
      <c r="CK14" s="7">
        <v>1.40163643906461E-2</v>
      </c>
      <c r="CL14" s="7">
        <v>6.2269954878836478E-2</v>
      </c>
      <c r="CM14" s="7">
        <v>3.2040010368317121E-2</v>
      </c>
      <c r="CN14" s="7">
        <v>-2.3026688670926061E-2</v>
      </c>
      <c r="CO14" s="7">
        <v>-7.3587720038892968E-2</v>
      </c>
      <c r="CP14" s="7">
        <v>9.9809331481752833E-2</v>
      </c>
      <c r="CQ14" s="7">
        <v>-3.2227899887387702E-2</v>
      </c>
      <c r="CR14" s="7">
        <v>6.2640655376448015E-2</v>
      </c>
      <c r="CS14" s="7">
        <v>-3.8161133435199359E-3</v>
      </c>
      <c r="CT14" s="7">
        <v>1.910057655068487E-2</v>
      </c>
      <c r="CU14" s="7">
        <v>-4.3917102697214612E-2</v>
      </c>
      <c r="CV14" s="7">
        <v>2.274571513825533E-2</v>
      </c>
      <c r="CW14" s="7">
        <v>-3.3983824634707719E-3</v>
      </c>
      <c r="CX14" s="7">
        <v>3.6299408888239168E-2</v>
      </c>
      <c r="CY14" s="7">
        <v>-2.875912029147424E-2</v>
      </c>
      <c r="CZ14" s="7">
        <v>6.4063563350383365E-2</v>
      </c>
      <c r="DA14" s="7">
        <v>-2.4304289170584491E-2</v>
      </c>
      <c r="DB14" s="7">
        <v>0.1046074411002299</v>
      </c>
      <c r="DC14" s="7">
        <v>1.4753761497027579E-2</v>
      </c>
      <c r="DD14" s="7">
        <v>-5.389996674879375E-2</v>
      </c>
      <c r="DE14" s="7">
        <v>5.3842996077645283E-3</v>
      </c>
      <c r="DF14" s="7">
        <v>-3.5856630557062542E-2</v>
      </c>
      <c r="DG14" s="7">
        <v>1.144655639331721E-2</v>
      </c>
      <c r="DH14" s="7">
        <v>4.7748372429115976E-3</v>
      </c>
      <c r="DI14" s="7">
        <v>-5.8597819708917052E-2</v>
      </c>
      <c r="DJ14" s="7">
        <v>1.589759181276991E-2</v>
      </c>
      <c r="DK14" s="7">
        <v>1.9071063117655919E-2</v>
      </c>
      <c r="DL14" s="7">
        <v>-1.516516155488855E-2</v>
      </c>
      <c r="DM14" s="7">
        <v>5.504269093650517E-3</v>
      </c>
      <c r="DN14" s="7">
        <v>4.2662495893264311E-2</v>
      </c>
      <c r="DO14" s="7">
        <v>4.1375645162797292E-2</v>
      </c>
      <c r="DP14" s="7">
        <v>4.3539716357652018E-2</v>
      </c>
      <c r="DQ14" s="7">
        <v>-5.6019285986190409E-2</v>
      </c>
      <c r="DR14" s="7">
        <v>5.2622519458999567E-2</v>
      </c>
      <c r="DS14" s="7">
        <v>-3.5044906270916831E-2</v>
      </c>
      <c r="DT14" s="7">
        <v>0.1176725133317565</v>
      </c>
      <c r="DU14" s="7">
        <v>-6.8795273192164358E-2</v>
      </c>
      <c r="DV14" s="7">
        <v>0.1082623545301073</v>
      </c>
      <c r="DW14" s="7">
        <v>9.8344367017777726E-2</v>
      </c>
      <c r="DX14" s="7">
        <v>-0.1019315055524211</v>
      </c>
      <c r="DY14" s="7">
        <v>7.4258700078750628E-2</v>
      </c>
      <c r="DZ14" s="7">
        <v>3.5030999863780207E-2</v>
      </c>
      <c r="EA14" s="7">
        <v>0.10752548319752379</v>
      </c>
      <c r="EB14" s="7">
        <v>3.317733311259085E-2</v>
      </c>
      <c r="EC14" s="7">
        <v>-1.92914596657494E-2</v>
      </c>
      <c r="ED14" s="7">
        <v>-0.102629709186187</v>
      </c>
      <c r="EE14" s="7">
        <v>1.886715684489253E-2</v>
      </c>
      <c r="EF14" s="8">
        <v>6.9956420498558061E-2</v>
      </c>
      <c r="EG14" s="18">
        <f t="shared" si="10"/>
        <v>2.5218076261435955E-2</v>
      </c>
      <c r="EH14" s="18">
        <f t="shared" si="11"/>
        <v>5.8326888254879465E-2</v>
      </c>
      <c r="EI14" s="18">
        <f t="shared" si="12"/>
        <v>0.43235764869260418</v>
      </c>
    </row>
    <row r="15" spans="1:139" x14ac:dyDescent="0.3">
      <c r="A15" s="1">
        <v>100</v>
      </c>
      <c r="B15" s="1">
        <v>10</v>
      </c>
      <c r="C15" s="7">
        <v>0.22764465877785839</v>
      </c>
      <c r="D15" s="7">
        <v>0.37270921560992559</v>
      </c>
      <c r="E15" s="7">
        <v>6.204568011695779E-2</v>
      </c>
      <c r="F15" s="7">
        <v>9.0303713009756648E-2</v>
      </c>
      <c r="G15" s="7">
        <v>9.6605590550261633E-2</v>
      </c>
      <c r="H15" s="7">
        <v>0.1188437037073593</v>
      </c>
      <c r="I15" s="7">
        <v>0.12672874111951199</v>
      </c>
      <c r="J15" s="7">
        <v>-6.4524690109755506E-2</v>
      </c>
      <c r="K15" s="7">
        <v>-4.2103663853407802E-3</v>
      </c>
      <c r="L15" s="7">
        <v>1.296708496104035E-2</v>
      </c>
      <c r="M15" s="7">
        <v>2.5497709479487259E-2</v>
      </c>
      <c r="N15" s="7">
        <v>0.33030933686480701</v>
      </c>
      <c r="O15" s="7">
        <v>4.6103493253125377E-2</v>
      </c>
      <c r="P15" s="7">
        <v>5.298328319235554E-2</v>
      </c>
      <c r="Q15" s="7">
        <v>0.1003753495838908</v>
      </c>
      <c r="R15" s="7">
        <v>1.6755436290618191E-2</v>
      </c>
      <c r="S15" s="7">
        <v>-4.3033933773331312E-2</v>
      </c>
      <c r="T15" s="7">
        <v>-6.6800124943112091E-2</v>
      </c>
      <c r="U15" s="7">
        <v>4.6790243158631693E-2</v>
      </c>
      <c r="V15" s="7">
        <v>-8.5680881878873433E-2</v>
      </c>
      <c r="W15" s="7">
        <v>0.1025435939827431</v>
      </c>
      <c r="X15" s="7">
        <v>7.8436412445587397E-2</v>
      </c>
      <c r="Y15" s="7">
        <v>-2.41886185471549E-2</v>
      </c>
      <c r="Z15" s="7">
        <v>-2.3656418685670762E-2</v>
      </c>
      <c r="AA15" s="7">
        <v>4.6586123925793019E-2</v>
      </c>
      <c r="AB15" s="7">
        <v>-2.2166400740933071E-2</v>
      </c>
      <c r="AC15" s="7">
        <v>-4.0055129570116199E-2</v>
      </c>
      <c r="AD15" s="7">
        <v>8.171337488818238E-2</v>
      </c>
      <c r="AE15" s="7">
        <v>4.7286476245703507E-2</v>
      </c>
      <c r="AF15" s="7">
        <v>6.5819612497039853E-2</v>
      </c>
      <c r="AG15" s="7">
        <v>-9.7453106019047206E-3</v>
      </c>
      <c r="AH15" s="7">
        <v>-3.3604373357676472E-2</v>
      </c>
      <c r="AI15" s="7">
        <v>8.5430110815606947E-2</v>
      </c>
      <c r="AJ15" s="7">
        <v>9.4648599674757375E-3</v>
      </c>
      <c r="AK15" s="7">
        <v>6.1759619658444932E-2</v>
      </c>
      <c r="AL15" s="7">
        <v>4.4431662495814539E-2</v>
      </c>
      <c r="AM15" s="7">
        <v>5.5122622134627111E-2</v>
      </c>
      <c r="AN15" s="7">
        <v>0.10168870591238351</v>
      </c>
      <c r="AO15" s="7">
        <v>6.3369812463467096E-2</v>
      </c>
      <c r="AP15" s="7">
        <v>-7.8285693892754235E-2</v>
      </c>
      <c r="AQ15" s="7">
        <v>-3.7367126796121669E-2</v>
      </c>
      <c r="AR15" s="7">
        <v>9.0293855475916673E-2</v>
      </c>
      <c r="AS15" s="7">
        <v>5.3821179037114017E-2</v>
      </c>
      <c r="AT15" s="7">
        <v>6.5254990652428568E-2</v>
      </c>
      <c r="AU15" s="7">
        <v>3.9943261089466317E-2</v>
      </c>
      <c r="AV15" s="7">
        <v>-4.7226818327438858E-2</v>
      </c>
      <c r="AW15" s="7">
        <v>1.5659939254580951E-2</v>
      </c>
      <c r="AX15" s="7">
        <v>0.12523397717473519</v>
      </c>
      <c r="AY15" s="7">
        <v>2.8017064110032911E-2</v>
      </c>
      <c r="AZ15" s="7">
        <v>-9.1323280068503487E-2</v>
      </c>
      <c r="BA15" s="7">
        <v>0.15768794840833861</v>
      </c>
      <c r="BB15" s="7">
        <v>0.1087890998161227</v>
      </c>
      <c r="BC15" s="7">
        <v>6.2155143667830287E-2</v>
      </c>
      <c r="BD15" s="7">
        <v>5.3043273904796059E-2</v>
      </c>
      <c r="BE15" s="7">
        <v>4.8442721017663122E-2</v>
      </c>
      <c r="BF15" s="7">
        <v>4.7662979456752137E-2</v>
      </c>
      <c r="BG15" s="7">
        <v>2.489538734565238E-3</v>
      </c>
      <c r="BH15" s="7">
        <v>3.4441845481689458E-2</v>
      </c>
      <c r="BI15" s="7">
        <v>6.8586659114969639E-2</v>
      </c>
      <c r="BJ15" s="7">
        <v>-1.1265027087445249E-2</v>
      </c>
      <c r="BK15" s="7">
        <v>8.2375226780603827E-4</v>
      </c>
      <c r="BL15" s="7">
        <v>5.940387134134844E-2</v>
      </c>
      <c r="BM15" s="7">
        <v>-4.8219004487744091E-2</v>
      </c>
      <c r="BN15" s="7">
        <v>4.0142569733189887E-2</v>
      </c>
      <c r="BO15" s="7">
        <v>2.773447595493098E-2</v>
      </c>
      <c r="BP15" s="7">
        <v>1.4184220707804779E-2</v>
      </c>
      <c r="BQ15" s="7">
        <v>1.280293129032776E-2</v>
      </c>
      <c r="BR15" s="7">
        <v>-5.0157429122059692E-2</v>
      </c>
      <c r="BS15" s="7">
        <v>-1.682377745028631E-2</v>
      </c>
      <c r="BT15" s="7">
        <v>8.9060205731334427E-2</v>
      </c>
      <c r="BU15" s="7">
        <v>1.9476419795793471E-2</v>
      </c>
      <c r="BV15" s="7">
        <v>5.8914967752548723E-2</v>
      </c>
      <c r="BW15" s="7">
        <v>-3.5945890129403732E-2</v>
      </c>
      <c r="BX15" s="7">
        <v>2.8635895065731481E-2</v>
      </c>
      <c r="BY15" s="7">
        <v>-6.1694091479059833E-2</v>
      </c>
      <c r="BZ15" s="7">
        <v>0.1029064689773473</v>
      </c>
      <c r="CA15" s="7">
        <v>-1.859202079644226E-2</v>
      </c>
      <c r="CB15" s="7">
        <v>1.5056894011824499E-2</v>
      </c>
      <c r="CC15" s="7">
        <v>0.17365170572211991</v>
      </c>
      <c r="CD15" s="7">
        <v>8.9094519675820161E-2</v>
      </c>
      <c r="CE15" s="7">
        <v>7.3368120048450503E-2</v>
      </c>
      <c r="CF15" s="7">
        <v>-3.626816930322469E-3</v>
      </c>
      <c r="CG15" s="7">
        <v>0.2257312272651272</v>
      </c>
      <c r="CH15" s="7">
        <v>6.2885958283701332E-2</v>
      </c>
      <c r="CI15" s="7">
        <v>-3.8798414894980787E-2</v>
      </c>
      <c r="CJ15" s="7">
        <v>-8.7044356072718085E-2</v>
      </c>
      <c r="CK15" s="7">
        <v>5.667264577209942E-2</v>
      </c>
      <c r="CL15" s="7">
        <v>3.1421974993248308E-2</v>
      </c>
      <c r="CM15" s="7">
        <v>7.4631116128453773E-2</v>
      </c>
      <c r="CN15" s="7">
        <v>-4.2634115799160301E-2</v>
      </c>
      <c r="CO15" s="7">
        <v>-0.12944902488204141</v>
      </c>
      <c r="CP15" s="7">
        <v>0.12753583543294969</v>
      </c>
      <c r="CQ15" s="7">
        <v>2.49633604564388E-2</v>
      </c>
      <c r="CR15" s="7">
        <v>2.4374318697755349E-2</v>
      </c>
      <c r="CS15" s="7">
        <v>1.6910986704255612E-2</v>
      </c>
      <c r="CT15" s="7">
        <v>7.3945749754547726E-3</v>
      </c>
      <c r="CU15" s="7">
        <v>-6.3178659914772728E-2</v>
      </c>
      <c r="CV15" s="7">
        <v>-6.1418469048089008E-3</v>
      </c>
      <c r="CW15" s="7">
        <v>-1.248466018044017E-2</v>
      </c>
      <c r="CX15" s="7">
        <v>2.4039607053330959E-2</v>
      </c>
      <c r="CY15" s="7">
        <v>-4.2470673077762339E-2</v>
      </c>
      <c r="CZ15" s="7">
        <v>7.9886947944342257E-2</v>
      </c>
      <c r="DA15" s="7">
        <v>-2.6375835441876511E-2</v>
      </c>
      <c r="DB15" s="7">
        <v>9.7048241525465193E-2</v>
      </c>
      <c r="DC15" s="7">
        <v>7.6727024332969171E-2</v>
      </c>
      <c r="DD15" s="7">
        <v>-6.7526409067735202E-2</v>
      </c>
      <c r="DE15" s="7">
        <v>2.494871474504301E-2</v>
      </c>
      <c r="DF15" s="7">
        <v>-4.2391306399394757E-2</v>
      </c>
      <c r="DG15" s="7">
        <v>1.61967316182412E-2</v>
      </c>
      <c r="DH15" s="7">
        <v>-1.8709011043892099E-2</v>
      </c>
      <c r="DI15" s="7">
        <v>-1.171844900945769E-2</v>
      </c>
      <c r="DJ15" s="7">
        <v>4.7566622441064077E-2</v>
      </c>
      <c r="DK15" s="7">
        <v>0.101774834051468</v>
      </c>
      <c r="DL15" s="7">
        <v>6.2635494088437937E-2</v>
      </c>
      <c r="DM15" s="7">
        <v>-2.380854686766869E-2</v>
      </c>
      <c r="DN15" s="7">
        <v>4.3996497423619649E-2</v>
      </c>
      <c r="DO15" s="7">
        <v>4.6296727233800808E-2</v>
      </c>
      <c r="DP15" s="7">
        <v>2.3735602006892551E-2</v>
      </c>
      <c r="DQ15" s="7">
        <v>-7.2938079904142805E-2</v>
      </c>
      <c r="DR15" s="7">
        <v>7.0010566617938433E-2</v>
      </c>
      <c r="DS15" s="7">
        <v>-7.6241908411797149E-2</v>
      </c>
      <c r="DT15" s="7">
        <v>3.4296398911167342E-2</v>
      </c>
      <c r="DU15" s="7">
        <v>-0.1171276535106479</v>
      </c>
      <c r="DV15" s="7">
        <v>0.13976835694087139</v>
      </c>
      <c r="DW15" s="7">
        <v>2.5538627146832551E-2</v>
      </c>
      <c r="DX15" s="7">
        <v>-0.1186162506499864</v>
      </c>
      <c r="DY15" s="7">
        <v>0.14360957438078251</v>
      </c>
      <c r="DZ15" s="7">
        <v>4.0455653304009277E-2</v>
      </c>
      <c r="EA15" s="7">
        <v>0.10917693290987859</v>
      </c>
      <c r="EB15" s="7">
        <v>4.8518573131244913E-2</v>
      </c>
      <c r="EC15" s="7">
        <v>-1.7785518394724049E-2</v>
      </c>
      <c r="ED15" s="7">
        <v>-0.1133570559353114</v>
      </c>
      <c r="EE15" s="7">
        <v>-1.6245414536088298E-2</v>
      </c>
      <c r="EF15" s="8">
        <v>6.5700991138842244E-2</v>
      </c>
      <c r="EG15" s="18">
        <f t="shared" si="10"/>
        <v>3.2002321068482872E-2</v>
      </c>
      <c r="EH15" s="18">
        <f t="shared" si="11"/>
        <v>7.7309795961343686E-2</v>
      </c>
      <c r="EI15" s="18">
        <f t="shared" si="12"/>
        <v>0.41394910787870426</v>
      </c>
    </row>
    <row r="16" spans="1:139" x14ac:dyDescent="0.3">
      <c r="A16" s="1">
        <v>107</v>
      </c>
      <c r="B16" s="1">
        <v>9</v>
      </c>
      <c r="C16" s="7">
        <v>0.20787477708292909</v>
      </c>
      <c r="D16" s="7">
        <v>0.40819497873258059</v>
      </c>
      <c r="E16" s="7">
        <v>6.500657711132822E-2</v>
      </c>
      <c r="F16" s="7">
        <v>0.1242597879076992</v>
      </c>
      <c r="G16" s="7">
        <v>0.1090125126967716</v>
      </c>
      <c r="H16" s="7">
        <v>7.2848056287647484E-2</v>
      </c>
      <c r="I16" s="7">
        <v>0.11179230197990719</v>
      </c>
      <c r="J16" s="7">
        <v>-6.869403325322769E-2</v>
      </c>
      <c r="K16" s="7">
        <v>1.79251045182631E-2</v>
      </c>
      <c r="L16" s="7">
        <v>3.1027150965473069E-2</v>
      </c>
      <c r="M16" s="7">
        <v>4.0334454725240582E-2</v>
      </c>
      <c r="N16" s="7">
        <v>0.36698760912258638</v>
      </c>
      <c r="O16" s="7">
        <v>1.562109222531044E-2</v>
      </c>
      <c r="P16" s="7">
        <v>6.1979735280907847E-2</v>
      </c>
      <c r="Q16" s="7">
        <v>9.6618173174909727E-2</v>
      </c>
      <c r="R16" s="7">
        <v>1.9182762255635071E-2</v>
      </c>
      <c r="S16" s="7">
        <v>-4.241518321095411E-2</v>
      </c>
      <c r="T16" s="7">
        <v>-6.7219060157601318E-2</v>
      </c>
      <c r="U16" s="7">
        <v>4.8651515792801768E-2</v>
      </c>
      <c r="V16" s="7">
        <v>-0.1043161756014417</v>
      </c>
      <c r="W16" s="7">
        <v>0.10166567604781181</v>
      </c>
      <c r="X16" s="7">
        <v>7.3678277657467109E-2</v>
      </c>
      <c r="Y16" s="7">
        <v>-4.2874470917364169E-3</v>
      </c>
      <c r="Z16" s="7">
        <v>-2.0075794878424799E-2</v>
      </c>
      <c r="AA16" s="7">
        <v>5.022552686591434E-2</v>
      </c>
      <c r="AB16" s="7">
        <v>-3.2295414434067762E-2</v>
      </c>
      <c r="AC16" s="7">
        <v>-4.1040522709083073E-2</v>
      </c>
      <c r="AD16" s="7">
        <v>5.3136055547856789E-2</v>
      </c>
      <c r="AE16" s="7">
        <v>5.1534991881901908E-2</v>
      </c>
      <c r="AF16" s="7">
        <v>6.3685842581589158E-2</v>
      </c>
      <c r="AG16" s="7">
        <v>-8.3019076028860647E-3</v>
      </c>
      <c r="AH16" s="7">
        <v>-3.1765400449440553E-2</v>
      </c>
      <c r="AI16" s="7">
        <v>4.9078043176568033E-2</v>
      </c>
      <c r="AJ16" s="7">
        <v>-7.0259660718760518E-3</v>
      </c>
      <c r="AK16" s="7">
        <v>6.4421400832372078E-2</v>
      </c>
      <c r="AL16" s="7">
        <v>4.8688933104523248E-2</v>
      </c>
      <c r="AM16" s="7">
        <v>6.6076730601797973E-2</v>
      </c>
      <c r="AN16" s="7">
        <v>0.1064562000896756</v>
      </c>
      <c r="AO16" s="7">
        <v>6.1424671825912318E-2</v>
      </c>
      <c r="AP16" s="7">
        <v>-7.779836814558852E-2</v>
      </c>
      <c r="AQ16" s="7">
        <v>-3.8466200146068608E-2</v>
      </c>
      <c r="AR16" s="7">
        <v>0.1032911790604924</v>
      </c>
      <c r="AS16" s="7">
        <v>6.5068225473969343E-2</v>
      </c>
      <c r="AT16" s="7">
        <v>4.954715531837002E-2</v>
      </c>
      <c r="AU16" s="7">
        <v>4.1826838254895117E-2</v>
      </c>
      <c r="AV16" s="7">
        <v>-9.0725067800187069E-3</v>
      </c>
      <c r="AW16" s="7">
        <v>3.9252930074650652E-2</v>
      </c>
      <c r="AX16" s="7">
        <v>0.10082977324397289</v>
      </c>
      <c r="AY16" s="7">
        <v>3.3812589844345937E-2</v>
      </c>
      <c r="AZ16" s="7">
        <v>-0.1049096351787122</v>
      </c>
      <c r="BA16" s="7">
        <v>0.15999070017462089</v>
      </c>
      <c r="BB16" s="7">
        <v>0.1324747375965718</v>
      </c>
      <c r="BC16" s="7">
        <v>6.712146610769186E-2</v>
      </c>
      <c r="BD16" s="7">
        <v>3.5936711545904013E-2</v>
      </c>
      <c r="BE16" s="7">
        <v>5.1410994394474947E-2</v>
      </c>
      <c r="BF16" s="7">
        <v>6.4268054319718215E-2</v>
      </c>
      <c r="BG16" s="7">
        <v>1.347328204795663E-2</v>
      </c>
      <c r="BH16" s="7">
        <v>-1.377561448396186E-2</v>
      </c>
      <c r="BI16" s="7">
        <v>4.1443807763261883E-2</v>
      </c>
      <c r="BJ16" s="7">
        <v>-2.0503816283207601E-2</v>
      </c>
      <c r="BK16" s="7">
        <v>2.9719902951970238E-3</v>
      </c>
      <c r="BL16" s="7">
        <v>7.0623565707523178E-2</v>
      </c>
      <c r="BM16" s="7">
        <v>-3.9497985491106162E-2</v>
      </c>
      <c r="BN16" s="7">
        <v>4.7905832604027233E-2</v>
      </c>
      <c r="BO16" s="7">
        <v>2.1890359953657689E-2</v>
      </c>
      <c r="BP16" s="7">
        <v>2.0843183547580579E-2</v>
      </c>
      <c r="BQ16" s="7">
        <v>1.6478016254928601E-2</v>
      </c>
      <c r="BR16" s="7">
        <v>-2.6296848021444389E-2</v>
      </c>
      <c r="BS16" s="7">
        <v>-1.319157314746418E-2</v>
      </c>
      <c r="BT16" s="7">
        <v>8.5483191267799616E-2</v>
      </c>
      <c r="BU16" s="7">
        <v>5.7765110184800447E-2</v>
      </c>
      <c r="BV16" s="7">
        <v>6.0711239446840828E-2</v>
      </c>
      <c r="BW16" s="7">
        <v>-6.5740927426534632E-2</v>
      </c>
      <c r="BX16" s="7">
        <v>3.1559237521130948E-2</v>
      </c>
      <c r="BY16" s="7">
        <v>-5.0563732847242943E-2</v>
      </c>
      <c r="BZ16" s="7">
        <v>0.11152584850164921</v>
      </c>
      <c r="CA16" s="7">
        <v>-2.971438975556321E-2</v>
      </c>
      <c r="CB16" s="7">
        <v>-1.4280449892172949E-3</v>
      </c>
      <c r="CC16" s="7">
        <v>4.4388153170205821E-2</v>
      </c>
      <c r="CD16" s="7">
        <v>8.7751090265593801E-2</v>
      </c>
      <c r="CE16" s="7">
        <v>9.3614230467915741E-2</v>
      </c>
      <c r="CF16" s="7">
        <v>-1.4696062966429431E-2</v>
      </c>
      <c r="CG16" s="7">
        <v>0.14619604002614181</v>
      </c>
      <c r="CH16" s="7">
        <v>4.1697414703027062E-2</v>
      </c>
      <c r="CI16" s="7">
        <v>-3.8709881828517527E-2</v>
      </c>
      <c r="CJ16" s="7">
        <v>-4.5523550787666608E-2</v>
      </c>
      <c r="CK16" s="7">
        <v>7.6472983717690388E-2</v>
      </c>
      <c r="CL16" s="7">
        <v>1.5878682334709331E-2</v>
      </c>
      <c r="CM16" s="7">
        <v>8.8988628149511667E-2</v>
      </c>
      <c r="CN16" s="7">
        <v>-3.3057515140949983E-2</v>
      </c>
      <c r="CO16" s="7">
        <v>-0.18245195453982929</v>
      </c>
      <c r="CP16" s="7">
        <v>0.13663168948209131</v>
      </c>
      <c r="CQ16" s="7">
        <v>2.0333779820360921E-2</v>
      </c>
      <c r="CR16" s="7">
        <v>2.5228656512159529E-2</v>
      </c>
      <c r="CS16" s="7">
        <v>2.1807008909622099E-2</v>
      </c>
      <c r="CT16" s="7">
        <v>5.0674065008409694E-3</v>
      </c>
      <c r="CU16" s="7">
        <v>-6.343465435897469E-2</v>
      </c>
      <c r="CV16" s="7">
        <v>-1.6751084080720881E-2</v>
      </c>
      <c r="CW16" s="7">
        <v>-9.1941595326216954E-3</v>
      </c>
      <c r="CX16" s="7">
        <v>1.224028475424996E-2</v>
      </c>
      <c r="CY16" s="7">
        <v>-4.9117049116625407E-2</v>
      </c>
      <c r="CZ16" s="7">
        <v>0.1026332591781325</v>
      </c>
      <c r="DA16" s="7">
        <v>-2.9804793967235531E-2</v>
      </c>
      <c r="DB16" s="7">
        <v>9.8017282885796683E-2</v>
      </c>
      <c r="DC16" s="7">
        <v>6.3740658508044973E-2</v>
      </c>
      <c r="DD16" s="7">
        <v>-7.4371115002597243E-2</v>
      </c>
      <c r="DE16" s="7">
        <v>3.4444372341228768E-2</v>
      </c>
      <c r="DF16" s="7">
        <v>-2.31464332255591E-2</v>
      </c>
      <c r="DG16" s="7">
        <v>1.445294763143863E-2</v>
      </c>
      <c r="DH16" s="7">
        <v>-1.9129343417971109E-2</v>
      </c>
      <c r="DI16" s="7">
        <v>-1.323342571252227E-2</v>
      </c>
      <c r="DJ16" s="7">
        <v>5.17532210725552E-2</v>
      </c>
      <c r="DK16" s="7">
        <v>0.1335943566255807</v>
      </c>
      <c r="DL16" s="7">
        <v>6.5113036128644886E-2</v>
      </c>
      <c r="DM16" s="7">
        <v>-3.0330949758340948E-2</v>
      </c>
      <c r="DN16" s="7">
        <v>4.2437853359407113E-2</v>
      </c>
      <c r="DO16" s="7">
        <v>5.3221907556143692E-2</v>
      </c>
      <c r="DP16" s="7">
        <v>1.9841948579226051E-2</v>
      </c>
      <c r="DQ16" s="7">
        <v>-6.7560519945635999E-2</v>
      </c>
      <c r="DR16" s="7">
        <v>5.5191251649515209E-2</v>
      </c>
      <c r="DS16" s="7">
        <v>-9.3752064989754288E-2</v>
      </c>
      <c r="DT16" s="7">
        <v>3.2059492153239763E-2</v>
      </c>
      <c r="DU16" s="7">
        <v>-0.1227720465229642</v>
      </c>
      <c r="DV16" s="7">
        <v>0.13695373201779351</v>
      </c>
      <c r="DW16" s="7">
        <v>4.0917729699690833E-2</v>
      </c>
      <c r="DX16" s="7">
        <v>-0.1252847063239774</v>
      </c>
      <c r="DY16" s="7">
        <v>0.15757213273537249</v>
      </c>
      <c r="DZ16" s="7">
        <v>5.8810748191046001E-2</v>
      </c>
      <c r="EA16" s="7">
        <v>0.13979901874338971</v>
      </c>
      <c r="EB16" s="7">
        <v>7.8610638743133537E-2</v>
      </c>
      <c r="EC16" s="7">
        <v>-2.493799654212037E-2</v>
      </c>
      <c r="ED16" s="7">
        <v>-0.1154167474989211</v>
      </c>
      <c r="EE16" s="7">
        <v>-2.3090711524611399E-2</v>
      </c>
      <c r="EF16" s="8">
        <v>4.2474401493907223E-2</v>
      </c>
      <c r="EG16" s="18">
        <f t="shared" si="10"/>
        <v>3.1482594654816468E-2</v>
      </c>
      <c r="EH16" s="18">
        <f t="shared" si="11"/>
        <v>7.9538381244062498E-2</v>
      </c>
      <c r="EI16" s="18">
        <f t="shared" si="12"/>
        <v>0.39581638653435164</v>
      </c>
    </row>
    <row r="17" spans="1:139" x14ac:dyDescent="0.3">
      <c r="A17" s="1">
        <v>120</v>
      </c>
      <c r="B17" s="1">
        <v>8</v>
      </c>
      <c r="C17" s="7">
        <v>0.2060921883792059</v>
      </c>
      <c r="D17" s="7">
        <v>0.43958848862462141</v>
      </c>
      <c r="E17" s="7">
        <v>7.9589849390753017E-2</v>
      </c>
      <c r="F17" s="7">
        <v>0.14677181431251229</v>
      </c>
      <c r="G17" s="7">
        <v>0.1171314801951346</v>
      </c>
      <c r="H17" s="7">
        <v>0.104994053627741</v>
      </c>
      <c r="I17" s="7">
        <v>6.7489655086341166E-2</v>
      </c>
      <c r="J17" s="7">
        <v>-0.11529907324194991</v>
      </c>
      <c r="K17" s="7">
        <v>3.9444991917733881E-2</v>
      </c>
      <c r="L17" s="7">
        <v>3.3775929538638137E-2</v>
      </c>
      <c r="M17" s="7">
        <v>6.4932034983486181E-2</v>
      </c>
      <c r="N17" s="7">
        <v>0.40510800893946219</v>
      </c>
      <c r="O17" s="7">
        <v>2.4632055211945642E-2</v>
      </c>
      <c r="P17" s="7">
        <v>7.6915603502900942E-2</v>
      </c>
      <c r="Q17" s="7">
        <v>0.1064302532864768</v>
      </c>
      <c r="R17" s="7">
        <v>1.9752512806694429E-3</v>
      </c>
      <c r="S17" s="7">
        <v>-5.51320257379724E-2</v>
      </c>
      <c r="T17" s="7">
        <v>-7.120201453280707E-2</v>
      </c>
      <c r="U17" s="7">
        <v>5.2290233946816159E-2</v>
      </c>
      <c r="V17" s="7">
        <v>-0.11635630202540009</v>
      </c>
      <c r="W17" s="7">
        <v>0.1196039840123075</v>
      </c>
      <c r="X17" s="7">
        <v>0.1001859670039883</v>
      </c>
      <c r="Y17" s="7">
        <v>1.500501326537191E-3</v>
      </c>
      <c r="Z17" s="7">
        <v>-2.160848979426638E-2</v>
      </c>
      <c r="AA17" s="7">
        <v>6.2254197086471723E-2</v>
      </c>
      <c r="AB17" s="7">
        <v>-4.4538303269439639E-2</v>
      </c>
      <c r="AC17" s="7">
        <v>-4.0799010987682183E-2</v>
      </c>
      <c r="AD17" s="7">
        <v>4.9777375460754107E-2</v>
      </c>
      <c r="AE17" s="7">
        <v>5.9443499695692369E-2</v>
      </c>
      <c r="AF17" s="7">
        <v>6.1429310121940139E-2</v>
      </c>
      <c r="AG17" s="7">
        <v>-1.3516708058117981E-3</v>
      </c>
      <c r="AH17" s="7">
        <v>-3.5472619172888853E-2</v>
      </c>
      <c r="AI17" s="7">
        <v>3.058770864151358E-2</v>
      </c>
      <c r="AJ17" s="7">
        <v>-4.2602630518956887E-2</v>
      </c>
      <c r="AK17" s="7">
        <v>7.3716274739036441E-2</v>
      </c>
      <c r="AL17" s="7">
        <v>5.0724405748556509E-2</v>
      </c>
      <c r="AM17" s="7">
        <v>7.5369367587656971E-2</v>
      </c>
      <c r="AN17" s="7">
        <v>0.1132871203459177</v>
      </c>
      <c r="AO17" s="7">
        <v>1.2632334595724191E-2</v>
      </c>
      <c r="AP17" s="7">
        <v>-7.7242814419585484E-2</v>
      </c>
      <c r="AQ17" s="7">
        <v>-6.052713740149903E-2</v>
      </c>
      <c r="AR17" s="7">
        <v>0.11393070989481729</v>
      </c>
      <c r="AS17" s="7">
        <v>5.6323562034475708E-2</v>
      </c>
      <c r="AT17" s="7">
        <v>5.2267806449722218E-2</v>
      </c>
      <c r="AU17" s="7">
        <v>5.4555507286687788E-2</v>
      </c>
      <c r="AV17" s="7">
        <v>-2.120590278226837E-2</v>
      </c>
      <c r="AW17" s="7">
        <v>8.4218880418367916E-3</v>
      </c>
      <c r="AX17" s="7">
        <v>9.6240558508798979E-2</v>
      </c>
      <c r="AY17" s="7">
        <v>2.742369669060089E-2</v>
      </c>
      <c r="AZ17" s="7">
        <v>-0.1251576022601911</v>
      </c>
      <c r="BA17" s="7">
        <v>0.1628064098097628</v>
      </c>
      <c r="BB17" s="7">
        <v>0.15327128427838471</v>
      </c>
      <c r="BC17" s="7">
        <v>8.386319517781364E-2</v>
      </c>
      <c r="BD17" s="7">
        <v>2.235648224620481E-2</v>
      </c>
      <c r="BE17" s="7">
        <v>7.7350242238060404E-2</v>
      </c>
      <c r="BF17" s="7">
        <v>5.5197496608953713E-2</v>
      </c>
      <c r="BG17" s="7">
        <v>-3.5394236088037288E-2</v>
      </c>
      <c r="BH17" s="7">
        <v>1.351946085175304E-2</v>
      </c>
      <c r="BI17" s="7">
        <v>8.7111945439947241E-2</v>
      </c>
      <c r="BJ17" s="7">
        <v>-9.8580642732364818E-3</v>
      </c>
      <c r="BK17" s="7">
        <v>-1.3822952070105509E-2</v>
      </c>
      <c r="BL17" s="7">
        <v>7.7482966799946165E-2</v>
      </c>
      <c r="BM17" s="7">
        <v>-2.905901115235426E-2</v>
      </c>
      <c r="BN17" s="7">
        <v>4.6915525593877988E-2</v>
      </c>
      <c r="BO17" s="7">
        <v>3.5179615416723611E-2</v>
      </c>
      <c r="BP17" s="7">
        <v>3.5995979654480911E-2</v>
      </c>
      <c r="BQ17" s="7">
        <v>1.1376510446451601E-2</v>
      </c>
      <c r="BR17" s="7">
        <v>-9.6463751247498966E-3</v>
      </c>
      <c r="BS17" s="7">
        <v>-4.1034691106065987E-3</v>
      </c>
      <c r="BT17" s="7">
        <v>0.1094163788704233</v>
      </c>
      <c r="BU17" s="7">
        <v>7.1127818750752414E-2</v>
      </c>
      <c r="BV17" s="7">
        <v>7.0210303019628315E-2</v>
      </c>
      <c r="BW17" s="7">
        <v>-8.0431712599265903E-2</v>
      </c>
      <c r="BX17" s="7">
        <v>2.882296461967274E-2</v>
      </c>
      <c r="BY17" s="7">
        <v>-8.4245467628694337E-2</v>
      </c>
      <c r="BZ17" s="7">
        <v>0.12057815588108529</v>
      </c>
      <c r="CA17" s="7">
        <v>-2.7934832358489561E-2</v>
      </c>
      <c r="CB17" s="7">
        <v>-1.047770749199251E-2</v>
      </c>
      <c r="CC17" s="7">
        <v>4.1760252474235628E-2</v>
      </c>
      <c r="CD17" s="7">
        <v>6.4105945265327313E-2</v>
      </c>
      <c r="CE17" s="7">
        <v>9.5708073661495086E-2</v>
      </c>
      <c r="CF17" s="7">
        <v>-9.5123348938203942E-2</v>
      </c>
      <c r="CG17" s="7">
        <v>0.17703460732335141</v>
      </c>
      <c r="CH17" s="7">
        <v>5.8636446607050002E-2</v>
      </c>
      <c r="CI17" s="7">
        <v>-1.4531184989588509E-2</v>
      </c>
      <c r="CJ17" s="7">
        <v>-5.0742321484442049E-2</v>
      </c>
      <c r="CK17" s="7">
        <v>9.1738572657912937E-2</v>
      </c>
      <c r="CL17" s="7">
        <v>-9.426344769031314E-3</v>
      </c>
      <c r="CM17" s="7">
        <v>0.13456934443157431</v>
      </c>
      <c r="CN17" s="7">
        <v>-2.6718061150986971E-2</v>
      </c>
      <c r="CO17" s="7">
        <v>-0.20253862726298949</v>
      </c>
      <c r="CP17" s="7">
        <v>0.1481592691973436</v>
      </c>
      <c r="CQ17" s="7">
        <v>-5.1907103341726511E-2</v>
      </c>
      <c r="CR17" s="7">
        <v>2.3005829537998311E-2</v>
      </c>
      <c r="CS17" s="7">
        <v>1.1545515717005199E-2</v>
      </c>
      <c r="CT17" s="7">
        <v>4.9260056389193077E-2</v>
      </c>
      <c r="CU17" s="7">
        <v>-7.440830758325391E-2</v>
      </c>
      <c r="CV17" s="7">
        <v>3.8796079399274282E-3</v>
      </c>
      <c r="CW17" s="7">
        <v>-1.976185390935294E-2</v>
      </c>
      <c r="CX17" s="7">
        <v>1.0772394523947831E-2</v>
      </c>
      <c r="CY17" s="7">
        <v>-4.9383298716090041E-2</v>
      </c>
      <c r="CZ17" s="7">
        <v>0.1242488378476205</v>
      </c>
      <c r="DA17" s="7">
        <v>-4.3895859145134192E-2</v>
      </c>
      <c r="DB17" s="7">
        <v>0.1042716259030833</v>
      </c>
      <c r="DC17" s="7">
        <v>5.3888321948882503E-2</v>
      </c>
      <c r="DD17" s="7">
        <v>-4.8130589338511678E-2</v>
      </c>
      <c r="DE17" s="7">
        <v>4.3723415783303222E-2</v>
      </c>
      <c r="DF17" s="7">
        <v>-1.123137032665928E-2</v>
      </c>
      <c r="DG17" s="7">
        <v>-1.8392819289084069E-3</v>
      </c>
      <c r="DH17" s="7">
        <v>-3.8726650938012717E-2</v>
      </c>
      <c r="DI17" s="7">
        <v>-5.2932443237824478E-3</v>
      </c>
      <c r="DJ17" s="7">
        <v>5.7146500327343322E-2</v>
      </c>
      <c r="DK17" s="7">
        <v>0.15603642811654619</v>
      </c>
      <c r="DL17" s="7">
        <v>7.3515600937171063E-2</v>
      </c>
      <c r="DM17" s="7">
        <v>-5.2252910582316028E-2</v>
      </c>
      <c r="DN17" s="7">
        <v>3.5489032714339008E-2</v>
      </c>
      <c r="DO17" s="7">
        <v>5.3451370339903423E-2</v>
      </c>
      <c r="DP17" s="7">
        <v>-1.651850825662354E-2</v>
      </c>
      <c r="DQ17" s="7">
        <v>-6.5244348133762259E-2</v>
      </c>
      <c r="DR17" s="7">
        <v>5.5884814876328279E-2</v>
      </c>
      <c r="DS17" s="7">
        <v>-0.12431615980481089</v>
      </c>
      <c r="DT17" s="7">
        <v>1.674318991919271E-2</v>
      </c>
      <c r="DU17" s="7">
        <v>-0.12949295631998961</v>
      </c>
      <c r="DV17" s="7">
        <v>0.11776539811095429</v>
      </c>
      <c r="DW17" s="7">
        <v>4.8681483414150163E-2</v>
      </c>
      <c r="DX17" s="7">
        <v>-0.12953898259647401</v>
      </c>
      <c r="DY17" s="7">
        <v>0.10728289560185179</v>
      </c>
      <c r="DZ17" s="7">
        <v>4.9212629169808252E-2</v>
      </c>
      <c r="EA17" s="7">
        <v>0.1645715232321148</v>
      </c>
      <c r="EB17" s="7">
        <v>8.7100349194739302E-2</v>
      </c>
      <c r="EC17" s="7">
        <v>-2.0361159093761828E-2</v>
      </c>
      <c r="ED17" s="7">
        <v>-0.12832444392891271</v>
      </c>
      <c r="EE17" s="7">
        <v>-2.5413360310033831E-2</v>
      </c>
      <c r="EF17" s="8">
        <v>4.7709767009851849E-2</v>
      </c>
      <c r="EG17" s="18">
        <f t="shared" si="10"/>
        <v>3.125171493547263E-2</v>
      </c>
      <c r="EH17" s="18">
        <f t="shared" si="11"/>
        <v>8.8565557383425975E-2</v>
      </c>
      <c r="EI17" s="18">
        <f t="shared" si="12"/>
        <v>0.35286533341821469</v>
      </c>
    </row>
    <row r="18" spans="1:139" x14ac:dyDescent="0.3">
      <c r="A18" s="1">
        <v>137</v>
      </c>
      <c r="B18" s="1">
        <v>7</v>
      </c>
      <c r="C18" s="7">
        <v>0.18975112249235829</v>
      </c>
      <c r="D18" s="7">
        <v>0.40188368142206798</v>
      </c>
      <c r="E18" s="7">
        <v>5.3439350267724013E-2</v>
      </c>
      <c r="F18" s="7">
        <v>0.21209065115804249</v>
      </c>
      <c r="G18" s="7">
        <v>0.13305805731961079</v>
      </c>
      <c r="H18" s="7">
        <v>0.12853956177457129</v>
      </c>
      <c r="I18" s="7">
        <v>5.4952662908801589E-2</v>
      </c>
      <c r="J18" s="7">
        <v>-0.12516179308854181</v>
      </c>
      <c r="K18" s="7">
        <v>3.1586450310913693E-2</v>
      </c>
      <c r="L18" s="7">
        <v>4.6672720340673143E-2</v>
      </c>
      <c r="M18" s="7">
        <v>7.970257711397645E-2</v>
      </c>
      <c r="N18" s="7">
        <v>0.46182001807061318</v>
      </c>
      <c r="O18" s="7">
        <v>2.432387484281975E-2</v>
      </c>
      <c r="P18" s="7">
        <v>5.4569613110984121E-2</v>
      </c>
      <c r="Q18" s="7">
        <v>0.12173637166463511</v>
      </c>
      <c r="R18" s="7">
        <v>1.9326198926856369E-2</v>
      </c>
      <c r="S18" s="7">
        <v>-6.9013340393708683E-2</v>
      </c>
      <c r="T18" s="7">
        <v>-5.4244440031608693E-2</v>
      </c>
      <c r="U18" s="7">
        <v>2.813552763259065E-2</v>
      </c>
      <c r="V18" s="7">
        <v>-0.13125392693944099</v>
      </c>
      <c r="W18" s="7">
        <v>0.1379172379157062</v>
      </c>
      <c r="X18" s="7">
        <v>0.1271228086254903</v>
      </c>
      <c r="Y18" s="7">
        <v>2.421380772058089E-2</v>
      </c>
      <c r="Z18" s="7">
        <v>-1.690571618738388E-2</v>
      </c>
      <c r="AA18" s="7">
        <v>5.4804497980215187E-2</v>
      </c>
      <c r="AB18" s="7">
        <v>-6.2644805262660919E-2</v>
      </c>
      <c r="AC18" s="7">
        <v>-7.4719823379266678E-2</v>
      </c>
      <c r="AD18" s="7">
        <v>7.2443789088531399E-2</v>
      </c>
      <c r="AE18" s="7">
        <v>7.7201591618879711E-2</v>
      </c>
      <c r="AF18" s="7">
        <v>3.187341816062559E-2</v>
      </c>
      <c r="AG18" s="7">
        <v>-8.6183643801437219E-3</v>
      </c>
      <c r="AH18" s="7">
        <v>-4.0197460968514703E-2</v>
      </c>
      <c r="AI18" s="7">
        <v>4.6855541353756011E-2</v>
      </c>
      <c r="AJ18" s="7">
        <v>-4.7393756166449127E-2</v>
      </c>
      <c r="AK18" s="7">
        <v>3.0152480597625989E-2</v>
      </c>
      <c r="AL18" s="7">
        <v>4.7527763632257733E-2</v>
      </c>
      <c r="AM18" s="7">
        <v>6.6643405424771207E-2</v>
      </c>
      <c r="AN18" s="7">
        <v>7.9294639955201793E-2</v>
      </c>
      <c r="AO18" s="7">
        <v>5.4275349676927882E-3</v>
      </c>
      <c r="AP18" s="7">
        <v>-7.8278591933806971E-2</v>
      </c>
      <c r="AQ18" s="7">
        <v>-7.6230845326449942E-2</v>
      </c>
      <c r="AR18" s="7">
        <v>0.1245455063629442</v>
      </c>
      <c r="AS18" s="7">
        <v>8.5826551553969135E-2</v>
      </c>
      <c r="AT18" s="7">
        <v>4.3325649820578682E-2</v>
      </c>
      <c r="AU18" s="7">
        <v>6.4575644079591543E-2</v>
      </c>
      <c r="AV18" s="7">
        <v>-2.8768755881717199E-2</v>
      </c>
      <c r="AW18" s="7">
        <v>2.4538034241107461E-2</v>
      </c>
      <c r="AX18" s="7">
        <v>0.10756086825583611</v>
      </c>
      <c r="AY18" s="7">
        <v>3.4783278641148073E-2</v>
      </c>
      <c r="AZ18" s="7">
        <v>-0.14840908238889911</v>
      </c>
      <c r="BA18" s="7">
        <v>0.18047976466954649</v>
      </c>
      <c r="BB18" s="7">
        <v>0.16725801848079261</v>
      </c>
      <c r="BC18" s="7">
        <v>8.3201572593320602E-2</v>
      </c>
      <c r="BD18" s="7">
        <v>-2.4016271687300441E-2</v>
      </c>
      <c r="BE18" s="7">
        <v>6.8361213238162841E-2</v>
      </c>
      <c r="BF18" s="7">
        <v>4.5884536299578838E-2</v>
      </c>
      <c r="BG18" s="7">
        <v>-1.680624122620418E-2</v>
      </c>
      <c r="BH18" s="7">
        <v>2.0503853063805449E-2</v>
      </c>
      <c r="BI18" s="7">
        <v>0.1090000069186657</v>
      </c>
      <c r="BJ18" s="7">
        <v>5.9560640504595433E-3</v>
      </c>
      <c r="BK18" s="7">
        <v>-5.8003244170202591E-2</v>
      </c>
      <c r="BL18" s="7">
        <v>8.1157673820204085E-2</v>
      </c>
      <c r="BM18" s="7">
        <v>-2.8081356373095352E-2</v>
      </c>
      <c r="BN18" s="7">
        <v>5.2774389623830152E-2</v>
      </c>
      <c r="BO18" s="7">
        <v>2.0227496106374639E-2</v>
      </c>
      <c r="BP18" s="7">
        <v>4.6857540334682007E-2</v>
      </c>
      <c r="BQ18" s="7">
        <v>1.916784109848992E-3</v>
      </c>
      <c r="BR18" s="7">
        <v>-5.7481935839547244E-3</v>
      </c>
      <c r="BS18" s="7">
        <v>-3.9836250971192512E-3</v>
      </c>
      <c r="BT18" s="7">
        <v>0.1152367480358866</v>
      </c>
      <c r="BU18" s="7">
        <v>8.0677444040040805E-2</v>
      </c>
      <c r="BV18" s="7">
        <v>8.0923395277042356E-2</v>
      </c>
      <c r="BW18" s="7">
        <v>-8.531108693319546E-2</v>
      </c>
      <c r="BX18" s="7">
        <v>1.9018474716035669E-2</v>
      </c>
      <c r="BY18" s="7">
        <v>-0.1230749758240248</v>
      </c>
      <c r="BZ18" s="7">
        <v>0.15331998780259809</v>
      </c>
      <c r="CA18" s="7">
        <v>-1.6076543892860819E-2</v>
      </c>
      <c r="CB18" s="7">
        <v>-2.4577356612448309E-2</v>
      </c>
      <c r="CC18" s="7">
        <v>0.1046606238416451</v>
      </c>
      <c r="CD18" s="7">
        <v>5.0445794555038302E-2</v>
      </c>
      <c r="CE18" s="7">
        <v>7.7260394878222755E-2</v>
      </c>
      <c r="CF18" s="7">
        <v>-0.101858615532994</v>
      </c>
      <c r="CG18" s="7">
        <v>0.22664140590161991</v>
      </c>
      <c r="CH18" s="7">
        <v>0.16265704668723319</v>
      </c>
      <c r="CI18" s="7">
        <v>-3.8869139877689488E-2</v>
      </c>
      <c r="CJ18" s="7">
        <v>-6.2313677824909687E-2</v>
      </c>
      <c r="CK18" s="7">
        <v>9.0667784292283726E-2</v>
      </c>
      <c r="CL18" s="7">
        <v>-3.0989545058193121E-2</v>
      </c>
      <c r="CM18" s="7">
        <v>0.14364854316439371</v>
      </c>
      <c r="CN18" s="7">
        <v>-3.5086253978176607E-2</v>
      </c>
      <c r="CO18" s="7">
        <v>-0.23157387854942929</v>
      </c>
      <c r="CP18" s="7">
        <v>0.16283910894801071</v>
      </c>
      <c r="CQ18" s="7">
        <v>-3.8242675594942703E-2</v>
      </c>
      <c r="CR18" s="7">
        <v>3.3743302271192592E-2</v>
      </c>
      <c r="CS18" s="7">
        <v>2.8128560414088639E-2</v>
      </c>
      <c r="CT18" s="7">
        <v>9.0515429002249403E-2</v>
      </c>
      <c r="CU18" s="7">
        <v>-7.1648691205109999E-2</v>
      </c>
      <c r="CV18" s="7">
        <v>9.1040282230288663E-2</v>
      </c>
      <c r="CW18" s="7">
        <v>-8.4560855645258066E-3</v>
      </c>
      <c r="CX18" s="7">
        <v>6.1560185833778078E-2</v>
      </c>
      <c r="CY18" s="7">
        <v>-5.135741377478225E-2</v>
      </c>
      <c r="CZ18" s="7">
        <v>0.13284286330177139</v>
      </c>
      <c r="DA18" s="7">
        <v>-4.7380939518693557E-2</v>
      </c>
      <c r="DB18" s="7">
        <v>0.1181147182852117</v>
      </c>
      <c r="DC18" s="7">
        <v>4.9208867424112533E-2</v>
      </c>
      <c r="DD18" s="7">
        <v>-7.1071299907563223E-2</v>
      </c>
      <c r="DE18" s="7">
        <v>4.9173444891641022E-2</v>
      </c>
      <c r="DF18" s="7">
        <v>-3.5042778782370262E-2</v>
      </c>
      <c r="DG18" s="7">
        <v>-7.619473157627699E-3</v>
      </c>
      <c r="DH18" s="7">
        <v>-2.8038013248649029E-2</v>
      </c>
      <c r="DI18" s="7">
        <v>-1.6114629238026808E-2</v>
      </c>
      <c r="DJ18" s="7">
        <v>5.0654511409894881E-2</v>
      </c>
      <c r="DK18" s="7">
        <v>0.15851362709242739</v>
      </c>
      <c r="DL18" s="7">
        <v>8.1397742916241134E-2</v>
      </c>
      <c r="DM18" s="7">
        <v>-6.650814073203816E-2</v>
      </c>
      <c r="DN18" s="7">
        <v>-1.6722064078021251E-2</v>
      </c>
      <c r="DO18" s="7">
        <v>4.2104907550630517E-2</v>
      </c>
      <c r="DP18" s="7">
        <v>-2.0604686466865741E-2</v>
      </c>
      <c r="DQ18" s="7">
        <v>-6.1955528967367397E-2</v>
      </c>
      <c r="DR18" s="7">
        <v>7.6840654771961045E-2</v>
      </c>
      <c r="DS18" s="7">
        <v>-0.1477219984517327</v>
      </c>
      <c r="DT18" s="7">
        <v>-7.4073899594950176E-3</v>
      </c>
      <c r="DU18" s="7">
        <v>-0.15871482271667761</v>
      </c>
      <c r="DV18" s="7">
        <v>0.1056406088000619</v>
      </c>
      <c r="DW18" s="7">
        <v>8.1908692284373169E-2</v>
      </c>
      <c r="DX18" s="7">
        <v>-0.1536029774624818</v>
      </c>
      <c r="DY18" s="7">
        <v>0.1368331149382522</v>
      </c>
      <c r="DZ18" s="7">
        <v>5.4630374156582083E-2</v>
      </c>
      <c r="EA18" s="7">
        <v>0.19894574816433719</v>
      </c>
      <c r="EB18" s="7">
        <v>9.9846377978320619E-2</v>
      </c>
      <c r="EC18" s="7">
        <v>-1.9600515916961631E-2</v>
      </c>
      <c r="ED18" s="7">
        <v>-0.11047802186576559</v>
      </c>
      <c r="EE18" s="7">
        <v>-1.385375397450707E-2</v>
      </c>
      <c r="EF18" s="8">
        <v>4.8955017110416547E-2</v>
      </c>
      <c r="EG18" s="18">
        <f t="shared" si="10"/>
        <v>3.335854161564409E-2</v>
      </c>
      <c r="EH18" s="18">
        <f t="shared" si="11"/>
        <v>9.8073907648061218E-2</v>
      </c>
      <c r="EI18" s="18">
        <f t="shared" si="12"/>
        <v>0.34013676436092877</v>
      </c>
    </row>
    <row r="19" spans="1:139" x14ac:dyDescent="0.3">
      <c r="A19" s="1">
        <v>160</v>
      </c>
      <c r="B19" s="1">
        <v>6</v>
      </c>
      <c r="C19" s="7">
        <v>0.19660026531165431</v>
      </c>
      <c r="D19" s="7">
        <v>0.40752071008946927</v>
      </c>
      <c r="E19" s="7">
        <v>6.5814207330017804E-2</v>
      </c>
      <c r="F19" s="7">
        <v>0.2361704653757343</v>
      </c>
      <c r="G19" s="7">
        <v>0.15286434188697251</v>
      </c>
      <c r="H19" s="7">
        <v>0.17761031882265199</v>
      </c>
      <c r="I19" s="7">
        <v>4.746340533639954E-2</v>
      </c>
      <c r="J19" s="7">
        <v>-0.15623035308620389</v>
      </c>
      <c r="K19" s="7">
        <v>5.6540969561565207E-2</v>
      </c>
      <c r="L19" s="7">
        <v>3.036283305602917E-2</v>
      </c>
      <c r="M19" s="7">
        <v>8.6210339026117716E-2</v>
      </c>
      <c r="N19" s="7">
        <v>0.53237403768824121</v>
      </c>
      <c r="O19" s="7">
        <v>-1.9797434001384839E-2</v>
      </c>
      <c r="P19" s="7">
        <v>2.2785213112093351E-2</v>
      </c>
      <c r="Q19" s="7">
        <v>0.17046229208001809</v>
      </c>
      <c r="R19" s="7">
        <v>4.1942629449215993E-2</v>
      </c>
      <c r="S19" s="7">
        <v>-7.8696261313160737E-2</v>
      </c>
      <c r="T19" s="7">
        <v>-2.7154277986299109E-2</v>
      </c>
      <c r="U19" s="7">
        <v>4.4186857998324967E-2</v>
      </c>
      <c r="V19" s="7">
        <v>-0.11868445851892109</v>
      </c>
      <c r="W19" s="7">
        <v>0.14662099071751011</v>
      </c>
      <c r="X19" s="7">
        <v>0.122923146245717</v>
      </c>
      <c r="Y19" s="7">
        <v>2.406430534505774E-2</v>
      </c>
      <c r="Z19" s="7">
        <v>-2.2223239298902381E-2</v>
      </c>
      <c r="AA19" s="7">
        <v>4.7300121799034582E-2</v>
      </c>
      <c r="AB19" s="7">
        <v>-5.1718752810757287E-2</v>
      </c>
      <c r="AC19" s="7">
        <v>-8.3512866892878637E-2</v>
      </c>
      <c r="AD19" s="7">
        <v>2.399745726106059E-2</v>
      </c>
      <c r="AE19" s="7">
        <v>0.11523186996306679</v>
      </c>
      <c r="AF19" s="7">
        <v>3.8785666808899749E-2</v>
      </c>
      <c r="AG19" s="7">
        <v>1.92975452240348E-2</v>
      </c>
      <c r="AH19" s="7">
        <v>-5.6557715221703553E-2</v>
      </c>
      <c r="AI19" s="7">
        <v>8.1770124789496509E-2</v>
      </c>
      <c r="AJ19" s="7">
        <v>-5.1545290327262273E-2</v>
      </c>
      <c r="AK19" s="7">
        <v>7.5520425059527104E-3</v>
      </c>
      <c r="AL19" s="7">
        <v>7.0270945670805551E-2</v>
      </c>
      <c r="AM19" s="7">
        <v>4.3106011811404943E-2</v>
      </c>
      <c r="AN19" s="7">
        <v>8.3568294365682083E-2</v>
      </c>
      <c r="AO19" s="7">
        <v>2.589290304541441E-2</v>
      </c>
      <c r="AP19" s="7">
        <v>-8.757412027285208E-2</v>
      </c>
      <c r="AQ19" s="7">
        <v>-8.8252757060650652E-2</v>
      </c>
      <c r="AR19" s="7">
        <v>0.1535175623128574</v>
      </c>
      <c r="AS19" s="7">
        <v>9.7796955268314459E-2</v>
      </c>
      <c r="AT19" s="7">
        <v>4.9294981765701303E-2</v>
      </c>
      <c r="AU19" s="7">
        <v>7.6428715713654158E-2</v>
      </c>
      <c r="AV19" s="7">
        <v>-5.003302069697789E-2</v>
      </c>
      <c r="AW19" s="7">
        <v>2.2356168154136491E-2</v>
      </c>
      <c r="AX19" s="7">
        <v>8.0206414310412866E-2</v>
      </c>
      <c r="AY19" s="7">
        <v>2.9528970393379841E-2</v>
      </c>
      <c r="AZ19" s="7">
        <v>-0.18687961816817431</v>
      </c>
      <c r="BA19" s="7">
        <v>0.18699677755478061</v>
      </c>
      <c r="BB19" s="7">
        <v>0.2018019106632078</v>
      </c>
      <c r="BC19" s="7">
        <v>6.4055486346185769E-2</v>
      </c>
      <c r="BD19" s="7">
        <v>-3.2343926300681461E-3</v>
      </c>
      <c r="BE19" s="7">
        <v>5.1131873963666558E-2</v>
      </c>
      <c r="BF19" s="7">
        <v>1.3570974149138619E-2</v>
      </c>
      <c r="BG19" s="7">
        <v>-1.6343658332842171E-2</v>
      </c>
      <c r="BH19" s="7">
        <v>2.0182017014309939E-3</v>
      </c>
      <c r="BI19" s="7">
        <v>0.12779862881921869</v>
      </c>
      <c r="BJ19" s="7">
        <v>2.1707301538579211E-2</v>
      </c>
      <c r="BK19" s="7">
        <v>-5.1749526091992383E-2</v>
      </c>
      <c r="BL19" s="7">
        <v>7.9964658146503109E-2</v>
      </c>
      <c r="BM19" s="7">
        <v>-3.1786264869145278E-2</v>
      </c>
      <c r="BN19" s="7">
        <v>6.7252647467271776E-2</v>
      </c>
      <c r="BO19" s="7">
        <v>2.5728961265115379E-2</v>
      </c>
      <c r="BP19" s="7">
        <v>6.2818807534132146E-2</v>
      </c>
      <c r="BQ19" s="7">
        <v>9.9340444543230683E-3</v>
      </c>
      <c r="BR19" s="7">
        <v>6.6752460235200081E-3</v>
      </c>
      <c r="BS19" s="7">
        <v>-2.4256338744482069E-2</v>
      </c>
      <c r="BT19" s="7">
        <v>0.14163267985357339</v>
      </c>
      <c r="BU19" s="7">
        <v>7.5936251234238056E-2</v>
      </c>
      <c r="BV19" s="7">
        <v>9.3655241153346391E-2</v>
      </c>
      <c r="BW19" s="7">
        <v>-0.10896696138364501</v>
      </c>
      <c r="BX19" s="7">
        <v>3.4087785271858247E-2</v>
      </c>
      <c r="BY19" s="7">
        <v>-0.1076497365556482</v>
      </c>
      <c r="BZ19" s="7">
        <v>6.8702124822053873E-2</v>
      </c>
      <c r="CA19" s="7">
        <v>-2.932875522377449E-2</v>
      </c>
      <c r="CB19" s="7">
        <v>-4.804116850824483E-2</v>
      </c>
      <c r="CC19" s="7">
        <v>2.2506232898517449E-2</v>
      </c>
      <c r="CD19" s="7">
        <v>8.7664948361316358E-2</v>
      </c>
      <c r="CE19" s="7">
        <v>8.8474858937667905E-2</v>
      </c>
      <c r="CF19" s="7">
        <v>-0.1116984874650168</v>
      </c>
      <c r="CG19" s="7">
        <v>0.2638931335655384</v>
      </c>
      <c r="CH19" s="7">
        <v>0.1528898670499263</v>
      </c>
      <c r="CI19" s="7">
        <v>-3.7066946160195187E-2</v>
      </c>
      <c r="CJ19" s="7">
        <v>-6.194049996603615E-2</v>
      </c>
      <c r="CK19" s="7">
        <v>0.1039677178170982</v>
      </c>
      <c r="CL19" s="7">
        <v>-4.3240279974789908E-2</v>
      </c>
      <c r="CM19" s="7">
        <v>0.17534764158171501</v>
      </c>
      <c r="CN19" s="7">
        <v>-7.6932654667303466E-2</v>
      </c>
      <c r="CO19" s="7">
        <v>-0.27245440462850651</v>
      </c>
      <c r="CP19" s="7">
        <v>0.15903259898233271</v>
      </c>
      <c r="CQ19" s="7">
        <v>-3.2394607516418629E-2</v>
      </c>
      <c r="CR19" s="7">
        <v>2.4299202463726639E-2</v>
      </c>
      <c r="CS19" s="7">
        <v>4.3774986978304217E-2</v>
      </c>
      <c r="CT19" s="7">
        <v>0.1226204266300308</v>
      </c>
      <c r="CU19" s="7">
        <v>-8.3436397113892974E-2</v>
      </c>
      <c r="CV19" s="7">
        <v>0.10197986151640361</v>
      </c>
      <c r="CW19" s="7">
        <v>-2.190180778189859E-2</v>
      </c>
      <c r="CX19" s="7">
        <v>5.7634726368184938E-2</v>
      </c>
      <c r="CY19" s="7">
        <v>-7.092186956436955E-2</v>
      </c>
      <c r="CZ19" s="7">
        <v>0.11285182864146399</v>
      </c>
      <c r="DA19" s="7">
        <v>-5.8223876703236761E-2</v>
      </c>
      <c r="DB19" s="7">
        <v>0.14796184676961621</v>
      </c>
      <c r="DC19" s="7">
        <v>3.0276457178153349E-2</v>
      </c>
      <c r="DD19" s="7">
        <v>-6.3547464152502509E-2</v>
      </c>
      <c r="DE19" s="7">
        <v>5.4024955382609513E-2</v>
      </c>
      <c r="DF19" s="7">
        <v>-6.969304689302265E-2</v>
      </c>
      <c r="DG19" s="7">
        <v>-1.27464749106491E-2</v>
      </c>
      <c r="DH19" s="7">
        <v>-1.569831294047225E-4</v>
      </c>
      <c r="DI19" s="7">
        <v>3.666424442421171E-3</v>
      </c>
      <c r="DJ19" s="7">
        <v>8.0499602410030055E-2</v>
      </c>
      <c r="DK19" s="7">
        <v>0.1241445877842076</v>
      </c>
      <c r="DL19" s="7">
        <v>7.0167407799869491E-2</v>
      </c>
      <c r="DM19" s="7">
        <v>-8.1952255033994378E-2</v>
      </c>
      <c r="DN19" s="7">
        <v>2.4751230976385011E-3</v>
      </c>
      <c r="DO19" s="7">
        <v>5.5126563399943852E-2</v>
      </c>
      <c r="DP19" s="7">
        <v>2.783801448299373E-2</v>
      </c>
      <c r="DQ19" s="7">
        <v>-5.0623171449732877E-2</v>
      </c>
      <c r="DR19" s="7">
        <v>7.5962353325048193E-2</v>
      </c>
      <c r="DS19" s="7">
        <v>-0.1779955469539703</v>
      </c>
      <c r="DT19" s="7">
        <v>-3.0761271922289252E-3</v>
      </c>
      <c r="DU19" s="7">
        <v>-0.15058192195631251</v>
      </c>
      <c r="DV19" s="7">
        <v>0.1115247064406045</v>
      </c>
      <c r="DW19" s="7">
        <v>6.0609139340684293E-2</v>
      </c>
      <c r="DX19" s="7">
        <v>-0.1383651342381777</v>
      </c>
      <c r="DY19" s="7">
        <v>0.1392486786855984</v>
      </c>
      <c r="DZ19" s="7">
        <v>7.8537947622533175E-2</v>
      </c>
      <c r="EA19" s="7">
        <v>0.23304583030528039</v>
      </c>
      <c r="EB19" s="7">
        <v>2.1772770012778581E-2</v>
      </c>
      <c r="EC19" s="7">
        <v>-3.1325109885979932E-2</v>
      </c>
      <c r="ED19" s="7">
        <v>-0.15093531699015689</v>
      </c>
      <c r="EE19" s="7">
        <v>1.2634042940422471E-2</v>
      </c>
      <c r="EF19" s="8">
        <v>1.697795487476916E-2</v>
      </c>
      <c r="EG19" s="18">
        <f t="shared" si="10"/>
        <v>3.377533408449182E-2</v>
      </c>
      <c r="EH19" s="18">
        <f t="shared" si="11"/>
        <v>0.10744982800476002</v>
      </c>
      <c r="EI19" s="18">
        <f t="shared" si="12"/>
        <v>0.31433585992334556</v>
      </c>
    </row>
    <row r="20" spans="1:139" x14ac:dyDescent="0.3">
      <c r="A20" s="1">
        <v>192</v>
      </c>
      <c r="B20" s="1">
        <v>5</v>
      </c>
      <c r="C20" s="7">
        <v>0.2015510478639157</v>
      </c>
      <c r="D20" s="7">
        <v>0.38202502004734989</v>
      </c>
      <c r="E20" s="7">
        <v>5.7336350326780597E-2</v>
      </c>
      <c r="F20" s="7">
        <v>0.18241961869314111</v>
      </c>
      <c r="G20" s="7">
        <v>0.15802736357208361</v>
      </c>
      <c r="H20" s="7">
        <v>0.14393228225567539</v>
      </c>
      <c r="I20" s="7">
        <v>2.7935541644402932E-2</v>
      </c>
      <c r="J20" s="7">
        <v>-0.13320729307702719</v>
      </c>
      <c r="K20" s="7">
        <v>3.7404684852111583E-2</v>
      </c>
      <c r="L20" s="7">
        <v>3.069548300109538E-2</v>
      </c>
      <c r="M20" s="7">
        <v>0.100133414364086</v>
      </c>
      <c r="N20" s="7">
        <v>0.5000114780094741</v>
      </c>
      <c r="O20" s="7">
        <v>-0.1101145251033072</v>
      </c>
      <c r="P20" s="7">
        <v>4.0028494751770102E-2</v>
      </c>
      <c r="Q20" s="7">
        <v>0.2248248109923951</v>
      </c>
      <c r="R20" s="7">
        <v>6.6469633088856533E-2</v>
      </c>
      <c r="S20" s="7">
        <v>-5.7341082572801211E-2</v>
      </c>
      <c r="T20" s="7">
        <v>1.566291051925937E-2</v>
      </c>
      <c r="U20" s="7">
        <v>3.2237658419507161E-2</v>
      </c>
      <c r="V20" s="7">
        <v>-0.13628806336757671</v>
      </c>
      <c r="W20" s="7">
        <v>0.17308537617758091</v>
      </c>
      <c r="X20" s="7">
        <v>0.15004231162753859</v>
      </c>
      <c r="Y20" s="7">
        <v>-4.8557578603156213E-3</v>
      </c>
      <c r="Z20" s="7">
        <v>2.9157350054346439E-2</v>
      </c>
      <c r="AA20" s="7">
        <v>6.6961978782240111E-2</v>
      </c>
      <c r="AB20" s="7">
        <v>-3.2898545320226208E-2</v>
      </c>
      <c r="AC20" s="7">
        <v>-9.6309042825298966E-2</v>
      </c>
      <c r="AD20" s="7">
        <v>2.698730357067794E-2</v>
      </c>
      <c r="AE20" s="7">
        <v>1.7311149627037389E-2</v>
      </c>
      <c r="AF20" s="7">
        <v>3.9044678387579961E-2</v>
      </c>
      <c r="AG20" s="7">
        <v>-6.2417403721479496E-3</v>
      </c>
      <c r="AH20" s="7">
        <v>-9.0178200714782636E-2</v>
      </c>
      <c r="AI20" s="7">
        <v>7.8154544921168481E-2</v>
      </c>
      <c r="AJ20" s="7">
        <v>-6.1990034547547639E-2</v>
      </c>
      <c r="AK20" s="7">
        <v>-1.359511549600285E-2</v>
      </c>
      <c r="AL20" s="7">
        <v>7.2893452036976947E-2</v>
      </c>
      <c r="AM20" s="7">
        <v>3.3095980748802607E-2</v>
      </c>
      <c r="AN20" s="7">
        <v>7.5470193518998266E-2</v>
      </c>
      <c r="AO20" s="7">
        <v>4.528508196468839E-2</v>
      </c>
      <c r="AP20" s="7">
        <v>-0.13173046125538779</v>
      </c>
      <c r="AQ20" s="7">
        <v>2.7452485332951051E-2</v>
      </c>
      <c r="AR20" s="7">
        <v>0.1700490046789242</v>
      </c>
      <c r="AS20" s="7">
        <v>0.112095809682817</v>
      </c>
      <c r="AT20" s="7">
        <v>5.858773760205771E-3</v>
      </c>
      <c r="AU20" s="7">
        <v>7.5692386895125863E-2</v>
      </c>
      <c r="AV20" s="7">
        <v>-5.4625713782478207E-2</v>
      </c>
      <c r="AW20" s="7">
        <v>6.8652681791509596E-3</v>
      </c>
      <c r="AX20" s="7">
        <v>0.11073254799870159</v>
      </c>
      <c r="AY20" s="7">
        <v>3.8674698442909439E-2</v>
      </c>
      <c r="AZ20" s="7">
        <v>-0.21380243117708869</v>
      </c>
      <c r="BA20" s="7">
        <v>0.15133772550591279</v>
      </c>
      <c r="BB20" s="7">
        <v>0.2312136261880767</v>
      </c>
      <c r="BC20" s="7">
        <v>7.0605567677740205E-2</v>
      </c>
      <c r="BD20" s="7">
        <v>-5.3429813221597323E-2</v>
      </c>
      <c r="BE20" s="7">
        <v>-5.9467971392603326E-3</v>
      </c>
      <c r="BF20" s="7">
        <v>5.6885823313286886E-3</v>
      </c>
      <c r="BG20" s="7">
        <v>-6.9261427086933884E-3</v>
      </c>
      <c r="BH20" s="7">
        <v>-7.1606447114111002E-2</v>
      </c>
      <c r="BI20" s="7">
        <v>0.13174526708517489</v>
      </c>
      <c r="BJ20" s="7">
        <v>2.1629511833186621E-2</v>
      </c>
      <c r="BK20" s="7">
        <v>-5.9233167842827283E-2</v>
      </c>
      <c r="BL20" s="7">
        <v>8.6292231176454737E-2</v>
      </c>
      <c r="BM20" s="7">
        <v>-4.7468551464188873E-2</v>
      </c>
      <c r="BN20" s="7">
        <v>0.1185572414453714</v>
      </c>
      <c r="BO20" s="7">
        <v>-3.8461717515979203E-2</v>
      </c>
      <c r="BP20" s="7">
        <v>6.0407520762954983E-2</v>
      </c>
      <c r="BQ20" s="7">
        <v>1.5451706960843021E-2</v>
      </c>
      <c r="BR20" s="7">
        <v>1.207363173047259E-2</v>
      </c>
      <c r="BS20" s="7">
        <v>5.4075061911911179E-3</v>
      </c>
      <c r="BT20" s="7">
        <v>0.14780303317864721</v>
      </c>
      <c r="BU20" s="7">
        <v>9.8754949367706665E-2</v>
      </c>
      <c r="BV20" s="7">
        <v>0.11591833156307201</v>
      </c>
      <c r="BW20" s="7">
        <v>-0.13550325181247611</v>
      </c>
      <c r="BX20" s="7">
        <v>3.069363668324426E-2</v>
      </c>
      <c r="BY20" s="7">
        <v>-0.10523396636930341</v>
      </c>
      <c r="BZ20" s="7">
        <v>9.02714042602836E-2</v>
      </c>
      <c r="CA20" s="7">
        <v>-4.0102728051752932E-2</v>
      </c>
      <c r="CB20" s="7">
        <v>-3.8251950010927849E-2</v>
      </c>
      <c r="CC20" s="7">
        <v>1.291514747808061E-2</v>
      </c>
      <c r="CD20" s="7">
        <v>9.606464764259523E-2</v>
      </c>
      <c r="CE20" s="7">
        <v>8.5778172602440458E-2</v>
      </c>
      <c r="CF20" s="7">
        <v>-0.1312085557648148</v>
      </c>
      <c r="CG20" s="7">
        <v>0.32193852229938452</v>
      </c>
      <c r="CH20" s="7">
        <v>7.1864025597138351E-2</v>
      </c>
      <c r="CI20" s="7">
        <v>-3.0394673769081951E-2</v>
      </c>
      <c r="CJ20" s="7">
        <v>-0.123440319887351</v>
      </c>
      <c r="CK20" s="7">
        <v>9.0978396750106633E-2</v>
      </c>
      <c r="CL20" s="7">
        <v>-9.2184934189128986E-2</v>
      </c>
      <c r="CM20" s="7">
        <v>0.18905116517062071</v>
      </c>
      <c r="CN20" s="7">
        <v>2.215941137048465E-2</v>
      </c>
      <c r="CO20" s="7">
        <v>-0.41597133516901241</v>
      </c>
      <c r="CP20" s="7">
        <v>0.1920312051090273</v>
      </c>
      <c r="CQ20" s="7">
        <v>-2.3118045300283038E-2</v>
      </c>
      <c r="CR20" s="7">
        <v>2.5362552774013961E-2</v>
      </c>
      <c r="CS20" s="7">
        <v>2.2293038159359669E-2</v>
      </c>
      <c r="CT20" s="7">
        <v>9.0474037414266281E-2</v>
      </c>
      <c r="CU20" s="7">
        <v>-9.4867658266512403E-2</v>
      </c>
      <c r="CV20" s="7">
        <v>9.2511075695426118E-2</v>
      </c>
      <c r="CW20" s="7">
        <v>9.9530629212826391E-3</v>
      </c>
      <c r="CX20" s="7">
        <v>9.0298550867764463E-2</v>
      </c>
      <c r="CY20" s="7">
        <v>-1.247973266829688E-2</v>
      </c>
      <c r="CZ20" s="7">
        <v>0.15516164514919831</v>
      </c>
      <c r="DA20" s="7">
        <v>-4.7471893155177573E-2</v>
      </c>
      <c r="DB20" s="7">
        <v>7.696806977078402E-2</v>
      </c>
      <c r="DC20" s="7">
        <v>2.890116070260346E-2</v>
      </c>
      <c r="DD20" s="7">
        <v>-6.8163012313784327E-2</v>
      </c>
      <c r="DE20" s="7">
        <v>-2.674986392092854E-2</v>
      </c>
      <c r="DF20" s="7">
        <v>8.591215324206241E-4</v>
      </c>
      <c r="DG20" s="7">
        <v>-4.2022106203706937E-3</v>
      </c>
      <c r="DH20" s="7">
        <v>-1.097541174252706E-2</v>
      </c>
      <c r="DI20" s="7">
        <v>-2.2876731785052461E-2</v>
      </c>
      <c r="DJ20" s="7">
        <v>8.1277020159802621E-2</v>
      </c>
      <c r="DK20" s="7">
        <v>8.4953981446054899E-2</v>
      </c>
      <c r="DL20" s="7">
        <v>7.5826636178542531E-2</v>
      </c>
      <c r="DM20" s="7">
        <v>9.2836502794370751E-3</v>
      </c>
      <c r="DN20" s="7">
        <v>5.8019206654199171E-2</v>
      </c>
      <c r="DO20" s="7">
        <v>6.5815801837970381E-2</v>
      </c>
      <c r="DP20" s="7">
        <v>9.8305313908873052E-3</v>
      </c>
      <c r="DQ20" s="7">
        <v>-3.8540311084368499E-2</v>
      </c>
      <c r="DR20" s="7">
        <v>7.8512660028290493E-2</v>
      </c>
      <c r="DS20" s="7">
        <v>-0.20608109757835469</v>
      </c>
      <c r="DT20" s="7">
        <v>4.8293441839824189E-3</v>
      </c>
      <c r="DU20" s="7">
        <v>-0.17637516893039651</v>
      </c>
      <c r="DV20" s="7">
        <v>0.12934547183885869</v>
      </c>
      <c r="DW20" s="7">
        <v>6.9060203958039607E-2</v>
      </c>
      <c r="DX20" s="7">
        <v>-0.15386632960631469</v>
      </c>
      <c r="DY20" s="7">
        <v>0.1215914577754016</v>
      </c>
      <c r="DZ20" s="7">
        <v>9.0199646158974578E-2</v>
      </c>
      <c r="EA20" s="7">
        <v>0.29368998396417129</v>
      </c>
      <c r="EB20" s="7">
        <v>3.9067633350965261E-2</v>
      </c>
      <c r="EC20" s="7">
        <v>2.2976412108212281E-2</v>
      </c>
      <c r="ED20" s="7">
        <v>-0.17691886106701021</v>
      </c>
      <c r="EE20" s="7">
        <v>2.3672309273819309E-3</v>
      </c>
      <c r="EF20" s="8">
        <v>2.0281416615907238E-2</v>
      </c>
      <c r="EG20" s="18">
        <f t="shared" si="10"/>
        <v>3.1945673530255167E-2</v>
      </c>
      <c r="EH20" s="18">
        <f t="shared" si="11"/>
        <v>0.11491063164707004</v>
      </c>
      <c r="EI20" s="18">
        <f t="shared" si="12"/>
        <v>0.27800450726240272</v>
      </c>
    </row>
    <row r="21" spans="1:139" x14ac:dyDescent="0.3">
      <c r="A21" s="1">
        <v>241</v>
      </c>
      <c r="B21" s="1">
        <v>4</v>
      </c>
      <c r="C21" s="7">
        <v>0.21462957980695321</v>
      </c>
      <c r="D21" s="7">
        <v>0.12638791676682359</v>
      </c>
      <c r="E21" s="7">
        <v>-1.3690170285790599E-2</v>
      </c>
      <c r="F21" s="7">
        <v>0.20341349755932739</v>
      </c>
      <c r="G21" s="7">
        <v>0.14533185880700039</v>
      </c>
      <c r="H21" s="7">
        <v>0.1621640877938379</v>
      </c>
      <c r="I21" s="7">
        <v>1.4111278480981961E-2</v>
      </c>
      <c r="J21" s="7">
        <v>-0.13674291533985661</v>
      </c>
      <c r="K21" s="7">
        <v>1.4702959601359119E-3</v>
      </c>
      <c r="L21" s="7">
        <v>-5.0291533060606367E-3</v>
      </c>
      <c r="M21" s="7">
        <v>7.5660649926760526E-2</v>
      </c>
      <c r="N21" s="7">
        <v>0.58489126462072527</v>
      </c>
      <c r="O21" s="7">
        <v>-0.1392774934469892</v>
      </c>
      <c r="P21" s="7">
        <v>4.5427193017503087E-2</v>
      </c>
      <c r="Q21" s="7">
        <v>0.27408344527068967</v>
      </c>
      <c r="R21" s="7">
        <v>8.4905231193340591E-2</v>
      </c>
      <c r="S21" s="7">
        <v>-3.656329165669691E-2</v>
      </c>
      <c r="T21" s="7">
        <v>-1.4040364340204919E-2</v>
      </c>
      <c r="U21" s="7">
        <v>-9.8246407343969278E-3</v>
      </c>
      <c r="V21" s="7">
        <v>-0.13175048865250241</v>
      </c>
      <c r="W21" s="7">
        <v>0.15778847961546261</v>
      </c>
      <c r="X21" s="7">
        <v>0.20780126735333779</v>
      </c>
      <c r="Y21" s="7">
        <v>-1.014366037320256E-2</v>
      </c>
      <c r="Z21" s="7">
        <v>3.9457715679957053E-2</v>
      </c>
      <c r="AA21" s="7">
        <v>2.8033456192208511E-2</v>
      </c>
      <c r="AB21" s="7">
        <v>-2.1955943889134161E-2</v>
      </c>
      <c r="AC21" s="7">
        <v>-0.15954227246420169</v>
      </c>
      <c r="AD21" s="7">
        <v>-2.593327599743489E-2</v>
      </c>
      <c r="AE21" s="7">
        <v>1.031161069406002E-2</v>
      </c>
      <c r="AF21" s="7">
        <v>5.3125609886562987E-2</v>
      </c>
      <c r="AG21" s="7">
        <v>-1.057075303995837E-2</v>
      </c>
      <c r="AH21" s="7">
        <v>-0.10758136256479831</v>
      </c>
      <c r="AI21" s="7">
        <v>7.9594209333291061E-2</v>
      </c>
      <c r="AJ21" s="7">
        <v>-7.0405341946468691E-2</v>
      </c>
      <c r="AK21" s="7">
        <v>-3.5803167618110053E-2</v>
      </c>
      <c r="AL21" s="7">
        <v>6.5379822733110632E-2</v>
      </c>
      <c r="AM21" s="7">
        <v>6.8535807447630548E-2</v>
      </c>
      <c r="AN21" s="7">
        <v>0.11195605606309431</v>
      </c>
      <c r="AO21" s="7">
        <v>4.7726395643726653E-2</v>
      </c>
      <c r="AP21" s="7">
        <v>-7.2535143570019153E-2</v>
      </c>
      <c r="AQ21" s="7">
        <v>7.6865507010547632E-2</v>
      </c>
      <c r="AR21" s="7">
        <v>0.20518227823048121</v>
      </c>
      <c r="AS21" s="7">
        <v>6.4455868646629361E-2</v>
      </c>
      <c r="AT21" s="7">
        <v>-2.4929112771550628E-3</v>
      </c>
      <c r="AU21" s="7">
        <v>4.7809631508957028E-2</v>
      </c>
      <c r="AV21" s="7">
        <v>-5.5520780062133721E-2</v>
      </c>
      <c r="AW21" s="7">
        <v>9.7910299540974015E-3</v>
      </c>
      <c r="AX21" s="7">
        <v>0.1431476874697567</v>
      </c>
      <c r="AY21" s="7">
        <v>4.7021290978038012E-2</v>
      </c>
      <c r="AZ21" s="7">
        <v>-0.25491126989713642</v>
      </c>
      <c r="BA21" s="7">
        <v>0.1395926821613267</v>
      </c>
      <c r="BB21" s="7">
        <v>0.29451263697732177</v>
      </c>
      <c r="BC21" s="7">
        <v>3.8321147725193863E-2</v>
      </c>
      <c r="BD21" s="7">
        <v>-2.1750863370627919E-2</v>
      </c>
      <c r="BE21" s="7">
        <v>6.3505333974014731E-3</v>
      </c>
      <c r="BF21" s="7">
        <v>3.5771001804346838E-3</v>
      </c>
      <c r="BG21" s="7">
        <v>3.6635189216812601E-2</v>
      </c>
      <c r="BH21" s="7">
        <v>-7.6321363138755302E-2</v>
      </c>
      <c r="BI21" s="7">
        <v>0.1659695961783918</v>
      </c>
      <c r="BJ21" s="7">
        <v>2.3579026181717661E-2</v>
      </c>
      <c r="BK21" s="7">
        <v>-6.8449880379534783E-2</v>
      </c>
      <c r="BL21" s="7">
        <v>0.1427210926463498</v>
      </c>
      <c r="BM21" s="7">
        <v>-4.0795286028720637E-2</v>
      </c>
      <c r="BN21" s="7">
        <v>6.3647947992248044E-2</v>
      </c>
      <c r="BO21" s="7">
        <v>-6.3857236413680254E-2</v>
      </c>
      <c r="BP21" s="7">
        <v>0.1045091294194143</v>
      </c>
      <c r="BQ21" s="7">
        <v>5.4542230834504879E-2</v>
      </c>
      <c r="BR21" s="7">
        <v>1.232386218386442E-2</v>
      </c>
      <c r="BS21" s="7">
        <v>5.8601727551761719E-3</v>
      </c>
      <c r="BT21" s="7">
        <v>0.13224469397444291</v>
      </c>
      <c r="BU21" s="7">
        <v>0.1354964621985692</v>
      </c>
      <c r="BV21" s="7">
        <v>0.14214300018545339</v>
      </c>
      <c r="BW21" s="7">
        <v>-0.146679196935731</v>
      </c>
      <c r="BX21" s="7">
        <v>-2.9908192844139221E-3</v>
      </c>
      <c r="BY21" s="7">
        <v>-5.0379851218116528E-2</v>
      </c>
      <c r="BZ21" s="7">
        <v>4.7662928720715619E-2</v>
      </c>
      <c r="CA21" s="7">
        <v>-6.0517603302398457E-2</v>
      </c>
      <c r="CB21" s="7">
        <v>-6.3421391198258154E-2</v>
      </c>
      <c r="CC21" s="7">
        <v>-8.0189542709663136E-3</v>
      </c>
      <c r="CD21" s="7">
        <v>8.4423550992515431E-2</v>
      </c>
      <c r="CE21" s="7">
        <v>6.1514882354154247E-2</v>
      </c>
      <c r="CF21" s="7">
        <v>-0.1271704760916082</v>
      </c>
      <c r="CG21" s="7">
        <v>0.32016678338047649</v>
      </c>
      <c r="CH21" s="7">
        <v>8.0100321076211733E-2</v>
      </c>
      <c r="CI21" s="7">
        <v>-8.0499616390982326E-2</v>
      </c>
      <c r="CJ21" s="7">
        <v>-8.5627757016502298E-2</v>
      </c>
      <c r="CK21" s="7">
        <v>0.12705054673013411</v>
      </c>
      <c r="CL21" s="7">
        <v>-0.13389042462296469</v>
      </c>
      <c r="CM21" s="7">
        <v>0.2255029884033713</v>
      </c>
      <c r="CN21" s="7">
        <v>3.05388902037756E-2</v>
      </c>
      <c r="CO21" s="7">
        <v>-0.51486524859759264</v>
      </c>
      <c r="CP21" s="7">
        <v>0.22270006087791269</v>
      </c>
      <c r="CQ21" s="7">
        <v>-2.2912194169496192E-2</v>
      </c>
      <c r="CR21" s="7">
        <v>1.161578886010306E-2</v>
      </c>
      <c r="CS21" s="7">
        <v>3.0907745682497659E-2</v>
      </c>
      <c r="CT21" s="7">
        <v>8.2292872854338978E-2</v>
      </c>
      <c r="CU21" s="7">
        <v>-6.2673560169491313E-2</v>
      </c>
      <c r="CV21" s="7">
        <v>9.8225632021386913E-2</v>
      </c>
      <c r="CW21" s="7">
        <v>6.5005417280988659E-2</v>
      </c>
      <c r="CX21" s="7">
        <v>0.1021221756574071</v>
      </c>
      <c r="CY21" s="7">
        <v>-8.4819164039144704E-3</v>
      </c>
      <c r="CZ21" s="7">
        <v>0.2374513708258302</v>
      </c>
      <c r="DA21" s="7">
        <v>1.192256456731756E-3</v>
      </c>
      <c r="DB21" s="7">
        <v>7.1461213773998111E-2</v>
      </c>
      <c r="DC21" s="7">
        <v>4.8309147365506719E-2</v>
      </c>
      <c r="DD21" s="7">
        <v>-6.7027496200741665E-2</v>
      </c>
      <c r="DE21" s="7">
        <v>1.2238108588318921E-2</v>
      </c>
      <c r="DF21" s="7">
        <v>2.156088069787479E-2</v>
      </c>
      <c r="DG21" s="7">
        <v>7.8463781285332893E-3</v>
      </c>
      <c r="DH21" s="7">
        <v>1.407682021245452E-2</v>
      </c>
      <c r="DI21" s="7">
        <v>3.4407478280179482E-2</v>
      </c>
      <c r="DJ21" s="7">
        <v>7.330279150207536E-2</v>
      </c>
      <c r="DK21" s="7">
        <v>0.13950270681890459</v>
      </c>
      <c r="DL21" s="7">
        <v>9.8364938839376553E-2</v>
      </c>
      <c r="DM21" s="7">
        <v>-2.9834119642240212E-2</v>
      </c>
      <c r="DN21" s="7">
        <v>7.1197612493993062E-2</v>
      </c>
      <c r="DO21" s="7">
        <v>8.2445792330679737E-2</v>
      </c>
      <c r="DP21" s="7">
        <v>2.426615509356601E-2</v>
      </c>
      <c r="DQ21" s="7">
        <v>-2.821605205239688E-2</v>
      </c>
      <c r="DR21" s="7">
        <v>5.0170859037080733E-2</v>
      </c>
      <c r="DS21" s="7">
        <v>-0.20083947383729561</v>
      </c>
      <c r="DT21" s="7">
        <v>-9.7086429422632292E-3</v>
      </c>
      <c r="DU21" s="7">
        <v>-0.1486147166384135</v>
      </c>
      <c r="DV21" s="7">
        <v>0.140275976869878</v>
      </c>
      <c r="DW21" s="7">
        <v>0.12824786866412111</v>
      </c>
      <c r="DX21" s="7">
        <v>-0.18596621403118341</v>
      </c>
      <c r="DY21" s="7">
        <v>0.16673097108859181</v>
      </c>
      <c r="DZ21" s="7">
        <v>9.893057365990536E-2</v>
      </c>
      <c r="EA21" s="7">
        <v>0.26605683227934601</v>
      </c>
      <c r="EB21" s="7">
        <v>8.4081461705858979E-3</v>
      </c>
      <c r="EC21" s="7">
        <v>2.7188931609766109E-2</v>
      </c>
      <c r="ED21" s="7">
        <v>-5.4498856348180663E-2</v>
      </c>
      <c r="EE21" s="7">
        <v>1.4428852108417999E-2</v>
      </c>
      <c r="EF21" s="8">
        <v>-1.8771264042119089E-2</v>
      </c>
      <c r="EG21" s="18">
        <f t="shared" si="10"/>
        <v>3.4546902243615785E-2</v>
      </c>
      <c r="EH21" s="18">
        <f t="shared" si="11"/>
        <v>0.1231291582704544</v>
      </c>
      <c r="EI21" s="18">
        <f t="shared" si="12"/>
        <v>0.28057450183922461</v>
      </c>
    </row>
    <row r="22" spans="1:139" x14ac:dyDescent="0.3">
      <c r="A22" s="1">
        <v>321</v>
      </c>
      <c r="B22" s="1">
        <v>3</v>
      </c>
      <c r="C22" s="7">
        <v>0.20528030103697539</v>
      </c>
      <c r="D22" s="7">
        <v>0.1424278520773985</v>
      </c>
      <c r="E22" s="7">
        <v>-1.7355098916458981E-2</v>
      </c>
      <c r="F22" s="7">
        <v>-0.13986745030938699</v>
      </c>
      <c r="G22" s="7">
        <v>0.23294542459532269</v>
      </c>
      <c r="H22" s="7">
        <v>0.1241780629606463</v>
      </c>
      <c r="I22" s="7">
        <v>1.743734320629017E-2</v>
      </c>
      <c r="J22" s="7">
        <v>-0.10425350273662951</v>
      </c>
      <c r="K22" s="7">
        <v>2.8656780116393998E-2</v>
      </c>
      <c r="L22" s="7">
        <v>1.427320868498227E-2</v>
      </c>
      <c r="M22" s="7">
        <v>-0.22515860506358171</v>
      </c>
      <c r="N22" s="7">
        <v>0.75614344311733894</v>
      </c>
      <c r="O22" s="7">
        <v>-6.6442332164954182E-2</v>
      </c>
      <c r="P22" s="7">
        <v>9.0630874426634297E-2</v>
      </c>
      <c r="Q22" s="7">
        <v>0.12727089023139021</v>
      </c>
      <c r="R22" s="7">
        <v>6.6698292606331602E-2</v>
      </c>
      <c r="S22" s="7">
        <v>-3.9234143537179147E-2</v>
      </c>
      <c r="T22" s="7">
        <v>-2.023861247683403E-2</v>
      </c>
      <c r="U22" s="7">
        <v>5.2488906495621809E-2</v>
      </c>
      <c r="V22" s="7">
        <v>-0.1756249024704124</v>
      </c>
      <c r="W22" s="7">
        <v>0.20748026702429739</v>
      </c>
      <c r="X22" s="7">
        <v>0.25720235121349699</v>
      </c>
      <c r="Y22" s="7">
        <v>-6.9853331702800808E-2</v>
      </c>
      <c r="Z22" s="7">
        <v>2.386612179035642E-2</v>
      </c>
      <c r="AA22" s="7">
        <v>0.1181206143698829</v>
      </c>
      <c r="AB22" s="7">
        <v>3.8652301253394171E-3</v>
      </c>
      <c r="AC22" s="7">
        <v>-0.1772130781488627</v>
      </c>
      <c r="AD22" s="7">
        <v>-1.859374921466125E-2</v>
      </c>
      <c r="AE22" s="7">
        <v>-8.514768595770715E-2</v>
      </c>
      <c r="AF22" s="7">
        <v>4.718231615802413E-2</v>
      </c>
      <c r="AG22" s="7">
        <v>-4.5973813007689088E-2</v>
      </c>
      <c r="AH22" s="7">
        <v>-0.10586595942047269</v>
      </c>
      <c r="AI22" s="7">
        <v>9.4141260657386039E-2</v>
      </c>
      <c r="AJ22" s="7">
        <v>-3.1699849326408271E-2</v>
      </c>
      <c r="AK22" s="7">
        <v>0.1012885607403957</v>
      </c>
      <c r="AL22" s="7">
        <v>4.0340966806900407E-2</v>
      </c>
      <c r="AM22" s="7">
        <v>8.4088903467703563E-2</v>
      </c>
      <c r="AN22" s="7">
        <v>0.1111328096635593</v>
      </c>
      <c r="AO22" s="7">
        <v>7.4717373393705613E-2</v>
      </c>
      <c r="AP22" s="7">
        <v>-6.2536353887992696E-2</v>
      </c>
      <c r="AQ22" s="7">
        <v>7.9426117478593142E-2</v>
      </c>
      <c r="AR22" s="7">
        <v>0.25053267815838243</v>
      </c>
      <c r="AS22" s="7">
        <v>8.2810438898549957E-2</v>
      </c>
      <c r="AT22" s="7">
        <v>-2.513636184002634E-2</v>
      </c>
      <c r="AU22" s="7">
        <v>3.3500451910869901E-2</v>
      </c>
      <c r="AV22" s="7">
        <v>-5.9813176675879959E-2</v>
      </c>
      <c r="AW22" s="7">
        <v>-3.014938920700894E-2</v>
      </c>
      <c r="AX22" s="7">
        <v>0.17376339998002421</v>
      </c>
      <c r="AY22" s="7">
        <v>7.1733385334230598E-2</v>
      </c>
      <c r="AZ22" s="7">
        <v>-0.1549037783211521</v>
      </c>
      <c r="BA22" s="7">
        <v>4.9774957584186978E-2</v>
      </c>
      <c r="BB22" s="7">
        <v>0.36955058329648782</v>
      </c>
      <c r="BC22" s="7">
        <v>-0.13083693812295519</v>
      </c>
      <c r="BD22" s="7">
        <v>-2.2174181465828179E-2</v>
      </c>
      <c r="BE22" s="7">
        <v>2.221618339448047E-2</v>
      </c>
      <c r="BF22" s="7">
        <v>1.363881733831962E-2</v>
      </c>
      <c r="BG22" s="7">
        <v>4.6279512168386029E-2</v>
      </c>
      <c r="BH22" s="7">
        <v>-0.12796054233813189</v>
      </c>
      <c r="BI22" s="7">
        <v>0.111088719409907</v>
      </c>
      <c r="BJ22" s="7">
        <v>5.4996415150720922E-2</v>
      </c>
      <c r="BK22" s="7">
        <v>-4.1839635933665138E-2</v>
      </c>
      <c r="BL22" s="7">
        <v>0.16178033907103531</v>
      </c>
      <c r="BM22" s="7">
        <v>-2.4304832455331882E-3</v>
      </c>
      <c r="BN22" s="7">
        <v>-1.5327552023042271E-2</v>
      </c>
      <c r="BO22" s="7">
        <v>-5.0484429112750417E-2</v>
      </c>
      <c r="BP22" s="7">
        <v>7.4835550155106345E-2</v>
      </c>
      <c r="BQ22" s="7">
        <v>2.7830097398312589E-2</v>
      </c>
      <c r="BR22" s="7">
        <v>2.081360946645289E-2</v>
      </c>
      <c r="BS22" s="7">
        <v>-1.637278237679916E-2</v>
      </c>
      <c r="BT22" s="7">
        <v>0.13053070333654609</v>
      </c>
      <c r="BU22" s="7">
        <v>0.21294876613801031</v>
      </c>
      <c r="BV22" s="7">
        <v>0.1585439723976089</v>
      </c>
      <c r="BW22" s="7">
        <v>-0.1746684979276073</v>
      </c>
      <c r="BX22" s="7">
        <v>3.6637445691972373E-2</v>
      </c>
      <c r="BY22" s="7">
        <v>-4.7467864027346263E-3</v>
      </c>
      <c r="BZ22" s="7">
        <v>4.725773586289217E-2</v>
      </c>
      <c r="CA22" s="7">
        <v>-2.749007848032349E-2</v>
      </c>
      <c r="CB22" s="7">
        <v>-0.14899327824592659</v>
      </c>
      <c r="CC22" s="7">
        <v>-0.12510399532003291</v>
      </c>
      <c r="CD22" s="7">
        <v>9.5518542864996087E-2</v>
      </c>
      <c r="CE22" s="7">
        <v>6.6840145636817616E-2</v>
      </c>
      <c r="CF22" s="7">
        <v>-0.15557256842246689</v>
      </c>
      <c r="CG22" s="7">
        <v>0.4438008150544101</v>
      </c>
      <c r="CH22" s="7">
        <v>0.1159187712794482</v>
      </c>
      <c r="CI22" s="7">
        <v>-0.1177797462783592</v>
      </c>
      <c r="CJ22" s="7">
        <v>-0.1033795050895627</v>
      </c>
      <c r="CK22" s="7">
        <v>3.6163342604682402E-2</v>
      </c>
      <c r="CL22" s="7">
        <v>-0.2406517986250408</v>
      </c>
      <c r="CM22" s="7">
        <v>0.32043200365782532</v>
      </c>
      <c r="CN22" s="7">
        <v>-8.5467718209073992E-3</v>
      </c>
      <c r="CO22" s="7">
        <v>-0.64995646824915565</v>
      </c>
      <c r="CP22" s="7">
        <v>0.25940855696940252</v>
      </c>
      <c r="CQ22" s="7">
        <v>-1.7159615519123799E-2</v>
      </c>
      <c r="CR22" s="7">
        <v>-2.8422205079160712E-2</v>
      </c>
      <c r="CS22" s="7">
        <v>2.4439586832032689E-2</v>
      </c>
      <c r="CT22" s="7">
        <v>5.8232521355985362E-2</v>
      </c>
      <c r="CU22" s="7">
        <v>-0.1202317119640979</v>
      </c>
      <c r="CV22" s="7">
        <v>0.1122336952070542</v>
      </c>
      <c r="CW22" s="7">
        <v>3.6451253326165209E-2</v>
      </c>
      <c r="CX22" s="7">
        <v>3.749593267848913E-3</v>
      </c>
      <c r="CY22" s="7">
        <v>-7.9888257735091419E-3</v>
      </c>
      <c r="CZ22" s="7">
        <v>0.26292048459923911</v>
      </c>
      <c r="DA22" s="7">
        <v>-3.9917538819241108E-3</v>
      </c>
      <c r="DB22" s="7">
        <v>5.4041621710522049E-2</v>
      </c>
      <c r="DC22" s="7">
        <v>7.2342033732944094E-2</v>
      </c>
      <c r="DD22" s="7">
        <v>-1.596257781556271E-2</v>
      </c>
      <c r="DE22" s="7">
        <v>-5.4917579819501461E-3</v>
      </c>
      <c r="DF22" s="7">
        <v>1.7031775273553061E-2</v>
      </c>
      <c r="DG22" s="7">
        <v>3.1985043080887662E-2</v>
      </c>
      <c r="DH22" s="7">
        <v>1.3945346183503959E-2</v>
      </c>
      <c r="DI22" s="7">
        <v>6.356099926224941E-2</v>
      </c>
      <c r="DJ22" s="7">
        <v>4.277692212467888E-2</v>
      </c>
      <c r="DK22" s="7">
        <v>0.1791347138228401</v>
      </c>
      <c r="DL22" s="7">
        <v>0.1249416477373831</v>
      </c>
      <c r="DM22" s="7">
        <v>-6.3466051038033502E-2</v>
      </c>
      <c r="DN22" s="7">
        <v>4.6763328204007498E-2</v>
      </c>
      <c r="DO22" s="7">
        <v>0.12343750131163821</v>
      </c>
      <c r="DP22" s="7">
        <v>1.022725785290381E-2</v>
      </c>
      <c r="DQ22" s="7">
        <v>-5.1850201837621311E-2</v>
      </c>
      <c r="DR22" s="7">
        <v>-6.0925526153180337E-3</v>
      </c>
      <c r="DS22" s="7">
        <v>-0.19705092156235929</v>
      </c>
      <c r="DT22" s="7">
        <v>-4.3681446324088213E-2</v>
      </c>
      <c r="DU22" s="7">
        <v>-0.16154691088272999</v>
      </c>
      <c r="DV22" s="7">
        <v>0.12570511767817799</v>
      </c>
      <c r="DW22" s="7">
        <v>7.838972370699715E-2</v>
      </c>
      <c r="DX22" s="7">
        <v>-0.22244260844829469</v>
      </c>
      <c r="DY22" s="7">
        <v>0.11995602471866181</v>
      </c>
      <c r="DZ22" s="7">
        <v>0.11083450478771149</v>
      </c>
      <c r="EA22" s="7">
        <v>0.14035616200069359</v>
      </c>
      <c r="EB22" s="7">
        <v>-8.0596727535317977E-2</v>
      </c>
      <c r="EC22" s="7">
        <v>8.808544742642449E-2</v>
      </c>
      <c r="ED22" s="7">
        <v>-7.7413567057607463E-2</v>
      </c>
      <c r="EE22" s="7">
        <v>3.344630381221339E-2</v>
      </c>
      <c r="EF22" s="8">
        <v>-3.4790246372172352E-2</v>
      </c>
      <c r="EG22" s="18">
        <f t="shared" si="10"/>
        <v>2.6924342732205633E-2</v>
      </c>
      <c r="EH22" s="18">
        <f t="shared" si="11"/>
        <v>0.14625772106250842</v>
      </c>
      <c r="EI22" s="18">
        <f t="shared" si="12"/>
        <v>0.18408835127889461</v>
      </c>
    </row>
    <row r="23" spans="1:139" x14ac:dyDescent="0.3">
      <c r="A23" s="1">
        <v>482</v>
      </c>
      <c r="B23" s="1">
        <v>2</v>
      </c>
      <c r="C23" s="7">
        <v>0.28298926569632887</v>
      </c>
      <c r="D23" s="7">
        <v>0.25409262745146127</v>
      </c>
      <c r="E23" s="7">
        <v>0.13300519405617101</v>
      </c>
      <c r="F23" s="7">
        <v>-3.740232941910691E-3</v>
      </c>
      <c r="G23" s="7">
        <v>0.36163212077843282</v>
      </c>
      <c r="H23" s="7">
        <v>-1.8188470841484668E-2</v>
      </c>
      <c r="I23" s="7">
        <v>-3.6386488866407093E-2</v>
      </c>
      <c r="J23" s="7">
        <v>-0.1148775059304451</v>
      </c>
      <c r="K23" s="7">
        <v>-5.9917884508062888E-2</v>
      </c>
      <c r="L23" s="7">
        <v>5.0770833705182927E-2</v>
      </c>
      <c r="M23" s="7">
        <v>-0.26256934704734031</v>
      </c>
      <c r="N23" s="7">
        <v>0.97590144327128003</v>
      </c>
      <c r="O23" s="7">
        <v>-0.1228997073071684</v>
      </c>
      <c r="P23" s="7">
        <v>5.46815260345479E-2</v>
      </c>
      <c r="Q23" s="7">
        <v>0.29117349346670462</v>
      </c>
      <c r="R23" s="7">
        <v>6.2821977969761703E-2</v>
      </c>
      <c r="S23" s="7">
        <v>-7.2572664450062274E-2</v>
      </c>
      <c r="T23" s="7">
        <v>-3.733692084787466E-4</v>
      </c>
      <c r="U23" s="7">
        <v>5.924178948110146E-2</v>
      </c>
      <c r="V23" s="7">
        <v>-0.2324772033709247</v>
      </c>
      <c r="W23" s="7">
        <v>0.33161915024914451</v>
      </c>
      <c r="X23" s="7">
        <v>0.1945564614576443</v>
      </c>
      <c r="Y23" s="7">
        <v>-6.7949921591350784E-2</v>
      </c>
      <c r="Z23" s="7">
        <v>4.1051966520251372E-2</v>
      </c>
      <c r="AA23" s="7">
        <v>0.15164933184604609</v>
      </c>
      <c r="AB23" s="7">
        <v>3.09913850559921E-2</v>
      </c>
      <c r="AC23" s="7">
        <v>-0.23400862094644481</v>
      </c>
      <c r="AD23" s="7">
        <v>-2.9952915704841848E-3</v>
      </c>
      <c r="AE23" s="7">
        <v>-0.22171323582164909</v>
      </c>
      <c r="AF23" s="7">
        <v>6.6906260089751285E-2</v>
      </c>
      <c r="AG23" s="7">
        <v>-2.0576770504273641E-3</v>
      </c>
      <c r="AH23" s="7">
        <v>-8.417158452318324E-2</v>
      </c>
      <c r="AI23" s="7">
        <v>2.3228266622481949E-2</v>
      </c>
      <c r="AJ23" s="7">
        <v>5.6431378481542303E-3</v>
      </c>
      <c r="AK23" s="7">
        <v>0.11411109934719101</v>
      </c>
      <c r="AL23" s="7">
        <v>0.1314317131925356</v>
      </c>
      <c r="AM23" s="7">
        <v>7.769489004865255E-3</v>
      </c>
      <c r="AN23" s="7">
        <v>0.24231469935730071</v>
      </c>
      <c r="AO23" s="7">
        <v>-5.3369521914240978E-3</v>
      </c>
      <c r="AP23" s="7">
        <v>3.1210993523056942E-3</v>
      </c>
      <c r="AQ23" s="7">
        <v>8.9424992259610633E-2</v>
      </c>
      <c r="AR23" s="7">
        <v>0.33674404384506768</v>
      </c>
      <c r="AS23" s="7">
        <v>-1.470688799737762E-2</v>
      </c>
      <c r="AT23" s="7">
        <v>-4.1427721813649641E-2</v>
      </c>
      <c r="AU23" s="7">
        <v>3.3145526128504327E-2</v>
      </c>
      <c r="AV23" s="7">
        <v>-2.7638994197374041E-2</v>
      </c>
      <c r="AW23" s="7">
        <v>-5.202690983840276E-2</v>
      </c>
      <c r="AX23" s="7">
        <v>6.9838153827044058E-2</v>
      </c>
      <c r="AY23" s="7">
        <v>0.17023398084058211</v>
      </c>
      <c r="AZ23" s="7">
        <v>-6.3753617401060211E-2</v>
      </c>
      <c r="BA23" s="7">
        <v>5.3998338629857423E-2</v>
      </c>
      <c r="BB23" s="7">
        <v>0.56682652604744033</v>
      </c>
      <c r="BC23" s="7">
        <v>-0.30082824917306578</v>
      </c>
      <c r="BD23" s="7">
        <v>9.4830881346450333E-2</v>
      </c>
      <c r="BE23" s="7">
        <v>-7.1430762397296579E-2</v>
      </c>
      <c r="BF23" s="7">
        <v>-2.284699060468626E-2</v>
      </c>
      <c r="BG23" s="7">
        <v>7.4761471196752541E-2</v>
      </c>
      <c r="BH23" s="7">
        <v>-0.2034839813552872</v>
      </c>
      <c r="BI23" s="7">
        <v>0.1911120793231991</v>
      </c>
      <c r="BJ23" s="7">
        <v>0.1040033152679269</v>
      </c>
      <c r="BK23" s="7">
        <v>2.0341083364774871E-3</v>
      </c>
      <c r="BL23" s="7">
        <v>0.14953429625023959</v>
      </c>
      <c r="BM23" s="7">
        <v>6.9495462024450616E-2</v>
      </c>
      <c r="BN23" s="7">
        <v>-6.9471707588132049E-3</v>
      </c>
      <c r="BO23" s="7">
        <v>3.6524941745999073E-2</v>
      </c>
      <c r="BP23" s="7">
        <v>9.8266399211456468E-2</v>
      </c>
      <c r="BQ23" s="7">
        <v>7.2047901435266168E-2</v>
      </c>
      <c r="BR23" s="7">
        <v>1.7844321463962809E-2</v>
      </c>
      <c r="BS23" s="7">
        <v>-7.3275388657911791E-2</v>
      </c>
      <c r="BT23" s="7">
        <v>0.14364980602599711</v>
      </c>
      <c r="BU23" s="7">
        <v>0.20568773584594591</v>
      </c>
      <c r="BV23" s="7">
        <v>0.11346756836018849</v>
      </c>
      <c r="BW23" s="7">
        <v>-0.20215233327569121</v>
      </c>
      <c r="BX23" s="7">
        <v>-8.2131197272531514E-3</v>
      </c>
      <c r="BY23" s="7">
        <v>-1.020569269434762E-2</v>
      </c>
      <c r="BZ23" s="7">
        <v>7.6697624318448621E-3</v>
      </c>
      <c r="CA23" s="7">
        <v>-7.5653199746629096E-2</v>
      </c>
      <c r="CB23" s="7">
        <v>-0.21761420299243989</v>
      </c>
      <c r="CC23" s="7">
        <v>-8.4544614715775346E-2</v>
      </c>
      <c r="CD23" s="7">
        <v>0.141241944161549</v>
      </c>
      <c r="CE23" s="7">
        <v>5.9602301837717461E-2</v>
      </c>
      <c r="CF23" s="7">
        <v>-0.18343323628555941</v>
      </c>
      <c r="CG23" s="7">
        <v>0.29290393811773718</v>
      </c>
      <c r="CH23" s="7">
        <v>0.18019644892142839</v>
      </c>
      <c r="CI23" s="7">
        <v>-0.30989941712809688</v>
      </c>
      <c r="CJ23" s="7">
        <v>-1.9875367550410569E-2</v>
      </c>
      <c r="CK23" s="7">
        <v>9.6116994727961536E-2</v>
      </c>
      <c r="CL23" s="7">
        <v>-0.40866101266741839</v>
      </c>
      <c r="CM23" s="7">
        <v>0.3867329465229094</v>
      </c>
      <c r="CN23" s="7">
        <v>-5.3005178369803271E-2</v>
      </c>
      <c r="CO23" s="7">
        <v>-0.90892328736561978</v>
      </c>
      <c r="CP23" s="7">
        <v>0.31136074316275669</v>
      </c>
      <c r="CQ23" s="7">
        <v>2.4702270079380868E-2</v>
      </c>
      <c r="CR23" s="7">
        <v>-3.8232839171219918E-2</v>
      </c>
      <c r="CS23" s="7">
        <v>6.901537085690515E-2</v>
      </c>
      <c r="CT23" s="7">
        <v>4.5662541711253862E-2</v>
      </c>
      <c r="CU23" s="7">
        <v>-2.1056595713287041E-2</v>
      </c>
      <c r="CV23" s="7">
        <v>-2.2245137488805671E-2</v>
      </c>
      <c r="CW23" s="7">
        <v>0.1009013318024186</v>
      </c>
      <c r="CX23" s="7">
        <v>-8.8716994096526336E-2</v>
      </c>
      <c r="CY23" s="7">
        <v>2.20465307533785E-2</v>
      </c>
      <c r="CZ23" s="7">
        <v>0.18199879385735121</v>
      </c>
      <c r="DA23" s="7">
        <v>-3.0982136225910391E-2</v>
      </c>
      <c r="DB23" s="7">
        <v>1.8747066443219641E-2</v>
      </c>
      <c r="DC23" s="7">
        <v>7.2416033656425932E-2</v>
      </c>
      <c r="DD23" s="7">
        <v>-1.8407826273001211E-2</v>
      </c>
      <c r="DE23" s="7">
        <v>-9.3952259516448811E-3</v>
      </c>
      <c r="DF23" s="7">
        <v>6.194212704490535E-2</v>
      </c>
      <c r="DG23" s="7">
        <v>3.8270011874717E-2</v>
      </c>
      <c r="DH23" s="7">
        <v>5.5413447308742453E-2</v>
      </c>
      <c r="DI23" s="7">
        <v>5.3479596916020812E-2</v>
      </c>
      <c r="DJ23" s="7">
        <v>-3.3824576295396119E-2</v>
      </c>
      <c r="DK23" s="7">
        <v>0.27783321655884308</v>
      </c>
      <c r="DL23" s="7">
        <v>0.21610105954027359</v>
      </c>
      <c r="DM23" s="7">
        <v>-1.949730491936592E-2</v>
      </c>
      <c r="DN23" s="7">
        <v>6.4971960439702253E-3</v>
      </c>
      <c r="DO23" s="7">
        <v>0.16409130373383399</v>
      </c>
      <c r="DP23" s="7">
        <v>4.7088232655722921E-2</v>
      </c>
      <c r="DQ23" s="7">
        <v>-0.12113204125745761</v>
      </c>
      <c r="DR23" s="7">
        <v>-8.9886002731306744E-2</v>
      </c>
      <c r="DS23" s="7">
        <v>-0.28809657691904628</v>
      </c>
      <c r="DT23" s="7">
        <v>-5.4250460668612679E-2</v>
      </c>
      <c r="DU23" s="7">
        <v>-5.5639478708282321E-2</v>
      </c>
      <c r="DV23" s="7">
        <v>0.27627160832943959</v>
      </c>
      <c r="DW23" s="7">
        <v>0.14122823258283859</v>
      </c>
      <c r="DX23" s="7">
        <v>-0.31349320637896622</v>
      </c>
      <c r="DY23" s="7">
        <v>-5.3926224537590731E-2</v>
      </c>
      <c r="DZ23" s="7">
        <v>-0.21717398775244159</v>
      </c>
      <c r="EA23" s="7">
        <v>-2.875877977640498E-2</v>
      </c>
      <c r="EB23" s="7">
        <v>-6.2753439710675096E-2</v>
      </c>
      <c r="EC23" s="7">
        <v>9.3644533160520085E-2</v>
      </c>
      <c r="ED23" s="7">
        <v>-9.1425904619781034E-2</v>
      </c>
      <c r="EE23" s="7">
        <v>5.9050683888240307E-2</v>
      </c>
      <c r="EF23" s="8">
        <v>-4.7782278591659677E-2</v>
      </c>
      <c r="EG23" s="18">
        <f t="shared" si="10"/>
        <v>2.5798074158811645E-2</v>
      </c>
      <c r="EH23" s="18">
        <f t="shared" si="11"/>
        <v>0.19109655074705001</v>
      </c>
      <c r="EI23" s="18">
        <f t="shared" si="12"/>
        <v>0.13500020831333553</v>
      </c>
    </row>
    <row r="24" spans="1:139" x14ac:dyDescent="0.3">
      <c r="A24" s="1">
        <v>964</v>
      </c>
      <c r="B24" s="1">
        <v>1</v>
      </c>
      <c r="C24" s="7">
        <v>9.9113364206882743E-2</v>
      </c>
      <c r="D24" s="7">
        <v>0.1006099128992286</v>
      </c>
      <c r="E24" s="7">
        <v>0.28451249769050191</v>
      </c>
      <c r="F24" s="7">
        <v>7.5326493831706698E-2</v>
      </c>
      <c r="G24" s="7">
        <v>0.2296070518581638</v>
      </c>
      <c r="H24" s="7">
        <v>3.5855796654956661E-2</v>
      </c>
      <c r="I24" s="7">
        <v>1.692708918074378E-2</v>
      </c>
      <c r="J24" s="7">
        <v>-0.1154627982140225</v>
      </c>
      <c r="K24" s="7">
        <v>5.3732996668234008E-2</v>
      </c>
      <c r="L24" s="7">
        <v>9.3799693256750388E-2</v>
      </c>
      <c r="M24" s="7">
        <v>-0.46302754420013847</v>
      </c>
      <c r="N24" s="7">
        <v>1.769031369112569</v>
      </c>
      <c r="O24" s="7">
        <v>-0.24427786338818341</v>
      </c>
      <c r="P24" s="7">
        <v>1.736288864347235E-3</v>
      </c>
      <c r="Q24" s="7">
        <v>-2.847135602397292E-3</v>
      </c>
      <c r="R24" s="7">
        <v>-2.7822823885088121E-2</v>
      </c>
      <c r="S24" s="7">
        <v>-1.1054460207448651E-2</v>
      </c>
      <c r="T24" s="7">
        <v>0.1236910440917892</v>
      </c>
      <c r="U24" s="7">
        <v>0.28585628998140078</v>
      </c>
      <c r="V24" s="7">
        <v>-9.8678511259329957E-2</v>
      </c>
      <c r="W24" s="7">
        <v>0.49571198595594262</v>
      </c>
      <c r="X24" s="7">
        <v>-8.988764650171982E-4</v>
      </c>
      <c r="Y24" s="7">
        <v>-0.1203174930645305</v>
      </c>
      <c r="Z24" s="7">
        <v>-2.439454874957615E-2</v>
      </c>
      <c r="AA24" s="7">
        <v>9.4359582813794432E-2</v>
      </c>
      <c r="AB24" s="7">
        <v>0.30039379355698248</v>
      </c>
      <c r="AC24" s="7">
        <v>-0.24616895878469969</v>
      </c>
      <c r="AD24" s="7">
        <v>-5.9922146810819088E-2</v>
      </c>
      <c r="AE24" s="7">
        <v>-0.17526881500734201</v>
      </c>
      <c r="AF24" s="7">
        <v>2.2522010034790499E-2</v>
      </c>
      <c r="AG24" s="7">
        <v>0.10590047247440069</v>
      </c>
      <c r="AH24" s="7">
        <v>-5.6697360067789589E-2</v>
      </c>
      <c r="AI24" s="7">
        <v>-8.8083310984272967E-3</v>
      </c>
      <c r="AJ24" s="7">
        <v>-8.089124399937539E-2</v>
      </c>
      <c r="AK24" s="7">
        <v>8.4883953068192297E-2</v>
      </c>
      <c r="AL24" s="7">
        <v>-5.4676935490635382E-2</v>
      </c>
      <c r="AM24" s="7">
        <v>-1.89192814205267E-2</v>
      </c>
      <c r="AN24" s="7">
        <v>0.22118946514543131</v>
      </c>
      <c r="AO24" s="7">
        <v>6.6090111828990022E-2</v>
      </c>
      <c r="AP24" s="7">
        <v>-2.28517154890964E-2</v>
      </c>
      <c r="AQ24" s="7">
        <v>4.7076972834245667E-2</v>
      </c>
      <c r="AR24" s="7">
        <v>9.6392566076069844E-3</v>
      </c>
      <c r="AS24" s="7">
        <v>-2.7956077266590069E-2</v>
      </c>
      <c r="AT24" s="7">
        <v>3.045920748470865E-2</v>
      </c>
      <c r="AU24" s="7">
        <v>4.4095319865224331E-2</v>
      </c>
      <c r="AV24" s="7">
        <v>-8.7151952186895892E-2</v>
      </c>
      <c r="AW24" s="7">
        <v>4.9875415110391882E-3</v>
      </c>
      <c r="AX24" s="7">
        <v>2.8306186588424521E-2</v>
      </c>
      <c r="AY24" s="7">
        <v>0.16812729388488939</v>
      </c>
      <c r="AZ24" s="7">
        <v>3.7867073599665187E-2</v>
      </c>
      <c r="BA24" s="7">
        <v>5.0491305412012258E-2</v>
      </c>
      <c r="BB24" s="7">
        <v>0.69077653138067185</v>
      </c>
      <c r="BC24" s="7">
        <v>-0.8032160130443774</v>
      </c>
      <c r="BD24" s="7">
        <v>0.18559521924643521</v>
      </c>
      <c r="BE24" s="7">
        <v>-4.606435403168687E-2</v>
      </c>
      <c r="BF24" s="7">
        <v>8.765133605409231E-2</v>
      </c>
      <c r="BG24" s="7">
        <v>2.6835965866310919E-2</v>
      </c>
      <c r="BH24" s="7">
        <v>-0.38625533691353497</v>
      </c>
      <c r="BI24" s="7">
        <v>0.2236291060700471</v>
      </c>
      <c r="BJ24" s="7">
        <v>3.3483157548845829E-3</v>
      </c>
      <c r="BK24" s="7">
        <v>4.0235468942862278E-3</v>
      </c>
      <c r="BL24" s="7">
        <v>0.31716429392471662</v>
      </c>
      <c r="BM24" s="7">
        <v>-8.4782939838988242E-2</v>
      </c>
      <c r="BN24" s="7">
        <v>6.849341845574783E-3</v>
      </c>
      <c r="BO24" s="7">
        <v>-0.16110969109564191</v>
      </c>
      <c r="BP24" s="7">
        <v>0.1233511811293219</v>
      </c>
      <c r="BQ24" s="7">
        <v>-6.4169633330115036E-2</v>
      </c>
      <c r="BR24" s="7">
        <v>4.2356223303417713E-2</v>
      </c>
      <c r="BS24" s="7">
        <v>-1.284717484456964E-3</v>
      </c>
      <c r="BT24" s="7">
        <v>0.1162706960541873</v>
      </c>
      <c r="BU24" s="7">
        <v>0.22832663155994071</v>
      </c>
      <c r="BV24" s="7">
        <v>0.1077284538879829</v>
      </c>
      <c r="BW24" s="7">
        <v>-6.1835883635593128E-2</v>
      </c>
      <c r="BX24" s="7">
        <v>-0.1329600557104578</v>
      </c>
      <c r="BY24" s="7">
        <v>0.10974566916741731</v>
      </c>
      <c r="BZ24" s="7">
        <v>0.25889289884999689</v>
      </c>
      <c r="CA24" s="7">
        <v>-0.1152216807734147</v>
      </c>
      <c r="CB24" s="7">
        <v>0.20876197428786911</v>
      </c>
      <c r="CC24" s="7">
        <v>-0.18246987988756161</v>
      </c>
      <c r="CD24" s="7">
        <v>2.9953525870016359E-2</v>
      </c>
      <c r="CE24" s="7">
        <v>0.16556487399111461</v>
      </c>
      <c r="CF24" s="7">
        <v>-0.16513135300939591</v>
      </c>
      <c r="CG24" s="7">
        <v>0.23727783485992521</v>
      </c>
      <c r="CH24" s="7">
        <v>0.35427729684250298</v>
      </c>
      <c r="CI24" s="7">
        <v>0.3284518207092646</v>
      </c>
      <c r="CJ24" s="7">
        <v>1.310948541941956E-2</v>
      </c>
      <c r="CK24" s="7">
        <v>9.3530079315696568E-2</v>
      </c>
      <c r="CL24" s="7">
        <v>0.1417553333725407</v>
      </c>
      <c r="CM24" s="7">
        <v>0.54958710995910021</v>
      </c>
      <c r="CN24" s="7">
        <v>-0.1077387664572132</v>
      </c>
      <c r="CO24" s="7">
        <v>-0.77665321833623113</v>
      </c>
      <c r="CP24" s="7">
        <v>0.1603442048148421</v>
      </c>
      <c r="CQ24" s="7">
        <v>0.1601896466275006</v>
      </c>
      <c r="CR24" s="7">
        <v>-9.681790719133844E-2</v>
      </c>
      <c r="CS24" s="7">
        <v>-2.6854922521108548E-2</v>
      </c>
      <c r="CT24" s="7">
        <v>9.6419008147395818E-2</v>
      </c>
      <c r="CU24" s="7">
        <v>-7.2751347656710041E-2</v>
      </c>
      <c r="CV24" s="7">
        <v>1.5064047539375311E-2</v>
      </c>
      <c r="CW24" s="7">
        <v>0.17511716607200739</v>
      </c>
      <c r="CX24" s="7">
        <v>5.5207193708687041E-2</v>
      </c>
      <c r="CY24" s="7">
        <v>-8.0066904636818925E-2</v>
      </c>
      <c r="CZ24" s="7">
        <v>0.11220662844456721</v>
      </c>
      <c r="DA24" s="7">
        <v>2.451120416275485E-2</v>
      </c>
      <c r="DB24" s="7">
        <v>-1.6501865848996312E-2</v>
      </c>
      <c r="DC24" s="7">
        <v>0.17955311523934811</v>
      </c>
      <c r="DD24" s="7">
        <v>4.9299772670775198E-2</v>
      </c>
      <c r="DE24" s="7">
        <v>-0.17606275750953501</v>
      </c>
      <c r="DF24" s="7">
        <v>-0.1046649760205613</v>
      </c>
      <c r="DG24" s="7">
        <v>5.9105834124344087E-2</v>
      </c>
      <c r="DH24" s="7">
        <v>8.4652506536621926E-4</v>
      </c>
      <c r="DI24" s="7">
        <v>0.1418754589382695</v>
      </c>
      <c r="DJ24" s="7">
        <v>2.108147115785142E-2</v>
      </c>
      <c r="DK24" s="7">
        <v>0.33950921063044381</v>
      </c>
      <c r="DL24" s="7">
        <v>0.21310442628588119</v>
      </c>
      <c r="DM24" s="7">
        <v>-0.14143952722687489</v>
      </c>
      <c r="DN24" s="7">
        <v>0.23333457077469619</v>
      </c>
      <c r="DO24" s="7">
        <v>0.18544080263268789</v>
      </c>
      <c r="DP24" s="7">
        <v>0.1143734254860139</v>
      </c>
      <c r="DQ24" s="7">
        <v>-5.0486190478925157E-2</v>
      </c>
      <c r="DR24" s="7">
        <v>-2.0515630212029241E-2</v>
      </c>
      <c r="DS24" s="7">
        <v>-0.21626154103284559</v>
      </c>
      <c r="DT24" s="7">
        <v>-7.4733345266004753E-2</v>
      </c>
      <c r="DU24" s="7">
        <v>2.1781395361230051E-2</v>
      </c>
      <c r="DV24" s="7">
        <v>0.1582246986438143</v>
      </c>
      <c r="DW24" s="7">
        <v>0.10885708989133031</v>
      </c>
      <c r="DX24" s="7">
        <v>-0.31159312779250392</v>
      </c>
      <c r="DY24" s="7">
        <v>-3.239876608542996E-3</v>
      </c>
      <c r="DZ24" s="7">
        <v>-0.43350657873669168</v>
      </c>
      <c r="EA24" s="7">
        <v>-5.4920183841502608E-2</v>
      </c>
      <c r="EB24" s="7">
        <v>-2.9582176365294029E-2</v>
      </c>
      <c r="EC24" s="7">
        <v>0.14364347355970919</v>
      </c>
      <c r="ED24" s="7">
        <v>-5.6172845298362112E-2</v>
      </c>
      <c r="EE24" s="7">
        <v>0.1134294391912188</v>
      </c>
      <c r="EF24" s="8">
        <v>6.7276677043968364E-2</v>
      </c>
      <c r="EG24" s="18">
        <f t="shared" si="10"/>
        <v>4.1666810092113302E-2</v>
      </c>
      <c r="EH24" s="18">
        <f t="shared" si="11"/>
        <v>0.24630108397727934</v>
      </c>
      <c r="EI24" s="18">
        <f t="shared" si="12"/>
        <v>0.16917022620962952</v>
      </c>
    </row>
    <row r="25" spans="1:139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  <c r="EG25" s="18">
        <f t="shared" si="10"/>
        <v>7.3485376145559517E-3</v>
      </c>
      <c r="EH25" s="18">
        <f t="shared" si="11"/>
        <v>4.2276369775976368E-2</v>
      </c>
      <c r="EI25" s="18">
        <f t="shared" si="12"/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7B94-2AEC-4D77-B871-60DC4C30D891}">
  <dimension ref="A1:EG25"/>
  <sheetViews>
    <sheetView topLeftCell="A6" zoomScale="93" workbookViewId="0">
      <selection activeCell="P28" sqref="P28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5.723077803850174E-2</v>
      </c>
      <c r="D3" s="7">
        <v>7.545451819896698E-2</v>
      </c>
      <c r="E3" s="7">
        <v>5.3419496864080429E-2</v>
      </c>
      <c r="F3" s="7">
        <v>4.8055462539196007E-2</v>
      </c>
      <c r="G3" s="7">
        <v>5.6244600564241409E-2</v>
      </c>
      <c r="H3" s="7">
        <v>5.3408809006214142E-2</v>
      </c>
      <c r="I3" s="7">
        <v>5.4677728563547127E-2</v>
      </c>
      <c r="J3" s="7">
        <v>6.1407111585140228E-2</v>
      </c>
      <c r="K3" s="7">
        <v>6.1087191104888923E-2</v>
      </c>
      <c r="L3" s="7">
        <v>6.1945471912622452E-2</v>
      </c>
      <c r="M3" s="7">
        <v>6.4090974628925323E-2</v>
      </c>
      <c r="N3" s="7">
        <v>5.0166409462690353E-2</v>
      </c>
      <c r="O3" s="7">
        <v>5.0939202308654792E-2</v>
      </c>
      <c r="P3" s="7">
        <v>5.3945809602737427E-2</v>
      </c>
      <c r="Q3" s="7">
        <v>5.463515967130661E-2</v>
      </c>
      <c r="R3" s="7">
        <v>5.4097041487693787E-2</v>
      </c>
      <c r="S3" s="7">
        <v>5.4209418594837189E-2</v>
      </c>
      <c r="T3" s="7">
        <v>5.6115321815013892E-2</v>
      </c>
      <c r="U3" s="7">
        <v>5.4694335907697678E-2</v>
      </c>
      <c r="V3" s="7">
        <v>5.5520310997962952E-2</v>
      </c>
      <c r="W3" s="7">
        <v>5.7895615696907043E-2</v>
      </c>
      <c r="X3" s="7">
        <v>5.6128561496734619E-2</v>
      </c>
      <c r="Y3" s="7">
        <v>5.4498970508575439E-2</v>
      </c>
      <c r="Z3" s="7">
        <v>5.640922486782074E-2</v>
      </c>
      <c r="AA3" s="7">
        <v>5.4687082767486572E-2</v>
      </c>
      <c r="AB3" s="7">
        <v>5.4479975253343582E-2</v>
      </c>
      <c r="AC3" s="7">
        <v>5.7393115013837807E-2</v>
      </c>
      <c r="AD3" s="7">
        <v>5.7433716952800751E-2</v>
      </c>
      <c r="AE3" s="7">
        <v>4.2686142027378082E-2</v>
      </c>
      <c r="AF3" s="7">
        <v>5.614069476723671E-2</v>
      </c>
      <c r="AG3" s="7">
        <v>5.5614285171031952E-2</v>
      </c>
      <c r="AH3" s="7">
        <v>2.0760968327522281E-2</v>
      </c>
      <c r="AI3" s="7">
        <v>2.509923838078976E-2</v>
      </c>
      <c r="AJ3" s="7">
        <v>2.919439785182476E-2</v>
      </c>
      <c r="AK3" s="7">
        <v>3.0455950647592541E-2</v>
      </c>
      <c r="AL3" s="7">
        <v>3.425038605928421E-2</v>
      </c>
      <c r="AM3" s="7">
        <v>3.9540499448776252E-2</v>
      </c>
      <c r="AN3" s="7">
        <v>4.3252840638160713E-2</v>
      </c>
      <c r="AO3" s="7">
        <v>4.4728361070156097E-2</v>
      </c>
      <c r="AP3" s="7">
        <v>4.2892593890428543E-2</v>
      </c>
      <c r="AQ3" s="7">
        <v>4.543033242225647E-2</v>
      </c>
      <c r="AR3" s="7">
        <v>4.4913444668054581E-2</v>
      </c>
      <c r="AS3" s="7">
        <v>4.8380430787801743E-2</v>
      </c>
      <c r="AT3" s="7">
        <v>4.19180728495121E-2</v>
      </c>
      <c r="AU3" s="7">
        <v>4.1785150766372681E-2</v>
      </c>
      <c r="AV3" s="7">
        <v>4.3081630021333688E-2</v>
      </c>
      <c r="AW3" s="7">
        <v>4.6142738312482827E-2</v>
      </c>
      <c r="AX3" s="7">
        <v>4.5525301247835159E-2</v>
      </c>
      <c r="AY3" s="7">
        <v>4.7935985028743737E-2</v>
      </c>
      <c r="AZ3" s="7">
        <v>4.1659116744995117E-2</v>
      </c>
      <c r="BA3" s="7">
        <v>3.8711324334144592E-2</v>
      </c>
      <c r="BB3" s="7">
        <v>3.8947168737649918E-2</v>
      </c>
      <c r="BC3" s="7">
        <v>4.2427822947502143E-2</v>
      </c>
      <c r="BD3" s="7">
        <v>4.4051360338926322E-2</v>
      </c>
      <c r="BE3" s="7">
        <v>4.56375852227211E-2</v>
      </c>
      <c r="BF3" s="7">
        <v>4.8670642077922821E-2</v>
      </c>
      <c r="BG3" s="7">
        <v>4.9968019127845757E-2</v>
      </c>
      <c r="BH3" s="7">
        <v>5.1808405667543411E-2</v>
      </c>
      <c r="BI3" s="7">
        <v>5.0584189593791962E-2</v>
      </c>
      <c r="BJ3" s="7">
        <v>5.2059561014175422E-2</v>
      </c>
      <c r="BK3" s="7">
        <v>5.2372250705957413E-2</v>
      </c>
      <c r="BL3" s="7">
        <v>5.0854671746492393E-2</v>
      </c>
      <c r="BM3" s="7">
        <v>5.2194196730852127E-2</v>
      </c>
      <c r="BN3" s="7">
        <v>5.6162696331739433E-2</v>
      </c>
      <c r="BO3" s="7">
        <v>5.4506797343492508E-2</v>
      </c>
      <c r="BP3" s="7">
        <v>4.0165632963180542E-2</v>
      </c>
      <c r="BQ3" s="7">
        <v>5.2233844995498657E-2</v>
      </c>
      <c r="BR3" s="7">
        <v>3.6525636911392212E-2</v>
      </c>
      <c r="BS3" s="7">
        <v>5.2801784127950668E-2</v>
      </c>
      <c r="BT3" s="7">
        <v>4.8056013882160187E-2</v>
      </c>
      <c r="BU3" s="7">
        <v>-9.9144220352172852E-2</v>
      </c>
      <c r="BV3" s="7">
        <v>5.2249498665332787E-2</v>
      </c>
      <c r="BW3" s="7">
        <v>3.9474610239267349E-2</v>
      </c>
      <c r="BX3" s="7">
        <v>4.7410383820533752E-2</v>
      </c>
      <c r="BY3" s="7">
        <v>4.704391211271286E-2</v>
      </c>
      <c r="BZ3" s="7">
        <v>4.6114489436149597E-2</v>
      </c>
      <c r="CA3" s="7">
        <v>4.2742863297462463E-2</v>
      </c>
      <c r="CB3" s="7">
        <v>3.8489740341901779E-2</v>
      </c>
      <c r="CC3" s="7">
        <v>3.745705634355545E-2</v>
      </c>
      <c r="CD3" s="7">
        <v>3.9794288575649261E-2</v>
      </c>
      <c r="CE3" s="7">
        <v>3.74956876039505E-2</v>
      </c>
      <c r="CF3" s="7">
        <v>2.513935416936874E-2</v>
      </c>
      <c r="CG3" s="7">
        <v>3.5978682339191437E-2</v>
      </c>
      <c r="CH3" s="7">
        <v>3.177894651889801E-2</v>
      </c>
      <c r="CI3" s="7">
        <v>3.4042399376630783E-2</v>
      </c>
      <c r="CJ3" s="7">
        <v>3.8737695664167397E-2</v>
      </c>
      <c r="CK3" s="7">
        <v>3.9908383041620248E-2</v>
      </c>
      <c r="CL3" s="7">
        <v>3.7117619067430503E-2</v>
      </c>
      <c r="CM3" s="7">
        <v>1.7108667641878132E-2</v>
      </c>
      <c r="CN3" s="7">
        <v>4.0649183094501502E-2</v>
      </c>
      <c r="CO3" s="7">
        <v>2.8012029826641079E-2</v>
      </c>
      <c r="CP3" s="7">
        <v>6.033631507307291E-3</v>
      </c>
      <c r="CQ3" s="7">
        <v>3.3265896141529083E-2</v>
      </c>
      <c r="CR3" s="7">
        <v>3.3467646688222892E-2</v>
      </c>
      <c r="CS3" s="7">
        <v>2.295568585395813E-2</v>
      </c>
      <c r="CT3" s="7">
        <v>1.8620189279317859E-2</v>
      </c>
      <c r="CU3" s="7">
        <v>1.673657447099686E-2</v>
      </c>
      <c r="CV3" s="7">
        <v>8.8566392660140991E-3</v>
      </c>
      <c r="CW3" s="7">
        <v>1.8140114843845371E-2</v>
      </c>
      <c r="CX3" s="7">
        <v>2.3012114688754082E-2</v>
      </c>
      <c r="CY3" s="7">
        <v>2.5537870824337009E-2</v>
      </c>
      <c r="CZ3" s="7">
        <v>-1.074089854955673E-2</v>
      </c>
      <c r="DA3" s="7">
        <v>1.7809309065341949E-2</v>
      </c>
      <c r="DB3" s="7">
        <v>3.122199326753616E-2</v>
      </c>
      <c r="DC3" s="7">
        <v>9.9241826683282852E-3</v>
      </c>
      <c r="DD3" s="7">
        <v>3.3772524446249008E-2</v>
      </c>
      <c r="DE3" s="7">
        <v>2.3819208145141602E-2</v>
      </c>
      <c r="DF3" s="7">
        <v>2.5578401982784271E-2</v>
      </c>
      <c r="DG3" s="7">
        <v>1.3096854090690609E-2</v>
      </c>
      <c r="DH3" s="7">
        <v>2.5391291826963421E-2</v>
      </c>
      <c r="DI3" s="7">
        <v>2.3517698049545292E-2</v>
      </c>
      <c r="DJ3" s="7">
        <v>3.1970106065273281E-3</v>
      </c>
      <c r="DK3" s="7">
        <v>6.1636377358809114E-4</v>
      </c>
      <c r="DL3" s="7">
        <v>5.1844632253050804E-3</v>
      </c>
      <c r="DM3" s="7">
        <v>2.578671462833881E-2</v>
      </c>
      <c r="DN3" s="7">
        <v>9.7193727269768715E-3</v>
      </c>
      <c r="DO3" s="7">
        <v>2.619513776153326E-3</v>
      </c>
      <c r="DP3" s="7">
        <v>-4.3171625584363937E-3</v>
      </c>
      <c r="DQ3" s="7">
        <v>2.6535039767622951E-2</v>
      </c>
      <c r="DR3" s="7">
        <v>3.2421927899122238E-2</v>
      </c>
      <c r="DS3" s="7">
        <v>2.6365883648395538E-2</v>
      </c>
      <c r="DT3" s="7">
        <v>1.8022846430540081E-2</v>
      </c>
      <c r="DU3" s="7">
        <v>2.060607448220253E-2</v>
      </c>
      <c r="DV3" s="7">
        <v>2.3552460595965389E-2</v>
      </c>
      <c r="DW3" s="7">
        <v>2.1600417792797089E-2</v>
      </c>
      <c r="DX3" s="7">
        <v>1.422623824328184E-2</v>
      </c>
      <c r="DY3" s="7">
        <v>1.5565707348287111E-2</v>
      </c>
      <c r="DZ3" s="7">
        <v>1.340680755674839E-2</v>
      </c>
      <c r="EA3" s="7">
        <v>4.9481242895126343E-3</v>
      </c>
      <c r="EB3" s="7">
        <v>-1.2768213637173179E-2</v>
      </c>
      <c r="EC3" s="7">
        <v>3.6291155964136117E-2</v>
      </c>
      <c r="ED3" s="7">
        <v>2.4168495088815689E-2</v>
      </c>
      <c r="EE3" s="7">
        <v>2.1592959761619571E-2</v>
      </c>
      <c r="EF3" s="7">
        <v>2.6417184621095661E-2</v>
      </c>
      <c r="EG3" s="1"/>
    </row>
    <row r="4" spans="1:137" x14ac:dyDescent="0.3">
      <c r="B4" s="1" t="s">
        <v>138</v>
      </c>
      <c r="C4" s="7">
        <v>-8.5349202156066895E-2</v>
      </c>
      <c r="D4" s="7">
        <v>-5.1032017916440957E-2</v>
      </c>
      <c r="E4" s="7">
        <v>-2.325590513646603E-2</v>
      </c>
      <c r="F4" s="7">
        <v>-3.0555792152881619E-2</v>
      </c>
      <c r="G4" s="7">
        <v>-4.1839428246021271E-2</v>
      </c>
      <c r="H4" s="7">
        <v>-2.72638313472271E-2</v>
      </c>
      <c r="I4" s="7">
        <v>-4.8288483172655113E-2</v>
      </c>
      <c r="J4" s="7">
        <v>-3.7104912102222443E-2</v>
      </c>
      <c r="K4" s="7">
        <v>-3.6805965006351471E-2</v>
      </c>
      <c r="L4" s="7">
        <v>-3.4764140844345093E-2</v>
      </c>
      <c r="M4" s="7">
        <v>-3.7611726671457291E-2</v>
      </c>
      <c r="N4" s="7">
        <v>-2.7905764058232311E-2</v>
      </c>
      <c r="O4" s="7">
        <v>-3.4595735371112817E-2</v>
      </c>
      <c r="P4" s="7">
        <v>-3.8765542209148407E-2</v>
      </c>
      <c r="Q4" s="7">
        <v>-3.8997773081064217E-2</v>
      </c>
      <c r="R4" s="7">
        <v>-3.3448915928602219E-2</v>
      </c>
      <c r="S4" s="7">
        <v>-2.8517939150333401E-2</v>
      </c>
      <c r="T4" s="7">
        <v>-2.1613039076328281E-2</v>
      </c>
      <c r="U4" s="7">
        <v>-2.8846664354205132E-2</v>
      </c>
      <c r="V4" s="7">
        <v>-2.773757092654705E-2</v>
      </c>
      <c r="W4" s="7">
        <v>-2.7205523103475571E-2</v>
      </c>
      <c r="X4" s="7">
        <v>-2.877160906791687E-2</v>
      </c>
      <c r="Y4" s="7">
        <v>-2.6057502254843708E-2</v>
      </c>
      <c r="Z4" s="7">
        <v>-3.0218640342354771E-2</v>
      </c>
      <c r="AA4" s="7">
        <v>-2.9684331268072128E-2</v>
      </c>
      <c r="AB4" s="7">
        <v>-2.8848921880125999E-2</v>
      </c>
      <c r="AC4" s="7">
        <v>-2.9010215774178501E-2</v>
      </c>
      <c r="AD4" s="7">
        <v>-3.6633200943470001E-2</v>
      </c>
      <c r="AE4" s="7">
        <v>-2.956033498048782E-2</v>
      </c>
      <c r="AF4" s="7">
        <v>-2.8750766068696979E-2</v>
      </c>
      <c r="AG4" s="7">
        <v>-2.7635267004370689E-2</v>
      </c>
      <c r="AH4" s="7">
        <v>-1.887181214988232E-2</v>
      </c>
      <c r="AI4" s="7">
        <v>-3.7307038903236389E-2</v>
      </c>
      <c r="AJ4" s="7">
        <v>-3.6262791603803628E-2</v>
      </c>
      <c r="AK4" s="7">
        <v>-5.3278349339962013E-2</v>
      </c>
      <c r="AL4" s="7">
        <v>-2.6777856051921841E-2</v>
      </c>
      <c r="AM4" s="7">
        <v>-2.986512333154678E-2</v>
      </c>
      <c r="AN4" s="7">
        <v>-2.4307837709784511E-2</v>
      </c>
      <c r="AO4" s="7">
        <v>-3.5743501037359238E-2</v>
      </c>
      <c r="AP4" s="7">
        <v>-1.8087023869156841E-2</v>
      </c>
      <c r="AQ4" s="7">
        <v>-2.1320786327123638E-2</v>
      </c>
      <c r="AR4" s="7">
        <v>-1.7324458807706829E-2</v>
      </c>
      <c r="AS4" s="7">
        <v>-2.9941694810986519E-2</v>
      </c>
      <c r="AT4" s="7">
        <v>-2.865689247846603E-2</v>
      </c>
      <c r="AU4" s="7">
        <v>-3.0558155849576E-2</v>
      </c>
      <c r="AV4" s="7">
        <v>-3.1591556966304779E-2</v>
      </c>
      <c r="AW4" s="7">
        <v>-3.095143660902977E-2</v>
      </c>
      <c r="AX4" s="7">
        <v>-2.90380883961916E-2</v>
      </c>
      <c r="AY4" s="7">
        <v>-3.3474009484052658E-2</v>
      </c>
      <c r="AZ4" s="7">
        <v>-2.7750197798013691E-2</v>
      </c>
      <c r="BA4" s="7">
        <v>-3.0938461422920231E-2</v>
      </c>
      <c r="BB4" s="7">
        <v>-3.3736608922481537E-2</v>
      </c>
      <c r="BC4" s="7">
        <v>-3.0917055904865261E-2</v>
      </c>
      <c r="BD4" s="7">
        <v>-3.0206931754946709E-2</v>
      </c>
      <c r="BE4" s="7">
        <v>-3.2964803278446198E-2</v>
      </c>
      <c r="BF4" s="7">
        <v>-3.150445967912674E-2</v>
      </c>
      <c r="BG4" s="7">
        <v>-3.220750018954277E-2</v>
      </c>
      <c r="BH4" s="7">
        <v>-3.1379878520965583E-2</v>
      </c>
      <c r="BI4" s="7">
        <v>-3.1143169850111011E-2</v>
      </c>
      <c r="BJ4" s="7">
        <v>-3.1001970171928409E-2</v>
      </c>
      <c r="BK4" s="7">
        <v>-3.2686032354831702E-2</v>
      </c>
      <c r="BL4" s="7">
        <v>-3.190472349524498E-2</v>
      </c>
      <c r="BM4" s="7">
        <v>-3.1684242188930511E-2</v>
      </c>
      <c r="BN4" s="7">
        <v>-6.7815873771905899E-3</v>
      </c>
      <c r="BO4" s="7">
        <v>-2.2827595472335819E-2</v>
      </c>
      <c r="BP4" s="7">
        <v>-3.092782199382782E-2</v>
      </c>
      <c r="BQ4" s="7">
        <v>-3.3150501549243927E-2</v>
      </c>
      <c r="BR4" s="7">
        <v>-1.157776825129986E-2</v>
      </c>
      <c r="BS4" s="7">
        <v>-3.3143915235996253E-2</v>
      </c>
      <c r="BT4" s="7">
        <v>-2.5744425132870671E-2</v>
      </c>
      <c r="BU4" s="7">
        <v>-3.5931199789047241E-2</v>
      </c>
      <c r="BV4" s="7">
        <v>-3.3979345113039017E-2</v>
      </c>
      <c r="BW4" s="7">
        <v>-2.417265065014362E-2</v>
      </c>
      <c r="BX4" s="7">
        <v>-3.2862037420272827E-2</v>
      </c>
      <c r="BY4" s="7">
        <v>-3.1837780028581619E-2</v>
      </c>
      <c r="BZ4" s="7">
        <v>-3.5272162407636642E-2</v>
      </c>
      <c r="CA4" s="7">
        <v>-3.2795939594507217E-2</v>
      </c>
      <c r="CB4" s="7">
        <v>-3.1129473820328709E-2</v>
      </c>
      <c r="CC4" s="7">
        <v>-3.2271597534418113E-2</v>
      </c>
      <c r="CD4" s="7">
        <v>-2.4898068979382511E-2</v>
      </c>
      <c r="CE4" s="7">
        <v>-3.059927374124527E-2</v>
      </c>
      <c r="CF4" s="7">
        <v>-3.0437305569648739E-2</v>
      </c>
      <c r="CG4" s="7">
        <v>-2.970433235168457E-2</v>
      </c>
      <c r="CH4" s="7">
        <v>-3.1244968995451931E-2</v>
      </c>
      <c r="CI4" s="7">
        <v>-3.1521577388048172E-2</v>
      </c>
      <c r="CJ4" s="7">
        <v>-2.5299424305558201E-2</v>
      </c>
      <c r="CK4" s="7">
        <v>-3.160746768116951E-2</v>
      </c>
      <c r="CL4" s="7">
        <v>-3.110575117170811E-2</v>
      </c>
      <c r="CM4" s="7">
        <v>-3.1131431460380551E-2</v>
      </c>
      <c r="CN4" s="7">
        <v>-3.0764317139983181E-2</v>
      </c>
      <c r="CO4" s="7">
        <v>-3.050921484827995E-2</v>
      </c>
      <c r="CP4" s="7">
        <v>-3.0214523896574971E-2</v>
      </c>
      <c r="CQ4" s="7">
        <v>-3.058712929487228E-2</v>
      </c>
      <c r="CR4" s="7">
        <v>-3.0247388407588009E-2</v>
      </c>
      <c r="CS4" s="7">
        <v>-2.9346618801355358E-2</v>
      </c>
      <c r="CT4" s="7">
        <v>-2.199074067175388E-2</v>
      </c>
      <c r="CU4" s="7">
        <v>-2.667142823338509E-2</v>
      </c>
      <c r="CV4" s="7">
        <v>-2.8046216815710071E-2</v>
      </c>
      <c r="CW4" s="7">
        <v>-3.3426489681005478E-2</v>
      </c>
      <c r="CX4" s="7">
        <v>-2.6143187656998631E-2</v>
      </c>
      <c r="CY4" s="7">
        <v>-2.7580428868532181E-2</v>
      </c>
      <c r="CZ4" s="7">
        <v>-2.6062972843647E-2</v>
      </c>
      <c r="DA4" s="7">
        <v>-2.9111567884683609E-2</v>
      </c>
      <c r="DB4" s="7">
        <v>-3.3217709511518478E-2</v>
      </c>
      <c r="DC4" s="7">
        <v>-3.2092787325382233E-2</v>
      </c>
      <c r="DD4" s="7">
        <v>-3.1149569898843769E-2</v>
      </c>
      <c r="DE4" s="7">
        <v>-2.9670033603906631E-2</v>
      </c>
      <c r="DF4" s="7">
        <v>-2.939239144325256E-2</v>
      </c>
      <c r="DG4" s="7">
        <v>-2.7210658416152E-2</v>
      </c>
      <c r="DH4" s="7">
        <v>-3.0039669945836071E-2</v>
      </c>
      <c r="DI4" s="7">
        <v>-2.986136823892593E-2</v>
      </c>
      <c r="DJ4" s="7">
        <v>-2.990072593092918E-2</v>
      </c>
      <c r="DK4" s="7">
        <v>-2.9505167156457901E-2</v>
      </c>
      <c r="DL4" s="7">
        <v>-3.0222309753298759E-2</v>
      </c>
      <c r="DM4" s="7">
        <v>-2.8697766363620762E-2</v>
      </c>
      <c r="DN4" s="7">
        <v>-2.7542078867554661E-2</v>
      </c>
      <c r="DO4" s="7">
        <v>-2.8353909030556679E-2</v>
      </c>
      <c r="DP4" s="7">
        <v>-5.9928406029939651E-2</v>
      </c>
      <c r="DQ4" s="7">
        <v>-4.0838062763214111E-2</v>
      </c>
      <c r="DR4" s="7">
        <v>-1.4053512364625931E-2</v>
      </c>
      <c r="DS4" s="7">
        <v>-1.6584597527980801E-2</v>
      </c>
      <c r="DT4" s="7">
        <v>-1.606809347867966E-2</v>
      </c>
      <c r="DU4" s="7">
        <v>-1.636031270027161E-2</v>
      </c>
      <c r="DV4" s="7">
        <v>-2.7348607778549191E-2</v>
      </c>
      <c r="DW4" s="7">
        <v>-2.7253827080130581E-2</v>
      </c>
      <c r="DX4" s="7">
        <v>-2.753619663417339E-2</v>
      </c>
      <c r="DY4" s="7">
        <v>-2.748970873653889E-2</v>
      </c>
      <c r="DZ4" s="7">
        <v>-2.8728349134325981E-2</v>
      </c>
      <c r="EA4" s="7">
        <v>-2.8270183131098751E-2</v>
      </c>
      <c r="EB4" s="7">
        <v>-2.8071155771613121E-2</v>
      </c>
      <c r="EC4" s="7">
        <v>-2.895832248032093E-2</v>
      </c>
      <c r="ED4" s="7">
        <v>-2.9004596173763279E-2</v>
      </c>
      <c r="EE4" s="7">
        <v>-2.8373779729008671E-2</v>
      </c>
      <c r="EF4" s="7">
        <v>-2.2930523380637169E-2</v>
      </c>
      <c r="EG4" s="1"/>
    </row>
    <row r="5" spans="1:137" x14ac:dyDescent="0.3">
      <c r="B5" s="1" t="s">
        <v>139</v>
      </c>
      <c r="C5" s="7">
        <v>-7.343050092458725E-3</v>
      </c>
      <c r="D5" s="7">
        <v>1.6763182356953621E-2</v>
      </c>
      <c r="E5" s="7">
        <v>2.0497759804129601E-2</v>
      </c>
      <c r="F5" s="7">
        <v>2.461670525372028E-2</v>
      </c>
      <c r="G5" s="7">
        <v>2.9157292097806931E-2</v>
      </c>
      <c r="H5" s="7">
        <v>2.9083795845508579E-2</v>
      </c>
      <c r="I5" s="7">
        <v>2.9971791431307789E-2</v>
      </c>
      <c r="J5" s="7">
        <v>3.2223135232925422E-2</v>
      </c>
      <c r="K5" s="7">
        <v>3.7759751081466668E-2</v>
      </c>
      <c r="L5" s="7">
        <v>4.0105007588863373E-2</v>
      </c>
      <c r="M5" s="7">
        <v>4.3352469801902771E-2</v>
      </c>
      <c r="N5" s="7">
        <v>4.3786589056253433E-2</v>
      </c>
      <c r="O5" s="7">
        <v>4.7434929758310318E-2</v>
      </c>
      <c r="P5" s="7">
        <v>2.72324662655592E-2</v>
      </c>
      <c r="Q5" s="7">
        <v>5.5018827319145203E-2</v>
      </c>
      <c r="R5" s="7">
        <v>5.5731110274791718E-2</v>
      </c>
      <c r="S5" s="7">
        <v>5.257532000541687E-2</v>
      </c>
      <c r="T5" s="7">
        <v>5.488121509552002E-2</v>
      </c>
      <c r="U5" s="7">
        <v>4.9723580479621887E-2</v>
      </c>
      <c r="V5" s="7">
        <v>4.5027103275060647E-2</v>
      </c>
      <c r="W5" s="7">
        <v>4.2282227426767349E-2</v>
      </c>
      <c r="X5" s="7">
        <v>3.4414954483509057E-2</v>
      </c>
      <c r="Y5" s="7">
        <v>-3.3293303102254868E-2</v>
      </c>
      <c r="Z5" s="7">
        <v>-3.075113520026207E-2</v>
      </c>
      <c r="AA5" s="7">
        <v>1.084386929869652E-2</v>
      </c>
      <c r="AB5" s="7">
        <v>-3.5410936921834953E-2</v>
      </c>
      <c r="AC5" s="7">
        <v>-3.8289722055196762E-2</v>
      </c>
      <c r="AD5" s="7">
        <v>-4.1016027331352227E-2</v>
      </c>
      <c r="AE5" s="7">
        <v>-4.0779795497655869E-2</v>
      </c>
      <c r="AF5" s="7">
        <v>-4.09894660115242E-2</v>
      </c>
      <c r="AG5" s="7">
        <v>-4.0635053068399429E-2</v>
      </c>
      <c r="AH5" s="7">
        <v>-3.9753090590238571E-2</v>
      </c>
      <c r="AI5" s="7">
        <v>6.6369399428367615E-4</v>
      </c>
      <c r="AJ5" s="7">
        <v>1.486055552959442E-2</v>
      </c>
      <c r="AK5" s="7">
        <v>4.1335824877023697E-2</v>
      </c>
      <c r="AL5" s="7">
        <v>5.410480871796608E-2</v>
      </c>
      <c r="AM5" s="7">
        <v>5.4198719561100013E-2</v>
      </c>
      <c r="AN5" s="7">
        <v>1.8182262778282169E-2</v>
      </c>
      <c r="AO5" s="7">
        <v>4.4361382722854607E-2</v>
      </c>
      <c r="AP5" s="7">
        <v>5.0771180540323257E-2</v>
      </c>
      <c r="AQ5" s="7">
        <v>5.7908575981855392E-2</v>
      </c>
      <c r="AR5" s="7">
        <v>5.5189713835716248E-2</v>
      </c>
      <c r="AS5" s="7">
        <v>5.7133186608552933E-2</v>
      </c>
      <c r="AT5" s="7">
        <v>6.2072180211544037E-2</v>
      </c>
      <c r="AU5" s="7">
        <v>5.7220872491598129E-2</v>
      </c>
      <c r="AV5" s="7">
        <v>4.7043707221746438E-2</v>
      </c>
      <c r="AW5" s="7">
        <v>4.4183865189552307E-2</v>
      </c>
      <c r="AX5" s="7">
        <v>2.5188583880662922E-2</v>
      </c>
      <c r="AY5" s="7">
        <v>2.4216249585151668E-3</v>
      </c>
      <c r="AZ5" s="7">
        <v>3.2670930027961731E-2</v>
      </c>
      <c r="BA5" s="7">
        <v>5.2844863384962082E-2</v>
      </c>
      <c r="BB5" s="7">
        <v>3.031268902122974E-2</v>
      </c>
      <c r="BC5" s="7">
        <v>1.9591217860579491E-2</v>
      </c>
      <c r="BD5" s="7">
        <v>-8.6559727787971497E-4</v>
      </c>
      <c r="BE5" s="7">
        <v>2.272598072886467E-2</v>
      </c>
      <c r="BF5" s="7">
        <v>5.2427183836698532E-2</v>
      </c>
      <c r="BG5" s="7">
        <v>5.059361457824707E-2</v>
      </c>
      <c r="BH5" s="7">
        <v>6.6552937030792236E-2</v>
      </c>
      <c r="BI5" s="7">
        <v>8.5135355591773987E-2</v>
      </c>
      <c r="BJ5" s="7">
        <v>8.2012884318828583E-2</v>
      </c>
      <c r="BK5" s="7">
        <v>-3.775821253657341E-2</v>
      </c>
      <c r="BL5" s="7">
        <v>-3.9183177053928382E-2</v>
      </c>
      <c r="BM5" s="7">
        <v>-3.8690481334924698E-2</v>
      </c>
      <c r="BN5" s="7">
        <v>1.0886680334806441E-2</v>
      </c>
      <c r="BO5" s="7">
        <v>-1.5017952769994739E-2</v>
      </c>
      <c r="BP5" s="7">
        <v>2.401771396398544E-2</v>
      </c>
      <c r="BQ5" s="7">
        <v>-3.6908473819494247E-2</v>
      </c>
      <c r="BR5" s="7">
        <v>-2.858662977814674E-2</v>
      </c>
      <c r="BS5" s="7">
        <v>1.1689776554703711E-2</v>
      </c>
      <c r="BT5" s="7">
        <v>2.6358533650636669E-3</v>
      </c>
      <c r="BU5" s="7">
        <v>4.9531873315572739E-2</v>
      </c>
      <c r="BV5" s="7">
        <v>-3.5415012389421463E-2</v>
      </c>
      <c r="BW5" s="7">
        <v>-2.2897049784660339E-2</v>
      </c>
      <c r="BX5" s="7">
        <v>4.5871362090110779E-3</v>
      </c>
      <c r="BY5" s="7">
        <v>1.332772895693779E-2</v>
      </c>
      <c r="BZ5" s="7">
        <v>6.7076295614242554E-2</v>
      </c>
      <c r="CA5" s="7">
        <v>6.9593861699104309E-2</v>
      </c>
      <c r="CB5" s="7">
        <v>-6.1369147151708603E-2</v>
      </c>
      <c r="CC5" s="7">
        <v>1.245793327689171E-2</v>
      </c>
      <c r="CD5" s="7">
        <v>2.8949599713087078E-2</v>
      </c>
      <c r="CE5" s="7">
        <v>3.5223342478275299E-2</v>
      </c>
      <c r="CF5" s="7">
        <v>4.6291191130876541E-2</v>
      </c>
      <c r="CG5" s="7">
        <v>7.715393602848053E-2</v>
      </c>
      <c r="CH5" s="7">
        <v>7.1323618292808533E-2</v>
      </c>
      <c r="CI5" s="7">
        <v>8.9874282479286194E-2</v>
      </c>
      <c r="CJ5" s="7">
        <v>-1.3270102441310881E-2</v>
      </c>
      <c r="CK5" s="7">
        <v>1.114590093493462E-3</v>
      </c>
      <c r="CL5" s="7">
        <v>9.6226818859577179E-3</v>
      </c>
      <c r="CM5" s="7">
        <v>-2.5430763140320781E-2</v>
      </c>
      <c r="CN5" s="7">
        <v>-3.4368719905614853E-2</v>
      </c>
      <c r="CO5" s="7">
        <v>4.021121934056282E-2</v>
      </c>
      <c r="CP5" s="7">
        <v>9.2609323561191559E-2</v>
      </c>
      <c r="CQ5" s="7">
        <v>-4.2657427489757538E-2</v>
      </c>
      <c r="CR5" s="7">
        <v>-4.6656183898448937E-2</v>
      </c>
      <c r="CS5" s="7">
        <v>-5.4819997400045388E-2</v>
      </c>
      <c r="CT5" s="7">
        <v>1.566677913069725E-2</v>
      </c>
      <c r="CU5" s="7">
        <v>6.9270655512809753E-2</v>
      </c>
      <c r="CV5" s="7">
        <v>6.6144675016403198E-2</v>
      </c>
      <c r="CW5" s="7">
        <v>-2.5959612801671032E-2</v>
      </c>
      <c r="CX5" s="7">
        <v>7.3974847793579102E-2</v>
      </c>
      <c r="CY5" s="7">
        <v>7.5364649295806885E-2</v>
      </c>
      <c r="CZ5" s="7">
        <v>9.9710717797279358E-2</v>
      </c>
      <c r="DA5" s="7">
        <v>7.6109506189823151E-2</v>
      </c>
      <c r="DB5" s="7">
        <v>5.3099829703569412E-2</v>
      </c>
      <c r="DC5" s="7">
        <v>8.2278981804847717E-2</v>
      </c>
      <c r="DD5" s="7">
        <v>8.7736129760742188E-2</v>
      </c>
      <c r="DE5" s="7">
        <v>8.94327312707901E-2</v>
      </c>
      <c r="DF5" s="7">
        <v>8.9542537927627563E-2</v>
      </c>
      <c r="DG5" s="7">
        <v>1.086308062076569E-2</v>
      </c>
      <c r="DH5" s="7">
        <v>8.9483082294464111E-2</v>
      </c>
      <c r="DI5" s="7">
        <v>8.5889443755149841E-2</v>
      </c>
      <c r="DJ5" s="7">
        <v>7.5929015874862671E-2</v>
      </c>
      <c r="DK5" s="7">
        <v>7.9263374209403992E-2</v>
      </c>
      <c r="DL5" s="7">
        <v>6.4476601779460907E-2</v>
      </c>
      <c r="DM5" s="7">
        <v>6.995362788438797E-2</v>
      </c>
      <c r="DN5" s="7">
        <v>5.6044459342956543E-2</v>
      </c>
      <c r="DO5" s="7">
        <v>-1.648229360580444E-2</v>
      </c>
      <c r="DP5" s="7">
        <v>-3.432980552315712E-2</v>
      </c>
      <c r="DQ5" s="7">
        <v>-2.956487983465195E-2</v>
      </c>
      <c r="DR5" s="7">
        <v>-5.1183402538299561E-3</v>
      </c>
      <c r="DS5" s="7">
        <v>2.3898258805274959E-3</v>
      </c>
      <c r="DT5" s="7">
        <v>-2.5626864284276959E-2</v>
      </c>
      <c r="DU5" s="7">
        <v>-3.0835196375846859E-2</v>
      </c>
      <c r="DV5" s="7">
        <v>-3.123639710247517E-2</v>
      </c>
      <c r="DW5" s="7">
        <v>-6.7960456013679504E-2</v>
      </c>
      <c r="DX5" s="7">
        <v>-3.58620285987854E-2</v>
      </c>
      <c r="DY5" s="7">
        <v>-4.3715000152587891E-2</v>
      </c>
      <c r="DZ5" s="7">
        <v>4.6174705028533942E-2</v>
      </c>
      <c r="EA5" s="7">
        <v>-1.536323875188828E-2</v>
      </c>
      <c r="EB5" s="7">
        <v>-2.268550731241703E-2</v>
      </c>
      <c r="EC5" s="7">
        <v>-3.8448672741651542E-2</v>
      </c>
      <c r="ED5" s="7">
        <v>2.138193696737289E-3</v>
      </c>
      <c r="EE5" s="7">
        <v>2.5024030357599258E-2</v>
      </c>
      <c r="EF5" s="7">
        <v>2.1722722798585892E-2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1</v>
      </c>
      <c r="E6" s="7">
        <f t="array" ref="E6">MATCH(MAX(ABS(E3:E5)), ABS(E3:E5), 0)</f>
        <v>1</v>
      </c>
      <c r="F6" s="7">
        <f t="array" ref="F6">MATCH(MAX(ABS(F3:F5)), ABS(F3:F5), 0)</f>
        <v>1</v>
      </c>
      <c r="G6" s="7">
        <f t="array" ref="G6">MATCH(MAX(ABS(G3:G5)), ABS(G3:G5), 0)</f>
        <v>1</v>
      </c>
      <c r="H6" s="7">
        <f t="array" ref="H6">MATCH(MAX(ABS(H3:H5)), ABS(H3:H5), 0)</f>
        <v>1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1</v>
      </c>
      <c r="L6" s="7">
        <f t="array" ref="L6">MATCH(MAX(ABS(L3:L5)), ABS(L3:L5), 0)</f>
        <v>1</v>
      </c>
      <c r="M6" s="7">
        <f t="array" ref="M6">MATCH(MAX(ABS(M3:M5)), ABS(M3:M5), 0)</f>
        <v>1</v>
      </c>
      <c r="N6" s="7">
        <f t="array" ref="N6">MATCH(MAX(ABS(N3:N5)), ABS(N3:N5), 0)</f>
        <v>1</v>
      </c>
      <c r="O6" s="7">
        <f t="array" ref="O6">MATCH(MAX(ABS(O3:O5)), ABS(O3:O5), 0)</f>
        <v>1</v>
      </c>
      <c r="P6" s="7">
        <f t="array" ref="P6">MATCH(MAX(ABS(P3:P5)), ABS(P3:P5), 0)</f>
        <v>1</v>
      </c>
      <c r="Q6" s="7">
        <f t="array" ref="Q6">MATCH(MAX(ABS(Q3:Q5)), ABS(Q3:Q5), 0)</f>
        <v>3</v>
      </c>
      <c r="R6" s="7">
        <f t="array" ref="R6">MATCH(MAX(ABS(R3:R5)), ABS(R3:R5), 0)</f>
        <v>3</v>
      </c>
      <c r="S6" s="7">
        <f t="array" ref="S6">MATCH(MAX(ABS(S3:S5)), ABS(S3:S5), 0)</f>
        <v>1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1</v>
      </c>
      <c r="W6" s="7">
        <f t="array" ref="W6">MATCH(MAX(ABS(W3:W5)), ABS(W3:W5), 0)</f>
        <v>1</v>
      </c>
      <c r="X6" s="7">
        <f t="array" ref="X6">MATCH(MAX(ABS(X3:X5)), ABS(X3:X5), 0)</f>
        <v>1</v>
      </c>
      <c r="Y6" s="7">
        <f t="array" ref="Y6">MATCH(MAX(ABS(Y3:Y5)), ABS(Y3:Y5), 0)</f>
        <v>1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1</v>
      </c>
      <c r="AD6" s="7">
        <f t="array" ref="AD6">MATCH(MAX(ABS(AD3:AD5)), ABS(AD3:AD5), 0)</f>
        <v>1</v>
      </c>
      <c r="AE6" s="7">
        <f t="array" ref="AE6">MATCH(MAX(ABS(AE3:AE5)), ABS(AE3:AE5), 0)</f>
        <v>1</v>
      </c>
      <c r="AF6" s="7">
        <f t="array" ref="AF6">MATCH(MAX(ABS(AF3:AF5)), ABS(AF3:AF5), 0)</f>
        <v>1</v>
      </c>
      <c r="AG6" s="7">
        <f t="array" ref="AG6">MATCH(MAX(ABS(AG3:AG5)), ABS(AG3:AG5), 0)</f>
        <v>1</v>
      </c>
      <c r="AH6" s="7">
        <f t="array" ref="AH6">MATCH(MAX(ABS(AH3:AH5)), ABS(AH3:AH5), 0)</f>
        <v>3</v>
      </c>
      <c r="AI6" s="7">
        <f t="array" ref="AI6">MATCH(MAX(ABS(AI3:AI5)), ABS(AI3:AI5), 0)</f>
        <v>2</v>
      </c>
      <c r="AJ6" s="7">
        <f t="array" ref="AJ6">MATCH(MAX(ABS(AJ3:AJ5)), ABS(AJ3:AJ5), 0)</f>
        <v>2</v>
      </c>
      <c r="AK6" s="7">
        <f t="array" ref="AK6">MATCH(MAX(ABS(AK3:AK5)), ABS(AK3:AK5), 0)</f>
        <v>2</v>
      </c>
      <c r="AL6" s="7">
        <f t="array" ref="AL6">MATCH(MAX(ABS(AL3:AL5)), ABS(AL3:AL5), 0)</f>
        <v>3</v>
      </c>
      <c r="AM6" s="7">
        <f t="array" ref="AM6">MATCH(MAX(ABS(AM3:AM5)), ABS(AM3:AM5), 0)</f>
        <v>3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3</v>
      </c>
      <c r="AQ6" s="7">
        <f t="array" ref="AQ6">MATCH(MAX(ABS(AQ3:AQ5)), ABS(AQ3:AQ5), 0)</f>
        <v>3</v>
      </c>
      <c r="AR6" s="7">
        <f t="array" ref="AR6">MATCH(MAX(ABS(AR3:AR5)), ABS(AR3:AR5), 0)</f>
        <v>3</v>
      </c>
      <c r="AS6" s="7">
        <f t="array" ref="AS6">MATCH(MAX(ABS(AS3:AS5)), ABS(AS3:AS5), 0)</f>
        <v>3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3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3</v>
      </c>
      <c r="BB6" s="7">
        <f t="array" ref="BB6">MATCH(MAX(ABS(BB3:BB5)), ABS(BB3:BB5), 0)</f>
        <v>1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3</v>
      </c>
      <c r="BH6" s="7">
        <f t="array" ref="BH6">MATCH(MAX(ABS(BH3:BH5)), ABS(BH3:BH5), 0)</f>
        <v>3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1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3</v>
      </c>
      <c r="CA6" s="7">
        <f t="array" ref="CA6">MATCH(MAX(ABS(CA3:CA5)), ABS(CA3:CA5), 0)</f>
        <v>3</v>
      </c>
      <c r="CB6" s="7">
        <f t="array" ref="CB6">MATCH(MAX(ABS(CB3:CB5)), ABS(CB3:CB5), 0)</f>
        <v>3</v>
      </c>
      <c r="CC6" s="7">
        <f t="array" ref="CC6">MATCH(MAX(ABS(CC3:CC5)), ABS(CC3:CC5), 0)</f>
        <v>1</v>
      </c>
      <c r="CD6" s="7">
        <f t="array" ref="CD6">MATCH(MAX(ABS(CD3:CD5)), ABS(CD3:CD5), 0)</f>
        <v>1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2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3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3</v>
      </c>
      <c r="CT6" s="7">
        <f t="array" ref="CT6">MATCH(MAX(ABS(CT3:CT5)), ABS(CT3:CT5), 0)</f>
        <v>2</v>
      </c>
      <c r="CU6" s="7">
        <f t="array" ref="CU6">MATCH(MAX(ABS(CU3:CU5)), ABS(CU3:CU5), 0)</f>
        <v>3</v>
      </c>
      <c r="CV6" s="7">
        <f t="array" ref="CV6">MATCH(MAX(ABS(CV3:CV5)), ABS(CV3:CV5), 0)</f>
        <v>3</v>
      </c>
      <c r="CW6" s="7">
        <f t="array" ref="CW6">MATCH(MAX(ABS(CW3:CW5)), ABS(CW3:CW5), 0)</f>
        <v>2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3</v>
      </c>
      <c r="DB6" s="7">
        <f t="array" ref="DB6">MATCH(MAX(ABS(DB3:DB5)), ABS(DB3:DB5), 0)</f>
        <v>3</v>
      </c>
      <c r="DC6" s="7">
        <f t="array" ref="DC6">MATCH(MAX(ABS(DC3:DC5)), ABS(DC3:DC5), 0)</f>
        <v>3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2</v>
      </c>
      <c r="DH6" s="7">
        <f t="array" ref="DH6">MATCH(MAX(ABS(DH3:DH5)), ABS(DH3:DH5), 0)</f>
        <v>3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2</v>
      </c>
      <c r="DP6" s="7">
        <f t="array" ref="DP6">MATCH(MAX(ABS(DP3:DP5)), ABS(DP3:DP5), 0)</f>
        <v>2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3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2</v>
      </c>
      <c r="EC6" s="7">
        <f t="array" ref="EC6">MATCH(MAX(ABS(EC3:EC5)), ABS(EC3:EC5), 0)</f>
        <v>3</v>
      </c>
      <c r="ED6" s="7">
        <f t="array" ref="ED6">MATCH(MAX(ABS(ED3:ED5)), ABS(ED3:ED5), 0)</f>
        <v>2</v>
      </c>
      <c r="EE6" s="7">
        <f t="array" ref="EE6">MATCH(MAX(ABS(EE3:EE5)), ABS(EE3:EE5), 0)</f>
        <v>2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BN7" si="0">IF(C6=1,"bm",IF(C6=2,"size",IF(C6=3,"mom")))</f>
        <v>size</v>
      </c>
      <c r="D7" s="7" t="str">
        <f t="shared" si="0"/>
        <v>bm</v>
      </c>
      <c r="E7" s="7" t="str">
        <f t="shared" si="0"/>
        <v>bm</v>
      </c>
      <c r="F7" s="7" t="str">
        <f t="shared" si="0"/>
        <v>bm</v>
      </c>
      <c r="G7" s="7" t="str">
        <f t="shared" si="0"/>
        <v>bm</v>
      </c>
      <c r="H7" s="7" t="str">
        <f t="shared" si="0"/>
        <v>bm</v>
      </c>
      <c r="I7" s="7" t="str">
        <f t="shared" si="0"/>
        <v>bm</v>
      </c>
      <c r="J7" s="7" t="str">
        <f t="shared" si="0"/>
        <v>bm</v>
      </c>
      <c r="K7" s="7" t="str">
        <f t="shared" si="0"/>
        <v>bm</v>
      </c>
      <c r="L7" s="7" t="str">
        <f t="shared" si="0"/>
        <v>bm</v>
      </c>
      <c r="M7" s="7" t="str">
        <f t="shared" si="0"/>
        <v>bm</v>
      </c>
      <c r="N7" s="7" t="str">
        <f t="shared" si="0"/>
        <v>bm</v>
      </c>
      <c r="O7" s="7" t="str">
        <f t="shared" si="0"/>
        <v>bm</v>
      </c>
      <c r="P7" s="7" t="str">
        <f t="shared" si="0"/>
        <v>bm</v>
      </c>
      <c r="Q7" s="7" t="str">
        <f t="shared" si="0"/>
        <v>mom</v>
      </c>
      <c r="R7" s="7" t="str">
        <f t="shared" si="0"/>
        <v>mom</v>
      </c>
      <c r="S7" s="7" t="str">
        <f t="shared" si="0"/>
        <v>bm</v>
      </c>
      <c r="T7" s="7" t="str">
        <f t="shared" si="0"/>
        <v>bm</v>
      </c>
      <c r="U7" s="7" t="str">
        <f t="shared" si="0"/>
        <v>bm</v>
      </c>
      <c r="V7" s="7" t="str">
        <f t="shared" si="0"/>
        <v>bm</v>
      </c>
      <c r="W7" s="7" t="str">
        <f t="shared" si="0"/>
        <v>bm</v>
      </c>
      <c r="X7" s="7" t="str">
        <f t="shared" si="0"/>
        <v>bm</v>
      </c>
      <c r="Y7" s="7" t="str">
        <f t="shared" si="0"/>
        <v>bm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bm</v>
      </c>
      <c r="AD7" s="7" t="str">
        <f t="shared" si="0"/>
        <v>bm</v>
      </c>
      <c r="AE7" s="7" t="str">
        <f t="shared" si="0"/>
        <v>bm</v>
      </c>
      <c r="AF7" s="7" t="str">
        <f t="shared" si="0"/>
        <v>bm</v>
      </c>
      <c r="AG7" s="7" t="str">
        <f t="shared" si="0"/>
        <v>bm</v>
      </c>
      <c r="AH7" s="7" t="str">
        <f t="shared" si="0"/>
        <v>mom</v>
      </c>
      <c r="AI7" s="7" t="str">
        <f t="shared" si="0"/>
        <v>size</v>
      </c>
      <c r="AJ7" s="7" t="str">
        <f t="shared" si="0"/>
        <v>size</v>
      </c>
      <c r="AK7" s="7" t="str">
        <f t="shared" si="0"/>
        <v>size</v>
      </c>
      <c r="AL7" s="7" t="str">
        <f t="shared" si="0"/>
        <v>mom</v>
      </c>
      <c r="AM7" s="7" t="str">
        <f t="shared" si="0"/>
        <v>mom</v>
      </c>
      <c r="AN7" s="7" t="str">
        <f t="shared" si="0"/>
        <v>bm</v>
      </c>
      <c r="AO7" s="7" t="str">
        <f t="shared" si="0"/>
        <v>bm</v>
      </c>
      <c r="AP7" s="7" t="str">
        <f t="shared" si="0"/>
        <v>mom</v>
      </c>
      <c r="AQ7" s="7" t="str">
        <f t="shared" si="0"/>
        <v>mom</v>
      </c>
      <c r="AR7" s="7" t="str">
        <f t="shared" si="0"/>
        <v>mom</v>
      </c>
      <c r="AS7" s="7" t="str">
        <f t="shared" si="0"/>
        <v>mom</v>
      </c>
      <c r="AT7" s="7" t="str">
        <f t="shared" si="0"/>
        <v>mom</v>
      </c>
      <c r="AU7" s="7" t="str">
        <f t="shared" si="0"/>
        <v>mom</v>
      </c>
      <c r="AV7" s="7" t="str">
        <f t="shared" si="0"/>
        <v>mom</v>
      </c>
      <c r="AW7" s="7" t="str">
        <f t="shared" si="0"/>
        <v>bm</v>
      </c>
      <c r="AX7" s="7" t="str">
        <f t="shared" si="0"/>
        <v>bm</v>
      </c>
      <c r="AY7" s="7" t="str">
        <f t="shared" si="0"/>
        <v>bm</v>
      </c>
      <c r="AZ7" s="7" t="str">
        <f t="shared" si="0"/>
        <v>bm</v>
      </c>
      <c r="BA7" s="7" t="str">
        <f t="shared" si="0"/>
        <v>mom</v>
      </c>
      <c r="BB7" s="7" t="str">
        <f t="shared" si="0"/>
        <v>bm</v>
      </c>
      <c r="BC7" s="7" t="str">
        <f t="shared" si="0"/>
        <v>bm</v>
      </c>
      <c r="BD7" s="7" t="str">
        <f t="shared" si="0"/>
        <v>bm</v>
      </c>
      <c r="BE7" s="7" t="str">
        <f t="shared" si="0"/>
        <v>bm</v>
      </c>
      <c r="BF7" s="7" t="str">
        <f t="shared" si="0"/>
        <v>mom</v>
      </c>
      <c r="BG7" s="7" t="str">
        <f t="shared" si="0"/>
        <v>mom</v>
      </c>
      <c r="BH7" s="7" t="str">
        <f t="shared" si="0"/>
        <v>mom</v>
      </c>
      <c r="BI7" s="7" t="str">
        <f t="shared" si="0"/>
        <v>mom</v>
      </c>
      <c r="BJ7" s="7" t="str">
        <f t="shared" si="0"/>
        <v>mom</v>
      </c>
      <c r="BK7" s="7" t="str">
        <f t="shared" si="0"/>
        <v>bm</v>
      </c>
      <c r="BL7" s="7" t="str">
        <f t="shared" si="0"/>
        <v>bm</v>
      </c>
      <c r="BM7" s="7" t="str">
        <f t="shared" si="0"/>
        <v>bm</v>
      </c>
      <c r="BN7" s="7" t="str">
        <f t="shared" si="0"/>
        <v>bm</v>
      </c>
      <c r="BO7" s="7" t="str">
        <f t="shared" ref="BO7:DZ7" si="1">IF(BO6=1,"bm",IF(BO6=2,"size",IF(BO6=3,"mom")))</f>
        <v>bm</v>
      </c>
      <c r="BP7" s="7" t="str">
        <f t="shared" si="1"/>
        <v>bm</v>
      </c>
      <c r="BQ7" s="7" t="str">
        <f t="shared" si="1"/>
        <v>bm</v>
      </c>
      <c r="BR7" s="7" t="str">
        <f t="shared" si="1"/>
        <v>bm</v>
      </c>
      <c r="BS7" s="7" t="str">
        <f t="shared" si="1"/>
        <v>bm</v>
      </c>
      <c r="BT7" s="7" t="str">
        <f t="shared" si="1"/>
        <v>bm</v>
      </c>
      <c r="BU7" s="7" t="str">
        <f t="shared" si="1"/>
        <v>bm</v>
      </c>
      <c r="BV7" s="7" t="str">
        <f t="shared" si="1"/>
        <v>bm</v>
      </c>
      <c r="BW7" s="7" t="str">
        <f t="shared" si="1"/>
        <v>bm</v>
      </c>
      <c r="BX7" s="7" t="str">
        <f t="shared" si="1"/>
        <v>bm</v>
      </c>
      <c r="BY7" s="7" t="str">
        <f t="shared" si="1"/>
        <v>bm</v>
      </c>
      <c r="BZ7" s="7" t="str">
        <f t="shared" si="1"/>
        <v>mom</v>
      </c>
      <c r="CA7" s="7" t="str">
        <f t="shared" si="1"/>
        <v>mom</v>
      </c>
      <c r="CB7" s="7" t="str">
        <f t="shared" si="1"/>
        <v>mom</v>
      </c>
      <c r="CC7" s="7" t="str">
        <f t="shared" si="1"/>
        <v>bm</v>
      </c>
      <c r="CD7" s="7" t="str">
        <f t="shared" si="1"/>
        <v>bm</v>
      </c>
      <c r="CE7" s="7" t="str">
        <f t="shared" si="1"/>
        <v>bm</v>
      </c>
      <c r="CF7" s="7" t="str">
        <f t="shared" si="1"/>
        <v>mom</v>
      </c>
      <c r="CG7" s="7" t="str">
        <f t="shared" si="1"/>
        <v>mom</v>
      </c>
      <c r="CH7" s="7" t="str">
        <f t="shared" si="1"/>
        <v>mom</v>
      </c>
      <c r="CI7" s="7" t="str">
        <f t="shared" si="1"/>
        <v>mom</v>
      </c>
      <c r="CJ7" s="7" t="str">
        <f t="shared" si="1"/>
        <v>bm</v>
      </c>
      <c r="CK7" s="7" t="str">
        <f t="shared" si="1"/>
        <v>bm</v>
      </c>
      <c r="CL7" s="7" t="str">
        <f t="shared" si="1"/>
        <v>bm</v>
      </c>
      <c r="CM7" s="7" t="str">
        <f t="shared" si="1"/>
        <v>size</v>
      </c>
      <c r="CN7" s="7" t="str">
        <f t="shared" si="1"/>
        <v>bm</v>
      </c>
      <c r="CO7" s="7" t="str">
        <f t="shared" si="1"/>
        <v>mom</v>
      </c>
      <c r="CP7" s="7" t="str">
        <f t="shared" si="1"/>
        <v>mom</v>
      </c>
      <c r="CQ7" s="7" t="str">
        <f t="shared" si="1"/>
        <v>mom</v>
      </c>
      <c r="CR7" s="7" t="str">
        <f t="shared" si="1"/>
        <v>mom</v>
      </c>
      <c r="CS7" s="7" t="str">
        <f t="shared" si="1"/>
        <v>mom</v>
      </c>
      <c r="CT7" s="7" t="str">
        <f t="shared" si="1"/>
        <v>size</v>
      </c>
      <c r="CU7" s="7" t="str">
        <f t="shared" si="1"/>
        <v>mom</v>
      </c>
      <c r="CV7" s="7" t="str">
        <f t="shared" si="1"/>
        <v>mom</v>
      </c>
      <c r="CW7" s="7" t="str">
        <f t="shared" si="1"/>
        <v>size</v>
      </c>
      <c r="CX7" s="7" t="str">
        <f t="shared" si="1"/>
        <v>mom</v>
      </c>
      <c r="CY7" s="7" t="str">
        <f t="shared" si="1"/>
        <v>mom</v>
      </c>
      <c r="CZ7" s="7" t="str">
        <f t="shared" si="1"/>
        <v>mom</v>
      </c>
      <c r="DA7" s="7" t="str">
        <f t="shared" si="1"/>
        <v>mom</v>
      </c>
      <c r="DB7" s="7" t="str">
        <f t="shared" si="1"/>
        <v>mom</v>
      </c>
      <c r="DC7" s="7" t="str">
        <f t="shared" si="1"/>
        <v>mom</v>
      </c>
      <c r="DD7" s="7" t="str">
        <f t="shared" si="1"/>
        <v>mom</v>
      </c>
      <c r="DE7" s="7" t="str">
        <f t="shared" si="1"/>
        <v>mom</v>
      </c>
      <c r="DF7" s="7" t="str">
        <f t="shared" si="1"/>
        <v>mom</v>
      </c>
      <c r="DG7" s="7" t="str">
        <f t="shared" si="1"/>
        <v>size</v>
      </c>
      <c r="DH7" s="7" t="str">
        <f t="shared" si="1"/>
        <v>mom</v>
      </c>
      <c r="DI7" s="7" t="str">
        <f t="shared" si="1"/>
        <v>mom</v>
      </c>
      <c r="DJ7" s="7" t="str">
        <f t="shared" si="1"/>
        <v>mom</v>
      </c>
      <c r="DK7" s="7" t="str">
        <f t="shared" si="1"/>
        <v>mom</v>
      </c>
      <c r="DL7" s="7" t="str">
        <f t="shared" si="1"/>
        <v>mom</v>
      </c>
      <c r="DM7" s="7" t="str">
        <f t="shared" si="1"/>
        <v>mom</v>
      </c>
      <c r="DN7" s="7" t="str">
        <f t="shared" si="1"/>
        <v>mom</v>
      </c>
      <c r="DO7" s="7" t="str">
        <f t="shared" si="1"/>
        <v>size</v>
      </c>
      <c r="DP7" s="7" t="str">
        <f t="shared" si="1"/>
        <v>size</v>
      </c>
      <c r="DQ7" s="7" t="str">
        <f t="shared" si="1"/>
        <v>size</v>
      </c>
      <c r="DR7" s="7" t="str">
        <f t="shared" si="1"/>
        <v>bm</v>
      </c>
      <c r="DS7" s="7" t="str">
        <f t="shared" si="1"/>
        <v>bm</v>
      </c>
      <c r="DT7" s="7" t="str">
        <f t="shared" si="1"/>
        <v>mom</v>
      </c>
      <c r="DU7" s="7" t="str">
        <f t="shared" si="1"/>
        <v>mom</v>
      </c>
      <c r="DV7" s="7" t="str">
        <f t="shared" si="1"/>
        <v>mom</v>
      </c>
      <c r="DW7" s="7" t="str">
        <f t="shared" si="1"/>
        <v>mom</v>
      </c>
      <c r="DX7" s="7" t="str">
        <f t="shared" si="1"/>
        <v>mom</v>
      </c>
      <c r="DY7" s="7" t="str">
        <f t="shared" si="1"/>
        <v>mom</v>
      </c>
      <c r="DZ7" s="7" t="str">
        <f t="shared" si="1"/>
        <v>mom</v>
      </c>
      <c r="EA7" s="7" t="str">
        <f t="shared" ref="EA7:EG7" si="2">IF(EA6=1,"bm",IF(EA6=2,"size",IF(EA6=3,"mom")))</f>
        <v>size</v>
      </c>
      <c r="EB7" s="7" t="str">
        <f t="shared" si="2"/>
        <v>size</v>
      </c>
      <c r="EC7" s="7" t="str">
        <f t="shared" si="2"/>
        <v>mom</v>
      </c>
      <c r="ED7" s="7" t="str">
        <f t="shared" si="2"/>
        <v>size</v>
      </c>
      <c r="EE7" s="7" t="str">
        <f t="shared" si="2"/>
        <v>size</v>
      </c>
      <c r="EF7" s="7" t="str">
        <f t="shared" si="2"/>
        <v>bm</v>
      </c>
      <c r="EG7" s="1" t="str">
        <f t="shared" si="2"/>
        <v>bm</v>
      </c>
    </row>
    <row r="8" spans="1:137" x14ac:dyDescent="0.3">
      <c r="C8" s="7">
        <f t="shared" ref="C8:BN8" si="3">IF(C6=1,C3,IF(C6=2,C4,IF(C6=3,C5)))</f>
        <v>-8.5349202156066895E-2</v>
      </c>
      <c r="D8" s="7">
        <f t="shared" si="3"/>
        <v>7.545451819896698E-2</v>
      </c>
      <c r="E8" s="7">
        <f t="shared" si="3"/>
        <v>5.3419496864080429E-2</v>
      </c>
      <c r="F8" s="7">
        <f t="shared" si="3"/>
        <v>4.8055462539196007E-2</v>
      </c>
      <c r="G8" s="7">
        <f t="shared" si="3"/>
        <v>5.6244600564241409E-2</v>
      </c>
      <c r="H8" s="7">
        <f t="shared" si="3"/>
        <v>5.3408809006214142E-2</v>
      </c>
      <c r="I8" s="7">
        <f t="shared" si="3"/>
        <v>5.4677728563547127E-2</v>
      </c>
      <c r="J8" s="7">
        <f t="shared" si="3"/>
        <v>6.1407111585140228E-2</v>
      </c>
      <c r="K8" s="7">
        <f t="shared" si="3"/>
        <v>6.1087191104888923E-2</v>
      </c>
      <c r="L8" s="7">
        <f t="shared" si="3"/>
        <v>6.1945471912622452E-2</v>
      </c>
      <c r="M8" s="7">
        <f t="shared" si="3"/>
        <v>6.4090974628925323E-2</v>
      </c>
      <c r="N8" s="7">
        <f t="shared" si="3"/>
        <v>5.0166409462690353E-2</v>
      </c>
      <c r="O8" s="7">
        <f t="shared" si="3"/>
        <v>5.0939202308654792E-2</v>
      </c>
      <c r="P8" s="7">
        <f t="shared" si="3"/>
        <v>5.3945809602737427E-2</v>
      </c>
      <c r="Q8" s="7">
        <f t="shared" si="3"/>
        <v>5.5018827319145203E-2</v>
      </c>
      <c r="R8" s="7">
        <f t="shared" si="3"/>
        <v>5.5731110274791718E-2</v>
      </c>
      <c r="S8" s="7">
        <f t="shared" si="3"/>
        <v>5.4209418594837189E-2</v>
      </c>
      <c r="T8" s="7">
        <f t="shared" si="3"/>
        <v>5.6115321815013892E-2</v>
      </c>
      <c r="U8" s="7">
        <f t="shared" si="3"/>
        <v>5.4694335907697678E-2</v>
      </c>
      <c r="V8" s="7">
        <f t="shared" si="3"/>
        <v>5.5520310997962952E-2</v>
      </c>
      <c r="W8" s="7">
        <f t="shared" si="3"/>
        <v>5.7895615696907043E-2</v>
      </c>
      <c r="X8" s="7">
        <f t="shared" si="3"/>
        <v>5.6128561496734619E-2</v>
      </c>
      <c r="Y8" s="7">
        <f t="shared" si="3"/>
        <v>5.4498970508575439E-2</v>
      </c>
      <c r="Z8" s="7">
        <f t="shared" si="3"/>
        <v>5.640922486782074E-2</v>
      </c>
      <c r="AA8" s="7">
        <f t="shared" si="3"/>
        <v>5.4687082767486572E-2</v>
      </c>
      <c r="AB8" s="7">
        <f t="shared" si="3"/>
        <v>5.4479975253343582E-2</v>
      </c>
      <c r="AC8" s="7">
        <f t="shared" si="3"/>
        <v>5.7393115013837807E-2</v>
      </c>
      <c r="AD8" s="7">
        <f t="shared" si="3"/>
        <v>5.7433716952800751E-2</v>
      </c>
      <c r="AE8" s="7">
        <f t="shared" si="3"/>
        <v>4.2686142027378082E-2</v>
      </c>
      <c r="AF8" s="7">
        <f t="shared" si="3"/>
        <v>5.614069476723671E-2</v>
      </c>
      <c r="AG8" s="7">
        <f t="shared" si="3"/>
        <v>5.5614285171031952E-2</v>
      </c>
      <c r="AH8" s="7">
        <f t="shared" si="3"/>
        <v>-3.9753090590238571E-2</v>
      </c>
      <c r="AI8" s="7">
        <f t="shared" si="3"/>
        <v>-3.7307038903236389E-2</v>
      </c>
      <c r="AJ8" s="7">
        <f t="shared" si="3"/>
        <v>-3.6262791603803628E-2</v>
      </c>
      <c r="AK8" s="7">
        <f t="shared" si="3"/>
        <v>-5.3278349339962013E-2</v>
      </c>
      <c r="AL8" s="7">
        <f t="shared" si="3"/>
        <v>5.410480871796608E-2</v>
      </c>
      <c r="AM8" s="7">
        <f t="shared" si="3"/>
        <v>5.4198719561100013E-2</v>
      </c>
      <c r="AN8" s="7">
        <f t="shared" si="3"/>
        <v>4.3252840638160713E-2</v>
      </c>
      <c r="AO8" s="7">
        <f t="shared" si="3"/>
        <v>4.4728361070156097E-2</v>
      </c>
      <c r="AP8" s="7">
        <f t="shared" si="3"/>
        <v>5.0771180540323257E-2</v>
      </c>
      <c r="AQ8" s="7">
        <f t="shared" si="3"/>
        <v>5.7908575981855392E-2</v>
      </c>
      <c r="AR8" s="7">
        <f t="shared" si="3"/>
        <v>5.5189713835716248E-2</v>
      </c>
      <c r="AS8" s="7">
        <f t="shared" si="3"/>
        <v>5.7133186608552933E-2</v>
      </c>
      <c r="AT8" s="7">
        <f t="shared" si="3"/>
        <v>6.2072180211544037E-2</v>
      </c>
      <c r="AU8" s="7">
        <f t="shared" si="3"/>
        <v>5.7220872491598129E-2</v>
      </c>
      <c r="AV8" s="7">
        <f t="shared" si="3"/>
        <v>4.7043707221746438E-2</v>
      </c>
      <c r="AW8" s="7">
        <f t="shared" si="3"/>
        <v>4.6142738312482827E-2</v>
      </c>
      <c r="AX8" s="7">
        <f t="shared" si="3"/>
        <v>4.5525301247835159E-2</v>
      </c>
      <c r="AY8" s="7">
        <f t="shared" si="3"/>
        <v>4.7935985028743737E-2</v>
      </c>
      <c r="AZ8" s="7">
        <f t="shared" si="3"/>
        <v>4.1659116744995117E-2</v>
      </c>
      <c r="BA8" s="7">
        <f t="shared" si="3"/>
        <v>5.2844863384962082E-2</v>
      </c>
      <c r="BB8" s="7">
        <f t="shared" si="3"/>
        <v>3.8947168737649918E-2</v>
      </c>
      <c r="BC8" s="7">
        <f t="shared" si="3"/>
        <v>4.2427822947502143E-2</v>
      </c>
      <c r="BD8" s="7">
        <f t="shared" si="3"/>
        <v>4.4051360338926322E-2</v>
      </c>
      <c r="BE8" s="7">
        <f t="shared" si="3"/>
        <v>4.56375852227211E-2</v>
      </c>
      <c r="BF8" s="7">
        <f t="shared" si="3"/>
        <v>5.2427183836698532E-2</v>
      </c>
      <c r="BG8" s="7">
        <f t="shared" si="3"/>
        <v>5.059361457824707E-2</v>
      </c>
      <c r="BH8" s="7">
        <f t="shared" si="3"/>
        <v>6.6552937030792236E-2</v>
      </c>
      <c r="BI8" s="7">
        <f t="shared" si="3"/>
        <v>8.5135355591773987E-2</v>
      </c>
      <c r="BJ8" s="7">
        <f t="shared" si="3"/>
        <v>8.2012884318828583E-2</v>
      </c>
      <c r="BK8" s="7">
        <f t="shared" si="3"/>
        <v>5.2372250705957413E-2</v>
      </c>
      <c r="BL8" s="7">
        <f t="shared" si="3"/>
        <v>5.0854671746492393E-2</v>
      </c>
      <c r="BM8" s="7">
        <f t="shared" si="3"/>
        <v>5.2194196730852127E-2</v>
      </c>
      <c r="BN8" s="7">
        <f t="shared" si="3"/>
        <v>5.6162696331739433E-2</v>
      </c>
      <c r="BO8" s="7">
        <f t="shared" ref="BO8:DZ8" si="4">IF(BO6=1,BO3,IF(BO6=2,BO4,IF(BO6=3,BO5)))</f>
        <v>5.4506797343492508E-2</v>
      </c>
      <c r="BP8" s="7">
        <f t="shared" si="4"/>
        <v>4.0165632963180542E-2</v>
      </c>
      <c r="BQ8" s="7">
        <f t="shared" si="4"/>
        <v>5.2233844995498657E-2</v>
      </c>
      <c r="BR8" s="7">
        <f t="shared" si="4"/>
        <v>3.6525636911392212E-2</v>
      </c>
      <c r="BS8" s="7">
        <f t="shared" si="4"/>
        <v>5.2801784127950668E-2</v>
      </c>
      <c r="BT8" s="7">
        <f t="shared" si="4"/>
        <v>4.8056013882160187E-2</v>
      </c>
      <c r="BU8" s="7">
        <f t="shared" si="4"/>
        <v>-9.9144220352172852E-2</v>
      </c>
      <c r="BV8" s="7">
        <f t="shared" si="4"/>
        <v>5.2249498665332787E-2</v>
      </c>
      <c r="BW8" s="7">
        <f t="shared" si="4"/>
        <v>3.9474610239267349E-2</v>
      </c>
      <c r="BX8" s="7">
        <f t="shared" si="4"/>
        <v>4.7410383820533752E-2</v>
      </c>
      <c r="BY8" s="7">
        <f t="shared" si="4"/>
        <v>4.704391211271286E-2</v>
      </c>
      <c r="BZ8" s="7">
        <f t="shared" si="4"/>
        <v>6.7076295614242554E-2</v>
      </c>
      <c r="CA8" s="7">
        <f t="shared" si="4"/>
        <v>6.9593861699104309E-2</v>
      </c>
      <c r="CB8" s="7">
        <f t="shared" si="4"/>
        <v>-6.1369147151708603E-2</v>
      </c>
      <c r="CC8" s="7">
        <f t="shared" si="4"/>
        <v>3.745705634355545E-2</v>
      </c>
      <c r="CD8" s="7">
        <f t="shared" si="4"/>
        <v>3.9794288575649261E-2</v>
      </c>
      <c r="CE8" s="7">
        <f t="shared" si="4"/>
        <v>3.74956876039505E-2</v>
      </c>
      <c r="CF8" s="7">
        <f t="shared" si="4"/>
        <v>4.6291191130876541E-2</v>
      </c>
      <c r="CG8" s="7">
        <f t="shared" si="4"/>
        <v>7.715393602848053E-2</v>
      </c>
      <c r="CH8" s="7">
        <f t="shared" si="4"/>
        <v>7.1323618292808533E-2</v>
      </c>
      <c r="CI8" s="7">
        <f t="shared" si="4"/>
        <v>8.9874282479286194E-2</v>
      </c>
      <c r="CJ8" s="7">
        <f t="shared" si="4"/>
        <v>3.8737695664167397E-2</v>
      </c>
      <c r="CK8" s="7">
        <f t="shared" si="4"/>
        <v>3.9908383041620248E-2</v>
      </c>
      <c r="CL8" s="7">
        <f t="shared" si="4"/>
        <v>3.7117619067430503E-2</v>
      </c>
      <c r="CM8" s="7">
        <f t="shared" si="4"/>
        <v>-3.1131431460380551E-2</v>
      </c>
      <c r="CN8" s="7">
        <f t="shared" si="4"/>
        <v>4.0649183094501502E-2</v>
      </c>
      <c r="CO8" s="7">
        <f t="shared" si="4"/>
        <v>4.021121934056282E-2</v>
      </c>
      <c r="CP8" s="7">
        <f t="shared" si="4"/>
        <v>9.2609323561191559E-2</v>
      </c>
      <c r="CQ8" s="7">
        <f t="shared" si="4"/>
        <v>-4.2657427489757538E-2</v>
      </c>
      <c r="CR8" s="7">
        <f t="shared" si="4"/>
        <v>-4.6656183898448937E-2</v>
      </c>
      <c r="CS8" s="7">
        <f t="shared" si="4"/>
        <v>-5.4819997400045388E-2</v>
      </c>
      <c r="CT8" s="7">
        <f t="shared" si="4"/>
        <v>-2.199074067175388E-2</v>
      </c>
      <c r="CU8" s="7">
        <f t="shared" si="4"/>
        <v>6.9270655512809753E-2</v>
      </c>
      <c r="CV8" s="7">
        <f t="shared" si="4"/>
        <v>6.6144675016403198E-2</v>
      </c>
      <c r="CW8" s="7">
        <f t="shared" si="4"/>
        <v>-3.3426489681005478E-2</v>
      </c>
      <c r="CX8" s="7">
        <f t="shared" si="4"/>
        <v>7.3974847793579102E-2</v>
      </c>
      <c r="CY8" s="7">
        <f t="shared" si="4"/>
        <v>7.5364649295806885E-2</v>
      </c>
      <c r="CZ8" s="7">
        <f t="shared" si="4"/>
        <v>9.9710717797279358E-2</v>
      </c>
      <c r="DA8" s="7">
        <f t="shared" si="4"/>
        <v>7.6109506189823151E-2</v>
      </c>
      <c r="DB8" s="7">
        <f t="shared" si="4"/>
        <v>5.3099829703569412E-2</v>
      </c>
      <c r="DC8" s="7">
        <f t="shared" si="4"/>
        <v>8.2278981804847717E-2</v>
      </c>
      <c r="DD8" s="7">
        <f t="shared" si="4"/>
        <v>8.7736129760742188E-2</v>
      </c>
      <c r="DE8" s="7">
        <f t="shared" si="4"/>
        <v>8.94327312707901E-2</v>
      </c>
      <c r="DF8" s="7">
        <f t="shared" si="4"/>
        <v>8.9542537927627563E-2</v>
      </c>
      <c r="DG8" s="7">
        <f t="shared" si="4"/>
        <v>-2.7210658416152E-2</v>
      </c>
      <c r="DH8" s="7">
        <f t="shared" si="4"/>
        <v>8.9483082294464111E-2</v>
      </c>
      <c r="DI8" s="7">
        <f t="shared" si="4"/>
        <v>8.5889443755149841E-2</v>
      </c>
      <c r="DJ8" s="7">
        <f t="shared" si="4"/>
        <v>7.5929015874862671E-2</v>
      </c>
      <c r="DK8" s="7">
        <f t="shared" si="4"/>
        <v>7.9263374209403992E-2</v>
      </c>
      <c r="DL8" s="7">
        <f t="shared" si="4"/>
        <v>6.4476601779460907E-2</v>
      </c>
      <c r="DM8" s="7">
        <f t="shared" si="4"/>
        <v>6.995362788438797E-2</v>
      </c>
      <c r="DN8" s="7">
        <f t="shared" si="4"/>
        <v>5.6044459342956543E-2</v>
      </c>
      <c r="DO8" s="7">
        <f t="shared" si="4"/>
        <v>-2.8353909030556679E-2</v>
      </c>
      <c r="DP8" s="7">
        <f t="shared" si="4"/>
        <v>-5.9928406029939651E-2</v>
      </c>
      <c r="DQ8" s="7">
        <f t="shared" si="4"/>
        <v>-4.0838062763214111E-2</v>
      </c>
      <c r="DR8" s="7">
        <f t="shared" si="4"/>
        <v>3.2421927899122238E-2</v>
      </c>
      <c r="DS8" s="7">
        <f t="shared" si="4"/>
        <v>2.6365883648395538E-2</v>
      </c>
      <c r="DT8" s="7">
        <f t="shared" si="4"/>
        <v>-2.5626864284276959E-2</v>
      </c>
      <c r="DU8" s="7">
        <f t="shared" si="4"/>
        <v>-3.0835196375846859E-2</v>
      </c>
      <c r="DV8" s="7">
        <f t="shared" si="4"/>
        <v>-3.123639710247517E-2</v>
      </c>
      <c r="DW8" s="7">
        <f t="shared" si="4"/>
        <v>-6.7960456013679504E-2</v>
      </c>
      <c r="DX8" s="7">
        <f t="shared" si="4"/>
        <v>-3.58620285987854E-2</v>
      </c>
      <c r="DY8" s="7">
        <f t="shared" si="4"/>
        <v>-4.3715000152587891E-2</v>
      </c>
      <c r="DZ8" s="7">
        <f t="shared" si="4"/>
        <v>4.6174705028533942E-2</v>
      </c>
      <c r="EA8" s="7">
        <f t="shared" ref="EA8:EG8" si="5">IF(EA6=1,EA3,IF(EA6=2,EA4,IF(EA6=3,EA5)))</f>
        <v>-2.8270183131098751E-2</v>
      </c>
      <c r="EB8" s="7">
        <f t="shared" si="5"/>
        <v>-2.8071155771613121E-2</v>
      </c>
      <c r="EC8" s="7">
        <f t="shared" si="5"/>
        <v>-3.8448672741651542E-2</v>
      </c>
      <c r="ED8" s="7">
        <f t="shared" si="5"/>
        <v>-2.9004596173763279E-2</v>
      </c>
      <c r="EE8" s="7">
        <f t="shared" si="5"/>
        <v>-2.8373779729008671E-2</v>
      </c>
      <c r="EF8" s="7">
        <f t="shared" si="5"/>
        <v>2.6417184621095661E-2</v>
      </c>
      <c r="EG8" s="1">
        <f t="shared" si="5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169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96</v>
      </c>
      <c r="B12" s="1" t="s">
        <v>170</v>
      </c>
      <c r="C12" s="7" cm="1">
        <f t="array" ref="C12">PRODUCT(1 + 預測IC!$C12:C12) - 1</f>
        <v>8.4653346747999514E-2</v>
      </c>
      <c r="D12" s="7" cm="1">
        <f t="array" ref="D12">PRODUCT(1 + 預測IC!$C12:D12) - 1</f>
        <v>0.10723777667494394</v>
      </c>
      <c r="E12" s="7" cm="1">
        <f t="array" ref="E12">PRODUCT(1 + 預測IC!$C12:E12) - 1</f>
        <v>9.9759461331836219E-2</v>
      </c>
      <c r="F12" s="7" cm="1">
        <f t="array" ref="F12">PRODUCT(1 + 預測IC!$C12:F12) - 1</f>
        <v>7.7908533109830147E-2</v>
      </c>
      <c r="G12" s="7" cm="1">
        <f t="array" ref="G12">PRODUCT(1 + 預測IC!$C12:G12) - 1</f>
        <v>8.642869591592528E-2</v>
      </c>
      <c r="H12" s="7" cm="1">
        <f t="array" ref="H12">PRODUCT(1 + 預測IC!$C12:H12) - 1</f>
        <v>9.6596999010786E-2</v>
      </c>
      <c r="I12" s="7" cm="1">
        <f t="array" ref="I12">PRODUCT(1 + 預測IC!$C12:I12) - 1</f>
        <v>0.13640778721173352</v>
      </c>
      <c r="J12" s="7" cm="1">
        <f t="array" ref="J12">PRODUCT(1 + 預測IC!$C12:J12) - 1</f>
        <v>0.18616492345719093</v>
      </c>
      <c r="K12" s="7" cm="1">
        <f t="array" ref="K12">PRODUCT(1 + 預測IC!$C12:K12) - 1</f>
        <v>0.1731308642421916</v>
      </c>
      <c r="L12" s="7" cm="1">
        <f t="array" ref="L12">PRODUCT(1 + 預測IC!$C12:L12) - 1</f>
        <v>0.17045937452804116</v>
      </c>
      <c r="M12" s="7" cm="1">
        <f t="array" ref="M12">PRODUCT(1 + 預測IC!$C12:M12) - 1</f>
        <v>0.15225661951113811</v>
      </c>
      <c r="N12" s="7" cm="1">
        <f t="array" ref="N12">PRODUCT(1 + 預測IC!$C12:N12) - 1</f>
        <v>0.2122593547852063</v>
      </c>
      <c r="O12" s="7" cm="1">
        <f t="array" ref="O12">PRODUCT(1 + 預測IC!$C12:O12) - 1</f>
        <v>0.23484361157490108</v>
      </c>
      <c r="P12" s="7" cm="1">
        <f t="array" ref="P12">PRODUCT(1 + 預測IC!$C12:P12) - 1</f>
        <v>0.2083927412933273</v>
      </c>
      <c r="Q12" s="7" cm="1">
        <f t="array" ref="Q12">PRODUCT(1 + 預測IC!$C12:Q12) - 1</f>
        <v>0.21457449594918043</v>
      </c>
      <c r="R12" s="7" cm="1">
        <f t="array" ref="R12">PRODUCT(1 + 預測IC!$C12:R12) - 1</f>
        <v>0.23055038780902737</v>
      </c>
      <c r="S12" s="7" cm="1">
        <f t="array" ref="S12">PRODUCT(1 + 預測IC!$C12:S12) - 1</f>
        <v>0.14311498718391591</v>
      </c>
      <c r="T12" s="7" cm="1">
        <f t="array" ref="T12">PRODUCT(1 + 預測IC!$C12:T12) - 1</f>
        <v>9.3682707016210287E-2</v>
      </c>
      <c r="U12" s="7" cm="1">
        <f t="array" ref="U12">PRODUCT(1 + 預測IC!$C12:U12) - 1</f>
        <v>7.1407430107265801E-2</v>
      </c>
      <c r="V12" s="7" cm="1">
        <f t="array" ref="V12">PRODUCT(1 + 預測IC!$C12:V12) - 1</f>
        <v>0.1196528968310997</v>
      </c>
      <c r="W12" s="7" cm="1">
        <f t="array" ref="W12">PRODUCT(1 + 預測IC!$C12:W12) - 1</f>
        <v>0.14459701892340182</v>
      </c>
      <c r="X12" s="7" cm="1">
        <f t="array" ref="X12">PRODUCT(1 + 預測IC!$C12:X12) - 1</f>
        <v>0.20013203619727515</v>
      </c>
      <c r="Y12" s="7" cm="1">
        <f t="array" ref="Y12">PRODUCT(1 + 預測IC!$C12:Y12) - 1</f>
        <v>0.17998376682160511</v>
      </c>
      <c r="Z12" s="7" cm="1">
        <f t="array" ref="Z12">PRODUCT(1 + 預測IC!$C12:Z12) - 1</f>
        <v>0.25505868031938084</v>
      </c>
      <c r="AA12" s="7" cm="1">
        <f t="array" ref="AA12">PRODUCT(1 + 預測IC!$C12:AA12) - 1</f>
        <v>0.20560477304154978</v>
      </c>
      <c r="AB12" s="7" cm="1">
        <f t="array" ref="AB12">PRODUCT(1 + 預測IC!$C12:AB12) - 1</f>
        <v>0.24742613029497784</v>
      </c>
      <c r="AC12" s="7" cm="1">
        <f t="array" ref="AC12">PRODUCT(1 + 預測IC!$C12:AC12) - 1</f>
        <v>0.29122920454711343</v>
      </c>
      <c r="AD12" s="7" cm="1">
        <f t="array" ref="AD12">PRODUCT(1 + 預測IC!$C12:AD12) - 1</f>
        <v>0.29877916374032787</v>
      </c>
      <c r="AE12" s="7" cm="1">
        <f t="array" ref="AE12">PRODUCT(1 + 預測IC!$C12:AE12) - 1</f>
        <v>0.24955851994139167</v>
      </c>
      <c r="AF12" s="7" cm="1">
        <f t="array" ref="AF12">PRODUCT(1 + 預測IC!$C12:AF12) - 1</f>
        <v>0.27508968868386785</v>
      </c>
      <c r="AG12" s="7" cm="1">
        <f t="array" ref="AG12">PRODUCT(1 + 預測IC!$C12:AG12) - 1</f>
        <v>0.31331961253220997</v>
      </c>
      <c r="AH12" s="7" cm="1">
        <f t="array" ref="AH12">PRODUCT(1 + 預測IC!$C12:AH12) - 1</f>
        <v>0.33395584795378741</v>
      </c>
      <c r="AI12" s="7" cm="1">
        <f t="array" ref="AI12">PRODUCT(1 + 預測IC!$C12:AI12) - 1</f>
        <v>0.3649655981196529</v>
      </c>
      <c r="AJ12" s="7" cm="1">
        <f t="array" ref="AJ12">PRODUCT(1 + 預測IC!$C12:AJ12) - 1</f>
        <v>0.39371486211507634</v>
      </c>
      <c r="AK12" s="7" cm="1">
        <f t="array" ref="AK12">PRODUCT(1 + 預測IC!$C12:AK12) - 1</f>
        <v>0.4069600422534585</v>
      </c>
      <c r="AL12" s="7" cm="1">
        <f t="array" ref="AL12">PRODUCT(1 + 預測IC!$C12:AL12) - 1</f>
        <v>0.33970666289074769</v>
      </c>
      <c r="AM12" s="7" cm="1">
        <f t="array" ref="AM12">PRODUCT(1 + 預測IC!$C12:AM12) - 1</f>
        <v>0.36208880986883418</v>
      </c>
      <c r="AN12" s="7" cm="1">
        <f t="array" ref="AN12">PRODUCT(1 + 預測IC!$C12:AN12) - 1</f>
        <v>0.45639062359818228</v>
      </c>
      <c r="AO12" s="7" cm="1">
        <f t="array" ref="AO12">PRODUCT(1 + 預測IC!$C12:AO12) - 1</f>
        <v>0.4596366168831032</v>
      </c>
      <c r="AP12" s="7" cm="1">
        <f t="array" ref="AP12">PRODUCT(1 + 預測IC!$C12:AP12) - 1</f>
        <v>0.46894963783002019</v>
      </c>
      <c r="AQ12" s="7" cm="1">
        <f t="array" ref="AQ12">PRODUCT(1 + 預測IC!$C12:AQ12) - 1</f>
        <v>0.46645693227273566</v>
      </c>
      <c r="AR12" s="7" cm="1">
        <f t="array" ref="AR12">PRODUCT(1 + 預測IC!$C12:AR12) - 1</f>
        <v>0.49904604278831743</v>
      </c>
      <c r="AS12" s="7" cm="1">
        <f t="array" ref="AS12">PRODUCT(1 + 預測IC!$C12:AS12) - 1</f>
        <v>0.52899139564426889</v>
      </c>
      <c r="AT12" s="7" cm="1">
        <f t="array" ref="AT12">PRODUCT(1 + 預測IC!$C12:AT12) - 1</f>
        <v>0.63937751406639021</v>
      </c>
      <c r="AU12" s="7" cm="1">
        <f t="array" ref="AU12">PRODUCT(1 + 預測IC!$C12:AU12) - 1</f>
        <v>0.64546540220386572</v>
      </c>
      <c r="AV12" s="7" cm="1">
        <f t="array" ref="AV12">PRODUCT(1 + 預測IC!$C12:AV12) - 1</f>
        <v>0.73385261400705937</v>
      </c>
      <c r="AW12" s="7" cm="1">
        <f t="array" ref="AW12">PRODUCT(1 + 預測IC!$C12:AW12) - 1</f>
        <v>0.73493016355929197</v>
      </c>
      <c r="AX12" s="7" cm="1">
        <f t="array" ref="AX12">PRODUCT(1 + 預測IC!$C12:AX12) - 1</f>
        <v>0.81057045948220741</v>
      </c>
      <c r="AY12" s="7" cm="1">
        <f t="array" ref="AY12">PRODUCT(1 + 預測IC!$C12:AY12) - 1</f>
        <v>0.85575377591825785</v>
      </c>
      <c r="AZ12" s="7" cm="1">
        <f t="array" ref="AZ12">PRODUCT(1 + 預測IC!$C12:AZ12) - 1</f>
        <v>0.85148549385106875</v>
      </c>
      <c r="BA12" s="7" cm="1">
        <f t="array" ref="BA12">PRODUCT(1 + 預測IC!$C12:BA12) - 1</f>
        <v>0.80254271554401524</v>
      </c>
      <c r="BB12" s="7" cm="1">
        <f t="array" ref="BB12">PRODUCT(1 + 預測IC!$C12:BB12) - 1</f>
        <v>0.83007584397464651</v>
      </c>
      <c r="BC12" s="7" cm="1">
        <f t="array" ref="BC12">PRODUCT(1 + 預測IC!$C12:BC12) - 1</f>
        <v>0.85253597873215892</v>
      </c>
      <c r="BD12" s="7" cm="1">
        <f t="array" ref="BD12">PRODUCT(1 + 預測IC!$C12:BD12) - 1</f>
        <v>0.87778707587672766</v>
      </c>
      <c r="BE12" s="7" cm="1">
        <f t="array" ref="BE12">PRODUCT(1 + 預測IC!$C12:BE12) - 1</f>
        <v>0.9127304584905731</v>
      </c>
      <c r="BF12" s="7" cm="1">
        <f t="array" ref="BF12">PRODUCT(1 + 預測IC!$C12:BF12) - 1</f>
        <v>0.78339746015429501</v>
      </c>
      <c r="BG12" s="7" cm="1">
        <f t="array" ref="BG12">PRODUCT(1 + 預測IC!$C12:BG12) - 1</f>
        <v>0.70000980063989382</v>
      </c>
      <c r="BH12" s="7" cm="1">
        <f t="array" ref="BH12">PRODUCT(1 + 預測IC!$C12:BH12) - 1</f>
        <v>0.64037415548661514</v>
      </c>
      <c r="BI12" s="7" cm="1">
        <f t="array" ref="BI12">PRODUCT(1 + 預測IC!$C12:BI12) - 1</f>
        <v>0.56859783833210953</v>
      </c>
      <c r="BJ12" s="7" cm="1">
        <f t="array" ref="BJ12">PRODUCT(1 + 預測IC!$C12:BJ12) - 1</f>
        <v>0.52991131192730534</v>
      </c>
      <c r="BK12" s="7" cm="1">
        <f t="array" ref="BK12">PRODUCT(1 + 預測IC!$C12:BK12) - 1</f>
        <v>0.49734766223421367</v>
      </c>
      <c r="BL12" s="7" cm="1">
        <f t="array" ref="BL12">PRODUCT(1 + 預測IC!$C12:BL12) - 1</f>
        <v>0.53434599371355707</v>
      </c>
      <c r="BM12" s="7" cm="1">
        <f t="array" ref="BM12">PRODUCT(1 + 預測IC!$C12:BM12) - 1</f>
        <v>0.52641481817937885</v>
      </c>
      <c r="BN12" s="7" cm="1">
        <f t="array" ref="BN12">PRODUCT(1 + 預測IC!$C12:BN12) - 1</f>
        <v>0.54399382863913193</v>
      </c>
      <c r="BO12" s="7" cm="1">
        <f t="array" ref="BO12">PRODUCT(1 + 預測IC!$C12:BO12) - 1</f>
        <v>0.58142998204203145</v>
      </c>
      <c r="BP12" s="7" cm="1">
        <f t="array" ref="BP12">PRODUCT(1 + 預測IC!$C12:BP12) - 1</f>
        <v>0.56481075759940014</v>
      </c>
      <c r="BQ12" s="7" cm="1">
        <f t="array" ref="BQ12">PRODUCT(1 + 預測IC!$C12:BQ12) - 1</f>
        <v>0.58655654089848053</v>
      </c>
      <c r="BR12" s="7" cm="1">
        <f t="array" ref="BR12">PRODUCT(1 + 預測IC!$C12:BR12) - 1</f>
        <v>0.58296932314771377</v>
      </c>
      <c r="BS12" s="7" cm="1">
        <f t="array" ref="BS12">PRODUCT(1 + 預測IC!$C12:BS12) - 1</f>
        <v>0.61282933790874772</v>
      </c>
      <c r="BT12" s="7" cm="1">
        <f t="array" ref="BT12">PRODUCT(1 + 預測IC!$C12:BT12) - 1</f>
        <v>0.64836233694894752</v>
      </c>
      <c r="BU12" s="7" cm="1">
        <f t="array" ref="BU12">PRODUCT(1 + 預測IC!$C12:BU12) - 1</f>
        <v>0.63388721483394095</v>
      </c>
      <c r="BV12" s="7" cm="1">
        <f t="array" ref="BV12">PRODUCT(1 + 預測IC!$C12:BV12) - 1</f>
        <v>0.67156866639907564</v>
      </c>
      <c r="BW12" s="7" cm="1">
        <f t="array" ref="BW12">PRODUCT(1 + 預測IC!$C12:BW12) - 1</f>
        <v>0.62228452244015298</v>
      </c>
      <c r="BX12" s="7" cm="1">
        <f t="array" ref="BX12">PRODUCT(1 + 預測IC!$C12:BX12) - 1</f>
        <v>0.64090374472069933</v>
      </c>
      <c r="BY12" s="7" cm="1">
        <f t="array" ref="BY12">PRODUCT(1 + 預測IC!$C12:BY12) - 1</f>
        <v>0.58614547349229684</v>
      </c>
      <c r="BZ12" s="7" cm="1">
        <f t="array" ref="BZ12">PRODUCT(1 + 預測IC!$C12:BZ12) - 1</f>
        <v>0.63750284306755489</v>
      </c>
      <c r="CA12" s="7" cm="1">
        <f t="array" ref="CA12">PRODUCT(1 + 預測IC!$C12:CA12) - 1</f>
        <v>0.63849138459537458</v>
      </c>
      <c r="CB12" s="7" cm="1">
        <f t="array" ref="CB12">PRODUCT(1 + 預測IC!$C12:CB12) - 1</f>
        <v>0.68301552466793369</v>
      </c>
      <c r="CC12" s="7" cm="1">
        <f t="array" ref="CC12">PRODUCT(1 + 預測IC!$C12:CC12) - 1</f>
        <v>0.6547897312289932</v>
      </c>
      <c r="CD12" s="7" cm="1">
        <f t="array" ref="CD12">PRODUCT(1 + 預測IC!$C12:CD12) - 1</f>
        <v>0.83836156893246483</v>
      </c>
      <c r="CE12" s="7" cm="1">
        <f t="array" ref="CE12">PRODUCT(1 + 預測IC!$C12:CE12) - 1</f>
        <v>0.85972224286638843</v>
      </c>
      <c r="CF12" s="7" cm="1">
        <f t="array" ref="CF12">PRODUCT(1 + 預測IC!$C12:CF12) - 1</f>
        <v>0.87463958549608156</v>
      </c>
      <c r="CG12" s="7" cm="1">
        <f t="array" ref="CG12">PRODUCT(1 + 預測IC!$C12:CG12) - 1</f>
        <v>0.78226117105679971</v>
      </c>
      <c r="CH12" s="7" cm="1">
        <f t="array" ref="CH12">PRODUCT(1 + 預測IC!$C12:CH12) - 1</f>
        <v>0.75291960510934519</v>
      </c>
      <c r="CI12" s="7" cm="1">
        <f t="array" ref="CI12">PRODUCT(1 + 預測IC!$C12:CI12) - 1</f>
        <v>0.69051911883950856</v>
      </c>
      <c r="CJ12" s="7" cm="1">
        <f t="array" ref="CJ12">PRODUCT(1 + 預測IC!$C12:CJ12) - 1</f>
        <v>0.71662949173265877</v>
      </c>
      <c r="CK12" s="7" cm="1">
        <f t="array" ref="CK12">PRODUCT(1 + 預測IC!$C12:CK12) - 1</f>
        <v>0.73860774657575279</v>
      </c>
      <c r="CL12" s="7" cm="1">
        <f t="array" ref="CL12">PRODUCT(1 + 預測IC!$C12:CL12) - 1</f>
        <v>0.94379059628698214</v>
      </c>
      <c r="CM12" s="7" cm="1">
        <f t="array" ref="CM12">PRODUCT(1 + 預測IC!$C12:CM12) - 1</f>
        <v>0.80440450598422686</v>
      </c>
      <c r="CN12" s="7" cm="1">
        <f t="array" ref="CN12">PRODUCT(1 + 預測IC!$C12:CN12) - 1</f>
        <v>0.75553455347394549</v>
      </c>
      <c r="CO12" s="7" cm="1">
        <f t="array" ref="CO12">PRODUCT(1 + 預測IC!$C12:CO12) - 1</f>
        <v>0.71196256284861681</v>
      </c>
      <c r="CP12" s="7" cm="1">
        <f t="array" ref="CP12">PRODUCT(1 + 預測IC!$C12:CP12) - 1</f>
        <v>0.71024200274867444</v>
      </c>
      <c r="CQ12" s="7" cm="1">
        <f t="array" ref="CQ12">PRODUCT(1 + 預測IC!$C12:CQ12) - 1</f>
        <v>0.81744740590906084</v>
      </c>
      <c r="CR12" s="7" cm="1">
        <f t="array" ref="CR12">PRODUCT(1 + 預測IC!$C12:CR12) - 1</f>
        <v>0.92133267513438244</v>
      </c>
      <c r="CS12" s="7" cm="1">
        <f t="array" ref="CS12">PRODUCT(1 + 預測IC!$C12:CS12) - 1</f>
        <v>0.91945250971156822</v>
      </c>
      <c r="CT12" s="7" cm="1">
        <f t="array" ref="CT12">PRODUCT(1 + 預測IC!$C12:CT12) - 1</f>
        <v>0.98109382797009248</v>
      </c>
      <c r="CU12" s="7" cm="1">
        <f t="array" ref="CU12">PRODUCT(1 + 預測IC!$C12:CU12) - 1</f>
        <v>0.83294856405228801</v>
      </c>
      <c r="CV12" s="7" cm="1">
        <f t="array" ref="CV12">PRODUCT(1 + 預測IC!$C12:CV12) - 1</f>
        <v>0.95215126980913301</v>
      </c>
      <c r="CW12" s="7" cm="1">
        <f t="array" ref="CW12">PRODUCT(1 + 預測IC!$C12:CW12) - 1</f>
        <v>1.0102427810133063</v>
      </c>
      <c r="CX12" s="7" cm="1">
        <f t="array" ref="CX12">PRODUCT(1 + 預測IC!$C12:CX12) - 1</f>
        <v>0.94842251193902527</v>
      </c>
      <c r="CY12" s="7" cm="1">
        <f t="array" ref="CY12">PRODUCT(1 + 預測IC!$C12:CY12) - 1</f>
        <v>0.98041677132771143</v>
      </c>
      <c r="CZ12" s="7" cm="1">
        <f t="array" ref="CZ12">PRODUCT(1 + 預測IC!$C12:CZ12) - 1</f>
        <v>0.95600959605001479</v>
      </c>
      <c r="DA12" s="7" cm="1">
        <f t="array" ref="DA12">PRODUCT(1 + 預測IC!$C12:DA12) - 1</f>
        <v>0.98891815250333082</v>
      </c>
      <c r="DB12" s="7" cm="1">
        <f t="array" ref="DB12">PRODUCT(1 + 預測IC!$C12:DB12) - 1</f>
        <v>1.0596943671157519</v>
      </c>
      <c r="DC12" s="7" cm="1">
        <f t="array" ref="DC12">PRODUCT(1 + 預測IC!$C12:DC12) - 1</f>
        <v>1.0504229334679156</v>
      </c>
      <c r="DD12" s="7" cm="1">
        <f t="array" ref="DD12">PRODUCT(1 + 預測IC!$C12:DD12) - 1</f>
        <v>0.90697422605628719</v>
      </c>
      <c r="DE12" s="7" cm="1">
        <f t="array" ref="DE12">PRODUCT(1 + 預測IC!$C12:DE12) - 1</f>
        <v>0.85980017574335554</v>
      </c>
      <c r="DF12" s="7" cm="1">
        <f t="array" ref="DF12">PRODUCT(1 + 預測IC!$C12:DF12) - 1</f>
        <v>0.88141908754175113</v>
      </c>
      <c r="DG12" s="7" cm="1">
        <f t="array" ref="DG12">PRODUCT(1 + 預測IC!$C12:DG12) - 1</f>
        <v>0.79410277052201894</v>
      </c>
      <c r="DH12" s="7" cm="1">
        <f t="array" ref="DH12">PRODUCT(1 + 預測IC!$C12:DH12) - 1</f>
        <v>0.84936679658357805</v>
      </c>
      <c r="DI12" s="7" cm="1">
        <f t="array" ref="DI12">PRODUCT(1 + 預測IC!$C12:DI12) - 1</f>
        <v>0.9048094345485449</v>
      </c>
      <c r="DJ12" s="7" cm="1">
        <f t="array" ref="DJ12">PRODUCT(1 + 預測IC!$C12:DJ12) - 1</f>
        <v>0.98362672111556693</v>
      </c>
      <c r="DK12" s="7" cm="1">
        <f t="array" ref="DK12">PRODUCT(1 + 預測IC!$C12:DK12) - 1</f>
        <v>0.98575157933884205</v>
      </c>
      <c r="DL12" s="7" cm="1">
        <f t="array" ref="DL12">PRODUCT(1 + 預測IC!$C12:DL12) - 1</f>
        <v>1.0228252303674346</v>
      </c>
      <c r="DM12" s="7" cm="1">
        <f t="array" ref="DM12">PRODUCT(1 + 預測IC!$C12:DM12) - 1</f>
        <v>1.0413209193761941</v>
      </c>
      <c r="DN12" s="7" cm="1">
        <f t="array" ref="DN12">PRODUCT(1 + 預測IC!$C12:DN12) - 1</f>
        <v>1.0034718829686975</v>
      </c>
      <c r="DO12" s="7" cm="1">
        <f t="array" ref="DO12">PRODUCT(1 + 預測IC!$C12:DO12) - 1</f>
        <v>1.0646918572985369</v>
      </c>
      <c r="DP12" s="7" cm="1">
        <f t="array" ref="DP12">PRODUCT(1 + 預測IC!$C12:DP12) - 1</f>
        <v>1.1595717736989153</v>
      </c>
      <c r="DQ12" s="7" cm="1">
        <f t="array" ref="DQ12">PRODUCT(1 + 預測IC!$C12:DQ12) - 1</f>
        <v>1.0864440943868763</v>
      </c>
      <c r="DR12" s="7" cm="1">
        <f t="array" ref="DR12">PRODUCT(1 + 預測IC!$C12:DR12) - 1</f>
        <v>1.1256253096909794</v>
      </c>
      <c r="DS12" s="7" cm="1">
        <f t="array" ref="DS12">PRODUCT(1 + 預測IC!$C12:DS12) - 1</f>
        <v>1.0496848894448965</v>
      </c>
      <c r="DT12" s="7" cm="1">
        <f t="array" ref="DT12">PRODUCT(1 + 預測IC!$C12:DT12) - 1</f>
        <v>0.99882433334498266</v>
      </c>
      <c r="DU12" s="7" cm="1">
        <f t="array" ref="DU12">PRODUCT(1 + 預測IC!$C12:DU12) - 1</f>
        <v>0.9073038798120967</v>
      </c>
      <c r="DV12" s="7" cm="1">
        <f t="array" ref="DV12">PRODUCT(1 + 預測IC!$C12:DV12) - 1</f>
        <v>0.93925396920385218</v>
      </c>
      <c r="DW12" s="7" cm="1">
        <f t="array" ref="DW12">PRODUCT(1 + 預測IC!$C12:DW12) - 1</f>
        <v>0.93522766739925522</v>
      </c>
      <c r="DX12" s="7" cm="1">
        <f t="array" ref="DX12">PRODUCT(1 + 預測IC!$C12:DX12) - 1</f>
        <v>0.90020171714978092</v>
      </c>
      <c r="DY12" s="7" cm="1">
        <f t="array" ref="DY12">PRODUCT(1 + 預測IC!$C12:DY12) - 1</f>
        <v>0.78100544181154641</v>
      </c>
      <c r="DZ12" s="7" cm="1">
        <f t="array" ref="DZ12">PRODUCT(1 + 預測IC!$C12:DZ12) - 1</f>
        <v>0.81669481416952228</v>
      </c>
      <c r="EA12" s="7" cm="1">
        <f t="array" ref="EA12">PRODUCT(1 + 預測IC!$C12:EA12) - 1</f>
        <v>0.90952361821679495</v>
      </c>
      <c r="EB12" s="7" cm="1">
        <f t="array" ref="EB12">PRODUCT(1 + 預測IC!$C12:EB12) - 1</f>
        <v>0.92057206565614891</v>
      </c>
      <c r="EC12" s="7" cm="1">
        <f t="array" ref="EC12">PRODUCT(1 + 預測IC!$C12:EC12) - 1</f>
        <v>0.89198642826908126</v>
      </c>
      <c r="ED12" s="7" cm="1">
        <f t="array" ref="ED12">PRODUCT(1 + 預測IC!$C12:ED12) - 1</f>
        <v>0.87882296764369405</v>
      </c>
      <c r="EE12" s="7" cm="1">
        <f t="array" ref="EE12">PRODUCT(1 + 預測IC!$C12:EE12) - 1</f>
        <v>0.82902120985047523</v>
      </c>
      <c r="EF12" s="7" cm="1">
        <f t="array" ref="EF12">PRODUCT(1 + 預測IC!$C12:EF12) - 1</f>
        <v>0.90077983554687791</v>
      </c>
    </row>
    <row r="13" spans="1:137" x14ac:dyDescent="0.3">
      <c r="A13" s="1">
        <v>48</v>
      </c>
      <c r="B13" s="1" t="s">
        <v>171</v>
      </c>
      <c r="C13" s="7" cm="1">
        <f t="array" ref="C13">PRODUCT(1 + 預測IC!$C13:C13) - 1</f>
        <v>0.1041127502527619</v>
      </c>
      <c r="D13" s="7" cm="1">
        <f t="array" ref="D13">PRODUCT(1 + 預測IC!$C13:D13) - 1</f>
        <v>0.13710100106834244</v>
      </c>
      <c r="E13" s="7" cm="1">
        <f t="array" ref="E13">PRODUCT(1 + 預測IC!$C13:E13) - 1</f>
        <v>9.787486051125116E-2</v>
      </c>
      <c r="F13" s="7" cm="1">
        <f t="array" ref="F13">PRODUCT(1 + 預測IC!$C13:F13) - 1</f>
        <v>5.9534703492829744E-2</v>
      </c>
      <c r="G13" s="7" cm="1">
        <f t="array" ref="G13">PRODUCT(1 + 預測IC!$C13:G13) - 1</f>
        <v>4.373918158099821E-2</v>
      </c>
      <c r="H13" s="7" cm="1">
        <f t="array" ref="H13">PRODUCT(1 + 預測IC!$C13:H13) - 1</f>
        <v>6.0366348133676917E-2</v>
      </c>
      <c r="I13" s="7" cm="1">
        <f t="array" ref="I13">PRODUCT(1 + 預測IC!$C13:I13) - 1</f>
        <v>9.5022156203340202E-2</v>
      </c>
      <c r="J13" s="7" cm="1">
        <f t="array" ref="J13">PRODUCT(1 + 預測IC!$C13:J13) - 1</f>
        <v>0.13285505340453296</v>
      </c>
      <c r="K13" s="7" cm="1">
        <f t="array" ref="K13">PRODUCT(1 + 預測IC!$C13:K13) - 1</f>
        <v>8.1501612032803594E-2</v>
      </c>
      <c r="L13" s="7" cm="1">
        <f t="array" ref="L13">PRODUCT(1 + 預測IC!$C13:L13) - 1</f>
        <v>4.9991339001152157E-2</v>
      </c>
      <c r="M13" s="7" cm="1">
        <f t="array" ref="M13">PRODUCT(1 + 預測IC!$C13:M13) - 1</f>
        <v>5.8085361312105954E-2</v>
      </c>
      <c r="N13" s="7" cm="1">
        <f t="array" ref="N13">PRODUCT(1 + 預測IC!$C13:N13) - 1</f>
        <v>0.1037438102721131</v>
      </c>
      <c r="O13" s="7" cm="1">
        <f t="array" ref="O13">PRODUCT(1 + 預測IC!$C13:O13) - 1</f>
        <v>0.14378021382627115</v>
      </c>
      <c r="P13" s="7" cm="1">
        <f t="array" ref="P13">PRODUCT(1 + 預測IC!$C13:P13) - 1</f>
        <v>0.11992448934514077</v>
      </c>
      <c r="Q13" s="7" cm="1">
        <f t="array" ref="Q13">PRODUCT(1 + 預測IC!$C13:Q13) - 1</f>
        <v>0.10037465685223945</v>
      </c>
      <c r="R13" s="7" cm="1">
        <f t="array" ref="R13">PRODUCT(1 + 預測IC!$C13:R13) - 1</f>
        <v>0.11854262489439504</v>
      </c>
      <c r="S13" s="7" cm="1">
        <f t="array" ref="S13">PRODUCT(1 + 預測IC!$C13:S13) - 1</f>
        <v>-1.8943375174173216E-2</v>
      </c>
      <c r="T13" s="7" cm="1">
        <f t="array" ref="T13">PRODUCT(1 + 預測IC!$C13:T13) - 1</f>
        <v>-7.0841077269727326E-2</v>
      </c>
      <c r="U13" s="7" cm="1">
        <f t="array" ref="U13">PRODUCT(1 + 預測IC!$C13:U13) - 1</f>
        <v>-0.12116532340938135</v>
      </c>
      <c r="V13" s="7" cm="1">
        <f t="array" ref="V13">PRODUCT(1 + 預測IC!$C13:V13) - 1</f>
        <v>-7.4780658642457309E-2</v>
      </c>
      <c r="W13" s="7" cm="1">
        <f t="array" ref="W13">PRODUCT(1 + 預測IC!$C13:W13) - 1</f>
        <v>-4.6003480155894838E-2</v>
      </c>
      <c r="X13" s="7" cm="1">
        <f t="array" ref="X13">PRODUCT(1 + 預測IC!$C13:X13) - 1</f>
        <v>2.053870130554003E-2</v>
      </c>
      <c r="Y13" s="7" cm="1">
        <f t="array" ref="Y13">PRODUCT(1 + 預測IC!$C13:Y13) - 1</f>
        <v>-6.4768800141986604E-3</v>
      </c>
      <c r="Z13" s="7" cm="1">
        <f t="array" ref="Z13">PRODUCT(1 + 預測IC!$C13:Z13) - 1</f>
        <v>7.1439609136570326E-2</v>
      </c>
      <c r="AA13" s="7" cm="1">
        <f t="array" ref="AA13">PRODUCT(1 + 預測IC!$C13:AA13) - 1</f>
        <v>3.7025493533860532E-2</v>
      </c>
      <c r="AB13" s="7" cm="1">
        <f t="array" ref="AB13">PRODUCT(1 + 預測IC!$C13:AB13) - 1</f>
        <v>8.5431997792513981E-2</v>
      </c>
      <c r="AC13" s="7" cm="1">
        <f t="array" ref="AC13">PRODUCT(1 + 預測IC!$C13:AC13) - 1</f>
        <v>0.10917208469158912</v>
      </c>
      <c r="AD13" s="7" cm="1">
        <f t="array" ref="AD13">PRODUCT(1 + 預測IC!$C13:AD13) - 1</f>
        <v>0.11646937797417145</v>
      </c>
      <c r="AE13" s="7" cm="1">
        <f t="array" ref="AE13">PRODUCT(1 + 預測IC!$C13:AE13) - 1</f>
        <v>6.9000213346928074E-2</v>
      </c>
      <c r="AF13" s="7" cm="1">
        <f t="array" ref="AF13">PRODUCT(1 + 預測IC!$C13:AF13) - 1</f>
        <v>0.10314457600019589</v>
      </c>
      <c r="AG13" s="7" cm="1">
        <f t="array" ref="AG13">PRODUCT(1 + 預測IC!$C13:AG13) - 1</f>
        <v>0.13809416313533718</v>
      </c>
      <c r="AH13" s="7" cm="1">
        <f t="array" ref="AH13">PRODUCT(1 + 預測IC!$C13:AH13) - 1</f>
        <v>0.1664955380495774</v>
      </c>
      <c r="AI13" s="7" cm="1">
        <f t="array" ref="AI13">PRODUCT(1 + 預測IC!$C13:AI13) - 1</f>
        <v>0.18972035948465726</v>
      </c>
      <c r="AJ13" s="7" cm="1">
        <f t="array" ref="AJ13">PRODUCT(1 + 預測IC!$C13:AJ13) - 1</f>
        <v>0.21337952405985838</v>
      </c>
      <c r="AK13" s="7" cm="1">
        <f t="array" ref="AK13">PRODUCT(1 + 預測IC!$C13:AK13) - 1</f>
        <v>0.2174060569972478</v>
      </c>
      <c r="AL13" s="7" cm="1">
        <f t="array" ref="AL13">PRODUCT(1 + 預測IC!$C13:AL13) - 1</f>
        <v>0.15743799228743294</v>
      </c>
      <c r="AM13" s="7" cm="1">
        <f t="array" ref="AM13">PRODUCT(1 + 預測IC!$C13:AM13) - 1</f>
        <v>0.14073140948627794</v>
      </c>
      <c r="AN13" s="7" cm="1">
        <f t="array" ref="AN13">PRODUCT(1 + 預測IC!$C13:AN13) - 1</f>
        <v>0.26088492049672141</v>
      </c>
      <c r="AO13" s="7" cm="1">
        <f t="array" ref="AO13">PRODUCT(1 + 預測IC!$C13:AO13) - 1</f>
        <v>0.27262525691100525</v>
      </c>
      <c r="AP13" s="7" cm="1">
        <f t="array" ref="AP13">PRODUCT(1 + 預測IC!$C13:AP13) - 1</f>
        <v>0.26993911771159129</v>
      </c>
      <c r="AQ13" s="7" cm="1">
        <f t="array" ref="AQ13">PRODUCT(1 + 預測IC!$C13:AQ13) - 1</f>
        <v>0.26696736599807536</v>
      </c>
      <c r="AR13" s="7" cm="1">
        <f t="array" ref="AR13">PRODUCT(1 + 預測IC!$C13:AR13) - 1</f>
        <v>0.29338115713088908</v>
      </c>
      <c r="AS13" s="7" cm="1">
        <f t="array" ref="AS13">PRODUCT(1 + 預測IC!$C13:AS13) - 1</f>
        <v>0.32365269595892654</v>
      </c>
      <c r="AT13" s="7" cm="1">
        <f t="array" ref="AT13">PRODUCT(1 + 預測IC!$C13:AT13) - 1</f>
        <v>0.43804662003074202</v>
      </c>
      <c r="AU13" s="7" cm="1">
        <f t="array" ref="AU13">PRODUCT(1 + 預測IC!$C13:AU13) - 1</f>
        <v>0.415475876612585</v>
      </c>
      <c r="AV13" s="7" cm="1">
        <f t="array" ref="AV13">PRODUCT(1 + 預測IC!$C13:AV13) - 1</f>
        <v>0.52824114332979999</v>
      </c>
      <c r="AW13" s="7" cm="1">
        <f t="array" ref="AW13">PRODUCT(1 + 預測IC!$C13:AW13) - 1</f>
        <v>0.53447638795278185</v>
      </c>
      <c r="AX13" s="7" cm="1">
        <f t="array" ref="AX13">PRODUCT(1 + 預測IC!$C13:AX13) - 1</f>
        <v>0.63752228966755653</v>
      </c>
      <c r="AY13" s="7" cm="1">
        <f t="array" ref="AY13">PRODUCT(1 + 預測IC!$C13:AY13) - 1</f>
        <v>0.66628429831687086</v>
      </c>
      <c r="AZ13" s="7" cm="1">
        <f t="array" ref="AZ13">PRODUCT(1 + 預測IC!$C13:AZ13) - 1</f>
        <v>0.65278161771052234</v>
      </c>
      <c r="BA13" s="7" cm="1">
        <f t="array" ref="BA13">PRODUCT(1 + 預測IC!$C13:BA13) - 1</f>
        <v>0.60949811976005486</v>
      </c>
      <c r="BB13" s="7" cm="1">
        <f t="array" ref="BB13">PRODUCT(1 + 預測IC!$C13:BB13) - 1</f>
        <v>0.67850595439668027</v>
      </c>
      <c r="BC13" s="7" cm="1">
        <f t="array" ref="BC13">PRODUCT(1 + 預測IC!$C13:BC13) - 1</f>
        <v>0.69744582468162308</v>
      </c>
      <c r="BD13" s="7" cm="1">
        <f t="array" ref="BD13">PRODUCT(1 + 預測IC!$C13:BD13) - 1</f>
        <v>0.70312281067744986</v>
      </c>
      <c r="BE13" s="7" cm="1">
        <f t="array" ref="BE13">PRODUCT(1 + 預測IC!$C13:BE13) - 1</f>
        <v>0.74977442082224632</v>
      </c>
      <c r="BF13" s="7" cm="1">
        <f t="array" ref="BF13">PRODUCT(1 + 預測IC!$C13:BF13) - 1</f>
        <v>0.53690186342516966</v>
      </c>
      <c r="BG13" s="7" cm="1">
        <f t="array" ref="BG13">PRODUCT(1 + 預測IC!$C13:BG13) - 1</f>
        <v>0.40104351047637832</v>
      </c>
      <c r="BH13" s="7" cm="1">
        <f t="array" ref="BH13">PRODUCT(1 + 預測IC!$C13:BH13) - 1</f>
        <v>0.34356758319229375</v>
      </c>
      <c r="BI13" s="7" cm="1">
        <f t="array" ref="BI13">PRODUCT(1 + 預測IC!$C13:BI13) - 1</f>
        <v>0.31454442863518062</v>
      </c>
      <c r="BJ13" s="7" cm="1">
        <f t="array" ref="BJ13">PRODUCT(1 + 預測IC!$C13:BJ13) - 1</f>
        <v>0.28264557835859505</v>
      </c>
      <c r="BK13" s="7" cm="1">
        <f t="array" ref="BK13">PRODUCT(1 + 預測IC!$C13:BK13) - 1</f>
        <v>0.25905641161510151</v>
      </c>
      <c r="BL13" s="7" cm="1">
        <f t="array" ref="BL13">PRODUCT(1 + 預測IC!$C13:BL13) - 1</f>
        <v>0.29928056985388252</v>
      </c>
      <c r="BM13" s="7" cm="1">
        <f t="array" ref="BM13">PRODUCT(1 + 預測IC!$C13:BM13) - 1</f>
        <v>0.32126259839632176</v>
      </c>
      <c r="BN13" s="7" cm="1">
        <f t="array" ref="BN13">PRODUCT(1 + 預測IC!$C13:BN13) - 1</f>
        <v>0.33586590859333354</v>
      </c>
      <c r="BO13" s="7" cm="1">
        <f t="array" ref="BO13">PRODUCT(1 + 預測IC!$C13:BO13) - 1</f>
        <v>0.37711573291075906</v>
      </c>
      <c r="BP13" s="7" cm="1">
        <f t="array" ref="BP13">PRODUCT(1 + 預測IC!$C13:BP13) - 1</f>
        <v>0.39010564655562319</v>
      </c>
      <c r="BQ13" s="7" cm="1">
        <f t="array" ref="BQ13">PRODUCT(1 + 預測IC!$C13:BQ13) - 1</f>
        <v>0.44800780572564536</v>
      </c>
      <c r="BR13" s="7" cm="1">
        <f t="array" ref="BR13">PRODUCT(1 + 預測IC!$C13:BR13) - 1</f>
        <v>0.43833306105614245</v>
      </c>
      <c r="BS13" s="7" cm="1">
        <f t="array" ref="BS13">PRODUCT(1 + 預測IC!$C13:BS13) - 1</f>
        <v>0.44900473269950547</v>
      </c>
      <c r="BT13" s="7" cm="1">
        <f t="array" ref="BT13">PRODUCT(1 + 預測IC!$C13:BT13) - 1</f>
        <v>0.50456465380606486</v>
      </c>
      <c r="BU13" s="7" cm="1">
        <f t="array" ref="BU13">PRODUCT(1 + 預測IC!$C13:BU13) - 1</f>
        <v>0.47792399695739429</v>
      </c>
      <c r="BV13" s="7" cm="1">
        <f t="array" ref="BV13">PRODUCT(1 + 預測IC!$C13:BV13) - 1</f>
        <v>0.50844844340422735</v>
      </c>
      <c r="BW13" s="7" cm="1">
        <f t="array" ref="BW13">PRODUCT(1 + 預測IC!$C13:BW13) - 1</f>
        <v>0.51110819673509478</v>
      </c>
      <c r="BX13" s="7" cm="1">
        <f t="array" ref="BX13">PRODUCT(1 + 預測IC!$C13:BX13) - 1</f>
        <v>0.54295943734198704</v>
      </c>
      <c r="BY13" s="7" cm="1">
        <f t="array" ref="BY13">PRODUCT(1 + 預測IC!$C13:BY13) - 1</f>
        <v>0.52056739639784388</v>
      </c>
      <c r="BZ13" s="7" cm="1">
        <f t="array" ref="BZ13">PRODUCT(1 + 預測IC!$C13:BZ13) - 1</f>
        <v>0.6208894608432669</v>
      </c>
      <c r="CA13" s="7" cm="1">
        <f t="array" ref="CA13">PRODUCT(1 + 預測IC!$C13:CA13) - 1</f>
        <v>0.63875325991140586</v>
      </c>
      <c r="CB13" s="7" cm="1">
        <f t="array" ref="CB13">PRODUCT(1 + 預測IC!$C13:CB13) - 1</f>
        <v>0.68138932541857455</v>
      </c>
      <c r="CC13" s="7" cm="1">
        <f t="array" ref="CC13">PRODUCT(1 + 預測IC!$C13:CC13) - 1</f>
        <v>0.66031998338649567</v>
      </c>
      <c r="CD13" s="7" cm="1">
        <f t="array" ref="CD13">PRODUCT(1 + 預測IC!$C13:CD13) - 1</f>
        <v>0.83479609170844071</v>
      </c>
      <c r="CE13" s="7" cm="1">
        <f t="array" ref="CE13">PRODUCT(1 + 預測IC!$C13:CE13) - 1</f>
        <v>0.85171471771041474</v>
      </c>
      <c r="CF13" s="7" cm="1">
        <f t="array" ref="CF13">PRODUCT(1 + 預測IC!$C13:CF13) - 1</f>
        <v>0.82941328224342592</v>
      </c>
      <c r="CG13" s="7" cm="1">
        <f t="array" ref="CG13">PRODUCT(1 + 預測IC!$C13:CG13) - 1</f>
        <v>0.72327992956793752</v>
      </c>
      <c r="CH13" s="7" cm="1">
        <f t="array" ref="CH13">PRODUCT(1 + 預測IC!$C13:CH13) - 1</f>
        <v>0.71633596265175137</v>
      </c>
      <c r="CI13" s="7" cm="1">
        <f t="array" ref="CI13">PRODUCT(1 + 預測IC!$C13:CI13) - 1</f>
        <v>0.69139193165635016</v>
      </c>
      <c r="CJ13" s="7" cm="1">
        <f t="array" ref="CJ13">PRODUCT(1 + 預測IC!$C13:CJ13) - 1</f>
        <v>0.68613831952157711</v>
      </c>
      <c r="CK13" s="7" cm="1">
        <f t="array" ref="CK13">PRODUCT(1 + 預測IC!$C13:CK13) - 1</f>
        <v>0.74017107594056486</v>
      </c>
      <c r="CL13" s="7" cm="1">
        <f t="array" ref="CL13">PRODUCT(1 + 預測IC!$C13:CL13) - 1</f>
        <v>0.88191386766957747</v>
      </c>
      <c r="CM13" s="7" cm="1">
        <f t="array" ref="CM13">PRODUCT(1 + 預測IC!$C13:CM13) - 1</f>
        <v>0.69098953036581889</v>
      </c>
      <c r="CN13" s="7" cm="1">
        <f t="array" ref="CN13">PRODUCT(1 + 預測IC!$C13:CN13) - 1</f>
        <v>0.64552293776473957</v>
      </c>
      <c r="CO13" s="7" cm="1">
        <f t="array" ref="CO13">PRODUCT(1 + 預測IC!$C13:CO13) - 1</f>
        <v>0.5873794640891461</v>
      </c>
      <c r="CP13" s="7" cm="1">
        <f t="array" ref="CP13">PRODUCT(1 + 預測IC!$C13:CP13) - 1</f>
        <v>0.62004296455967722</v>
      </c>
      <c r="CQ13" s="7" cm="1">
        <f t="array" ref="CQ13">PRODUCT(1 + 預測IC!$C13:CQ13) - 1</f>
        <v>0.73535578397708345</v>
      </c>
      <c r="CR13" s="7" cm="1">
        <f t="array" ref="CR13">PRODUCT(1 + 預測IC!$C13:CR13) - 1</f>
        <v>0.92909938330890451</v>
      </c>
      <c r="CS13" s="7" cm="1">
        <f t="array" ref="CS13">PRODUCT(1 + 預測IC!$C13:CS13) - 1</f>
        <v>0.91064242852377864</v>
      </c>
      <c r="CT13" s="7" cm="1">
        <f t="array" ref="CT13">PRODUCT(1 + 預測IC!$C13:CT13) - 1</f>
        <v>0.99368328174531961</v>
      </c>
      <c r="CU13" s="7" cm="1">
        <f t="array" ref="CU13">PRODUCT(1 + 預測IC!$C13:CU13) - 1</f>
        <v>0.78017782175081285</v>
      </c>
      <c r="CV13" s="7" cm="1">
        <f t="array" ref="CV13">PRODUCT(1 + 預測IC!$C13:CV13) - 1</f>
        <v>0.91841940192321991</v>
      </c>
      <c r="CW13" s="7" cm="1">
        <f t="array" ref="CW13">PRODUCT(1 + 預測IC!$C13:CW13) - 1</f>
        <v>0.9384802424958536</v>
      </c>
      <c r="CX13" s="7" cm="1">
        <f t="array" ref="CX13">PRODUCT(1 + 預測IC!$C13:CX13) - 1</f>
        <v>0.87919600852809232</v>
      </c>
      <c r="CY13" s="7" cm="1">
        <f t="array" ref="CY13">PRODUCT(1 + 預測IC!$C13:CY13) - 1</f>
        <v>0.95662217621305179</v>
      </c>
      <c r="CZ13" s="7" cm="1">
        <f t="array" ref="CZ13">PRODUCT(1 + 預測IC!$C13:CZ13) - 1</f>
        <v>0.94703821785038289</v>
      </c>
      <c r="DA13" s="7" cm="1">
        <f t="array" ref="DA13">PRODUCT(1 + 預測IC!$C13:DA13) - 1</f>
        <v>0.98001447687880394</v>
      </c>
      <c r="DB13" s="7" cm="1">
        <f t="array" ref="DB13">PRODUCT(1 + 預測IC!$C13:DB13) - 1</f>
        <v>1.1015006118946591</v>
      </c>
      <c r="DC13" s="7" cm="1">
        <f t="array" ref="DC13">PRODUCT(1 + 預測IC!$C13:DC13) - 1</f>
        <v>1.0717646580988722</v>
      </c>
      <c r="DD13" s="7" cm="1">
        <f t="array" ref="DD13">PRODUCT(1 + 預測IC!$C13:DD13) - 1</f>
        <v>0.92886042519973122</v>
      </c>
      <c r="DE13" s="7" cm="1">
        <f t="array" ref="DE13">PRODUCT(1 + 預測IC!$C13:DE13) - 1</f>
        <v>0.88557294642490403</v>
      </c>
      <c r="DF13" s="7" cm="1">
        <f t="array" ref="DF13">PRODUCT(1 + 預測IC!$C13:DF13) - 1</f>
        <v>0.91813986851785034</v>
      </c>
      <c r="DG13" s="7" cm="1">
        <f t="array" ref="DG13">PRODUCT(1 + 預測IC!$C13:DG13) - 1</f>
        <v>0.82658881036447873</v>
      </c>
      <c r="DH13" s="7" cm="1">
        <f t="array" ref="DH13">PRODUCT(1 + 預測IC!$C13:DH13) - 1</f>
        <v>0.89747235997682884</v>
      </c>
      <c r="DI13" s="7" cm="1">
        <f t="array" ref="DI13">PRODUCT(1 + 預測IC!$C13:DI13) - 1</f>
        <v>0.95358141390607254</v>
      </c>
      <c r="DJ13" s="7" cm="1">
        <f t="array" ref="DJ13">PRODUCT(1 + 預測IC!$C13:DJ13) - 1</f>
        <v>0.96729775050616351</v>
      </c>
      <c r="DK13" s="7" cm="1">
        <f t="array" ref="DK13">PRODUCT(1 + 預測IC!$C13:DK13) - 1</f>
        <v>0.92126122852013093</v>
      </c>
      <c r="DL13" s="7" cm="1">
        <f t="array" ref="DL13">PRODUCT(1 + 預測IC!$C13:DL13) - 1</f>
        <v>0.96362636558203207</v>
      </c>
      <c r="DM13" s="7" cm="1">
        <f t="array" ref="DM13">PRODUCT(1 + 預測IC!$C13:DM13) - 1</f>
        <v>0.94073854399327628</v>
      </c>
      <c r="DN13" s="7" cm="1">
        <f t="array" ref="DN13">PRODUCT(1 + 預測IC!$C13:DN13) - 1</f>
        <v>0.91594388283360328</v>
      </c>
      <c r="DO13" s="7" cm="1">
        <f t="array" ref="DO13">PRODUCT(1 + 預測IC!$C13:DO13) - 1</f>
        <v>0.98848815714569582</v>
      </c>
      <c r="DP13" s="7" cm="1">
        <f t="array" ref="DP13">PRODUCT(1 + 預測IC!$C13:DP13) - 1</f>
        <v>1.0779644583424814</v>
      </c>
      <c r="DQ13" s="7" cm="1">
        <f t="array" ref="DQ13">PRODUCT(1 + 預測IC!$C13:DQ13) - 1</f>
        <v>1.0073833570072717</v>
      </c>
      <c r="DR13" s="7" cm="1">
        <f t="array" ref="DR13">PRODUCT(1 + 預測IC!$C13:DR13) - 1</f>
        <v>1.0350274533063746</v>
      </c>
      <c r="DS13" s="7" cm="1">
        <f t="array" ref="DS13">PRODUCT(1 + 預測IC!$C13:DS13) - 1</f>
        <v>0.95589006305868529</v>
      </c>
      <c r="DT13" s="7" cm="1">
        <f t="array" ref="DT13">PRODUCT(1 + 預測IC!$C13:DT13) - 1</f>
        <v>0.89751494149673294</v>
      </c>
      <c r="DU13" s="7" cm="1">
        <f t="array" ref="DU13">PRODUCT(1 + 預測IC!$C13:DU13) - 1</f>
        <v>0.85254601235055683</v>
      </c>
      <c r="DV13" s="7" cm="1">
        <f t="array" ref="DV13">PRODUCT(1 + 預測IC!$C13:DV13) - 1</f>
        <v>0.87079878652332821</v>
      </c>
      <c r="DW13" s="7" cm="1">
        <f t="array" ref="DW13">PRODUCT(1 + 預測IC!$C13:DW13) - 1</f>
        <v>0.84629463552599615</v>
      </c>
      <c r="DX13" s="7" cm="1">
        <f t="array" ref="DX13">PRODUCT(1 + 預測IC!$C13:DX13) - 1</f>
        <v>0.80340593203037658</v>
      </c>
      <c r="DY13" s="7" cm="1">
        <f t="array" ref="DY13">PRODUCT(1 + 預測IC!$C13:DY13) - 1</f>
        <v>0.78626523527734093</v>
      </c>
      <c r="DZ13" s="7" cm="1">
        <f t="array" ref="DZ13">PRODUCT(1 + 預測IC!$C13:DZ13) - 1</f>
        <v>0.84036272712866023</v>
      </c>
      <c r="EA13" s="7" cm="1">
        <f t="array" ref="EA13">PRODUCT(1 + 預測IC!$C13:EA13) - 1</f>
        <v>0.95468362526196326</v>
      </c>
      <c r="EB13" s="7" cm="1">
        <f t="array" ref="EB13">PRODUCT(1 + 預測IC!$C13:EB13) - 1</f>
        <v>0.95507691976339726</v>
      </c>
      <c r="EC13" s="7" cm="1">
        <f t="array" ref="EC13">PRODUCT(1 + 預測IC!$C13:EC13) - 1</f>
        <v>0.91209484199461199</v>
      </c>
      <c r="ED13" s="7" cm="1">
        <f t="array" ref="ED13">PRODUCT(1 + 預測IC!$C13:ED13) - 1</f>
        <v>0.92564149858881506</v>
      </c>
      <c r="EE13" s="7" cm="1">
        <f t="array" ref="EE13">PRODUCT(1 + 預測IC!$C13:EE13) - 1</f>
        <v>0.84623885759754125</v>
      </c>
      <c r="EF13" s="7" cm="1">
        <f t="array" ref="EF13">PRODUCT(1 + 預測IC!$C13:EF13) - 1</f>
        <v>0.96915629963237881</v>
      </c>
    </row>
    <row r="14" spans="1:137" x14ac:dyDescent="0.3">
      <c r="A14" s="1">
        <v>19</v>
      </c>
      <c r="B14" s="1" t="s">
        <v>172</v>
      </c>
      <c r="C14" s="7" cm="1">
        <f t="array" ref="C14">PRODUCT(1 + 預測IC!$C14:C14) - 1</f>
        <v>0.11994148975270602</v>
      </c>
      <c r="D14" s="7" cm="1">
        <f t="array" ref="D14">PRODUCT(1 + 預測IC!$C14:D14) - 1</f>
        <v>0.21328560200939384</v>
      </c>
      <c r="E14" s="7" cm="1">
        <f t="array" ref="E14">PRODUCT(1 + 預測IC!$C14:E14) - 1</f>
        <v>0.15562305932131681</v>
      </c>
      <c r="F14" s="7" cm="1">
        <f t="array" ref="F14">PRODUCT(1 + 預測IC!$C14:F14) - 1</f>
        <v>9.9628334582150924E-2</v>
      </c>
      <c r="G14" s="7" cm="1">
        <f t="array" ref="G14">PRODUCT(1 + 預測IC!$C14:G14) - 1</f>
        <v>5.4521672118838183E-2</v>
      </c>
      <c r="H14" s="7" cm="1">
        <f t="array" ref="H14">PRODUCT(1 + 預測IC!$C14:H14) - 1</f>
        <v>6.2614413382191092E-2</v>
      </c>
      <c r="I14" s="7" cm="1">
        <f t="array" ref="I14">PRODUCT(1 + 預測IC!$C14:I14) - 1</f>
        <v>0.10914349305421456</v>
      </c>
      <c r="J14" s="7" cm="1">
        <f t="array" ref="J14">PRODUCT(1 + 預測IC!$C14:J14) - 1</f>
        <v>0.13499759678237155</v>
      </c>
      <c r="K14" s="7" cm="1">
        <f t="array" ref="K14">PRODUCT(1 + 預測IC!$C14:K14) - 1</f>
        <v>-1.7294909472453046E-2</v>
      </c>
      <c r="L14" s="7" cm="1">
        <f t="array" ref="L14">PRODUCT(1 + 預測IC!$C14:L14) - 1</f>
        <v>-1.253154412130264E-2</v>
      </c>
      <c r="M14" s="7" cm="1">
        <f t="array" ref="M14">PRODUCT(1 + 預測IC!$C14:M14) - 1</f>
        <v>-7.5996131030965364E-3</v>
      </c>
      <c r="N14" s="7" cm="1">
        <f t="array" ref="N14">PRODUCT(1 + 預測IC!$C14:N14) - 1</f>
        <v>7.4530435326522149E-2</v>
      </c>
      <c r="O14" s="7" cm="1">
        <f t="array" ref="O14">PRODUCT(1 + 預測IC!$C14:O14) - 1</f>
        <v>0.11479930905981206</v>
      </c>
      <c r="P14" s="7" cm="1">
        <f t="array" ref="P14">PRODUCT(1 + 預測IC!$C14:P14) - 1</f>
        <v>4.9755315641194953E-2</v>
      </c>
      <c r="Q14" s="7" cm="1">
        <f t="array" ref="Q14">PRODUCT(1 + 預測IC!$C14:Q14) - 1</f>
        <v>-3.3487821922947636E-2</v>
      </c>
      <c r="R14" s="7" cm="1">
        <f t="array" ref="R14">PRODUCT(1 + 預測IC!$C14:R14) - 1</f>
        <v>-5.0655309523811809E-2</v>
      </c>
      <c r="S14" s="7" cm="1">
        <f t="array" ref="S14">PRODUCT(1 + 預測IC!$C14:S14) - 1</f>
        <v>-0.20814516393757498</v>
      </c>
      <c r="T14" s="7" cm="1">
        <f t="array" ref="T14">PRODUCT(1 + 預測IC!$C14:T14) - 1</f>
        <v>-0.26344947725395129</v>
      </c>
      <c r="U14" s="7" cm="1">
        <f t="array" ref="U14">PRODUCT(1 + 預測IC!$C14:U14) - 1</f>
        <v>-0.34024714359632446</v>
      </c>
      <c r="V14" s="7" cm="1">
        <f t="array" ref="V14">PRODUCT(1 + 預測IC!$C14:V14) - 1</f>
        <v>-0.32699328455311427</v>
      </c>
      <c r="W14" s="7" cm="1">
        <f t="array" ref="W14">PRODUCT(1 + 預測IC!$C14:W14) - 1</f>
        <v>-0.27718529628695654</v>
      </c>
      <c r="X14" s="7" cm="1">
        <f t="array" ref="X14">PRODUCT(1 + 預測IC!$C14:X14) - 1</f>
        <v>-0.19531705621060513</v>
      </c>
      <c r="Y14" s="7" cm="1">
        <f t="array" ref="Y14">PRODUCT(1 + 預測IC!$C14:Y14) - 1</f>
        <v>-0.19951740026634923</v>
      </c>
      <c r="Z14" s="7" cm="1">
        <f t="array" ref="Z14">PRODUCT(1 + 預測IC!$C14:Z14) - 1</f>
        <v>-0.16868927339673778</v>
      </c>
      <c r="AA14" s="7" cm="1">
        <f t="array" ref="AA14">PRODUCT(1 + 預測IC!$C14:AA14) - 1</f>
        <v>-0.20148463144829143</v>
      </c>
      <c r="AB14" s="7" cm="1">
        <f t="array" ref="AB14">PRODUCT(1 + 預測IC!$C14:AB14) - 1</f>
        <v>-0.14497419601369299</v>
      </c>
      <c r="AC14" s="7" cm="1">
        <f t="array" ref="AC14">PRODUCT(1 + 預測IC!$C14:AC14) - 1</f>
        <v>-0.15653180964009894</v>
      </c>
      <c r="AD14" s="7" cm="1">
        <f t="array" ref="AD14">PRODUCT(1 + 預測IC!$C14:AD14) - 1</f>
        <v>-0.16742950858272032</v>
      </c>
      <c r="AE14" s="7" cm="1">
        <f t="array" ref="AE14">PRODUCT(1 + 預測IC!$C14:AE14) - 1</f>
        <v>-0.25602505986670032</v>
      </c>
      <c r="AF14" s="7" cm="1">
        <f t="array" ref="AF14">PRODUCT(1 + 預測IC!$C14:AF14) - 1</f>
        <v>-0.22595307011257304</v>
      </c>
      <c r="AG14" s="7" cm="1">
        <f t="array" ref="AG14">PRODUCT(1 + 預測IC!$C14:AG14) - 1</f>
        <v>-0.21006893461285803</v>
      </c>
      <c r="AH14" s="7" cm="1">
        <f t="array" ref="AH14">PRODUCT(1 + 預測IC!$C14:AH14) - 1</f>
        <v>-0.14612228932554794</v>
      </c>
      <c r="AI14" s="7" cm="1">
        <f t="array" ref="AI14">PRODUCT(1 + 預測IC!$C14:AI14) - 1</f>
        <v>-0.13675988681258355</v>
      </c>
      <c r="AJ14" s="7" cm="1">
        <f t="array" ref="AJ14">PRODUCT(1 + 預測IC!$C14:AJ14) - 1</f>
        <v>-5.3634200219113026E-2</v>
      </c>
      <c r="AK14" s="7" cm="1">
        <f t="array" ref="AK14">PRODUCT(1 + 預測IC!$C14:AK14) - 1</f>
        <v>-6.452636231670128E-2</v>
      </c>
      <c r="AL14" s="7" cm="1">
        <f t="array" ref="AL14">PRODUCT(1 + 預測IC!$C14:AL14) - 1</f>
        <v>-0.11245084793707838</v>
      </c>
      <c r="AM14" s="7" cm="1">
        <f t="array" ref="AM14">PRODUCT(1 + 預測IC!$C14:AM14) - 1</f>
        <v>-0.15013960726761655</v>
      </c>
      <c r="AN14" s="7" cm="1">
        <f t="array" ref="AN14">PRODUCT(1 + 預測IC!$C14:AN14) - 1</f>
        <v>-6.6347905045533673E-2</v>
      </c>
      <c r="AO14" s="7" cm="1">
        <f t="array" ref="AO14">PRODUCT(1 + 預測IC!$C14:AO14) - 1</f>
        <v>-9.4831655430740458E-3</v>
      </c>
      <c r="AP14" s="7" cm="1">
        <f t="array" ref="AP14">PRODUCT(1 + 預測IC!$C14:AP14) - 1</f>
        <v>-1.2105852407299222E-3</v>
      </c>
      <c r="AQ14" s="7" cm="1">
        <f t="array" ref="AQ14">PRODUCT(1 + 預測IC!$C14:AQ14) - 1</f>
        <v>2.8486800464960771E-2</v>
      </c>
      <c r="AR14" s="7" cm="1">
        <f t="array" ref="AR14">PRODUCT(1 + 預測IC!$C14:AR14) - 1</f>
        <v>3.6285498756917223E-2</v>
      </c>
      <c r="AS14" s="7" cm="1">
        <f t="array" ref="AS14">PRODUCT(1 + 預測IC!$C14:AS14) - 1</f>
        <v>2.9374160097379365E-2</v>
      </c>
      <c r="AT14" s="7" cm="1">
        <f t="array" ref="AT14">PRODUCT(1 + 預測IC!$C14:AT14) - 1</f>
        <v>0.11111005033332666</v>
      </c>
      <c r="AU14" s="7" cm="1">
        <f t="array" ref="AU14">PRODUCT(1 + 預測IC!$C14:AU14) - 1</f>
        <v>4.7308318895860513E-2</v>
      </c>
      <c r="AV14" s="7" cm="1">
        <f t="array" ref="AV14">PRODUCT(1 + 預測IC!$C14:AV14) - 1</f>
        <v>0.1167016581496827</v>
      </c>
      <c r="AW14" s="7" cm="1">
        <f t="array" ref="AW14">PRODUCT(1 + 預測IC!$C14:AW14) - 1</f>
        <v>9.619574208849091E-2</v>
      </c>
      <c r="AX14" s="7" cm="1">
        <f t="array" ref="AX14">PRODUCT(1 + 預測IC!$C14:AX14) - 1</f>
        <v>0.24632087617944465</v>
      </c>
      <c r="AY14" s="7" cm="1">
        <f t="array" ref="AY14">PRODUCT(1 + 預測IC!$C14:AY14) - 1</f>
        <v>0.26510058716944251</v>
      </c>
      <c r="AZ14" s="7" cm="1">
        <f t="array" ref="AZ14">PRODUCT(1 + 預測IC!$C14:AZ14) - 1</f>
        <v>0.19760928098509822</v>
      </c>
      <c r="BA14" s="7" cm="1">
        <f t="array" ref="BA14">PRODUCT(1 + 預測IC!$C14:BA14) - 1</f>
        <v>0.11750139790190084</v>
      </c>
      <c r="BB14" s="7" cm="1">
        <f t="array" ref="BB14">PRODUCT(1 + 預測IC!$C14:BB14) - 1</f>
        <v>0.18648954433724274</v>
      </c>
      <c r="BC14" s="7" cm="1">
        <f t="array" ref="BC14">PRODUCT(1 + 預測IC!$C14:BC14) - 1</f>
        <v>0.17483703176185905</v>
      </c>
      <c r="BD14" s="7" cm="1">
        <f t="array" ref="BD14">PRODUCT(1 + 預測IC!$C14:BD14) - 1</f>
        <v>0.22574011416881956</v>
      </c>
      <c r="BE14" s="7" cm="1">
        <f t="array" ref="BE14">PRODUCT(1 + 預測IC!$C14:BE14) - 1</f>
        <v>0.27941167320018478</v>
      </c>
      <c r="BF14" s="7" cm="1">
        <f t="array" ref="BF14">PRODUCT(1 + 預測IC!$C14:BF14) - 1</f>
        <v>8.2600720262633986E-2</v>
      </c>
      <c r="BG14" s="7" cm="1">
        <f t="array" ref="BG14">PRODUCT(1 + 預測IC!$C14:BG14) - 1</f>
        <v>-5.305489474159597E-2</v>
      </c>
      <c r="BH14" s="7" cm="1">
        <f t="array" ref="BH14">PRODUCT(1 + 預測IC!$C14:BH14) - 1</f>
        <v>-0.12257341530570287</v>
      </c>
      <c r="BI14" s="7" cm="1">
        <f t="array" ref="BI14">PRODUCT(1 + 預測IC!$C14:BI14) - 1</f>
        <v>-8.6571665502687467E-2</v>
      </c>
      <c r="BJ14" s="7" cm="1">
        <f t="array" ref="BJ14">PRODUCT(1 + 預測IC!$C14:BJ14) - 1</f>
        <v>-0.14923668163122661</v>
      </c>
      <c r="BK14" s="7" cm="1">
        <f t="array" ref="BK14">PRODUCT(1 + 預測IC!$C14:BK14) - 1</f>
        <v>-0.15399564035312874</v>
      </c>
      <c r="BL14" s="7" cm="1">
        <f t="array" ref="BL14">PRODUCT(1 + 預測IC!$C14:BL14) - 1</f>
        <v>-0.10345722916891509</v>
      </c>
      <c r="BM14" s="7" cm="1">
        <f t="array" ref="BM14">PRODUCT(1 + 預測IC!$C14:BM14) - 1</f>
        <v>-6.8261456672632836E-2</v>
      </c>
      <c r="BN14" s="7" cm="1">
        <f t="array" ref="BN14">PRODUCT(1 + 預測IC!$C14:BN14) - 1</f>
        <v>-4.8754077186595746E-2</v>
      </c>
      <c r="BO14" s="7" cm="1">
        <f t="array" ref="BO14">PRODUCT(1 + 預測IC!$C14:BO14) - 1</f>
        <v>-1.6783609516448528E-2</v>
      </c>
      <c r="BP14" s="7" cm="1">
        <f t="array" ref="BP14">PRODUCT(1 + 預測IC!$C14:BP14) - 1</f>
        <v>-1.3729378461001529E-3</v>
      </c>
      <c r="BQ14" s="7" cm="1">
        <f t="array" ref="BQ14">PRODUCT(1 + 預測IC!$C14:BQ14) - 1</f>
        <v>1.4448833850313925E-2</v>
      </c>
      <c r="BR14" s="7" cm="1">
        <f t="array" ref="BR14">PRODUCT(1 + 預測IC!$C14:BR14) - 1</f>
        <v>-1.3884143369154778E-2</v>
      </c>
      <c r="BS14" s="7" cm="1">
        <f t="array" ref="BS14">PRODUCT(1 + 預測IC!$C14:BS14) - 1</f>
        <v>-5.4801990491552099E-2</v>
      </c>
      <c r="BT14" s="7" cm="1">
        <f t="array" ref="BT14">PRODUCT(1 + 預測IC!$C14:BT14) - 1</f>
        <v>1.5154914186553015E-2</v>
      </c>
      <c r="BU14" s="7" cm="1">
        <f t="array" ref="BU14">PRODUCT(1 + 預測IC!$C14:BU14) - 1</f>
        <v>2.4143943814570967E-2</v>
      </c>
      <c r="BV14" s="7" cm="1">
        <f t="array" ref="BV14">PRODUCT(1 + 預測IC!$C14:BV14) - 1</f>
        <v>5.0492281468110134E-2</v>
      </c>
      <c r="BW14" s="7" cm="1">
        <f t="array" ref="BW14">PRODUCT(1 + 預測IC!$C14:BW14) - 1</f>
        <v>6.3631784569714522E-2</v>
      </c>
      <c r="BX14" s="7" cm="1">
        <f t="array" ref="BX14">PRODUCT(1 + 預測IC!$C14:BX14) - 1</f>
        <v>0.12210043225738132</v>
      </c>
      <c r="BY14" s="7" cm="1">
        <f t="array" ref="BY14">PRODUCT(1 + 預測IC!$C14:BY14) - 1</f>
        <v>0.11469872862125752</v>
      </c>
      <c r="BZ14" s="7" cm="1">
        <f t="array" ref="BZ14">PRODUCT(1 + 預測IC!$C14:BZ14) - 1</f>
        <v>0.21878336375083629</v>
      </c>
      <c r="CA14" s="7" cm="1">
        <f t="array" ref="CA14">PRODUCT(1 + 預測IC!$C14:CA14) - 1</f>
        <v>0.33641585448100186</v>
      </c>
      <c r="CB14" s="7" cm="1">
        <f t="array" ref="CB14">PRODUCT(1 + 預測IC!$C14:CB14) - 1</f>
        <v>0.4159019408352107</v>
      </c>
      <c r="CC14" s="7" cm="1">
        <f t="array" ref="CC14">PRODUCT(1 + 預測IC!$C14:CC14) - 1</f>
        <v>0.39778677702027387</v>
      </c>
      <c r="CD14" s="7" cm="1">
        <f t="array" ref="CD14">PRODUCT(1 + 預測IC!$C14:CD14) - 1</f>
        <v>0.53479323809053181</v>
      </c>
      <c r="CE14" s="7" cm="1">
        <f t="array" ref="CE14">PRODUCT(1 + 預測IC!$C14:CE14) - 1</f>
        <v>0.42404759336162057</v>
      </c>
      <c r="CF14" s="7" cm="1">
        <f t="array" ref="CF14">PRODUCT(1 + 預測IC!$C14:CF14) - 1</f>
        <v>0.36298812073428621</v>
      </c>
      <c r="CG14" s="7" cm="1">
        <f t="array" ref="CG14">PRODUCT(1 + 預測IC!$C14:CG14) - 1</f>
        <v>0.2848607370824412</v>
      </c>
      <c r="CH14" s="7" cm="1">
        <f t="array" ref="CH14">PRODUCT(1 + 預測IC!$C14:CH14) - 1</f>
        <v>0.22205716767191364</v>
      </c>
      <c r="CI14" s="7" cm="1">
        <f t="array" ref="CI14">PRODUCT(1 + 預測IC!$C14:CI14) - 1</f>
        <v>0.20409095733699867</v>
      </c>
      <c r="CJ14" s="7" cm="1">
        <f t="array" ref="CJ14">PRODUCT(1 + 預測IC!$C14:CJ14) - 1</f>
        <v>0.16957225243246921</v>
      </c>
      <c r="CK14" s="7" cm="1">
        <f t="array" ref="CK14">PRODUCT(1 + 預測IC!$C14:CK14) - 1</f>
        <v>0.18596540330375144</v>
      </c>
      <c r="CL14" s="7" cm="1">
        <f t="array" ref="CL14">PRODUCT(1 + 預測IC!$C14:CL14) - 1</f>
        <v>0.25981541545533737</v>
      </c>
      <c r="CM14" s="7" cm="1">
        <f t="array" ref="CM14">PRODUCT(1 + 預測IC!$C14:CM14) - 1</f>
        <v>0.12114882654098102</v>
      </c>
      <c r="CN14" s="7" cm="1">
        <f t="array" ref="CN14">PRODUCT(1 + 預測IC!$C14:CN14) - 1</f>
        <v>9.5332481558447757E-2</v>
      </c>
      <c r="CO14" s="7" cm="1">
        <f t="array" ref="CO14">PRODUCT(1 + 預測IC!$C14:CO14) - 1</f>
        <v>9.0599782646350047E-3</v>
      </c>
      <c r="CP14" s="7" cm="1">
        <f t="array" ref="CP14">PRODUCT(1 + 預測IC!$C14:CP14) - 1</f>
        <v>0.10356788775109038</v>
      </c>
      <c r="CQ14" s="7" cm="1">
        <f t="array" ref="CQ14">PRODUCT(1 + 預測IC!$C14:CQ14) - 1</f>
        <v>0.13913356315646852</v>
      </c>
      <c r="CR14" s="7" cm="1">
        <f t="array" ref="CR14">PRODUCT(1 + 預測IC!$C14:CR14) - 1</f>
        <v>0.37575405949769092</v>
      </c>
      <c r="CS14" s="7" cm="1">
        <f t="array" ref="CS14">PRODUCT(1 + 預測IC!$C14:CS14) - 1</f>
        <v>0.38182475799413496</v>
      </c>
      <c r="CT14" s="7" cm="1">
        <f t="array" ref="CT14">PRODUCT(1 + 預測IC!$C14:CT14) - 1</f>
        <v>0.46732150636418779</v>
      </c>
      <c r="CU14" s="7" cm="1">
        <f t="array" ref="CU14">PRODUCT(1 + 預測IC!$C14:CU14) - 1</f>
        <v>0.31832234406394999</v>
      </c>
      <c r="CV14" s="7" cm="1">
        <f t="array" ref="CV14">PRODUCT(1 + 預測IC!$C14:CV14) - 1</f>
        <v>0.51791218258275884</v>
      </c>
      <c r="CW14" s="7" cm="1">
        <f t="array" ref="CW14">PRODUCT(1 + 預測IC!$C14:CW14) - 1</f>
        <v>0.53041067434839073</v>
      </c>
      <c r="CX14" s="7" cm="1">
        <f t="array" ref="CX14">PRODUCT(1 + 預測IC!$C14:CX14) - 1</f>
        <v>0.39169543329737699</v>
      </c>
      <c r="CY14" s="7" cm="1">
        <f t="array" ref="CY14">PRODUCT(1 + 預測IC!$C14:CY14) - 1</f>
        <v>0.52580077804289238</v>
      </c>
      <c r="CZ14" s="7" cm="1">
        <f t="array" ref="CZ14">PRODUCT(1 + 預測IC!$C14:CZ14) - 1</f>
        <v>0.51008289442913912</v>
      </c>
      <c r="DA14" s="7" cm="1">
        <f t="array" ref="DA14">PRODUCT(1 + 預測IC!$C14:DA14) - 1</f>
        <v>0.42498688345841074</v>
      </c>
      <c r="DB14" s="7" cm="1">
        <f t="array" ref="DB14">PRODUCT(1 + 預測IC!$C14:DB14) - 1</f>
        <v>0.55357629415307819</v>
      </c>
      <c r="DC14" s="7" cm="1">
        <f t="array" ref="DC14">PRODUCT(1 + 預測IC!$C14:DC14) - 1</f>
        <v>0.48677477864949337</v>
      </c>
      <c r="DD14" s="7" cm="1">
        <f t="array" ref="DD14">PRODUCT(1 + 預測IC!$C14:DD14) - 1</f>
        <v>0.36901425918755359</v>
      </c>
      <c r="DE14" s="7" cm="1">
        <f t="array" ref="DE14">PRODUCT(1 + 預測IC!$C14:DE14) - 1</f>
        <v>0.28341400863957467</v>
      </c>
      <c r="DF14" s="7" cm="1">
        <f t="array" ref="DF14">PRODUCT(1 + 預測IC!$C14:DF14) - 1</f>
        <v>0.36578404318148783</v>
      </c>
      <c r="DG14" s="7" cm="1">
        <f t="array" ref="DG14">PRODUCT(1 + 預測IC!$C14:DG14) - 1</f>
        <v>0.3035269686636628</v>
      </c>
      <c r="DH14" s="7" cm="1">
        <f t="array" ref="DH14">PRODUCT(1 + 預測IC!$C14:DH14) - 1</f>
        <v>0.3144938543767708</v>
      </c>
      <c r="DI14" s="7" cm="1">
        <f t="array" ref="DI14">PRODUCT(1 + 預測IC!$C14:DI14) - 1</f>
        <v>0.36794003697950739</v>
      </c>
      <c r="DJ14" s="7" cm="1">
        <f t="array" ref="DJ14">PRODUCT(1 + 預測IC!$C14:DJ14) - 1</f>
        <v>0.37996974186479782</v>
      </c>
      <c r="DK14" s="7" cm="1">
        <f t="array" ref="DK14">PRODUCT(1 + 預測IC!$C14:DK14) - 1</f>
        <v>0.27314175192603218</v>
      </c>
      <c r="DL14" s="7" cm="1">
        <f t="array" ref="DL14">PRODUCT(1 + 預測IC!$C14:DL14) - 1</f>
        <v>0.32502848084961711</v>
      </c>
      <c r="DM14" s="7" cm="1">
        <f t="array" ref="DM14">PRODUCT(1 + 預測IC!$C14:DM14) - 1</f>
        <v>0.28206851776302488</v>
      </c>
      <c r="DN14" s="7" cm="1">
        <f t="array" ref="DN14">PRODUCT(1 + 預測IC!$C14:DN14) - 1</f>
        <v>0.33967921611954255</v>
      </c>
      <c r="DO14" s="7" cm="1">
        <f t="array" ref="DO14">PRODUCT(1 + 預測IC!$C14:DO14) - 1</f>
        <v>0.47711983994566731</v>
      </c>
      <c r="DP14" s="7" cm="1">
        <f t="array" ref="DP14">PRODUCT(1 + 預測IC!$C14:DP14) - 1</f>
        <v>0.48246385017694648</v>
      </c>
      <c r="DQ14" s="7" cm="1">
        <f t="array" ref="DQ14">PRODUCT(1 + 預測IC!$C14:DQ14) - 1</f>
        <v>0.39941728378969521</v>
      </c>
      <c r="DR14" s="7" cm="1">
        <f t="array" ref="DR14">PRODUCT(1 + 預測IC!$C14:DR14) - 1</f>
        <v>0.47305814703717863</v>
      </c>
      <c r="DS14" s="7" cm="1">
        <f t="array" ref="DS14">PRODUCT(1 + 預測IC!$C14:DS14) - 1</f>
        <v>0.42143496234265032</v>
      </c>
      <c r="DT14" s="7" cm="1">
        <f t="array" ref="DT14">PRODUCT(1 + 預測IC!$C14:DT14) - 1</f>
        <v>0.41041274294652208</v>
      </c>
      <c r="DU14" s="7" cm="1">
        <f t="array" ref="DU14">PRODUCT(1 + 預測IC!$C14:DU14) - 1</f>
        <v>0.24268986349117072</v>
      </c>
      <c r="DV14" s="7" cm="1">
        <f t="array" ref="DV14">PRODUCT(1 + 預測IC!$C14:DV14) - 1</f>
        <v>0.29880131714121894</v>
      </c>
      <c r="DW14" s="7" cm="1">
        <f t="array" ref="DW14">PRODUCT(1 + 預測IC!$C14:DW14) - 1</f>
        <v>0.25841902632153824</v>
      </c>
      <c r="DX14" s="7" cm="1">
        <f t="array" ref="DX14">PRODUCT(1 + 預測IC!$C14:DX14) - 1</f>
        <v>0.22357378433012731</v>
      </c>
      <c r="DY14" s="7" cm="1">
        <f t="array" ref="DY14">PRODUCT(1 + 預測IC!$C14:DY14) - 1</f>
        <v>0.16525705058819318</v>
      </c>
      <c r="DZ14" s="7" cm="1">
        <f t="array" ref="DZ14">PRODUCT(1 + 預測IC!$C14:DZ14) - 1</f>
        <v>0.19054031944965</v>
      </c>
      <c r="EA14" s="7" cm="1">
        <f t="array" ref="EA14">PRODUCT(1 + 預測IC!$C14:EA14) - 1</f>
        <v>0.31855374256460811</v>
      </c>
      <c r="EB14" s="7" cm="1">
        <f t="array" ref="EB14">PRODUCT(1 + 預測IC!$C14:EB14) - 1</f>
        <v>0.28544549017939214</v>
      </c>
      <c r="EC14" s="7" cm="1">
        <f t="array" ref="EC14">PRODUCT(1 + 預測IC!$C14:EC14) - 1</f>
        <v>0.2298370957412621</v>
      </c>
      <c r="ED14" s="7" cm="1">
        <f t="array" ref="ED14">PRODUCT(1 + 預測IC!$C14:ED14) - 1</f>
        <v>0.1885179048861485</v>
      </c>
      <c r="EE14" s="7" cm="1">
        <f t="array" ref="EE14">PRODUCT(1 + 預測IC!$C14:EE14) - 1</f>
        <v>0.19255797855562484</v>
      </c>
      <c r="EF14" s="7" cm="1">
        <f t="array" ref="EF14">PRODUCT(1 + 預測IC!$C14:EF14) - 1</f>
        <v>0.2759850659723726</v>
      </c>
    </row>
    <row r="15" spans="1:137" x14ac:dyDescent="0.3">
      <c r="A15" s="1">
        <v>10</v>
      </c>
      <c r="B15" s="1" t="s">
        <v>173</v>
      </c>
      <c r="C15" s="7" cm="1">
        <f t="array" ref="C15">PRODUCT(1 + 預測IC!$C15:C15) - 1</f>
        <v>0.22764465877785844</v>
      </c>
      <c r="D15" s="7" cm="1">
        <f t="array" ref="D15">PRODUCT(1 + 預測IC!$C15:D15) - 1</f>
        <v>0.24845675269082124</v>
      </c>
      <c r="E15" s="7" cm="1">
        <f t="array" ref="E15">PRODUCT(1 + 預測IC!$C15:E15) - 1</f>
        <v>0.23572445854461899</v>
      </c>
      <c r="F15" s="7" cm="1">
        <f t="array" ref="F15">PRODUCT(1 + 預測IC!$C15:F15) - 1</f>
        <v>0.10157137734767185</v>
      </c>
      <c r="G15" s="7" cm="1">
        <f t="array" ref="G15">PRODUCT(1 + 預測IC!$C15:G15) - 1</f>
        <v>3.4775472312837286E-2</v>
      </c>
      <c r="H15" s="7" cm="1">
        <f t="array" ref="H15">PRODUCT(1 + 預測IC!$C15:H15) - 1</f>
        <v>8.667755885372741E-2</v>
      </c>
      <c r="I15" s="7" cm="1">
        <f t="array" ref="I15">PRODUCT(1 + 預測IC!$C15:I15) - 1</f>
        <v>0.15017369808406911</v>
      </c>
      <c r="J15" s="7" cm="1">
        <f t="array" ref="J15">PRODUCT(1 + 預測IC!$C15:J15) - 1</f>
        <v>0.20763806132935803</v>
      </c>
      <c r="K15" s="7" cm="1">
        <f t="array" ref="K15">PRODUCT(1 + 預測IC!$C15:K15) - 1</f>
        <v>-0.13846451929760173</v>
      </c>
      <c r="L15" s="7" cm="1">
        <f t="array" ref="L15">PRODUCT(1 + 預測IC!$C15:L15) - 1</f>
        <v>-0.11041421190605516</v>
      </c>
      <c r="M15" s="7" cm="1">
        <f t="array" ref="M15">PRODUCT(1 + 預測IC!$C15:M15) - 1</f>
        <v>-8.7731811924155023E-2</v>
      </c>
      <c r="N15" s="7" cm="1">
        <f t="array" ref="N15">PRODUCT(1 + 預測IC!$C15:N15) - 1</f>
        <v>2.2532360068355128E-2</v>
      </c>
      <c r="O15" s="7" cm="1">
        <f t="array" ref="O15">PRODUCT(1 + 預測IC!$C15:O15) - 1</f>
        <v>9.7951631352913404E-2</v>
      </c>
      <c r="P15" s="7" cm="1">
        <f t="array" ref="P15">PRODUCT(1 + 預測IC!$C15:P15) - 1</f>
        <v>2.7555163608157907E-2</v>
      </c>
      <c r="Q15" s="7" cm="1">
        <f t="array" ref="Q15">PRODUCT(1 + 預測IC!$C15:Q15) - 1</f>
        <v>-1.9608314892173184E-2</v>
      </c>
      <c r="R15" s="7" cm="1">
        <f t="array" ref="R15">PRODUCT(1 + 預測IC!$C15:R15) - 1</f>
        <v>-0.14381517542878219</v>
      </c>
      <c r="S15" s="7" cm="1">
        <f t="array" ref="S15">PRODUCT(1 + 預測IC!$C15:S15) - 1</f>
        <v>-0.37499183771253985</v>
      </c>
      <c r="T15" s="7" cm="1">
        <f t="array" ref="T15">PRODUCT(1 + 預測IC!$C15:T15) - 1</f>
        <v>-0.41674246104380708</v>
      </c>
      <c r="U15" s="7" cm="1">
        <f t="array" ref="U15">PRODUCT(1 + 預測IC!$C15:U15) - 1</f>
        <v>-0.4966301156074584</v>
      </c>
      <c r="V15" s="7" cm="1">
        <f t="array" ref="V15">PRODUCT(1 + 預測IC!$C15:V15) - 1</f>
        <v>-0.50525377464672783</v>
      </c>
      <c r="W15" s="7" cm="1">
        <f t="array" ref="W15">PRODUCT(1 + 預測IC!$C15:W15) - 1</f>
        <v>-0.4545207185896073</v>
      </c>
      <c r="X15" s="7" cm="1">
        <f t="array" ref="X15">PRODUCT(1 + 預測IC!$C15:X15) - 1</f>
        <v>-0.38533030929110268</v>
      </c>
      <c r="Y15" s="7" cm="1">
        <f t="array" ref="Y15">PRODUCT(1 + 預測IC!$C15:Y15) - 1</f>
        <v>-0.37264968932833176</v>
      </c>
      <c r="Z15" s="7" cm="1">
        <f t="array" ref="Z15">PRODUCT(1 + 預測IC!$C15:Z15) - 1</f>
        <v>-0.34333990034608552</v>
      </c>
      <c r="AA15" s="7" cm="1">
        <f t="array" ref="AA15">PRODUCT(1 + 預測IC!$C15:AA15) - 1</f>
        <v>-0.37885283174291218</v>
      </c>
      <c r="AB15" s="7" cm="1">
        <f t="array" ref="AB15">PRODUCT(1 + 預測IC!$C15:AB15) - 1</f>
        <v>-0.32686270660207428</v>
      </c>
      <c r="AC15" s="7" cm="1">
        <f t="array" ref="AC15">PRODUCT(1 + 預測IC!$C15:AC15) - 1</f>
        <v>-0.31576875361611179</v>
      </c>
      <c r="AD15" s="7" cm="1">
        <f t="array" ref="AD15">PRODUCT(1 + 預測IC!$C15:AD15) - 1</f>
        <v>-0.30281195707605679</v>
      </c>
      <c r="AE15" s="7" cm="1">
        <f t="array" ref="AE15">PRODUCT(1 + 預測IC!$C15:AE15) - 1</f>
        <v>-0.37099533299275156</v>
      </c>
      <c r="AF15" s="7" cm="1">
        <f t="array" ref="AF15">PRODUCT(1 + 預測IC!$C15:AF15) - 1</f>
        <v>-0.32959448955150494</v>
      </c>
      <c r="AG15" s="7" cm="1">
        <f t="array" ref="AG15">PRODUCT(1 + 預測IC!$C15:AG15) - 1</f>
        <v>-0.32280765393998556</v>
      </c>
      <c r="AH15" s="7" cm="1">
        <f t="array" ref="AH15">PRODUCT(1 + 預測IC!$C15:AH15) - 1</f>
        <v>-0.23276317207963315</v>
      </c>
      <c r="AI15" s="7" cm="1">
        <f t="array" ref="AI15">PRODUCT(1 + 預測IC!$C15:AI15) - 1</f>
        <v>-0.17577515274048261</v>
      </c>
      <c r="AJ15" s="7" cm="1">
        <f t="array" ref="AJ15">PRODUCT(1 + 預測IC!$C15:AJ15) - 1</f>
        <v>-0.1723262377447804</v>
      </c>
      <c r="AK15" s="7" cm="1">
        <f t="array" ref="AK15">PRODUCT(1 + 預測IC!$C15:AK15) - 1</f>
        <v>-0.20294959730732687</v>
      </c>
      <c r="AL15" s="7" cm="1">
        <f t="array" ref="AL15">PRODUCT(1 + 預測IC!$C15:AL15) - 1</f>
        <v>-0.22874228686316078</v>
      </c>
      <c r="AM15" s="7" cm="1">
        <f t="array" ref="AM15">PRODUCT(1 + 預測IC!$C15:AM15) - 1</f>
        <v>-0.28167463469292087</v>
      </c>
      <c r="AN15" s="7" cm="1">
        <f t="array" ref="AN15">PRODUCT(1 + 預測IC!$C15:AN15) - 1</f>
        <v>-0.20862905787080388</v>
      </c>
      <c r="AO15" s="7" cm="1">
        <f t="array" ref="AO15">PRODUCT(1 + 預測IC!$C15:AO15) - 1</f>
        <v>-0.1584800296790394</v>
      </c>
      <c r="AP15" s="7" cm="1">
        <f t="array" ref="AP15">PRODUCT(1 + 預測IC!$C15:AP15) - 1</f>
        <v>-8.2275873165139402E-2</v>
      </c>
      <c r="AQ15" s="7" cm="1">
        <f t="array" ref="AQ15">PRODUCT(1 + 預測IC!$C15:AQ15) - 1</f>
        <v>-4.8821782429971816E-2</v>
      </c>
      <c r="AR15" s="7" cm="1">
        <f t="array" ref="AR15">PRODUCT(1 + 預測IC!$C15:AR15) - 1</f>
        <v>-3.195375365360098E-2</v>
      </c>
      <c r="AS15" s="7" cm="1">
        <f t="array" ref="AS15">PRODUCT(1 + 預測IC!$C15:AS15) - 1</f>
        <v>-7.9129765657807494E-2</v>
      </c>
      <c r="AT15" s="7" cm="1">
        <f t="array" ref="AT15">PRODUCT(1 + 預測IC!$C15:AT15) - 1</f>
        <v>-1.3757360289525344E-2</v>
      </c>
      <c r="AU15" s="7" cm="1">
        <f t="array" ref="AU15">PRODUCT(1 + 預測IC!$C15:AU15) - 1</f>
        <v>-8.9869725953747759E-2</v>
      </c>
      <c r="AV15" s="7" cm="1">
        <f t="array" ref="AV15">PRODUCT(1 + 預測IC!$C15:AV15) - 1</f>
        <v>-5.5923751885468831E-2</v>
      </c>
      <c r="AW15" s="7" cm="1">
        <f t="array" ref="AW15">PRODUCT(1 + 預測IC!$C15:AW15) - 1</f>
        <v>-4.1139575188302691E-2</v>
      </c>
      <c r="AX15" s="7" cm="1">
        <f t="array" ref="AX15">PRODUCT(1 + 預測IC!$C15:AX15) - 1</f>
        <v>7.8942329366322284E-2</v>
      </c>
      <c r="AY15" s="7" cm="1">
        <f t="array" ref="AY15">PRODUCT(1 + 預測IC!$C15:AY15) - 1</f>
        <v>0.10917112577920696</v>
      </c>
      <c r="AZ15" s="7" cm="1">
        <f t="array" ref="AZ15">PRODUCT(1 + 預測IC!$C15:AZ15) - 1</f>
        <v>7.8779804157751432E-3</v>
      </c>
      <c r="BA15" s="7" cm="1">
        <f t="array" ref="BA15">PRODUCT(1 + 預測IC!$C15:BA15) - 1</f>
        <v>2.3149084008691423E-2</v>
      </c>
      <c r="BB15" s="7" cm="1">
        <f t="array" ref="BB15">PRODUCT(1 + 預測IC!$C15:BB15) - 1</f>
        <v>0.13848342748223152</v>
      </c>
      <c r="BC15" s="7" cm="1">
        <f t="array" ref="BC15">PRODUCT(1 + 預測IC!$C15:BC15) - 1</f>
        <v>0.20924602848083351</v>
      </c>
      <c r="BD15" s="7" cm="1">
        <f t="array" ref="BD15">PRODUCT(1 + 預測IC!$C15:BD15) - 1</f>
        <v>0.27338839678782922</v>
      </c>
      <c r="BE15" s="7" cm="1">
        <f t="array" ref="BE15">PRODUCT(1 + 預測IC!$C15:BE15) - 1</f>
        <v>0.33507479564055154</v>
      </c>
      <c r="BF15" s="7" cm="1">
        <f t="array" ref="BF15">PRODUCT(1 + 預測IC!$C15:BF15) - 1</f>
        <v>5.3544786528560095E-2</v>
      </c>
      <c r="BG15" s="7" cm="1">
        <f t="array" ref="BG15">PRODUCT(1 + 預測IC!$C15:BG15) - 1</f>
        <v>-0.12139760582089643</v>
      </c>
      <c r="BH15" s="7" cm="1">
        <f t="array" ref="BH15">PRODUCT(1 + 預測IC!$C15:BH15) - 1</f>
        <v>-0.20807089417706315</v>
      </c>
      <c r="BI15" s="7" cm="1">
        <f t="array" ref="BI15">PRODUCT(1 + 預測IC!$C15:BI15) - 1</f>
        <v>-0.1913143756249287</v>
      </c>
      <c r="BJ15" s="7" cm="1">
        <f t="array" ref="BJ15">PRODUCT(1 + 預測IC!$C15:BJ15) - 1</f>
        <v>-0.29653266845645321</v>
      </c>
      <c r="BK15" s="7" cm="1">
        <f t="array" ref="BK15">PRODUCT(1 + 預測IC!$C15:BK15) - 1</f>
        <v>-0.29595318564676676</v>
      </c>
      <c r="BL15" s="7" cm="1">
        <f t="array" ref="BL15">PRODUCT(1 + 預測IC!$C15:BL15) - 1</f>
        <v>-0.25413007926864106</v>
      </c>
      <c r="BM15" s="7" cm="1">
        <f t="array" ref="BM15">PRODUCT(1 + 預測IC!$C15:BM15) - 1</f>
        <v>-0.20428745505295143</v>
      </c>
      <c r="BN15" s="7" cm="1">
        <f t="array" ref="BN15">PRODUCT(1 + 預測IC!$C15:BN15) - 1</f>
        <v>-0.17234550872984056</v>
      </c>
      <c r="BO15" s="7" cm="1">
        <f t="array" ref="BO15">PRODUCT(1 + 預測IC!$C15:BO15) - 1</f>
        <v>-0.14939094514271767</v>
      </c>
      <c r="BP15" s="7" cm="1">
        <f t="array" ref="BP15">PRODUCT(1 + 預測IC!$C15:BP15) - 1</f>
        <v>-0.13732571857256481</v>
      </c>
      <c r="BQ15" s="7" cm="1">
        <f t="array" ref="BQ15">PRODUCT(1 + 預測IC!$C15:BQ15) - 1</f>
        <v>-0.12628095902151648</v>
      </c>
      <c r="BR15" s="7" cm="1">
        <f t="array" ref="BR15">PRODUCT(1 + 預測IC!$C15:BR15) - 1</f>
        <v>-0.17010445989198875</v>
      </c>
      <c r="BS15" s="7" cm="1">
        <f t="array" ref="BS15">PRODUCT(1 + 預測IC!$C15:BS15) - 1</f>
        <v>-0.18406643776575105</v>
      </c>
      <c r="BT15" s="7" cm="1">
        <f t="array" ref="BT15">PRODUCT(1 + 預測IC!$C15:BT15) - 1</f>
        <v>-0.11139922685006831</v>
      </c>
      <c r="BU15" s="7" cm="1">
        <f t="array" ref="BU15">PRODUCT(1 + 預測IC!$C15:BU15) - 1</f>
        <v>-0.12870598853880311</v>
      </c>
      <c r="BV15" s="7" cm="1">
        <f t="array" ref="BV15">PRODUCT(1 + 預測IC!$C15:BV15) - 1</f>
        <v>-7.7373729950577896E-2</v>
      </c>
      <c r="BW15" s="7" cm="1">
        <f t="array" ref="BW15">PRODUCT(1 + 預測IC!$C15:BW15) - 1</f>
        <v>-0.11053835248427601</v>
      </c>
      <c r="BX15" s="7" cm="1">
        <f t="array" ref="BX15">PRODUCT(1 + 預測IC!$C15:BX15) - 1</f>
        <v>-8.5067822081023037E-2</v>
      </c>
      <c r="BY15" s="7" cm="1">
        <f t="array" ref="BY15">PRODUCT(1 + 預測IC!$C15:BY15) - 1</f>
        <v>-0.14151373156269187</v>
      </c>
      <c r="BZ15" s="7" cm="1">
        <f t="array" ref="BZ15">PRODUCT(1 + 預測IC!$C15:BZ15) - 1</f>
        <v>3.4235592935905057E-2</v>
      </c>
      <c r="CA15" s="7" cm="1">
        <f t="array" ref="CA15">PRODUCT(1 + 預測IC!$C15:CA15) - 1</f>
        <v>0.13033731631556367</v>
      </c>
      <c r="CB15" s="7" cm="1">
        <f t="array" ref="CB15">PRODUCT(1 + 預測IC!$C15:CB15) - 1</f>
        <v>0.23510161941780838</v>
      </c>
      <c r="CC15" s="7" cm="1">
        <f t="array" ref="CC15">PRODUCT(1 + 預測IC!$C15:CC15) - 1</f>
        <v>4.6973083582502628E-2</v>
      </c>
      <c r="CD15" s="7" cm="1">
        <f t="array" ref="CD15">PRODUCT(1 + 預測IC!$C15:CD15) - 1</f>
        <v>0.1727690814281968</v>
      </c>
      <c r="CE15" s="7" cm="1">
        <f t="array" ref="CE15">PRODUCT(1 + 預測IC!$C15:CE15) - 1</f>
        <v>3.6122051748666451E-2</v>
      </c>
      <c r="CF15" s="7" cm="1">
        <f t="array" ref="CF15">PRODUCT(1 + 預測IC!$C15:CF15) - 1</f>
        <v>-6.7210043647696338E-3</v>
      </c>
      <c r="CG15" s="7" cm="1">
        <f t="array" ref="CG15">PRODUCT(1 + 預測IC!$C15:CG15) - 1</f>
        <v>-9.2029785569356481E-2</v>
      </c>
      <c r="CH15" s="7" cm="1">
        <f t="array" ref="CH15">PRODUCT(1 + 預測IC!$C15:CH15) - 1</f>
        <v>-0.16588645078232678</v>
      </c>
      <c r="CI15" s="7" cm="1">
        <f t="array" ref="CI15">PRODUCT(1 + 預測IC!$C15:CI15) - 1</f>
        <v>-0.1637920427243954</v>
      </c>
      <c r="CJ15" s="7" cm="1">
        <f t="array" ref="CJ15">PRODUCT(1 + 預測IC!$C15:CJ15) - 1</f>
        <v>-0.23657922590833336</v>
      </c>
      <c r="CK15" s="7" cm="1">
        <f t="array" ref="CK15">PRODUCT(1 + 預測IC!$C15:CK15) - 1</f>
        <v>-0.19331415080317438</v>
      </c>
      <c r="CL15" s="7" cm="1">
        <f t="array" ref="CL15">PRODUCT(1 + 預測IC!$C15:CL15) - 1</f>
        <v>-0.16796648822230442</v>
      </c>
      <c r="CM15" s="7" cm="1">
        <f t="array" ref="CM15">PRODUCT(1 + 預測IC!$C15:CM15) - 1</f>
        <v>-0.25792574826067416</v>
      </c>
      <c r="CN15" s="7" cm="1">
        <f t="array" ref="CN15">PRODUCT(1 + 預測IC!$C15:CN15) - 1</f>
        <v>-0.28956342784090383</v>
      </c>
      <c r="CO15" s="7" cm="1">
        <f t="array" ref="CO15">PRODUCT(1 + 預測IC!$C15:CO15) - 1</f>
        <v>-0.36556539538221589</v>
      </c>
      <c r="CP15" s="7" cm="1">
        <f t="array" ref="CP15">PRODUCT(1 + 預測IC!$C15:CP15) - 1</f>
        <v>-0.28302624784055797</v>
      </c>
      <c r="CQ15" s="7" cm="1">
        <f t="array" ref="CQ15">PRODUCT(1 + 預測IC!$C15:CQ15) - 1</f>
        <v>-0.30092432205351949</v>
      </c>
      <c r="CR15" s="7" cm="1">
        <f t="array" ref="CR15">PRODUCT(1 + 預測IC!$C15:CR15) - 1</f>
        <v>-0.17404982371104005</v>
      </c>
      <c r="CS15" s="7" cm="1">
        <f t="array" ref="CS15">PRODUCT(1 + 預測IC!$C15:CS15) - 1</f>
        <v>-0.17940450090918714</v>
      </c>
      <c r="CT15" s="7" cm="1">
        <f t="array" ref="CT15">PRODUCT(1 + 預測IC!$C15:CT15) - 1</f>
        <v>-0.15296773969417232</v>
      </c>
      <c r="CU15" s="7" cm="1">
        <f t="array" ref="CU15">PRODUCT(1 + 預測IC!$C15:CU15) - 1</f>
        <v>-0.25804203349044397</v>
      </c>
      <c r="CV15" s="7" cm="1">
        <f t="array" ref="CV15">PRODUCT(1 + 預測IC!$C15:CV15) - 1</f>
        <v>-0.12255194088523791</v>
      </c>
      <c r="CW15" s="7" cm="1">
        <f t="array" ref="CW15">PRODUCT(1 + 預測IC!$C15:CW15) - 1</f>
        <v>-0.14646893006576567</v>
      </c>
      <c r="CX15" s="7" cm="1">
        <f t="array" ref="CX15">PRODUCT(1 + 預測IC!$C15:CX15) - 1</f>
        <v>-0.27653663402798723</v>
      </c>
      <c r="CY15" s="7" cm="1">
        <f t="array" ref="CY15">PRODUCT(1 + 預測IC!$C15:CY15) - 1</f>
        <v>-0.20929223029748445</v>
      </c>
      <c r="CZ15" s="7" cm="1">
        <f t="array" ref="CZ15">PRODUCT(1 + 預測IC!$C15:CZ15) - 1</f>
        <v>-0.2280820840271085</v>
      </c>
      <c r="DA15" s="7" cm="1">
        <f t="array" ref="DA15">PRODUCT(1 + 預測IC!$C15:DA15) - 1</f>
        <v>-0.18340181750461315</v>
      </c>
      <c r="DB15" s="7" cm="1">
        <f t="array" ref="DB15">PRODUCT(1 + 預測IC!$C15:DB15) - 1</f>
        <v>-1.2191064430926102E-2</v>
      </c>
      <c r="DC15" s="7" cm="1">
        <f t="array" ref="DC15">PRODUCT(1 + 預測IC!$C15:DC15) - 1</f>
        <v>-7.9058253576722914E-2</v>
      </c>
      <c r="DD15" s="7" cm="1">
        <f t="array" ref="DD15">PRODUCT(1 + 預測IC!$C15:DD15) - 1</f>
        <v>-9.2418103275101249E-2</v>
      </c>
      <c r="DE15" s="7" cm="1">
        <f t="array" ref="DE15">PRODUCT(1 + 預測IC!$C15:DE15) - 1</f>
        <v>-0.14429878330818069</v>
      </c>
      <c r="DF15" s="7" cm="1">
        <f t="array" ref="DF15">PRODUCT(1 + 預測IC!$C15:DF15) - 1</f>
        <v>-0.14947964880614062</v>
      </c>
      <c r="DG15" s="7" cm="1">
        <f t="array" ref="DG15">PRODUCT(1 + 預測IC!$C15:DG15) - 1</f>
        <v>-0.19023444495484476</v>
      </c>
      <c r="DH15" s="7" cm="1">
        <f t="array" ref="DH15">PRODUCT(1 + 預測IC!$C15:DH15) - 1</f>
        <v>-0.19099434090957723</v>
      </c>
      <c r="DI15" s="7" cm="1">
        <f t="array" ref="DI15">PRODUCT(1 + 預測IC!$C15:DI15) - 1</f>
        <v>-0.14722040491209087</v>
      </c>
      <c r="DJ15" s="7" cm="1">
        <f t="array" ref="DJ15">PRODUCT(1 + 預測IC!$C15:DJ15) - 1</f>
        <v>-9.6033352929844051E-2</v>
      </c>
      <c r="DK15" s="7" cm="1">
        <f t="array" ref="DK15">PRODUCT(1 + 預測IC!$C15:DK15) - 1</f>
        <v>-0.16128943764504688</v>
      </c>
      <c r="DL15" s="7" cm="1">
        <f t="array" ref="DL15">PRODUCT(1 + 預測IC!$C15:DL15) - 1</f>
        <v>-0.16154439995514269</v>
      </c>
      <c r="DM15" s="7" cm="1">
        <f t="array" ref="DM15">PRODUCT(1 + 預測IC!$C15:DM15) - 1</f>
        <v>-0.19428786589055203</v>
      </c>
      <c r="DN15" s="7" cm="1">
        <f t="array" ref="DN15">PRODUCT(1 + 預測IC!$C15:DN15) - 1</f>
        <v>-0.1284364393004096</v>
      </c>
      <c r="DO15" s="7" cm="1">
        <f t="array" ref="DO15">PRODUCT(1 + 預測IC!$C15:DO15) - 1</f>
        <v>1.0617527517158498E-2</v>
      </c>
      <c r="DP15" s="7" cm="1">
        <f t="array" ref="DP15">PRODUCT(1 + 預測IC!$C15:DP15) - 1</f>
        <v>-3.0140872205808189E-2</v>
      </c>
      <c r="DQ15" s="7" cm="1">
        <f t="array" ref="DQ15">PRODUCT(1 + 預測IC!$C15:DQ15) - 1</f>
        <v>-0.10088053476462322</v>
      </c>
      <c r="DR15" s="7" cm="1">
        <f t="array" ref="DR15">PRODUCT(1 + 預測IC!$C15:DR15) - 1</f>
        <v>-3.7932671546276664E-2</v>
      </c>
      <c r="DS15" s="7" cm="1">
        <f t="array" ref="DS15">PRODUCT(1 + 預測IC!$C15:DS15) - 1</f>
        <v>-0.11128252068822775</v>
      </c>
      <c r="DT15" s="7" cm="1">
        <f t="array" ref="DT15">PRODUCT(1 + 預測IC!$C15:DT15) - 1</f>
        <v>-0.15813463083968038</v>
      </c>
      <c r="DU15" s="7" cm="1">
        <f t="array" ref="DU15">PRODUCT(1 + 預測IC!$C15:DU15) - 1</f>
        <v>-0.31694465699906993</v>
      </c>
      <c r="DV15" s="7" cm="1">
        <f t="array" ref="DV15">PRODUCT(1 + 預測IC!$C15:DV15) - 1</f>
        <v>-0.28502703179803812</v>
      </c>
      <c r="DW15" s="7" cm="1">
        <f t="array" ref="DW15">PRODUCT(1 + 預測IC!$C15:DW15) - 1</f>
        <v>-0.32109615724830254</v>
      </c>
      <c r="DX15" s="7" cm="1">
        <f t="array" ref="DX15">PRODUCT(1 + 預測IC!$C15:DX15) - 1</f>
        <v>-0.3357235956235376</v>
      </c>
      <c r="DY15" s="7" cm="1">
        <f t="array" ref="DY15">PRODUCT(1 + 預測IC!$C15:DY15) - 1</f>
        <v>-0.28014117442886821</v>
      </c>
      <c r="DZ15" s="7" cm="1">
        <f t="array" ref="DZ15">PRODUCT(1 + 預測IC!$C15:DZ15) - 1</f>
        <v>-0.25379686252859968</v>
      </c>
      <c r="EA15" s="7" cm="1">
        <f t="array" ref="EA15">PRODUCT(1 + 預測IC!$C15:EA15) - 1</f>
        <v>-0.17232869265174366</v>
      </c>
      <c r="EB15" s="7" cm="1">
        <f t="array" ref="EB15">PRODUCT(1 + 預測IC!$C15:EB15) - 1</f>
        <v>-0.21878296995145641</v>
      </c>
      <c r="EC15" s="7" cm="1">
        <f t="array" ref="EC15">PRODUCT(1 + 預測IC!$C15:EC15) - 1</f>
        <v>-0.27827817530369059</v>
      </c>
      <c r="ED15" s="7" cm="1">
        <f t="array" ref="ED15">PRODUCT(1 + 預測IC!$C15:ED15) - 1</f>
        <v>-0.33051879658135885</v>
      </c>
      <c r="EE15" s="7" cm="1">
        <f t="array" ref="EE15">PRODUCT(1 + 預測IC!$C15:EE15) - 1</f>
        <v>-0.33265492398249352</v>
      </c>
      <c r="EF15" s="7" cm="1">
        <f t="array" ref="EF15">PRODUCT(1 + 預測IC!$C15:EF15) - 1</f>
        <v>-0.28880969105651733</v>
      </c>
    </row>
    <row r="16" spans="1:137" x14ac:dyDescent="0.3">
      <c r="A16" s="1">
        <v>9</v>
      </c>
      <c r="B16" s="1" t="s">
        <v>174</v>
      </c>
      <c r="C16" s="7" cm="1">
        <f t="array" ref="C16">PRODUCT(1 + 預測IC!$C16:C16) - 1</f>
        <v>0.20787477708292901</v>
      </c>
      <c r="D16" s="7" cm="1">
        <f t="array" ref="D16">PRODUCT(1 + 預測IC!$C16:D16) - 1</f>
        <v>0.20700480688444922</v>
      </c>
      <c r="E16" s="7" cm="1">
        <f t="array" ref="E16">PRODUCT(1 + 預測IC!$C16:E16) - 1</f>
        <v>0.20358877011174425</v>
      </c>
      <c r="F16" s="7" cm="1">
        <f t="array" ref="F16">PRODUCT(1 + 預測IC!$C16:F16) - 1</f>
        <v>8.3973117765169469E-2</v>
      </c>
      <c r="G16" s="7" cm="1">
        <f t="array" ref="G16">PRODUCT(1 + 預測IC!$C16:G16) - 1</f>
        <v>4.0883474878892212E-3</v>
      </c>
      <c r="H16" s="7" cm="1">
        <f t="array" ref="H16">PRODUCT(1 + 預測IC!$C16:H16) - 1</f>
        <v>6.5336737232115416E-2</v>
      </c>
      <c r="I16" s="7" cm="1">
        <f t="array" ref="I16">PRODUCT(1 + 預測IC!$C16:I16) - 1</f>
        <v>0.12662621881229374</v>
      </c>
      <c r="J16" s="7" cm="1">
        <f t="array" ref="J16">PRODUCT(1 + 預測IC!$C16:J16) - 1</f>
        <v>0.17925084617074472</v>
      </c>
      <c r="K16" s="7" cm="1">
        <f t="array" ref="K16">PRODUCT(1 + 預測IC!$C16:K16) - 1</f>
        <v>-0.15644714106378477</v>
      </c>
      <c r="L16" s="7" cm="1">
        <f t="array" ref="L16">PRODUCT(1 + 預測IC!$C16:L16) - 1</f>
        <v>-0.14810732654721637</v>
      </c>
      <c r="M16" s="7" cm="1">
        <f t="array" ref="M16">PRODUCT(1 + 預測IC!$C16:M16) - 1</f>
        <v>-0.11374670007907084</v>
      </c>
      <c r="N16" s="7" cm="1">
        <f t="array" ref="N16">PRODUCT(1 + 預測IC!$C16:N16) - 1</f>
        <v>-2.3706934886810194E-3</v>
      </c>
      <c r="O16" s="7" cm="1">
        <f t="array" ref="O16">PRODUCT(1 + 預測IC!$C16:O16) - 1</f>
        <v>7.7266922063858212E-2</v>
      </c>
      <c r="P16" s="7" cm="1">
        <f t="array" ref="P16">PRODUCT(1 + 預測IC!$C16:P16) - 1</f>
        <v>1.1504913105237824E-2</v>
      </c>
      <c r="Q16" s="7" cm="1">
        <f t="array" ref="Q16">PRODUCT(1 + 預測IC!$C16:Q16) - 1</f>
        <v>-7.0911134911923579E-2</v>
      </c>
      <c r="R16" s="7" cm="1">
        <f t="array" ref="R16">PRODUCT(1 + 預測IC!$C16:R16) - 1</f>
        <v>-0.16670920338563433</v>
      </c>
      <c r="S16" s="7" cm="1">
        <f t="array" ref="S16">PRODUCT(1 + 預測IC!$C16:S16) - 1</f>
        <v>-0.40591617633227184</v>
      </c>
      <c r="T16" s="7" cm="1">
        <f t="array" ref="T16">PRODUCT(1 + 預測IC!$C16:T16) - 1</f>
        <v>-0.44584993261405059</v>
      </c>
      <c r="U16" s="7" cm="1">
        <f t="array" ref="U16">PRODUCT(1 + 預測IC!$C16:U16) - 1</f>
        <v>-0.51792405992122659</v>
      </c>
      <c r="V16" s="7" cm="1">
        <f t="array" ref="V16">PRODUCT(1 + 預測IC!$C16:V16) - 1</f>
        <v>-0.52082719129390698</v>
      </c>
      <c r="W16" s="7" cm="1">
        <f t="array" ref="W16">PRODUCT(1 + 預測IC!$C16:W16) - 1</f>
        <v>-0.47211176375307318</v>
      </c>
      <c r="X16" s="7" cm="1">
        <f t="array" ref="X16">PRODUCT(1 + 預測IC!$C16:X16) - 1</f>
        <v>-0.4064373024593384</v>
      </c>
      <c r="Y16" s="7" cm="1">
        <f t="array" ref="Y16">PRODUCT(1 + 預測IC!$C16:Y16) - 1</f>
        <v>-0.39445885795902169</v>
      </c>
      <c r="Z16" s="7" cm="1">
        <f t="array" ref="Z16">PRODUCT(1 + 預測IC!$C16:Z16) - 1</f>
        <v>-0.36838550931747471</v>
      </c>
      <c r="AA16" s="7" cm="1">
        <f t="array" ref="AA16">PRODUCT(1 + 預測IC!$C16:AA16) - 1</f>
        <v>-0.39585293027701207</v>
      </c>
      <c r="AB16" s="7" cm="1">
        <f t="array" ref="AB16">PRODUCT(1 + 預測IC!$C16:AB16) - 1</f>
        <v>-0.35055093709836993</v>
      </c>
      <c r="AC16" s="7" cm="1">
        <f t="array" ref="AC16">PRODUCT(1 + 預測IC!$C16:AC16) - 1</f>
        <v>-0.31987990225224594</v>
      </c>
      <c r="AD16" s="7" cm="1">
        <f t="array" ref="AD16">PRODUCT(1 + 預測IC!$C16:AD16) - 1</f>
        <v>-0.31911678992209669</v>
      </c>
      <c r="AE16" s="7" cm="1">
        <f t="array" ref="AE16">PRODUCT(1 + 預測IC!$C16:AE16) - 1</f>
        <v>-0.3848236269116736</v>
      </c>
      <c r="AF16" s="7" cm="1">
        <f t="array" ref="AF16">PRODUCT(1 + 預測IC!$C16:AF16) - 1</f>
        <v>-0.34564560125525745</v>
      </c>
      <c r="AG16" s="7" cm="1">
        <f t="array" ref="AG16">PRODUCT(1 + 預測IC!$C16:AG16) - 1</f>
        <v>-0.33694873854317053</v>
      </c>
      <c r="AH16" s="7" cm="1">
        <f t="array" ref="AH16">PRODUCT(1 + 預測IC!$C16:AH16) - 1</f>
        <v>-0.23855085377384655</v>
      </c>
      <c r="AI16" s="7" cm="1">
        <f t="array" ref="AI16">PRODUCT(1 + 預測IC!$C16:AI16) - 1</f>
        <v>-0.16962245981331436</v>
      </c>
      <c r="AJ16" s="7" cm="1">
        <f t="array" ref="AJ16">PRODUCT(1 + 預測IC!$C16:AJ16) - 1</f>
        <v>-0.1842613861906448</v>
      </c>
      <c r="AK16" s="7" cm="1">
        <f t="array" ref="AK16">PRODUCT(1 + 預測IC!$C16:AK16) - 1</f>
        <v>-0.19077682732291645</v>
      </c>
      <c r="AL16" s="7" cm="1">
        <f t="array" ref="AL16">PRODUCT(1 + 預測IC!$C16:AL16) - 1</f>
        <v>-0.19517876074411333</v>
      </c>
      <c r="AM16" s="7" cm="1">
        <f t="array" ref="AM16">PRODUCT(1 + 預測IC!$C16:AM16) - 1</f>
        <v>-0.2371467537806462</v>
      </c>
      <c r="AN16" s="7" cm="1">
        <f t="array" ref="AN16">PRODUCT(1 + 預測IC!$C16:AN16) - 1</f>
        <v>-0.15593629596206016</v>
      </c>
      <c r="AO16" s="7" cm="1">
        <f t="array" ref="AO16">PRODUCT(1 + 預測IC!$C16:AO16) - 1</f>
        <v>-0.10408995994136572</v>
      </c>
      <c r="AP16" s="7" cm="1">
        <f t="array" ref="AP16">PRODUCT(1 + 預測IC!$C16:AP16) - 1</f>
        <v>-1.9225165788049003E-2</v>
      </c>
      <c r="AQ16" s="7" cm="1">
        <f t="array" ref="AQ16">PRODUCT(1 + 預測IC!$C16:AQ16) - 1</f>
        <v>3.422485882041193E-2</v>
      </c>
      <c r="AR16" s="7" cm="1">
        <f t="array" ref="AR16">PRODUCT(1 + 預測IC!$C16:AR16) - 1</f>
        <v>6.977321401139891E-2</v>
      </c>
      <c r="AS16" s="7" cm="1">
        <f t="array" ref="AS16">PRODUCT(1 + 預測IC!$C16:AS16) - 1</f>
        <v>1.3457444127387141E-2</v>
      </c>
      <c r="AT16" s="7" cm="1">
        <f t="array" ref="AT16">PRODUCT(1 + 預測IC!$C16:AT16) - 1</f>
        <v>0.1376708862430851</v>
      </c>
      <c r="AU16" s="7" cm="1">
        <f t="array" ref="AU16">PRODUCT(1 + 預測IC!$C16:AU16) - 1</f>
        <v>4.427917392352132E-2</v>
      </c>
      <c r="AV16" s="7" cm="1">
        <f t="array" ref="AV16">PRODUCT(1 + 預測IC!$C16:AV16) - 1</f>
        <v>9.8666105730644382E-2</v>
      </c>
      <c r="AW16" s="7" cm="1">
        <f t="array" ref="AW16">PRODUCT(1 + 預測IC!$C16:AW16) - 1</f>
        <v>0.1417919695542782</v>
      </c>
      <c r="AX16" s="7" cm="1">
        <f t="array" ref="AX16">PRODUCT(1 + 預測IC!$C16:AX16) - 1</f>
        <v>0.25691859493622538</v>
      </c>
      <c r="AY16" s="7" cm="1">
        <f t="array" ref="AY16">PRODUCT(1 + 預測IC!$C16:AY16) - 1</f>
        <v>0.29941826785453562</v>
      </c>
      <c r="AZ16" s="7" cm="1">
        <f t="array" ref="AZ16">PRODUCT(1 + 預測IC!$C16:AZ16) - 1</f>
        <v>0.16309677142936208</v>
      </c>
      <c r="BA16" s="7" cm="1">
        <f t="array" ref="BA16">PRODUCT(1 + 預測IC!$C16:BA16) - 1</f>
        <v>0.12365434317083257</v>
      </c>
      <c r="BB16" s="7" cm="1">
        <f t="array" ref="BB16">PRODUCT(1 + 預測IC!$C16:BB16) - 1</f>
        <v>0.24505274952656109</v>
      </c>
      <c r="BC16" s="7" cm="1">
        <f t="array" ref="BC16">PRODUCT(1 + 預測IC!$C16:BC16) - 1</f>
        <v>0.32862251545619658</v>
      </c>
      <c r="BD16" s="7" cm="1">
        <f t="array" ref="BD16">PRODUCT(1 + 預測IC!$C16:BD16) - 1</f>
        <v>0.3763688395475393</v>
      </c>
      <c r="BE16" s="7" cm="1">
        <f t="array" ref="BE16">PRODUCT(1 + 預測IC!$C16:BE16) - 1</f>
        <v>0.44712933024224788</v>
      </c>
      <c r="BF16" s="7" cm="1">
        <f t="array" ref="BF16">PRODUCT(1 + 預測IC!$C16:BF16) - 1</f>
        <v>8.8549698789368803E-2</v>
      </c>
      <c r="BG16" s="7" cm="1">
        <f t="array" ref="BG16">PRODUCT(1 + 預測IC!$C16:BG16) - 1</f>
        <v>-8.6956700617615623E-2</v>
      </c>
      <c r="BH16" s="7" cm="1">
        <f t="array" ref="BH16">PRODUCT(1 + 預測IC!$C16:BH16) - 1</f>
        <v>-0.17475680187987941</v>
      </c>
      <c r="BI16" s="7" cm="1">
        <f t="array" ref="BI16">PRODUCT(1 + 預測IC!$C16:BI16) - 1</f>
        <v>-0.13432818676130964</v>
      </c>
      <c r="BJ16" s="7" cm="1">
        <f t="array" ref="BJ16">PRODUCT(1 + 預測IC!$C16:BJ16) - 1</f>
        <v>-0.21792334666792657</v>
      </c>
      <c r="BK16" s="7" cm="1">
        <f t="array" ref="BK16">PRODUCT(1 + 預測IC!$C16:BK16) - 1</f>
        <v>-0.21559902244412343</v>
      </c>
      <c r="BL16" s="7" cm="1">
        <f t="array" ref="BL16">PRODUCT(1 + 預測IC!$C16:BL16) - 1</f>
        <v>-0.16020182846466058</v>
      </c>
      <c r="BM16" s="7" cm="1">
        <f t="array" ref="BM16">PRODUCT(1 + 預測IC!$C16:BM16) - 1</f>
        <v>-9.1738227267942785E-2</v>
      </c>
      <c r="BN16" s="7" cm="1">
        <f t="array" ref="BN16">PRODUCT(1 + 預測IC!$C16:BN16) - 1</f>
        <v>-4.8227190822803911E-2</v>
      </c>
      <c r="BO16" s="7" cm="1">
        <f t="array" ref="BO16">PRODUCT(1 + 預測IC!$C16:BO16) - 1</f>
        <v>-2.7392541435811046E-2</v>
      </c>
      <c r="BP16" s="7" cm="1">
        <f t="array" ref="BP16">PRODUCT(1 + 預測IC!$C16:BP16) - 1</f>
        <v>-7.1203056572117784E-3</v>
      </c>
      <c r="BQ16" s="7" cm="1">
        <f t="array" ref="BQ16">PRODUCT(1 + 預測IC!$C16:BQ16) - 1</f>
        <v>9.2403820853570462E-3</v>
      </c>
      <c r="BR16" s="7" cm="1">
        <f t="array" ref="BR16">PRODUCT(1 + 預測IC!$C16:BR16) - 1</f>
        <v>-1.729945885944606E-2</v>
      </c>
      <c r="BS16" s="7" cm="1">
        <f t="array" ref="BS16">PRODUCT(1 + 預測IC!$C16:BS16) - 1</f>
        <v>-3.0262824929954357E-2</v>
      </c>
      <c r="BT16" s="7" cm="1">
        <f t="array" ref="BT16">PRODUCT(1 + 預測IC!$C16:BT16) - 1</f>
        <v>5.2633403486054053E-2</v>
      </c>
      <c r="BU16" s="7" cm="1">
        <f t="array" ref="BU16">PRODUCT(1 + 預測IC!$C16:BU16) - 1</f>
        <v>-8.1720810505193642E-3</v>
      </c>
      <c r="BV16" s="7" cm="1">
        <f t="array" ref="BV16">PRODUCT(1 + 預測IC!$C16:BV16) - 1</f>
        <v>5.2043021226884312E-2</v>
      </c>
      <c r="BW16" s="7" cm="1">
        <f t="array" ref="BW16">PRODUCT(1 + 預測IC!$C16:BW16) - 1</f>
        <v>-1.7119262681184466E-2</v>
      </c>
      <c r="BX16" s="7" cm="1">
        <f t="array" ref="BX16">PRODUCT(1 + 預測IC!$C16:BX16) - 1</f>
        <v>1.3899703962804377E-2</v>
      </c>
      <c r="BY16" s="7" cm="1">
        <f t="array" ref="BY16">PRODUCT(1 + 預測IC!$C16:BY16) - 1</f>
        <v>-3.7366849802269564E-2</v>
      </c>
      <c r="BZ16" s="7" cm="1">
        <f t="array" ref="BZ16">PRODUCT(1 + 預測IC!$C16:BZ16) - 1</f>
        <v>8.9298199904183528E-2</v>
      </c>
      <c r="CA16" s="7" cm="1">
        <f t="array" ref="CA16">PRODUCT(1 + 預測IC!$C16:CA16) - 1</f>
        <v>0.23141880951088156</v>
      </c>
      <c r="CB16" s="7" cm="1">
        <f t="array" ref="CB16">PRODUCT(1 + 預測IC!$C16:CB16) - 1</f>
        <v>0.37409782591043195</v>
      </c>
      <c r="CC16" s="7" cm="1">
        <f t="array" ref="CC16">PRODUCT(1 + 預測IC!$C16:CC16) - 1</f>
        <v>0.15551662959595203</v>
      </c>
      <c r="CD16" s="7" cm="1">
        <f t="array" ref="CD16">PRODUCT(1 + 預測IC!$C16:CD16) - 1</f>
        <v>0.33470406273280395</v>
      </c>
      <c r="CE16" s="7" cm="1">
        <f t="array" ref="CE16">PRODUCT(1 + 預測IC!$C16:CE16) - 1</f>
        <v>0.15772889639340115</v>
      </c>
      <c r="CF16" s="7" cm="1">
        <f t="array" ref="CF16">PRODUCT(1 + 預測IC!$C16:CF16) - 1</f>
        <v>9.6600713026437912E-2</v>
      </c>
      <c r="CG16" s="7" cm="1">
        <f t="array" ref="CG16">PRODUCT(1 + 預測IC!$C16:CG16) - 1</f>
        <v>2.8909877837194342E-2</v>
      </c>
      <c r="CH16" s="7" cm="1">
        <f t="array" ref="CH16">PRODUCT(1 + 預測IC!$C16:CH16) - 1</f>
        <v>-2.2997313335036518E-2</v>
      </c>
      <c r="CI16" s="7" cm="1">
        <f t="array" ref="CI16">PRODUCT(1 + 預測IC!$C16:CI16) - 1</f>
        <v>-1.8854169196210857E-2</v>
      </c>
      <c r="CJ16" s="7" cm="1">
        <f t="array" ref="CJ16">PRODUCT(1 + 預測IC!$C16:CJ16) - 1</f>
        <v>-6.3519411254914449E-2</v>
      </c>
      <c r="CK16" s="7" cm="1">
        <f t="array" ref="CK16">PRODUCT(1 + 預測IC!$C16:CK16) - 1</f>
        <v>8.0960535601215522E-3</v>
      </c>
      <c r="CL16" s="7" cm="1">
        <f t="array" ref="CL16">PRODUCT(1 + 預測IC!$C16:CL16) - 1</f>
        <v>2.4103290557476731E-2</v>
      </c>
      <c r="CM16" s="7" cm="1">
        <f t="array" ref="CM16">PRODUCT(1 + 預測IC!$C16:CM16) - 1</f>
        <v>-9.167756555586426E-2</v>
      </c>
      <c r="CN16" s="7" cm="1">
        <f t="array" ref="CN16">PRODUCT(1 + 預測IC!$C16:CN16) - 1</f>
        <v>-0.12170444818536585</v>
      </c>
      <c r="CO16" s="7" cm="1">
        <f t="array" ref="CO16">PRODUCT(1 + 預測IC!$C16:CO16) - 1</f>
        <v>-0.23995834466444654</v>
      </c>
      <c r="CP16" s="7" cm="1">
        <f t="array" ref="CP16">PRODUCT(1 + 預測IC!$C16:CP16) - 1</f>
        <v>-0.15547861246024142</v>
      </c>
      <c r="CQ16" s="7" cm="1">
        <f t="array" ref="CQ16">PRODUCT(1 + 預測IC!$C16:CQ16) - 1</f>
        <v>-0.17265092440806051</v>
      </c>
      <c r="CR16" s="7" cm="1">
        <f t="array" ref="CR16">PRODUCT(1 + 預測IC!$C16:CR16) - 1</f>
        <v>-1.6044885921805752E-2</v>
      </c>
      <c r="CS16" s="7" cm="1">
        <f t="array" ref="CS16">PRODUCT(1 + 預測IC!$C16:CS16) - 1</f>
        <v>-5.6241604826935188E-2</v>
      </c>
      <c r="CT16" s="7" cm="1">
        <f t="array" ref="CT16">PRODUCT(1 + 預測IC!$C16:CT16) - 1</f>
        <v>-1.0088491769961405E-2</v>
      </c>
      <c r="CU16" s="7" cm="1">
        <f t="array" ref="CU16">PRODUCT(1 + 預測IC!$C16:CU16) - 1</f>
        <v>-0.14419348749493632</v>
      </c>
      <c r="CV16" s="7" cm="1">
        <f t="array" ref="CV16">PRODUCT(1 + 預測IC!$C16:CV16) - 1</f>
        <v>3.2204873679937407E-3</v>
      </c>
      <c r="CW16" s="7" cm="1">
        <f t="array" ref="CW16">PRODUCT(1 + 預測IC!$C16:CW16) - 1</f>
        <v>-2.8554629667783882E-2</v>
      </c>
      <c r="CX16" s="7" cm="1">
        <f t="array" ref="CX16">PRODUCT(1 + 預測IC!$C16:CX16) - 1</f>
        <v>-0.18618716013795211</v>
      </c>
      <c r="CY16" s="7" cm="1">
        <f t="array" ref="CY16">PRODUCT(1 + 預測IC!$C16:CY16) - 1</f>
        <v>-0.12003993340373897</v>
      </c>
      <c r="CZ16" s="7" cm="1">
        <f t="array" ref="CZ16">PRODUCT(1 + 預測IC!$C16:CZ16) - 1</f>
        <v>-0.14883647016328705</v>
      </c>
      <c r="DA16" s="7" cm="1">
        <f t="array" ref="DA16">PRODUCT(1 + 預測IC!$C16:DA16) - 1</f>
        <v>-8.2355237451283703E-2</v>
      </c>
      <c r="DB16" s="7" cm="1">
        <f t="array" ref="DB16">PRODUCT(1 + 預測IC!$C16:DB16) - 1</f>
        <v>0.13023125387939638</v>
      </c>
      <c r="DC16" s="7" cm="1">
        <f t="array" ref="DC16">PRODUCT(1 + 預測IC!$C16:DC16) - 1</f>
        <v>3.6123620410471569E-2</v>
      </c>
      <c r="DD16" s="7" cm="1">
        <f t="array" ref="DD16">PRODUCT(1 + 預測IC!$C16:DD16) - 1</f>
        <v>3.2332121751292853E-3</v>
      </c>
      <c r="DE16" s="7" cm="1">
        <f t="array" ref="DE16">PRODUCT(1 + 預測IC!$C16:DE16) - 1</f>
        <v>-3.1430903425180734E-2</v>
      </c>
      <c r="DF16" s="7" cm="1">
        <f t="array" ref="DF16">PRODUCT(1 + 預測IC!$C16:DF16) - 1</f>
        <v>-3.4044115974103728E-2</v>
      </c>
      <c r="DG16" s="7" cm="1">
        <f t="array" ref="DG16">PRODUCT(1 + 預測IC!$C16:DG16) - 1</f>
        <v>-7.8166000810413361E-2</v>
      </c>
      <c r="DH16" s="7" cm="1">
        <f t="array" ref="DH16">PRODUCT(1 + 預測IC!$C16:DH16) - 1</f>
        <v>-7.4498178228423972E-2</v>
      </c>
      <c r="DI16" s="7" cm="1">
        <f t="array" ref="DI16">PRODUCT(1 + 預測IC!$C16:DI16) - 1</f>
        <v>-3.2480860213291773E-2</v>
      </c>
      <c r="DJ16" s="7" cm="1">
        <f t="array" ref="DJ16">PRODUCT(1 + 預測IC!$C16:DJ16) - 1</f>
        <v>3.6169511083964601E-2</v>
      </c>
      <c r="DK16" s="7" cm="1">
        <f t="array" ref="DK16">PRODUCT(1 + 預測IC!$C16:DK16) - 1</f>
        <v>-2.3602724337087433E-2</v>
      </c>
      <c r="DL16" s="7" cm="1">
        <f t="array" ref="DL16">PRODUCT(1 + 預測IC!$C16:DL16) - 1</f>
        <v>-4.4959339165484447E-2</v>
      </c>
      <c r="DM16" s="7" cm="1">
        <f t="array" ref="DM16">PRODUCT(1 + 預測IC!$C16:DM16) - 1</f>
        <v>-6.3019515408037963E-2</v>
      </c>
      <c r="DN16" s="7" cm="1">
        <f t="array" ref="DN16">PRODUCT(1 + 預測IC!$C16:DN16) - 1</f>
        <v>4.5564090660163092E-2</v>
      </c>
      <c r="DO16" s="7" cm="1">
        <f t="array" ref="DO16">PRODUCT(1 + 預測IC!$C16:DO16) - 1</f>
        <v>0.22288229430460649</v>
      </c>
      <c r="DP16" s="7" cm="1">
        <f t="array" ref="DP16">PRODUCT(1 + 預測IC!$C16:DP16) - 1</f>
        <v>0.19265682211627011</v>
      </c>
      <c r="DQ16" s="7" cm="1">
        <f t="array" ref="DQ16">PRODUCT(1 + 預測IC!$C16:DQ16) - 1</f>
        <v>0.11208030709738503</v>
      </c>
      <c r="DR16" s="7" cm="1">
        <f t="array" ref="DR16">PRODUCT(1 + 預測IC!$C16:DR16) - 1</f>
        <v>0.17345741118086688</v>
      </c>
      <c r="DS16" s="7" cm="1">
        <f t="array" ref="DS16">PRODUCT(1 + 預測IC!$C16:DS16) - 1</f>
        <v>6.3443355705129489E-2</v>
      </c>
      <c r="DT16" s="7" cm="1">
        <f t="array" ref="DT16">PRODUCT(1 + 預測IC!$C16:DT16) - 1</f>
        <v>5.800551222696626E-4</v>
      </c>
      <c r="DU16" s="7" cm="1">
        <f t="array" ref="DU16">PRODUCT(1 + 預測IC!$C16:DU16) - 1</f>
        <v>-0.18963846058346512</v>
      </c>
      <c r="DV16" s="7" cm="1">
        <f t="array" ref="DV16">PRODUCT(1 + 預測IC!$C16:DV16) - 1</f>
        <v>-0.15258199108464099</v>
      </c>
      <c r="DW16" s="7" cm="1">
        <f t="array" ref="DW16">PRODUCT(1 + 預測IC!$C16:DW16) - 1</f>
        <v>-0.1781224173575271</v>
      </c>
      <c r="DX16" s="7" cm="1">
        <f t="array" ref="DX16">PRODUCT(1 + 預測IC!$C16:DX16) - 1</f>
        <v>-0.19616076280659467</v>
      </c>
      <c r="DY16" s="7" cm="1">
        <f t="array" ref="DY16">PRODUCT(1 + 預測IC!$C16:DY16) - 1</f>
        <v>-0.11980820200607634</v>
      </c>
      <c r="DZ16" s="7" cm="1">
        <f t="array" ref="DZ16">PRODUCT(1 + 預測IC!$C16:DZ16) - 1</f>
        <v>-0.10867450492484687</v>
      </c>
      <c r="EA16" s="7" cm="1">
        <f t="array" ref="EA16">PRODUCT(1 + 預測IC!$C16:EA16) - 1</f>
        <v>1.5931924667625497E-2</v>
      </c>
      <c r="EB16" s="7" cm="1">
        <f t="array" ref="EB16">PRODUCT(1 + 預測IC!$C16:EB16) - 1</f>
        <v>-5.6072701343006015E-2</v>
      </c>
      <c r="EC16" s="7" cm="1">
        <f t="array" ref="EC16">PRODUCT(1 + 預測IC!$C16:EC16) - 1</f>
        <v>-0.12073311884941085</v>
      </c>
      <c r="ED16" s="7" cm="1">
        <f t="array" ref="ED16">PRODUCT(1 + 預測IC!$C16:ED16) - 1</f>
        <v>-0.19132498360639072</v>
      </c>
      <c r="EE16" s="7" cm="1">
        <f t="array" ref="EE16">PRODUCT(1 + 預測IC!$C16:EE16) - 1</f>
        <v>-0.19488046508216195</v>
      </c>
      <c r="EF16" s="7" cm="1">
        <f t="array" ref="EF16">PRODUCT(1 + 預測IC!$C16:EF16) - 1</f>
        <v>-0.16068349470547394</v>
      </c>
    </row>
    <row r="17" spans="1:136" x14ac:dyDescent="0.3">
      <c r="A17" s="1">
        <v>8</v>
      </c>
      <c r="B17" s="1" t="s">
        <v>175</v>
      </c>
      <c r="C17" s="7" cm="1">
        <f t="array" ref="C17">PRODUCT(1 + 預測IC!$C17:C17) - 1</f>
        <v>0.20609218837920595</v>
      </c>
      <c r="D17" s="7" cm="1">
        <f t="array" ref="D17">PRODUCT(1 + 預測IC!$C17:D17) - 1</f>
        <v>0.18518533442319085</v>
      </c>
      <c r="E17" s="7" cm="1">
        <f t="array" ref="E17">PRODUCT(1 + 預測IC!$C17:E17) - 1</f>
        <v>0.19393081877810858</v>
      </c>
      <c r="F17" s="7" cm="1">
        <f t="array" ref="F17">PRODUCT(1 + 預測IC!$C17:F17) - 1</f>
        <v>5.9210631965228577E-2</v>
      </c>
      <c r="G17" s="7" cm="1">
        <f t="array" ref="G17">PRODUCT(1 + 預測IC!$C17:G17) - 1</f>
        <v>-1.6229279950122466E-2</v>
      </c>
      <c r="H17" s="7" cm="1">
        <f t="array" ref="H17">PRODUCT(1 + 預測IC!$C17:H17) - 1</f>
        <v>5.921395348758951E-2</v>
      </c>
      <c r="I17" s="7" cm="1">
        <f t="array" ref="I17">PRODUCT(1 + 預測IC!$C17:I17) - 1</f>
        <v>0.17967308979643049</v>
      </c>
      <c r="J17" s="7" cm="1">
        <f t="array" ref="J17">PRODUCT(1 + 預測IC!$C17:J17) - 1</f>
        <v>0.22905231209947163</v>
      </c>
      <c r="K17" s="7" cm="1">
        <f t="array" ref="K17">PRODUCT(1 + 預測IC!$C17:K17) - 1</f>
        <v>-0.13576304682318652</v>
      </c>
      <c r="L17" s="7" cm="1">
        <f t="array" ref="L17">PRODUCT(1 + 預測IC!$C17:L17) - 1</f>
        <v>-0.12737053726201941</v>
      </c>
      <c r="M17" s="7" cm="1">
        <f t="array" ref="M17">PRODUCT(1 + 預測IC!$C17:M17) - 1</f>
        <v>-7.0708930459896124E-2</v>
      </c>
      <c r="N17" s="7" cm="1">
        <f t="array" ref="N17">PRODUCT(1 + 預測IC!$C17:N17) - 1</f>
        <v>5.5626733364736891E-2</v>
      </c>
      <c r="O17" s="7" cm="1">
        <f t="array" ref="O17">PRODUCT(1 + 預測IC!$C17:O17) - 1</f>
        <v>0.16248441714075845</v>
      </c>
      <c r="P17" s="7" cm="1">
        <f t="array" ref="P17">PRODUCT(1 + 預測IC!$C17:P17) - 1</f>
        <v>8.5365934273918809E-2</v>
      </c>
      <c r="Q17" s="7" cm="1">
        <f t="array" ref="Q17">PRODUCT(1 + 預測IC!$C17:Q17) - 1</f>
        <v>-2.3460265504465894E-2</v>
      </c>
      <c r="R17" s="7" cm="1">
        <f t="array" ref="R17">PRODUCT(1 + 預測IC!$C17:R17) - 1</f>
        <v>-0.15668611007848376</v>
      </c>
      <c r="S17" s="7" cm="1">
        <f t="array" ref="S17">PRODUCT(1 + 預測IC!$C17:S17) - 1</f>
        <v>-0.41866446478849506</v>
      </c>
      <c r="T17" s="7" cm="1">
        <f t="array" ref="T17">PRODUCT(1 + 預測IC!$C17:T17) - 1</f>
        <v>-0.46005672601506176</v>
      </c>
      <c r="U17" s="7" cm="1">
        <f t="array" ref="U17">PRODUCT(1 + 預測IC!$C17:U17) - 1</f>
        <v>-0.53633512923692306</v>
      </c>
      <c r="V17" s="7" cm="1">
        <f t="array" ref="V17">PRODUCT(1 + 預測IC!$C17:V17) - 1</f>
        <v>-0.53447528142292977</v>
      </c>
      <c r="W17" s="7" cm="1">
        <f t="array" ref="W17">PRODUCT(1 + 預測IC!$C17:W17) - 1</f>
        <v>-0.47879667042490393</v>
      </c>
      <c r="X17" s="7" cm="1">
        <f t="array" ref="X17">PRODUCT(1 + 預測IC!$C17:X17) - 1</f>
        <v>-0.41789604300996641</v>
      </c>
      <c r="Y17" s="7" cm="1">
        <f t="array" ref="Y17">PRODUCT(1 + 預測IC!$C17:Y17) - 1</f>
        <v>-0.40454955704448381</v>
      </c>
      <c r="Z17" s="7" cm="1">
        <f t="array" ref="Z17">PRODUCT(1 + 預測IC!$C17:Z17) - 1</f>
        <v>-0.37247354123489329</v>
      </c>
      <c r="AA17" s="7" cm="1">
        <f t="array" ref="AA17">PRODUCT(1 + 預測IC!$C17:AA17) - 1</f>
        <v>-0.39456861580527525</v>
      </c>
      <c r="AB17" s="7" cm="1">
        <f t="array" ref="AB17">PRODUCT(1 + 預測IC!$C17:AB17) - 1</f>
        <v>-0.34319651392516548</v>
      </c>
      <c r="AC17" s="7" cm="1">
        <f t="array" ref="AC17">PRODUCT(1 + 預測IC!$C17:AC17) - 1</f>
        <v>-0.3046233054097599</v>
      </c>
      <c r="AD17" s="7" cm="1">
        <f t="array" ref="AD17">PRODUCT(1 + 預測IC!$C17:AD17) - 1</f>
        <v>-0.28938562425922265</v>
      </c>
      <c r="AE17" s="7" cm="1">
        <f t="array" ref="AE17">PRODUCT(1 + 預測IC!$C17:AE17) - 1</f>
        <v>-0.37974622724673945</v>
      </c>
      <c r="AF17" s="7" cm="1">
        <f t="array" ref="AF17">PRODUCT(1 + 預測IC!$C17:AF17) - 1</f>
        <v>-0.34164446588597608</v>
      </c>
      <c r="AG17" s="7" cm="1">
        <f t="array" ref="AG17">PRODUCT(1 + 預測IC!$C17:AG17) - 1</f>
        <v>-0.32667281533315362</v>
      </c>
      <c r="AH17" s="7" cm="1">
        <f t="array" ref="AH17">PRODUCT(1 + 預測IC!$C17:AH17) - 1</f>
        <v>-0.22767696057458786</v>
      </c>
      <c r="AI17" s="7" cm="1">
        <f t="array" ref="AI17">PRODUCT(1 + 預測IC!$C17:AI17) - 1</f>
        <v>-0.13896450298266894</v>
      </c>
      <c r="AJ17" s="7" cm="1">
        <f t="array" ref="AJ17">PRODUCT(1 + 預測IC!$C17:AJ17) - 1</f>
        <v>-0.15808591393205129</v>
      </c>
      <c r="AK17" s="7" cm="1">
        <f t="array" ref="AK17">PRODUCT(1 + 預測IC!$C17:AK17) - 1</f>
        <v>-0.1693050192051615</v>
      </c>
      <c r="AL17" s="7" cm="1">
        <f t="array" ref="AL17">PRODUCT(1 + 預測IC!$C17:AL17) - 1</f>
        <v>-0.19174888752289165</v>
      </c>
      <c r="AM17" s="7" cm="1">
        <f t="array" ref="AM17">PRODUCT(1 + 預測IC!$C17:AM17) - 1</f>
        <v>-0.26720051100347519</v>
      </c>
      <c r="AN17" s="7" cm="1">
        <f t="array" ref="AN17">PRODUCT(1 + 預測IC!$C17:AN17) - 1</f>
        <v>-0.18418376710409878</v>
      </c>
      <c r="AO17" s="7" cm="1">
        <f t="array" ref="AO17">PRODUCT(1 + 預測IC!$C17:AO17) - 1</f>
        <v>-0.17387810348153454</v>
      </c>
      <c r="AP17" s="7" cm="1">
        <f t="array" ref="AP17">PRODUCT(1 + 預測IC!$C17:AP17) - 1</f>
        <v>-9.6703795057215491E-2</v>
      </c>
      <c r="AQ17" s="7" cm="1">
        <f t="array" ref="AQ17">PRODUCT(1 + 預測IC!$C17:AQ17) - 1</f>
        <v>-4.135228576950345E-2</v>
      </c>
      <c r="AR17" s="7" cm="1">
        <f t="array" ref="AR17">PRODUCT(1 + 預測IC!$C17:AR17) - 1</f>
        <v>2.55629652676026E-3</v>
      </c>
      <c r="AS17" s="7" cm="1">
        <f t="array" ref="AS17">PRODUCT(1 + 預測IC!$C17:AS17) - 1</f>
        <v>-5.6396978212073789E-2</v>
      </c>
      <c r="AT17" s="7" cm="1">
        <f t="array" ref="AT17">PRODUCT(1 + 預測IC!$C17:AT17) - 1</f>
        <v>6.3508349747939175E-2</v>
      </c>
      <c r="AU17" s="7" cm="1">
        <f t="array" ref="AU17">PRODUCT(1 + 預測IC!$C17:AU17) - 1</f>
        <v>-5.9539151054157635E-2</v>
      </c>
      <c r="AV17" s="7" cm="1">
        <f t="array" ref="AV17">PRODUCT(1 + 預測IC!$C17:AV17) - 1</f>
        <v>-4.4944954445775842E-3</v>
      </c>
      <c r="AW17" s="7" cm="1">
        <f t="array" ref="AW17">PRODUCT(1 + 預測IC!$C17:AW17) - 1</f>
        <v>3.8895404598204841E-3</v>
      </c>
      <c r="AX17" s="7" cm="1">
        <f t="array" ref="AX17">PRODUCT(1 + 預測IC!$C17:AX17) - 1</f>
        <v>0.10050443051481528</v>
      </c>
      <c r="AY17" s="7" cm="1">
        <f t="array" ref="AY17">PRODUCT(1 + 預測IC!$C17:AY17) - 1</f>
        <v>0.13068433022391601</v>
      </c>
      <c r="AZ17" s="7" cm="1">
        <f t="array" ref="AZ17">PRODUCT(1 + 預測IC!$C17:AZ17) - 1</f>
        <v>-1.0829409460079487E-2</v>
      </c>
      <c r="BA17" s="7" cm="1">
        <f t="array" ref="BA17">PRODUCT(1 + 預測IC!$C17:BA17) - 1</f>
        <v>-4.9181151010824209E-2</v>
      </c>
      <c r="BB17" s="7" cm="1">
        <f t="array" ref="BB17">PRODUCT(1 + 預測IC!$C17:BB17) - 1</f>
        <v>6.8496053025304926E-2</v>
      </c>
      <c r="BC17" s="7" cm="1">
        <f t="array" ref="BC17">PRODUCT(1 + 預測IC!$C17:BC17) - 1</f>
        <v>0.15810354606688959</v>
      </c>
      <c r="BD17" s="7" cm="1">
        <f t="array" ref="BD17">PRODUCT(1 + 預測IC!$C17:BD17) - 1</f>
        <v>0.18399466743380088</v>
      </c>
      <c r="BE17" s="7" cm="1">
        <f t="array" ref="BE17">PRODUCT(1 + 預測IC!$C17:BE17) - 1</f>
        <v>0.2755769417683771</v>
      </c>
      <c r="BF17" s="7" cm="1">
        <f t="array" ref="BF17">PRODUCT(1 + 預測IC!$C17:BF17) - 1</f>
        <v>8.7076224535388214E-2</v>
      </c>
      <c r="BG17" s="7" cm="1">
        <f t="array" ref="BG17">PRODUCT(1 + 預測IC!$C17:BG17) - 1</f>
        <v>-0.11484989972061999</v>
      </c>
      <c r="BH17" s="7" cm="1">
        <f t="array" ref="BH17">PRODUCT(1 + 預測IC!$C17:BH17) - 1</f>
        <v>-0.23274402703685726</v>
      </c>
      <c r="BI17" s="7" cm="1">
        <f t="array" ref="BI17">PRODUCT(1 + 預測IC!$C17:BI17) - 1</f>
        <v>-0.17079700772822726</v>
      </c>
      <c r="BJ17" s="7" cm="1">
        <f t="array" ref="BJ17">PRODUCT(1 + 預測IC!$C17:BJ17) - 1</f>
        <v>-0.25194964880690951</v>
      </c>
      <c r="BK17" s="7" cm="1">
        <f t="array" ref="BK17">PRODUCT(1 + 預測IC!$C17:BK17) - 1</f>
        <v>-0.26228991295747717</v>
      </c>
      <c r="BL17" s="7" cm="1">
        <f t="array" ref="BL17">PRODUCT(1 + 預測IC!$C17:BL17) - 1</f>
        <v>-0.20512994677517593</v>
      </c>
      <c r="BM17" s="7" cm="1">
        <f t="array" ref="BM17">PRODUCT(1 + 預測IC!$C17:BM17) - 1</f>
        <v>-0.14472159493590731</v>
      </c>
      <c r="BN17" s="7" cm="1">
        <f t="array" ref="BN17">PRODUCT(1 + 預測IC!$C17:BN17) - 1</f>
        <v>-0.10459575903323171</v>
      </c>
      <c r="BO17" s="7" cm="1">
        <f t="array" ref="BO17">PRODUCT(1 + 預測IC!$C17:BO17) - 1</f>
        <v>-7.3095782193517422E-2</v>
      </c>
      <c r="BP17" s="7" cm="1">
        <f t="array" ref="BP17">PRODUCT(1 + 預測IC!$C17:BP17) - 1</f>
        <v>-3.9730956827702779E-2</v>
      </c>
      <c r="BQ17" s="7" cm="1">
        <f t="array" ref="BQ17">PRODUCT(1 + 預測IC!$C17:BQ17) - 1</f>
        <v>-2.8806446026649057E-2</v>
      </c>
      <c r="BR17" s="7" cm="1">
        <f t="array" ref="BR17">PRODUCT(1 + 預測IC!$C17:BR17) - 1</f>
        <v>-3.8174943367014991E-2</v>
      </c>
      <c r="BS17" s="7" cm="1">
        <f t="array" ref="BS17">PRODUCT(1 + 預測IC!$C17:BS17) - 1</f>
        <v>-4.2121762776715865E-2</v>
      </c>
      <c r="BT17" s="7" cm="1">
        <f t="array" ref="BT17">PRODUCT(1 + 預測IC!$C17:BT17) - 1</f>
        <v>6.2685805339040224E-2</v>
      </c>
      <c r="BU17" s="7" cm="1">
        <f t="array" ref="BU17">PRODUCT(1 + 預測IC!$C17:BU17) - 1</f>
        <v>-1.2900718012112455E-2</v>
      </c>
      <c r="BV17" s="7" cm="1">
        <f t="array" ref="BV17">PRODUCT(1 + 預測IC!$C17:BV17) - 1</f>
        <v>5.640382168671465E-2</v>
      </c>
      <c r="BW17" s="7" cm="1">
        <f t="array" ref="BW17">PRODUCT(1 + 預測IC!$C17:BW17) - 1</f>
        <v>-2.8564546887957398E-2</v>
      </c>
      <c r="BX17" s="7" cm="1">
        <f t="array" ref="BX17">PRODUCT(1 + 預測IC!$C17:BX17) - 1</f>
        <v>-5.6489719261332283E-4</v>
      </c>
      <c r="BY17" s="7" cm="1">
        <f t="array" ref="BY17">PRODUCT(1 + 預測IC!$C17:BY17) - 1</f>
        <v>-8.4762774793153861E-2</v>
      </c>
      <c r="BZ17" s="7" cm="1">
        <f t="array" ref="BZ17">PRODUCT(1 + 預測IC!$C17:BZ17) - 1</f>
        <v>-2.3572273994293735E-2</v>
      </c>
      <c r="CA17" s="7" cm="1">
        <f t="array" ref="CA17">PRODUCT(1 + 預測IC!$C17:CA17) - 1</f>
        <v>0.10422048529412131</v>
      </c>
      <c r="CB17" s="7" cm="1">
        <f t="array" ref="CB17">PRODUCT(1 + 預測IC!$C17:CB17) - 1</f>
        <v>0.22476363882670625</v>
      </c>
      <c r="CC17" s="7" cm="1">
        <f t="array" ref="CC17">PRODUCT(1 + 預測IC!$C17:CC17) - 1</f>
        <v>1.0481473961356347E-2</v>
      </c>
      <c r="CD17" s="7" cm="1">
        <f t="array" ref="CD17">PRODUCT(1 + 預測IC!$C17:CD17) - 1</f>
        <v>0.18525408820445644</v>
      </c>
      <c r="CE17" s="7" cm="1">
        <f t="array" ref="CE17">PRODUCT(1 + 預測IC!$C17:CE17) - 1</f>
        <v>-2.2303157692606379E-2</v>
      </c>
      <c r="CF17" s="7" cm="1">
        <f t="array" ref="CF17">PRODUCT(1 + 預測IC!$C17:CF17) - 1</f>
        <v>-7.9243045223023834E-2</v>
      </c>
      <c r="CG17" s="7" cm="1">
        <f t="array" ref="CG17">PRODUCT(1 + 預測IC!$C17:CG17) - 1</f>
        <v>-0.14803739062901067</v>
      </c>
      <c r="CH17" s="7" cm="1">
        <f t="array" ref="CH17">PRODUCT(1 + 預測IC!$C17:CH17) - 1</f>
        <v>-0.17612580738389039</v>
      </c>
      <c r="CI17" s="7" cm="1">
        <f t="array" ref="CI17">PRODUCT(1 + 預測IC!$C17:CI17) - 1</f>
        <v>-0.17307600359466768</v>
      </c>
      <c r="CJ17" s="7" cm="1">
        <f t="array" ref="CJ17">PRODUCT(1 + 預測IC!$C17:CJ17) - 1</f>
        <v>-0.21503604686346667</v>
      </c>
      <c r="CK17" s="7" cm="1">
        <f t="array" ref="CK17">PRODUCT(1 + 預測IC!$C17:CK17) - 1</f>
        <v>-0.14302457421480819</v>
      </c>
      <c r="CL17" s="7" cm="1">
        <f t="array" ref="CL17">PRODUCT(1 + 預測IC!$C17:CL17) - 1</f>
        <v>-0.15110272003684677</v>
      </c>
      <c r="CM17" s="7" cm="1">
        <f t="array" ref="CM17">PRODUCT(1 + 預測IC!$C17:CM17) - 1</f>
        <v>-0.2321672072261719</v>
      </c>
      <c r="CN17" s="7" cm="1">
        <f t="array" ref="CN17">PRODUCT(1 + 預測IC!$C17:CN17) - 1</f>
        <v>-0.25268221073723618</v>
      </c>
      <c r="CO17" s="7" cm="1">
        <f t="array" ref="CO17">PRODUCT(1 + 預測IC!$C17:CO17) - 1</f>
        <v>-0.35537329694473663</v>
      </c>
      <c r="CP17" s="7" cm="1">
        <f t="array" ref="CP17">PRODUCT(1 + 預測IC!$C17:CP17) - 1</f>
        <v>-0.28561090329332228</v>
      </c>
      <c r="CQ17" s="7" cm="1">
        <f t="array" ref="CQ17">PRODUCT(1 + 預測IC!$C17:CQ17) - 1</f>
        <v>-0.24852903462436615</v>
      </c>
      <c r="CR17" s="7" cm="1">
        <f t="array" ref="CR17">PRODUCT(1 + 預測IC!$C17:CR17) - 1</f>
        <v>-0.10093815933164341</v>
      </c>
      <c r="CS17" s="7" cm="1">
        <f t="array" ref="CS17">PRODUCT(1 + 預測IC!$C17:CS17) - 1</f>
        <v>-0.1291199885157539</v>
      </c>
      <c r="CT17" s="7" cm="1">
        <f t="array" ref="CT17">PRODUCT(1 + 預測IC!$C17:CT17) - 1</f>
        <v>-7.8039569456874625E-2</v>
      </c>
      <c r="CU17" s="7" cm="1">
        <f t="array" ref="CU17">PRODUCT(1 + 預測IC!$C17:CU17) - 1</f>
        <v>-0.22126786742823024</v>
      </c>
      <c r="CV17" s="7" cm="1">
        <f t="array" ref="CV17">PRODUCT(1 + 預測IC!$C17:CV17) - 1</f>
        <v>-0.10331223287154834</v>
      </c>
      <c r="CW17" s="7" cm="1">
        <f t="array" ref="CW17">PRODUCT(1 + 預測IC!$C17:CW17) - 1</f>
        <v>-0.12407579565454718</v>
      </c>
      <c r="CX17" s="7" cm="1">
        <f t="array" ref="CX17">PRODUCT(1 + 預測IC!$C17:CX17) - 1</f>
        <v>-0.23357495378088478</v>
      </c>
      <c r="CY17" s="7" cm="1">
        <f t="array" ref="CY17">PRODUCT(1 + 預測IC!$C17:CY17) - 1</f>
        <v>-0.17562638882619741</v>
      </c>
      <c r="CZ17" s="7" cm="1">
        <f t="array" ref="CZ17">PRODUCT(1 + 預測IC!$C17:CZ17) - 1</f>
        <v>-0.201670564135493</v>
      </c>
      <c r="DA17" s="7" cm="1">
        <f t="array" ref="DA17">PRODUCT(1 + 預測IC!$C17:DA17) - 1</f>
        <v>-0.16326309084026713</v>
      </c>
      <c r="DB17" s="7" cm="1">
        <f t="array" ref="DB17">PRODUCT(1 + 預測IC!$C17:DB17) - 1</f>
        <v>2.4431198393252807E-2</v>
      </c>
      <c r="DC17" s="7" cm="1">
        <f t="array" ref="DC17">PRODUCT(1 + 預測IC!$C17:DC17) - 1</f>
        <v>-7.6833203276993611E-2</v>
      </c>
      <c r="DD17" s="7" cm="1">
        <f t="array" ref="DD17">PRODUCT(1 + 預測IC!$C17:DD17) - 1</f>
        <v>-0.10374851978055366</v>
      </c>
      <c r="DE17" s="7" cm="1">
        <f t="array" ref="DE17">PRODUCT(1 + 預測IC!$C17:DE17) - 1</f>
        <v>-0.1253704642651452</v>
      </c>
      <c r="DF17" s="7" cm="1">
        <f t="array" ref="DF17">PRODUCT(1 + 預測IC!$C17:DF17) - 1</f>
        <v>-0.13907979676288396</v>
      </c>
      <c r="DG17" s="7" cm="1">
        <f t="array" ref="DG17">PRODUCT(1 + 預測IC!$C17:DG17) - 1</f>
        <v>-0.17972469051579376</v>
      </c>
      <c r="DH17" s="7" cm="1">
        <f t="array" ref="DH17">PRODUCT(1 + 預測IC!$C17:DH17) - 1</f>
        <v>-0.16934501315532058</v>
      </c>
      <c r="DI17" s="7" cm="1">
        <f t="array" ref="DI17">PRODUCT(1 + 預測IC!$C17:DI17) - 1</f>
        <v>-0.1402350945104851</v>
      </c>
      <c r="DJ17" s="7" cm="1">
        <f t="array" ref="DJ17">PRODUCT(1 + 預測IC!$C17:DJ17) - 1</f>
        <v>-2.9389852668336602E-2</v>
      </c>
      <c r="DK17" s="7" cm="1">
        <f t="array" ref="DK17">PRODUCT(1 + 預測IC!$C17:DK17) - 1</f>
        <v>-9.5505982896518127E-2</v>
      </c>
      <c r="DL17" s="7" cm="1">
        <f t="array" ref="DL17">PRODUCT(1 + 預測IC!$C17:DL17) - 1</f>
        <v>-9.9060401699965883E-2</v>
      </c>
      <c r="DM17" s="7" cm="1">
        <f t="array" ref="DM17">PRODUCT(1 + 預測IC!$C17:DM17) - 1</f>
        <v>-0.13260010853706838</v>
      </c>
      <c r="DN17" s="7" cm="1">
        <f t="array" ref="DN17">PRODUCT(1 + 預測IC!$C17:DN17) - 1</f>
        <v>-4.0239400528531255E-2</v>
      </c>
      <c r="DO17" s="7" cm="1">
        <f t="array" ref="DO17">PRODUCT(1 + 預測IC!$C17:DO17) - 1</f>
        <v>0.13228997318672997</v>
      </c>
      <c r="DP17" s="7" cm="1">
        <f t="array" ref="DP17">PRODUCT(1 + 預測IC!$C17:DP17) - 1</f>
        <v>0.10387240483585392</v>
      </c>
      <c r="DQ17" s="7" cm="1">
        <f t="array" ref="DQ17">PRODUCT(1 + 預測IC!$C17:DQ17) - 1</f>
        <v>3.1850969359490167E-2</v>
      </c>
      <c r="DR17" s="7" cm="1">
        <f t="array" ref="DR17">PRODUCT(1 + 預測IC!$C17:DR17) - 1</f>
        <v>8.951576976210518E-2</v>
      </c>
      <c r="DS17" s="7" cm="1">
        <f t="array" ref="DS17">PRODUCT(1 + 預測IC!$C17:DS17) - 1</f>
        <v>-4.5928646781502325E-2</v>
      </c>
      <c r="DT17" s="7" cm="1">
        <f t="array" ref="DT17">PRODUCT(1 + 預測IC!$C17:DT17) - 1</f>
        <v>-0.10299350076975333</v>
      </c>
      <c r="DU17" s="7" cm="1">
        <f t="array" ref="DU17">PRODUCT(1 + 預測IC!$C17:DU17) - 1</f>
        <v>-0.24611546198724599</v>
      </c>
      <c r="DV17" s="7" cm="1">
        <f t="array" ref="DV17">PRODUCT(1 + 預測IC!$C17:DV17) - 1</f>
        <v>-0.21207845250519919</v>
      </c>
      <c r="DW17" s="7" cm="1">
        <f t="array" ref="DW17">PRODUCT(1 + 預測IC!$C17:DW17) - 1</f>
        <v>-0.25008415797771677</v>
      </c>
      <c r="DX17" s="7" cm="1">
        <f t="array" ref="DX17">PRODUCT(1 + 預測IC!$C17:DX17) - 1</f>
        <v>-0.23280971144500473</v>
      </c>
      <c r="DY17" s="7" cm="1">
        <f t="array" ref="DY17">PRODUCT(1 + 預測IC!$C17:DY17) - 1</f>
        <v>-0.13613565051172438</v>
      </c>
      <c r="DZ17" s="7" cm="1">
        <f t="array" ref="DZ17">PRODUCT(1 + 預測IC!$C17:DZ17) - 1</f>
        <v>-0.14027447060743403</v>
      </c>
      <c r="EA17" s="7" cm="1">
        <f t="array" ref="EA17">PRODUCT(1 + 預測IC!$C17:EA17) - 1</f>
        <v>1.2118693262368474E-3</v>
      </c>
      <c r="EB17" s="7" cm="1">
        <f t="array" ref="EB17">PRODUCT(1 + 預測IC!$C17:EB17) - 1</f>
        <v>-7.26585132854769E-2</v>
      </c>
      <c r="EC17" s="7" cm="1">
        <f t="array" ref="EC17">PRODUCT(1 + 預測IC!$C17:EC17) - 1</f>
        <v>-0.18534164803248621</v>
      </c>
      <c r="ED17" s="7" cm="1">
        <f t="array" ref="ED17">PRODUCT(1 + 預測IC!$C17:ED17) - 1</f>
        <v>-0.2528406728309518</v>
      </c>
      <c r="EE17" s="7" cm="1">
        <f t="array" ref="EE17">PRODUCT(1 + 預測IC!$C17:EE17) - 1</f>
        <v>-0.25269608170165403</v>
      </c>
      <c r="EF17" s="7" cm="1">
        <f t="array" ref="EF17">PRODUCT(1 + 預測IC!$C17:EF17) - 1</f>
        <v>-0.21704238587409053</v>
      </c>
    </row>
    <row r="18" spans="1:136" x14ac:dyDescent="0.3">
      <c r="A18" s="1">
        <v>7</v>
      </c>
      <c r="B18" s="1" t="s">
        <v>176</v>
      </c>
      <c r="C18" s="7" cm="1">
        <f t="array" ref="C18">PRODUCT(1 + 預測IC!$C18:C18) - 1</f>
        <v>0.18975112249235826</v>
      </c>
      <c r="D18" s="7" cm="1">
        <f t="array" ref="D18">PRODUCT(1 + 預測IC!$C18:D18) - 1</f>
        <v>0.18001007434190197</v>
      </c>
      <c r="E18" s="7" cm="1">
        <f t="array" ref="E18">PRODUCT(1 + 預測IC!$C18:E18) - 1</f>
        <v>0.11038870457322481</v>
      </c>
      <c r="F18" s="7" cm="1">
        <f t="array" ref="F18">PRODUCT(1 + 預測IC!$C18:F18) - 1</f>
        <v>-3.886349852988269E-2</v>
      </c>
      <c r="G18" s="7" cm="1">
        <f t="array" ref="G18">PRODUCT(1 + 預測IC!$C18:G18) - 1</f>
        <v>-0.11651779845042431</v>
      </c>
      <c r="H18" s="7" cm="1">
        <f t="array" ref="H18">PRODUCT(1 + 預測IC!$C18:H18) - 1</f>
        <v>-8.8100189067127355E-3</v>
      </c>
      <c r="I18" s="7" cm="1">
        <f t="array" ref="I18">PRODUCT(1 + 預測IC!$C18:I18) - 1</f>
        <v>0.12549640216689872</v>
      </c>
      <c r="J18" s="7" cm="1">
        <f t="array" ref="J18">PRODUCT(1 + 預測IC!$C18:J18) - 1</f>
        <v>0.1743559069579832</v>
      </c>
      <c r="K18" s="7" cm="1">
        <f t="array" ref="K18">PRODUCT(1 + 預測IC!$C18:K18) - 1</f>
        <v>-0.2468645341448541</v>
      </c>
      <c r="L18" s="7" cm="1">
        <f t="array" ref="L18">PRODUCT(1 + 預測IC!$C18:L18) - 1</f>
        <v>-0.23708696286539421</v>
      </c>
      <c r="M18" s="7" cm="1">
        <f t="array" ref="M18">PRODUCT(1 + 預測IC!$C18:M18) - 1</f>
        <v>-0.17628082769191522</v>
      </c>
      <c r="N18" s="7" cm="1">
        <f t="array" ref="N18">PRODUCT(1 + 預測IC!$C18:N18) - 1</f>
        <v>-5.8495223842579547E-2</v>
      </c>
      <c r="O18" s="7" cm="1">
        <f t="array" ref="O18">PRODUCT(1 + 預測IC!$C18:O18) - 1</f>
        <v>3.91110372902852E-2</v>
      </c>
      <c r="P18" s="7" cm="1">
        <f t="array" ref="P18">PRODUCT(1 + 預測IC!$C18:P18) - 1</f>
        <v>-4.6670292549185199E-2</v>
      </c>
      <c r="Q18" s="7" cm="1">
        <f t="array" ref="Q18">PRODUCT(1 + 預測IC!$C18:Q18) - 1</f>
        <v>-0.13538676417634887</v>
      </c>
      <c r="R18" s="7" cm="1">
        <f t="array" ref="R18">PRODUCT(1 + 預測IC!$C18:R18) - 1</f>
        <v>-0.26870077757669475</v>
      </c>
      <c r="S18" s="7" cm="1">
        <f t="array" ref="S18">PRODUCT(1 + 預測IC!$C18:S18) - 1</f>
        <v>-0.54932415073303975</v>
      </c>
      <c r="T18" s="7" cm="1">
        <f t="array" ref="T18">PRODUCT(1 + 預測IC!$C18:T18) - 1</f>
        <v>-0.57377080981229578</v>
      </c>
      <c r="U18" s="7" cm="1">
        <f t="array" ref="U18">PRODUCT(1 + 預測IC!$C18:U18) - 1</f>
        <v>-0.63024405677891759</v>
      </c>
      <c r="V18" s="7" cm="1">
        <f t="array" ref="V18">PRODUCT(1 + 預測IC!$C18:V18) - 1</f>
        <v>-0.62547600394820169</v>
      </c>
      <c r="W18" s="7" cm="1">
        <f t="array" ref="W18">PRODUCT(1 + 預測IC!$C18:W18) - 1</f>
        <v>-0.57382268887958476</v>
      </c>
      <c r="X18" s="7" cm="1">
        <f t="array" ref="X18">PRODUCT(1 + 預測IC!$C18:X18) - 1</f>
        <v>-0.51268690681782558</v>
      </c>
      <c r="Y18" s="7" cm="1">
        <f t="array" ref="Y18">PRODUCT(1 + 預測IC!$C18:Y18) - 1</f>
        <v>-0.50331473847298991</v>
      </c>
      <c r="Z18" s="7" cm="1">
        <f t="array" ref="Z18">PRODUCT(1 + 預測IC!$C18:Z18) - 1</f>
        <v>-0.45899334533033753</v>
      </c>
      <c r="AA18" s="7" cm="1">
        <f t="array" ref="AA18">PRODUCT(1 + 預測IC!$C18:AA18) - 1</f>
        <v>-0.48155616050882111</v>
      </c>
      <c r="AB18" s="7" cm="1">
        <f t="array" ref="AB18">PRODUCT(1 + 預測IC!$C18:AB18) - 1</f>
        <v>-0.43764484879817422</v>
      </c>
      <c r="AC18" s="7" cm="1">
        <f t="array" ref="AC18">PRODUCT(1 + 預測IC!$C18:AC18) - 1</f>
        <v>-0.40512777966061719</v>
      </c>
      <c r="AD18" s="7" cm="1">
        <f t="array" ref="AD18">PRODUCT(1 + 預測IC!$C18:AD18) - 1</f>
        <v>-0.38930680176057697</v>
      </c>
      <c r="AE18" s="7" cm="1">
        <f t="array" ref="AE18">PRODUCT(1 + 預測IC!$C18:AE18) - 1</f>
        <v>-0.47695913324977679</v>
      </c>
      <c r="AF18" s="7" cm="1">
        <f t="array" ref="AF18">PRODUCT(1 + 預測IC!$C18:AF18) - 1</f>
        <v>-0.46028803298875087</v>
      </c>
      <c r="AG18" s="7" cm="1">
        <f t="array" ref="AG18">PRODUCT(1 + 預測IC!$C18:AG18) - 1</f>
        <v>-0.44275110938524131</v>
      </c>
      <c r="AH18" s="7" cm="1">
        <f t="array" ref="AH18">PRODUCT(1 + 預測IC!$C18:AH18) - 1</f>
        <v>-0.3518813659773864</v>
      </c>
      <c r="AI18" s="7" cm="1">
        <f t="array" ref="AI18">PRODUCT(1 + 預測IC!$C18:AI18) - 1</f>
        <v>-0.27534780099809841</v>
      </c>
      <c r="AJ18" s="7" cm="1">
        <f t="array" ref="AJ18">PRODUCT(1 + 預測IC!$C18:AJ18) - 1</f>
        <v>-0.28065764932546267</v>
      </c>
      <c r="AK18" s="7" cm="1">
        <f t="array" ref="AK18">PRODUCT(1 + 預測IC!$C18:AK18) - 1</f>
        <v>-0.26102684887387029</v>
      </c>
      <c r="AL18" s="7" cm="1">
        <f t="array" ref="AL18">PRODUCT(1 + 預測IC!$C18:AL18) - 1</f>
        <v>-0.28527463579195689</v>
      </c>
      <c r="AM18" s="7" cm="1">
        <f t="array" ref="AM18">PRODUCT(1 + 預測IC!$C18:AM18) - 1</f>
        <v>-0.35392617202505494</v>
      </c>
      <c r="AN18" s="7" cm="1">
        <f t="array" ref="AN18">PRODUCT(1 + 預測IC!$C18:AN18) - 1</f>
        <v>-0.30269598045130275</v>
      </c>
      <c r="AO18" s="7" cm="1">
        <f t="array" ref="AO18">PRODUCT(1 + 預測IC!$C18:AO18) - 1</f>
        <v>-0.2989113385020894</v>
      </c>
      <c r="AP18" s="7" cm="1">
        <f t="array" ref="AP18">PRODUCT(1 + 預測IC!$C18:AP18) - 1</f>
        <v>-0.23192526643520162</v>
      </c>
      <c r="AQ18" s="7" cm="1">
        <f t="array" ref="AQ18">PRODUCT(1 + 預測IC!$C18:AQ18) - 1</f>
        <v>-0.18264945213173811</v>
      </c>
      <c r="AR18" s="7" cm="1">
        <f t="array" ref="AR18">PRODUCT(1 + 預測IC!$C18:AR18) - 1</f>
        <v>-0.15077075858832001</v>
      </c>
      <c r="AS18" s="7" cm="1">
        <f t="array" ref="AS18">PRODUCT(1 + 預測IC!$C18:AS18) - 1</f>
        <v>-0.22147174923080293</v>
      </c>
      <c r="AT18" s="7" cm="1">
        <f t="array" ref="AT18">PRODUCT(1 + 預測IC!$C18:AT18) - 1</f>
        <v>-9.1935696067073414E-2</v>
      </c>
      <c r="AU18" s="7" cm="1">
        <f t="array" ref="AU18">PRODUCT(1 + 預測IC!$C18:AU18) - 1</f>
        <v>-0.21806420666731907</v>
      </c>
      <c r="AV18" s="7" cm="1">
        <f t="array" ref="AV18">PRODUCT(1 + 預測IC!$C18:AV18) - 1</f>
        <v>-0.17096378439814419</v>
      </c>
      <c r="AW18" s="7" cm="1">
        <f t="array" ref="AW18">PRODUCT(1 + 預測IC!$C18:AW18) - 1</f>
        <v>-0.15062086535258767</v>
      </c>
      <c r="AX18" s="7" cm="1">
        <f t="array" ref="AX18">PRODUCT(1 + 預測IC!$C18:AX18) - 1</f>
        <v>-5.9260908151521408E-2</v>
      </c>
      <c r="AY18" s="7" cm="1">
        <f t="array" ref="AY18">PRODUCT(1 + 預測IC!$C18:AY18) - 1</f>
        <v>-2.6538918191135075E-2</v>
      </c>
      <c r="AZ18" s="7" cm="1">
        <f t="array" ref="AZ18">PRODUCT(1 + 預測IC!$C18:AZ18) - 1</f>
        <v>-0.17100938408369371</v>
      </c>
      <c r="BA18" s="7" cm="1">
        <f t="array" ref="BA18">PRODUCT(1 + 預測IC!$C18:BA18) - 1</f>
        <v>-0.20027460977012568</v>
      </c>
      <c r="BB18" s="7" cm="1">
        <f t="array" ref="BB18">PRODUCT(1 + 預測IC!$C18:BB18) - 1</f>
        <v>-9.0187577738349178E-2</v>
      </c>
      <c r="BC18" s="7" cm="1">
        <f t="array" ref="BC18">PRODUCT(1 + 預測IC!$C18:BC18) - 1</f>
        <v>-1.4489753441241593E-2</v>
      </c>
      <c r="BD18" s="7" cm="1">
        <f t="array" ref="BD18">PRODUCT(1 + 預測IC!$C18:BD18) - 1</f>
        <v>-3.8158035273215263E-2</v>
      </c>
      <c r="BE18" s="7" cm="1">
        <f t="array" ref="BE18">PRODUCT(1 + 預測IC!$C18:BE18) - 1</f>
        <v>2.7594648378886033E-2</v>
      </c>
      <c r="BF18" s="7" cm="1">
        <f t="array" ref="BF18">PRODUCT(1 + 預測IC!$C18:BF18) - 1</f>
        <v>-0.14194459062552256</v>
      </c>
      <c r="BG18" s="7" cm="1">
        <f t="array" ref="BG18">PRODUCT(1 + 預測IC!$C18:BG18) - 1</f>
        <v>-0.26783331035776659</v>
      </c>
      <c r="BH18" s="7" cm="1">
        <f t="array" ref="BH18">PRODUCT(1 + 預測IC!$C18:BH18) - 1</f>
        <v>-0.36879782666015337</v>
      </c>
      <c r="BI18" s="7" cm="1">
        <f t="array" ref="BI18">PRODUCT(1 + 預測IC!$C18:BI18) - 1</f>
        <v>-0.32083208313670386</v>
      </c>
      <c r="BJ18" s="7" cm="1">
        <f t="array" ref="BJ18">PRODUCT(1 + 預測IC!$C18:BJ18) - 1</f>
        <v>-0.38775311732224838</v>
      </c>
      <c r="BK18" s="7" cm="1">
        <f t="array" ref="BK18">PRODUCT(1 + 預測IC!$C18:BK18) - 1</f>
        <v>-0.42326542275065138</v>
      </c>
      <c r="BL18" s="7" cm="1">
        <f t="array" ref="BL18">PRODUCT(1 + 預測IC!$C18:BL18) - 1</f>
        <v>-0.37645898604941552</v>
      </c>
      <c r="BM18" s="7" cm="1">
        <f t="array" ref="BM18">PRODUCT(1 + 預測IC!$C18:BM18) - 1</f>
        <v>-0.31237521987810279</v>
      </c>
      <c r="BN18" s="7" cm="1">
        <f t="array" ref="BN18">PRODUCT(1 + 預測IC!$C18:BN18) - 1</f>
        <v>-0.27608624181694918</v>
      </c>
      <c r="BO18" s="7" cm="1">
        <f t="array" ref="BO18">PRODUCT(1 + 預測IC!$C18:BO18) - 1</f>
        <v>-0.26144327909195053</v>
      </c>
      <c r="BP18" s="7" cm="1">
        <f t="array" ref="BP18">PRODUCT(1 + 預測IC!$C18:BP18) - 1</f>
        <v>-0.22683632775255114</v>
      </c>
      <c r="BQ18" s="7" cm="1">
        <f t="array" ref="BQ18">PRODUCT(1 + 預測IC!$C18:BQ18) - 1</f>
        <v>-0.22535433991127463</v>
      </c>
      <c r="BR18" s="7" cm="1">
        <f t="array" ref="BR18">PRODUCT(1 + 預測IC!$C18:BR18) - 1</f>
        <v>-0.229807153124435</v>
      </c>
      <c r="BS18" s="7" cm="1">
        <f t="array" ref="BS18">PRODUCT(1 + 預測IC!$C18:BS18) - 1</f>
        <v>-0.23287531267887018</v>
      </c>
      <c r="BT18" s="7" cm="1">
        <f t="array" ref="BT18">PRODUCT(1 + 預測IC!$C18:BT18) - 1</f>
        <v>-0.14447435837393674</v>
      </c>
      <c r="BU18" s="7" cm="1">
        <f t="array" ref="BU18">PRODUCT(1 + 預測IC!$C18:BU18) - 1</f>
        <v>-0.21349598045104345</v>
      </c>
      <c r="BV18" s="7" cm="1">
        <f t="array" ref="BV18">PRODUCT(1 + 預測IC!$C18:BV18) - 1</f>
        <v>-0.14984940479010067</v>
      </c>
      <c r="BW18" s="7" cm="1">
        <f t="array" ref="BW18">PRODUCT(1 + 預測IC!$C18:BW18) - 1</f>
        <v>-0.2223766761243603</v>
      </c>
      <c r="BX18" s="7" cm="1">
        <f t="array" ref="BX18">PRODUCT(1 + 預測IC!$C18:BX18) - 1</f>
        <v>-0.20758746660063188</v>
      </c>
      <c r="BY18" s="7" cm="1">
        <f t="array" ref="BY18">PRODUCT(1 + 預測IC!$C18:BY18) - 1</f>
        <v>-0.3051136199914134</v>
      </c>
      <c r="BZ18" s="7" cm="1">
        <f t="array" ref="BZ18">PRODUCT(1 + 預測IC!$C18:BZ18) - 1</f>
        <v>-0.28055101768933743</v>
      </c>
      <c r="CA18" s="7" cm="1">
        <f t="array" ref="CA18">PRODUCT(1 + 預測IC!$C18:CA18) - 1</f>
        <v>-0.19829930272499474</v>
      </c>
      <c r="CB18" s="7" cm="1">
        <f t="array" ref="CB18">PRODUCT(1 + 預測IC!$C18:CB18) - 1</f>
        <v>-0.12022385005468406</v>
      </c>
      <c r="CC18" s="7" cm="1">
        <f t="array" ref="CC18">PRODUCT(1 + 預測IC!$C18:CC18) - 1</f>
        <v>-0.1450101741647718</v>
      </c>
      <c r="CD18" s="7" cm="1">
        <f t="array" ref="CD18">PRODUCT(1 + 預測IC!$C18:CD18) - 1</f>
        <v>2.061573487143642E-2</v>
      </c>
      <c r="CE18" s="7" cm="1">
        <f t="array" ref="CE18">PRODUCT(1 + 預測IC!$C18:CE18) - 1</f>
        <v>-0.16097870402574554</v>
      </c>
      <c r="CF18" s="7" cm="1">
        <f t="array" ref="CF18">PRODUCT(1 + 預測IC!$C18:CF18) - 1</f>
        <v>-0.12409722120140931</v>
      </c>
      <c r="CG18" s="7" cm="1">
        <f t="array" ref="CG18">PRODUCT(1 + 預測IC!$C18:CG18) - 1</f>
        <v>-0.20433802271351653</v>
      </c>
      <c r="CH18" s="7" cm="1">
        <f t="array" ref="CH18">PRODUCT(1 + 預測IC!$C18:CH18) - 1</f>
        <v>-0.24043374466524525</v>
      </c>
      <c r="CI18" s="7" cm="1">
        <f t="array" ref="CI18">PRODUCT(1 + 預測IC!$C18:CI18) - 1</f>
        <v>-0.32782891451797069</v>
      </c>
      <c r="CJ18" s="7" cm="1">
        <f t="array" ref="CJ18">PRODUCT(1 + 預測IC!$C18:CJ18) - 1</f>
        <v>-0.36971436698191773</v>
      </c>
      <c r="CK18" s="7" cm="1">
        <f t="array" ref="CK18">PRODUCT(1 + 預測IC!$C18:CK18) - 1</f>
        <v>-0.3125677651649087</v>
      </c>
      <c r="CL18" s="7" cm="1">
        <f t="array" ref="CL18">PRODUCT(1 + 預測IC!$C18:CL18) - 1</f>
        <v>-0.33387097738078508</v>
      </c>
      <c r="CM18" s="7" cm="1">
        <f t="array" ref="CM18">PRODUCT(1 + 預測IC!$C18:CM18) - 1</f>
        <v>-0.40232879832946833</v>
      </c>
      <c r="CN18" s="7" cm="1">
        <f t="array" ref="CN18">PRODUCT(1 + 預測IC!$C18:CN18) - 1</f>
        <v>-0.42329884190672262</v>
      </c>
      <c r="CO18" s="7" cm="1">
        <f t="array" ref="CO18">PRODUCT(1 + 預測IC!$C18:CO18) - 1</f>
        <v>-0.51014860011183605</v>
      </c>
      <c r="CP18" s="7" cm="1">
        <f t="array" ref="CP18">PRODUCT(1 + 預測IC!$C18:CP18) - 1</f>
        <v>-0.4531934211884755</v>
      </c>
      <c r="CQ18" s="7" cm="1">
        <f t="array" ref="CQ18">PRODUCT(1 + 預測IC!$C18:CQ18) - 1</f>
        <v>-0.4322820745818059</v>
      </c>
      <c r="CR18" s="7" cm="1">
        <f t="array" ref="CR18">PRODUCT(1 + 預測IC!$C18:CR18) - 1</f>
        <v>-0.32230239120247595</v>
      </c>
      <c r="CS18" s="7" cm="1">
        <f t="array" ref="CS18">PRODUCT(1 + 預測IC!$C18:CS18) - 1</f>
        <v>-0.36139920584351837</v>
      </c>
      <c r="CT18" s="7" cm="1">
        <f t="array" ref="CT18">PRODUCT(1 + 預測IC!$C18:CT18) - 1</f>
        <v>-0.31230981797978796</v>
      </c>
      <c r="CU18" s="7" cm="1">
        <f t="array" ref="CU18">PRODUCT(1 + 預測IC!$C18:CU18) - 1</f>
        <v>-0.41172562616812358</v>
      </c>
      <c r="CV18" s="7" cm="1">
        <f t="array" ref="CV18">PRODUCT(1 + 預測IC!$C18:CV18) - 1</f>
        <v>-0.33700168091947424</v>
      </c>
      <c r="CW18" s="7" cm="1">
        <f t="array" ref="CW18">PRODUCT(1 + 預測IC!$C18:CW18) - 1</f>
        <v>-0.35578326741768496</v>
      </c>
      <c r="CX18" s="7" cm="1">
        <f t="array" ref="CX18">PRODUCT(1 + 預測IC!$C18:CX18) - 1</f>
        <v>-0.45439718801547835</v>
      </c>
      <c r="CY18" s="7" cm="1">
        <f t="array" ref="CY18">PRODUCT(1 + 預測IC!$C18:CY18) - 1</f>
        <v>-0.40355879973915076</v>
      </c>
      <c r="CZ18" s="7" cm="1">
        <f t="array" ref="CZ18">PRODUCT(1 + 預測IC!$C18:CZ18) - 1</f>
        <v>-0.4581088427619362</v>
      </c>
      <c r="DA18" s="7" cm="1">
        <f t="array" ref="DA18">PRODUCT(1 + 預測IC!$C18:DA18) - 1</f>
        <v>-0.41644253562926248</v>
      </c>
      <c r="DB18" s="7" cm="1">
        <f t="array" ref="DB18">PRODUCT(1 + 預測IC!$C18:DB18) - 1</f>
        <v>-0.28666979392370939</v>
      </c>
      <c r="DC18" s="7" cm="1">
        <f t="array" ref="DC18">PRODUCT(1 + 預測IC!$C18:DC18) - 1</f>
        <v>-0.345747592735826</v>
      </c>
      <c r="DD18" s="7" cm="1">
        <f t="array" ref="DD18">PRODUCT(1 + 預測IC!$C18:DD18) - 1</f>
        <v>-0.37258122352148404</v>
      </c>
      <c r="DE18" s="7" cm="1">
        <f t="array" ref="DE18">PRODUCT(1 + 預測IC!$C18:DE18) - 1</f>
        <v>-0.39668702151381885</v>
      </c>
      <c r="DF18" s="7" cm="1">
        <f t="array" ref="DF18">PRODUCT(1 + 預測IC!$C18:DF18) - 1</f>
        <v>-0.4136232084100937</v>
      </c>
      <c r="DG18" s="7" cm="1">
        <f t="array" ref="DG18">PRODUCT(1 + 預測IC!$C18:DG18) - 1</f>
        <v>-0.44573934916623581</v>
      </c>
      <c r="DH18" s="7" cm="1">
        <f t="array" ref="DH18">PRODUCT(1 + 預測IC!$C18:DH18) - 1</f>
        <v>-0.43850622959457519</v>
      </c>
      <c r="DI18" s="7" cm="1">
        <f t="array" ref="DI18">PRODUCT(1 + 預測IC!$C18:DI18) - 1</f>
        <v>-0.42805500677848429</v>
      </c>
      <c r="DJ18" s="7" cm="1">
        <f t="array" ref="DJ18">PRODUCT(1 + 預測IC!$C18:DJ18) - 1</f>
        <v>-0.34443889302479369</v>
      </c>
      <c r="DK18" s="7" cm="1">
        <f t="array" ref="DK18">PRODUCT(1 + 預測IC!$C18:DK18) - 1</f>
        <v>-0.38197015317140992</v>
      </c>
      <c r="DL18" s="7" cm="1">
        <f t="array" ref="DL18">PRODUCT(1 + 預測IC!$C18:DL18) - 1</f>
        <v>-0.38433737686671543</v>
      </c>
      <c r="DM18" s="7" cm="1">
        <f t="array" ref="DM18">PRODUCT(1 + 預測IC!$C18:DM18) - 1</f>
        <v>-0.38757002351440784</v>
      </c>
      <c r="DN18" s="7" cm="1">
        <f t="array" ref="DN18">PRODUCT(1 + 預測IC!$C18:DN18) - 1</f>
        <v>-0.31094971556150575</v>
      </c>
      <c r="DO18" s="7" cm="1">
        <f t="array" ref="DO18">PRODUCT(1 + 預測IC!$C18:DO18) - 1</f>
        <v>-0.15913801095916214</v>
      </c>
      <c r="DP18" s="7" cm="1">
        <f t="array" ref="DP18">PRODUCT(1 + 預測IC!$C18:DP18) - 1</f>
        <v>-0.1772252338299648</v>
      </c>
      <c r="DQ18" s="7" cm="1">
        <f t="array" ref="DQ18">PRODUCT(1 + 預測IC!$C18:DQ18) - 1</f>
        <v>-0.22820067968903135</v>
      </c>
      <c r="DR18" s="7" cm="1">
        <f t="array" ref="DR18">PRODUCT(1 + 預測IC!$C18:DR18) - 1</f>
        <v>-0.16889511456378192</v>
      </c>
      <c r="DS18" s="7" cm="1">
        <f t="array" ref="DS18">PRODUCT(1 + 預測IC!$C18:DS18) - 1</f>
        <v>-0.29166758916341839</v>
      </c>
      <c r="DT18" s="7" cm="1">
        <f t="array" ref="DT18">PRODUCT(1 + 預測IC!$C18:DT18) - 1</f>
        <v>-0.30767663465982165</v>
      </c>
      <c r="DU18" s="7" cm="1">
        <f t="array" ref="DU18">PRODUCT(1 + 預測IC!$C18:DU18) - 1</f>
        <v>-0.42024064905898717</v>
      </c>
      <c r="DV18" s="7" cm="1">
        <f t="array" ref="DV18">PRODUCT(1 + 預測IC!$C18:DV18) - 1</f>
        <v>-0.37935155982829627</v>
      </c>
      <c r="DW18" s="7" cm="1">
        <f t="array" ref="DW18">PRODUCT(1 + 預測IC!$C18:DW18) - 1</f>
        <v>-0.41533513049542181</v>
      </c>
      <c r="DX18" s="7" cm="1">
        <f t="array" ref="DX18">PRODUCT(1 + 預測IC!$C18:DX18) - 1</f>
        <v>-0.37547426207536116</v>
      </c>
      <c r="DY18" s="7" cm="1">
        <f t="array" ref="DY18">PRODUCT(1 + 預測IC!$C18:DY18) - 1</f>
        <v>-0.27195093681564453</v>
      </c>
      <c r="DZ18" s="7" cm="1">
        <f t="array" ref="DZ18">PRODUCT(1 + 預測IC!$C18:DZ18) - 1</f>
        <v>-0.30342293605681103</v>
      </c>
      <c r="EA18" s="7" cm="1">
        <f t="array" ref="EA18">PRODUCT(1 + 預測IC!$C18:EA18) - 1</f>
        <v>-0.16484189091651591</v>
      </c>
      <c r="EB18" s="7" cm="1">
        <f t="array" ref="EB18">PRODUCT(1 + 預測IC!$C18:EB18) - 1</f>
        <v>-0.24588788001502115</v>
      </c>
      <c r="EC18" s="7" cm="1">
        <f t="array" ref="EC18">PRODUCT(1 + 預測IC!$C18:EC18) - 1</f>
        <v>-0.35375625155048684</v>
      </c>
      <c r="ED18" s="7" cm="1">
        <f t="array" ref="ED18">PRODUCT(1 + 預測IC!$C18:ED18) - 1</f>
        <v>-0.40562971774096646</v>
      </c>
      <c r="EE18" s="7" cm="1">
        <f t="array" ref="EE18">PRODUCT(1 + 預測IC!$C18:EE18) - 1</f>
        <v>-0.40629023410845666</v>
      </c>
      <c r="EF18" s="7" cm="1">
        <f t="array" ref="EF18">PRODUCT(1 + 預測IC!$C18:EF18) - 1</f>
        <v>-0.37722516236061476</v>
      </c>
    </row>
    <row r="19" spans="1:136" x14ac:dyDescent="0.3">
      <c r="A19" s="1">
        <v>6</v>
      </c>
      <c r="B19" s="1" t="s">
        <v>177</v>
      </c>
      <c r="C19" s="7" cm="1">
        <f t="array" ref="C19">PRODUCT(1 + 預測IC!$C19:C19) - 1</f>
        <v>0.19660026531165431</v>
      </c>
      <c r="D19" s="7" cm="1">
        <f t="array" ref="D19">PRODUCT(1 + 預測IC!$C19:D19) - 1</f>
        <v>0.17246388133321555</v>
      </c>
      <c r="E19" s="7" cm="1">
        <f t="array" ref="E19">PRODUCT(1 + 預測IC!$C19:E19) - 1</f>
        <v>0.10809784923688071</v>
      </c>
      <c r="F19" s="7" cm="1">
        <f t="array" ref="F19">PRODUCT(1 + 預測IC!$C19:F19) - 1</f>
        <v>6.5273544158591656E-2</v>
      </c>
      <c r="G19" s="7" cm="1">
        <f t="array" ref="G19">PRODUCT(1 + 預測IC!$C19:G19) - 1</f>
        <v>-3.86035061522777E-2</v>
      </c>
      <c r="H19" s="7" cm="1">
        <f t="array" ref="H19">PRODUCT(1 + 預測IC!$C19:H19) - 1</f>
        <v>0.10454278072752077</v>
      </c>
      <c r="I19" s="7" cm="1">
        <f t="array" ref="I19">PRODUCT(1 + 預測IC!$C19:I19) - 1</f>
        <v>0.25327425201647036</v>
      </c>
      <c r="J19" s="7" cm="1">
        <f t="array" ref="J19">PRODUCT(1 + 預測IC!$C19:J19) - 1</f>
        <v>0.29767723805526725</v>
      </c>
      <c r="K19" s="7" cm="1">
        <f t="array" ref="K19">PRODUCT(1 + 預測IC!$C19:K19) - 1</f>
        <v>-0.24519026896498375</v>
      </c>
      <c r="L19" s="7" cm="1">
        <f t="array" ref="L19">PRODUCT(1 + 預測IC!$C19:L19) - 1</f>
        <v>-0.2126964968310463</v>
      </c>
      <c r="M19" s="7" cm="1">
        <f t="array" ref="M19">PRODUCT(1 + 預測IC!$C19:M19) - 1</f>
        <v>-0.1448227949064006</v>
      </c>
      <c r="N19" s="7" cm="1">
        <f t="array" ref="N19">PRODUCT(1 + 預測IC!$C19:N19) - 1</f>
        <v>-6.3283456510458636E-2</v>
      </c>
      <c r="O19" s="7" cm="1">
        <f t="array" ref="O19">PRODUCT(1 + 預測IC!$C19:O19) - 1</f>
        <v>2.3101838627352267E-2</v>
      </c>
      <c r="P19" s="7" cm="1">
        <f t="array" ref="P19">PRODUCT(1 + 預測IC!$C19:P19) - 1</f>
        <v>-7.1570057396143194E-2</v>
      </c>
      <c r="Q19" s="7" cm="1">
        <f t="array" ref="Q19">PRODUCT(1 + 預測IC!$C19:Q19) - 1</f>
        <v>-0.14757700774533067</v>
      </c>
      <c r="R19" s="7" cm="1">
        <f t="array" ref="R19">PRODUCT(1 + 預測IC!$C19:R19) - 1</f>
        <v>-0.27167553676961842</v>
      </c>
      <c r="S19" s="7" cm="1">
        <f t="array" ref="S19">PRODUCT(1 + 預測IC!$C19:S19) - 1</f>
        <v>-0.40580385491184823</v>
      </c>
      <c r="T19" s="7" cm="1">
        <f t="array" ref="T19">PRODUCT(1 + 預測IC!$C19:T19) - 1</f>
        <v>-0.42193882221395917</v>
      </c>
      <c r="U19" s="7" cm="1">
        <f t="array" ref="U19">PRODUCT(1 + 預測IC!$C19:U19) - 1</f>
        <v>-0.5003807636671378</v>
      </c>
      <c r="V19" s="7" cm="1">
        <f t="array" ref="V19">PRODUCT(1 + 預測IC!$C19:V19) - 1</f>
        <v>-0.48208536284025905</v>
      </c>
      <c r="W19" s="7" cm="1">
        <f t="array" ref="W19">PRODUCT(1 + 預測IC!$C19:W19) - 1</f>
        <v>-0.40614820563279797</v>
      </c>
      <c r="X19" s="7" cm="1">
        <f t="array" ref="X19">PRODUCT(1 + 預測IC!$C19:X19) - 1</f>
        <v>-0.3368818993094389</v>
      </c>
      <c r="Y19" s="7" cm="1">
        <f t="array" ref="Y19">PRODUCT(1 + 預測IC!$C19:Y19) - 1</f>
        <v>-0.31988708586848091</v>
      </c>
      <c r="Z19" s="7" cm="1">
        <f t="array" ref="Z19">PRODUCT(1 + 預測IC!$C19:Z19) - 1</f>
        <v>-0.2575757455844836</v>
      </c>
      <c r="AA19" s="7" cm="1">
        <f t="array" ref="AA19">PRODUCT(1 + 預測IC!$C19:AA19) - 1</f>
        <v>-0.28843845884613928</v>
      </c>
      <c r="AB19" s="7" cm="1">
        <f t="array" ref="AB19">PRODUCT(1 + 預測IC!$C19:AB19) - 1</f>
        <v>-0.21567872545482147</v>
      </c>
      <c r="AC19" s="7" cm="1">
        <f t="array" ref="AC19">PRODUCT(1 + 預測IC!$C19:AC19) - 1</f>
        <v>-0.19336256192422696</v>
      </c>
      <c r="AD19" s="7" cm="1">
        <f t="array" ref="AD19">PRODUCT(1 + 預測IC!$C19:AD19) - 1</f>
        <v>-0.16505851846321895</v>
      </c>
      <c r="AE19" s="7" cm="1">
        <f t="array" ref="AE19">PRODUCT(1 + 預測IC!$C19:AE19) - 1</f>
        <v>-0.3065110154288393</v>
      </c>
      <c r="AF19" s="7" cm="1">
        <f t="array" ref="AF19">PRODUCT(1 + 預測IC!$C19:AF19) - 1</f>
        <v>-0.27961358273762005</v>
      </c>
      <c r="AG19" s="7" cm="1">
        <f t="array" ref="AG19">PRODUCT(1 + 預測IC!$C19:AG19) - 1</f>
        <v>-0.26366695118821215</v>
      </c>
      <c r="AH19" s="7" cm="1">
        <f t="array" ref="AH19">PRODUCT(1 + 預測IC!$C19:AH19) - 1</f>
        <v>-0.11333992982575847</v>
      </c>
      <c r="AI19" s="7" cm="1">
        <f t="array" ref="AI19">PRODUCT(1 + 預測IC!$C19:AI19) - 1</f>
        <v>-3.2167385932608594E-2</v>
      </c>
      <c r="AJ19" s="7" cm="1">
        <f t="array" ref="AJ19">PRODUCT(1 + 預測IC!$C19:AJ19) - 1</f>
        <v>-2.0391581103768708E-2</v>
      </c>
      <c r="AK19" s="7" cm="1">
        <f t="array" ref="AK19">PRODUCT(1 + 預測IC!$C19:AK19) - 1</f>
        <v>2.7666817344407679E-2</v>
      </c>
      <c r="AL19" s="7" cm="1">
        <f t="array" ref="AL19">PRODUCT(1 + 預測IC!$C19:AL19) - 1</f>
        <v>1.2339570092318786E-2</v>
      </c>
      <c r="AM19" s="7" cm="1">
        <f t="array" ref="AM19">PRODUCT(1 + 預測IC!$C19:AM19) - 1</f>
        <v>-4.9538806460998952E-2</v>
      </c>
      <c r="AN19" s="7" cm="1">
        <f t="array" ref="AN19">PRODUCT(1 + 預測IC!$C19:AN19) - 1</f>
        <v>2.9889614343825865E-2</v>
      </c>
      <c r="AO19" s="7" cm="1">
        <f t="array" ref="AO19">PRODUCT(1 + 預測IC!$C19:AO19) - 1</f>
        <v>5.6556446275509931E-2</v>
      </c>
      <c r="AP19" s="7" cm="1">
        <f t="array" ref="AP19">PRODUCT(1 + 預測IC!$C19:AP19) - 1</f>
        <v>0.18844453934295968</v>
      </c>
      <c r="AQ19" s="7" cm="1">
        <f t="array" ref="AQ19">PRODUCT(1 + 預測IC!$C19:AQ19) - 1</f>
        <v>0.23880566720244034</v>
      </c>
      <c r="AR19" s="7" cm="1">
        <f t="array" ref="AR19">PRODUCT(1 + 預測IC!$C19:AR19) - 1</f>
        <v>0.18783560897550577</v>
      </c>
      <c r="AS19" s="7" cm="1">
        <f t="array" ref="AS19">PRODUCT(1 + 預測IC!$C19:AS19) - 1</f>
        <v>5.812529553957102E-2</v>
      </c>
      <c r="AT19" s="7" cm="1">
        <f t="array" ref="AT19">PRODUCT(1 + 預測IC!$C19:AT19) - 1</f>
        <v>0.25344852061332079</v>
      </c>
      <c r="AU19" s="7" cm="1">
        <f t="array" ref="AU19">PRODUCT(1 + 預測IC!$C19:AU19) - 1</f>
        <v>6.1652563426958906E-2</v>
      </c>
      <c r="AV19" s="7" cm="1">
        <f t="array" ref="AV19">PRODUCT(1 + 預測IC!$C19:AV19) - 1</f>
        <v>5.8432985668476878E-2</v>
      </c>
      <c r="AW19" s="7" cm="1">
        <f t="array" ref="AW19">PRODUCT(1 + 預測IC!$C19:AW19) - 1</f>
        <v>8.2095491475965954E-2</v>
      </c>
      <c r="AX19" s="7" cm="1">
        <f t="array" ref="AX19">PRODUCT(1 + 預測IC!$C19:AX19) - 1</f>
        <v>0.16888649078871709</v>
      </c>
      <c r="AY19" s="7" cm="1">
        <f t="array" ref="AY19">PRODUCT(1 + 預測IC!$C19:AY19) - 1</f>
        <v>0.20340250536843874</v>
      </c>
      <c r="AZ19" s="7" cm="1">
        <f t="array" ref="AZ19">PRODUCT(1 + 預測IC!$C19:AZ19) - 1</f>
        <v>-2.1488895337439473E-2</v>
      </c>
      <c r="BA19" s="7" cm="1">
        <f t="array" ref="BA19">PRODUCT(1 + 預測IC!$C19:BA19) - 1</f>
        <v>-2.2965484794443713E-2</v>
      </c>
      <c r="BB19" s="7" cm="1">
        <f t="array" ref="BB19">PRODUCT(1 + 預測IC!$C19:BB19) - 1</f>
        <v>0.13311206537221976</v>
      </c>
      <c r="BC19" s="7" cm="1">
        <f t="array" ref="BC19">PRODUCT(1 + 預測IC!$C19:BC19) - 1</f>
        <v>0.20569410980436831</v>
      </c>
      <c r="BD19" s="7" cm="1">
        <f t="array" ref="BD19">PRODUCT(1 + 預測IC!$C19:BD19) - 1</f>
        <v>0.20179442166150041</v>
      </c>
      <c r="BE19" s="7" cm="1">
        <f t="array" ref="BE19">PRODUCT(1 + 預測IC!$C19:BE19) - 1</f>
        <v>0.26324442256013381</v>
      </c>
      <c r="BF19" s="7" cm="1">
        <f t="array" ref="BF19">PRODUCT(1 + 預測IC!$C19:BF19) - 1</f>
        <v>8.4104444775783049E-2</v>
      </c>
      <c r="BG19" s="7" cm="1">
        <f t="array" ref="BG19">PRODUCT(1 + 預測IC!$C19:BG19) - 1</f>
        <v>-8.2098253790408915E-2</v>
      </c>
      <c r="BH19" s="7" cm="1">
        <f t="array" ref="BH19">PRODUCT(1 + 預測IC!$C19:BH19) - 1</f>
        <v>-0.21106060910223856</v>
      </c>
      <c r="BI19" s="7" cm="1">
        <f t="array" ref="BI19">PRODUCT(1 + 預測IC!$C19:BI19) - 1</f>
        <v>-0.13115349041066571</v>
      </c>
      <c r="BJ19" s="7" cm="1">
        <f t="array" ref="BJ19">PRODUCT(1 + 預測IC!$C19:BJ19) - 1</f>
        <v>-0.18233916467312272</v>
      </c>
      <c r="BK19" s="7" cm="1">
        <f t="array" ref="BK19">PRODUCT(1 + 預測IC!$C19:BK19) - 1</f>
        <v>-0.22465272540527126</v>
      </c>
      <c r="BL19" s="7" cm="1">
        <f t="array" ref="BL19">PRODUCT(1 + 預測IC!$C19:BL19) - 1</f>
        <v>-0.16265234564748099</v>
      </c>
      <c r="BM19" s="7" cm="1">
        <f t="array" ref="BM19">PRODUCT(1 + 預測IC!$C19:BM19) - 1</f>
        <v>-6.6984873512494936E-2</v>
      </c>
      <c r="BN19" s="7" cm="1">
        <f t="array" ref="BN19">PRODUCT(1 + 預測IC!$C19:BN19) - 1</f>
        <v>-4.2371361291988485E-3</v>
      </c>
      <c r="BO19" s="7" cm="1">
        <f t="array" ref="BO19">PRODUCT(1 + 預測IC!$C19:BO19) - 1</f>
        <v>2.1382808024573485E-2</v>
      </c>
      <c r="BP19" s="7" cm="1">
        <f t="array" ref="BP19">PRODUCT(1 + 預測IC!$C19:BP19) - 1</f>
        <v>8.5544858060540463E-2</v>
      </c>
      <c r="BQ19" s="7" cm="1">
        <f t="array" ref="BQ19">PRODUCT(1 + 預測IC!$C19:BQ19) - 1</f>
        <v>9.6328708937675644E-2</v>
      </c>
      <c r="BR19" s="7" cm="1">
        <f t="array" ref="BR19">PRODUCT(1 + 預測IC!$C19:BR19) - 1</f>
        <v>0.10364697279248269</v>
      </c>
      <c r="BS19" s="7" cm="1">
        <f t="array" ref="BS19">PRODUCT(1 + 預測IC!$C19:BS19) - 1</f>
        <v>7.6876537966106051E-2</v>
      </c>
      <c r="BT19" s="7" cm="1">
        <f t="array" ref="BT19">PRODUCT(1 + 預測IC!$C19:BT19) - 1</f>
        <v>0.22939744790968408</v>
      </c>
      <c r="BU19" s="7" cm="1">
        <f t="array" ref="BU19">PRODUCT(1 + 預測IC!$C19:BU19) - 1</f>
        <v>0.13604161443848328</v>
      </c>
      <c r="BV19" s="7" cm="1">
        <f t="array" ref="BV19">PRODUCT(1 + 預測IC!$C19:BV19) - 1</f>
        <v>0.24243786579895654</v>
      </c>
      <c r="BW19" s="7" cm="1">
        <f t="array" ref="BW19">PRODUCT(1 + 預測IC!$C19:BW19) - 1</f>
        <v>0.1070531868548632</v>
      </c>
      <c r="BX19" s="7" cm="1">
        <f t="array" ref="BX19">PRODUCT(1 + 預測IC!$C19:BX19) - 1</f>
        <v>0.14479017817289797</v>
      </c>
      <c r="BY19" s="7" cm="1">
        <f t="array" ref="BY19">PRODUCT(1 + 預測IC!$C19:BY19) - 1</f>
        <v>2.1553817081091831E-2</v>
      </c>
      <c r="BZ19" s="7" cm="1">
        <f t="array" ref="BZ19">PRODUCT(1 + 預測IC!$C19:BZ19) - 1</f>
        <v>2.505266768633363E-2</v>
      </c>
      <c r="CA19" s="7" cm="1">
        <f t="array" ref="CA19">PRODUCT(1 + 預測IC!$C19:CA19) - 1</f>
        <v>8.2676150836970219E-2</v>
      </c>
      <c r="CB19" s="7" cm="1">
        <f t="array" ref="CB19">PRODUCT(1 + 預測IC!$C19:CB19) - 1</f>
        <v>0.16818245691478739</v>
      </c>
      <c r="CC19" s="7" cm="1">
        <f t="array" ref="CC19">PRODUCT(1 + 預測IC!$C19:CC19) - 1</f>
        <v>0.13930118675587777</v>
      </c>
      <c r="CD19" s="7" cm="1">
        <f t="array" ref="CD19">PRODUCT(1 + 預測IC!$C19:CD19) - 1</f>
        <v>0.38495639503140122</v>
      </c>
      <c r="CE19" s="7" cm="1">
        <f t="array" ref="CE19">PRODUCT(1 + 預測IC!$C19:CE19) - 1</f>
        <v>0.11036686699656806</v>
      </c>
      <c r="CF19" s="7" cm="1">
        <f t="array" ref="CF19">PRODUCT(1 + 預測IC!$C19:CF19) - 1</f>
        <v>0.19814306110971214</v>
      </c>
      <c r="CG19" s="7" cm="1">
        <f t="array" ref="CG19">PRODUCT(1 + 預測IC!$C19:CG19) - 1</f>
        <v>0.12970797520829991</v>
      </c>
      <c r="CH19" s="7" cm="1">
        <f t="array" ref="CH19">PRODUCT(1 + 預測IC!$C19:CH19) - 1</f>
        <v>8.1452449630761814E-2</v>
      </c>
      <c r="CI19" s="7" cm="1">
        <f t="array" ref="CI19">PRODUCT(1 + 預測IC!$C19:CI19) - 1</f>
        <v>-3.8301330602403483E-2</v>
      </c>
      <c r="CJ19" s="7" cm="1">
        <f t="array" ref="CJ19">PRODUCT(1 + 預測IC!$C19:CJ19) - 1</f>
        <v>-9.7869427001562315E-2</v>
      </c>
      <c r="CK19" s="7" cm="1">
        <f t="array" ref="CK19">PRODUCT(1 + 預測IC!$C19:CK19) - 1</f>
        <v>-4.0769701538837522E-3</v>
      </c>
      <c r="CL19" s="7" cm="1">
        <f t="array" ref="CL19">PRODUCT(1 + 預測IC!$C19:CL19) - 1</f>
        <v>-4.714096079777097E-2</v>
      </c>
      <c r="CM19" s="7" cm="1">
        <f t="array" ref="CM19">PRODUCT(1 + 預測IC!$C19:CM19) - 1</f>
        <v>-0.15218021429707262</v>
      </c>
      <c r="CN19" s="7" cm="1">
        <f t="array" ref="CN19">PRODUCT(1 + 預測IC!$C19:CN19) - 1</f>
        <v>-0.21740524109066317</v>
      </c>
      <c r="CO19" s="7" cm="1">
        <f t="array" ref="CO19">PRODUCT(1 + 預測IC!$C19:CO19) - 1</f>
        <v>-0.34743066641642506</v>
      </c>
      <c r="CP19" s="7" cm="1">
        <f t="array" ref="CP19">PRODUCT(1 + 預測IC!$C19:CP19) - 1</f>
        <v>-0.25775803105663375</v>
      </c>
      <c r="CQ19" s="7" cm="1">
        <f t="array" ref="CQ19">PRODUCT(1 + 預測IC!$C19:CQ19) - 1</f>
        <v>-0.23371339379049971</v>
      </c>
      <c r="CR19" s="7" cm="1">
        <f t="array" ref="CR19">PRODUCT(1 + 預測IC!$C19:CR19) - 1</f>
        <v>-9.8611912415971004E-2</v>
      </c>
      <c r="CS19" s="7" cm="1">
        <f t="array" ref="CS19">PRODUCT(1 + 預測IC!$C19:CS19) - 1</f>
        <v>-0.14751262138491716</v>
      </c>
      <c r="CT19" s="7" cm="1">
        <f t="array" ref="CT19">PRODUCT(1 + 預測IC!$C19:CT19) - 1</f>
        <v>-0.12498888075882786</v>
      </c>
      <c r="CU19" s="7" cm="1">
        <f t="array" ref="CU19">PRODUCT(1 + 預測IC!$C19:CU19) - 1</f>
        <v>-0.25327211127678073</v>
      </c>
      <c r="CV19" s="7" cm="1">
        <f t="array" ref="CV19">PRODUCT(1 + 預測IC!$C19:CV19) - 1</f>
        <v>-0.18266674326188315</v>
      </c>
      <c r="CW19" s="7" cm="1">
        <f t="array" ref="CW19">PRODUCT(1 + 預測IC!$C19:CW19) - 1</f>
        <v>-0.20897844448509428</v>
      </c>
      <c r="CX19" s="7" cm="1">
        <f t="array" ref="CX19">PRODUCT(1 + 預測IC!$C19:CX19) - 1</f>
        <v>-0.32616851796725943</v>
      </c>
      <c r="CY19" s="7" cm="1">
        <f t="array" ref="CY19">PRODUCT(1 + 預測IC!$C19:CY19) - 1</f>
        <v>-0.25346741121376704</v>
      </c>
      <c r="CZ19" s="7" cm="1">
        <f t="array" ref="CZ19">PRODUCT(1 + 預測IC!$C19:CZ19) - 1</f>
        <v>-0.2963924849405345</v>
      </c>
      <c r="DA19" s="7" cm="1">
        <f t="array" ref="DA19">PRODUCT(1 + 預測IC!$C19:DA19) - 1</f>
        <v>-0.21217319963312742</v>
      </c>
      <c r="DB19" s="7" cm="1">
        <f t="array" ref="DB19">PRODUCT(1 + 預測IC!$C19:DB19) - 1</f>
        <v>1.3254342965862698E-2</v>
      </c>
      <c r="DC19" s="7" cm="1">
        <f t="array" ref="DC19">PRODUCT(1 + 預測IC!$C19:DC19) - 1</f>
        <v>-5.3202562114452845E-2</v>
      </c>
      <c r="DD19" s="7" cm="1">
        <f t="array" ref="DD19">PRODUCT(1 + 預測IC!$C19:DD19) - 1</f>
        <v>-5.9073771617732307E-2</v>
      </c>
      <c r="DE19" s="7" cm="1">
        <f t="array" ref="DE19">PRODUCT(1 + 預測IC!$C19:DE19) - 1</f>
        <v>-9.0141663986968545E-2</v>
      </c>
      <c r="DF19" s="7" cm="1">
        <f t="array" ref="DF19">PRODUCT(1 + 預測IC!$C19:DF19) - 1</f>
        <v>-0.10951831867091433</v>
      </c>
      <c r="DG19" s="7" cm="1">
        <f t="array" ref="DG19">PRODUCT(1 + 預測IC!$C19:DG19) - 1</f>
        <v>-0.16862338576014224</v>
      </c>
      <c r="DH19" s="7" cm="1">
        <f t="array" ref="DH19">PRODUCT(1 + 預測IC!$C19:DH19) - 1</f>
        <v>-0.13269078510808008</v>
      </c>
      <c r="DI19" s="7" cm="1">
        <f t="array" ref="DI19">PRODUCT(1 + 預測IC!$C19:DI19) - 1</f>
        <v>-8.1825672951336248E-2</v>
      </c>
      <c r="DJ19" s="7" cm="1">
        <f t="array" ref="DJ19">PRODUCT(1 + 預測IC!$C19:DJ19) - 1</f>
        <v>6.9903065179635737E-2</v>
      </c>
      <c r="DK19" s="7" cm="1">
        <f t="array" ref="DK19">PRODUCT(1 + 預測IC!$C19:DK19) - 1</f>
        <v>5.2801424768983862E-2</v>
      </c>
      <c r="DL19" s="7" cm="1">
        <f t="array" ref="DL19">PRODUCT(1 + 預測IC!$C19:DL19) - 1</f>
        <v>4.0185930691314597E-2</v>
      </c>
      <c r="DM19" s="7" cm="1">
        <f t="array" ref="DM19">PRODUCT(1 + 預測IC!$C19:DM19) - 1</f>
        <v>8.813632029124463E-2</v>
      </c>
      <c r="DN19" s="7" cm="1">
        <f t="array" ref="DN19">PRODUCT(1 + 預測IC!$C19:DN19) - 1</f>
        <v>0.27739402252865242</v>
      </c>
      <c r="DO19" s="7" cm="1">
        <f t="array" ref="DO19">PRODUCT(1 + 預測IC!$C19:DO19) - 1</f>
        <v>0.59579974968650551</v>
      </c>
      <c r="DP19" s="7" cm="1">
        <f t="array" ref="DP19">PRODUCT(1 + 預測IC!$C19:DP19) - 1</f>
        <v>0.58941262353421986</v>
      </c>
      <c r="DQ19" s="7" cm="1">
        <f t="array" ref="DQ19">PRODUCT(1 + 預測IC!$C19:DQ19) - 1</f>
        <v>0.50895151578867748</v>
      </c>
      <c r="DR19" s="7" cm="1">
        <f t="array" ref="DR19">PRODUCT(1 + 預測IC!$C19:DR19) - 1</f>
        <v>0.62357502398138398</v>
      </c>
      <c r="DS19" s="7" cm="1">
        <f t="array" ref="DS19">PRODUCT(1 + 預測IC!$C19:DS19) - 1</f>
        <v>0.33458589956701212</v>
      </c>
      <c r="DT19" s="7" cm="1">
        <f t="array" ref="DT19">PRODUCT(1 + 預測IC!$C19:DT19) - 1</f>
        <v>0.32786859973223503</v>
      </c>
      <c r="DU19" s="7" cm="1">
        <f t="array" ref="DU19">PRODUCT(1 + 預測IC!$C19:DU19) - 1</f>
        <v>6.9572344031829436E-2</v>
      </c>
      <c r="DV19" s="7" cm="1">
        <f t="array" ref="DV19">PRODUCT(1 + 預測IC!$C19:DV19) - 1</f>
        <v>0.1461466503519897</v>
      </c>
      <c r="DW19" s="7" cm="1">
        <f t="array" ref="DW19">PRODUCT(1 + 預測IC!$C19:DW19) - 1</f>
        <v>8.0995103544699631E-2</v>
      </c>
      <c r="DX19" s="7" cm="1">
        <f t="array" ref="DX19">PRODUCT(1 + 預測IC!$C19:DX19) - 1</f>
        <v>0.18327258329002927</v>
      </c>
      <c r="DY19" s="7" cm="1">
        <f t="array" ref="DY19">PRODUCT(1 + 預測IC!$C19:DY19) - 1</f>
        <v>0.36327131006128455</v>
      </c>
      <c r="DZ19" s="7" cm="1">
        <f t="array" ref="DZ19">PRODUCT(1 + 預測IC!$C19:DZ19) - 1</f>
        <v>0.25469551858724504</v>
      </c>
      <c r="EA19" s="7" cm="1">
        <f t="array" ref="EA19">PRODUCT(1 + 預測IC!$C19:EA19) - 1</f>
        <v>0.54709707749672409</v>
      </c>
      <c r="EB19" s="7" cm="1">
        <f t="array" ref="EB19">PRODUCT(1 + 預測IC!$C19:EB19) - 1</f>
        <v>0.38272442104942672</v>
      </c>
      <c r="EC19" s="7" cm="1">
        <f t="array" ref="EC19">PRODUCT(1 + 預測IC!$C19:EC19) - 1</f>
        <v>0.18392431968637313</v>
      </c>
      <c r="ED19" s="7" cm="1">
        <f t="array" ref="ED19">PRODUCT(1 + 預測IC!$C19:ED19) - 1</f>
        <v>8.1917932123160897E-2</v>
      </c>
      <c r="EE19" s="7" cm="1">
        <f t="array" ref="EE19">PRODUCT(1 + 預測IC!$C19:EE19) - 1</f>
        <v>8.9822994356681729E-2</v>
      </c>
      <c r="EF19" s="7" cm="1">
        <f t="array" ref="EF19">PRODUCT(1 + 預測IC!$C19:EF19) - 1</f>
        <v>0.10832595997635508</v>
      </c>
    </row>
    <row r="20" spans="1:136" x14ac:dyDescent="0.3">
      <c r="A20" s="1">
        <v>5</v>
      </c>
      <c r="B20" s="1" t="s">
        <v>178</v>
      </c>
      <c r="C20" s="7" cm="1">
        <f t="array" ref="C20">PRODUCT(1 + 預測IC!$C20:C20) - 1</f>
        <v>0.20155104786391576</v>
      </c>
      <c r="D20" s="7" cm="1">
        <f t="array" ref="D20">PRODUCT(1 + 預測IC!$C20:D20) - 1</f>
        <v>0.20197365531227218</v>
      </c>
      <c r="E20" s="7" cm="1">
        <f t="array" ref="E20">PRODUCT(1 + 預測IC!$C20:E20) - 1</f>
        <v>0.22060423271941421</v>
      </c>
      <c r="F20" s="7" cm="1">
        <f t="array" ref="F20">PRODUCT(1 + 預測IC!$C20:F20) - 1</f>
        <v>0.10926264051422829</v>
      </c>
      <c r="G20" s="7" cm="1">
        <f t="array" ref="G20">PRODUCT(1 + 預測IC!$C20:G20) - 1</f>
        <v>-2.0695159585091272E-3</v>
      </c>
      <c r="H20" s="7" cm="1">
        <f t="array" ref="H20">PRODUCT(1 + 預測IC!$C20:H20) - 1</f>
        <v>0.16196231169690156</v>
      </c>
      <c r="I20" s="7" cm="1">
        <f t="array" ref="I20">PRODUCT(1 + 預測IC!$C20:I20) - 1</f>
        <v>0.34572614305073146</v>
      </c>
      <c r="J20" s="7" cm="1">
        <f t="array" ref="J20">PRODUCT(1 + 預測IC!$C20:J20) - 1</f>
        <v>0.39211501710332763</v>
      </c>
      <c r="K20" s="7" cm="1">
        <f t="array" ref="K20">PRODUCT(1 + 預測IC!$C20:K20) - 1</f>
        <v>0.2666734065281835</v>
      </c>
      <c r="L20" s="7" cm="1">
        <f t="array" ref="L20">PRODUCT(1 + 預測IC!$C20:L20) - 1</f>
        <v>0.38790498989687805</v>
      </c>
      <c r="M20" s="7" cm="1">
        <f t="array" ref="M20">PRODUCT(1 + 預測IC!$C20:M20) - 1</f>
        <v>0.52688065534820461</v>
      </c>
      <c r="N20" s="7" cm="1">
        <f t="array" ref="N20">PRODUCT(1 + 預測IC!$C20:N20) - 1</f>
        <v>0.68250785780573042</v>
      </c>
      <c r="O20" s="7" cm="1">
        <f t="array" ref="O20">PRODUCT(1 + 預測IC!$C20:O20) - 1</f>
        <v>0.84924688359901745</v>
      </c>
      <c r="P20" s="7" cm="1">
        <f t="array" ref="P20">PRODUCT(1 + 預測IC!$C20:P20) - 1</f>
        <v>0.68065117898004934</v>
      </c>
      <c r="Q20" s="7" cm="1">
        <f t="array" ref="Q20">PRODUCT(1 + 預測IC!$C20:Q20) - 1</f>
        <v>0.50074533327958481</v>
      </c>
      <c r="R20" s="7" cm="1">
        <f t="array" ref="R20">PRODUCT(1 + 預測IC!$C20:R20) - 1</f>
        <v>0.21418931702018074</v>
      </c>
      <c r="S20" s="7" cm="1">
        <f t="array" ref="S20">PRODUCT(1 + 預測IC!$C20:S20) - 1</f>
        <v>2.5768239659415659E-2</v>
      </c>
      <c r="T20" s="7" cm="1">
        <f t="array" ref="T20">PRODUCT(1 + 預測IC!$C20:T20) - 1</f>
        <v>4.1834755810699287E-2</v>
      </c>
      <c r="U20" s="7" cm="1">
        <f t="array" ref="U20">PRODUCT(1 + 預測IC!$C20:U20) - 1</f>
        <v>-0.1130336473761413</v>
      </c>
      <c r="V20" s="7" cm="1">
        <f t="array" ref="V20">PRODUCT(1 + 預測IC!$C20:V20) - 1</f>
        <v>-0.10181875335208834</v>
      </c>
      <c r="W20" s="7" cm="1">
        <f t="array" ref="W20">PRODUCT(1 + 預測IC!$C20:W20) - 1</f>
        <v>5.3643285599614066E-2</v>
      </c>
      <c r="X20" s="7" cm="1">
        <f t="array" ref="X20">PRODUCT(1 + 預測IC!$C20:X20) - 1</f>
        <v>0.21031709329164716</v>
      </c>
      <c r="Y20" s="7" cm="1">
        <f t="array" ref="Y20">PRODUCT(1 + 預測IC!$C20:Y20) - 1</f>
        <v>0.261232094952079</v>
      </c>
      <c r="Z20" s="7" cm="1">
        <f t="array" ref="Z20">PRODUCT(1 + 預測IC!$C20:Z20) - 1</f>
        <v>0.39443959528535544</v>
      </c>
      <c r="AA20" s="7" cm="1">
        <f t="array" ref="AA20">PRODUCT(1 + 預測IC!$C20:AA20) - 1</f>
        <v>0.36432729499960481</v>
      </c>
      <c r="AB20" s="7" cm="1">
        <f t="array" ref="AB20">PRODUCT(1 + 預測IC!$C20:AB20) - 1</f>
        <v>0.4799674592221419</v>
      </c>
      <c r="AC20" s="7" cm="1">
        <f t="array" ref="AC20">PRODUCT(1 + 預測IC!$C20:AC20) - 1</f>
        <v>0.56350177405973878</v>
      </c>
      <c r="AD20" s="7" cm="1">
        <f t="array" ref="AD20">PRODUCT(1 + 預測IC!$C20:AD20) - 1</f>
        <v>0.61737051229185624</v>
      </c>
      <c r="AE20" s="7" cm="1">
        <f t="array" ref="AE20">PRODUCT(1 + 預測IC!$C20:AE20) - 1</f>
        <v>0.29504011019961807</v>
      </c>
      <c r="AF20" s="7" cm="1">
        <f t="array" ref="AF20">PRODUCT(1 + 預測IC!$C20:AF20) - 1</f>
        <v>0.34560453480137832</v>
      </c>
      <c r="AG20" s="7" cm="1">
        <f t="array" ref="AG20">PRODUCT(1 + 預測IC!$C20:AG20) - 1</f>
        <v>0.38282290469771962</v>
      </c>
      <c r="AH20" s="7" cm="1">
        <f t="array" ref="AH20">PRODUCT(1 + 預測IC!$C20:AH20) - 1</f>
        <v>0.68240105034976417</v>
      </c>
      <c r="AI20" s="7" cm="1">
        <f t="array" ref="AI20">PRODUCT(1 + 預測IC!$C20:AI20) - 1</f>
        <v>0.87812612924912381</v>
      </c>
      <c r="AJ20" s="7" cm="1">
        <f t="array" ref="AJ20">PRODUCT(1 + 預測IC!$C20:AJ20) - 1</f>
        <v>0.91050824604861891</v>
      </c>
      <c r="AK20" s="7" cm="1">
        <f t="array" ref="AK20">PRODUCT(1 + 預測IC!$C20:AK20) - 1</f>
        <v>1.0384480312195126</v>
      </c>
      <c r="AL20" s="7" cm="1">
        <f t="array" ref="AL20">PRODUCT(1 + 預測IC!$C20:AL20) - 1</f>
        <v>0.9960885407206781</v>
      </c>
      <c r="AM20" s="7" cm="1">
        <f t="array" ref="AM20">PRODUCT(1 + 預測IC!$C20:AM20) - 1</f>
        <v>0.86129296144072409</v>
      </c>
      <c r="AN20" s="7" cm="1">
        <f t="array" ref="AN20">PRODUCT(1 + 預測IC!$C20:AN20) - 1</f>
        <v>1.001765101436205</v>
      </c>
      <c r="AO20" s="7" cm="1">
        <f t="array" ref="AO20">PRODUCT(1 + 預測IC!$C20:AO20) - 1</f>
        <v>1.0924151981287964</v>
      </c>
      <c r="AP20" s="7" cm="1">
        <f t="array" ref="AP20">PRODUCT(1 + 預測IC!$C20:AP20) - 1</f>
        <v>1.3847679899559413</v>
      </c>
      <c r="AQ20" s="7" cm="1">
        <f t="array" ref="AQ20">PRODUCT(1 + 預測IC!$C20:AQ20) - 1</f>
        <v>1.4642003932746506</v>
      </c>
      <c r="AR20" s="7" cm="1">
        <f t="array" ref="AR20">PRODUCT(1 + 預測IC!$C20:AR20) - 1</f>
        <v>1.3909175381479444</v>
      </c>
      <c r="AS20" s="7" cm="1">
        <f t="array" ref="AS20">PRODUCT(1 + 預測IC!$C20:AS20) - 1</f>
        <v>1.2898015315717082</v>
      </c>
      <c r="AT20" s="7" cm="1">
        <f t="array" ref="AT20">PRODUCT(1 + 預測IC!$C20:AT20) - 1</f>
        <v>1.8373474547065971</v>
      </c>
      <c r="AU20" s="7" cm="1">
        <f t="array" ref="AU20">PRODUCT(1 + 預測IC!$C20:AU20) - 1</f>
        <v>1.4314006611337531</v>
      </c>
      <c r="AV20" s="7" cm="1">
        <f t="array" ref="AV20">PRODUCT(1 + 預測IC!$C20:AV20) - 1</f>
        <v>1.3529962254846928</v>
      </c>
      <c r="AW20" s="7" cm="1">
        <f t="array" ref="AW20">PRODUCT(1 + 預測IC!$C20:AW20) - 1</f>
        <v>1.3691501755971753</v>
      </c>
      <c r="AX20" s="7" cm="1">
        <f t="array" ref="AX20">PRODUCT(1 + 預測IC!$C20:AX20) - 1</f>
        <v>1.6314922111326218</v>
      </c>
      <c r="AY20" s="7" cm="1">
        <f t="array" ref="AY20">PRODUCT(1 + 預測IC!$C20:AY20) - 1</f>
        <v>1.7332643788530406</v>
      </c>
      <c r="AZ20" s="7" cm="1">
        <f t="array" ref="AZ20">PRODUCT(1 + 預測IC!$C20:AZ20) - 1</f>
        <v>1.1488858096045251</v>
      </c>
      <c r="BA20" s="7" cm="1">
        <f t="array" ref="BA20">PRODUCT(1 + 預測IC!$C20:BA20) - 1</f>
        <v>0.92953276726329448</v>
      </c>
      <c r="BB20" s="7" cm="1">
        <f t="array" ref="BB20">PRODUCT(1 + 預測IC!$C20:BB20) - 1</f>
        <v>1.2530294002777853</v>
      </c>
      <c r="BC20" s="7" cm="1">
        <f t="array" ref="BC20">PRODUCT(1 + 預測IC!$C20:BC20) - 1</f>
        <v>1.4121058200790371</v>
      </c>
      <c r="BD20" s="7" cm="1">
        <f t="array" ref="BD20">PRODUCT(1 + 預測IC!$C20:BD20) - 1</f>
        <v>1.2832274566414861</v>
      </c>
      <c r="BE20" s="7" cm="1">
        <f t="array" ref="BE20">PRODUCT(1 + 預測IC!$C20:BE20) - 1</f>
        <v>1.2696495661340497</v>
      </c>
      <c r="BF20" s="7" cm="1">
        <f t="array" ref="BF20">PRODUCT(1 + 預測IC!$C20:BF20) - 1</f>
        <v>0.95650314877058307</v>
      </c>
      <c r="BG20" s="7" cm="1">
        <f t="array" ref="BG20">PRODUCT(1 + 預測IC!$C20:BG20) - 1</f>
        <v>0.77247044079303162</v>
      </c>
      <c r="BH20" s="7" cm="1">
        <f t="array" ref="BH20">PRODUCT(1 + 預測IC!$C20:BH20) - 1</f>
        <v>0.50649831111911303</v>
      </c>
      <c r="BI20" s="7" cm="1">
        <f t="array" ref="BI20">PRODUCT(1 + 預測IC!$C20:BI20) - 1</f>
        <v>0.67862427858396268</v>
      </c>
      <c r="BJ20" s="7" cm="1">
        <f t="array" ref="BJ20">PRODUCT(1 + 預測IC!$C20:BJ20) - 1</f>
        <v>0.59613704443399085</v>
      </c>
      <c r="BK20" s="7" cm="1">
        <f t="array" ref="BK20">PRODUCT(1 + 預測IC!$C20:BK20) - 1</f>
        <v>0.50159279098087795</v>
      </c>
      <c r="BL20" s="7" cm="1">
        <f t="array" ref="BL20">PRODUCT(1 + 預測IC!$C20:BL20) - 1</f>
        <v>0.63116858323309777</v>
      </c>
      <c r="BM20" s="7" cm="1">
        <f t="array" ref="BM20">PRODUCT(1 + 預測IC!$C20:BM20) - 1</f>
        <v>0.85450437088179543</v>
      </c>
      <c r="BN20" s="7" cm="1">
        <f t="array" ref="BN20">PRODUCT(1 + 預測IC!$C20:BN20) - 1</f>
        <v>1.0743692933419253</v>
      </c>
      <c r="BO20" s="7" cm="1">
        <f t="array" ref="BO20">PRODUCT(1 + 預測IC!$C20:BO20) - 1</f>
        <v>0.9945854875575868</v>
      </c>
      <c r="BP20" s="7" cm="1">
        <f t="array" ref="BP20">PRODUCT(1 + 預測IC!$C20:BP20) - 1</f>
        <v>1.1150734518107108</v>
      </c>
      <c r="BQ20" s="7" cm="1">
        <f t="array" ref="BQ20">PRODUCT(1 + 預測IC!$C20:BQ20) - 1</f>
        <v>1.1477549469887487</v>
      </c>
      <c r="BR20" s="7" cm="1">
        <f t="array" ref="BR20">PRODUCT(1 + 預測IC!$C20:BR20) - 1</f>
        <v>1.1736861492659916</v>
      </c>
      <c r="BS20" s="7" cm="1">
        <f t="array" ref="BS20">PRODUCT(1 + 預測IC!$C20:BS20) - 1</f>
        <v>1.1854403705758538</v>
      </c>
      <c r="BT20" s="7" cm="1">
        <f t="array" ref="BT20">PRODUCT(1 + 預測IC!$C20:BT20) - 1</f>
        <v>1.5084550861780319</v>
      </c>
      <c r="BU20" s="7" cm="1">
        <f t="array" ref="BU20">PRODUCT(1 + 預測IC!$C20:BU20) - 1</f>
        <v>1.2607327311513541</v>
      </c>
      <c r="BV20" s="7" cm="1">
        <f t="array" ref="BV20">PRODUCT(1 + 預測IC!$C20:BV20) - 1</f>
        <v>1.5227930974564461</v>
      </c>
      <c r="BW20" s="7" cm="1">
        <f t="array" ref="BW20">PRODUCT(1 + 預測IC!$C20:BW20) - 1</f>
        <v>1.1809464291010285</v>
      </c>
      <c r="BX20" s="7" cm="1">
        <f t="array" ref="BX20">PRODUCT(1 + 預測IC!$C20:BX20) - 1</f>
        <v>1.2478876064214743</v>
      </c>
      <c r="BY20" s="7" cm="1">
        <f t="array" ref="BY20">PRODUCT(1 + 預測IC!$C20:BY20) - 1</f>
        <v>1.0113334776453429</v>
      </c>
      <c r="BZ20" s="7" cm="1">
        <f t="array" ref="BZ20">PRODUCT(1 + 預測IC!$C20:BZ20) - 1</f>
        <v>1.0228384220395923</v>
      </c>
      <c r="CA20" s="7" cm="1">
        <f t="array" ref="CA20">PRODUCT(1 + 預測IC!$C20:CA20) - 1</f>
        <v>0.97378755429051989</v>
      </c>
      <c r="CB20" s="7" cm="1">
        <f t="array" ref="CB20">PRODUCT(1 + 預測IC!$C20:CB20) - 1</f>
        <v>0.97357486861319886</v>
      </c>
      <c r="CC20" s="7" cm="1">
        <f t="array" ref="CC20">PRODUCT(1 + 預測IC!$C20:CC20) - 1</f>
        <v>0.92217699163649725</v>
      </c>
      <c r="CD20" s="7" cm="1">
        <f t="array" ref="CD20">PRODUCT(1 + 預測IC!$C20:CD20) - 1</f>
        <v>1.2701438821664564</v>
      </c>
      <c r="CE20" s="7" cm="1">
        <f t="array" ref="CE20">PRODUCT(1 + 預測IC!$C20:CE20) - 1</f>
        <v>0.71631096441073305</v>
      </c>
      <c r="CF20" s="7" cm="1">
        <f t="array" ref="CF20">PRODUCT(1 + 預測IC!$C20:CF20) - 1</f>
        <v>0.89787072974426474</v>
      </c>
      <c r="CG20" s="7" cm="1">
        <f t="array" ref="CG20">PRODUCT(1 + 預測IC!$C20:CG20) - 1</f>
        <v>0.75368903350629468</v>
      </c>
      <c r="CH20" s="7" cm="1">
        <f t="array" ref="CH20">PRODUCT(1 + 預測IC!$C20:CH20) - 1</f>
        <v>0.71476550377051229</v>
      </c>
      <c r="CI20" s="7" cm="1">
        <f t="array" ref="CI20">PRODUCT(1 + 預測IC!$C20:CI20) - 1</f>
        <v>0.5686534175965503</v>
      </c>
      <c r="CJ20" s="7" cm="1">
        <f t="array" ref="CJ20">PRODUCT(1 + 預測IC!$C20:CJ20) - 1</f>
        <v>0.37501833793604566</v>
      </c>
      <c r="CK20" s="7" cm="1">
        <f t="array" ref="CK20">PRODUCT(1 + 預測IC!$C20:CK20) - 1</f>
        <v>0.50011530182346342</v>
      </c>
      <c r="CL20" s="7" cm="1">
        <f t="array" ref="CL20">PRODUCT(1 + 預測IC!$C20:CL20) - 1</f>
        <v>0.36182727144876203</v>
      </c>
      <c r="CM20" s="7" cm="1">
        <f t="array" ref="CM20">PRODUCT(1 + 預測IC!$C20:CM20) - 1</f>
        <v>0.23003533982683932</v>
      </c>
      <c r="CN20" s="7" cm="1">
        <f t="array" ref="CN20">PRODUCT(1 + 預測IC!$C20:CN20) - 1</f>
        <v>0.25729219892229604</v>
      </c>
      <c r="CO20" s="7" cm="1">
        <f t="array" ref="CO20">PRODUCT(1 + 預測IC!$C20:CO20) - 1</f>
        <v>-3.0021955249595722E-2</v>
      </c>
      <c r="CP20" s="7" cm="1">
        <f t="array" ref="CP20">PRODUCT(1 + 預測IC!$C20:CP20) - 1</f>
        <v>0.12193553776374944</v>
      </c>
      <c r="CQ20" s="7" cm="1">
        <f t="array" ref="CQ20">PRODUCT(1 + 預測IC!$C20:CQ20) - 1</f>
        <v>0.14787249434976912</v>
      </c>
      <c r="CR20" s="7" cm="1">
        <f t="array" ref="CR20">PRODUCT(1 + 預測IC!$C20:CR20) - 1</f>
        <v>0.37226562360285431</v>
      </c>
      <c r="CS20" s="7" cm="1">
        <f t="array" ref="CS20">PRODUCT(1 + 預測IC!$C20:CS20) - 1</f>
        <v>0.23896772223322782</v>
      </c>
      <c r="CT20" s="7" cm="1">
        <f t="array" ref="CT20">PRODUCT(1 + 預測IC!$C20:CT20) - 1</f>
        <v>0.27417225584398541</v>
      </c>
      <c r="CU20" s="7" cm="1">
        <f t="array" ref="CU20">PRODUCT(1 + 預測IC!$C20:CU20) - 1</f>
        <v>8.7215497529693931E-2</v>
      </c>
      <c r="CV20" s="7" cm="1">
        <f t="array" ref="CV20">PRODUCT(1 + 預測IC!$C20:CV20) - 1</f>
        <v>0.21682694524701662</v>
      </c>
      <c r="CW20" s="7" cm="1">
        <f t="array" ref="CW20">PRODUCT(1 + 預測IC!$C20:CW20) - 1</f>
        <v>0.18541285096869942</v>
      </c>
      <c r="CX20" s="7" cm="1">
        <f t="array" ref="CX20">PRODUCT(1 + 預測IC!$C20:CX20) - 1</f>
        <v>1.3345211141730928E-2</v>
      </c>
      <c r="CY20" s="7" cm="1">
        <f t="array" ref="CY20">PRODUCT(1 + 預測IC!$C20:CY20) - 1</f>
        <v>0.11565928961098648</v>
      </c>
      <c r="CZ20" s="7" cm="1">
        <f t="array" ref="CZ20">PRODUCT(1 + 預測IC!$C20:CZ20) - 1</f>
        <v>0.1010858407956905</v>
      </c>
      <c r="DA20" s="7" cm="1">
        <f t="array" ref="DA20">PRODUCT(1 + 預測IC!$C20:DA20) - 1</f>
        <v>0.34841114877419188</v>
      </c>
      <c r="DB20" s="7" cm="1">
        <f t="array" ref="DB20">PRODUCT(1 + 預測IC!$C20:DB20) - 1</f>
        <v>0.86416482155514607</v>
      </c>
      <c r="DC20" s="7" cm="1">
        <f t="array" ref="DC20">PRODUCT(1 + 預測IC!$C20:DC20) - 1</f>
        <v>0.79457124042358807</v>
      </c>
      <c r="DD20" s="7" cm="1">
        <f t="array" ref="DD20">PRODUCT(1 + 預測IC!$C20:DD20) - 1</f>
        <v>0.78811583611227487</v>
      </c>
      <c r="DE20" s="7" cm="1">
        <f t="array" ref="DE20">PRODUCT(1 + 預測IC!$C20:DE20) - 1</f>
        <v>0.76948595501501638</v>
      </c>
      <c r="DF20" s="7" cm="1">
        <f t="array" ref="DF20">PRODUCT(1 + 預測IC!$C20:DF20) - 1</f>
        <v>0.68897441751178246</v>
      </c>
      <c r="DG20" s="7" cm="1">
        <f t="array" ref="DG20">PRODUCT(1 + 預測IC!$C20:DG20) - 1</f>
        <v>0.60056536695895768</v>
      </c>
      <c r="DH20" s="7" cm="1">
        <f t="array" ref="DH20">PRODUCT(1 + 預測IC!$C20:DH20) - 1</f>
        <v>0.67748599709411206</v>
      </c>
      <c r="DI20" s="7" cm="1">
        <f t="array" ref="DI20">PRODUCT(1 + 預測IC!$C20:DI20) - 1</f>
        <v>0.80203654035739302</v>
      </c>
      <c r="DJ20" s="7" cm="1">
        <f t="array" ref="DJ20">PRODUCT(1 + 預測IC!$C20:DJ20) - 1</f>
        <v>1.0481192128026162</v>
      </c>
      <c r="DK20" s="7" cm="1">
        <f t="array" ref="DK20">PRODUCT(1 + 預測IC!$C20:DK20) - 1</f>
        <v>1.0055886686868565</v>
      </c>
      <c r="DL20" s="7" cm="1">
        <f t="array" ref="DL20">PRODUCT(1 + 預測IC!$C20:DL20) - 1</f>
        <v>0.96654913649718943</v>
      </c>
      <c r="DM20" s="7" cm="1">
        <f t="array" ref="DM20">PRODUCT(1 + 預測IC!$C20:DM20) - 1</f>
        <v>0.88225345198827454</v>
      </c>
      <c r="DN20" s="7" cm="1">
        <f t="array" ref="DN20">PRODUCT(1 + 預測IC!$C20:DN20) - 1</f>
        <v>1.2271476618708714</v>
      </c>
      <c r="DO20" s="7" cm="1">
        <f t="array" ref="DO20">PRODUCT(1 + 預測IC!$C20:DO20) - 1</f>
        <v>1.8017547952581059</v>
      </c>
      <c r="DP20" s="7" cm="1">
        <f t="array" ref="DP20">PRODUCT(1 + 預測IC!$C20:DP20) - 1</f>
        <v>1.7410372336884308</v>
      </c>
      <c r="DQ20" s="7" cm="1">
        <f t="array" ref="DQ20">PRODUCT(1 + 預測IC!$C20:DQ20) - 1</f>
        <v>1.6353968060082416</v>
      </c>
      <c r="DR20" s="7" cm="1">
        <f t="array" ref="DR20">PRODUCT(1 + 預測IC!$C20:DR20) - 1</f>
        <v>1.8423088194780095</v>
      </c>
      <c r="DS20" s="7" cm="1">
        <f t="array" ref="DS20">PRODUCT(1 + 預測IC!$C20:DS20) - 1</f>
        <v>1.2565626983033438</v>
      </c>
      <c r="DT20" s="7" cm="1">
        <f t="array" ref="DT20">PRODUCT(1 + 預測IC!$C20:DT20) - 1</f>
        <v>1.3235495265233088</v>
      </c>
      <c r="DU20" s="7" cm="1">
        <f t="array" ref="DU20">PRODUCT(1 + 預測IC!$C20:DU20) - 1</f>
        <v>0.69004692765689035</v>
      </c>
      <c r="DV20" s="7" cm="1">
        <f t="array" ref="DV20">PRODUCT(1 + 預測IC!$C20:DV20) - 1</f>
        <v>0.8625030024557403</v>
      </c>
      <c r="DW20" s="7" cm="1">
        <f t="array" ref="DW20">PRODUCT(1 + 預測IC!$C20:DW20) - 1</f>
        <v>0.74649627301011412</v>
      </c>
      <c r="DX20" s="7" cm="1">
        <f t="array" ref="DX20">PRODUCT(1 + 預測IC!$C20:DX20) - 1</f>
        <v>0.91739306091416628</v>
      </c>
      <c r="DY20" s="7" cm="1">
        <f t="array" ref="DY20">PRODUCT(1 + 預測IC!$C20:DY20) - 1</f>
        <v>1.2767160294339317</v>
      </c>
      <c r="DZ20" s="7" cm="1">
        <f t="array" ref="DZ20">PRODUCT(1 + 預測IC!$C20:DZ20) - 1</f>
        <v>1.3179590283398968</v>
      </c>
      <c r="EA20" s="7" cm="1">
        <f t="array" ref="EA20">PRODUCT(1 + 預測IC!$C20:EA20) - 1</f>
        <v>1.998720378202647</v>
      </c>
      <c r="EB20" s="7" cm="1">
        <f t="array" ref="EB20">PRODUCT(1 + 預測IC!$C20:EB20) - 1</f>
        <v>1.6799196171457735</v>
      </c>
      <c r="EC20" s="7" cm="1">
        <f t="array" ref="EC20">PRODUCT(1 + 預測IC!$C20:EC20) - 1</f>
        <v>1.32883367715135</v>
      </c>
      <c r="ED20" s="7" cm="1">
        <f t="array" ref="ED20">PRODUCT(1 + 預測IC!$C20:ED20) - 1</f>
        <v>1.1550429316275945</v>
      </c>
      <c r="EE20" s="7" cm="1">
        <f t="array" ref="EE20">PRODUCT(1 + 預測IC!$C20:EE20) - 1</f>
        <v>1.1587948177359357</v>
      </c>
      <c r="EF20" s="7" cm="1">
        <f t="array" ref="EF20">PRODUCT(1 + 預測IC!$C20:EF20) - 1</f>
        <v>1.2025782348226999</v>
      </c>
    </row>
    <row r="21" spans="1:136" x14ac:dyDescent="0.3">
      <c r="A21" s="1">
        <v>4</v>
      </c>
      <c r="B21" s="1" t="s">
        <v>179</v>
      </c>
      <c r="C21" s="7" cm="1">
        <f t="array" ref="C21">PRODUCT(1 + 預測IC!$C21:C21) - 1</f>
        <v>0.2146295798069533</v>
      </c>
      <c r="D21" s="7" cm="1">
        <f t="array" ref="D21">PRODUCT(1 + 預測IC!$C21:D21) - 1</f>
        <v>0.21418294909882007</v>
      </c>
      <c r="E21" s="7" cm="1">
        <f t="array" ref="E21">PRODUCT(1 + 預測IC!$C21:E21) - 1</f>
        <v>0.21384376433483254</v>
      </c>
      <c r="F21" s="7" cm="1">
        <f t="array" ref="F21">PRODUCT(1 + 預測IC!$C21:F21) - 1</f>
        <v>0.15181940219467016</v>
      </c>
      <c r="G21" s="7" cm="1">
        <f t="array" ref="G21">PRODUCT(1 + 預測IC!$C21:G21) - 1</f>
        <v>0.14341556885310047</v>
      </c>
      <c r="H21" s="7" cm="1">
        <f t="array" ref="H21">PRODUCT(1 + 預測IC!$C21:H21) - 1</f>
        <v>0.37057572281122186</v>
      </c>
      <c r="I21" s="7" cm="1">
        <f t="array" ref="I21">PRODUCT(1 + 預測IC!$C21:I21) - 1</f>
        <v>0.57240068435853919</v>
      </c>
      <c r="J21" s="7" cm="1">
        <f t="array" ref="J21">PRODUCT(1 + 預測IC!$C21:J21) - 1</f>
        <v>0.66742923183550884</v>
      </c>
      <c r="K21" s="7" cm="1">
        <f t="array" ref="K21">PRODUCT(1 + 預測IC!$C21:K21) - 1</f>
        <v>0.51907302185480431</v>
      </c>
      <c r="L21" s="7" cm="1">
        <f t="array" ref="L21">PRODUCT(1 + 預測IC!$C21:L21) - 1</f>
        <v>0.68568435458614996</v>
      </c>
      <c r="M21" s="7" cm="1">
        <f t="array" ref="M21">PRODUCT(1 + 預測IC!$C21:M21) - 1</f>
        <v>0.81322432842550985</v>
      </c>
      <c r="N21" s="7" cm="1">
        <f t="array" ref="N21">PRODUCT(1 + 預測IC!$C21:N21) - 1</f>
        <v>0.99379864689176522</v>
      </c>
      <c r="O21" s="7" cm="1">
        <f t="array" ref="O21">PRODUCT(1 + 預測IC!$C21:O21) - 1</f>
        <v>1.2525587370998705</v>
      </c>
      <c r="P21" s="7" cm="1">
        <f t="array" ref="P21">PRODUCT(1 + 預測IC!$C21:P21) - 1</f>
        <v>0.92644995007313824</v>
      </c>
      <c r="Q21" s="7" cm="1">
        <f t="array" ref="Q21">PRODUCT(1 + 預測IC!$C21:Q21) - 1</f>
        <v>0.77003113548614643</v>
      </c>
      <c r="R21" s="7" cm="1">
        <f t="array" ref="R21">PRODUCT(1 + 預測IC!$C21:R21) - 1</f>
        <v>0.51746169211825377</v>
      </c>
      <c r="S21" s="7" cm="1">
        <f t="array" ref="S21">PRODUCT(1 + 預測IC!$C21:S21) - 1</f>
        <v>0.32233085996939281</v>
      </c>
      <c r="T21" s="7" cm="1">
        <f t="array" ref="T21">PRODUCT(1 + 預測IC!$C21:T21) - 1</f>
        <v>0.30376485291712596</v>
      </c>
      <c r="U21" s="7" cm="1">
        <f t="array" ref="U21">PRODUCT(1 + 預測IC!$C21:U21) - 1</f>
        <v>0.19127808446960981</v>
      </c>
      <c r="V21" s="7" cm="1">
        <f t="array" ref="V21">PRODUCT(1 + 預測IC!$C21:V21) - 1</f>
        <v>0.25508010267672798</v>
      </c>
      <c r="W21" s="7" cm="1">
        <f t="array" ref="W21">PRODUCT(1 + 預測IC!$C21:W21) - 1</f>
        <v>0.45311728387370742</v>
      </c>
      <c r="X21" s="7" cm="1">
        <f t="array" ref="X21">PRODUCT(1 + 預測IC!$C21:X21) - 1</f>
        <v>0.7398713488244768</v>
      </c>
      <c r="Y21" s="7" cm="1">
        <f t="array" ref="Y21">PRODUCT(1 + 預測IC!$C21:Y21) - 1</f>
        <v>0.77611823285670956</v>
      </c>
      <c r="Z21" s="7" cm="1">
        <f t="array" ref="Z21">PRODUCT(1 + 預測IC!$C21:Z21) - 1</f>
        <v>0.97895801682792527</v>
      </c>
      <c r="AA21" s="7" cm="1">
        <f t="array" ref="AA21">PRODUCT(1 + 預測IC!$C21:AA21) - 1</f>
        <v>1.0175299736979362</v>
      </c>
      <c r="AB21" s="7" cm="1">
        <f t="array" ref="AB21">PRODUCT(1 + 預測IC!$C21:AB21) - 1</f>
        <v>1.2794852229564473</v>
      </c>
      <c r="AC21" s="7" cm="1">
        <f t="array" ref="AC21">PRODUCT(1 + 預測IC!$C21:AC21) - 1</f>
        <v>1.4488535503663313</v>
      </c>
      <c r="AD21" s="7" cm="1">
        <f t="array" ref="AD21">PRODUCT(1 + 預測IC!$C21:AD21) - 1</f>
        <v>1.5632087042752865</v>
      </c>
      <c r="AE21" s="7" cm="1">
        <f t="array" ref="AE21">PRODUCT(1 + 預測IC!$C21:AE21) - 1</f>
        <v>0.94686950886297017</v>
      </c>
      <c r="AF21" s="7" cm="1">
        <f t="array" ref="AF21">PRODUCT(1 + 預測IC!$C21:AF21) - 1</f>
        <v>1.0502981388908688</v>
      </c>
      <c r="AG21" s="7" cm="1">
        <f t="array" ref="AG21">PRODUCT(1 + 預測IC!$C21:AG21) - 1</f>
        <v>1.1411320417409789</v>
      </c>
      <c r="AH21" s="7" cm="1">
        <f t="array" ref="AH21">PRODUCT(1 + 預測IC!$C21:AH21) - 1</f>
        <v>1.6557558165046422</v>
      </c>
      <c r="AI21" s="7" cm="1">
        <f t="array" ref="AI21">PRODUCT(1 + 預測IC!$C21:AI21) - 1</f>
        <v>1.926971361747098</v>
      </c>
      <c r="AJ21" s="7" cm="1">
        <f t="array" ref="AJ21">PRODUCT(1 + 預測IC!$C21:AJ21) - 1</f>
        <v>1.9421504175962148</v>
      </c>
      <c r="AK21" s="7" cm="1">
        <f t="array" ref="AK21">PRODUCT(1 + 預測IC!$C21:AK21) - 1</f>
        <v>2.2510427007986311</v>
      </c>
      <c r="AL21" s="7" cm="1">
        <f t="array" ref="AL21">PRODUCT(1 + 預測IC!$C21:AL21) - 1</f>
        <v>2.1294813827282253</v>
      </c>
      <c r="AM21" s="7" cm="1">
        <f t="array" ref="AM21">PRODUCT(1 + 預測IC!$C21:AM21) - 1</f>
        <v>2.327032142003997</v>
      </c>
      <c r="AN21" s="7" cm="1">
        <f t="array" ref="AN21">PRODUCT(1 + 預測IC!$C21:AN21) - 1</f>
        <v>2.6995135390179135</v>
      </c>
      <c r="AO21" s="7" cm="1">
        <f t="array" ref="AO21">PRODUCT(1 + 預測IC!$C21:AO21) - 1</f>
        <v>2.8760779858704058</v>
      </c>
      <c r="AP21" s="7" cm="1">
        <f t="array" ref="AP21">PRODUCT(1 + 預測IC!$C21:AP21) - 1</f>
        <v>3.6051729286724186</v>
      </c>
      <c r="AQ21" s="7" cm="1">
        <f t="array" ref="AQ21">PRODUCT(1 + 預測IC!$C21:AQ21) - 1</f>
        <v>3.7757309811062152</v>
      </c>
      <c r="AR21" s="7" cm="1">
        <f t="array" ref="AR21">PRODUCT(1 + 預測IC!$C21:AR21) - 1</f>
        <v>3.6124110075747966</v>
      </c>
      <c r="AS21" s="7" cm="1">
        <f t="array" ref="AS21">PRODUCT(1 + 預測IC!$C21:AS21) - 1</f>
        <v>3.4029767274237663</v>
      </c>
      <c r="AT21" s="7" cm="1">
        <f t="array" ref="AT21">PRODUCT(1 + 預測IC!$C21:AT21) - 1</f>
        <v>4.56905341193906</v>
      </c>
      <c r="AU21" s="7" cm="1">
        <f t="array" ref="AU21">PRODUCT(1 + 預測IC!$C21:AU21) - 1</f>
        <v>4.2156672920505054</v>
      </c>
      <c r="AV21" s="7" cm="1">
        <f t="array" ref="AV21">PRODUCT(1 + 預測IC!$C21:AV21) - 1</f>
        <v>3.8572783850906625</v>
      </c>
      <c r="AW21" s="7" cm="1">
        <f t="array" ref="AW21">PRODUCT(1 + 預測IC!$C21:AW21) - 1</f>
        <v>3.9048361432544745</v>
      </c>
      <c r="AX21" s="7" cm="1">
        <f t="array" ref="AX21">PRODUCT(1 + 預測IC!$C21:AX21) - 1</f>
        <v>4.606952094579432</v>
      </c>
      <c r="AY21" s="7" cm="1">
        <f t="array" ref="AY21">PRODUCT(1 + 預測IC!$C21:AY21) - 1</f>
        <v>4.8705982205185716</v>
      </c>
      <c r="AZ21" s="7" cm="1">
        <f t="array" ref="AZ21">PRODUCT(1 + 預測IC!$C21:AZ21) - 1</f>
        <v>3.3741165730703129</v>
      </c>
      <c r="BA21" s="7" cm="1">
        <f t="array" ref="BA21">PRODUCT(1 + 預測IC!$C21:BA21) - 1</f>
        <v>3.2897258338032787</v>
      </c>
      <c r="BB21" s="7" cm="1">
        <f t="array" ref="BB21">PRODUCT(1 + 預測IC!$C21:BB21) - 1</f>
        <v>4.2563989708249599</v>
      </c>
      <c r="BC21" s="7" cm="1">
        <f t="array" ref="BC21">PRODUCT(1 + 預測IC!$C21:BC21) - 1</f>
        <v>4.4578302122885001</v>
      </c>
      <c r="BD21" s="7" cm="1">
        <f t="array" ref="BD21">PRODUCT(1 + 預測IC!$C21:BD21) - 1</f>
        <v>4.3391176930409276</v>
      </c>
      <c r="BE21" s="7" cm="1">
        <f t="array" ref="BE21">PRODUCT(1 + 預測IC!$C21:BE21) - 1</f>
        <v>4.3730239382632412</v>
      </c>
      <c r="BF21" s="7" cm="1">
        <f t="array" ref="BF21">PRODUCT(1 + 預測IC!$C21:BF21) - 1</f>
        <v>3.3031623678612672</v>
      </c>
      <c r="BG21" s="7" cm="1">
        <f t="array" ref="BG21">PRODUCT(1 + 預測IC!$C21:BG21) - 1</f>
        <v>2.9060425694546832</v>
      </c>
      <c r="BH21" s="7" cm="1">
        <f t="array" ref="BH21">PRODUCT(1 + 預測IC!$C21:BH21) - 1</f>
        <v>2.4887127410005361</v>
      </c>
      <c r="BI21" s="7" cm="1">
        <f t="array" ref="BI21">PRODUCT(1 + 預測IC!$C21:BI21) - 1</f>
        <v>3.0255371793395405</v>
      </c>
      <c r="BJ21" s="7" cm="1">
        <f t="array" ref="BJ21">PRODUCT(1 + 預測IC!$C21:BJ21) - 1</f>
        <v>2.896790378489329</v>
      </c>
      <c r="BK21" s="7" cm="1">
        <f t="array" ref="BK21">PRODUCT(1 + 預測IC!$C21:BK21) - 1</f>
        <v>2.6300555432176123</v>
      </c>
      <c r="BL21" s="7" cm="1">
        <f t="array" ref="BL21">PRODUCT(1 + 預測IC!$C21:BL21) - 1</f>
        <v>3.1481410367125688</v>
      </c>
      <c r="BM21" s="7" cm="1">
        <f t="array" ref="BM21">PRODUCT(1 + 預測IC!$C21:BM21) - 1</f>
        <v>3.7916006905926976</v>
      </c>
      <c r="BN21" s="7" cm="1">
        <f t="array" ref="BN21">PRODUCT(1 + 預測IC!$C21:BN21) - 1</f>
        <v>4.0965762421471617</v>
      </c>
      <c r="BO21" s="7" cm="1">
        <f t="array" ref="BO21">PRODUCT(1 + 預測IC!$C21:BO21) - 1</f>
        <v>3.7711229681520244</v>
      </c>
      <c r="BP21" s="7" cm="1">
        <f t="array" ref="BP21">PRODUCT(1 + 預測IC!$C21:BP21) - 1</f>
        <v>4.269748875906564</v>
      </c>
      <c r="BQ21" s="7" cm="1">
        <f t="array" ref="BQ21">PRODUCT(1 + 預測IC!$C21:BQ21) - 1</f>
        <v>4.5571727355361329</v>
      </c>
      <c r="BR21" s="7" cm="1">
        <f t="array" ref="BR21">PRODUCT(1 + 預測IC!$C21:BR21) - 1</f>
        <v>4.6256585664608085</v>
      </c>
      <c r="BS21" s="7" cm="1">
        <f t="array" ref="BS21">PRODUCT(1 + 預測IC!$C21:BS21) - 1</f>
        <v>4.6586258975219055</v>
      </c>
      <c r="BT21" s="7" cm="1">
        <f t="array" ref="BT21">PRODUCT(1 + 預測IC!$C21:BT21) - 1</f>
        <v>5.4069491476555465</v>
      </c>
      <c r="BU21" s="7" cm="1">
        <f t="array" ref="BU21">PRODUCT(1 + 預測IC!$C21:BU21) - 1</f>
        <v>4.538830204662081</v>
      </c>
      <c r="BV21" s="7" cm="1">
        <f t="array" ref="BV21">PRODUCT(1 + 預測IC!$C21:BV21) - 1</f>
        <v>5.3261361474705575</v>
      </c>
      <c r="BW21" s="7" cm="1">
        <f t="array" ref="BW21">PRODUCT(1 + 預測IC!$C21:BW21) - 1</f>
        <v>4.3982235776534768</v>
      </c>
      <c r="BX21" s="7" cm="1">
        <f t="array" ref="BX21">PRODUCT(1 + 預測IC!$C21:BX21) - 1</f>
        <v>4.3820784664758525</v>
      </c>
      <c r="BY21" s="7" cm="1">
        <f t="array" ref="BY21">PRODUCT(1 + 預測IC!$C21:BY21) - 1</f>
        <v>4.1109301540905703</v>
      </c>
      <c r="BZ21" s="7" cm="1">
        <f t="array" ref="BZ21">PRODUCT(1 + 預測IC!$C21:BZ21) - 1</f>
        <v>3.8477264303116101</v>
      </c>
      <c r="CA21" s="7" cm="1">
        <f t="array" ref="CA21">PRODUCT(1 + 預測IC!$C21:CA21) - 1</f>
        <v>3.6631301489791248</v>
      </c>
      <c r="CB21" s="7" cm="1">
        <f t="array" ref="CB21">PRODUCT(1 + 預測IC!$C21:CB21) - 1</f>
        <v>4.0057121320421478</v>
      </c>
      <c r="CC21" s="7" cm="1">
        <f t="array" ref="CC21">PRODUCT(1 + 預測IC!$C21:CC21) - 1</f>
        <v>3.7719776649772498</v>
      </c>
      <c r="CD21" s="7" cm="1">
        <f t="array" ref="CD21">PRODUCT(1 + 預測IC!$C21:CD21) - 1</f>
        <v>5.1465747703762208</v>
      </c>
      <c r="CE21" s="7" cm="1">
        <f t="array" ref="CE21">PRODUCT(1 + 預測IC!$C21:CE21) - 1</f>
        <v>2.7182109500379648</v>
      </c>
      <c r="CF21" s="7" cm="1">
        <f t="array" ref="CF21">PRODUCT(1 + 預測IC!$C21:CF21) - 1</f>
        <v>3.1440433633335854</v>
      </c>
      <c r="CG21" s="7" cm="1">
        <f t="array" ref="CG21">PRODUCT(1 + 預測IC!$C21:CG21) - 1</f>
        <v>2.7914460435450006</v>
      </c>
      <c r="CH21" s="7" cm="1">
        <f t="array" ref="CH21">PRODUCT(1 + 預測IC!$C21:CH21) - 1</f>
        <v>2.1976053449153445</v>
      </c>
      <c r="CI21" s="7" cm="1">
        <f t="array" ref="CI21">PRODUCT(1 + 預測IC!$C21:CI21) - 1</f>
        <v>1.9635958656648476</v>
      </c>
      <c r="CJ21" s="7" cm="1">
        <f t="array" ref="CJ21">PRODUCT(1 + 預測IC!$C21:CJ21) - 1</f>
        <v>1.7098297989845874</v>
      </c>
      <c r="CK21" s="7" cm="1">
        <f t="array" ref="CK21">PRODUCT(1 + 預測IC!$C21:CK21) - 1</f>
        <v>2.0541151564911888</v>
      </c>
      <c r="CL21" s="7" cm="1">
        <f t="array" ref="CL21">PRODUCT(1 + 預測IC!$C21:CL21) - 1</f>
        <v>1.6451983813411513</v>
      </c>
      <c r="CM21" s="7" cm="1">
        <f t="array" ref="CM21">PRODUCT(1 + 預測IC!$C21:CM21) - 1</f>
        <v>1.3377421613843987</v>
      </c>
      <c r="CN21" s="7" cm="1">
        <f t="array" ref="CN21">PRODUCT(1 + 預測IC!$C21:CN21) - 1</f>
        <v>1.4091342125756539</v>
      </c>
      <c r="CO21" s="7" cm="1">
        <f t="array" ref="CO21">PRODUCT(1 + 預測IC!$C21:CO21) - 1</f>
        <v>0.83626141533659881</v>
      </c>
      <c r="CP21" s="7" cm="1">
        <f t="array" ref="CP21">PRODUCT(1 + 預測IC!$C21:CP21) - 1</f>
        <v>1.0167793284178757</v>
      </c>
      <c r="CQ21" s="7" cm="1">
        <f t="array" ref="CQ21">PRODUCT(1 + 預測IC!$C21:CQ21) - 1</f>
        <v>1.0629881679876125</v>
      </c>
      <c r="CR21" s="7" cm="1">
        <f t="array" ref="CR21">PRODUCT(1 + 預測IC!$C21:CR21) - 1</f>
        <v>1.5561660500304249</v>
      </c>
      <c r="CS21" s="7" cm="1">
        <f t="array" ref="CS21">PRODUCT(1 + 預測IC!$C21:CS21) - 1</f>
        <v>1.3995522197284869</v>
      </c>
      <c r="CT21" s="7" cm="1">
        <f t="array" ref="CT21">PRODUCT(1 + 預測IC!$C21:CT21) - 1</f>
        <v>1.5147141791385237</v>
      </c>
      <c r="CU21" s="7" cm="1">
        <f t="array" ref="CU21">PRODUCT(1 + 預測IC!$C21:CU21) - 1</f>
        <v>1.1150842956960303</v>
      </c>
      <c r="CV21" s="7" cm="1">
        <f t="array" ref="CV21">PRODUCT(1 + 預測IC!$C21:CV21) - 1</f>
        <v>1.4415091569045262</v>
      </c>
      <c r="CW21" s="7" cm="1">
        <f t="array" ref="CW21">PRODUCT(1 + 預測IC!$C21:CW21) - 1</f>
        <v>1.3664266921934143</v>
      </c>
      <c r="CX21" s="7" cm="1">
        <f t="array" ref="CX21">PRODUCT(1 + 預測IC!$C21:CX21) - 1</f>
        <v>0.9949714230189548</v>
      </c>
      <c r="CY21" s="7" cm="1">
        <f t="array" ref="CY21">PRODUCT(1 + 預測IC!$C21:CY21) - 1</f>
        <v>1.2991094173517008</v>
      </c>
      <c r="CZ21" s="7" cm="1">
        <f t="array" ref="CZ21">PRODUCT(1 + 預測IC!$C21:CZ21) - 1</f>
        <v>1.2672731746865469</v>
      </c>
      <c r="DA21" s="7" cm="1">
        <f t="array" ref="DA21">PRODUCT(1 + 預測IC!$C21:DA21) - 1</f>
        <v>1.8934279708044697</v>
      </c>
      <c r="DB21" s="7" cm="1">
        <f t="array" ref="DB21">PRODUCT(1 + 預測IC!$C21:DB21) - 1</f>
        <v>3.2601408008453889</v>
      </c>
      <c r="DC21" s="7" cm="1">
        <f t="array" ref="DC21">PRODUCT(1 + 預測IC!$C21:DC21) - 1</f>
        <v>2.6044847026450904</v>
      </c>
      <c r="DD21" s="7" cm="1">
        <f t="array" ref="DD21">PRODUCT(1 + 預測IC!$C21:DD21) - 1</f>
        <v>2.5943244013825737</v>
      </c>
      <c r="DE21" s="7" cm="1">
        <f t="array" ref="DE21">PRODUCT(1 + 預測IC!$C21:DE21) - 1</f>
        <v>2.4901690139697932</v>
      </c>
      <c r="DF21" s="7" cm="1">
        <f t="array" ref="DF21">PRODUCT(1 + 預測IC!$C21:DF21) - 1</f>
        <v>1.9708007934972396</v>
      </c>
      <c r="DG21" s="7" cm="1">
        <f t="array" ref="DG21">PRODUCT(1 + 預測IC!$C21:DG21) - 1</f>
        <v>1.7943069477714815</v>
      </c>
      <c r="DH21" s="7" cm="1">
        <f t="array" ref="DH21">PRODUCT(1 + 預測IC!$C21:DH21) - 1</f>
        <v>1.7653703023756968</v>
      </c>
      <c r="DI21" s="7" cm="1">
        <f t="array" ref="DI21">PRODUCT(1 + 預測IC!$C21:DI21) - 1</f>
        <v>2.0146662303544041</v>
      </c>
      <c r="DJ21" s="7" cm="1">
        <f t="array" ref="DJ21">PRODUCT(1 + 預測IC!$C21:DJ21) - 1</f>
        <v>2.4867802012871336</v>
      </c>
      <c r="DK21" s="7" cm="1">
        <f t="array" ref="DK21">PRODUCT(1 + 預測IC!$C21:DK21) - 1</f>
        <v>2.4136761508765199</v>
      </c>
      <c r="DL21" s="7" cm="1">
        <f t="array" ref="DL21">PRODUCT(1 + 預測IC!$C21:DL21) - 1</f>
        <v>2.3701961867555941</v>
      </c>
      <c r="DM21" s="7" cm="1">
        <f t="array" ref="DM21">PRODUCT(1 + 預測IC!$C21:DM21) - 1</f>
        <v>2.3845349021950901</v>
      </c>
      <c r="DN21" s="7" cm="1">
        <f t="array" ref="DN21">PRODUCT(1 + 預測IC!$C21:DN21) - 1</f>
        <v>3.1301331875025182</v>
      </c>
      <c r="DO21" s="7" cm="1">
        <f t="array" ref="DO21">PRODUCT(1 + 預測IC!$C21:DO21) - 1</f>
        <v>4.4997960601972355</v>
      </c>
      <c r="DP21" s="7" cm="1">
        <f t="array" ref="DP21">PRODUCT(1 + 預測IC!$C21:DP21) - 1</f>
        <v>4.2957061460842683</v>
      </c>
      <c r="DQ21" s="7" cm="1">
        <f t="array" ref="DQ21">PRODUCT(1 + 預測IC!$C21:DQ21) - 1</f>
        <v>4.1462822258121568</v>
      </c>
      <c r="DR21" s="7" cm="1">
        <f t="array" ref="DR21">PRODUCT(1 + 預測IC!$C21:DR21) - 1</f>
        <v>4.4044756259284119</v>
      </c>
      <c r="DS21" s="7" cm="1">
        <f t="array" ref="DS21">PRODUCT(1 + 預測IC!$C21:DS21) - 1</f>
        <v>3.3190435848504611</v>
      </c>
      <c r="DT21" s="7" cm="1">
        <f t="array" ref="DT21">PRODUCT(1 + 預測IC!$C21:DT21) - 1</f>
        <v>3.3415682192610605</v>
      </c>
      <c r="DU21" s="7" cm="1">
        <f t="array" ref="DU21">PRODUCT(1 + 預測IC!$C21:DU21) - 1</f>
        <v>1.866274515303123</v>
      </c>
      <c r="DV21" s="7" cm="1">
        <f t="array" ref="DV21">PRODUCT(1 + 預測IC!$C21:DV21) - 1</f>
        <v>2.3102554249817917</v>
      </c>
      <c r="DW21" s="7" cm="1">
        <f t="array" ref="DW21">PRODUCT(1 + 預測IC!$C21:DW21) - 1</f>
        <v>1.9042051580149253</v>
      </c>
      <c r="DX21" s="7" cm="1">
        <f t="array" ref="DX21">PRODUCT(1 + 預測IC!$C21:DX21) - 1</f>
        <v>2.2435002225944261</v>
      </c>
      <c r="DY21" s="7" cm="1">
        <f t="array" ref="DY21">PRODUCT(1 + 預測IC!$C21:DY21) - 1</f>
        <v>2.9754345844587458</v>
      </c>
      <c r="DZ21" s="7" cm="1">
        <f t="array" ref="DZ21">PRODUCT(1 + 預測IC!$C21:DZ21) - 1</f>
        <v>3.6905795736575344</v>
      </c>
      <c r="EA21" s="7" cm="1">
        <f t="array" ref="EA21">PRODUCT(1 + 預測IC!$C21:EA21) - 1</f>
        <v>4.9385403165790631</v>
      </c>
      <c r="EB21" s="7" cm="1">
        <f t="array" ref="EB21">PRODUCT(1 + 預測IC!$C21:EB21) - 1</f>
        <v>4.3251154747914216</v>
      </c>
      <c r="EC21" s="7" cm="1">
        <f t="array" ref="EC21">PRODUCT(1 + 預測IC!$C21:EC21) - 1</f>
        <v>3.5790986518683168</v>
      </c>
      <c r="ED21" s="7" cm="1">
        <f t="array" ref="ED21">PRODUCT(1 + 預測IC!$C21:ED21) - 1</f>
        <v>3.2002696028773592</v>
      </c>
      <c r="EE21" s="7" cm="1">
        <f t="array" ref="EE21">PRODUCT(1 + 預測IC!$C21:EE21) - 1</f>
        <v>3.1107593697873117</v>
      </c>
      <c r="EF21" s="7" cm="1">
        <f t="array" ref="EF21">PRODUCT(1 + 預測IC!$C21:EF21) - 1</f>
        <v>3.0335952202434191</v>
      </c>
    </row>
    <row r="22" spans="1:136" x14ac:dyDescent="0.3">
      <c r="A22" s="1">
        <v>3</v>
      </c>
      <c r="B22" s="1" t="s">
        <v>180</v>
      </c>
      <c r="C22" s="7" cm="1">
        <f t="array" ref="C22">PRODUCT(1 + 預測IC!$C22:C22) - 1</f>
        <v>0.20528030103697548</v>
      </c>
      <c r="D22" s="7" cm="1">
        <f t="array" ref="D22">PRODUCT(1 + 預測IC!$C22:D22) - 1</f>
        <v>0.15142729616653927</v>
      </c>
      <c r="E22" s="7" cm="1">
        <f t="array" ref="E22">PRODUCT(1 + 預測IC!$C22:E22) - 1</f>
        <v>0.10418707592668031</v>
      </c>
      <c r="F22" s="7" cm="1">
        <f t="array" ref="F22">PRODUCT(1 + 預測IC!$C22:F22) - 1</f>
        <v>-3.3982827475338429E-3</v>
      </c>
      <c r="G22" s="7" cm="1">
        <f t="array" ref="G22">PRODUCT(1 + 預測IC!$C22:G22) - 1</f>
        <v>-3.6241117186636362E-2</v>
      </c>
      <c r="H22" s="7" cm="1">
        <f t="array" ref="H22">PRODUCT(1 + 預測IC!$C22:H22) - 1</f>
        <v>0.13603026604768331</v>
      </c>
      <c r="I22" s="7" cm="1">
        <f t="array" ref="I22">PRODUCT(1 + 預測IC!$C22:I22) - 1</f>
        <v>0.27632224406588235</v>
      </c>
      <c r="J22" s="7" cm="1">
        <f t="array" ref="J22">PRODUCT(1 + 預測IC!$C22:J22) - 1</f>
        <v>0.34345499355172437</v>
      </c>
      <c r="K22" s="7" cm="1">
        <f t="array" ref="K22">PRODUCT(1 + 預測IC!$C22:K22) - 1</f>
        <v>0.13752111607050588</v>
      </c>
      <c r="L22" s="7" cm="1">
        <f t="array" ref="L22">PRODUCT(1 + 預測IC!$C22:L22) - 1</f>
        <v>0.33224580213735555</v>
      </c>
      <c r="M22" s="7" cm="1">
        <f t="array" ref="M22">PRODUCT(1 + 預測IC!$C22:M22) - 1</f>
        <v>3.2279195726296228E-2</v>
      </c>
      <c r="N22" s="7" cm="1">
        <f t="array" ref="N22">PRODUCT(1 + 預測IC!$C22:N22) - 1</f>
        <v>0.16986179948167668</v>
      </c>
      <c r="O22" s="7" cm="1">
        <f t="array" ref="O22">PRODUCT(1 + 預測IC!$C22:O22) - 1</f>
        <v>0.33771397524848834</v>
      </c>
      <c r="P22" s="7" cm="1">
        <f t="array" ref="P22">PRODUCT(1 + 預測IC!$C22:P22) - 1</f>
        <v>0.24035129399047861</v>
      </c>
      <c r="Q22" s="7" cm="1">
        <f t="array" ref="Q22">PRODUCT(1 + 預測IC!$C22:Q22) - 1</f>
        <v>0.12960960712964331</v>
      </c>
      <c r="R22" s="7" cm="1">
        <f t="array" ref="R22">PRODUCT(1 + 預測IC!$C22:R22) - 1</f>
        <v>-7.4487951908023597E-2</v>
      </c>
      <c r="S22" s="7" cm="1">
        <f t="array" ref="S22">PRODUCT(1 + 預測IC!$C22:S22) - 1</f>
        <v>-0.23149788299420249</v>
      </c>
      <c r="T22" s="7" cm="1">
        <f t="array" ref="T22">PRODUCT(1 + 預測IC!$C22:T22) - 1</f>
        <v>-0.24705129952790938</v>
      </c>
      <c r="U22" s="7" cm="1">
        <f t="array" ref="U22">PRODUCT(1 + 預測IC!$C22:U22) - 1</f>
        <v>-0.33031991393400306</v>
      </c>
      <c r="V22" s="7" cm="1">
        <f t="array" ref="V22">PRODUCT(1 + 預測IC!$C22:V22) - 1</f>
        <v>-0.30468002213899659</v>
      </c>
      <c r="W22" s="7" cm="1">
        <f t="array" ref="W22">PRODUCT(1 + 預測IC!$C22:W22) - 1</f>
        <v>-0.16041484746506696</v>
      </c>
      <c r="X22" s="7" cm="1">
        <f t="array" ref="X22">PRODUCT(1 + 預測IC!$C22:X22) - 1</f>
        <v>2.0012041887724319E-2</v>
      </c>
      <c r="Y22" s="7" cm="1">
        <f t="array" ref="Y22">PRODUCT(1 + 預測IC!$C22:Y22) - 1</f>
        <v>3.605908391500301E-2</v>
      </c>
      <c r="Z22" s="7" cm="1">
        <f t="array" ref="Z22">PRODUCT(1 + 預測IC!$C22:Z22) - 1</f>
        <v>0.11433155443761223</v>
      </c>
      <c r="AA22" s="7" cm="1">
        <f t="array" ref="AA22">PRODUCT(1 + 預測IC!$C22:AA22) - 1</f>
        <v>0.12218538205084584</v>
      </c>
      <c r="AB22" s="7" cm="1">
        <f t="array" ref="AB22">PRODUCT(1 + 預測IC!$C22:AB22) - 1</f>
        <v>0.27304773477601785</v>
      </c>
      <c r="AC22" s="7" cm="1">
        <f t="array" ref="AC22">PRODUCT(1 + 預測IC!$C22:AC22) - 1</f>
        <v>0.36778843202609246</v>
      </c>
      <c r="AD22" s="7" cm="1">
        <f t="array" ref="AD22">PRODUCT(1 + 預測IC!$C22:AD22) - 1</f>
        <v>0.38484106439746935</v>
      </c>
      <c r="AE22" s="7" cm="1">
        <f t="array" ref="AE22">PRODUCT(1 + 預測IC!$C22:AE22) - 1</f>
        <v>6.8237160856765344E-2</v>
      </c>
      <c r="AF22" s="7" cm="1">
        <f t="array" ref="AF22">PRODUCT(1 + 預測IC!$C22:AF22) - 1</f>
        <v>0.11863906431205917</v>
      </c>
      <c r="AG22" s="7" cm="1">
        <f t="array" ref="AG22">PRODUCT(1 + 預測IC!$C22:AG22) - 1</f>
        <v>0.17774967537105013</v>
      </c>
      <c r="AH22" s="7" cm="1">
        <f t="array" ref="AH22">PRODUCT(1 + 預測IC!$C22:AH22) - 1</f>
        <v>0.46938669540464617</v>
      </c>
      <c r="AI22" s="7" cm="1">
        <f t="array" ref="AI22">PRODUCT(1 + 預測IC!$C22:AI22) - 1</f>
        <v>0.63249407182206441</v>
      </c>
      <c r="AJ22" s="7" cm="1">
        <f t="array" ref="AJ22">PRODUCT(1 + 預測IC!$C22:AJ22) - 1</f>
        <v>0.65384961099534333</v>
      </c>
      <c r="AK22" s="7" cm="1">
        <f t="array" ref="AK22">PRODUCT(1 + 預測IC!$C22:AK22) - 1</f>
        <v>0.54094240916818714</v>
      </c>
      <c r="AL22" s="7" cm="1">
        <f t="array" ref="AL22">PRODUCT(1 + 預測IC!$C22:AL22) - 1</f>
        <v>0.53917845198312864</v>
      </c>
      <c r="AM22" s="7" cm="1">
        <f t="array" ref="AM22">PRODUCT(1 + 預測IC!$C22:AM22) - 1</f>
        <v>0.62594771995701404</v>
      </c>
      <c r="AN22" s="7" cm="1">
        <f t="array" ref="AN22">PRODUCT(1 + 預測IC!$C22:AN22) - 1</f>
        <v>0.80664385844189512</v>
      </c>
      <c r="AO22" s="7" cm="1">
        <f t="array" ref="AO22">PRODUCT(1 + 預測IC!$C22:AO22) - 1</f>
        <v>0.94163154220254319</v>
      </c>
      <c r="AP22" s="7" cm="1">
        <f t="array" ref="AP22">PRODUCT(1 + 預測IC!$C22:AP22) - 1</f>
        <v>1.4297481156864391</v>
      </c>
      <c r="AQ22" s="7" cm="1">
        <f t="array" ref="AQ22">PRODUCT(1 + 預測IC!$C22:AQ22) - 1</f>
        <v>1.2958040698824944</v>
      </c>
      <c r="AR22" s="7" cm="1">
        <f t="array" ref="AR22">PRODUCT(1 + 預測IC!$C22:AR22) - 1</f>
        <v>1.0474354898689042</v>
      </c>
      <c r="AS22" s="7" cm="1">
        <f t="array" ref="AS22">PRODUCT(1 + 預測IC!$C22:AS22) - 1</f>
        <v>1.1986257074512077</v>
      </c>
      <c r="AT22" s="7" cm="1">
        <f t="array" ref="AT22">PRODUCT(1 + 預測IC!$C22:AT22) - 1</f>
        <v>1.2376037596708085</v>
      </c>
      <c r="AU22" s="7" cm="1">
        <f t="array" ref="AU22">PRODUCT(1 + 預測IC!$C22:AU22) - 1</f>
        <v>0.99165844346893595</v>
      </c>
      <c r="AV22" s="7" cm="1">
        <f t="array" ref="AV22">PRODUCT(1 + 預測IC!$C22:AV22) - 1</f>
        <v>0.81289916763934089</v>
      </c>
      <c r="AW22" s="7" cm="1">
        <f t="array" ref="AW22">PRODUCT(1 + 預測IC!$C22:AW22) - 1</f>
        <v>0.75824136504111994</v>
      </c>
      <c r="AX22" s="7" cm="1">
        <f t="array" ref="AX22">PRODUCT(1 + 預測IC!$C22:AX22) - 1</f>
        <v>1.0637593626161839</v>
      </c>
      <c r="AY22" s="7" cm="1">
        <f t="array" ref="AY22">PRODUCT(1 + 預測IC!$C22:AY22) - 1</f>
        <v>1.2117998082118566</v>
      </c>
      <c r="AZ22" s="7" cm="1">
        <f t="array" ref="AZ22">PRODUCT(1 + 預測IC!$C22:AZ22) - 1</f>
        <v>0.86918366102984046</v>
      </c>
      <c r="BA22" s="7" cm="1">
        <f t="array" ref="BA22">PRODUCT(1 + 預測IC!$C22:BA22) - 1</f>
        <v>0.77726292875488689</v>
      </c>
      <c r="BB22" s="7" cm="1">
        <f t="array" ref="BB22">PRODUCT(1 + 預測IC!$C22:BB22) - 1</f>
        <v>1.3138718262675999</v>
      </c>
      <c r="BC22" s="7" cm="1">
        <f t="array" ref="BC22">PRODUCT(1 + 預測IC!$C22:BC22) - 1</f>
        <v>1.0111319213097767</v>
      </c>
      <c r="BD22" s="7" cm="1">
        <f t="array" ref="BD22">PRODUCT(1 + 預測IC!$C22:BD22) - 1</f>
        <v>0.96653671713493394</v>
      </c>
      <c r="BE22" s="7" cm="1">
        <f t="array" ref="BE22">PRODUCT(1 + 預測IC!$C22:BE22) - 1</f>
        <v>1.0102256574947832</v>
      </c>
      <c r="BF22" s="7" cm="1">
        <f t="array" ref="BF22">PRODUCT(1 + 預測IC!$C22:BF22) - 1</f>
        <v>0.60998480695267721</v>
      </c>
      <c r="BG22" s="7" cm="1">
        <f t="array" ref="BG22">PRODUCT(1 + 預測IC!$C22:BG22) - 1</f>
        <v>0.67636684585699158</v>
      </c>
      <c r="BH22" s="7" cm="1">
        <f t="array" ref="BH22">PRODUCT(1 + 預測IC!$C22:BH22) - 1</f>
        <v>0.46228304932129216</v>
      </c>
      <c r="BI22" s="7" cm="1">
        <f t="array" ref="BI22">PRODUCT(1 + 預測IC!$C22:BI22) - 1</f>
        <v>0.58996676715570961</v>
      </c>
      <c r="BJ22" s="7" cm="1">
        <f t="array" ref="BJ22">PRODUCT(1 + 預測IC!$C22:BJ22) - 1</f>
        <v>0.60623844801567195</v>
      </c>
      <c r="BK22" s="7" cm="1">
        <f t="array" ref="BK22">PRODUCT(1 + 預測IC!$C22:BK22) - 1</f>
        <v>0.53903401612804092</v>
      </c>
      <c r="BL22" s="7" cm="1">
        <f t="array" ref="BL22">PRODUCT(1 + 預測IC!$C22:BL22) - 1</f>
        <v>0.78801946109909249</v>
      </c>
      <c r="BM22" s="7" cm="1">
        <f t="array" ref="BM22">PRODUCT(1 + 預測IC!$C22:BM22) - 1</f>
        <v>1.130956300227695</v>
      </c>
      <c r="BN22" s="7" cm="1">
        <f t="array" ref="BN22">PRODUCT(1 + 預測IC!$C22:BN22) - 1</f>
        <v>1.0982939566771255</v>
      </c>
      <c r="BO22" s="7" cm="1">
        <f t="array" ref="BO22">PRODUCT(1 + 預測IC!$C22:BO22) - 1</f>
        <v>0.99236278416354651</v>
      </c>
      <c r="BP22" s="7" cm="1">
        <f t="array" ref="BP22">PRODUCT(1 + 預測IC!$C22:BP22) - 1</f>
        <v>1.1414623492249851</v>
      </c>
      <c r="BQ22" s="7" cm="1">
        <f t="array" ref="BQ22">PRODUCT(1 + 預測IC!$C22:BQ22) - 1</f>
        <v>1.2010594549787355</v>
      </c>
      <c r="BR22" s="7" cm="1">
        <f t="array" ref="BR22">PRODUCT(1 + 預測IC!$C22:BR22) - 1</f>
        <v>1.2468714468871065</v>
      </c>
      <c r="BS22" s="7" cm="1">
        <f t="array" ref="BS22">PRODUCT(1 + 預測IC!$C22:BS22) - 1</f>
        <v>1.21008390965858</v>
      </c>
      <c r="BT22" s="7" cm="1">
        <f t="array" ref="BT22">PRODUCT(1 + 預測IC!$C22:BT22) - 1</f>
        <v>1.4985677168190983</v>
      </c>
      <c r="BU22" s="7" cm="1">
        <f t="array" ref="BU22">PRODUCT(1 + 預測IC!$C22:BU22) - 1</f>
        <v>0.96650080441020592</v>
      </c>
      <c r="BV22" s="7" cm="1">
        <f t="array" ref="BV22">PRODUCT(1 + 預測IC!$C22:BV22) - 1</f>
        <v>1.2782776536644933</v>
      </c>
      <c r="BW22" s="7" cm="1">
        <f t="array" ref="BW22">PRODUCT(1 + 預測IC!$C22:BW22) - 1</f>
        <v>0.88033431803688278</v>
      </c>
      <c r="BX22" s="7" cm="1">
        <f t="array" ref="BX22">PRODUCT(1 + 預測IC!$C22:BX22) - 1</f>
        <v>0.94922496449671123</v>
      </c>
      <c r="BY22" s="7" cm="1">
        <f t="array" ref="BY22">PRODUCT(1 + 預測IC!$C22:BY22) - 1</f>
        <v>0.93997240993936737</v>
      </c>
      <c r="BZ22" s="7" cm="1">
        <f t="array" ref="BZ22">PRODUCT(1 + 預測IC!$C22:BZ22) - 1</f>
        <v>0.83070860049193773</v>
      </c>
      <c r="CA22" s="7" cm="1">
        <f t="array" ref="CA22">PRODUCT(1 + 預測IC!$C22:CA22) - 1</f>
        <v>0.71462929218994597</v>
      </c>
      <c r="CB22" s="7" cm="1">
        <f t="array" ref="CB22">PRODUCT(1 + 預測IC!$C22:CB22) - 1</f>
        <v>0.82368703585104108</v>
      </c>
      <c r="CC22" s="7" cm="1">
        <f t="array" ref="CC22">PRODUCT(1 + 預測IC!$C22:CC22) - 1</f>
        <v>0.79635780276776691</v>
      </c>
      <c r="CD22" s="7" cm="1">
        <f t="array" ref="CD22">PRODUCT(1 + 預測IC!$C22:CD22) - 1</f>
        <v>1.3961222191894498</v>
      </c>
      <c r="CE22" s="7" cm="1">
        <f t="array" ref="CE22">PRODUCT(1 + 預測IC!$C22:CE22) - 1</f>
        <v>0.45351807521387433</v>
      </c>
      <c r="CF22" s="7" cm="1">
        <f t="array" ref="CF22">PRODUCT(1 + 預測IC!$C22:CF22) - 1</f>
        <v>0.59998961060864309</v>
      </c>
      <c r="CG22" s="7" cm="1">
        <f t="array" ref="CG22">PRODUCT(1 + 預測IC!$C22:CG22) - 1</f>
        <v>0.26865522988558732</v>
      </c>
      <c r="CH22" s="7" cm="1">
        <f t="array" ref="CH22">PRODUCT(1 + 預測IC!$C22:CH22) - 1</f>
        <v>7.3781813318665179E-2</v>
      </c>
      <c r="CI22" s="7" cm="1">
        <f t="array" ref="CI22">PRODUCT(1 + 預測IC!$C22:CI22) - 1</f>
        <v>4.3969072595440029E-3</v>
      </c>
      <c r="CJ22" s="7" cm="1">
        <f t="array" ref="CJ22">PRODUCT(1 + 預測IC!$C22:CJ22) - 1</f>
        <v>-9.9437147926435099E-2</v>
      </c>
      <c r="CK22" s="7" cm="1">
        <f t="array" ref="CK22">PRODUCT(1 + 預測IC!$C22:CK22) - 1</f>
        <v>-6.6869784969848856E-2</v>
      </c>
      <c r="CL22" s="7" cm="1">
        <f t="array" ref="CL22">PRODUCT(1 + 預測IC!$C22:CL22) - 1</f>
        <v>-0.2914292495682258</v>
      </c>
      <c r="CM22" s="7" cm="1">
        <f t="array" ref="CM22">PRODUCT(1 + 預測IC!$C22:CM22) - 1</f>
        <v>-0.44719611857387431</v>
      </c>
      <c r="CN22" s="7" cm="1">
        <f t="array" ref="CN22">PRODUCT(1 + 預測IC!$C22:CN22) - 1</f>
        <v>-0.45192080721013528</v>
      </c>
      <c r="CO22" s="7" cm="1">
        <f t="array" ref="CO22">PRODUCT(1 + 預測IC!$C22:CO22) - 1</f>
        <v>-0.55347207583829028</v>
      </c>
      <c r="CP22" s="7" cm="1">
        <f t="array" ref="CP22">PRODUCT(1 + 預測IC!$C22:CP22) - 1</f>
        <v>-0.47673905039801612</v>
      </c>
      <c r="CQ22" s="7" cm="1">
        <f t="array" ref="CQ22">PRODUCT(1 + 預測IC!$C22:CQ22) - 1</f>
        <v>-0.46776009368667448</v>
      </c>
      <c r="CR22" s="7" cm="1">
        <f t="array" ref="CR22">PRODUCT(1 + 預測IC!$C22:CR22) - 1</f>
        <v>-0.33641777770551284</v>
      </c>
      <c r="CS22" s="7" cm="1">
        <f t="array" ref="CS22">PRODUCT(1 + 預測IC!$C22:CS22) - 1</f>
        <v>-0.39267756313008806</v>
      </c>
      <c r="CT22" s="7" cm="1">
        <f t="array" ref="CT22">PRODUCT(1 + 預測IC!$C22:CT22) - 1</f>
        <v>-0.36943981880521759</v>
      </c>
      <c r="CU22" s="7" cm="1">
        <f t="array" ref="CU22">PRODUCT(1 + 預測IC!$C22:CU22) - 1</f>
        <v>-0.47496653136654943</v>
      </c>
      <c r="CV22" s="7" cm="1">
        <f t="array" ref="CV22">PRODUCT(1 + 預測IC!$C22:CV22) - 1</f>
        <v>-0.3876940618086292</v>
      </c>
      <c r="CW22" s="7" cm="1">
        <f t="array" ref="CW22">PRODUCT(1 + 預測IC!$C22:CW22) - 1</f>
        <v>-0.39596006861658561</v>
      </c>
      <c r="CX22" s="7" cm="1">
        <f t="array" ref="CX22">PRODUCT(1 + 預測IC!$C22:CX22) - 1</f>
        <v>-0.42875538708916139</v>
      </c>
      <c r="CY22" s="7" cm="1">
        <f t="array" ref="CY22">PRODUCT(1 + 預測IC!$C22:CY22) - 1</f>
        <v>-0.33596248716466104</v>
      </c>
      <c r="CZ22" s="7" cm="1">
        <f t="array" ref="CZ22">PRODUCT(1 + 預測IC!$C22:CZ22) - 1</f>
        <v>-0.34100070342070377</v>
      </c>
      <c r="DA22" s="7" cm="1">
        <f t="array" ref="DA22">PRODUCT(1 + 預測IC!$C22:DA22) - 1</f>
        <v>-0.13970827206498093</v>
      </c>
      <c r="DB22" s="7" cm="1">
        <f t="array" ref="DB22">PRODUCT(1 + 預測IC!$C22:DB22) - 1</f>
        <v>0.37076747973311752</v>
      </c>
      <c r="DC22" s="7" cm="1">
        <f t="array" ref="DC22">PRODUCT(1 + 預測IC!$C22:DC22) - 1</f>
        <v>0.17726002380526862</v>
      </c>
      <c r="DD22" s="7" cm="1">
        <f t="array" ref="DD22">PRODUCT(1 + 預測IC!$C22:DD22) - 1</f>
        <v>0.13992890934533042</v>
      </c>
      <c r="DE22" s="7" cm="1">
        <f t="array" ref="DE22">PRODUCT(1 + 預測IC!$C22:DE22) - 1</f>
        <v>0.16017006101607545</v>
      </c>
      <c r="DF22" s="7" cm="1">
        <f t="array" ref="DF22">PRODUCT(1 + 預測IC!$C22:DF22) - 1</f>
        <v>4.755037436515952E-2</v>
      </c>
      <c r="DG22" s="7" cm="1">
        <f t="array" ref="DG22">PRODUCT(1 + 預測IC!$C22:DG22) - 1</f>
        <v>-2.7757497662045938E-2</v>
      </c>
      <c r="DH22" s="7" cm="1">
        <f t="array" ref="DH22">PRODUCT(1 + 預測IC!$C22:DH22) - 1</f>
        <v>5.968381802691658E-3</v>
      </c>
      <c r="DI22" s="7" cm="1">
        <f t="array" ref="DI22">PRODUCT(1 + 預測IC!$C22:DI22) - 1</f>
        <v>8.7557994494915414E-2</v>
      </c>
      <c r="DJ22" s="7" cm="1">
        <f t="array" ref="DJ22">PRODUCT(1 + 預測IC!$C22:DJ22) - 1</f>
        <v>0.25471540031301276</v>
      </c>
      <c r="DK22" s="7" cm="1">
        <f t="array" ref="DK22">PRODUCT(1 + 預測IC!$C22:DK22) - 1</f>
        <v>0.2254225929532081</v>
      </c>
      <c r="DL22" s="7" cm="1">
        <f t="array" ref="DL22">PRODUCT(1 + 預測IC!$C22:DL22) - 1</f>
        <v>0.22148490486193495</v>
      </c>
      <c r="DM22" s="7" cm="1">
        <f t="array" ref="DM22">PRODUCT(1 + 預測IC!$C22:DM22) - 1</f>
        <v>0.27361366539877774</v>
      </c>
      <c r="DN22" s="7" cm="1">
        <f t="array" ref="DN22">PRODUCT(1 + 預測IC!$C22:DN22) - 1</f>
        <v>0.6625434744777936</v>
      </c>
      <c r="DO22" s="7" cm="1">
        <f t="array" ref="DO22">PRODUCT(1 + 預測IC!$C22:DO22) - 1</f>
        <v>0.78842431037463867</v>
      </c>
      <c r="DP22" s="7" cm="1">
        <f t="array" ref="DP22">PRODUCT(1 + 預測IC!$C22:DP22) - 1</f>
        <v>0.60046259682994463</v>
      </c>
      <c r="DQ22" s="7" cm="1">
        <f t="array" ref="DQ22">PRODUCT(1 + 預測IC!$C22:DQ22) - 1</f>
        <v>0.51747828815074848</v>
      </c>
      <c r="DR22" s="7" cm="1">
        <f t="array" ref="DR22">PRODUCT(1 + 預測IC!$C22:DR22) - 1</f>
        <v>0.50823297183758731</v>
      </c>
      <c r="DS22" s="7" cm="1">
        <f t="array" ref="DS22">PRODUCT(1 + 預測IC!$C22:DS22) - 1</f>
        <v>0.21103427480625481</v>
      </c>
      <c r="DT22" s="7" cm="1">
        <f t="array" ref="DT22">PRODUCT(1 + 預測IC!$C22:DT22) - 1</f>
        <v>0.17818042390590438</v>
      </c>
      <c r="DU22" s="7" cm="1">
        <f t="array" ref="DU22">PRODUCT(1 + 預測IC!$C22:DU22) - 1</f>
        <v>-0.26395401518865103</v>
      </c>
      <c r="DV22" s="7" cm="1">
        <f t="array" ref="DV22">PRODUCT(1 + 預測IC!$C22:DV22) - 1</f>
        <v>-0.14834888871660068</v>
      </c>
      <c r="DW22" s="7" cm="1">
        <f t="array" ref="DW22">PRODUCT(1 + 預測IC!$C22:DW22) - 1</f>
        <v>-0.14655423690058145</v>
      </c>
      <c r="DX22" s="7" cm="1">
        <f t="array" ref="DX22">PRODUCT(1 + 預測IC!$C22:DX22) - 1</f>
        <v>-6.2886129809396341E-3</v>
      </c>
      <c r="DY22" s="7" cm="1">
        <f t="array" ref="DY22">PRODUCT(1 + 預測IC!$C22:DY22) - 1</f>
        <v>0.30946752511274123</v>
      </c>
      <c r="DZ22" s="7" cm="1">
        <f t="array" ref="DZ22">PRODUCT(1 + 預測IC!$C22:DZ22) - 1</f>
        <v>0.52634971585169499</v>
      </c>
      <c r="EA22" s="7" cm="1">
        <f t="array" ref="EA22">PRODUCT(1 + 預測IC!$C22:EA22) - 1</f>
        <v>0.74058230383948831</v>
      </c>
      <c r="EB22" s="7" cm="1">
        <f t="array" ref="EB22">PRODUCT(1 + 預測IC!$C22:EB22) - 1</f>
        <v>0.4918059645232864</v>
      </c>
      <c r="EC22" s="7" cm="1">
        <f t="array" ref="EC22">PRODUCT(1 + 預測IC!$C22:EC22) - 1</f>
        <v>0.53421623549809261</v>
      </c>
      <c r="ED22" s="7" cm="1">
        <f t="array" ref="ED22">PRODUCT(1 + 預測IC!$C22:ED22) - 1</f>
        <v>0.44600000078000179</v>
      </c>
      <c r="EE22" s="7" cm="1">
        <f t="array" ref="EE22">PRODUCT(1 + 預測IC!$C22:EE22) - 1</f>
        <v>0.37711739127257049</v>
      </c>
      <c r="EF22" s="7" cm="1">
        <f t="array" ref="EF22">PRODUCT(1 + 預測IC!$C22:EF22) - 1</f>
        <v>0.32920713794679446</v>
      </c>
    </row>
    <row r="23" spans="1:136" x14ac:dyDescent="0.3">
      <c r="A23" s="1">
        <v>2</v>
      </c>
      <c r="B23" s="1" t="s">
        <v>181</v>
      </c>
      <c r="C23" s="7" cm="1">
        <f t="array" ref="C23">PRODUCT(1 + 預測IC!$C23:C23) - 1</f>
        <v>0.28298926569632887</v>
      </c>
      <c r="D23" s="7" cm="1">
        <f t="array" ref="D23">PRODUCT(1 + 預測IC!$C23:D23) - 1</f>
        <v>0.24474249905269185</v>
      </c>
      <c r="E23" s="7" cm="1">
        <f t="array" ref="E23">PRODUCT(1 + 預測IC!$C23:E23) - 1</f>
        <v>0.14399158163081816</v>
      </c>
      <c r="F23" s="7" cm="1">
        <f t="array" ref="F23">PRODUCT(1 + 預測IC!$C23:F23) - 1</f>
        <v>-1.8071881737052986E-2</v>
      </c>
      <c r="G23" s="7" cm="1">
        <f t="array" ref="G23">PRODUCT(1 + 預測IC!$C23:G23) - 1</f>
        <v>-6.9352266489982162E-2</v>
      </c>
      <c r="H23" s="7" cm="1">
        <f t="array" ref="H23">PRODUCT(1 + 預測IC!$C23:H23) - 1</f>
        <v>0.12023771501208191</v>
      </c>
      <c r="I23" s="7" cm="1">
        <f t="array" ref="I23">PRODUCT(1 + 預測IC!$C23:I23) - 1</f>
        <v>0.28620320500567975</v>
      </c>
      <c r="J23" s="7" cm="1">
        <f t="array" ref="J23">PRODUCT(1 + 預測IC!$C23:J23) - 1</f>
        <v>0.15994655152241211</v>
      </c>
      <c r="K23" s="7" cm="1">
        <f t="array" ref="K23">PRODUCT(1 + 預測IC!$C23:K23) - 1</f>
        <v>-7.7250311534178717E-2</v>
      </c>
      <c r="L23" s="7" cm="1">
        <f t="array" ref="L23">PRODUCT(1 + 預測IC!$C23:L23) - 1</f>
        <v>-2.7381661270151847E-2</v>
      </c>
      <c r="M23" s="7" cm="1">
        <f t="array" ref="M23">PRODUCT(1 + 預測IC!$C23:M23) - 1</f>
        <v>-0.28276142339671684</v>
      </c>
      <c r="N23" s="7" cm="1">
        <f t="array" ref="N23">PRODUCT(1 + 預測IC!$C23:N23) - 1</f>
        <v>-0.17057151204129239</v>
      </c>
      <c r="O23" s="7" cm="1">
        <f t="array" ref="O23">PRODUCT(1 + 預測IC!$C23:O23) - 1</f>
        <v>-8.9998932893164962E-4</v>
      </c>
      <c r="P23" s="7" cm="1">
        <f t="array" ref="P23">PRODUCT(1 + 預測IC!$C23:P23) - 1</f>
        <v>-9.1220339935675909E-2</v>
      </c>
      <c r="Q23" s="7" cm="1">
        <f t="array" ref="Q23">PRODUCT(1 + 預測IC!$C23:Q23) - 1</f>
        <v>-0.31918742403683664</v>
      </c>
      <c r="R23" s="7" cm="1">
        <f t="array" ref="R23">PRODUCT(1 + 預測IC!$C23:R23) - 1</f>
        <v>-0.38020729566571265</v>
      </c>
      <c r="S23" s="7" cm="1">
        <f t="array" ref="S23">PRODUCT(1 + 預測IC!$C23:S23) - 1</f>
        <v>-0.45069293141587485</v>
      </c>
      <c r="T23" s="7" cm="1">
        <f t="array" ref="T23">PRODUCT(1 + 預測IC!$C23:T23) - 1</f>
        <v>-0.4508980257612839</v>
      </c>
      <c r="U23" s="7" cm="1">
        <f t="array" ref="U23">PRODUCT(1 + 預測IC!$C23:U23) - 1</f>
        <v>-0.50238041152305735</v>
      </c>
      <c r="V23" s="7" cm="1">
        <f t="array" ref="V23">PRODUCT(1 + 預測IC!$C23:V23) - 1</f>
        <v>-0.51384032049287898</v>
      </c>
      <c r="W23" s="7" cm="1">
        <f t="array" ref="W23">PRODUCT(1 + 預測IC!$C23:W23) - 1</f>
        <v>-0.35262046068933106</v>
      </c>
      <c r="X23" s="7" cm="1">
        <f t="array" ref="X23">PRODUCT(1 + 預測IC!$C23:X23) - 1</f>
        <v>-0.1816567851454538</v>
      </c>
      <c r="Y23" s="7" cm="1">
        <f t="array" ref="Y23">PRODUCT(1 + 預測IC!$C23:Y23) - 1</f>
        <v>-0.16966003603186286</v>
      </c>
      <c r="Z23" s="7" cm="1">
        <f t="array" ref="Z23">PRODUCT(1 + 預測IC!$C23:Z23) - 1</f>
        <v>-0.14223181834841847</v>
      </c>
      <c r="AA23" s="7" cm="1">
        <f t="array" ref="AA23">PRODUCT(1 + 預測IC!$C23:AA23) - 1</f>
        <v>-0.13656515129830649</v>
      </c>
      <c r="AB23" s="7" cm="1">
        <f t="array" ref="AB23">PRODUCT(1 + 預測IC!$C23:AB23) - 1</f>
        <v>-8.1270973649506084E-2</v>
      </c>
      <c r="AC23" s="7" cm="1">
        <f t="array" ref="AC23">PRODUCT(1 + 預測IC!$C23:AC23) - 1</f>
        <v>-1.1129376738435948E-2</v>
      </c>
      <c r="AD23" s="7" cm="1">
        <f t="array" ref="AD23">PRODUCT(1 + 預測IC!$C23:AD23) - 1</f>
        <v>3.7144616533546504E-3</v>
      </c>
      <c r="AE23" s="7" cm="1">
        <f t="array" ref="AE23">PRODUCT(1 + 預測IC!$C23:AE23) - 1</f>
        <v>-0.32986426692635495</v>
      </c>
      <c r="AF23" s="7" cm="1">
        <f t="array" ref="AF23">PRODUCT(1 + 預測IC!$C23:AF23) - 1</f>
        <v>-0.28502799127389356</v>
      </c>
      <c r="AG23" s="7" cm="1">
        <f t="array" ref="AG23">PRODUCT(1 + 預測IC!$C23:AG23) - 1</f>
        <v>-0.21934089771746079</v>
      </c>
      <c r="AH23" s="7" cm="1">
        <f t="array" ref="AH23">PRODUCT(1 + 預測IC!$C23:AH23) - 1</f>
        <v>-0.32523646210400836</v>
      </c>
      <c r="AI23" s="7" cm="1">
        <f t="array" ref="AI23">PRODUCT(1 + 預測IC!$C23:AI23) - 1</f>
        <v>-0.18410858946239683</v>
      </c>
      <c r="AJ23" s="7" cm="1">
        <f t="array" ref="AJ23">PRODUCT(1 + 預測IC!$C23:AJ23) - 1</f>
        <v>-0.16486379952993402</v>
      </c>
      <c r="AK23" s="7" cm="1">
        <f t="array" ref="AK23">PRODUCT(1 + 預測IC!$C23:AK23) - 1</f>
        <v>-0.1493655667931304</v>
      </c>
      <c r="AL23" s="7" cm="1">
        <f t="array" ref="AL23">PRODUCT(1 + 預測IC!$C23:AL23) - 1</f>
        <v>-0.19301188426351323</v>
      </c>
      <c r="AM23" s="7" cm="1">
        <f t="array" ref="AM23">PRODUCT(1 + 預測IC!$C23:AM23) - 1</f>
        <v>-0.20953136943096584</v>
      </c>
      <c r="AN23" s="7" cm="1">
        <f t="array" ref="AN23">PRODUCT(1 + 預測IC!$C23:AN23) - 1</f>
        <v>-1.7989200863253174E-2</v>
      </c>
      <c r="AO23" s="7" cm="1">
        <f t="array" ref="AO23">PRODUCT(1 + 預測IC!$C23:AO23) - 1</f>
        <v>-2.3230145549708148E-2</v>
      </c>
      <c r="AP23" s="7" cm="1">
        <f t="array" ref="AP23">PRODUCT(1 + 預測IC!$C23:AP23) - 1</f>
        <v>-3.3435262584353809E-2</v>
      </c>
      <c r="AQ23" s="7" cm="1">
        <f t="array" ref="AQ23">PRODUCT(1 + 預測IC!$C23:AQ23) - 1</f>
        <v>0.13640196216540357</v>
      </c>
      <c r="AR23" s="7" cm="1">
        <f t="array" ref="AR23">PRODUCT(1 + 預測IC!$C23:AR23) - 1</f>
        <v>-0.15163138349138405</v>
      </c>
      <c r="AS23" s="7" cm="1">
        <f t="array" ref="AS23">PRODUCT(1 + 預測IC!$C23:AS23) - 1</f>
        <v>-8.2350530510687303E-2</v>
      </c>
      <c r="AT23" s="7" cm="1">
        <f t="array" ref="AT23">PRODUCT(1 + 預測IC!$C23:AT23) - 1</f>
        <v>1.8137503251001386E-2</v>
      </c>
      <c r="AU23" s="7" cm="1">
        <f t="array" ref="AU23">PRODUCT(1 + 預測IC!$C23:AU23) - 1</f>
        <v>-0.18915110906878096</v>
      </c>
      <c r="AV23" s="7" cm="1">
        <f t="array" ref="AV23">PRODUCT(1 + 預測IC!$C23:AV23) - 1</f>
        <v>-0.22900438608433793</v>
      </c>
      <c r="AW23" s="7" cm="1">
        <f t="array" ref="AW23">PRODUCT(1 + 預測IC!$C23:AW23) - 1</f>
        <v>-0.26911690537533206</v>
      </c>
      <c r="AX23" s="7" cm="1">
        <f t="array" ref="AX23">PRODUCT(1 + 預測IC!$C23:AX23) - 1</f>
        <v>-0.21807337938334848</v>
      </c>
      <c r="AY23" s="7" cm="1">
        <f t="array" ref="AY23">PRODUCT(1 + 預測IC!$C23:AY23) - 1</f>
        <v>-8.4962898030552236E-2</v>
      </c>
      <c r="AZ23" s="7" cm="1">
        <f t="array" ref="AZ23">PRODUCT(1 + 預測IC!$C23:AZ23) - 1</f>
        <v>-0.1432998233372873</v>
      </c>
      <c r="BA23" s="7" cm="1">
        <f t="array" ref="BA23">PRODUCT(1 + 預測IC!$C23:BA23) - 1</f>
        <v>4.1219221251831417E-3</v>
      </c>
      <c r="BB23" s="7" cm="1">
        <f t="array" ref="BB23">PRODUCT(1 + 預測IC!$C23:BB23) - 1</f>
        <v>-4.71379839757049E-2</v>
      </c>
      <c r="BC23" s="7" cm="1">
        <f t="array" ref="BC23">PRODUCT(1 + 預測IC!$C23:BC23) - 1</f>
        <v>-0.33378579595981139</v>
      </c>
      <c r="BD23" s="7" cm="1">
        <f t="array" ref="BD23">PRODUCT(1 + 預測IC!$C23:BD23) - 1</f>
        <v>-0.27060811582515643</v>
      </c>
      <c r="BE23" s="7" cm="1">
        <f t="array" ref="BE23">PRODUCT(1 + 預測IC!$C23:BE23) - 1</f>
        <v>-0.32270913419816616</v>
      </c>
      <c r="BF23" s="7" cm="1">
        <f t="array" ref="BF23">PRODUCT(1 + 預測IC!$C23:BF23) - 1</f>
        <v>-0.46494638807369615</v>
      </c>
      <c r="BG23" s="7" cm="1">
        <f t="array" ref="BG23">PRODUCT(1 + 預測IC!$C23:BG23) - 1</f>
        <v>-0.48545115530353855</v>
      </c>
      <c r="BH23" s="7" cm="1">
        <f t="array" ref="BH23">PRODUCT(1 + 預測IC!$C23:BH23) - 1</f>
        <v>-0.51805564354660494</v>
      </c>
      <c r="BI23" s="7" cm="1">
        <f t="array" ref="BI23">PRODUCT(1 + 預測IC!$C23:BI23) - 1</f>
        <v>-0.45144150895372037</v>
      </c>
      <c r="BJ23" s="7" cm="1">
        <f t="array" ref="BJ23">PRODUCT(1 + 預測IC!$C23:BJ23) - 1</f>
        <v>-0.48326898974595234</v>
      </c>
      <c r="BK23" s="7" cm="1">
        <f t="array" ref="BK23">PRODUCT(1 + 預測IC!$C23:BK23) - 1</f>
        <v>-0.48221790289027822</v>
      </c>
      <c r="BL23" s="7" cm="1">
        <f t="array" ref="BL23">PRODUCT(1 + 預測IC!$C23:BL23) - 1</f>
        <v>-0.40479172138800279</v>
      </c>
      <c r="BM23" s="7" cm="1">
        <f t="array" ref="BM23">PRODUCT(1 + 預測IC!$C23:BM23) - 1</f>
        <v>-0.29218981045878545</v>
      </c>
      <c r="BN23" s="7" cm="1">
        <f t="array" ref="BN23">PRODUCT(1 + 預測IC!$C23:BN23) - 1</f>
        <v>-0.29710708871035618</v>
      </c>
      <c r="BO23" s="7" cm="1">
        <f t="array" ref="BO23">PRODUCT(1 + 預測IC!$C23:BO23) - 1</f>
        <v>-0.27143396607182635</v>
      </c>
      <c r="BP23" s="7" cm="1">
        <f t="array" ref="BP23">PRODUCT(1 + 預測IC!$C23:BP23) - 1</f>
        <v>-0.19984040532993286</v>
      </c>
      <c r="BQ23" s="7" cm="1">
        <f t="array" ref="BQ23">PRODUCT(1 + 預測IC!$C23:BQ23) - 1</f>
        <v>-0.14219058572066134</v>
      </c>
      <c r="BR23" s="7" cm="1">
        <f t="array" ref="BR23">PRODUCT(1 + 預測IC!$C23:BR23) - 1</f>
        <v>-0.12688355877744717</v>
      </c>
      <c r="BS23" s="7" cm="1">
        <f t="array" ref="BS23">PRODUCT(1 + 預測IC!$C23:BS23) - 1</f>
        <v>-0.19086150535164259</v>
      </c>
      <c r="BT23" s="7" cm="1">
        <f t="array" ref="BT23">PRODUCT(1 + 預測IC!$C23:BT23) - 1</f>
        <v>-7.462891754723866E-2</v>
      </c>
      <c r="BU23" s="7" cm="1">
        <f t="array" ref="BU23">PRODUCT(1 + 預測IC!$C23:BU23) - 1</f>
        <v>-0.26496640031425922</v>
      </c>
      <c r="BV23" s="7" cm="1">
        <f t="array" ref="BV23">PRODUCT(1 + 預測IC!$C23:BV23) - 1</f>
        <v>-0.18156392509488206</v>
      </c>
      <c r="BW23" s="7" cm="1">
        <f t="array" ref="BW23">PRODUCT(1 + 預測IC!$C23:BW23) - 1</f>
        <v>-0.34701268727394996</v>
      </c>
      <c r="BX23" s="7" cm="1">
        <f t="array" ref="BX23">PRODUCT(1 + 預測IC!$C23:BX23) - 1</f>
        <v>-0.35237575025374634</v>
      </c>
      <c r="BY23" s="7" cm="1">
        <f t="array" ref="BY23">PRODUCT(1 + 預測IC!$C23:BY23) - 1</f>
        <v>-0.35898520432806402</v>
      </c>
      <c r="BZ23" s="7" cm="1">
        <f t="array" ref="BZ23">PRODUCT(1 + 預測IC!$C23:BZ23) - 1</f>
        <v>-0.48867850919183997</v>
      </c>
      <c r="CA23" s="7" cm="1">
        <f t="array" ref="CA23">PRODUCT(1 + 預測IC!$C23:CA23) - 1</f>
        <v>-0.47114855758221719</v>
      </c>
      <c r="CB23" s="7" cm="1">
        <f t="array" ref="CB23">PRODUCT(1 + 預測IC!$C23:CB23) - 1</f>
        <v>-0.49318314678455388</v>
      </c>
      <c r="CC23" s="7" cm="1">
        <f t="array" ref="CC23">PRODUCT(1 + 預測IC!$C23:CC23) - 1</f>
        <v>-0.37917032309352761</v>
      </c>
      <c r="CD23" s="7" cm="1">
        <f t="array" ref="CD23">PRODUCT(1 + 預測IC!$C23:CD23) - 1</f>
        <v>-0.26017189145612052</v>
      </c>
      <c r="CE23" s="7" cm="1">
        <f t="array" ref="CE23">PRODUCT(1 + 預測IC!$C23:CE23) - 1</f>
        <v>-0.3464540537120202</v>
      </c>
      <c r="CF23" s="7" cm="1">
        <f t="array" ref="CF23">PRODUCT(1 + 預測IC!$C23:CF23) - 1</f>
        <v>-0.33589220522806318</v>
      </c>
      <c r="CG23" s="7" cm="1">
        <f t="array" ref="CG23">PRODUCT(1 + 預測IC!$C23:CG23) - 1</f>
        <v>-0.47976268603058014</v>
      </c>
      <c r="CH23" s="7" cm="1">
        <f t="array" ref="CH23">PRODUCT(1 + 預測IC!$C23:CH23) - 1</f>
        <v>-0.56410489862710067</v>
      </c>
      <c r="CI23" s="7" cm="1">
        <f t="array" ref="CI23">PRODUCT(1 + 預測IC!$C23:CI23) - 1</f>
        <v>-0.62304759174436319</v>
      </c>
      <c r="CJ23" s="7" cm="1">
        <f t="array" ref="CJ23">PRODUCT(1 + 預測IC!$C23:CJ23) - 1</f>
        <v>-0.63053965940745638</v>
      </c>
      <c r="CK23" s="7" cm="1">
        <f t="array" ref="CK23">PRODUCT(1 + 預測IC!$C23:CK23) - 1</f>
        <v>-0.59502824179853198</v>
      </c>
      <c r="CL23" s="7" cm="1">
        <f t="array" ref="CL23">PRODUCT(1 + 預測IC!$C23:CL23) - 1</f>
        <v>-0.76052441060684883</v>
      </c>
      <c r="CM23" s="7" cm="1">
        <f t="array" ref="CM23">PRODUCT(1 + 預測IC!$C23:CM23) - 1</f>
        <v>-0.81673052225759257</v>
      </c>
      <c r="CN23" s="7" cm="1">
        <f t="array" ref="CN23">PRODUCT(1 + 預測IC!$C23:CN23) - 1</f>
        <v>-0.82644475361506953</v>
      </c>
      <c r="CO23" s="7" cm="1">
        <f t="array" ref="CO23">PRODUCT(1 + 預測IC!$C23:CO23) - 1</f>
        <v>-0.87303582905377086</v>
      </c>
      <c r="CP23" s="7" cm="1">
        <f t="array" ref="CP23">PRODUCT(1 + 預測IC!$C23:CP23) - 1</f>
        <v>-0.84178972154546949</v>
      </c>
      <c r="CQ23" s="7" cm="1">
        <f t="array" ref="CQ23">PRODUCT(1 + 預測IC!$C23:CQ23) - 1</f>
        <v>-0.84569787457318735</v>
      </c>
      <c r="CR23" s="7" cm="1">
        <f t="array" ref="CR23">PRODUCT(1 + 預測IC!$C23:CR23) - 1</f>
        <v>-0.8223985359334971</v>
      </c>
      <c r="CS23" s="7" cm="1">
        <f t="array" ref="CS23">PRODUCT(1 + 預測IC!$C23:CS23) - 1</f>
        <v>-0.83397102678237545</v>
      </c>
      <c r="CT23" s="7" cm="1">
        <f t="array" ref="CT23">PRODUCT(1 + 預測IC!$C23:CT23) - 1</f>
        <v>-0.82311435646436304</v>
      </c>
      <c r="CU23" s="7" cm="1">
        <f t="array" ref="CU23">PRODUCT(1 + 預測IC!$C23:CU23) - 1</f>
        <v>-0.85886363222136863</v>
      </c>
      <c r="CV23" s="7" cm="1">
        <f t="array" ref="CV23">PRODUCT(1 + 預測IC!$C23:CV23) - 1</f>
        <v>-0.83722305629153804</v>
      </c>
      <c r="CW23" s="7" cm="1">
        <f t="array" ref="CW23">PRODUCT(1 + 預測IC!$C23:CW23) - 1</f>
        <v>-0.82677845544861062</v>
      </c>
      <c r="CX23" s="7" cm="1">
        <f t="array" ref="CX23">PRODUCT(1 + 預測IC!$C23:CX23) - 1</f>
        <v>-0.83749393900752089</v>
      </c>
      <c r="CY23" s="7" cm="1">
        <f t="array" ref="CY23">PRODUCT(1 + 預測IC!$C23:CY23) - 1</f>
        <v>-0.79171422209578601</v>
      </c>
      <c r="CZ23" s="7" cm="1">
        <f t="array" ref="CZ23">PRODUCT(1 + 預測IC!$C23:CZ23) - 1</f>
        <v>-0.77895024040426764</v>
      </c>
      <c r="DA23" s="7" cm="1">
        <f t="array" ref="DA23">PRODUCT(1 + 預測IC!$C23:DA23) - 1</f>
        <v>-0.66449709381252386</v>
      </c>
      <c r="DB23" s="7" cm="1">
        <f t="array" ref="DB23">PRODUCT(1 + 預測IC!$C23:DB23) - 1</f>
        <v>-0.37442947591645248</v>
      </c>
      <c r="DC23" s="7" cm="1">
        <f t="array" ref="DC23">PRODUCT(1 + 預測IC!$C23:DC23) - 1</f>
        <v>-0.47323765164139153</v>
      </c>
      <c r="DD23" s="7" cm="1">
        <f t="array" ref="DD23">PRODUCT(1 + 預測IC!$C23:DD23) - 1</f>
        <v>-0.52212049943889527</v>
      </c>
      <c r="DE23" s="7" cm="1">
        <f t="array" ref="DE23">PRODUCT(1 + 預測IC!$C23:DE23) - 1</f>
        <v>-0.4934066568519937</v>
      </c>
      <c r="DF23" s="7" cm="1">
        <f t="array" ref="DF23">PRODUCT(1 + 預測IC!$C23:DF23) - 1</f>
        <v>-0.59035538737782811</v>
      </c>
      <c r="DG23" s="7" cm="1">
        <f t="array" ref="DG23">PRODUCT(1 + 預測IC!$C23:DG23) - 1</f>
        <v>-0.61805573116807233</v>
      </c>
      <c r="DH23" s="7" cm="1">
        <f t="array" ref="DH23">PRODUCT(1 + 預測IC!$C23:DH23) - 1</f>
        <v>-0.5762014385376657</v>
      </c>
      <c r="DI23" s="7" cm="1">
        <f t="array" ref="DI23">PRODUCT(1 + 預測IC!$C23:DI23) - 1</f>
        <v>-0.49783569653988202</v>
      </c>
      <c r="DJ23" s="7" cm="1">
        <f t="array" ref="DJ23">PRODUCT(1 + 預測IC!$C23:DJ23) - 1</f>
        <v>-0.43755961869575422</v>
      </c>
      <c r="DK23" s="7" cm="1">
        <f t="array" ref="DK23">PRODUCT(1 + 預測IC!$C23:DK23) - 1</f>
        <v>-0.46441603275495735</v>
      </c>
      <c r="DL23" s="7" cm="1">
        <f t="array" ref="DL23">PRODUCT(1 + 預測IC!$C23:DL23) - 1</f>
        <v>-0.45036088902973115</v>
      </c>
      <c r="DM23" s="7" cm="1">
        <f t="array" ref="DM23">PRODUCT(1 + 預測IC!$C23:DM23) - 1</f>
        <v>-0.45624770765632883</v>
      </c>
      <c r="DN23" s="7" cm="1">
        <f t="array" ref="DN23">PRODUCT(1 + 預測IC!$C23:DN23) - 1</f>
        <v>-0.31216702202972324</v>
      </c>
      <c r="DO23" s="7" cm="1">
        <f t="array" ref="DO23">PRODUCT(1 + 預測IC!$C23:DO23) - 1</f>
        <v>-0.22682865610517111</v>
      </c>
      <c r="DP23" s="7" cm="1">
        <f t="array" ref="DP23">PRODUCT(1 + 預測IC!$C23:DP23) - 1</f>
        <v>-0.25652183444670529</v>
      </c>
      <c r="DQ23" s="7" cm="1">
        <f t="array" ref="DQ23">PRODUCT(1 + 預測IC!$C23:DQ23) - 1</f>
        <v>-0.34658086227052587</v>
      </c>
      <c r="DR23" s="7" cm="1">
        <f t="array" ref="DR23">PRODUCT(1 + 預測IC!$C23:DR23) - 1</f>
        <v>-0.40531409666916551</v>
      </c>
      <c r="DS23" s="7" cm="1">
        <f t="array" ref="DS23">PRODUCT(1 + 預測IC!$C23:DS23) - 1</f>
        <v>-0.57664106976078977</v>
      </c>
      <c r="DT23" s="7" cm="1">
        <f t="array" ref="DT23">PRODUCT(1 + 預測IC!$C23:DT23) - 1</f>
        <v>-0.56720166554761287</v>
      </c>
      <c r="DU23" s="7" cm="1">
        <f t="array" ref="DU23">PRODUCT(1 + 預測IC!$C23:DU23) - 1</f>
        <v>-0.79452540137200378</v>
      </c>
      <c r="DV23" s="7" cm="1">
        <f t="array" ref="DV23">PRODUCT(1 + 預測IC!$C23:DV23) - 1</f>
        <v>-0.75492193931775886</v>
      </c>
      <c r="DW23" s="7" cm="1">
        <f t="array" ref="DW23">PRODUCT(1 + 預測IC!$C23:DW23) - 1</f>
        <v>-0.68948876038621909</v>
      </c>
      <c r="DX23" s="7" cm="1">
        <f t="array" ref="DX23">PRODUCT(1 + 預測IC!$C23:DX23) - 1</f>
        <v>-0.63639047302723295</v>
      </c>
      <c r="DY23" s="7" cm="1">
        <f t="array" ref="DY23">PRODUCT(1 + 預測IC!$C23:DY23) - 1</f>
        <v>-0.53886242416451213</v>
      </c>
      <c r="DZ23" s="7" cm="1">
        <f t="array" ref="DZ23">PRODUCT(1 + 預測IC!$C23:DZ23) - 1</f>
        <v>-0.479222110897499</v>
      </c>
      <c r="EA23" s="7" cm="1">
        <f t="array" ref="EA23">PRODUCT(1 + 預測IC!$C23:EA23) - 1</f>
        <v>-0.4941990475226189</v>
      </c>
      <c r="EB23" s="7" cm="1">
        <f t="array" ref="EB23">PRODUCT(1 + 預測IC!$C23:EB23) - 1</f>
        <v>-0.56411363461259212</v>
      </c>
      <c r="EC23" s="7" cm="1">
        <f t="array" ref="EC23">PRODUCT(1 + 預測IC!$C23:EC23) - 1</f>
        <v>-0.51041027982988441</v>
      </c>
      <c r="ED23" s="7" cm="1">
        <f t="array" ref="ED23">PRODUCT(1 + 預測IC!$C23:ED23) - 1</f>
        <v>-0.49136503282947408</v>
      </c>
      <c r="EE23" s="7" cm="1">
        <f t="array" ref="EE23">PRODUCT(1 + 預測IC!$C23:EE23) - 1</f>
        <v>-0.52656871482590484</v>
      </c>
      <c r="EF23" s="7" cm="1">
        <f t="array" ref="EF23">PRODUCT(1 + 預測IC!$C23:EF23) - 1</f>
        <v>-0.54919034038810088</v>
      </c>
    </row>
    <row r="24" spans="1:136" x14ac:dyDescent="0.3">
      <c r="A24" s="1">
        <v>1</v>
      </c>
      <c r="B24" s="1" t="s">
        <v>182</v>
      </c>
      <c r="C24" s="7" cm="1">
        <f t="array" ref="C24">PRODUCT(1 + 預測IC!$C24:C24) - 1</f>
        <v>9.9113364206882659E-2</v>
      </c>
      <c r="D24" s="7" cm="1">
        <f t="array" ref="D24">PRODUCT(1 + 預測IC!$C24:D24) - 1</f>
        <v>-1.5248293186291617E-2</v>
      </c>
      <c r="E24" s="7" cm="1">
        <f t="array" ref="E24">PRODUCT(1 + 預測IC!$C24:E24) - 1</f>
        <v>5.506330381498592E-2</v>
      </c>
      <c r="F24" s="7" cm="1">
        <f t="array" ref="F24">PRODUCT(1 + 預測IC!$C24:F24) - 1</f>
        <v>-0.18460439795269667</v>
      </c>
      <c r="G24" s="7" cm="1">
        <f t="array" ref="G24">PRODUCT(1 + 預測IC!$C24:G24) - 1</f>
        <v>-5.206680334542968E-4</v>
      </c>
      <c r="H24" s="7" cm="1">
        <f t="array" ref="H24">PRODUCT(1 + 預測IC!$C24:H24) - 1</f>
        <v>0.24603761856331308</v>
      </c>
      <c r="I24" s="7" cm="1">
        <f t="array" ref="I24">PRODUCT(1 + 預測IC!$C24:I24) - 1</f>
        <v>0.24340607034430328</v>
      </c>
      <c r="J24" s="7" cm="1">
        <f t="array" ref="J24">PRODUCT(1 + 預測IC!$C24:J24) - 1</f>
        <v>0.11910003881420828</v>
      </c>
      <c r="K24" s="7" cm="1">
        <f t="array" ref="K24">PRODUCT(1 + 預測IC!$C24:K24) - 1</f>
        <v>9.5022289972073848E-2</v>
      </c>
      <c r="L24" s="7" cm="1">
        <f t="array" ref="L24">PRODUCT(1 + 預測IC!$C24:L24) - 1</f>
        <v>0.1997318807186641</v>
      </c>
      <c r="M24" s="7" cm="1">
        <f t="array" ref="M24">PRODUCT(1 + 預測IC!$C24:M24) - 1</f>
        <v>-0.3557770257091124</v>
      </c>
      <c r="N24" s="7" cm="1">
        <f t="array" ref="N24">PRODUCT(1 + 預測IC!$C24:N24) - 1</f>
        <v>-0.26292487697781408</v>
      </c>
      <c r="O24" s="7" cm="1">
        <f t="array" ref="O24">PRODUCT(1 + 預測IC!$C24:O24) - 1</f>
        <v>-8.9484324300260543E-2</v>
      </c>
      <c r="P24" s="7" cm="1">
        <f t="array" ref="P24">PRODUCT(1 + 預測IC!$C24:P24) - 1</f>
        <v>-0.18440413978649717</v>
      </c>
      <c r="Q24" s="7" cm="1">
        <f t="array" ref="Q24">PRODUCT(1 + 預測IC!$C24:Q24) - 1</f>
        <v>-0.11088229272714945</v>
      </c>
      <c r="R24" s="7" cm="1">
        <f t="array" ref="R24">PRODUCT(1 + 預測IC!$C24:R24) - 1</f>
        <v>-0.20723197311096464</v>
      </c>
      <c r="S24" s="7" cm="1">
        <f t="array" ref="S24">PRODUCT(1 + 預測IC!$C24:S24) - 1</f>
        <v>-0.48669416685548283</v>
      </c>
      <c r="T24" s="7" cm="1">
        <f t="array" ref="T24">PRODUCT(1 + 預測IC!$C24:T24) - 1</f>
        <v>-0.42320283241543177</v>
      </c>
      <c r="U24" s="7" cm="1">
        <f t="array" ref="U24">PRODUCT(1 + 預測IC!$C24:U24) - 1</f>
        <v>-0.50886798304120284</v>
      </c>
      <c r="V24" s="7" cm="1">
        <f t="array" ref="V24">PRODUCT(1 + 預測IC!$C24:V24) - 1</f>
        <v>-0.54184224426105487</v>
      </c>
      <c r="W24" s="7" cm="1">
        <f t="array" ref="W24">PRODUCT(1 + 預測IC!$C24:W24) - 1</f>
        <v>-0.31472795328258474</v>
      </c>
      <c r="X24" s="7" cm="1">
        <f t="array" ref="X24">PRODUCT(1 + 預測IC!$C24:X24) - 1</f>
        <v>-0.23385047940062742</v>
      </c>
      <c r="Y24" s="7" cm="1">
        <f t="array" ref="Y24">PRODUCT(1 + 預測IC!$C24:Y24) - 1</f>
        <v>-0.22658966895803978</v>
      </c>
      <c r="Z24" s="7" cm="1">
        <f t="array" ref="Z24">PRODUCT(1 + 預測IC!$C24:Z24) - 1</f>
        <v>-0.14473011957908621</v>
      </c>
      <c r="AA24" s="7" cm="1">
        <f t="array" ref="AA24">PRODUCT(1 + 預測IC!$C24:AA24) - 1</f>
        <v>-0.13314312145856322</v>
      </c>
      <c r="AB24" s="7" cm="1">
        <f t="array" ref="AB24">PRODUCT(1 + 預測IC!$C24:AB24) - 1</f>
        <v>3.6188374109160648E-2</v>
      </c>
      <c r="AC24" s="7" cm="1">
        <f t="array" ref="AC24">PRODUCT(1 + 預測IC!$C24:AC24) - 1</f>
        <v>0.16610606701059538</v>
      </c>
      <c r="AD24" s="7" cm="1">
        <f t="array" ref="AD24">PRODUCT(1 + 預測IC!$C24:AD24) - 1</f>
        <v>0.17522716079847034</v>
      </c>
      <c r="AE24" s="7" cm="1">
        <f t="array" ref="AE24">PRODUCT(1 + 預測IC!$C24:AE24) - 1</f>
        <v>-0.46087408429291099</v>
      </c>
      <c r="AF24" s="7" cm="1">
        <f t="array" ref="AF24">PRODUCT(1 + 預測IC!$C24:AF24) - 1</f>
        <v>-0.44873188500934036</v>
      </c>
      <c r="AG24" s="7" cm="1">
        <f t="array" ref="AG24">PRODUCT(1 + 預測IC!$C24:AG24) - 1</f>
        <v>-0.37225130747142732</v>
      </c>
      <c r="AH24" s="7" cm="1">
        <f t="array" ref="AH24">PRODUCT(1 + 預測IC!$C24:AH24) - 1</f>
        <v>-0.5619084729143331</v>
      </c>
      <c r="AI24" s="7" cm="1">
        <f t="array" ref="AI24">PRODUCT(1 + 預測IC!$C24:AI24) - 1</f>
        <v>-0.42591862657358115</v>
      </c>
      <c r="AJ24" s="7" cm="1">
        <f t="array" ref="AJ24">PRODUCT(1 + 預測IC!$C24:AJ24) - 1</f>
        <v>-0.37687186859051858</v>
      </c>
      <c r="AK24" s="7" cm="1">
        <f t="array" ref="AK24">PRODUCT(1 + 預測IC!$C24:AK24) - 1</f>
        <v>-0.37597395523528654</v>
      </c>
      <c r="AL24" s="7" cm="1">
        <f t="array" ref="AL24">PRODUCT(1 + 預測IC!$C24:AL24) - 1</f>
        <v>-0.44302831587531988</v>
      </c>
      <c r="AM24" s="7" cm="1">
        <f t="array" ref="AM24">PRODUCT(1 + 預測IC!$C24:AM24) - 1</f>
        <v>-0.43469237391504456</v>
      </c>
      <c r="AN24" s="7" cm="1">
        <f t="array" ref="AN24">PRODUCT(1 + 預測IC!$C24:AN24) - 1</f>
        <v>-0.30965228245867982</v>
      </c>
      <c r="AO24" s="7" cm="1">
        <f t="array" ref="AO24">PRODUCT(1 + 預測IC!$C24:AO24) - 1</f>
        <v>-0.26402712460548594</v>
      </c>
      <c r="AP24" s="7" cm="1">
        <f t="array" ref="AP24">PRODUCT(1 + 預測IC!$C24:AP24) - 1</f>
        <v>-0.57049251063111028</v>
      </c>
      <c r="AQ24" s="7" cm="1">
        <f t="array" ref="AQ24">PRODUCT(1 + 預測IC!$C24:AQ24) - 1</f>
        <v>-0.41737655606744362</v>
      </c>
      <c r="AR24" s="7" cm="1">
        <f t="array" ref="AR24">PRODUCT(1 + 預測IC!$C24:AR24) - 1</f>
        <v>-0.42923343517278301</v>
      </c>
      <c r="AS24" s="7" cm="1">
        <f t="array" ref="AS24">PRODUCT(1 + 預測IC!$C24:AS24) - 1</f>
        <v>-0.42735745463488961</v>
      </c>
      <c r="AT24" s="7" cm="1">
        <f t="array" ref="AT24">PRODUCT(1 + 預測IC!$C24:AT24) - 1</f>
        <v>-0.3410207222081465</v>
      </c>
      <c r="AU24" s="7" cm="1">
        <f t="array" ref="AU24">PRODUCT(1 + 預測IC!$C24:AU24) - 1</f>
        <v>-0.49248118872751678</v>
      </c>
      <c r="AV24" s="7" cm="1">
        <f t="array" ref="AV24">PRODUCT(1 + 預測IC!$C24:AV24) - 1</f>
        <v>-0.36677656439699202</v>
      </c>
      <c r="AW24" s="7" cm="1">
        <f t="array" ref="AW24">PRODUCT(1 + 預測IC!$C24:AW24) - 1</f>
        <v>-0.36361833622615913</v>
      </c>
      <c r="AX24" s="7" cm="1">
        <f t="array" ref="AX24">PRODUCT(1 + 預測IC!$C24:AX24) - 1</f>
        <v>-0.34560479810992484</v>
      </c>
      <c r="AY24" s="7" cm="1">
        <f t="array" ref="AY24">PRODUCT(1 + 預測IC!$C24:AY24) - 1</f>
        <v>-0.23558310368489066</v>
      </c>
      <c r="AZ24" s="7" cm="1">
        <f t="array" ref="AZ24">PRODUCT(1 + 預測IC!$C24:AZ24) - 1</f>
        <v>-0.20663687281129883</v>
      </c>
      <c r="BA24" s="7" cm="1">
        <f t="array" ref="BA24">PRODUCT(1 + 預測IC!$C24:BA24) - 1</f>
        <v>-0.12588623615987127</v>
      </c>
      <c r="BB24" s="7" cm="1">
        <f t="array" ref="BB24">PRODUCT(1 + 預測IC!$C24:BB24) - 1</f>
        <v>-0.20119903312989473</v>
      </c>
      <c r="BC24" s="7" cm="1">
        <f t="array" ref="BC24">PRODUCT(1 + 預測IC!$C24:BC24) - 1</f>
        <v>-0.84280876095529444</v>
      </c>
      <c r="BD24" s="7" cm="1">
        <f t="array" ref="BD24">PRODUCT(1 + 預測IC!$C24:BD24) - 1</f>
        <v>-0.81363481848117358</v>
      </c>
      <c r="BE24" s="7" cm="1">
        <f t="array" ref="BE24">PRODUCT(1 + 預測IC!$C24:BE24) - 1</f>
        <v>-0.82221961018183642</v>
      </c>
      <c r="BF24" s="7" cm="1">
        <f t="array" ref="BF24">PRODUCT(1 + 預測IC!$C24:BF24) - 1</f>
        <v>-0.81077581165268142</v>
      </c>
      <c r="BG24" s="7" cm="1">
        <f t="array" ref="BG24">PRODUCT(1 + 預測IC!$C24:BG24) - 1</f>
        <v>-0.7935593950123343</v>
      </c>
      <c r="BH24" s="7" cm="1">
        <f t="array" ref="BH24">PRODUCT(1 + 預測IC!$C24:BH24) - 1</f>
        <v>-0.82404521516358487</v>
      </c>
      <c r="BI24" s="7" cm="1">
        <f t="array" ref="BI24">PRODUCT(1 + 預測IC!$C24:BI24) - 1</f>
        <v>-0.82899862954101144</v>
      </c>
      <c r="BJ24" s="7" cm="1">
        <f t="array" ref="BJ24">PRODUCT(1 + 預測IC!$C24:BJ24) - 1</f>
        <v>-0.81864154604693284</v>
      </c>
      <c r="BK24" s="7" cm="1">
        <f t="array" ref="BK24">PRODUCT(1 + 預測IC!$C24:BK24) - 1</f>
        <v>-0.81791184180277743</v>
      </c>
      <c r="BL24" s="7" cm="1">
        <f t="array" ref="BL24">PRODUCT(1 + 預測IC!$C24:BL24) - 1</f>
        <v>-0.76015997967610327</v>
      </c>
      <c r="BM24" s="7" cm="1">
        <f t="array" ref="BM24">PRODUCT(1 + 預測IC!$C24:BM24) - 1</f>
        <v>-0.75740829053772862</v>
      </c>
      <c r="BN24" s="7" cm="1">
        <f t="array" ref="BN24">PRODUCT(1 + 預測IC!$C24:BN24) - 1</f>
        <v>-0.75574669699071917</v>
      </c>
      <c r="BO24" s="7" cm="1">
        <f t="array" ref="BO24">PRODUCT(1 + 預測IC!$C24:BO24) - 1</f>
        <v>-0.79509827118763465</v>
      </c>
      <c r="BP24" s="7" cm="1">
        <f t="array" ref="BP24">PRODUCT(1 + 預測IC!$C24:BP24) - 1</f>
        <v>-0.76982340092318935</v>
      </c>
      <c r="BQ24" s="7" cm="1">
        <f t="array" ref="BQ24">PRODUCT(1 + 預測IC!$C24:BQ24) - 1</f>
        <v>-0.78459374888712119</v>
      </c>
      <c r="BR24" s="7" cm="1">
        <f t="array" ref="BR24">PRODUCT(1 + 預測IC!$C24:BR24) - 1</f>
        <v>-0.77546995361403204</v>
      </c>
      <c r="BS24" s="7" cm="1">
        <f t="array" ref="BS24">PRODUCT(1 + 預測IC!$C24:BS24) - 1</f>
        <v>-0.77575841129041001</v>
      </c>
      <c r="BT24" s="7" cm="1">
        <f t="array" ref="BT24">PRODUCT(1 + 預測IC!$C24:BT24) - 1</f>
        <v>-0.74968568568684923</v>
      </c>
      <c r="BU24" s="7" cm="1">
        <f t="array" ref="BU24">PRODUCT(1 + 預測IC!$C24:BU24) - 1</f>
        <v>-0.80683910990520713</v>
      </c>
      <c r="BV24" s="7" cm="1">
        <f t="array" ref="BV24">PRODUCT(1 + 預測IC!$C24:BV24) - 1</f>
        <v>-0.78603018586366857</v>
      </c>
      <c r="BW24" s="7" cm="1">
        <f t="array" ref="BW24">PRODUCT(1 + 預測IC!$C24:BW24) - 1</f>
        <v>-0.79926119839213228</v>
      </c>
      <c r="BX24" s="7" cm="1">
        <f t="array" ref="BX24">PRODUCT(1 + 預測IC!$C24:BX24) - 1</f>
        <v>-0.82595144063716486</v>
      </c>
      <c r="BY24" s="7" cm="1">
        <f t="array" ref="BY24">PRODUCT(1 + 預測IC!$C24:BY24) - 1</f>
        <v>-0.80685036502226559</v>
      </c>
      <c r="BZ24" s="7" cm="1">
        <f t="array" ref="BZ24">PRODUCT(1 + 預測IC!$C24:BZ24) - 1</f>
        <v>-0.86872187696968961</v>
      </c>
      <c r="CA24" s="7" cm="1">
        <f t="array" ref="CA24">PRODUCT(1 + 預測IC!$C24:CA24) - 1</f>
        <v>-0.85751700839307898</v>
      </c>
      <c r="CB24" s="7" cm="1">
        <f t="array" ref="CB24">PRODUCT(1 + 預測IC!$C24:CB24) - 1</f>
        <v>-0.84837998974198037</v>
      </c>
      <c r="CC24" s="7" cm="1">
        <f t="array" ref="CC24">PRODUCT(1 + 預測IC!$C24:CC24) - 1</f>
        <v>-0.7816892440800316</v>
      </c>
      <c r="CD24" s="7" cm="1">
        <f t="array" ref="CD24">PRODUCT(1 + 預測IC!$C24:CD24) - 1</f>
        <v>-0.75018562429788127</v>
      </c>
      <c r="CE24" s="7" cm="1">
        <f t="array" ref="CE24">PRODUCT(1 + 預測IC!$C24:CE24) - 1</f>
        <v>-0.80267697946301786</v>
      </c>
      <c r="CF24" s="7" cm="1">
        <f t="array" ref="CF24">PRODUCT(1 + 預測IC!$C24:CF24) - 1</f>
        <v>-0.81135221384005574</v>
      </c>
      <c r="CG24" s="7" cm="1">
        <f t="array" ref="CG24">PRODUCT(1 + 預測IC!$C24:CG24) - 1</f>
        <v>-0.90944320816177637</v>
      </c>
      <c r="CH24" s="7" cm="1">
        <f t="array" ref="CH24">PRODUCT(1 + 預測IC!$C24:CH24) - 1</f>
        <v>-0.92872934928800543</v>
      </c>
      <c r="CI24" s="7" cm="1">
        <f t="array" ref="CI24">PRODUCT(1 + 預測IC!$C24:CI24) - 1</f>
        <v>-0.94965438693972815</v>
      </c>
      <c r="CJ24" s="7" cm="1">
        <f t="array" ref="CJ24">PRODUCT(1 + 預測IC!$C24:CJ24) - 1</f>
        <v>-0.94899438185938279</v>
      </c>
      <c r="CK24" s="7" cm="1">
        <f t="array" ref="CK24">PRODUCT(1 + 預測IC!$C24:CK24) - 1</f>
        <v>-0.9442238223491447</v>
      </c>
      <c r="CL24" s="7" cm="1">
        <f t="array" ref="CL24">PRODUCT(1 + 預測IC!$C24:CL24) - 1</f>
        <v>-0.93631725169200164</v>
      </c>
      <c r="CM24" s="7" cm="1">
        <f t="array" ref="CM24">PRODUCT(1 + 預測IC!$C24:CM24) - 1</f>
        <v>-0.97684707108104618</v>
      </c>
      <c r="CN24" s="7" cm="1">
        <f t="array" ref="CN24">PRODUCT(1 + 預測IC!$C24:CN24) - 1</f>
        <v>-0.97934153908264576</v>
      </c>
      <c r="CO24" s="7" cm="1">
        <f t="array" ref="CO24">PRODUCT(1 + 預測IC!$C24:CO24) - 1</f>
        <v>-0.99116664063406756</v>
      </c>
      <c r="CP24" s="7" cm="1">
        <f t="array" ref="CP24">PRODUCT(1 + 預測IC!$C24:CP24) - 1</f>
        <v>-0.98941704059219371</v>
      </c>
      <c r="CQ24" s="7" cm="1">
        <f t="array" ref="CQ24">PRODUCT(1 + 預測IC!$C24:CQ24) - 1</f>
        <v>-0.99111232112000347</v>
      </c>
      <c r="CR24" s="7" cm="1">
        <f t="array" ref="CR24">PRODUCT(1 + 預測IC!$C24:CR24) - 1</f>
        <v>-0.9898877104569509</v>
      </c>
      <c r="CS24" s="7" cm="1">
        <f t="array" ref="CS24">PRODUCT(1 + 預測IC!$C24:CS24) - 1</f>
        <v>-0.9909795771939558</v>
      </c>
      <c r="CT24" s="7" cm="1">
        <f t="array" ref="CT24">PRODUCT(1 + 預測IC!$C24:CT24) - 1</f>
        <v>-0.9920579181208351</v>
      </c>
      <c r="CU24" s="7" cm="1">
        <f t="array" ref="CU24">PRODUCT(1 + 預測IC!$C24:CU24) - 1</f>
        <v>-0.99247669651215531</v>
      </c>
      <c r="CV24" s="7" cm="1">
        <f t="array" ref="CV24">PRODUCT(1 + 預測IC!$C24:CV24) - 1</f>
        <v>-0.99110095442913815</v>
      </c>
      <c r="CW24" s="7" cm="1">
        <f t="array" ref="CW24">PRODUCT(1 + 預測IC!$C24:CW24) - 1</f>
        <v>-0.99111508737901843</v>
      </c>
      <c r="CX24" s="7" cm="1">
        <f t="array" ref="CX24">PRODUCT(1 + 預測IC!$C24:CX24) - 1</f>
        <v>-0.99241845631006653</v>
      </c>
      <c r="CY24" s="7" cm="1">
        <f t="array" ref="CY24">PRODUCT(1 + 預測IC!$C24:CY24) - 1</f>
        <v>-0.98968737163514997</v>
      </c>
      <c r="CZ24" s="7" cm="1">
        <f t="array" ref="CZ24">PRODUCT(1 + 預測IC!$C24:CZ24) - 1</f>
        <v>-0.98801562331820225</v>
      </c>
      <c r="DA24" s="7" cm="1">
        <f t="array" ref="DA24">PRODUCT(1 + 預測IC!$C24:DA24) - 1</f>
        <v>-0.97827205666293116</v>
      </c>
      <c r="DB24" s="7" cm="1">
        <f t="array" ref="DB24">PRODUCT(1 + 預測IC!$C24:DB24) - 1</f>
        <v>-0.95767158522755169</v>
      </c>
      <c r="DC24" s="7" cm="1">
        <f t="array" ref="DC24">PRODUCT(1 + 預測IC!$C24:DC24) - 1</f>
        <v>-0.96963908857009495</v>
      </c>
      <c r="DD24" s="7" cm="1">
        <f t="array" ref="DD24">PRODUCT(1 + 預測IC!$C24:DD24) - 1</f>
        <v>-0.96369306430589941</v>
      </c>
      <c r="DE24" s="7" cm="1">
        <f t="array" ref="DE24">PRODUCT(1 + 預測IC!$C24:DE24) - 1</f>
        <v>-0.96847053390733651</v>
      </c>
      <c r="DF24" s="7" cm="1">
        <f t="array" ref="DF24">PRODUCT(1 + 預測IC!$C24:DF24) - 1</f>
        <v>-0.97460736813887083</v>
      </c>
      <c r="DG24" s="7" cm="1">
        <f t="array" ref="DG24">PRODUCT(1 + 預測IC!$C24:DG24) - 1</f>
        <v>-0.9776429375871627</v>
      </c>
      <c r="DH24" s="7" cm="1">
        <f t="array" ref="DH24">PRODUCT(1 + 預測IC!$C24:DH24) - 1</f>
        <v>-0.97534389727617832</v>
      </c>
      <c r="DI24" s="7" cm="1">
        <f t="array" ref="DI24">PRODUCT(1 + 預測IC!$C24:DI24) - 1</f>
        <v>-0.96491192980775076</v>
      </c>
      <c r="DJ24" s="7" cm="1">
        <f t="array" ref="DJ24">PRODUCT(1 + 預測IC!$C24:DJ24) - 1</f>
        <v>-0.95686378355021651</v>
      </c>
      <c r="DK24" s="7" cm="1">
        <f t="array" ref="DK24">PRODUCT(1 + 預測IC!$C24:DK24) - 1</f>
        <v>-0.96402533275987268</v>
      </c>
      <c r="DL24" s="7" cm="1">
        <f t="array" ref="DL24">PRODUCT(1 + 預測IC!$C24:DL24) - 1</f>
        <v>-0.96181790871526451</v>
      </c>
      <c r="DM24" s="7" cm="1">
        <f t="array" ref="DM24">PRODUCT(1 + 預測IC!$C24:DM24) - 1</f>
        <v>-0.96595364374697867</v>
      </c>
      <c r="DN24" s="7" cm="1">
        <f t="array" ref="DN24">PRODUCT(1 + 預測IC!$C24:DN24) - 1</f>
        <v>-0.94835685468722886</v>
      </c>
      <c r="DO24" s="7" cm="1">
        <f t="array" ref="DO24">PRODUCT(1 + 預測IC!$C24:DO24) - 1</f>
        <v>-0.94238628969405769</v>
      </c>
      <c r="DP24" s="7" cm="1">
        <f t="array" ref="DP24">PRODUCT(1 + 預測IC!$C24:DP24) - 1</f>
        <v>-0.95070171351243005</v>
      </c>
      <c r="DQ24" s="7" cm="1">
        <f t="array" ref="DQ24">PRODUCT(1 + 預測IC!$C24:DQ24) - 1</f>
        <v>-0.95319059619432611</v>
      </c>
      <c r="DR24" s="7" cm="1">
        <f t="array" ref="DR24">PRODUCT(1 + 預測IC!$C24:DR24) - 1</f>
        <v>-0.95415092061324891</v>
      </c>
      <c r="DS24" s="7" cm="1">
        <f t="array" ref="DS24">PRODUCT(1 + 預測IC!$C24:DS24) - 1</f>
        <v>-0.96406631317636493</v>
      </c>
      <c r="DT24" s="7" cm="1">
        <f t="array" ref="DT24">PRODUCT(1 + 預測IC!$C24:DT24) - 1</f>
        <v>-0.96300857900288128</v>
      </c>
      <c r="DU24" s="7" cm="1">
        <f t="array" ref="DU24">PRODUCT(1 + 預測IC!$C24:DU24) - 1</f>
        <v>-0.99151207089659432</v>
      </c>
      <c r="DV24" s="7" cm="1">
        <f t="array" ref="DV24">PRODUCT(1 + 預測IC!$C24:DV24) - 1</f>
        <v>-0.98514224891188984</v>
      </c>
      <c r="DW24" s="7" cm="1">
        <f t="array" ref="DW24">PRODUCT(1 + 預測IC!$C24:DW24) - 1</f>
        <v>-0.97944633330159481</v>
      </c>
      <c r="DX24" s="7" cm="1">
        <f t="array" ref="DX24">PRODUCT(1 + 預測IC!$C24:DX24) - 1</f>
        <v>-0.97587539411849422</v>
      </c>
      <c r="DY24" s="7" cm="1">
        <f t="array" ref="DY24">PRODUCT(1 + 預測IC!$C24:DY24) - 1</f>
        <v>-0.97510180158202397</v>
      </c>
      <c r="DZ24" s="7" cm="1">
        <f t="array" ref="DZ24">PRODUCT(1 + 預測IC!$C24:DZ24) - 1</f>
        <v>-0.97631943961630407</v>
      </c>
      <c r="EA24" s="7" cm="1">
        <f t="array" ref="EA24">PRODUCT(1 + 預測IC!$C24:EA24) - 1</f>
        <v>-0.97761998034604647</v>
      </c>
      <c r="EB24" s="7" cm="1">
        <f t="array" ref="EB24">PRODUCT(1 + 預測IC!$C24:EB24) - 1</f>
        <v>-0.98006452241852704</v>
      </c>
      <c r="EC24" s="7" cm="1">
        <f t="array" ref="EC24">PRODUCT(1 + 預測IC!$C24:EC24) - 1</f>
        <v>-0.97494805458701006</v>
      </c>
      <c r="ED24" s="7" cm="1">
        <f t="array" ref="ED24">PRODUCT(1 + 預測IC!$C24:ED24) - 1</f>
        <v>-0.97669756104457395</v>
      </c>
      <c r="EE24" s="7" cm="1">
        <f t="array" ref="EE24">PRODUCT(1 + 預測IC!$C24:EE24) - 1</f>
        <v>-0.979202122498668</v>
      </c>
      <c r="EF24" s="7" cm="1">
        <f t="array" ref="EF24">PRODUCT(1 + 預測IC!$C24:EF24) - 1</f>
        <v>-0.97780291041081091</v>
      </c>
    </row>
    <row r="25" spans="1:136" s="5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5"/>
  <sheetViews>
    <sheetView topLeftCell="DN6" workbookViewId="0">
      <selection activeCell="EH11" sqref="EH11:EH24"/>
    </sheetView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8" x14ac:dyDescent="0.3">
      <c r="A1" t="str">
        <f>預測IC!A1</f>
        <v>NN1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8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8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8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8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8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EG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8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8" x14ac:dyDescent="0.3">
      <c r="A10" s="19" t="s">
        <v>141</v>
      </c>
      <c r="B10" s="20"/>
      <c r="C10" s="1" t="s">
        <v>142</v>
      </c>
      <c r="D10" s="2">
        <v>964</v>
      </c>
    </row>
    <row r="11" spans="1:138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  <c r="EG11" t="s">
        <v>150</v>
      </c>
      <c r="EH11" t="s">
        <v>151</v>
      </c>
    </row>
    <row r="12" spans="1:138" x14ac:dyDescent="0.3">
      <c r="A12" s="1">
        <v>10</v>
      </c>
      <c r="B12" s="1">
        <v>96</v>
      </c>
      <c r="C12" s="7">
        <f>IF(預測IC!C12&gt;預測IC!C$25,1,0)</f>
        <v>1</v>
      </c>
      <c r="D12" s="7">
        <f>IF(預測IC!D12&gt;預測IC!D$25,1,0)</f>
        <v>1</v>
      </c>
      <c r="E12" s="7">
        <f>IF(預測IC!E12&gt;預測IC!E$25,1,0)</f>
        <v>0</v>
      </c>
      <c r="F12" s="7">
        <f>IF(預測IC!F12&gt;預測IC!F$25,1,0)</f>
        <v>0</v>
      </c>
      <c r="G12" s="7">
        <f>IF(預測IC!G12&gt;預測IC!G$25,1,0)</f>
        <v>0</v>
      </c>
      <c r="H12" s="7">
        <f>IF(預測IC!H12&gt;預測IC!H$25,1,0)</f>
        <v>0</v>
      </c>
      <c r="I12" s="7">
        <f>IF(預測IC!I12&gt;預測IC!I$25,1,0)</f>
        <v>1</v>
      </c>
      <c r="J12" s="7">
        <f>IF(預測IC!J12&gt;預測IC!J$25,1,0)</f>
        <v>1</v>
      </c>
      <c r="K12" s="7">
        <f>IF(預測IC!K12&gt;預測IC!K$25,1,0)</f>
        <v>1</v>
      </c>
      <c r="L12" s="7">
        <f>IF(預測IC!L12&gt;預測IC!L$25,1,0)</f>
        <v>0</v>
      </c>
      <c r="M12" s="7">
        <f>IF(預測IC!M12&gt;預測IC!M$25,1,0)</f>
        <v>0</v>
      </c>
      <c r="N12" s="7">
        <f>IF(預測IC!N12&gt;預測IC!N$25,1,0)</f>
        <v>1</v>
      </c>
      <c r="O12" s="7">
        <f>IF(預測IC!O12&gt;預測IC!O$25,1,0)</f>
        <v>1</v>
      </c>
      <c r="P12" s="7">
        <f>IF(預測IC!P12&gt;預測IC!P$25,1,0)</f>
        <v>0</v>
      </c>
      <c r="Q12" s="7">
        <f>IF(預測IC!Q12&gt;預測IC!Q$25,1,0)</f>
        <v>1</v>
      </c>
      <c r="R12" s="7">
        <f>IF(預測IC!R12&gt;預測IC!R$25,1,0)</f>
        <v>0</v>
      </c>
      <c r="S12" s="7">
        <f>IF(預測IC!S12&gt;預測IC!S$25,1,0)</f>
        <v>0</v>
      </c>
      <c r="T12" s="7">
        <f>IF(預測IC!T12&gt;預測IC!T$25,1,0)</f>
        <v>0</v>
      </c>
      <c r="U12" s="7">
        <f>IF(預測IC!U12&gt;預測IC!U$25,1,0)</f>
        <v>1</v>
      </c>
      <c r="V12" s="7">
        <f>IF(預測IC!V12&gt;預測IC!V$25,1,0)</f>
        <v>1</v>
      </c>
      <c r="W12" s="7">
        <f>IF(預測IC!W12&gt;預測IC!W$25,1,0)</f>
        <v>1</v>
      </c>
      <c r="X12" s="7">
        <f>IF(預測IC!X12&gt;預測IC!X$25,1,0)</f>
        <v>1</v>
      </c>
      <c r="Y12" s="7">
        <f>IF(預測IC!Y12&gt;預測IC!Y$25,1,0)</f>
        <v>1</v>
      </c>
      <c r="Z12" s="7">
        <f>IF(預測IC!Z12&gt;預測IC!Z$25,1,0)</f>
        <v>1</v>
      </c>
      <c r="AA12" s="7">
        <f>IF(預測IC!AA12&gt;預測IC!AA$25,1,0)</f>
        <v>0</v>
      </c>
      <c r="AB12" s="7">
        <f>IF(預測IC!AB12&gt;預測IC!AB$25,1,0)</f>
        <v>1</v>
      </c>
      <c r="AC12" s="7">
        <f>IF(預測IC!AC12&gt;預測IC!AC$25,1,0)</f>
        <v>0</v>
      </c>
      <c r="AD12" s="7">
        <f>IF(預測IC!AD12&gt;預測IC!AD$25,1,0)</f>
        <v>1</v>
      </c>
      <c r="AE12" s="7">
        <f>IF(預測IC!AE12&gt;預測IC!AE$25,1,0)</f>
        <v>0</v>
      </c>
      <c r="AF12" s="7">
        <f>IF(預測IC!AF12&gt;預測IC!AF$25,1,0)</f>
        <v>1</v>
      </c>
      <c r="AG12" s="7">
        <f>IF(預測IC!AG12&gt;預測IC!AG$25,1,0)</f>
        <v>0</v>
      </c>
      <c r="AH12" s="7">
        <f>IF(預測IC!AH12&gt;預測IC!AH$25,1,0)</f>
        <v>1</v>
      </c>
      <c r="AI12" s="7">
        <f>IF(預測IC!AI12&gt;預測IC!AI$25,1,0)</f>
        <v>1</v>
      </c>
      <c r="AJ12" s="7">
        <f>IF(預測IC!AJ12&gt;預測IC!AJ$25,1,0)</f>
        <v>1</v>
      </c>
      <c r="AK12" s="7">
        <f>IF(預測IC!AK12&gt;預測IC!AK$25,1,0)</f>
        <v>1</v>
      </c>
      <c r="AL12" s="7">
        <f>IF(預測IC!AL12&gt;預測IC!AL$25,1,0)</f>
        <v>0</v>
      </c>
      <c r="AM12" s="7">
        <f>IF(預測IC!AM12&gt;預測IC!AM$25,1,0)</f>
        <v>0</v>
      </c>
      <c r="AN12" s="7">
        <f>IF(預測IC!AN12&gt;預測IC!AN$25,1,0)</f>
        <v>1</v>
      </c>
      <c r="AO12" s="7">
        <f>IF(預測IC!AO12&gt;預測IC!AO$25,1,0)</f>
        <v>0</v>
      </c>
      <c r="AP12" s="7">
        <f>IF(預測IC!AP12&gt;預測IC!AP$25,1,0)</f>
        <v>1</v>
      </c>
      <c r="AQ12" s="7">
        <f>IF(預測IC!AQ12&gt;預測IC!AQ$25,1,0)</f>
        <v>0</v>
      </c>
      <c r="AR12" s="7">
        <f>IF(預測IC!AR12&gt;預測IC!AR$25,1,0)</f>
        <v>0</v>
      </c>
      <c r="AS12" s="7">
        <f>IF(預測IC!AS12&gt;預測IC!AS$25,1,0)</f>
        <v>1</v>
      </c>
      <c r="AT12" s="7">
        <f>IF(預測IC!AT12&gt;預測IC!AT$25,1,0)</f>
        <v>1</v>
      </c>
      <c r="AU12" s="7">
        <f>IF(預測IC!AU12&gt;預測IC!AU$25,1,0)</f>
        <v>1</v>
      </c>
      <c r="AV12" s="7">
        <f>IF(預測IC!AV12&gt;預測IC!AV$25,1,0)</f>
        <v>1</v>
      </c>
      <c r="AW12" s="7">
        <f>IF(預測IC!AW12&gt;預測IC!AW$25,1,0)</f>
        <v>1</v>
      </c>
      <c r="AX12" s="7">
        <f>IF(預測IC!AX12&gt;預測IC!AX$25,1,0)</f>
        <v>1</v>
      </c>
      <c r="AY12" s="7">
        <f>IF(預測IC!AY12&gt;預測IC!AY$25,1,0)</f>
        <v>0</v>
      </c>
      <c r="AZ12" s="7">
        <f>IF(預測IC!AZ12&gt;預測IC!AZ$25,1,0)</f>
        <v>1</v>
      </c>
      <c r="BA12" s="7">
        <f>IF(預測IC!BA12&gt;預測IC!BA$25,1,0)</f>
        <v>0</v>
      </c>
      <c r="BB12" s="7">
        <f>IF(預測IC!BB12&gt;預測IC!BB$25,1,0)</f>
        <v>1</v>
      </c>
      <c r="BC12" s="7">
        <f>IF(預測IC!BC12&gt;預測IC!BC$25,1,0)</f>
        <v>0</v>
      </c>
      <c r="BD12" s="7">
        <f>IF(預測IC!BD12&gt;預測IC!BD$25,1,0)</f>
        <v>1</v>
      </c>
      <c r="BE12" s="7">
        <f>IF(預測IC!BE12&gt;預測IC!BE$25,1,0)</f>
        <v>0</v>
      </c>
      <c r="BF12" s="7">
        <f>IF(預測IC!BF12&gt;預測IC!BF$25,1,0)</f>
        <v>0</v>
      </c>
      <c r="BG12" s="7">
        <f>IF(預測IC!BG12&gt;預測IC!BG$25,1,0)</f>
        <v>0</v>
      </c>
      <c r="BH12" s="7">
        <f>IF(預測IC!BH12&gt;預測IC!BH$25,1,0)</f>
        <v>1</v>
      </c>
      <c r="BI12" s="7">
        <f>IF(預測IC!BI12&gt;預測IC!BI$25,1,0)</f>
        <v>0</v>
      </c>
      <c r="BJ12" s="7">
        <f>IF(預測IC!BJ12&gt;預測IC!BJ$25,1,0)</f>
        <v>0</v>
      </c>
      <c r="BK12" s="7">
        <f>IF(預測IC!BK12&gt;預測IC!BK$25,1,0)</f>
        <v>0</v>
      </c>
      <c r="BL12" s="7">
        <f>IF(預測IC!BL12&gt;預測IC!BL$25,1,0)</f>
        <v>0</v>
      </c>
      <c r="BM12" s="7">
        <f>IF(預測IC!BM12&gt;預測IC!BM$25,1,0)</f>
        <v>0</v>
      </c>
      <c r="BN12" s="7">
        <f>IF(預測IC!BN12&gt;預測IC!BN$25,1,0)</f>
        <v>0</v>
      </c>
      <c r="BO12" s="7">
        <f>IF(預測IC!BO12&gt;預測IC!BO$25,1,0)</f>
        <v>1</v>
      </c>
      <c r="BP12" s="7">
        <f>IF(預測IC!BP12&gt;預測IC!BP$25,1,0)</f>
        <v>0</v>
      </c>
      <c r="BQ12" s="7">
        <f>IF(預測IC!BQ12&gt;預測IC!BQ$25,1,0)</f>
        <v>1</v>
      </c>
      <c r="BR12" s="7">
        <f>IF(預測IC!BR12&gt;預測IC!BR$25,1,0)</f>
        <v>1</v>
      </c>
      <c r="BS12" s="7">
        <f>IF(預測IC!BS12&gt;預測IC!BS$25,1,0)</f>
        <v>0</v>
      </c>
      <c r="BT12" s="7">
        <f>IF(預測IC!BT12&gt;預測IC!BT$25,1,0)</f>
        <v>0</v>
      </c>
      <c r="BU12" s="7">
        <f>IF(預測IC!BU12&gt;預測IC!BU$25,1,0)</f>
        <v>0</v>
      </c>
      <c r="BV12" s="7">
        <f>IF(預測IC!BV12&gt;預測IC!BV$25,1,0)</f>
        <v>0</v>
      </c>
      <c r="BW12" s="7">
        <f>IF(預測IC!BW12&gt;預測IC!BW$25,1,0)</f>
        <v>1</v>
      </c>
      <c r="BX12" s="7">
        <f>IF(預測IC!BX12&gt;預測IC!BX$25,1,0)</f>
        <v>1</v>
      </c>
      <c r="BY12" s="7">
        <f>IF(預測IC!BY12&gt;預測IC!BY$25,1,0)</f>
        <v>1</v>
      </c>
      <c r="BZ12" s="7">
        <f>IF(預測IC!BZ12&gt;預測IC!BZ$25,1,0)</f>
        <v>0</v>
      </c>
      <c r="CA12" s="7">
        <f>IF(預測IC!CA12&gt;預測IC!CA$25,1,0)</f>
        <v>1</v>
      </c>
      <c r="CB12" s="7">
        <f>IF(預測IC!CB12&gt;預測IC!CB$25,1,0)</f>
        <v>0</v>
      </c>
      <c r="CC12" s="7">
        <f>IF(預測IC!CC12&gt;預測IC!CC$25,1,0)</f>
        <v>0</v>
      </c>
      <c r="CD12" s="7">
        <f>IF(預測IC!CD12&gt;預測IC!CD$25,1,0)</f>
        <v>1</v>
      </c>
      <c r="CE12" s="7">
        <f>IF(預測IC!CE12&gt;預測IC!CE$25,1,0)</f>
        <v>1</v>
      </c>
      <c r="CF12" s="7">
        <f>IF(預測IC!CF12&gt;預測IC!CF$25,1,0)</f>
        <v>1</v>
      </c>
      <c r="CG12" s="7">
        <f>IF(預測IC!CG12&gt;預測IC!CG$25,1,0)</f>
        <v>0</v>
      </c>
      <c r="CH12" s="7">
        <f>IF(預測IC!CH12&gt;預測IC!CH$25,1,0)</f>
        <v>0</v>
      </c>
      <c r="CI12" s="7">
        <f>IF(預測IC!CI12&gt;預測IC!CI$25,1,0)</f>
        <v>0</v>
      </c>
      <c r="CJ12" s="7">
        <f>IF(預測IC!CJ12&gt;預測IC!CJ$25,1,0)</f>
        <v>0</v>
      </c>
      <c r="CK12" s="7">
        <f>IF(預測IC!CK12&gt;預測IC!CK$25,1,0)</f>
        <v>0</v>
      </c>
      <c r="CL12" s="7">
        <f>IF(預測IC!CL12&gt;預測IC!CL$25,1,0)</f>
        <v>1</v>
      </c>
      <c r="CM12" s="7">
        <f>IF(預測IC!CM12&gt;預測IC!CM$25,1,0)</f>
        <v>0</v>
      </c>
      <c r="CN12" s="7">
        <f>IF(預測IC!CN12&gt;預測IC!CN$25,1,0)</f>
        <v>0</v>
      </c>
      <c r="CO12" s="7">
        <f>IF(預測IC!CO12&gt;預測IC!CO$25,1,0)</f>
        <v>1</v>
      </c>
      <c r="CP12" s="7">
        <f>IF(預測IC!CP12&gt;預測IC!CP$25,1,0)</f>
        <v>0</v>
      </c>
      <c r="CQ12" s="7">
        <f>IF(預測IC!CQ12&gt;預測IC!CQ$25,1,0)</f>
        <v>1</v>
      </c>
      <c r="CR12" s="7">
        <f>IF(預測IC!CR12&gt;預測IC!CR$25,1,0)</f>
        <v>1</v>
      </c>
      <c r="CS12" s="7">
        <f>IF(預測IC!CS12&gt;預測IC!CS$25,1,0)</f>
        <v>0</v>
      </c>
      <c r="CT12" s="7">
        <f>IF(預測IC!CT12&gt;預測IC!CT$25,1,0)</f>
        <v>0</v>
      </c>
      <c r="CU12" s="7">
        <f>IF(預測IC!CU12&gt;預測IC!CU$25,1,0)</f>
        <v>0</v>
      </c>
      <c r="CV12" s="7">
        <f>IF(預測IC!CV12&gt;預測IC!CV$25,1,0)</f>
        <v>1</v>
      </c>
      <c r="CW12" s="7">
        <f>IF(預測IC!CW12&gt;預測IC!CW$25,1,0)</f>
        <v>1</v>
      </c>
      <c r="CX12" s="7">
        <f>IF(預測IC!CX12&gt;預測IC!CX$25,1,0)</f>
        <v>1</v>
      </c>
      <c r="CY12" s="7">
        <f>IF(預測IC!CY12&gt;預測IC!CY$25,1,0)</f>
        <v>1</v>
      </c>
      <c r="CZ12" s="7">
        <f>IF(預測IC!CZ12&gt;預測IC!CZ$25,1,0)</f>
        <v>1</v>
      </c>
      <c r="DA12" s="7">
        <f>IF(預測IC!DA12&gt;預測IC!DA$25,1,0)</f>
        <v>1</v>
      </c>
      <c r="DB12" s="7">
        <f>IF(預測IC!DB12&gt;預測IC!DB$25,1,0)</f>
        <v>1</v>
      </c>
      <c r="DC12" s="7">
        <f>IF(預測IC!DC12&gt;預測IC!DC$25,1,0)</f>
        <v>1</v>
      </c>
      <c r="DD12" s="7">
        <f>IF(預測IC!DD12&gt;預測IC!DD$25,1,0)</f>
        <v>0</v>
      </c>
      <c r="DE12" s="7">
        <f>IF(預測IC!DE12&gt;預測IC!DE$25,1,0)</f>
        <v>0</v>
      </c>
      <c r="DF12" s="7">
        <f>IF(預測IC!DF12&gt;預測IC!DF$25,1,0)</f>
        <v>1</v>
      </c>
      <c r="DG12" s="7">
        <f>IF(預測IC!DG12&gt;預測IC!DG$25,1,0)</f>
        <v>0</v>
      </c>
      <c r="DH12" s="7">
        <f>IF(預測IC!DH12&gt;預測IC!DH$25,1,0)</f>
        <v>1</v>
      </c>
      <c r="DI12" s="7">
        <f>IF(預測IC!DI12&gt;預測IC!DI$25,1,0)</f>
        <v>1</v>
      </c>
      <c r="DJ12" s="7">
        <f>IF(預測IC!DJ12&gt;預測IC!DJ$25,1,0)</f>
        <v>1</v>
      </c>
      <c r="DK12" s="7">
        <f>IF(預測IC!DK12&gt;預測IC!DK$25,1,0)</f>
        <v>0</v>
      </c>
      <c r="DL12" s="7">
        <f>IF(預測IC!DL12&gt;預測IC!DL$25,1,0)</f>
        <v>0</v>
      </c>
      <c r="DM12" s="7">
        <f>IF(預測IC!DM12&gt;預測IC!DM$25,1,0)</f>
        <v>0</v>
      </c>
      <c r="DN12" s="7">
        <f>IF(預測IC!DN12&gt;預測IC!DN$25,1,0)</f>
        <v>1</v>
      </c>
      <c r="DO12" s="7">
        <f>IF(預測IC!DO12&gt;預測IC!DO$25,1,0)</f>
        <v>1</v>
      </c>
      <c r="DP12" s="7">
        <f>IF(預測IC!DP12&gt;預測IC!DP$25,1,0)</f>
        <v>1</v>
      </c>
      <c r="DQ12" s="7">
        <f>IF(預測IC!DQ12&gt;預測IC!DQ$25,1,0)</f>
        <v>0</v>
      </c>
      <c r="DR12" s="7">
        <f>IF(預測IC!DR12&gt;預測IC!DR$25,1,0)</f>
        <v>0</v>
      </c>
      <c r="DS12" s="7">
        <f>IF(預測IC!DS12&gt;預測IC!DS$25,1,0)</f>
        <v>0</v>
      </c>
      <c r="DT12" s="7">
        <f>IF(預測IC!DT12&gt;預測IC!DT$25,1,0)</f>
        <v>0</v>
      </c>
      <c r="DU12" s="7">
        <f>IF(預測IC!DU12&gt;預測IC!DU$25,1,0)</f>
        <v>0</v>
      </c>
      <c r="DV12" s="7">
        <f>IF(預測IC!DV12&gt;預測IC!DV$25,1,0)</f>
        <v>1</v>
      </c>
      <c r="DW12" s="7">
        <f>IF(預測IC!DW12&gt;預測IC!DW$25,1,0)</f>
        <v>0</v>
      </c>
      <c r="DX12" s="7">
        <f>IF(預測IC!DX12&gt;預測IC!DX$25,1,0)</f>
        <v>0</v>
      </c>
      <c r="DY12" s="7">
        <f>IF(預測IC!DY12&gt;預測IC!DY$25,1,0)</f>
        <v>0</v>
      </c>
      <c r="DZ12" s="7">
        <f>IF(預測IC!DZ12&gt;預測IC!DZ$25,1,0)</f>
        <v>1</v>
      </c>
      <c r="EA12" s="7">
        <f>IF(預測IC!EA12&gt;預測IC!EA$25,1,0)</f>
        <v>1</v>
      </c>
      <c r="EB12" s="7">
        <f>IF(預測IC!EB12&gt;預測IC!EB$25,1,0)</f>
        <v>0</v>
      </c>
      <c r="EC12" s="7">
        <f>IF(預測IC!EC12&gt;預測IC!EC$25,1,0)</f>
        <v>1</v>
      </c>
      <c r="ED12" s="7">
        <f>IF(預測IC!ED12&gt;預測IC!ED$25,1,0)</f>
        <v>0</v>
      </c>
      <c r="EE12" s="7">
        <f>IF(預測IC!EE12&gt;預測IC!EE$25,1,0)</f>
        <v>0</v>
      </c>
      <c r="EF12" s="7">
        <f>IF(預測IC!EF12&gt;預測IC!EF$25,1,0)</f>
        <v>1</v>
      </c>
      <c r="EG12">
        <f t="shared" ref="EG12:EG24" si="10">SUM(C12:EF12)</f>
        <v>67</v>
      </c>
      <c r="EH12" s="13">
        <f t="shared" ref="EH12:EH24" si="11">SUM(C12:EE12)/134</f>
        <v>0.4925373134328358</v>
      </c>
    </row>
    <row r="13" spans="1:138" x14ac:dyDescent="0.3">
      <c r="A13" s="1">
        <v>20</v>
      </c>
      <c r="B13" s="1">
        <v>48</v>
      </c>
      <c r="C13" s="7">
        <f>IF(預測IC!C13&gt;預測IC!C$25,1,0)</f>
        <v>1</v>
      </c>
      <c r="D13" s="7">
        <f>IF(預測IC!D13&gt;預測IC!D$25,1,0)</f>
        <v>1</v>
      </c>
      <c r="E13" s="7">
        <f>IF(預測IC!E13&gt;預測IC!E$25,1,0)</f>
        <v>0</v>
      </c>
      <c r="F13" s="7">
        <f>IF(預測IC!F13&gt;預測IC!F$25,1,0)</f>
        <v>0</v>
      </c>
      <c r="G13" s="7">
        <f>IF(預測IC!G13&gt;預測IC!G$25,1,0)</f>
        <v>0</v>
      </c>
      <c r="H13" s="7">
        <f>IF(預測IC!H13&gt;預測IC!H$25,1,0)</f>
        <v>0</v>
      </c>
      <c r="I13" s="7">
        <f>IF(預測IC!I13&gt;預測IC!I$25,1,0)</f>
        <v>1</v>
      </c>
      <c r="J13" s="7">
        <f>IF(預測IC!J13&gt;預測IC!J$25,1,0)</f>
        <v>1</v>
      </c>
      <c r="K13" s="7">
        <f>IF(預測IC!K13&gt;預測IC!K$25,1,0)</f>
        <v>1</v>
      </c>
      <c r="L13" s="7">
        <f>IF(預測IC!L13&gt;預測IC!L$25,1,0)</f>
        <v>0</v>
      </c>
      <c r="M13" s="7">
        <f>IF(預測IC!M13&gt;預測IC!M$25,1,0)</f>
        <v>0</v>
      </c>
      <c r="N13" s="7">
        <f>IF(預測IC!N13&gt;預測IC!N$25,1,0)</f>
        <v>1</v>
      </c>
      <c r="O13" s="7">
        <f>IF(預測IC!O13&gt;預測IC!O$25,1,0)</f>
        <v>1</v>
      </c>
      <c r="P13" s="7">
        <f>IF(預測IC!P13&gt;預測IC!P$25,1,0)</f>
        <v>0</v>
      </c>
      <c r="Q13" s="7">
        <f>IF(預測IC!Q13&gt;預測IC!Q$25,1,0)</f>
        <v>0</v>
      </c>
      <c r="R13" s="7">
        <f>IF(預測IC!R13&gt;預測IC!R$25,1,0)</f>
        <v>0</v>
      </c>
      <c r="S13" s="7">
        <f>IF(預測IC!S13&gt;預測IC!S$25,1,0)</f>
        <v>0</v>
      </c>
      <c r="T13" s="7">
        <f>IF(預測IC!T13&gt;預測IC!T$25,1,0)</f>
        <v>0</v>
      </c>
      <c r="U13" s="7">
        <f>IF(預測IC!U13&gt;預測IC!U$25,1,0)</f>
        <v>1</v>
      </c>
      <c r="V13" s="7">
        <f>IF(預測IC!V13&gt;預測IC!V$25,1,0)</f>
        <v>1</v>
      </c>
      <c r="W13" s="7">
        <f>IF(預測IC!W13&gt;預測IC!W$25,1,0)</f>
        <v>1</v>
      </c>
      <c r="X13" s="7">
        <f>IF(預測IC!X13&gt;預測IC!X$25,1,0)</f>
        <v>1</v>
      </c>
      <c r="Y13" s="7">
        <f>IF(預測IC!Y13&gt;預測IC!Y$25,1,0)</f>
        <v>1</v>
      </c>
      <c r="Z13" s="7">
        <f>IF(預測IC!Z13&gt;預測IC!Z$25,1,0)</f>
        <v>1</v>
      </c>
      <c r="AA13" s="7">
        <f>IF(預測IC!AA13&gt;預測IC!AA$25,1,0)</f>
        <v>0</v>
      </c>
      <c r="AB13" s="7">
        <f>IF(預測IC!AB13&gt;預測IC!AB$25,1,0)</f>
        <v>1</v>
      </c>
      <c r="AC13" s="7">
        <f>IF(預測IC!AC13&gt;預測IC!AC$25,1,0)</f>
        <v>0</v>
      </c>
      <c r="AD13" s="7">
        <f>IF(預測IC!AD13&gt;預測IC!AD$25,1,0)</f>
        <v>1</v>
      </c>
      <c r="AE13" s="7">
        <f>IF(預測IC!AE13&gt;預測IC!AE$25,1,0)</f>
        <v>0</v>
      </c>
      <c r="AF13" s="7">
        <f>IF(預測IC!AF13&gt;預測IC!AF$25,1,0)</f>
        <v>1</v>
      </c>
      <c r="AG13" s="7">
        <f>IF(預測IC!AG13&gt;預測IC!AG$25,1,0)</f>
        <v>0</v>
      </c>
      <c r="AH13" s="7">
        <f>IF(預測IC!AH13&gt;預測IC!AH$25,1,0)</f>
        <v>1</v>
      </c>
      <c r="AI13" s="7">
        <f>IF(預測IC!AI13&gt;預測IC!AI$25,1,0)</f>
        <v>1</v>
      </c>
      <c r="AJ13" s="7">
        <f>IF(預測IC!AJ13&gt;預測IC!AJ$25,1,0)</f>
        <v>1</v>
      </c>
      <c r="AK13" s="7">
        <f>IF(預測IC!AK13&gt;預測IC!AK$25,1,0)</f>
        <v>1</v>
      </c>
      <c r="AL13" s="7">
        <f>IF(預測IC!AL13&gt;預測IC!AL$25,1,0)</f>
        <v>0</v>
      </c>
      <c r="AM13" s="7">
        <f>IF(預測IC!AM13&gt;預測IC!AM$25,1,0)</f>
        <v>0</v>
      </c>
      <c r="AN13" s="7">
        <f>IF(預測IC!AN13&gt;預測IC!AN$25,1,0)</f>
        <v>1</v>
      </c>
      <c r="AO13" s="7">
        <f>IF(預測IC!AO13&gt;預測IC!AO$25,1,0)</f>
        <v>1</v>
      </c>
      <c r="AP13" s="7">
        <f>IF(預測IC!AP13&gt;預測IC!AP$25,1,0)</f>
        <v>0</v>
      </c>
      <c r="AQ13" s="7">
        <f>IF(預測IC!AQ13&gt;預測IC!AQ$25,1,0)</f>
        <v>0</v>
      </c>
      <c r="AR13" s="7">
        <f>IF(預測IC!AR13&gt;預測IC!AR$25,1,0)</f>
        <v>0</v>
      </c>
      <c r="AS13" s="7">
        <f>IF(預測IC!AS13&gt;預測IC!AS$25,1,0)</f>
        <v>1</v>
      </c>
      <c r="AT13" s="7">
        <f>IF(預測IC!AT13&gt;預測IC!AT$25,1,0)</f>
        <v>1</v>
      </c>
      <c r="AU13" s="7">
        <f>IF(預測IC!AU13&gt;預測IC!AU$25,1,0)</f>
        <v>1</v>
      </c>
      <c r="AV13" s="7">
        <f>IF(預測IC!AV13&gt;預測IC!AV$25,1,0)</f>
        <v>1</v>
      </c>
      <c r="AW13" s="7">
        <f>IF(預測IC!AW13&gt;預測IC!AW$25,1,0)</f>
        <v>1</v>
      </c>
      <c r="AX13" s="7">
        <f>IF(預測IC!AX13&gt;預測IC!AX$25,1,0)</f>
        <v>1</v>
      </c>
      <c r="AY13" s="7">
        <f>IF(預測IC!AY13&gt;預測IC!AY$25,1,0)</f>
        <v>0</v>
      </c>
      <c r="AZ13" s="7">
        <f>IF(預測IC!AZ13&gt;預測IC!AZ$25,1,0)</f>
        <v>1</v>
      </c>
      <c r="BA13" s="7">
        <f>IF(預測IC!BA13&gt;預測IC!BA$25,1,0)</f>
        <v>0</v>
      </c>
      <c r="BB13" s="7">
        <f>IF(預測IC!BB13&gt;預測IC!BB$25,1,0)</f>
        <v>1</v>
      </c>
      <c r="BC13" s="7">
        <f>IF(預測IC!BC13&gt;預測IC!BC$25,1,0)</f>
        <v>0</v>
      </c>
      <c r="BD13" s="7">
        <f>IF(預測IC!BD13&gt;預測IC!BD$25,1,0)</f>
        <v>1</v>
      </c>
      <c r="BE13" s="7">
        <f>IF(預測IC!BE13&gt;預測IC!BE$25,1,0)</f>
        <v>1</v>
      </c>
      <c r="BF13" s="7">
        <f>IF(預測IC!BF13&gt;預測IC!BF$25,1,0)</f>
        <v>0</v>
      </c>
      <c r="BG13" s="7">
        <f>IF(預測IC!BG13&gt;預測IC!BG$25,1,0)</f>
        <v>0</v>
      </c>
      <c r="BH13" s="7">
        <f>IF(預測IC!BH13&gt;預測IC!BH$25,1,0)</f>
        <v>1</v>
      </c>
      <c r="BI13" s="7">
        <f>IF(預測IC!BI13&gt;預測IC!BI$25,1,0)</f>
        <v>0</v>
      </c>
      <c r="BJ13" s="7">
        <f>IF(預測IC!BJ13&gt;預測IC!BJ$25,1,0)</f>
        <v>0</v>
      </c>
      <c r="BK13" s="7">
        <f>IF(預測IC!BK13&gt;預測IC!BK$25,1,0)</f>
        <v>0</v>
      </c>
      <c r="BL13" s="7">
        <f>IF(預測IC!BL13&gt;預測IC!BL$25,1,0)</f>
        <v>0</v>
      </c>
      <c r="BM13" s="7">
        <f>IF(預測IC!BM13&gt;預測IC!BM$25,1,0)</f>
        <v>0</v>
      </c>
      <c r="BN13" s="7">
        <f>IF(預測IC!BN13&gt;預測IC!BN$25,1,0)</f>
        <v>0</v>
      </c>
      <c r="BO13" s="7">
        <f>IF(預測IC!BO13&gt;預測IC!BO$25,1,0)</f>
        <v>1</v>
      </c>
      <c r="BP13" s="7">
        <f>IF(預測IC!BP13&gt;預測IC!BP$25,1,0)</f>
        <v>0</v>
      </c>
      <c r="BQ13" s="7">
        <f>IF(預測IC!BQ13&gt;預測IC!BQ$25,1,0)</f>
        <v>1</v>
      </c>
      <c r="BR13" s="7">
        <f>IF(預測IC!BR13&gt;預測IC!BR$25,1,0)</f>
        <v>1</v>
      </c>
      <c r="BS13" s="7">
        <f>IF(預測IC!BS13&gt;預測IC!BS$25,1,0)</f>
        <v>0</v>
      </c>
      <c r="BT13" s="7">
        <f>IF(預測IC!BT13&gt;預測IC!BT$25,1,0)</f>
        <v>0</v>
      </c>
      <c r="BU13" s="7">
        <f>IF(預測IC!BU13&gt;預測IC!BU$25,1,0)</f>
        <v>0</v>
      </c>
      <c r="BV13" s="7">
        <f>IF(預測IC!BV13&gt;預測IC!BV$25,1,0)</f>
        <v>0</v>
      </c>
      <c r="BW13" s="7">
        <f>IF(預測IC!BW13&gt;預測IC!BW$25,1,0)</f>
        <v>1</v>
      </c>
      <c r="BX13" s="7">
        <f>IF(預測IC!BX13&gt;預測IC!BX$25,1,0)</f>
        <v>1</v>
      </c>
      <c r="BY13" s="7">
        <f>IF(預測IC!BY13&gt;預測IC!BY$25,1,0)</f>
        <v>1</v>
      </c>
      <c r="BZ13" s="7">
        <f>IF(預測IC!BZ13&gt;預測IC!BZ$25,1,0)</f>
        <v>0</v>
      </c>
      <c r="CA13" s="7">
        <f>IF(預測IC!CA13&gt;預測IC!CA$25,1,0)</f>
        <v>1</v>
      </c>
      <c r="CB13" s="7">
        <f>IF(預測IC!CB13&gt;預測IC!CB$25,1,0)</f>
        <v>0</v>
      </c>
      <c r="CC13" s="7">
        <f>IF(預測IC!CC13&gt;預測IC!CC$25,1,0)</f>
        <v>0</v>
      </c>
      <c r="CD13" s="7">
        <f>IF(預測IC!CD13&gt;預測IC!CD$25,1,0)</f>
        <v>1</v>
      </c>
      <c r="CE13" s="7">
        <f>IF(預測IC!CE13&gt;預測IC!CE$25,1,0)</f>
        <v>1</v>
      </c>
      <c r="CF13" s="7">
        <f>IF(預測IC!CF13&gt;預測IC!CF$25,1,0)</f>
        <v>0</v>
      </c>
      <c r="CG13" s="7">
        <f>IF(預測IC!CG13&gt;預測IC!CG$25,1,0)</f>
        <v>0</v>
      </c>
      <c r="CH13" s="7">
        <f>IF(預測IC!CH13&gt;預測IC!CH$25,1,0)</f>
        <v>0</v>
      </c>
      <c r="CI13" s="7">
        <f>IF(預測IC!CI13&gt;預測IC!CI$25,1,0)</f>
        <v>0</v>
      </c>
      <c r="CJ13" s="7">
        <f>IF(預測IC!CJ13&gt;預測IC!CJ$25,1,0)</f>
        <v>0</v>
      </c>
      <c r="CK13" s="7">
        <f>IF(預測IC!CK13&gt;預測IC!CK$25,1,0)</f>
        <v>1</v>
      </c>
      <c r="CL13" s="7">
        <f>IF(預測IC!CL13&gt;預測IC!CL$25,1,0)</f>
        <v>1</v>
      </c>
      <c r="CM13" s="7">
        <f>IF(預測IC!CM13&gt;預測IC!CM$25,1,0)</f>
        <v>0</v>
      </c>
      <c r="CN13" s="7">
        <f>IF(預測IC!CN13&gt;預測IC!CN$25,1,0)</f>
        <v>0</v>
      </c>
      <c r="CO13" s="7">
        <f>IF(預測IC!CO13&gt;預測IC!CO$25,1,0)</f>
        <v>0</v>
      </c>
      <c r="CP13" s="7">
        <f>IF(預測IC!CP13&gt;預測IC!CP$25,1,0)</f>
        <v>1</v>
      </c>
      <c r="CQ13" s="7">
        <f>IF(預測IC!CQ13&gt;預測IC!CQ$25,1,0)</f>
        <v>1</v>
      </c>
      <c r="CR13" s="7">
        <f>IF(預測IC!CR13&gt;預測IC!CR$25,1,0)</f>
        <v>1</v>
      </c>
      <c r="CS13" s="7">
        <f>IF(預測IC!CS13&gt;預測IC!CS$25,1,0)</f>
        <v>0</v>
      </c>
      <c r="CT13" s="7">
        <f>IF(預測IC!CT13&gt;預測IC!CT$25,1,0)</f>
        <v>0</v>
      </c>
      <c r="CU13" s="7">
        <f>IF(預測IC!CU13&gt;預測IC!CU$25,1,0)</f>
        <v>0</v>
      </c>
      <c r="CV13" s="7">
        <f>IF(預測IC!CV13&gt;預測IC!CV$25,1,0)</f>
        <v>1</v>
      </c>
      <c r="CW13" s="7">
        <f>IF(預測IC!CW13&gt;預測IC!CW$25,1,0)</f>
        <v>1</v>
      </c>
      <c r="CX13" s="7">
        <f>IF(預測IC!CX13&gt;預測IC!CX$25,1,0)</f>
        <v>1</v>
      </c>
      <c r="CY13" s="7">
        <f>IF(預測IC!CY13&gt;預測IC!CY$25,1,0)</f>
        <v>1</v>
      </c>
      <c r="CZ13" s="7">
        <f>IF(預測IC!CZ13&gt;預測IC!CZ$25,1,0)</f>
        <v>1</v>
      </c>
      <c r="DA13" s="7">
        <f>IF(預測IC!DA13&gt;預測IC!DA$25,1,0)</f>
        <v>1</v>
      </c>
      <c r="DB13" s="7">
        <f>IF(預測IC!DB13&gt;預測IC!DB$25,1,0)</f>
        <v>1</v>
      </c>
      <c r="DC13" s="7">
        <f>IF(預測IC!DC13&gt;預測IC!DC$25,1,0)</f>
        <v>1</v>
      </c>
      <c r="DD13" s="7">
        <f>IF(預測IC!DD13&gt;預測IC!DD$25,1,0)</f>
        <v>0</v>
      </c>
      <c r="DE13" s="7">
        <f>IF(預測IC!DE13&gt;預測IC!DE$25,1,0)</f>
        <v>0</v>
      </c>
      <c r="DF13" s="7">
        <f>IF(預測IC!DF13&gt;預測IC!DF$25,1,0)</f>
        <v>1</v>
      </c>
      <c r="DG13" s="7">
        <f>IF(預測IC!DG13&gt;預測IC!DG$25,1,0)</f>
        <v>0</v>
      </c>
      <c r="DH13" s="7">
        <f>IF(預測IC!DH13&gt;預測IC!DH$25,1,0)</f>
        <v>1</v>
      </c>
      <c r="DI13" s="7">
        <f>IF(預測IC!DI13&gt;預測IC!DI$25,1,0)</f>
        <v>1</v>
      </c>
      <c r="DJ13" s="7">
        <f>IF(預測IC!DJ13&gt;預測IC!DJ$25,1,0)</f>
        <v>1</v>
      </c>
      <c r="DK13" s="7">
        <f>IF(預測IC!DK13&gt;預測IC!DK$25,1,0)</f>
        <v>0</v>
      </c>
      <c r="DL13" s="7">
        <f>IF(預測IC!DL13&gt;預測IC!DL$25,1,0)</f>
        <v>1</v>
      </c>
      <c r="DM13" s="7">
        <f>IF(預測IC!DM13&gt;預測IC!DM$25,1,0)</f>
        <v>0</v>
      </c>
      <c r="DN13" s="7">
        <f>IF(預測IC!DN13&gt;預測IC!DN$25,1,0)</f>
        <v>1</v>
      </c>
      <c r="DO13" s="7">
        <f>IF(預測IC!DO13&gt;預測IC!DO$25,1,0)</f>
        <v>1</v>
      </c>
      <c r="DP13" s="7">
        <f>IF(預測IC!DP13&gt;預測IC!DP$25,1,0)</f>
        <v>1</v>
      </c>
      <c r="DQ13" s="7">
        <f>IF(預測IC!DQ13&gt;預測IC!DQ$25,1,0)</f>
        <v>0</v>
      </c>
      <c r="DR13" s="7">
        <f>IF(預測IC!DR13&gt;預測IC!DR$25,1,0)</f>
        <v>0</v>
      </c>
      <c r="DS13" s="7">
        <f>IF(預測IC!DS13&gt;預測IC!DS$25,1,0)</f>
        <v>0</v>
      </c>
      <c r="DT13" s="7">
        <f>IF(預測IC!DT13&gt;預測IC!DT$25,1,0)</f>
        <v>0</v>
      </c>
      <c r="DU13" s="7">
        <f>IF(預測IC!DU13&gt;預測IC!DU$25,1,0)</f>
        <v>0</v>
      </c>
      <c r="DV13" s="7">
        <f>IF(預測IC!DV13&gt;預測IC!DV$25,1,0)</f>
        <v>1</v>
      </c>
      <c r="DW13" s="7">
        <f>IF(預測IC!DW13&gt;預測IC!DW$25,1,0)</f>
        <v>0</v>
      </c>
      <c r="DX13" s="7">
        <f>IF(預測IC!DX13&gt;預測IC!DX$25,1,0)</f>
        <v>0</v>
      </c>
      <c r="DY13" s="7">
        <f>IF(預測IC!DY13&gt;預測IC!DY$25,1,0)</f>
        <v>1</v>
      </c>
      <c r="DZ13" s="7">
        <f>IF(預測IC!DZ13&gt;預測IC!DZ$25,1,0)</f>
        <v>1</v>
      </c>
      <c r="EA13" s="7">
        <f>IF(預測IC!EA13&gt;預測IC!EA$25,1,0)</f>
        <v>1</v>
      </c>
      <c r="EB13" s="7">
        <f>IF(預測IC!EB13&gt;預測IC!EB$25,1,0)</f>
        <v>0</v>
      </c>
      <c r="EC13" s="7">
        <f>IF(預測IC!EC13&gt;預測IC!EC$25,1,0)</f>
        <v>1</v>
      </c>
      <c r="ED13" s="7">
        <f>IF(預測IC!ED13&gt;預測IC!ED$25,1,0)</f>
        <v>0</v>
      </c>
      <c r="EE13" s="7">
        <f>IF(預測IC!EE13&gt;預測IC!EE$25,1,0)</f>
        <v>0</v>
      </c>
      <c r="EF13" s="7">
        <f>IF(預測IC!EF13&gt;預測IC!EF$25,1,0)</f>
        <v>1</v>
      </c>
      <c r="EG13">
        <f t="shared" si="10"/>
        <v>69</v>
      </c>
      <c r="EH13" s="11">
        <f t="shared" si="11"/>
        <v>0.5074626865671642</v>
      </c>
    </row>
    <row r="14" spans="1:138" x14ac:dyDescent="0.3">
      <c r="A14" s="1">
        <v>50</v>
      </c>
      <c r="B14" s="1">
        <v>19</v>
      </c>
      <c r="C14" s="7">
        <f>IF(預測IC!C14&gt;預測IC!C$25,1,0)</f>
        <v>1</v>
      </c>
      <c r="D14" s="7">
        <f>IF(預測IC!D14&gt;預測IC!D$25,1,0)</f>
        <v>1</v>
      </c>
      <c r="E14" s="7">
        <f>IF(預測IC!E14&gt;預測IC!E$25,1,0)</f>
        <v>0</v>
      </c>
      <c r="F14" s="7">
        <f>IF(預測IC!F14&gt;預測IC!F$25,1,0)</f>
        <v>0</v>
      </c>
      <c r="G14" s="7">
        <f>IF(預測IC!G14&gt;預測IC!G$25,1,0)</f>
        <v>0</v>
      </c>
      <c r="H14" s="7">
        <f>IF(預測IC!H14&gt;預測IC!H$25,1,0)</f>
        <v>0</v>
      </c>
      <c r="I14" s="7">
        <f>IF(預測IC!I14&gt;預測IC!I$25,1,0)</f>
        <v>1</v>
      </c>
      <c r="J14" s="7">
        <f>IF(預測IC!J14&gt;預測IC!J$25,1,0)</f>
        <v>1</v>
      </c>
      <c r="K14" s="7">
        <f>IF(預測IC!K14&gt;預測IC!K$25,1,0)</f>
        <v>0</v>
      </c>
      <c r="L14" s="7">
        <f>IF(預測IC!L14&gt;預測IC!L$25,1,0)</f>
        <v>1</v>
      </c>
      <c r="M14" s="7">
        <f>IF(預測IC!M14&gt;預測IC!M$25,1,0)</f>
        <v>0</v>
      </c>
      <c r="N14" s="7">
        <f>IF(預測IC!N14&gt;預測IC!N$25,1,0)</f>
        <v>1</v>
      </c>
      <c r="O14" s="7">
        <f>IF(預測IC!O14&gt;預測IC!O$25,1,0)</f>
        <v>1</v>
      </c>
      <c r="P14" s="7">
        <f>IF(預測IC!P14&gt;預測IC!P$25,1,0)</f>
        <v>0</v>
      </c>
      <c r="Q14" s="7">
        <f>IF(預測IC!Q14&gt;預測IC!Q$25,1,0)</f>
        <v>0</v>
      </c>
      <c r="R14" s="7">
        <f>IF(預測IC!R14&gt;預測IC!R$25,1,0)</f>
        <v>0</v>
      </c>
      <c r="S14" s="7">
        <f>IF(預測IC!S14&gt;預測IC!S$25,1,0)</f>
        <v>0</v>
      </c>
      <c r="T14" s="7">
        <f>IF(預測IC!T14&gt;預測IC!T$25,1,0)</f>
        <v>0</v>
      </c>
      <c r="U14" s="7">
        <f>IF(預測IC!U14&gt;預測IC!U$25,1,0)</f>
        <v>0</v>
      </c>
      <c r="V14" s="7">
        <f>IF(預測IC!V14&gt;預測IC!V$25,1,0)</f>
        <v>1</v>
      </c>
      <c r="W14" s="7">
        <f>IF(預測IC!W14&gt;預測IC!W$25,1,0)</f>
        <v>1</v>
      </c>
      <c r="X14" s="7">
        <f>IF(預測IC!X14&gt;預測IC!X$25,1,0)</f>
        <v>1</v>
      </c>
      <c r="Y14" s="7">
        <f>IF(預測IC!Y14&gt;預測IC!Y$25,1,0)</f>
        <v>1</v>
      </c>
      <c r="Z14" s="7">
        <f>IF(預測IC!Z14&gt;預測IC!Z$25,1,0)</f>
        <v>1</v>
      </c>
      <c r="AA14" s="7">
        <f>IF(預測IC!AA14&gt;預測IC!AA$25,1,0)</f>
        <v>0</v>
      </c>
      <c r="AB14" s="7">
        <f>IF(預測IC!AB14&gt;預測IC!AB$25,1,0)</f>
        <v>1</v>
      </c>
      <c r="AC14" s="7">
        <f>IF(預測IC!AC14&gt;預測IC!AC$25,1,0)</f>
        <v>0</v>
      </c>
      <c r="AD14" s="7">
        <f>IF(預測IC!AD14&gt;預測IC!AD$25,1,0)</f>
        <v>1</v>
      </c>
      <c r="AE14" s="7">
        <f>IF(預測IC!AE14&gt;預測IC!AE$25,1,0)</f>
        <v>0</v>
      </c>
      <c r="AF14" s="7">
        <f>IF(預測IC!AF14&gt;預測IC!AF$25,1,0)</f>
        <v>1</v>
      </c>
      <c r="AG14" s="7">
        <f>IF(預測IC!AG14&gt;預測IC!AG$25,1,0)</f>
        <v>0</v>
      </c>
      <c r="AH14" s="7">
        <f>IF(預測IC!AH14&gt;預測IC!AH$25,1,0)</f>
        <v>1</v>
      </c>
      <c r="AI14" s="7">
        <f>IF(預測IC!AI14&gt;預測IC!AI$25,1,0)</f>
        <v>1</v>
      </c>
      <c r="AJ14" s="7">
        <f>IF(預測IC!AJ14&gt;預測IC!AJ$25,1,0)</f>
        <v>1</v>
      </c>
      <c r="AK14" s="7">
        <f>IF(預測IC!AK14&gt;預測IC!AK$25,1,0)</f>
        <v>0</v>
      </c>
      <c r="AL14" s="7">
        <f>IF(預測IC!AL14&gt;預測IC!AL$25,1,0)</f>
        <v>0</v>
      </c>
      <c r="AM14" s="7">
        <f>IF(預測IC!AM14&gt;預測IC!AM$25,1,0)</f>
        <v>0</v>
      </c>
      <c r="AN14" s="7">
        <f>IF(預測IC!AN14&gt;預測IC!AN$25,1,0)</f>
        <v>1</v>
      </c>
      <c r="AO14" s="7">
        <f>IF(預測IC!AO14&gt;預測IC!AO$25,1,0)</f>
        <v>1</v>
      </c>
      <c r="AP14" s="7">
        <f>IF(預測IC!AP14&gt;預測IC!AP$25,1,0)</f>
        <v>1</v>
      </c>
      <c r="AQ14" s="7">
        <f>IF(預測IC!AQ14&gt;預測IC!AQ$25,1,0)</f>
        <v>1</v>
      </c>
      <c r="AR14" s="7">
        <f>IF(預測IC!AR14&gt;預測IC!AR$25,1,0)</f>
        <v>0</v>
      </c>
      <c r="AS14" s="7">
        <f>IF(預測IC!AS14&gt;預測IC!AS$25,1,0)</f>
        <v>0</v>
      </c>
      <c r="AT14" s="7">
        <f>IF(預測IC!AT14&gt;預測IC!AT$25,1,0)</f>
        <v>1</v>
      </c>
      <c r="AU14" s="7">
        <f>IF(預測IC!AU14&gt;預測IC!AU$25,1,0)</f>
        <v>0</v>
      </c>
      <c r="AV14" s="7">
        <f>IF(預測IC!AV14&gt;預測IC!AV$25,1,0)</f>
        <v>1</v>
      </c>
      <c r="AW14" s="7">
        <f>IF(預測IC!AW14&gt;預測IC!AW$25,1,0)</f>
        <v>1</v>
      </c>
      <c r="AX14" s="7">
        <f>IF(預測IC!AX14&gt;預測IC!AX$25,1,0)</f>
        <v>1</v>
      </c>
      <c r="AY14" s="7">
        <f>IF(預測IC!AY14&gt;預測IC!AY$25,1,0)</f>
        <v>0</v>
      </c>
      <c r="AZ14" s="7">
        <f>IF(預測IC!AZ14&gt;預測IC!AZ$25,1,0)</f>
        <v>0</v>
      </c>
      <c r="BA14" s="7">
        <f>IF(預測IC!BA14&gt;預測IC!BA$25,1,0)</f>
        <v>0</v>
      </c>
      <c r="BB14" s="7">
        <f>IF(預測IC!BB14&gt;預測IC!BB$25,1,0)</f>
        <v>1</v>
      </c>
      <c r="BC14" s="7">
        <f>IF(預測IC!BC14&gt;預測IC!BC$25,1,0)</f>
        <v>0</v>
      </c>
      <c r="BD14" s="7">
        <f>IF(預測IC!BD14&gt;預測IC!BD$25,1,0)</f>
        <v>1</v>
      </c>
      <c r="BE14" s="7">
        <f>IF(預測IC!BE14&gt;預測IC!BE$25,1,0)</f>
        <v>1</v>
      </c>
      <c r="BF14" s="7">
        <f>IF(預測IC!BF14&gt;預測IC!BF$25,1,0)</f>
        <v>0</v>
      </c>
      <c r="BG14" s="7">
        <f>IF(預測IC!BG14&gt;預測IC!BG$25,1,0)</f>
        <v>0</v>
      </c>
      <c r="BH14" s="7">
        <f>IF(預測IC!BH14&gt;預測IC!BH$25,1,0)</f>
        <v>1</v>
      </c>
      <c r="BI14" s="7">
        <f>IF(預測IC!BI14&gt;預測IC!BI$25,1,0)</f>
        <v>1</v>
      </c>
      <c r="BJ14" s="7">
        <f>IF(預測IC!BJ14&gt;預測IC!BJ$25,1,0)</f>
        <v>0</v>
      </c>
      <c r="BK14" s="7">
        <f>IF(預測IC!BK14&gt;預測IC!BK$25,1,0)</f>
        <v>0</v>
      </c>
      <c r="BL14" s="7">
        <f>IF(預測IC!BL14&gt;預測IC!BL$25,1,0)</f>
        <v>1</v>
      </c>
      <c r="BM14" s="7">
        <f>IF(預測IC!BM14&gt;預測IC!BM$25,1,0)</f>
        <v>1</v>
      </c>
      <c r="BN14" s="7">
        <f>IF(預測IC!BN14&gt;預測IC!BN$25,1,0)</f>
        <v>0</v>
      </c>
      <c r="BO14" s="7">
        <f>IF(預測IC!BO14&gt;預測IC!BO$25,1,0)</f>
        <v>1</v>
      </c>
      <c r="BP14" s="7">
        <f>IF(預測IC!BP14&gt;預測IC!BP$25,1,0)</f>
        <v>0</v>
      </c>
      <c r="BQ14" s="7">
        <f>IF(預測IC!BQ14&gt;預測IC!BQ$25,1,0)</f>
        <v>1</v>
      </c>
      <c r="BR14" s="7">
        <f>IF(預測IC!BR14&gt;預測IC!BR$25,1,0)</f>
        <v>0</v>
      </c>
      <c r="BS14" s="7">
        <f>IF(預測IC!BS14&gt;預測IC!BS$25,1,0)</f>
        <v>0</v>
      </c>
      <c r="BT14" s="7">
        <f>IF(預測IC!BT14&gt;預測IC!BT$25,1,0)</f>
        <v>1</v>
      </c>
      <c r="BU14" s="7">
        <f>IF(預測IC!BU14&gt;預測IC!BU$25,1,0)</f>
        <v>0</v>
      </c>
      <c r="BV14" s="7">
        <f>IF(預測IC!BV14&gt;預測IC!BV$25,1,0)</f>
        <v>0</v>
      </c>
      <c r="BW14" s="7">
        <f>IF(預測IC!BW14&gt;預測IC!BW$25,1,0)</f>
        <v>1</v>
      </c>
      <c r="BX14" s="7">
        <f>IF(預測IC!BX14&gt;預測IC!BX$25,1,0)</f>
        <v>1</v>
      </c>
      <c r="BY14" s="7">
        <f>IF(預測IC!BY14&gt;預測IC!BY$25,1,0)</f>
        <v>1</v>
      </c>
      <c r="BZ14" s="7">
        <f>IF(預測IC!BZ14&gt;預測IC!BZ$25,1,0)</f>
        <v>0</v>
      </c>
      <c r="CA14" s="7">
        <f>IF(預測IC!CA14&gt;預測IC!CA$25,1,0)</f>
        <v>1</v>
      </c>
      <c r="CB14" s="7">
        <f>IF(預測IC!CB14&gt;預測IC!CB$25,1,0)</f>
        <v>0</v>
      </c>
      <c r="CC14" s="7">
        <f>IF(預測IC!CC14&gt;預測IC!CC$25,1,0)</f>
        <v>0</v>
      </c>
      <c r="CD14" s="7">
        <f>IF(預測IC!CD14&gt;預測IC!CD$25,1,0)</f>
        <v>1</v>
      </c>
      <c r="CE14" s="7">
        <f>IF(預測IC!CE14&gt;預測IC!CE$25,1,0)</f>
        <v>0</v>
      </c>
      <c r="CF14" s="7">
        <f>IF(預測IC!CF14&gt;預測IC!CF$25,1,0)</f>
        <v>0</v>
      </c>
      <c r="CG14" s="7">
        <f>IF(預測IC!CG14&gt;預測IC!CG$25,1,0)</f>
        <v>0</v>
      </c>
      <c r="CH14" s="7">
        <f>IF(預測IC!CH14&gt;預測IC!CH$25,1,0)</f>
        <v>0</v>
      </c>
      <c r="CI14" s="7">
        <f>IF(預測IC!CI14&gt;預測IC!CI$25,1,0)</f>
        <v>0</v>
      </c>
      <c r="CJ14" s="7">
        <f>IF(預測IC!CJ14&gt;預測IC!CJ$25,1,0)</f>
        <v>0</v>
      </c>
      <c r="CK14" s="7">
        <f>IF(預測IC!CK14&gt;預測IC!CK$25,1,0)</f>
        <v>0</v>
      </c>
      <c r="CL14" s="7">
        <f>IF(預測IC!CL14&gt;預測IC!CL$25,1,0)</f>
        <v>0</v>
      </c>
      <c r="CM14" s="7">
        <f>IF(預測IC!CM14&gt;預測IC!CM$25,1,0)</f>
        <v>0</v>
      </c>
      <c r="CN14" s="7">
        <f>IF(預測IC!CN14&gt;預測IC!CN$25,1,0)</f>
        <v>0</v>
      </c>
      <c r="CO14" s="7">
        <f>IF(預測IC!CO14&gt;預測IC!CO$25,1,0)</f>
        <v>0</v>
      </c>
      <c r="CP14" s="7">
        <f>IF(預測IC!CP14&gt;預測IC!CP$25,1,0)</f>
        <v>1</v>
      </c>
      <c r="CQ14" s="7">
        <f>IF(預測IC!CQ14&gt;預測IC!CQ$25,1,0)</f>
        <v>1</v>
      </c>
      <c r="CR14" s="7">
        <f>IF(預測IC!CR14&gt;預測IC!CR$25,1,0)</f>
        <v>1</v>
      </c>
      <c r="CS14" s="7">
        <f>IF(預測IC!CS14&gt;預測IC!CS$25,1,0)</f>
        <v>0</v>
      </c>
      <c r="CT14" s="7">
        <f>IF(預測IC!CT14&gt;預測IC!CT$25,1,0)</f>
        <v>1</v>
      </c>
      <c r="CU14" s="7">
        <f>IF(預測IC!CU14&gt;預測IC!CU$25,1,0)</f>
        <v>0</v>
      </c>
      <c r="CV14" s="7">
        <f>IF(預測IC!CV14&gt;預測IC!CV$25,1,0)</f>
        <v>1</v>
      </c>
      <c r="CW14" s="7">
        <f>IF(預測IC!CW14&gt;預測IC!CW$25,1,0)</f>
        <v>1</v>
      </c>
      <c r="CX14" s="7">
        <f>IF(預測IC!CX14&gt;預測IC!CX$25,1,0)</f>
        <v>0</v>
      </c>
      <c r="CY14" s="7">
        <f>IF(預測IC!CY14&gt;預測IC!CY$25,1,0)</f>
        <v>1</v>
      </c>
      <c r="CZ14" s="7">
        <f>IF(預測IC!CZ14&gt;預測IC!CZ$25,1,0)</f>
        <v>1</v>
      </c>
      <c r="DA14" s="7">
        <f>IF(預測IC!DA14&gt;預測IC!DA$25,1,0)</f>
        <v>0</v>
      </c>
      <c r="DB14" s="7">
        <f>IF(預測IC!DB14&gt;預測IC!DB$25,1,0)</f>
        <v>1</v>
      </c>
      <c r="DC14" s="7">
        <f>IF(預測IC!DC14&gt;預測IC!DC$25,1,0)</f>
        <v>1</v>
      </c>
      <c r="DD14" s="7">
        <f>IF(預測IC!DD14&gt;預測IC!DD$25,1,0)</f>
        <v>0</v>
      </c>
      <c r="DE14" s="7">
        <f>IF(預測IC!DE14&gt;預測IC!DE$25,1,0)</f>
        <v>0</v>
      </c>
      <c r="DF14" s="7">
        <f>IF(預測IC!DF14&gt;預測IC!DF$25,1,0)</f>
        <v>1</v>
      </c>
      <c r="DG14" s="7">
        <f>IF(預測IC!DG14&gt;預測IC!DG$25,1,0)</f>
        <v>0</v>
      </c>
      <c r="DH14" s="7">
        <f>IF(預測IC!DH14&gt;預測IC!DH$25,1,0)</f>
        <v>0</v>
      </c>
      <c r="DI14" s="7">
        <f>IF(預測IC!DI14&gt;預測IC!DI$25,1,0)</f>
        <v>1</v>
      </c>
      <c r="DJ14" s="7">
        <f>IF(預測IC!DJ14&gt;預測IC!DJ$25,1,0)</f>
        <v>1</v>
      </c>
      <c r="DK14" s="7">
        <f>IF(預測IC!DK14&gt;預測IC!DK$25,1,0)</f>
        <v>0</v>
      </c>
      <c r="DL14" s="7">
        <f>IF(預測IC!DL14&gt;預測IC!DL$25,1,0)</f>
        <v>1</v>
      </c>
      <c r="DM14" s="7">
        <f>IF(預測IC!DM14&gt;預測IC!DM$25,1,0)</f>
        <v>0</v>
      </c>
      <c r="DN14" s="7">
        <f>IF(預測IC!DN14&gt;預測IC!DN$25,1,0)</f>
        <v>1</v>
      </c>
      <c r="DO14" s="7">
        <f>IF(預測IC!DO14&gt;預測IC!DO$25,1,0)</f>
        <v>1</v>
      </c>
      <c r="DP14" s="7">
        <f>IF(預測IC!DP14&gt;預測IC!DP$25,1,0)</f>
        <v>1</v>
      </c>
      <c r="DQ14" s="7">
        <f>IF(預測IC!DQ14&gt;預測IC!DQ$25,1,0)</f>
        <v>0</v>
      </c>
      <c r="DR14" s="7">
        <f>IF(預測IC!DR14&gt;預測IC!DR$25,1,0)</f>
        <v>1</v>
      </c>
      <c r="DS14" s="7">
        <f>IF(預測IC!DS14&gt;預測IC!DS$25,1,0)</f>
        <v>0</v>
      </c>
      <c r="DT14" s="7">
        <f>IF(預測IC!DT14&gt;預測IC!DT$25,1,0)</f>
        <v>0</v>
      </c>
      <c r="DU14" s="7">
        <f>IF(預測IC!DU14&gt;預測IC!DU$25,1,0)</f>
        <v>0</v>
      </c>
      <c r="DV14" s="7">
        <f>IF(預測IC!DV14&gt;預測IC!DV$25,1,0)</f>
        <v>1</v>
      </c>
      <c r="DW14" s="7">
        <f>IF(預測IC!DW14&gt;預測IC!DW$25,1,0)</f>
        <v>0</v>
      </c>
      <c r="DX14" s="7">
        <f>IF(預測IC!DX14&gt;預測IC!DX$25,1,0)</f>
        <v>0</v>
      </c>
      <c r="DY14" s="7">
        <f>IF(預測IC!DY14&gt;預測IC!DY$25,1,0)</f>
        <v>0</v>
      </c>
      <c r="DZ14" s="7">
        <f>IF(預測IC!DZ14&gt;預測IC!DZ$25,1,0)</f>
        <v>1</v>
      </c>
      <c r="EA14" s="7">
        <f>IF(預測IC!EA14&gt;預測IC!EA$25,1,0)</f>
        <v>1</v>
      </c>
      <c r="EB14" s="7">
        <f>IF(預測IC!EB14&gt;預測IC!EB$25,1,0)</f>
        <v>0</v>
      </c>
      <c r="EC14" s="7">
        <f>IF(預測IC!EC14&gt;預測IC!EC$25,1,0)</f>
        <v>0</v>
      </c>
      <c r="ED14" s="7">
        <f>IF(預測IC!ED14&gt;預測IC!ED$25,1,0)</f>
        <v>0</v>
      </c>
      <c r="EE14" s="7">
        <f>IF(預測IC!EE14&gt;預測IC!EE$25,1,0)</f>
        <v>0</v>
      </c>
      <c r="EF14" s="7">
        <f>IF(預測IC!EF14&gt;預測IC!EF$25,1,0)</f>
        <v>1</v>
      </c>
      <c r="EG14">
        <f t="shared" si="10"/>
        <v>63</v>
      </c>
      <c r="EH14" s="13">
        <f t="shared" si="11"/>
        <v>0.46268656716417911</v>
      </c>
    </row>
    <row r="15" spans="1:138" x14ac:dyDescent="0.3">
      <c r="A15" s="1">
        <v>100</v>
      </c>
      <c r="B15" s="1">
        <v>10</v>
      </c>
      <c r="C15" s="7">
        <f>IF(預測IC!C15&gt;預測IC!C$25,1,0)</f>
        <v>1</v>
      </c>
      <c r="D15" s="7">
        <f>IF(預測IC!D15&gt;預測IC!D$25,1,0)</f>
        <v>0</v>
      </c>
      <c r="E15" s="7">
        <f>IF(預測IC!E15&gt;預測IC!E$25,1,0)</f>
        <v>0</v>
      </c>
      <c r="F15" s="7">
        <f>IF(預測IC!F15&gt;預測IC!F$25,1,0)</f>
        <v>0</v>
      </c>
      <c r="G15" s="7">
        <f>IF(預測IC!G15&gt;預測IC!G$25,1,0)</f>
        <v>0</v>
      </c>
      <c r="H15" s="7">
        <f>IF(預測IC!H15&gt;預測IC!H$25,1,0)</f>
        <v>1</v>
      </c>
      <c r="I15" s="7">
        <f>IF(預測IC!I15&gt;預測IC!I$25,1,0)</f>
        <v>1</v>
      </c>
      <c r="J15" s="7">
        <f>IF(預測IC!J15&gt;預測IC!J$25,1,0)</f>
        <v>1</v>
      </c>
      <c r="K15" s="7">
        <f>IF(預測IC!K15&gt;預測IC!K$25,1,0)</f>
        <v>0</v>
      </c>
      <c r="L15" s="7">
        <f>IF(預測IC!L15&gt;預測IC!L$25,1,0)</f>
        <v>1</v>
      </c>
      <c r="M15" s="7">
        <f>IF(預測IC!M15&gt;預測IC!M$25,1,0)</f>
        <v>1</v>
      </c>
      <c r="N15" s="7">
        <f>IF(預測IC!N15&gt;預測IC!N$25,1,0)</f>
        <v>1</v>
      </c>
      <c r="O15" s="7">
        <f>IF(預測IC!O15&gt;預測IC!O$25,1,0)</f>
        <v>1</v>
      </c>
      <c r="P15" s="7">
        <f>IF(預測IC!P15&gt;預測IC!P$25,1,0)</f>
        <v>0</v>
      </c>
      <c r="Q15" s="7">
        <f>IF(預測IC!Q15&gt;預測IC!Q$25,1,0)</f>
        <v>0</v>
      </c>
      <c r="R15" s="7">
        <f>IF(預測IC!R15&gt;預測IC!R$25,1,0)</f>
        <v>0</v>
      </c>
      <c r="S15" s="7">
        <f>IF(預測IC!S15&gt;預測IC!S$25,1,0)</f>
        <v>0</v>
      </c>
      <c r="T15" s="7">
        <f>IF(預測IC!T15&gt;預測IC!T$25,1,0)</f>
        <v>0</v>
      </c>
      <c r="U15" s="7">
        <f>IF(預測IC!U15&gt;預測IC!U$25,1,0)</f>
        <v>0</v>
      </c>
      <c r="V15" s="7">
        <f>IF(預測IC!V15&gt;預測IC!V$25,1,0)</f>
        <v>1</v>
      </c>
      <c r="W15" s="7">
        <f>IF(預測IC!W15&gt;預測IC!W$25,1,0)</f>
        <v>1</v>
      </c>
      <c r="X15" s="7">
        <f>IF(預測IC!X15&gt;預測IC!X$25,1,0)</f>
        <v>1</v>
      </c>
      <c r="Y15" s="7">
        <f>IF(預測IC!Y15&gt;預測IC!Y$25,1,0)</f>
        <v>1</v>
      </c>
      <c r="Z15" s="7">
        <f>IF(預測IC!Z15&gt;預測IC!Z$25,1,0)</f>
        <v>1</v>
      </c>
      <c r="AA15" s="7">
        <f>IF(預測IC!AA15&gt;預測IC!AA$25,1,0)</f>
        <v>0</v>
      </c>
      <c r="AB15" s="7">
        <f>IF(預測IC!AB15&gt;預測IC!AB$25,1,0)</f>
        <v>1</v>
      </c>
      <c r="AC15" s="7">
        <f>IF(預測IC!AC15&gt;預測IC!AC$25,1,0)</f>
        <v>0</v>
      </c>
      <c r="AD15" s="7">
        <f>IF(預測IC!AD15&gt;預測IC!AD$25,1,0)</f>
        <v>1</v>
      </c>
      <c r="AE15" s="7">
        <f>IF(預測IC!AE15&gt;預測IC!AE$25,1,0)</f>
        <v>0</v>
      </c>
      <c r="AF15" s="7">
        <f>IF(預測IC!AF15&gt;預測IC!AF$25,1,0)</f>
        <v>1</v>
      </c>
      <c r="AG15" s="7">
        <f>IF(預測IC!AG15&gt;預測IC!AG$25,1,0)</f>
        <v>0</v>
      </c>
      <c r="AH15" s="7">
        <f>IF(預測IC!AH15&gt;預測IC!AH$25,1,0)</f>
        <v>1</v>
      </c>
      <c r="AI15" s="7">
        <f>IF(預測IC!AI15&gt;預測IC!AI$25,1,0)</f>
        <v>1</v>
      </c>
      <c r="AJ15" s="7">
        <f>IF(預測IC!AJ15&gt;預測IC!AJ$25,1,0)</f>
        <v>0</v>
      </c>
      <c r="AK15" s="7">
        <f>IF(預測IC!AK15&gt;預測IC!AK$25,1,0)</f>
        <v>0</v>
      </c>
      <c r="AL15" s="7">
        <f>IF(預測IC!AL15&gt;預測IC!AL$25,1,0)</f>
        <v>0</v>
      </c>
      <c r="AM15" s="7">
        <f>IF(預測IC!AM15&gt;預測IC!AM$25,1,0)</f>
        <v>0</v>
      </c>
      <c r="AN15" s="7">
        <f>IF(預測IC!AN15&gt;預測IC!AN$25,1,0)</f>
        <v>1</v>
      </c>
      <c r="AO15" s="7">
        <f>IF(預測IC!AO15&gt;預測IC!AO$25,1,0)</f>
        <v>1</v>
      </c>
      <c r="AP15" s="7">
        <f>IF(預測IC!AP15&gt;預測IC!AP$25,1,0)</f>
        <v>1</v>
      </c>
      <c r="AQ15" s="7">
        <f>IF(預測IC!AQ15&gt;預測IC!AQ$25,1,0)</f>
        <v>1</v>
      </c>
      <c r="AR15" s="7">
        <f>IF(預測IC!AR15&gt;預測IC!AR$25,1,0)</f>
        <v>0</v>
      </c>
      <c r="AS15" s="7">
        <f>IF(預測IC!AS15&gt;預測IC!AS$25,1,0)</f>
        <v>0</v>
      </c>
      <c r="AT15" s="7">
        <f>IF(預測IC!AT15&gt;預測IC!AT$25,1,0)</f>
        <v>1</v>
      </c>
      <c r="AU15" s="7">
        <f>IF(預測IC!AU15&gt;預測IC!AU$25,1,0)</f>
        <v>0</v>
      </c>
      <c r="AV15" s="7">
        <f>IF(預測IC!AV15&gt;預測IC!AV$25,1,0)</f>
        <v>0</v>
      </c>
      <c r="AW15" s="7">
        <f>IF(預測IC!AW15&gt;預測IC!AW$25,1,0)</f>
        <v>1</v>
      </c>
      <c r="AX15" s="7">
        <f>IF(預測IC!AX15&gt;預測IC!AX$25,1,0)</f>
        <v>1</v>
      </c>
      <c r="AY15" s="7">
        <f>IF(預測IC!AY15&gt;預測IC!AY$25,1,0)</f>
        <v>0</v>
      </c>
      <c r="AZ15" s="7">
        <f>IF(預測IC!AZ15&gt;預測IC!AZ$25,1,0)</f>
        <v>0</v>
      </c>
      <c r="BA15" s="7">
        <f>IF(預測IC!BA15&gt;預測IC!BA$25,1,0)</f>
        <v>1</v>
      </c>
      <c r="BB15" s="7">
        <f>IF(預測IC!BB15&gt;預測IC!BB$25,1,0)</f>
        <v>1</v>
      </c>
      <c r="BC15" s="7">
        <f>IF(預測IC!BC15&gt;預測IC!BC$25,1,0)</f>
        <v>1</v>
      </c>
      <c r="BD15" s="7">
        <f>IF(預測IC!BD15&gt;預測IC!BD$25,1,0)</f>
        <v>1</v>
      </c>
      <c r="BE15" s="7">
        <f>IF(預測IC!BE15&gt;預測IC!BE$25,1,0)</f>
        <v>1</v>
      </c>
      <c r="BF15" s="7">
        <f>IF(預測IC!BF15&gt;預測IC!BF$25,1,0)</f>
        <v>0</v>
      </c>
      <c r="BG15" s="7">
        <f>IF(預測IC!BG15&gt;預測IC!BG$25,1,0)</f>
        <v>0</v>
      </c>
      <c r="BH15" s="7">
        <f>IF(預測IC!BH15&gt;預測IC!BH$25,1,0)</f>
        <v>1</v>
      </c>
      <c r="BI15" s="7">
        <f>IF(預測IC!BI15&gt;預測IC!BI$25,1,0)</f>
        <v>1</v>
      </c>
      <c r="BJ15" s="7">
        <f>IF(預測IC!BJ15&gt;預測IC!BJ$25,1,0)</f>
        <v>0</v>
      </c>
      <c r="BK15" s="7">
        <f>IF(預測IC!BK15&gt;預測IC!BK$25,1,0)</f>
        <v>0</v>
      </c>
      <c r="BL15" s="7">
        <f>IF(預測IC!BL15&gt;預測IC!BL$25,1,0)</f>
        <v>1</v>
      </c>
      <c r="BM15" s="7">
        <f>IF(預測IC!BM15&gt;預測IC!BM$25,1,0)</f>
        <v>1</v>
      </c>
      <c r="BN15" s="7">
        <f>IF(預測IC!BN15&gt;預測IC!BN$25,1,0)</f>
        <v>1</v>
      </c>
      <c r="BO15" s="7">
        <f>IF(預測IC!BO15&gt;預測IC!BO$25,1,0)</f>
        <v>1</v>
      </c>
      <c r="BP15" s="7">
        <f>IF(預測IC!BP15&gt;預測IC!BP$25,1,0)</f>
        <v>0</v>
      </c>
      <c r="BQ15" s="7">
        <f>IF(預測IC!BQ15&gt;預測IC!BQ$25,1,0)</f>
        <v>1</v>
      </c>
      <c r="BR15" s="7">
        <f>IF(預測IC!BR15&gt;預測IC!BR$25,1,0)</f>
        <v>0</v>
      </c>
      <c r="BS15" s="7">
        <f>IF(預測IC!BS15&gt;預測IC!BS$25,1,0)</f>
        <v>0</v>
      </c>
      <c r="BT15" s="7">
        <f>IF(預測IC!BT15&gt;預測IC!BT$25,1,0)</f>
        <v>1</v>
      </c>
      <c r="BU15" s="7">
        <f>IF(預測IC!BU15&gt;預測IC!BU$25,1,0)</f>
        <v>0</v>
      </c>
      <c r="BV15" s="7">
        <f>IF(預測IC!BV15&gt;預測IC!BV$25,1,0)</f>
        <v>1</v>
      </c>
      <c r="BW15" s="7">
        <f>IF(預測IC!BW15&gt;預測IC!BW$25,1,0)</f>
        <v>1</v>
      </c>
      <c r="BX15" s="7">
        <f>IF(預測IC!BX15&gt;預測IC!BX$25,1,0)</f>
        <v>1</v>
      </c>
      <c r="BY15" s="7">
        <f>IF(預測IC!BY15&gt;預測IC!BY$25,1,0)</f>
        <v>1</v>
      </c>
      <c r="BZ15" s="7">
        <f>IF(預測IC!BZ15&gt;預測IC!BZ$25,1,0)</f>
        <v>1</v>
      </c>
      <c r="CA15" s="7">
        <f>IF(預測IC!CA15&gt;預測IC!CA$25,1,0)</f>
        <v>1</v>
      </c>
      <c r="CB15" s="7">
        <f>IF(預測IC!CB15&gt;預測IC!CB$25,1,0)</f>
        <v>1</v>
      </c>
      <c r="CC15" s="7">
        <f>IF(預測IC!CC15&gt;預測IC!CC$25,1,0)</f>
        <v>0</v>
      </c>
      <c r="CD15" s="7">
        <f>IF(預測IC!CD15&gt;預測IC!CD$25,1,0)</f>
        <v>1</v>
      </c>
      <c r="CE15" s="7">
        <f>IF(預測IC!CE15&gt;預測IC!CE$25,1,0)</f>
        <v>0</v>
      </c>
      <c r="CF15" s="7">
        <f>IF(預測IC!CF15&gt;預測IC!CF$25,1,0)</f>
        <v>0</v>
      </c>
      <c r="CG15" s="7">
        <f>IF(預測IC!CG15&gt;預測IC!CG$25,1,0)</f>
        <v>0</v>
      </c>
      <c r="CH15" s="7">
        <f>IF(預測IC!CH15&gt;預測IC!CH$25,1,0)</f>
        <v>0</v>
      </c>
      <c r="CI15" s="7">
        <f>IF(預測IC!CI15&gt;預測IC!CI$25,1,0)</f>
        <v>0</v>
      </c>
      <c r="CJ15" s="7">
        <f>IF(預測IC!CJ15&gt;預測IC!CJ$25,1,0)</f>
        <v>0</v>
      </c>
      <c r="CK15" s="7">
        <f>IF(預測IC!CK15&gt;預測IC!CK$25,1,0)</f>
        <v>1</v>
      </c>
      <c r="CL15" s="7">
        <f>IF(預測IC!CL15&gt;預測IC!CL$25,1,0)</f>
        <v>0</v>
      </c>
      <c r="CM15" s="7">
        <f>IF(預測IC!CM15&gt;預測IC!CM$25,1,0)</f>
        <v>0</v>
      </c>
      <c r="CN15" s="7">
        <f>IF(預測IC!CN15&gt;預測IC!CN$25,1,0)</f>
        <v>0</v>
      </c>
      <c r="CO15" s="7">
        <f>IF(預測IC!CO15&gt;預測IC!CO$25,1,0)</f>
        <v>0</v>
      </c>
      <c r="CP15" s="7">
        <f>IF(預測IC!CP15&gt;預測IC!CP$25,1,0)</f>
        <v>1</v>
      </c>
      <c r="CQ15" s="7">
        <f>IF(預測IC!CQ15&gt;預測IC!CQ$25,1,0)</f>
        <v>1</v>
      </c>
      <c r="CR15" s="7">
        <f>IF(預測IC!CR15&gt;預測IC!CR$25,1,0)</f>
        <v>1</v>
      </c>
      <c r="CS15" s="7">
        <f>IF(預測IC!CS15&gt;預測IC!CS$25,1,0)</f>
        <v>0</v>
      </c>
      <c r="CT15" s="7">
        <f>IF(預測IC!CT15&gt;預測IC!CT$25,1,0)</f>
        <v>0</v>
      </c>
      <c r="CU15" s="7">
        <f>IF(預測IC!CU15&gt;預測IC!CU$25,1,0)</f>
        <v>0</v>
      </c>
      <c r="CV15" s="7">
        <f>IF(預測IC!CV15&gt;預測IC!CV$25,1,0)</f>
        <v>1</v>
      </c>
      <c r="CW15" s="7">
        <f>IF(預測IC!CW15&gt;預測IC!CW$25,1,0)</f>
        <v>0</v>
      </c>
      <c r="CX15" s="7">
        <f>IF(預測IC!CX15&gt;預測IC!CX$25,1,0)</f>
        <v>0</v>
      </c>
      <c r="CY15" s="7">
        <f>IF(預測IC!CY15&gt;預測IC!CY$25,1,0)</f>
        <v>1</v>
      </c>
      <c r="CZ15" s="7">
        <f>IF(預測IC!CZ15&gt;預測IC!CZ$25,1,0)</f>
        <v>1</v>
      </c>
      <c r="DA15" s="7">
        <f>IF(預測IC!DA15&gt;預測IC!DA$25,1,0)</f>
        <v>1</v>
      </c>
      <c r="DB15" s="7">
        <f>IF(預測IC!DB15&gt;預測IC!DB$25,1,0)</f>
        <v>1</v>
      </c>
      <c r="DC15" s="7">
        <f>IF(預測IC!DC15&gt;預測IC!DC$25,1,0)</f>
        <v>1</v>
      </c>
      <c r="DD15" s="7">
        <f>IF(預測IC!DD15&gt;預測IC!DD$25,1,0)</f>
        <v>1</v>
      </c>
      <c r="DE15" s="7">
        <f>IF(預測IC!DE15&gt;預測IC!DE$25,1,0)</f>
        <v>0</v>
      </c>
      <c r="DF15" s="7">
        <f>IF(預測IC!DF15&gt;預測IC!DF$25,1,0)</f>
        <v>1</v>
      </c>
      <c r="DG15" s="7">
        <f>IF(預測IC!DG15&gt;預測IC!DG$25,1,0)</f>
        <v>0</v>
      </c>
      <c r="DH15" s="7">
        <f>IF(預測IC!DH15&gt;預測IC!DH$25,1,0)</f>
        <v>0</v>
      </c>
      <c r="DI15" s="7">
        <f>IF(預測IC!DI15&gt;預測IC!DI$25,1,0)</f>
        <v>1</v>
      </c>
      <c r="DJ15" s="7">
        <f>IF(預測IC!DJ15&gt;預測IC!DJ$25,1,0)</f>
        <v>1</v>
      </c>
      <c r="DK15" s="7">
        <f>IF(預測IC!DK15&gt;預測IC!DK$25,1,0)</f>
        <v>0</v>
      </c>
      <c r="DL15" s="7">
        <f>IF(預測IC!DL15&gt;預測IC!DL$25,1,0)</f>
        <v>0</v>
      </c>
      <c r="DM15" s="7">
        <f>IF(預測IC!DM15&gt;預測IC!DM$25,1,0)</f>
        <v>0</v>
      </c>
      <c r="DN15" s="7">
        <f>IF(預測IC!DN15&gt;預測IC!DN$25,1,0)</f>
        <v>1</v>
      </c>
      <c r="DO15" s="7">
        <f>IF(預測IC!DO15&gt;預測IC!DO$25,1,0)</f>
        <v>1</v>
      </c>
      <c r="DP15" s="7">
        <f>IF(預測IC!DP15&gt;預測IC!DP$25,1,0)</f>
        <v>0</v>
      </c>
      <c r="DQ15" s="7">
        <f>IF(預測IC!DQ15&gt;預測IC!DQ$25,1,0)</f>
        <v>0</v>
      </c>
      <c r="DR15" s="7">
        <f>IF(預測IC!DR15&gt;預測IC!DR$25,1,0)</f>
        <v>1</v>
      </c>
      <c r="DS15" s="7">
        <f>IF(預測IC!DS15&gt;預測IC!DS$25,1,0)</f>
        <v>0</v>
      </c>
      <c r="DT15" s="7">
        <f>IF(預測IC!DT15&gt;預測IC!DT$25,1,0)</f>
        <v>0</v>
      </c>
      <c r="DU15" s="7">
        <f>IF(預測IC!DU15&gt;預測IC!DU$25,1,0)</f>
        <v>0</v>
      </c>
      <c r="DV15" s="7">
        <f>IF(預測IC!DV15&gt;預測IC!DV$25,1,0)</f>
        <v>1</v>
      </c>
      <c r="DW15" s="7">
        <f>IF(預測IC!DW15&gt;預測IC!DW$25,1,0)</f>
        <v>0</v>
      </c>
      <c r="DX15" s="7">
        <f>IF(預測IC!DX15&gt;預測IC!DX$25,1,0)</f>
        <v>0</v>
      </c>
      <c r="DY15" s="7">
        <f>IF(預測IC!DY15&gt;預測IC!DY$25,1,0)</f>
        <v>1</v>
      </c>
      <c r="DZ15" s="7">
        <f>IF(預測IC!DZ15&gt;預測IC!DZ$25,1,0)</f>
        <v>1</v>
      </c>
      <c r="EA15" s="7">
        <f>IF(預測IC!EA15&gt;預測IC!EA$25,1,0)</f>
        <v>1</v>
      </c>
      <c r="EB15" s="7">
        <f>IF(預測IC!EB15&gt;預測IC!EB$25,1,0)</f>
        <v>0</v>
      </c>
      <c r="EC15" s="7">
        <f>IF(預測IC!EC15&gt;預測IC!EC$25,1,0)</f>
        <v>0</v>
      </c>
      <c r="ED15" s="7">
        <f>IF(預測IC!ED15&gt;預測IC!ED$25,1,0)</f>
        <v>0</v>
      </c>
      <c r="EE15" s="7">
        <f>IF(預測IC!EE15&gt;預測IC!EE$25,1,0)</f>
        <v>0</v>
      </c>
      <c r="EF15" s="7">
        <f>IF(預測IC!EF15&gt;預測IC!EF$25,1,0)</f>
        <v>1</v>
      </c>
      <c r="EG15">
        <f t="shared" si="10"/>
        <v>68</v>
      </c>
      <c r="EH15" s="11">
        <f t="shared" si="11"/>
        <v>0.5</v>
      </c>
    </row>
    <row r="16" spans="1:138" x14ac:dyDescent="0.3">
      <c r="A16" s="1">
        <v>107</v>
      </c>
      <c r="B16" s="1">
        <v>9</v>
      </c>
      <c r="C16" s="7">
        <f>IF(預測IC!C16&gt;預測IC!C$25,1,0)</f>
        <v>1</v>
      </c>
      <c r="D16" s="7">
        <f>IF(預測IC!D16&gt;預測IC!D$25,1,0)</f>
        <v>0</v>
      </c>
      <c r="E16" s="7">
        <f>IF(預測IC!E16&gt;預測IC!E$25,1,0)</f>
        <v>0</v>
      </c>
      <c r="F16" s="7">
        <f>IF(預測IC!F16&gt;預測IC!F$25,1,0)</f>
        <v>0</v>
      </c>
      <c r="G16" s="7">
        <f>IF(預測IC!G16&gt;預測IC!G$25,1,0)</f>
        <v>0</v>
      </c>
      <c r="H16" s="7">
        <f>IF(預測IC!H16&gt;預測IC!H$25,1,0)</f>
        <v>1</v>
      </c>
      <c r="I16" s="7">
        <f>IF(預測IC!I16&gt;預測IC!I$25,1,0)</f>
        <v>1</v>
      </c>
      <c r="J16" s="7">
        <f>IF(預測IC!J16&gt;預測IC!J$25,1,0)</f>
        <v>1</v>
      </c>
      <c r="K16" s="7">
        <f>IF(預測IC!K16&gt;預測IC!K$25,1,0)</f>
        <v>0</v>
      </c>
      <c r="L16" s="7">
        <f>IF(預測IC!L16&gt;預測IC!L$25,1,0)</f>
        <v>1</v>
      </c>
      <c r="M16" s="7">
        <f>IF(預測IC!M16&gt;預測IC!M$25,1,0)</f>
        <v>1</v>
      </c>
      <c r="N16" s="7">
        <f>IF(預測IC!N16&gt;預測IC!N$25,1,0)</f>
        <v>1</v>
      </c>
      <c r="O16" s="7">
        <f>IF(預測IC!O16&gt;預測IC!O$25,1,0)</f>
        <v>1</v>
      </c>
      <c r="P16" s="7">
        <f>IF(預測IC!P16&gt;預測IC!P$25,1,0)</f>
        <v>0</v>
      </c>
      <c r="Q16" s="7">
        <f>IF(預測IC!Q16&gt;預測IC!Q$25,1,0)</f>
        <v>0</v>
      </c>
      <c r="R16" s="7">
        <f>IF(預測IC!R16&gt;預測IC!R$25,1,0)</f>
        <v>0</v>
      </c>
      <c r="S16" s="7">
        <f>IF(預測IC!S16&gt;預測IC!S$25,1,0)</f>
        <v>0</v>
      </c>
      <c r="T16" s="7">
        <f>IF(預測IC!T16&gt;預測IC!T$25,1,0)</f>
        <v>0</v>
      </c>
      <c r="U16" s="7">
        <f>IF(預測IC!U16&gt;預測IC!U$25,1,0)</f>
        <v>0</v>
      </c>
      <c r="V16" s="7">
        <f>IF(預測IC!V16&gt;預測IC!V$25,1,0)</f>
        <v>1</v>
      </c>
      <c r="W16" s="7">
        <f>IF(預測IC!W16&gt;預測IC!W$25,1,0)</f>
        <v>1</v>
      </c>
      <c r="X16" s="7">
        <f>IF(預測IC!X16&gt;預測IC!X$25,1,0)</f>
        <v>1</v>
      </c>
      <c r="Y16" s="7">
        <f>IF(預測IC!Y16&gt;預測IC!Y$25,1,0)</f>
        <v>1</v>
      </c>
      <c r="Z16" s="7">
        <f>IF(預測IC!Z16&gt;預測IC!Z$25,1,0)</f>
        <v>1</v>
      </c>
      <c r="AA16" s="7">
        <f>IF(預測IC!AA16&gt;預測IC!AA$25,1,0)</f>
        <v>0</v>
      </c>
      <c r="AB16" s="7">
        <f>IF(預測IC!AB16&gt;預測IC!AB$25,1,0)</f>
        <v>1</v>
      </c>
      <c r="AC16" s="7">
        <f>IF(預測IC!AC16&gt;預測IC!AC$25,1,0)</f>
        <v>1</v>
      </c>
      <c r="AD16" s="7">
        <f>IF(預測IC!AD16&gt;預測IC!AD$25,1,0)</f>
        <v>1</v>
      </c>
      <c r="AE16" s="7">
        <f>IF(預測IC!AE16&gt;預測IC!AE$25,1,0)</f>
        <v>0</v>
      </c>
      <c r="AF16" s="7">
        <f>IF(預測IC!AF16&gt;預測IC!AF$25,1,0)</f>
        <v>1</v>
      </c>
      <c r="AG16" s="7">
        <f>IF(預測IC!AG16&gt;預測IC!AG$25,1,0)</f>
        <v>0</v>
      </c>
      <c r="AH16" s="7">
        <f>IF(預測IC!AH16&gt;預測IC!AH$25,1,0)</f>
        <v>1</v>
      </c>
      <c r="AI16" s="7">
        <f>IF(預測IC!AI16&gt;預測IC!AI$25,1,0)</f>
        <v>1</v>
      </c>
      <c r="AJ16" s="7">
        <f>IF(預測IC!AJ16&gt;預測IC!AJ$25,1,0)</f>
        <v>0</v>
      </c>
      <c r="AK16" s="7">
        <f>IF(預測IC!AK16&gt;預測IC!AK$25,1,0)</f>
        <v>0</v>
      </c>
      <c r="AL16" s="7">
        <f>IF(預測IC!AL16&gt;預測IC!AL$25,1,0)</f>
        <v>0</v>
      </c>
      <c r="AM16" s="7">
        <f>IF(預測IC!AM16&gt;預測IC!AM$25,1,0)</f>
        <v>0</v>
      </c>
      <c r="AN16" s="7">
        <f>IF(預測IC!AN16&gt;預測IC!AN$25,1,0)</f>
        <v>1</v>
      </c>
      <c r="AO16" s="7">
        <f>IF(預測IC!AO16&gt;預測IC!AO$25,1,0)</f>
        <v>1</v>
      </c>
      <c r="AP16" s="7">
        <f>IF(預測IC!AP16&gt;預測IC!AP$25,1,0)</f>
        <v>1</v>
      </c>
      <c r="AQ16" s="7">
        <f>IF(預測IC!AQ16&gt;預測IC!AQ$25,1,0)</f>
        <v>1</v>
      </c>
      <c r="AR16" s="7">
        <f>IF(預測IC!AR16&gt;預測IC!AR$25,1,0)</f>
        <v>0</v>
      </c>
      <c r="AS16" s="7">
        <f>IF(預測IC!AS16&gt;預測IC!AS$25,1,0)</f>
        <v>0</v>
      </c>
      <c r="AT16" s="7">
        <f>IF(預測IC!AT16&gt;預測IC!AT$25,1,0)</f>
        <v>1</v>
      </c>
      <c r="AU16" s="7">
        <f>IF(預測IC!AU16&gt;預測IC!AU$25,1,0)</f>
        <v>0</v>
      </c>
      <c r="AV16" s="7">
        <f>IF(預測IC!AV16&gt;預測IC!AV$25,1,0)</f>
        <v>1</v>
      </c>
      <c r="AW16" s="7">
        <f>IF(預測IC!AW16&gt;預測IC!AW$25,1,0)</f>
        <v>1</v>
      </c>
      <c r="AX16" s="7">
        <f>IF(預測IC!AX16&gt;預測IC!AX$25,1,0)</f>
        <v>1</v>
      </c>
      <c r="AY16" s="7">
        <f>IF(預測IC!AY16&gt;預測IC!AY$25,1,0)</f>
        <v>0</v>
      </c>
      <c r="AZ16" s="7">
        <f>IF(預測IC!AZ16&gt;預測IC!AZ$25,1,0)</f>
        <v>0</v>
      </c>
      <c r="BA16" s="7">
        <f>IF(預測IC!BA16&gt;預測IC!BA$25,1,0)</f>
        <v>0</v>
      </c>
      <c r="BB16" s="7">
        <f>IF(預測IC!BB16&gt;預測IC!BB$25,1,0)</f>
        <v>1</v>
      </c>
      <c r="BC16" s="7">
        <f>IF(預測IC!BC16&gt;預測IC!BC$25,1,0)</f>
        <v>1</v>
      </c>
      <c r="BD16" s="7">
        <f>IF(預測IC!BD16&gt;預測IC!BD$25,1,0)</f>
        <v>1</v>
      </c>
      <c r="BE16" s="7">
        <f>IF(預測IC!BE16&gt;預測IC!BE$25,1,0)</f>
        <v>1</v>
      </c>
      <c r="BF16" s="7">
        <f>IF(預測IC!BF16&gt;預測IC!BF$25,1,0)</f>
        <v>0</v>
      </c>
      <c r="BG16" s="7">
        <f>IF(預測IC!BG16&gt;預測IC!BG$25,1,0)</f>
        <v>0</v>
      </c>
      <c r="BH16" s="7">
        <f>IF(預測IC!BH16&gt;預測IC!BH$25,1,0)</f>
        <v>1</v>
      </c>
      <c r="BI16" s="7">
        <f>IF(預測IC!BI16&gt;預測IC!BI$25,1,0)</f>
        <v>1</v>
      </c>
      <c r="BJ16" s="7">
        <f>IF(預測IC!BJ16&gt;預測IC!BJ$25,1,0)</f>
        <v>0</v>
      </c>
      <c r="BK16" s="7">
        <f>IF(預測IC!BK16&gt;預測IC!BK$25,1,0)</f>
        <v>0</v>
      </c>
      <c r="BL16" s="7">
        <f>IF(預測IC!BL16&gt;預測IC!BL$25,1,0)</f>
        <v>1</v>
      </c>
      <c r="BM16" s="7">
        <f>IF(預測IC!BM16&gt;預測IC!BM$25,1,0)</f>
        <v>1</v>
      </c>
      <c r="BN16" s="7">
        <f>IF(預測IC!BN16&gt;預測IC!BN$25,1,0)</f>
        <v>1</v>
      </c>
      <c r="BO16" s="7">
        <f>IF(預測IC!BO16&gt;預測IC!BO$25,1,0)</f>
        <v>1</v>
      </c>
      <c r="BP16" s="7">
        <f>IF(預測IC!BP16&gt;預測IC!BP$25,1,0)</f>
        <v>0</v>
      </c>
      <c r="BQ16" s="7">
        <f>IF(預測IC!BQ16&gt;預測IC!BQ$25,1,0)</f>
        <v>1</v>
      </c>
      <c r="BR16" s="7">
        <f>IF(預測IC!BR16&gt;預測IC!BR$25,1,0)</f>
        <v>0</v>
      </c>
      <c r="BS16" s="7">
        <f>IF(預測IC!BS16&gt;預測IC!BS$25,1,0)</f>
        <v>0</v>
      </c>
      <c r="BT16" s="7">
        <f>IF(預測IC!BT16&gt;預測IC!BT$25,1,0)</f>
        <v>1</v>
      </c>
      <c r="BU16" s="7">
        <f>IF(預測IC!BU16&gt;預測IC!BU$25,1,0)</f>
        <v>0</v>
      </c>
      <c r="BV16" s="7">
        <f>IF(預測IC!BV16&gt;預測IC!BV$25,1,0)</f>
        <v>1</v>
      </c>
      <c r="BW16" s="7">
        <f>IF(預測IC!BW16&gt;預測IC!BW$25,1,0)</f>
        <v>0</v>
      </c>
      <c r="BX16" s="7">
        <f>IF(預測IC!BX16&gt;預測IC!BX$25,1,0)</f>
        <v>1</v>
      </c>
      <c r="BY16" s="7">
        <f>IF(預測IC!BY16&gt;預測IC!BY$25,1,0)</f>
        <v>1</v>
      </c>
      <c r="BZ16" s="7">
        <f>IF(預測IC!BZ16&gt;預測IC!BZ$25,1,0)</f>
        <v>1</v>
      </c>
      <c r="CA16" s="7">
        <f>IF(預測IC!CA16&gt;預測IC!CA$25,1,0)</f>
        <v>1</v>
      </c>
      <c r="CB16" s="7">
        <f>IF(預測IC!CB16&gt;預測IC!CB$25,1,0)</f>
        <v>1</v>
      </c>
      <c r="CC16" s="7">
        <f>IF(預測IC!CC16&gt;預測IC!CC$25,1,0)</f>
        <v>0</v>
      </c>
      <c r="CD16" s="7">
        <f>IF(預測IC!CD16&gt;預測IC!CD$25,1,0)</f>
        <v>1</v>
      </c>
      <c r="CE16" s="7">
        <f>IF(預測IC!CE16&gt;預測IC!CE$25,1,0)</f>
        <v>0</v>
      </c>
      <c r="CF16" s="7">
        <f>IF(預測IC!CF16&gt;預測IC!CF$25,1,0)</f>
        <v>0</v>
      </c>
      <c r="CG16" s="7">
        <f>IF(預測IC!CG16&gt;預測IC!CG$25,1,0)</f>
        <v>0</v>
      </c>
      <c r="CH16" s="7">
        <f>IF(預測IC!CH16&gt;預測IC!CH$25,1,0)</f>
        <v>0</v>
      </c>
      <c r="CI16" s="7">
        <f>IF(預測IC!CI16&gt;預測IC!CI$25,1,0)</f>
        <v>0</v>
      </c>
      <c r="CJ16" s="7">
        <f>IF(預測IC!CJ16&gt;預測IC!CJ$25,1,0)</f>
        <v>0</v>
      </c>
      <c r="CK16" s="7">
        <f>IF(預測IC!CK16&gt;預測IC!CK$25,1,0)</f>
        <v>1</v>
      </c>
      <c r="CL16" s="7">
        <f>IF(預測IC!CL16&gt;預測IC!CL$25,1,0)</f>
        <v>0</v>
      </c>
      <c r="CM16" s="7">
        <f>IF(預測IC!CM16&gt;預測IC!CM$25,1,0)</f>
        <v>0</v>
      </c>
      <c r="CN16" s="7">
        <f>IF(預測IC!CN16&gt;預測IC!CN$25,1,0)</f>
        <v>0</v>
      </c>
      <c r="CO16" s="7">
        <f>IF(預測IC!CO16&gt;預測IC!CO$25,1,0)</f>
        <v>0</v>
      </c>
      <c r="CP16" s="7">
        <f>IF(預測IC!CP16&gt;預測IC!CP$25,1,0)</f>
        <v>1</v>
      </c>
      <c r="CQ16" s="7">
        <f>IF(預測IC!CQ16&gt;預測IC!CQ$25,1,0)</f>
        <v>1</v>
      </c>
      <c r="CR16" s="7">
        <f>IF(預測IC!CR16&gt;預測IC!CR$25,1,0)</f>
        <v>1</v>
      </c>
      <c r="CS16" s="7">
        <f>IF(預測IC!CS16&gt;預測IC!CS$25,1,0)</f>
        <v>0</v>
      </c>
      <c r="CT16" s="7">
        <f>IF(預測IC!CT16&gt;預測IC!CT$25,1,0)</f>
        <v>1</v>
      </c>
      <c r="CU16" s="7">
        <f>IF(預測IC!CU16&gt;預測IC!CU$25,1,0)</f>
        <v>0</v>
      </c>
      <c r="CV16" s="7">
        <f>IF(預測IC!CV16&gt;預測IC!CV$25,1,0)</f>
        <v>1</v>
      </c>
      <c r="CW16" s="7">
        <f>IF(預測IC!CW16&gt;預測IC!CW$25,1,0)</f>
        <v>0</v>
      </c>
      <c r="CX16" s="7">
        <f>IF(預測IC!CX16&gt;預測IC!CX$25,1,0)</f>
        <v>0</v>
      </c>
      <c r="CY16" s="7">
        <f>IF(預測IC!CY16&gt;預測IC!CY$25,1,0)</f>
        <v>1</v>
      </c>
      <c r="CZ16" s="7">
        <f>IF(預測IC!CZ16&gt;預測IC!CZ$25,1,0)</f>
        <v>1</v>
      </c>
      <c r="DA16" s="7">
        <f>IF(預測IC!DA16&gt;預測IC!DA$25,1,0)</f>
        <v>1</v>
      </c>
      <c r="DB16" s="7">
        <f>IF(預測IC!DB16&gt;預測IC!DB$25,1,0)</f>
        <v>1</v>
      </c>
      <c r="DC16" s="7">
        <f>IF(預測IC!DC16&gt;預測IC!DC$25,1,0)</f>
        <v>1</v>
      </c>
      <c r="DD16" s="7">
        <f>IF(預測IC!DD16&gt;預測IC!DD$25,1,0)</f>
        <v>1</v>
      </c>
      <c r="DE16" s="7">
        <f>IF(預測IC!DE16&gt;預測IC!DE$25,1,0)</f>
        <v>0</v>
      </c>
      <c r="DF16" s="7">
        <f>IF(預測IC!DF16&gt;預測IC!DF$25,1,0)</f>
        <v>1</v>
      </c>
      <c r="DG16" s="7">
        <f>IF(預測IC!DG16&gt;預測IC!DG$25,1,0)</f>
        <v>0</v>
      </c>
      <c r="DH16" s="7">
        <f>IF(預測IC!DH16&gt;預測IC!DH$25,1,0)</f>
        <v>0</v>
      </c>
      <c r="DI16" s="7">
        <f>IF(預測IC!DI16&gt;預測IC!DI$25,1,0)</f>
        <v>1</v>
      </c>
      <c r="DJ16" s="7">
        <f>IF(預測IC!DJ16&gt;預測IC!DJ$25,1,0)</f>
        <v>1</v>
      </c>
      <c r="DK16" s="7">
        <f>IF(預測IC!DK16&gt;預測IC!DK$25,1,0)</f>
        <v>0</v>
      </c>
      <c r="DL16" s="7">
        <f>IF(預測IC!DL16&gt;預測IC!DL$25,1,0)</f>
        <v>0</v>
      </c>
      <c r="DM16" s="7">
        <f>IF(預測IC!DM16&gt;預測IC!DM$25,1,0)</f>
        <v>0</v>
      </c>
      <c r="DN16" s="7">
        <f>IF(預測IC!DN16&gt;預測IC!DN$25,1,0)</f>
        <v>1</v>
      </c>
      <c r="DO16" s="7">
        <f>IF(預測IC!DO16&gt;預測IC!DO$25,1,0)</f>
        <v>1</v>
      </c>
      <c r="DP16" s="7">
        <f>IF(預測IC!DP16&gt;預測IC!DP$25,1,0)</f>
        <v>0</v>
      </c>
      <c r="DQ16" s="7">
        <f>IF(預測IC!DQ16&gt;預測IC!DQ$25,1,0)</f>
        <v>0</v>
      </c>
      <c r="DR16" s="7">
        <f>IF(預測IC!DR16&gt;預測IC!DR$25,1,0)</f>
        <v>1</v>
      </c>
      <c r="DS16" s="7">
        <f>IF(預測IC!DS16&gt;預測IC!DS$25,1,0)</f>
        <v>0</v>
      </c>
      <c r="DT16" s="7">
        <f>IF(預測IC!DT16&gt;預測IC!DT$25,1,0)</f>
        <v>0</v>
      </c>
      <c r="DU16" s="7">
        <f>IF(預測IC!DU16&gt;預測IC!DU$25,1,0)</f>
        <v>0</v>
      </c>
      <c r="DV16" s="7">
        <f>IF(預測IC!DV16&gt;預測IC!DV$25,1,0)</f>
        <v>1</v>
      </c>
      <c r="DW16" s="7">
        <f>IF(預測IC!DW16&gt;預測IC!DW$25,1,0)</f>
        <v>0</v>
      </c>
      <c r="DX16" s="7">
        <f>IF(預測IC!DX16&gt;預測IC!DX$25,1,0)</f>
        <v>0</v>
      </c>
      <c r="DY16" s="7">
        <f>IF(預測IC!DY16&gt;預測IC!DY$25,1,0)</f>
        <v>1</v>
      </c>
      <c r="DZ16" s="7">
        <f>IF(預測IC!DZ16&gt;預測IC!DZ$25,1,0)</f>
        <v>1</v>
      </c>
      <c r="EA16" s="7">
        <f>IF(預測IC!EA16&gt;預測IC!EA$25,1,0)</f>
        <v>1</v>
      </c>
      <c r="EB16" s="7">
        <f>IF(預測IC!EB16&gt;預測IC!EB$25,1,0)</f>
        <v>0</v>
      </c>
      <c r="EC16" s="7">
        <f>IF(預測IC!EC16&gt;預測IC!EC$25,1,0)</f>
        <v>0</v>
      </c>
      <c r="ED16" s="7">
        <f>IF(預測IC!ED16&gt;預測IC!ED$25,1,0)</f>
        <v>0</v>
      </c>
      <c r="EE16" s="7">
        <f>IF(預測IC!EE16&gt;預測IC!EE$25,1,0)</f>
        <v>0</v>
      </c>
      <c r="EF16" s="7">
        <f>IF(預測IC!EF16&gt;預測IC!EF$25,1,0)</f>
        <v>1</v>
      </c>
      <c r="EG16">
        <f t="shared" si="10"/>
        <v>69</v>
      </c>
      <c r="EH16" s="11">
        <f t="shared" si="11"/>
        <v>0.5074626865671642</v>
      </c>
    </row>
    <row r="17" spans="1:138" x14ac:dyDescent="0.3">
      <c r="A17" s="1">
        <v>120</v>
      </c>
      <c r="B17" s="1">
        <v>8</v>
      </c>
      <c r="C17" s="7">
        <f>IF(預測IC!C17&gt;預測IC!C$25,1,0)</f>
        <v>1</v>
      </c>
      <c r="D17" s="7">
        <f>IF(預測IC!D17&gt;預測IC!D$25,1,0)</f>
        <v>0</v>
      </c>
      <c r="E17" s="7">
        <f>IF(預測IC!E17&gt;預測IC!E$25,1,0)</f>
        <v>0</v>
      </c>
      <c r="F17" s="7">
        <f>IF(預測IC!F17&gt;預測IC!F$25,1,0)</f>
        <v>0</v>
      </c>
      <c r="G17" s="7">
        <f>IF(預測IC!G17&gt;預測IC!G$25,1,0)</f>
        <v>0</v>
      </c>
      <c r="H17" s="7">
        <f>IF(預測IC!H17&gt;預測IC!H$25,1,0)</f>
        <v>1</v>
      </c>
      <c r="I17" s="7">
        <f>IF(預測IC!I17&gt;預測IC!I$25,1,0)</f>
        <v>1</v>
      </c>
      <c r="J17" s="7">
        <f>IF(預測IC!J17&gt;預測IC!J$25,1,0)</f>
        <v>1</v>
      </c>
      <c r="K17" s="7">
        <f>IF(預測IC!K17&gt;預測IC!K$25,1,0)</f>
        <v>0</v>
      </c>
      <c r="L17" s="7">
        <f>IF(預測IC!L17&gt;預測IC!L$25,1,0)</f>
        <v>1</v>
      </c>
      <c r="M17" s="7">
        <f>IF(預測IC!M17&gt;預測IC!M$25,1,0)</f>
        <v>1</v>
      </c>
      <c r="N17" s="7">
        <f>IF(預測IC!N17&gt;預測IC!N$25,1,0)</f>
        <v>1</v>
      </c>
      <c r="O17" s="7">
        <f>IF(預測IC!O17&gt;預測IC!O$25,1,0)</f>
        <v>1</v>
      </c>
      <c r="P17" s="7">
        <f>IF(預測IC!P17&gt;預測IC!P$25,1,0)</f>
        <v>0</v>
      </c>
      <c r="Q17" s="7">
        <f>IF(預測IC!Q17&gt;預測IC!Q$25,1,0)</f>
        <v>0</v>
      </c>
      <c r="R17" s="7">
        <f>IF(預測IC!R17&gt;預測IC!R$25,1,0)</f>
        <v>0</v>
      </c>
      <c r="S17" s="7">
        <f>IF(預測IC!S17&gt;預測IC!S$25,1,0)</f>
        <v>0</v>
      </c>
      <c r="T17" s="7">
        <f>IF(預測IC!T17&gt;預測IC!T$25,1,0)</f>
        <v>0</v>
      </c>
      <c r="U17" s="7">
        <f>IF(預測IC!U17&gt;預測IC!U$25,1,0)</f>
        <v>0</v>
      </c>
      <c r="V17" s="7">
        <f>IF(預測IC!V17&gt;預測IC!V$25,1,0)</f>
        <v>1</v>
      </c>
      <c r="W17" s="7">
        <f>IF(預測IC!W17&gt;預測IC!W$25,1,0)</f>
        <v>1</v>
      </c>
      <c r="X17" s="7">
        <f>IF(預測IC!X17&gt;預測IC!X$25,1,0)</f>
        <v>1</v>
      </c>
      <c r="Y17" s="7">
        <f>IF(預測IC!Y17&gt;預測IC!Y$25,1,0)</f>
        <v>1</v>
      </c>
      <c r="Z17" s="7">
        <f>IF(預測IC!Z17&gt;預測IC!Z$25,1,0)</f>
        <v>1</v>
      </c>
      <c r="AA17" s="7">
        <f>IF(預測IC!AA17&gt;預測IC!AA$25,1,0)</f>
        <v>0</v>
      </c>
      <c r="AB17" s="7">
        <f>IF(預測IC!AB17&gt;預測IC!AB$25,1,0)</f>
        <v>1</v>
      </c>
      <c r="AC17" s="7">
        <f>IF(預測IC!AC17&gt;預測IC!AC$25,1,0)</f>
        <v>1</v>
      </c>
      <c r="AD17" s="7">
        <f>IF(預測IC!AD17&gt;預測IC!AD$25,1,0)</f>
        <v>1</v>
      </c>
      <c r="AE17" s="7">
        <f>IF(預測IC!AE17&gt;預測IC!AE$25,1,0)</f>
        <v>0</v>
      </c>
      <c r="AF17" s="7">
        <f>IF(預測IC!AF17&gt;預測IC!AF$25,1,0)</f>
        <v>1</v>
      </c>
      <c r="AG17" s="7">
        <f>IF(預測IC!AG17&gt;預測IC!AG$25,1,0)</f>
        <v>0</v>
      </c>
      <c r="AH17" s="7">
        <f>IF(預測IC!AH17&gt;預測IC!AH$25,1,0)</f>
        <v>1</v>
      </c>
      <c r="AI17" s="7">
        <f>IF(預測IC!AI17&gt;預測IC!AI$25,1,0)</f>
        <v>1</v>
      </c>
      <c r="AJ17" s="7">
        <f>IF(預測IC!AJ17&gt;預測IC!AJ$25,1,0)</f>
        <v>0</v>
      </c>
      <c r="AK17" s="7">
        <f>IF(預測IC!AK17&gt;預測IC!AK$25,1,0)</f>
        <v>0</v>
      </c>
      <c r="AL17" s="7">
        <f>IF(預測IC!AL17&gt;預測IC!AL$25,1,0)</f>
        <v>0</v>
      </c>
      <c r="AM17" s="7">
        <f>IF(預測IC!AM17&gt;預測IC!AM$25,1,0)</f>
        <v>0</v>
      </c>
      <c r="AN17" s="7">
        <f>IF(預測IC!AN17&gt;預測IC!AN$25,1,0)</f>
        <v>1</v>
      </c>
      <c r="AO17" s="7">
        <f>IF(預測IC!AO17&gt;預測IC!AO$25,1,0)</f>
        <v>1</v>
      </c>
      <c r="AP17" s="7">
        <f>IF(預測IC!AP17&gt;預測IC!AP$25,1,0)</f>
        <v>1</v>
      </c>
      <c r="AQ17" s="7">
        <f>IF(預測IC!AQ17&gt;預測IC!AQ$25,1,0)</f>
        <v>1</v>
      </c>
      <c r="AR17" s="7">
        <f>IF(預測IC!AR17&gt;預測IC!AR$25,1,0)</f>
        <v>1</v>
      </c>
      <c r="AS17" s="7">
        <f>IF(預測IC!AS17&gt;預測IC!AS$25,1,0)</f>
        <v>0</v>
      </c>
      <c r="AT17" s="7">
        <f>IF(預測IC!AT17&gt;預測IC!AT$25,1,0)</f>
        <v>1</v>
      </c>
      <c r="AU17" s="7">
        <f>IF(預測IC!AU17&gt;預測IC!AU$25,1,0)</f>
        <v>0</v>
      </c>
      <c r="AV17" s="7">
        <f>IF(預測IC!AV17&gt;預測IC!AV$25,1,0)</f>
        <v>1</v>
      </c>
      <c r="AW17" s="7">
        <f>IF(預測IC!AW17&gt;預測IC!AW$25,1,0)</f>
        <v>1</v>
      </c>
      <c r="AX17" s="7">
        <f>IF(預測IC!AX17&gt;預測IC!AX$25,1,0)</f>
        <v>1</v>
      </c>
      <c r="AY17" s="7">
        <f>IF(預測IC!AY17&gt;預測IC!AY$25,1,0)</f>
        <v>0</v>
      </c>
      <c r="AZ17" s="7">
        <f>IF(預測IC!AZ17&gt;預測IC!AZ$25,1,0)</f>
        <v>0</v>
      </c>
      <c r="BA17" s="7">
        <f>IF(預測IC!BA17&gt;預測IC!BA$25,1,0)</f>
        <v>0</v>
      </c>
      <c r="BB17" s="7">
        <f>IF(預測IC!BB17&gt;預測IC!BB$25,1,0)</f>
        <v>1</v>
      </c>
      <c r="BC17" s="7">
        <f>IF(預測IC!BC17&gt;預測IC!BC$25,1,0)</f>
        <v>1</v>
      </c>
      <c r="BD17" s="7">
        <f>IF(預測IC!BD17&gt;預測IC!BD$25,1,0)</f>
        <v>1</v>
      </c>
      <c r="BE17" s="7">
        <f>IF(預測IC!BE17&gt;預測IC!BE$25,1,0)</f>
        <v>1</v>
      </c>
      <c r="BF17" s="7">
        <f>IF(預測IC!BF17&gt;預測IC!BF$25,1,0)</f>
        <v>0</v>
      </c>
      <c r="BG17" s="7">
        <f>IF(預測IC!BG17&gt;預測IC!BG$25,1,0)</f>
        <v>0</v>
      </c>
      <c r="BH17" s="7">
        <f>IF(預測IC!BH17&gt;預測IC!BH$25,1,0)</f>
        <v>0</v>
      </c>
      <c r="BI17" s="7">
        <f>IF(預測IC!BI17&gt;預測IC!BI$25,1,0)</f>
        <v>1</v>
      </c>
      <c r="BJ17" s="7">
        <f>IF(預測IC!BJ17&gt;預測IC!BJ$25,1,0)</f>
        <v>0</v>
      </c>
      <c r="BK17" s="7">
        <f>IF(預測IC!BK17&gt;預測IC!BK$25,1,0)</f>
        <v>0</v>
      </c>
      <c r="BL17" s="7">
        <f>IF(預測IC!BL17&gt;預測IC!BL$25,1,0)</f>
        <v>1</v>
      </c>
      <c r="BM17" s="7">
        <f>IF(預測IC!BM17&gt;預測IC!BM$25,1,0)</f>
        <v>1</v>
      </c>
      <c r="BN17" s="7">
        <f>IF(預測IC!BN17&gt;預測IC!BN$25,1,0)</f>
        <v>1</v>
      </c>
      <c r="BO17" s="7">
        <f>IF(預測IC!BO17&gt;預測IC!BO$25,1,0)</f>
        <v>1</v>
      </c>
      <c r="BP17" s="7">
        <f>IF(預測IC!BP17&gt;預測IC!BP$25,1,0)</f>
        <v>1</v>
      </c>
      <c r="BQ17" s="7">
        <f>IF(預測IC!BQ17&gt;預測IC!BQ$25,1,0)</f>
        <v>1</v>
      </c>
      <c r="BR17" s="7">
        <f>IF(預測IC!BR17&gt;預測IC!BR$25,1,0)</f>
        <v>1</v>
      </c>
      <c r="BS17" s="7">
        <f>IF(預測IC!BS17&gt;預測IC!BS$25,1,0)</f>
        <v>0</v>
      </c>
      <c r="BT17" s="7">
        <f>IF(預測IC!BT17&gt;預測IC!BT$25,1,0)</f>
        <v>1</v>
      </c>
      <c r="BU17" s="7">
        <f>IF(預測IC!BU17&gt;預測IC!BU$25,1,0)</f>
        <v>0</v>
      </c>
      <c r="BV17" s="7">
        <f>IF(預測IC!BV17&gt;預測IC!BV$25,1,0)</f>
        <v>1</v>
      </c>
      <c r="BW17" s="7">
        <f>IF(預測IC!BW17&gt;預測IC!BW$25,1,0)</f>
        <v>0</v>
      </c>
      <c r="BX17" s="7">
        <f>IF(預測IC!BX17&gt;預測IC!BX$25,1,0)</f>
        <v>1</v>
      </c>
      <c r="BY17" s="7">
        <f>IF(預測IC!BY17&gt;預測IC!BY$25,1,0)</f>
        <v>1</v>
      </c>
      <c r="BZ17" s="7">
        <f>IF(預測IC!BZ17&gt;預測IC!BZ$25,1,0)</f>
        <v>0</v>
      </c>
      <c r="CA17" s="7">
        <f>IF(預測IC!CA17&gt;預測IC!CA$25,1,0)</f>
        <v>1</v>
      </c>
      <c r="CB17" s="7">
        <f>IF(預測IC!CB17&gt;預測IC!CB$25,1,0)</f>
        <v>1</v>
      </c>
      <c r="CC17" s="7">
        <f>IF(預測IC!CC17&gt;預測IC!CC$25,1,0)</f>
        <v>0</v>
      </c>
      <c r="CD17" s="7">
        <f>IF(預測IC!CD17&gt;預測IC!CD$25,1,0)</f>
        <v>1</v>
      </c>
      <c r="CE17" s="7">
        <f>IF(預測IC!CE17&gt;預測IC!CE$25,1,0)</f>
        <v>0</v>
      </c>
      <c r="CF17" s="7">
        <f>IF(預測IC!CF17&gt;預測IC!CF$25,1,0)</f>
        <v>0</v>
      </c>
      <c r="CG17" s="7">
        <f>IF(預測IC!CG17&gt;預測IC!CG$25,1,0)</f>
        <v>0</v>
      </c>
      <c r="CH17" s="7">
        <f>IF(預測IC!CH17&gt;預測IC!CH$25,1,0)</f>
        <v>0</v>
      </c>
      <c r="CI17" s="7">
        <f>IF(預測IC!CI17&gt;預測IC!CI$25,1,0)</f>
        <v>0</v>
      </c>
      <c r="CJ17" s="7">
        <f>IF(預測IC!CJ17&gt;預測IC!CJ$25,1,0)</f>
        <v>0</v>
      </c>
      <c r="CK17" s="7">
        <f>IF(預測IC!CK17&gt;預測IC!CK$25,1,0)</f>
        <v>1</v>
      </c>
      <c r="CL17" s="7">
        <f>IF(預測IC!CL17&gt;預測IC!CL$25,1,0)</f>
        <v>0</v>
      </c>
      <c r="CM17" s="7">
        <f>IF(預測IC!CM17&gt;預測IC!CM$25,1,0)</f>
        <v>0</v>
      </c>
      <c r="CN17" s="7">
        <f>IF(預測IC!CN17&gt;預測IC!CN$25,1,0)</f>
        <v>0</v>
      </c>
      <c r="CO17" s="7">
        <f>IF(預測IC!CO17&gt;預測IC!CO$25,1,0)</f>
        <v>0</v>
      </c>
      <c r="CP17" s="7">
        <f>IF(預測IC!CP17&gt;預測IC!CP$25,1,0)</f>
        <v>1</v>
      </c>
      <c r="CQ17" s="7">
        <f>IF(預測IC!CQ17&gt;預測IC!CQ$25,1,0)</f>
        <v>1</v>
      </c>
      <c r="CR17" s="7">
        <f>IF(預測IC!CR17&gt;預測IC!CR$25,1,0)</f>
        <v>1</v>
      </c>
      <c r="CS17" s="7">
        <f>IF(預測IC!CS17&gt;預測IC!CS$25,1,0)</f>
        <v>0</v>
      </c>
      <c r="CT17" s="7">
        <f>IF(預測IC!CT17&gt;預測IC!CT$25,1,0)</f>
        <v>1</v>
      </c>
      <c r="CU17" s="7">
        <f>IF(預測IC!CU17&gt;預測IC!CU$25,1,0)</f>
        <v>0</v>
      </c>
      <c r="CV17" s="7">
        <f>IF(預測IC!CV17&gt;預測IC!CV$25,1,0)</f>
        <v>1</v>
      </c>
      <c r="CW17" s="7">
        <f>IF(預測IC!CW17&gt;預測IC!CW$25,1,0)</f>
        <v>0</v>
      </c>
      <c r="CX17" s="7">
        <f>IF(預測IC!CX17&gt;預測IC!CX$25,1,0)</f>
        <v>0</v>
      </c>
      <c r="CY17" s="7">
        <f>IF(預測IC!CY17&gt;預測IC!CY$25,1,0)</f>
        <v>1</v>
      </c>
      <c r="CZ17" s="7">
        <f>IF(預測IC!CZ17&gt;預測IC!CZ$25,1,0)</f>
        <v>1</v>
      </c>
      <c r="DA17" s="7">
        <f>IF(預測IC!DA17&gt;預測IC!DA$25,1,0)</f>
        <v>1</v>
      </c>
      <c r="DB17" s="7">
        <f>IF(預測IC!DB17&gt;預測IC!DB$25,1,0)</f>
        <v>1</v>
      </c>
      <c r="DC17" s="7">
        <f>IF(預測IC!DC17&gt;預測IC!DC$25,1,0)</f>
        <v>1</v>
      </c>
      <c r="DD17" s="7">
        <f>IF(預測IC!DD17&gt;預測IC!DD$25,1,0)</f>
        <v>1</v>
      </c>
      <c r="DE17" s="7">
        <f>IF(預測IC!DE17&gt;預測IC!DE$25,1,0)</f>
        <v>0</v>
      </c>
      <c r="DF17" s="7">
        <f>IF(預測IC!DF17&gt;預測IC!DF$25,1,0)</f>
        <v>1</v>
      </c>
      <c r="DG17" s="7">
        <f>IF(預測IC!DG17&gt;預測IC!DG$25,1,0)</f>
        <v>0</v>
      </c>
      <c r="DH17" s="7">
        <f>IF(預測IC!DH17&gt;預測IC!DH$25,1,0)</f>
        <v>0</v>
      </c>
      <c r="DI17" s="7">
        <f>IF(預測IC!DI17&gt;預測IC!DI$25,1,0)</f>
        <v>1</v>
      </c>
      <c r="DJ17" s="7">
        <f>IF(預測IC!DJ17&gt;預測IC!DJ$25,1,0)</f>
        <v>1</v>
      </c>
      <c r="DK17" s="7">
        <f>IF(預測IC!DK17&gt;預測IC!DK$25,1,0)</f>
        <v>0</v>
      </c>
      <c r="DL17" s="7">
        <f>IF(預測IC!DL17&gt;預測IC!DL$25,1,0)</f>
        <v>0</v>
      </c>
      <c r="DM17" s="7">
        <f>IF(預測IC!DM17&gt;預測IC!DM$25,1,0)</f>
        <v>0</v>
      </c>
      <c r="DN17" s="7">
        <f>IF(預測IC!DN17&gt;預測IC!DN$25,1,0)</f>
        <v>1</v>
      </c>
      <c r="DO17" s="7">
        <f>IF(預測IC!DO17&gt;預測IC!DO$25,1,0)</f>
        <v>1</v>
      </c>
      <c r="DP17" s="7">
        <f>IF(預測IC!DP17&gt;預測IC!DP$25,1,0)</f>
        <v>0</v>
      </c>
      <c r="DQ17" s="7">
        <f>IF(預測IC!DQ17&gt;預測IC!DQ$25,1,0)</f>
        <v>0</v>
      </c>
      <c r="DR17" s="7">
        <f>IF(預測IC!DR17&gt;預測IC!DR$25,1,0)</f>
        <v>1</v>
      </c>
      <c r="DS17" s="7">
        <f>IF(預測IC!DS17&gt;預測IC!DS$25,1,0)</f>
        <v>0</v>
      </c>
      <c r="DT17" s="7">
        <f>IF(預測IC!DT17&gt;預測IC!DT$25,1,0)</f>
        <v>0</v>
      </c>
      <c r="DU17" s="7">
        <f>IF(預測IC!DU17&gt;預測IC!DU$25,1,0)</f>
        <v>0</v>
      </c>
      <c r="DV17" s="7">
        <f>IF(預測IC!DV17&gt;預測IC!DV$25,1,0)</f>
        <v>1</v>
      </c>
      <c r="DW17" s="7">
        <f>IF(預測IC!DW17&gt;預測IC!DW$25,1,0)</f>
        <v>0</v>
      </c>
      <c r="DX17" s="7">
        <f>IF(預測IC!DX17&gt;預測IC!DX$25,1,0)</f>
        <v>0</v>
      </c>
      <c r="DY17" s="7">
        <f>IF(預測IC!DY17&gt;預測IC!DY$25,1,0)</f>
        <v>1</v>
      </c>
      <c r="DZ17" s="7">
        <f>IF(預測IC!DZ17&gt;預測IC!DZ$25,1,0)</f>
        <v>0</v>
      </c>
      <c r="EA17" s="7">
        <f>IF(預測IC!EA17&gt;預測IC!EA$25,1,0)</f>
        <v>1</v>
      </c>
      <c r="EB17" s="7">
        <f>IF(預測IC!EB17&gt;預測IC!EB$25,1,0)</f>
        <v>0</v>
      </c>
      <c r="EC17" s="7">
        <f>IF(預測IC!EC17&gt;預測IC!EC$25,1,0)</f>
        <v>0</v>
      </c>
      <c r="ED17" s="7">
        <f>IF(預測IC!ED17&gt;預測IC!ED$25,1,0)</f>
        <v>0</v>
      </c>
      <c r="EE17" s="7">
        <f>IF(預測IC!EE17&gt;預測IC!EE$25,1,0)</f>
        <v>0</v>
      </c>
      <c r="EF17" s="7">
        <f>IF(預測IC!EF17&gt;預測IC!EF$25,1,0)</f>
        <v>1</v>
      </c>
      <c r="EG17">
        <f t="shared" si="10"/>
        <v>69</v>
      </c>
      <c r="EH17" s="11">
        <f t="shared" si="11"/>
        <v>0.5074626865671642</v>
      </c>
    </row>
    <row r="18" spans="1:138" x14ac:dyDescent="0.3">
      <c r="A18" s="1">
        <v>137</v>
      </c>
      <c r="B18" s="1">
        <v>7</v>
      </c>
      <c r="C18" s="7">
        <f>IF(預測IC!C18&gt;預測IC!C$25,1,0)</f>
        <v>1</v>
      </c>
      <c r="D18" s="7">
        <f>IF(預測IC!D18&gt;預測IC!D$25,1,0)</f>
        <v>0</v>
      </c>
      <c r="E18" s="7">
        <f>IF(預測IC!E18&gt;預測IC!E$25,1,0)</f>
        <v>0</v>
      </c>
      <c r="F18" s="7">
        <f>IF(預測IC!F18&gt;預測IC!F$25,1,0)</f>
        <v>0</v>
      </c>
      <c r="G18" s="7">
        <f>IF(預測IC!G18&gt;預測IC!G$25,1,0)</f>
        <v>0</v>
      </c>
      <c r="H18" s="7">
        <f>IF(預測IC!H18&gt;預測IC!H$25,1,0)</f>
        <v>1</v>
      </c>
      <c r="I18" s="7">
        <f>IF(預測IC!I18&gt;預測IC!I$25,1,0)</f>
        <v>1</v>
      </c>
      <c r="J18" s="7">
        <f>IF(預測IC!J18&gt;預測IC!J$25,1,0)</f>
        <v>1</v>
      </c>
      <c r="K18" s="7">
        <f>IF(預測IC!K18&gt;預測IC!K$25,1,0)</f>
        <v>0</v>
      </c>
      <c r="L18" s="7">
        <f>IF(預測IC!L18&gt;預測IC!L$25,1,0)</f>
        <v>1</v>
      </c>
      <c r="M18" s="7">
        <f>IF(預測IC!M18&gt;預測IC!M$25,1,0)</f>
        <v>1</v>
      </c>
      <c r="N18" s="7">
        <f>IF(預測IC!N18&gt;預測IC!N$25,1,0)</f>
        <v>1</v>
      </c>
      <c r="O18" s="7">
        <f>IF(預測IC!O18&gt;預測IC!O$25,1,0)</f>
        <v>1</v>
      </c>
      <c r="P18" s="7">
        <f>IF(預測IC!P18&gt;預測IC!P$25,1,0)</f>
        <v>0</v>
      </c>
      <c r="Q18" s="7">
        <f>IF(預測IC!Q18&gt;預測IC!Q$25,1,0)</f>
        <v>0</v>
      </c>
      <c r="R18" s="7">
        <f>IF(預測IC!R18&gt;預測IC!R$25,1,0)</f>
        <v>0</v>
      </c>
      <c r="S18" s="7">
        <f>IF(預測IC!S18&gt;預測IC!S$25,1,0)</f>
        <v>0</v>
      </c>
      <c r="T18" s="7">
        <f>IF(預測IC!T18&gt;預測IC!T$25,1,0)</f>
        <v>0</v>
      </c>
      <c r="U18" s="7">
        <f>IF(預測IC!U18&gt;預測IC!U$25,1,0)</f>
        <v>0</v>
      </c>
      <c r="V18" s="7">
        <f>IF(預測IC!V18&gt;預測IC!V$25,1,0)</f>
        <v>1</v>
      </c>
      <c r="W18" s="7">
        <f>IF(預測IC!W18&gt;預測IC!W$25,1,0)</f>
        <v>1</v>
      </c>
      <c r="X18" s="7">
        <f>IF(預測IC!X18&gt;預測IC!X$25,1,0)</f>
        <v>1</v>
      </c>
      <c r="Y18" s="7">
        <f>IF(預測IC!Y18&gt;預測IC!Y$25,1,0)</f>
        <v>1</v>
      </c>
      <c r="Z18" s="7">
        <f>IF(預測IC!Z18&gt;預測IC!Z$25,1,0)</f>
        <v>1</v>
      </c>
      <c r="AA18" s="7">
        <f>IF(預測IC!AA18&gt;預測IC!AA$25,1,0)</f>
        <v>0</v>
      </c>
      <c r="AB18" s="7">
        <f>IF(預測IC!AB18&gt;預測IC!AB$25,1,0)</f>
        <v>1</v>
      </c>
      <c r="AC18" s="7">
        <f>IF(預測IC!AC18&gt;預測IC!AC$25,1,0)</f>
        <v>1</v>
      </c>
      <c r="AD18" s="7">
        <f>IF(預測IC!AD18&gt;預測IC!AD$25,1,0)</f>
        <v>1</v>
      </c>
      <c r="AE18" s="7">
        <f>IF(預測IC!AE18&gt;預測IC!AE$25,1,0)</f>
        <v>0</v>
      </c>
      <c r="AF18" s="7">
        <f>IF(預測IC!AF18&gt;預測IC!AF$25,1,0)</f>
        <v>1</v>
      </c>
      <c r="AG18" s="7">
        <f>IF(預測IC!AG18&gt;預測IC!AG$25,1,0)</f>
        <v>0</v>
      </c>
      <c r="AH18" s="7">
        <f>IF(預測IC!AH18&gt;預測IC!AH$25,1,0)</f>
        <v>1</v>
      </c>
      <c r="AI18" s="7">
        <f>IF(預測IC!AI18&gt;預測IC!AI$25,1,0)</f>
        <v>1</v>
      </c>
      <c r="AJ18" s="7">
        <f>IF(預測IC!AJ18&gt;預測IC!AJ$25,1,0)</f>
        <v>0</v>
      </c>
      <c r="AK18" s="7">
        <f>IF(預測IC!AK18&gt;預測IC!AK$25,1,0)</f>
        <v>1</v>
      </c>
      <c r="AL18" s="7">
        <f>IF(預測IC!AL18&gt;預測IC!AL$25,1,0)</f>
        <v>0</v>
      </c>
      <c r="AM18" s="7">
        <f>IF(預測IC!AM18&gt;預測IC!AM$25,1,0)</f>
        <v>0</v>
      </c>
      <c r="AN18" s="7">
        <f>IF(預測IC!AN18&gt;預測IC!AN$25,1,0)</f>
        <v>1</v>
      </c>
      <c r="AO18" s="7">
        <f>IF(預測IC!AO18&gt;預測IC!AO$25,1,0)</f>
        <v>0</v>
      </c>
      <c r="AP18" s="7">
        <f>IF(預測IC!AP18&gt;預測IC!AP$25,1,0)</f>
        <v>1</v>
      </c>
      <c r="AQ18" s="7">
        <f>IF(預測IC!AQ18&gt;預測IC!AQ$25,1,0)</f>
        <v>1</v>
      </c>
      <c r="AR18" s="7">
        <f>IF(預測IC!AR18&gt;預測IC!AR$25,1,0)</f>
        <v>1</v>
      </c>
      <c r="AS18" s="7">
        <f>IF(預測IC!AS18&gt;預測IC!AS$25,1,0)</f>
        <v>0</v>
      </c>
      <c r="AT18" s="7">
        <f>IF(預測IC!AT18&gt;預測IC!AT$25,1,0)</f>
        <v>1</v>
      </c>
      <c r="AU18" s="7">
        <f>IF(預測IC!AU18&gt;預測IC!AU$25,1,0)</f>
        <v>0</v>
      </c>
      <c r="AV18" s="7">
        <f>IF(預測IC!AV18&gt;預測IC!AV$25,1,0)</f>
        <v>1</v>
      </c>
      <c r="AW18" s="7">
        <f>IF(預測IC!AW18&gt;預測IC!AW$25,1,0)</f>
        <v>1</v>
      </c>
      <c r="AX18" s="7">
        <f>IF(預測IC!AX18&gt;預測IC!AX$25,1,0)</f>
        <v>1</v>
      </c>
      <c r="AY18" s="7">
        <f>IF(預測IC!AY18&gt;預測IC!AY$25,1,0)</f>
        <v>0</v>
      </c>
      <c r="AZ18" s="7">
        <f>IF(預測IC!AZ18&gt;預測IC!AZ$25,1,0)</f>
        <v>0</v>
      </c>
      <c r="BA18" s="7">
        <f>IF(預測IC!BA18&gt;預測IC!BA$25,1,0)</f>
        <v>0</v>
      </c>
      <c r="BB18" s="7">
        <f>IF(預測IC!BB18&gt;預測IC!BB$25,1,0)</f>
        <v>1</v>
      </c>
      <c r="BC18" s="7">
        <f>IF(預測IC!BC18&gt;預測IC!BC$25,1,0)</f>
        <v>1</v>
      </c>
      <c r="BD18" s="7">
        <f>IF(預測IC!BD18&gt;預測IC!BD$25,1,0)</f>
        <v>0</v>
      </c>
      <c r="BE18" s="7">
        <f>IF(預測IC!BE18&gt;預測IC!BE$25,1,0)</f>
        <v>1</v>
      </c>
      <c r="BF18" s="7">
        <f>IF(預測IC!BF18&gt;預測IC!BF$25,1,0)</f>
        <v>0</v>
      </c>
      <c r="BG18" s="7">
        <f>IF(預測IC!BG18&gt;預測IC!BG$25,1,0)</f>
        <v>0</v>
      </c>
      <c r="BH18" s="7">
        <f>IF(預測IC!BH18&gt;預測IC!BH$25,1,0)</f>
        <v>0</v>
      </c>
      <c r="BI18" s="7">
        <f>IF(預測IC!BI18&gt;預測IC!BI$25,1,0)</f>
        <v>1</v>
      </c>
      <c r="BJ18" s="7">
        <f>IF(預測IC!BJ18&gt;預測IC!BJ$25,1,0)</f>
        <v>0</v>
      </c>
      <c r="BK18" s="7">
        <f>IF(預測IC!BK18&gt;預測IC!BK$25,1,0)</f>
        <v>0</v>
      </c>
      <c r="BL18" s="7">
        <f>IF(預測IC!BL18&gt;預測IC!BL$25,1,0)</f>
        <v>1</v>
      </c>
      <c r="BM18" s="7">
        <f>IF(預測IC!BM18&gt;預測IC!BM$25,1,0)</f>
        <v>1</v>
      </c>
      <c r="BN18" s="7">
        <f>IF(預測IC!BN18&gt;預測IC!BN$25,1,0)</f>
        <v>1</v>
      </c>
      <c r="BO18" s="7">
        <f>IF(預測IC!BO18&gt;預測IC!BO$25,1,0)</f>
        <v>1</v>
      </c>
      <c r="BP18" s="7">
        <f>IF(預測IC!BP18&gt;預測IC!BP$25,1,0)</f>
        <v>1</v>
      </c>
      <c r="BQ18" s="7">
        <f>IF(預測IC!BQ18&gt;預測IC!BQ$25,1,0)</f>
        <v>0</v>
      </c>
      <c r="BR18" s="7">
        <f>IF(預測IC!BR18&gt;預測IC!BR$25,1,0)</f>
        <v>1</v>
      </c>
      <c r="BS18" s="7">
        <f>IF(預測IC!BS18&gt;預測IC!BS$25,1,0)</f>
        <v>0</v>
      </c>
      <c r="BT18" s="7">
        <f>IF(預測IC!BT18&gt;預測IC!BT$25,1,0)</f>
        <v>1</v>
      </c>
      <c r="BU18" s="7">
        <f>IF(預測IC!BU18&gt;預測IC!BU$25,1,0)</f>
        <v>0</v>
      </c>
      <c r="BV18" s="7">
        <f>IF(預測IC!BV18&gt;預測IC!BV$25,1,0)</f>
        <v>1</v>
      </c>
      <c r="BW18" s="7">
        <f>IF(預測IC!BW18&gt;預測IC!BW$25,1,0)</f>
        <v>0</v>
      </c>
      <c r="BX18" s="7">
        <f>IF(預測IC!BX18&gt;預測IC!BX$25,1,0)</f>
        <v>1</v>
      </c>
      <c r="BY18" s="7">
        <f>IF(預測IC!BY18&gt;預測IC!BY$25,1,0)</f>
        <v>1</v>
      </c>
      <c r="BZ18" s="7">
        <f>IF(預測IC!BZ18&gt;預測IC!BZ$25,1,0)</f>
        <v>0</v>
      </c>
      <c r="CA18" s="7">
        <f>IF(預測IC!CA18&gt;預測IC!CA$25,1,0)</f>
        <v>1</v>
      </c>
      <c r="CB18" s="7">
        <f>IF(預測IC!CB18&gt;預測IC!CB$25,1,0)</f>
        <v>1</v>
      </c>
      <c r="CC18" s="7">
        <f>IF(預測IC!CC18&gt;預測IC!CC$25,1,0)</f>
        <v>0</v>
      </c>
      <c r="CD18" s="7">
        <f>IF(預測IC!CD18&gt;預測IC!CD$25,1,0)</f>
        <v>1</v>
      </c>
      <c r="CE18" s="7">
        <f>IF(預測IC!CE18&gt;預測IC!CE$25,1,0)</f>
        <v>0</v>
      </c>
      <c r="CF18" s="7">
        <f>IF(預測IC!CF18&gt;預測IC!CF$25,1,0)</f>
        <v>1</v>
      </c>
      <c r="CG18" s="7">
        <f>IF(預測IC!CG18&gt;預測IC!CG$25,1,0)</f>
        <v>0</v>
      </c>
      <c r="CH18" s="7">
        <f>IF(預測IC!CH18&gt;預測IC!CH$25,1,0)</f>
        <v>0</v>
      </c>
      <c r="CI18" s="7">
        <f>IF(預測IC!CI18&gt;預測IC!CI$25,1,0)</f>
        <v>0</v>
      </c>
      <c r="CJ18" s="7">
        <f>IF(預測IC!CJ18&gt;預測IC!CJ$25,1,0)</f>
        <v>0</v>
      </c>
      <c r="CK18" s="7">
        <f>IF(預測IC!CK18&gt;預測IC!CK$25,1,0)</f>
        <v>1</v>
      </c>
      <c r="CL18" s="7">
        <f>IF(預測IC!CL18&gt;預測IC!CL$25,1,0)</f>
        <v>0</v>
      </c>
      <c r="CM18" s="7">
        <f>IF(預測IC!CM18&gt;預測IC!CM$25,1,0)</f>
        <v>0</v>
      </c>
      <c r="CN18" s="7">
        <f>IF(預測IC!CN18&gt;預測IC!CN$25,1,0)</f>
        <v>0</v>
      </c>
      <c r="CO18" s="7">
        <f>IF(預測IC!CO18&gt;預測IC!CO$25,1,0)</f>
        <v>0</v>
      </c>
      <c r="CP18" s="7">
        <f>IF(預測IC!CP18&gt;預測IC!CP$25,1,0)</f>
        <v>1</v>
      </c>
      <c r="CQ18" s="7">
        <f>IF(預測IC!CQ18&gt;預測IC!CQ$25,1,0)</f>
        <v>1</v>
      </c>
      <c r="CR18" s="7">
        <f>IF(預測IC!CR18&gt;預測IC!CR$25,1,0)</f>
        <v>1</v>
      </c>
      <c r="CS18" s="7">
        <f>IF(預測IC!CS18&gt;預測IC!CS$25,1,0)</f>
        <v>0</v>
      </c>
      <c r="CT18" s="7">
        <f>IF(預測IC!CT18&gt;預測IC!CT$25,1,0)</f>
        <v>1</v>
      </c>
      <c r="CU18" s="7">
        <f>IF(預測IC!CU18&gt;預測IC!CU$25,1,0)</f>
        <v>0</v>
      </c>
      <c r="CV18" s="7">
        <f>IF(預測IC!CV18&gt;預測IC!CV$25,1,0)</f>
        <v>1</v>
      </c>
      <c r="CW18" s="7">
        <f>IF(預測IC!CW18&gt;預測IC!CW$25,1,0)</f>
        <v>0</v>
      </c>
      <c r="CX18" s="7">
        <f>IF(預測IC!CX18&gt;預測IC!CX$25,1,0)</f>
        <v>0</v>
      </c>
      <c r="CY18" s="7">
        <f>IF(預測IC!CY18&gt;預測IC!CY$25,1,0)</f>
        <v>1</v>
      </c>
      <c r="CZ18" s="7">
        <f>IF(預測IC!CZ18&gt;預測IC!CZ$25,1,0)</f>
        <v>1</v>
      </c>
      <c r="DA18" s="7">
        <f>IF(預測IC!DA18&gt;預測IC!DA$25,1,0)</f>
        <v>1</v>
      </c>
      <c r="DB18" s="7">
        <f>IF(預測IC!DB18&gt;預測IC!DB$25,1,0)</f>
        <v>1</v>
      </c>
      <c r="DC18" s="7">
        <f>IF(預測IC!DC18&gt;預測IC!DC$25,1,0)</f>
        <v>1</v>
      </c>
      <c r="DD18" s="7">
        <f>IF(預測IC!DD18&gt;預測IC!DD$25,1,0)</f>
        <v>0</v>
      </c>
      <c r="DE18" s="7">
        <f>IF(預測IC!DE18&gt;預測IC!DE$25,1,0)</f>
        <v>0</v>
      </c>
      <c r="DF18" s="7">
        <f>IF(預測IC!DF18&gt;預測IC!DF$25,1,0)</f>
        <v>1</v>
      </c>
      <c r="DG18" s="7">
        <f>IF(預測IC!DG18&gt;預測IC!DG$25,1,0)</f>
        <v>0</v>
      </c>
      <c r="DH18" s="7">
        <f>IF(預測IC!DH18&gt;預測IC!DH$25,1,0)</f>
        <v>0</v>
      </c>
      <c r="DI18" s="7">
        <f>IF(預測IC!DI18&gt;預測IC!DI$25,1,0)</f>
        <v>0</v>
      </c>
      <c r="DJ18" s="7">
        <f>IF(預測IC!DJ18&gt;預測IC!DJ$25,1,0)</f>
        <v>1</v>
      </c>
      <c r="DK18" s="7">
        <f>IF(預測IC!DK18&gt;預測IC!DK$25,1,0)</f>
        <v>0</v>
      </c>
      <c r="DL18" s="7">
        <f>IF(預測IC!DL18&gt;預測IC!DL$25,1,0)</f>
        <v>0</v>
      </c>
      <c r="DM18" s="7">
        <f>IF(預測IC!DM18&gt;預測IC!DM$25,1,0)</f>
        <v>0</v>
      </c>
      <c r="DN18" s="7">
        <f>IF(預測IC!DN18&gt;預測IC!DN$25,1,0)</f>
        <v>1</v>
      </c>
      <c r="DO18" s="7">
        <f>IF(預測IC!DO18&gt;預測IC!DO$25,1,0)</f>
        <v>1</v>
      </c>
      <c r="DP18" s="7">
        <f>IF(預測IC!DP18&gt;預測IC!DP$25,1,0)</f>
        <v>1</v>
      </c>
      <c r="DQ18" s="7">
        <f>IF(預測IC!DQ18&gt;預測IC!DQ$25,1,0)</f>
        <v>0</v>
      </c>
      <c r="DR18" s="7">
        <f>IF(預測IC!DR18&gt;預測IC!DR$25,1,0)</f>
        <v>1</v>
      </c>
      <c r="DS18" s="7">
        <f>IF(預測IC!DS18&gt;預測IC!DS$25,1,0)</f>
        <v>0</v>
      </c>
      <c r="DT18" s="7">
        <f>IF(預測IC!DT18&gt;預測IC!DT$25,1,0)</f>
        <v>0</v>
      </c>
      <c r="DU18" s="7">
        <f>IF(預測IC!DU18&gt;預測IC!DU$25,1,0)</f>
        <v>0</v>
      </c>
      <c r="DV18" s="7">
        <f>IF(預測IC!DV18&gt;預測IC!DV$25,1,0)</f>
        <v>1</v>
      </c>
      <c r="DW18" s="7">
        <f>IF(預測IC!DW18&gt;預測IC!DW$25,1,0)</f>
        <v>0</v>
      </c>
      <c r="DX18" s="7">
        <f>IF(預測IC!DX18&gt;預測IC!DX$25,1,0)</f>
        <v>0</v>
      </c>
      <c r="DY18" s="7">
        <f>IF(預測IC!DY18&gt;預測IC!DY$25,1,0)</f>
        <v>1</v>
      </c>
      <c r="DZ18" s="7">
        <f>IF(預測IC!DZ18&gt;預測IC!DZ$25,1,0)</f>
        <v>0</v>
      </c>
      <c r="EA18" s="7">
        <f>IF(預測IC!EA18&gt;預測IC!EA$25,1,0)</f>
        <v>1</v>
      </c>
      <c r="EB18" s="7">
        <f>IF(預測IC!EB18&gt;預測IC!EB$25,1,0)</f>
        <v>0</v>
      </c>
      <c r="EC18" s="7">
        <f>IF(預測IC!EC18&gt;預測IC!EC$25,1,0)</f>
        <v>0</v>
      </c>
      <c r="ED18" s="7">
        <f>IF(預測IC!ED18&gt;預測IC!ED$25,1,0)</f>
        <v>0</v>
      </c>
      <c r="EE18" s="7">
        <f>IF(預測IC!EE18&gt;預測IC!EE$25,1,0)</f>
        <v>0</v>
      </c>
      <c r="EF18" s="7">
        <f>IF(預測IC!EF18&gt;預測IC!EF$25,1,0)</f>
        <v>1</v>
      </c>
      <c r="EG18">
        <f t="shared" si="10"/>
        <v>67</v>
      </c>
      <c r="EH18" s="13">
        <f t="shared" si="11"/>
        <v>0.4925373134328358</v>
      </c>
    </row>
    <row r="19" spans="1:138" x14ac:dyDescent="0.3">
      <c r="A19" s="1">
        <v>160</v>
      </c>
      <c r="B19" s="1">
        <v>6</v>
      </c>
      <c r="C19" s="7">
        <f>IF(預測IC!C19&gt;預測IC!C$25,1,0)</f>
        <v>1</v>
      </c>
      <c r="D19" s="7">
        <f>IF(預測IC!D19&gt;預測IC!D$25,1,0)</f>
        <v>0</v>
      </c>
      <c r="E19" s="7">
        <f>IF(預測IC!E19&gt;預測IC!E$25,1,0)</f>
        <v>0</v>
      </c>
      <c r="F19" s="7">
        <f>IF(預測IC!F19&gt;預測IC!F$25,1,0)</f>
        <v>0</v>
      </c>
      <c r="G19" s="7">
        <f>IF(預測IC!G19&gt;預測IC!G$25,1,0)</f>
        <v>0</v>
      </c>
      <c r="H19" s="7">
        <f>IF(預測IC!H19&gt;預測IC!H$25,1,0)</f>
        <v>1</v>
      </c>
      <c r="I19" s="7">
        <f>IF(預測IC!I19&gt;預測IC!I$25,1,0)</f>
        <v>1</v>
      </c>
      <c r="J19" s="7">
        <f>IF(預測IC!J19&gt;預測IC!J$25,1,0)</f>
        <v>1</v>
      </c>
      <c r="K19" s="7">
        <f>IF(預測IC!K19&gt;預測IC!K$25,1,0)</f>
        <v>0</v>
      </c>
      <c r="L19" s="7">
        <f>IF(預測IC!L19&gt;預測IC!L$25,1,0)</f>
        <v>1</v>
      </c>
      <c r="M19" s="7">
        <f>IF(預測IC!M19&gt;預測IC!M$25,1,0)</f>
        <v>1</v>
      </c>
      <c r="N19" s="7">
        <f>IF(預測IC!N19&gt;預測IC!N$25,1,0)</f>
        <v>1</v>
      </c>
      <c r="O19" s="7">
        <f>IF(預測IC!O19&gt;預測IC!O$25,1,0)</f>
        <v>1</v>
      </c>
      <c r="P19" s="7">
        <f>IF(預測IC!P19&gt;預測IC!P$25,1,0)</f>
        <v>0</v>
      </c>
      <c r="Q19" s="7">
        <f>IF(預測IC!Q19&gt;預測IC!Q$25,1,0)</f>
        <v>0</v>
      </c>
      <c r="R19" s="7">
        <f>IF(預測IC!R19&gt;預測IC!R$25,1,0)</f>
        <v>0</v>
      </c>
      <c r="S19" s="7">
        <f>IF(預測IC!S19&gt;預測IC!S$25,1,0)</f>
        <v>0</v>
      </c>
      <c r="T19" s="7">
        <f>IF(預測IC!T19&gt;預測IC!T$25,1,0)</f>
        <v>1</v>
      </c>
      <c r="U19" s="7">
        <f>IF(預測IC!U19&gt;預測IC!U$25,1,0)</f>
        <v>0</v>
      </c>
      <c r="V19" s="7">
        <f>IF(預測IC!V19&gt;預測IC!V$25,1,0)</f>
        <v>1</v>
      </c>
      <c r="W19" s="7">
        <f>IF(預測IC!W19&gt;預測IC!W$25,1,0)</f>
        <v>1</v>
      </c>
      <c r="X19" s="7">
        <f>IF(預測IC!X19&gt;預測IC!X$25,1,0)</f>
        <v>1</v>
      </c>
      <c r="Y19" s="7">
        <f>IF(預測IC!Y19&gt;預測IC!Y$25,1,0)</f>
        <v>1</v>
      </c>
      <c r="Z19" s="7">
        <f>IF(預測IC!Z19&gt;預測IC!Z$25,1,0)</f>
        <v>1</v>
      </c>
      <c r="AA19" s="7">
        <f>IF(預測IC!AA19&gt;預測IC!AA$25,1,0)</f>
        <v>0</v>
      </c>
      <c r="AB19" s="7">
        <f>IF(預測IC!AB19&gt;預測IC!AB$25,1,0)</f>
        <v>1</v>
      </c>
      <c r="AC19" s="7">
        <f>IF(預測IC!AC19&gt;預測IC!AC$25,1,0)</f>
        <v>0</v>
      </c>
      <c r="AD19" s="7">
        <f>IF(預測IC!AD19&gt;預測IC!AD$25,1,0)</f>
        <v>1</v>
      </c>
      <c r="AE19" s="7">
        <f>IF(預測IC!AE19&gt;預測IC!AE$25,1,0)</f>
        <v>0</v>
      </c>
      <c r="AF19" s="7">
        <f>IF(預測IC!AF19&gt;預測IC!AF$25,1,0)</f>
        <v>1</v>
      </c>
      <c r="AG19" s="7">
        <f>IF(預測IC!AG19&gt;預測IC!AG$25,1,0)</f>
        <v>0</v>
      </c>
      <c r="AH19" s="7">
        <f>IF(預測IC!AH19&gt;預測IC!AH$25,1,0)</f>
        <v>1</v>
      </c>
      <c r="AI19" s="7">
        <f>IF(預測IC!AI19&gt;預測IC!AI$25,1,0)</f>
        <v>1</v>
      </c>
      <c r="AJ19" s="7">
        <f>IF(預測IC!AJ19&gt;預測IC!AJ$25,1,0)</f>
        <v>0</v>
      </c>
      <c r="AK19" s="7">
        <f>IF(預測IC!AK19&gt;預測IC!AK$25,1,0)</f>
        <v>1</v>
      </c>
      <c r="AL19" s="7">
        <f>IF(預測IC!AL19&gt;預測IC!AL$25,1,0)</f>
        <v>0</v>
      </c>
      <c r="AM19" s="7">
        <f>IF(預測IC!AM19&gt;預測IC!AM$25,1,0)</f>
        <v>0</v>
      </c>
      <c r="AN19" s="7">
        <f>IF(預測IC!AN19&gt;預測IC!AN$25,1,0)</f>
        <v>1</v>
      </c>
      <c r="AO19" s="7">
        <f>IF(預測IC!AO19&gt;預測IC!AO$25,1,0)</f>
        <v>1</v>
      </c>
      <c r="AP19" s="7">
        <f>IF(預測IC!AP19&gt;預測IC!AP$25,1,0)</f>
        <v>1</v>
      </c>
      <c r="AQ19" s="7">
        <f>IF(預測IC!AQ19&gt;預測IC!AQ$25,1,0)</f>
        <v>1</v>
      </c>
      <c r="AR19" s="7">
        <f>IF(預測IC!AR19&gt;預測IC!AR$25,1,0)</f>
        <v>0</v>
      </c>
      <c r="AS19" s="7">
        <f>IF(預測IC!AS19&gt;預測IC!AS$25,1,0)</f>
        <v>0</v>
      </c>
      <c r="AT19" s="7">
        <f>IF(預測IC!AT19&gt;預測IC!AT$25,1,0)</f>
        <v>1</v>
      </c>
      <c r="AU19" s="7">
        <f>IF(預測IC!AU19&gt;預測IC!AU$25,1,0)</f>
        <v>0</v>
      </c>
      <c r="AV19" s="7">
        <f>IF(預測IC!AV19&gt;預測IC!AV$25,1,0)</f>
        <v>0</v>
      </c>
      <c r="AW19" s="7">
        <f>IF(預測IC!AW19&gt;預測IC!AW$25,1,0)</f>
        <v>1</v>
      </c>
      <c r="AX19" s="7">
        <f>IF(預測IC!AX19&gt;預測IC!AX$25,1,0)</f>
        <v>1</v>
      </c>
      <c r="AY19" s="7">
        <f>IF(預測IC!AY19&gt;預測IC!AY$25,1,0)</f>
        <v>0</v>
      </c>
      <c r="AZ19" s="7">
        <f>IF(預測IC!AZ19&gt;預測IC!AZ$25,1,0)</f>
        <v>0</v>
      </c>
      <c r="BA19" s="7">
        <f>IF(預測IC!BA19&gt;預測IC!BA$25,1,0)</f>
        <v>0</v>
      </c>
      <c r="BB19" s="7">
        <f>IF(預測IC!BB19&gt;預測IC!BB$25,1,0)</f>
        <v>1</v>
      </c>
      <c r="BC19" s="7">
        <f>IF(預測IC!BC19&gt;預測IC!BC$25,1,0)</f>
        <v>1</v>
      </c>
      <c r="BD19" s="7">
        <f>IF(預測IC!BD19&gt;預測IC!BD$25,1,0)</f>
        <v>1</v>
      </c>
      <c r="BE19" s="7">
        <f>IF(預測IC!BE19&gt;預測IC!BE$25,1,0)</f>
        <v>1</v>
      </c>
      <c r="BF19" s="7">
        <f>IF(預測IC!BF19&gt;預測IC!BF$25,1,0)</f>
        <v>0</v>
      </c>
      <c r="BG19" s="7">
        <f>IF(預測IC!BG19&gt;預測IC!BG$25,1,0)</f>
        <v>0</v>
      </c>
      <c r="BH19" s="7">
        <f>IF(預測IC!BH19&gt;預測IC!BH$25,1,0)</f>
        <v>0</v>
      </c>
      <c r="BI19" s="7">
        <f>IF(預測IC!BI19&gt;預測IC!BI$25,1,0)</f>
        <v>1</v>
      </c>
      <c r="BJ19" s="7">
        <f>IF(預測IC!BJ19&gt;預測IC!BJ$25,1,0)</f>
        <v>0</v>
      </c>
      <c r="BK19" s="7">
        <f>IF(預測IC!BK19&gt;預測IC!BK$25,1,0)</f>
        <v>0</v>
      </c>
      <c r="BL19" s="7">
        <f>IF(預測IC!BL19&gt;預測IC!BL$25,1,0)</f>
        <v>1</v>
      </c>
      <c r="BM19" s="7">
        <f>IF(預測IC!BM19&gt;預測IC!BM$25,1,0)</f>
        <v>1</v>
      </c>
      <c r="BN19" s="7">
        <f>IF(預測IC!BN19&gt;預測IC!BN$25,1,0)</f>
        <v>1</v>
      </c>
      <c r="BO19" s="7">
        <f>IF(預測IC!BO19&gt;預測IC!BO$25,1,0)</f>
        <v>1</v>
      </c>
      <c r="BP19" s="7">
        <f>IF(預測IC!BP19&gt;預測IC!BP$25,1,0)</f>
        <v>1</v>
      </c>
      <c r="BQ19" s="7">
        <f>IF(預測IC!BQ19&gt;預測IC!BQ$25,1,0)</f>
        <v>1</v>
      </c>
      <c r="BR19" s="7">
        <f>IF(預測IC!BR19&gt;預測IC!BR$25,1,0)</f>
        <v>1</v>
      </c>
      <c r="BS19" s="7">
        <f>IF(預測IC!BS19&gt;預測IC!BS$25,1,0)</f>
        <v>0</v>
      </c>
      <c r="BT19" s="7">
        <f>IF(預測IC!BT19&gt;預測IC!BT$25,1,0)</f>
        <v>1</v>
      </c>
      <c r="BU19" s="7">
        <f>IF(預測IC!BU19&gt;預測IC!BU$25,1,0)</f>
        <v>0</v>
      </c>
      <c r="BV19" s="7">
        <f>IF(預測IC!BV19&gt;預測IC!BV$25,1,0)</f>
        <v>1</v>
      </c>
      <c r="BW19" s="7">
        <f>IF(預測IC!BW19&gt;預測IC!BW$25,1,0)</f>
        <v>0</v>
      </c>
      <c r="BX19" s="7">
        <f>IF(預測IC!BX19&gt;預測IC!BX$25,1,0)</f>
        <v>1</v>
      </c>
      <c r="BY19" s="7">
        <f>IF(預測IC!BY19&gt;預測IC!BY$25,1,0)</f>
        <v>1</v>
      </c>
      <c r="BZ19" s="7">
        <f>IF(預測IC!BZ19&gt;預測IC!BZ$25,1,0)</f>
        <v>0</v>
      </c>
      <c r="CA19" s="7">
        <f>IF(預測IC!CA19&gt;預測IC!CA$25,1,0)</f>
        <v>1</v>
      </c>
      <c r="CB19" s="7">
        <f>IF(預測IC!CB19&gt;預測IC!CB$25,1,0)</f>
        <v>1</v>
      </c>
      <c r="CC19" s="7">
        <f>IF(預測IC!CC19&gt;預測IC!CC$25,1,0)</f>
        <v>0</v>
      </c>
      <c r="CD19" s="7">
        <f>IF(預測IC!CD19&gt;預測IC!CD$25,1,0)</f>
        <v>1</v>
      </c>
      <c r="CE19" s="7">
        <f>IF(預測IC!CE19&gt;預測IC!CE$25,1,0)</f>
        <v>0</v>
      </c>
      <c r="CF19" s="7">
        <f>IF(預測IC!CF19&gt;預測IC!CF$25,1,0)</f>
        <v>1</v>
      </c>
      <c r="CG19" s="7">
        <f>IF(預測IC!CG19&gt;預測IC!CG$25,1,0)</f>
        <v>0</v>
      </c>
      <c r="CH19" s="7">
        <f>IF(預測IC!CH19&gt;預測IC!CH$25,1,0)</f>
        <v>0</v>
      </c>
      <c r="CI19" s="7">
        <f>IF(預測IC!CI19&gt;預測IC!CI$25,1,0)</f>
        <v>0</v>
      </c>
      <c r="CJ19" s="7">
        <f>IF(預測IC!CJ19&gt;預測IC!CJ$25,1,0)</f>
        <v>0</v>
      </c>
      <c r="CK19" s="7">
        <f>IF(預測IC!CK19&gt;預測IC!CK$25,1,0)</f>
        <v>1</v>
      </c>
      <c r="CL19" s="7">
        <f>IF(預測IC!CL19&gt;預測IC!CL$25,1,0)</f>
        <v>0</v>
      </c>
      <c r="CM19" s="7">
        <f>IF(預測IC!CM19&gt;預測IC!CM$25,1,0)</f>
        <v>0</v>
      </c>
      <c r="CN19" s="7">
        <f>IF(預測IC!CN19&gt;預測IC!CN$25,1,0)</f>
        <v>0</v>
      </c>
      <c r="CO19" s="7">
        <f>IF(預測IC!CO19&gt;預測IC!CO$25,1,0)</f>
        <v>0</v>
      </c>
      <c r="CP19" s="7">
        <f>IF(預測IC!CP19&gt;預測IC!CP$25,1,0)</f>
        <v>1</v>
      </c>
      <c r="CQ19" s="7">
        <f>IF(預測IC!CQ19&gt;預測IC!CQ$25,1,0)</f>
        <v>1</v>
      </c>
      <c r="CR19" s="7">
        <f>IF(預測IC!CR19&gt;預測IC!CR$25,1,0)</f>
        <v>1</v>
      </c>
      <c r="CS19" s="7">
        <f>IF(預測IC!CS19&gt;預測IC!CS$25,1,0)</f>
        <v>0</v>
      </c>
      <c r="CT19" s="7">
        <f>IF(預測IC!CT19&gt;預測IC!CT$25,1,0)</f>
        <v>0</v>
      </c>
      <c r="CU19" s="7">
        <f>IF(預測IC!CU19&gt;預測IC!CU$25,1,0)</f>
        <v>0</v>
      </c>
      <c r="CV19" s="7">
        <f>IF(預測IC!CV19&gt;預測IC!CV$25,1,0)</f>
        <v>1</v>
      </c>
      <c r="CW19" s="7">
        <f>IF(預測IC!CW19&gt;預測IC!CW$25,1,0)</f>
        <v>0</v>
      </c>
      <c r="CX19" s="7">
        <f>IF(預測IC!CX19&gt;預測IC!CX$25,1,0)</f>
        <v>0</v>
      </c>
      <c r="CY19" s="7">
        <f>IF(預測IC!CY19&gt;預測IC!CY$25,1,0)</f>
        <v>1</v>
      </c>
      <c r="CZ19" s="7">
        <f>IF(預測IC!CZ19&gt;預測IC!CZ$25,1,0)</f>
        <v>1</v>
      </c>
      <c r="DA19" s="7">
        <f>IF(預測IC!DA19&gt;預測IC!DA$25,1,0)</f>
        <v>1</v>
      </c>
      <c r="DB19" s="7">
        <f>IF(預測IC!DB19&gt;預測IC!DB$25,1,0)</f>
        <v>1</v>
      </c>
      <c r="DC19" s="7">
        <f>IF(預測IC!DC19&gt;預測IC!DC$25,1,0)</f>
        <v>1</v>
      </c>
      <c r="DD19" s="7">
        <f>IF(預測IC!DD19&gt;預測IC!DD$25,1,0)</f>
        <v>1</v>
      </c>
      <c r="DE19" s="7">
        <f>IF(預測IC!DE19&gt;預測IC!DE$25,1,0)</f>
        <v>0</v>
      </c>
      <c r="DF19" s="7">
        <f>IF(預測IC!DF19&gt;預測IC!DF$25,1,0)</f>
        <v>1</v>
      </c>
      <c r="DG19" s="7">
        <f>IF(預測IC!DG19&gt;預測IC!DG$25,1,0)</f>
        <v>0</v>
      </c>
      <c r="DH19" s="7">
        <f>IF(預測IC!DH19&gt;預測IC!DH$25,1,0)</f>
        <v>1</v>
      </c>
      <c r="DI19" s="7">
        <f>IF(預測IC!DI19&gt;預測IC!DI$25,1,0)</f>
        <v>1</v>
      </c>
      <c r="DJ19" s="7">
        <f>IF(預測IC!DJ19&gt;預測IC!DJ$25,1,0)</f>
        <v>1</v>
      </c>
      <c r="DK19" s="7">
        <f>IF(預測IC!DK19&gt;預測IC!DK$25,1,0)</f>
        <v>0</v>
      </c>
      <c r="DL19" s="7">
        <f>IF(預測IC!DL19&gt;預測IC!DL$25,1,0)</f>
        <v>0</v>
      </c>
      <c r="DM19" s="7">
        <f>IF(預測IC!DM19&gt;預測IC!DM$25,1,0)</f>
        <v>1</v>
      </c>
      <c r="DN19" s="7">
        <f>IF(預測IC!DN19&gt;預測IC!DN$25,1,0)</f>
        <v>1</v>
      </c>
      <c r="DO19" s="7">
        <f>IF(預測IC!DO19&gt;預測IC!DO$25,1,0)</f>
        <v>1</v>
      </c>
      <c r="DP19" s="7">
        <f>IF(預測IC!DP19&gt;預測IC!DP$25,1,0)</f>
        <v>1</v>
      </c>
      <c r="DQ19" s="7">
        <f>IF(預測IC!DQ19&gt;預測IC!DQ$25,1,0)</f>
        <v>0</v>
      </c>
      <c r="DR19" s="7">
        <f>IF(預測IC!DR19&gt;預測IC!DR$25,1,0)</f>
        <v>1</v>
      </c>
      <c r="DS19" s="7">
        <f>IF(預測IC!DS19&gt;預測IC!DS$25,1,0)</f>
        <v>0</v>
      </c>
      <c r="DT19" s="7">
        <f>IF(預測IC!DT19&gt;預測IC!DT$25,1,0)</f>
        <v>0</v>
      </c>
      <c r="DU19" s="7">
        <f>IF(預測IC!DU19&gt;預測IC!DU$25,1,0)</f>
        <v>0</v>
      </c>
      <c r="DV19" s="7">
        <f>IF(預測IC!DV19&gt;預測IC!DV$25,1,0)</f>
        <v>1</v>
      </c>
      <c r="DW19" s="7">
        <f>IF(預測IC!DW19&gt;預測IC!DW$25,1,0)</f>
        <v>0</v>
      </c>
      <c r="DX19" s="7">
        <f>IF(預測IC!DX19&gt;預測IC!DX$25,1,0)</f>
        <v>1</v>
      </c>
      <c r="DY19" s="7">
        <f>IF(預測IC!DY19&gt;預測IC!DY$25,1,0)</f>
        <v>1</v>
      </c>
      <c r="DZ19" s="7">
        <f>IF(預測IC!DZ19&gt;預測IC!DZ$25,1,0)</f>
        <v>0</v>
      </c>
      <c r="EA19" s="7">
        <f>IF(預測IC!EA19&gt;預測IC!EA$25,1,0)</f>
        <v>1</v>
      </c>
      <c r="EB19" s="7">
        <f>IF(預測IC!EB19&gt;預測IC!EB$25,1,0)</f>
        <v>0</v>
      </c>
      <c r="EC19" s="7">
        <f>IF(預測IC!EC19&gt;預測IC!EC$25,1,0)</f>
        <v>0</v>
      </c>
      <c r="ED19" s="7">
        <f>IF(預測IC!ED19&gt;預測IC!ED$25,1,0)</f>
        <v>0</v>
      </c>
      <c r="EE19" s="7">
        <f>IF(預測IC!EE19&gt;預測IC!EE$25,1,0)</f>
        <v>0</v>
      </c>
      <c r="EF19" s="7">
        <f>IF(預測IC!EF19&gt;預測IC!EF$25,1,0)</f>
        <v>1</v>
      </c>
      <c r="EG19">
        <f t="shared" si="10"/>
        <v>72</v>
      </c>
      <c r="EH19" s="11">
        <f t="shared" si="11"/>
        <v>0.52985074626865669</v>
      </c>
    </row>
    <row r="20" spans="1:138" x14ac:dyDescent="0.3">
      <c r="A20" s="1">
        <v>192</v>
      </c>
      <c r="B20" s="1">
        <v>5</v>
      </c>
      <c r="C20" s="7">
        <f>IF(預測IC!C20&gt;預測IC!C$25,1,0)</f>
        <v>1</v>
      </c>
      <c r="D20" s="7">
        <f>IF(預測IC!D20&gt;預測IC!D$25,1,0)</f>
        <v>0</v>
      </c>
      <c r="E20" s="7">
        <f>IF(預測IC!E20&gt;預測IC!E$25,1,0)</f>
        <v>0</v>
      </c>
      <c r="F20" s="7">
        <f>IF(預測IC!F20&gt;預測IC!F$25,1,0)</f>
        <v>0</v>
      </c>
      <c r="G20" s="7">
        <f>IF(預測IC!G20&gt;預測IC!G$25,1,0)</f>
        <v>0</v>
      </c>
      <c r="H20" s="7">
        <f>IF(預測IC!H20&gt;預測IC!H$25,1,0)</f>
        <v>1</v>
      </c>
      <c r="I20" s="7">
        <f>IF(預測IC!I20&gt;預測IC!I$25,1,0)</f>
        <v>1</v>
      </c>
      <c r="J20" s="7">
        <f>IF(預測IC!J20&gt;預測IC!J$25,1,0)</f>
        <v>1</v>
      </c>
      <c r="K20" s="7">
        <f>IF(預測IC!K20&gt;預測IC!K$25,1,0)</f>
        <v>0</v>
      </c>
      <c r="L20" s="7">
        <f>IF(預測IC!L20&gt;預測IC!L$25,1,0)</f>
        <v>1</v>
      </c>
      <c r="M20" s="7">
        <f>IF(預測IC!M20&gt;預測IC!M$25,1,0)</f>
        <v>1</v>
      </c>
      <c r="N20" s="7">
        <f>IF(預測IC!N20&gt;預測IC!N$25,1,0)</f>
        <v>1</v>
      </c>
      <c r="O20" s="7">
        <f>IF(預測IC!O20&gt;預測IC!O$25,1,0)</f>
        <v>1</v>
      </c>
      <c r="P20" s="7">
        <f>IF(預測IC!P20&gt;預測IC!P$25,1,0)</f>
        <v>0</v>
      </c>
      <c r="Q20" s="7">
        <f>IF(預測IC!Q20&gt;預測IC!Q$25,1,0)</f>
        <v>0</v>
      </c>
      <c r="R20" s="7">
        <f>IF(預測IC!R20&gt;預測IC!R$25,1,0)</f>
        <v>0</v>
      </c>
      <c r="S20" s="7">
        <f>IF(預測IC!S20&gt;預測IC!S$25,1,0)</f>
        <v>0</v>
      </c>
      <c r="T20" s="7">
        <f>IF(預測IC!T20&gt;預測IC!T$25,1,0)</f>
        <v>1</v>
      </c>
      <c r="U20" s="7">
        <f>IF(預測IC!U20&gt;預測IC!U$25,1,0)</f>
        <v>0</v>
      </c>
      <c r="V20" s="7">
        <f>IF(預測IC!V20&gt;預測IC!V$25,1,0)</f>
        <v>1</v>
      </c>
      <c r="W20" s="7">
        <f>IF(預測IC!W20&gt;預測IC!W$25,1,0)</f>
        <v>1</v>
      </c>
      <c r="X20" s="7">
        <f>IF(預測IC!X20&gt;預測IC!X$25,1,0)</f>
        <v>1</v>
      </c>
      <c r="Y20" s="7">
        <f>IF(預測IC!Y20&gt;預測IC!Y$25,1,0)</f>
        <v>1</v>
      </c>
      <c r="Z20" s="7">
        <f>IF(預測IC!Z20&gt;預測IC!Z$25,1,0)</f>
        <v>1</v>
      </c>
      <c r="AA20" s="7">
        <f>IF(預測IC!AA20&gt;預測IC!AA$25,1,0)</f>
        <v>1</v>
      </c>
      <c r="AB20" s="7">
        <f>IF(預測IC!AB20&gt;預測IC!AB$25,1,0)</f>
        <v>1</v>
      </c>
      <c r="AC20" s="7">
        <f>IF(預測IC!AC20&gt;預測IC!AC$25,1,0)</f>
        <v>1</v>
      </c>
      <c r="AD20" s="7">
        <f>IF(預測IC!AD20&gt;預測IC!AD$25,1,0)</f>
        <v>1</v>
      </c>
      <c r="AE20" s="7">
        <f>IF(預測IC!AE20&gt;預測IC!AE$25,1,0)</f>
        <v>0</v>
      </c>
      <c r="AF20" s="7">
        <f>IF(預測IC!AF20&gt;預測IC!AF$25,1,0)</f>
        <v>1</v>
      </c>
      <c r="AG20" s="7">
        <f>IF(預測IC!AG20&gt;預測IC!AG$25,1,0)</f>
        <v>0</v>
      </c>
      <c r="AH20" s="7">
        <f>IF(預測IC!AH20&gt;預測IC!AH$25,1,0)</f>
        <v>1</v>
      </c>
      <c r="AI20" s="7">
        <f>IF(預測IC!AI20&gt;預測IC!AI$25,1,0)</f>
        <v>1</v>
      </c>
      <c r="AJ20" s="7">
        <f>IF(預測IC!AJ20&gt;預測IC!AJ$25,1,0)</f>
        <v>1</v>
      </c>
      <c r="AK20" s="7">
        <f>IF(預測IC!AK20&gt;預測IC!AK$25,1,0)</f>
        <v>1</v>
      </c>
      <c r="AL20" s="7">
        <f>IF(預測IC!AL20&gt;預測IC!AL$25,1,0)</f>
        <v>0</v>
      </c>
      <c r="AM20" s="7">
        <f>IF(預測IC!AM20&gt;預測IC!AM$25,1,0)</f>
        <v>0</v>
      </c>
      <c r="AN20" s="7">
        <f>IF(預測IC!AN20&gt;預測IC!AN$25,1,0)</f>
        <v>1</v>
      </c>
      <c r="AO20" s="7">
        <f>IF(預測IC!AO20&gt;預測IC!AO$25,1,0)</f>
        <v>1</v>
      </c>
      <c r="AP20" s="7">
        <f>IF(預測IC!AP20&gt;預測IC!AP$25,1,0)</f>
        <v>1</v>
      </c>
      <c r="AQ20" s="7">
        <f>IF(預測IC!AQ20&gt;預測IC!AQ$25,1,0)</f>
        <v>1</v>
      </c>
      <c r="AR20" s="7">
        <f>IF(預測IC!AR20&gt;預測IC!AR$25,1,0)</f>
        <v>0</v>
      </c>
      <c r="AS20" s="7">
        <f>IF(預測IC!AS20&gt;預測IC!AS$25,1,0)</f>
        <v>0</v>
      </c>
      <c r="AT20" s="7">
        <f>IF(預測IC!AT20&gt;預測IC!AT$25,1,0)</f>
        <v>1</v>
      </c>
      <c r="AU20" s="7">
        <f>IF(預測IC!AU20&gt;預測IC!AU$25,1,0)</f>
        <v>0</v>
      </c>
      <c r="AV20" s="7">
        <f>IF(預測IC!AV20&gt;預測IC!AV$25,1,0)</f>
        <v>0</v>
      </c>
      <c r="AW20" s="7">
        <f>IF(預測IC!AW20&gt;預測IC!AW$25,1,0)</f>
        <v>1</v>
      </c>
      <c r="AX20" s="7">
        <f>IF(預測IC!AX20&gt;預測IC!AX$25,1,0)</f>
        <v>1</v>
      </c>
      <c r="AY20" s="7">
        <f>IF(預測IC!AY20&gt;預測IC!AY$25,1,0)</f>
        <v>0</v>
      </c>
      <c r="AZ20" s="7">
        <f>IF(預測IC!AZ20&gt;預測IC!AZ$25,1,0)</f>
        <v>0</v>
      </c>
      <c r="BA20" s="7">
        <f>IF(預測IC!BA20&gt;預測IC!BA$25,1,0)</f>
        <v>0</v>
      </c>
      <c r="BB20" s="7">
        <f>IF(預測IC!BB20&gt;預測IC!BB$25,1,0)</f>
        <v>1</v>
      </c>
      <c r="BC20" s="7">
        <f>IF(預測IC!BC20&gt;預測IC!BC$25,1,0)</f>
        <v>1</v>
      </c>
      <c r="BD20" s="7">
        <f>IF(預測IC!BD20&gt;預測IC!BD$25,1,0)</f>
        <v>0</v>
      </c>
      <c r="BE20" s="7">
        <f>IF(預測IC!BE20&gt;預測IC!BE$25,1,0)</f>
        <v>0</v>
      </c>
      <c r="BF20" s="7">
        <f>IF(預測IC!BF20&gt;預測IC!BF$25,1,0)</f>
        <v>0</v>
      </c>
      <c r="BG20" s="7">
        <f>IF(預測IC!BG20&gt;預測IC!BG$25,1,0)</f>
        <v>0</v>
      </c>
      <c r="BH20" s="7">
        <f>IF(預測IC!BH20&gt;預測IC!BH$25,1,0)</f>
        <v>0</v>
      </c>
      <c r="BI20" s="7">
        <f>IF(預測IC!BI20&gt;預測IC!BI$25,1,0)</f>
        <v>1</v>
      </c>
      <c r="BJ20" s="7">
        <f>IF(預測IC!BJ20&gt;預測IC!BJ$25,1,0)</f>
        <v>0</v>
      </c>
      <c r="BK20" s="7">
        <f>IF(預測IC!BK20&gt;預測IC!BK$25,1,0)</f>
        <v>0</v>
      </c>
      <c r="BL20" s="7">
        <f>IF(預測IC!BL20&gt;預測IC!BL$25,1,0)</f>
        <v>1</v>
      </c>
      <c r="BM20" s="7">
        <f>IF(預測IC!BM20&gt;預測IC!BM$25,1,0)</f>
        <v>1</v>
      </c>
      <c r="BN20" s="7">
        <f>IF(預測IC!BN20&gt;預測IC!BN$25,1,0)</f>
        <v>1</v>
      </c>
      <c r="BO20" s="7">
        <f>IF(預測IC!BO20&gt;預測IC!BO$25,1,0)</f>
        <v>1</v>
      </c>
      <c r="BP20" s="7">
        <f>IF(預測IC!BP20&gt;預測IC!BP$25,1,0)</f>
        <v>1</v>
      </c>
      <c r="BQ20" s="7">
        <f>IF(預測IC!BQ20&gt;預測IC!BQ$25,1,0)</f>
        <v>1</v>
      </c>
      <c r="BR20" s="7">
        <f>IF(預測IC!BR20&gt;預測IC!BR$25,1,0)</f>
        <v>1</v>
      </c>
      <c r="BS20" s="7">
        <f>IF(預測IC!BS20&gt;預測IC!BS$25,1,0)</f>
        <v>0</v>
      </c>
      <c r="BT20" s="7">
        <f>IF(預測IC!BT20&gt;預測IC!BT$25,1,0)</f>
        <v>1</v>
      </c>
      <c r="BU20" s="7">
        <f>IF(預測IC!BU20&gt;預測IC!BU$25,1,0)</f>
        <v>0</v>
      </c>
      <c r="BV20" s="7">
        <f>IF(預測IC!BV20&gt;預測IC!BV$25,1,0)</f>
        <v>1</v>
      </c>
      <c r="BW20" s="7">
        <f>IF(預測IC!BW20&gt;預測IC!BW$25,1,0)</f>
        <v>0</v>
      </c>
      <c r="BX20" s="7">
        <f>IF(預測IC!BX20&gt;預測IC!BX$25,1,0)</f>
        <v>1</v>
      </c>
      <c r="BY20" s="7">
        <f>IF(預測IC!BY20&gt;預測IC!BY$25,1,0)</f>
        <v>1</v>
      </c>
      <c r="BZ20" s="7">
        <f>IF(預測IC!BZ20&gt;預測IC!BZ$25,1,0)</f>
        <v>0</v>
      </c>
      <c r="CA20" s="7">
        <f>IF(預測IC!CA20&gt;預測IC!CA$25,1,0)</f>
        <v>0</v>
      </c>
      <c r="CB20" s="7">
        <f>IF(預測IC!CB20&gt;預測IC!CB$25,1,0)</f>
        <v>0</v>
      </c>
      <c r="CC20" s="7">
        <f>IF(預測IC!CC20&gt;預測IC!CC$25,1,0)</f>
        <v>0</v>
      </c>
      <c r="CD20" s="7">
        <f>IF(預測IC!CD20&gt;預測IC!CD$25,1,0)</f>
        <v>1</v>
      </c>
      <c r="CE20" s="7">
        <f>IF(預測IC!CE20&gt;預測IC!CE$25,1,0)</f>
        <v>0</v>
      </c>
      <c r="CF20" s="7">
        <f>IF(預測IC!CF20&gt;預測IC!CF$25,1,0)</f>
        <v>1</v>
      </c>
      <c r="CG20" s="7">
        <f>IF(預測IC!CG20&gt;預測IC!CG$25,1,0)</f>
        <v>0</v>
      </c>
      <c r="CH20" s="7">
        <f>IF(預測IC!CH20&gt;預測IC!CH$25,1,0)</f>
        <v>0</v>
      </c>
      <c r="CI20" s="7">
        <f>IF(預測IC!CI20&gt;預測IC!CI$25,1,0)</f>
        <v>0</v>
      </c>
      <c r="CJ20" s="7">
        <f>IF(預測IC!CJ20&gt;預測IC!CJ$25,1,0)</f>
        <v>0</v>
      </c>
      <c r="CK20" s="7">
        <f>IF(預測IC!CK20&gt;預測IC!CK$25,1,0)</f>
        <v>1</v>
      </c>
      <c r="CL20" s="7">
        <f>IF(預測IC!CL20&gt;預測IC!CL$25,1,0)</f>
        <v>0</v>
      </c>
      <c r="CM20" s="7">
        <f>IF(預測IC!CM20&gt;預測IC!CM$25,1,0)</f>
        <v>0</v>
      </c>
      <c r="CN20" s="7">
        <f>IF(預測IC!CN20&gt;預測IC!CN$25,1,0)</f>
        <v>0</v>
      </c>
      <c r="CO20" s="7">
        <f>IF(預測IC!CO20&gt;預測IC!CO$25,1,0)</f>
        <v>0</v>
      </c>
      <c r="CP20" s="7">
        <f>IF(預測IC!CP20&gt;預測IC!CP$25,1,0)</f>
        <v>1</v>
      </c>
      <c r="CQ20" s="7">
        <f>IF(預測IC!CQ20&gt;預測IC!CQ$25,1,0)</f>
        <v>1</v>
      </c>
      <c r="CR20" s="7">
        <f>IF(預測IC!CR20&gt;預測IC!CR$25,1,0)</f>
        <v>1</v>
      </c>
      <c r="CS20" s="7">
        <f>IF(預測IC!CS20&gt;預測IC!CS$25,1,0)</f>
        <v>0</v>
      </c>
      <c r="CT20" s="7">
        <f>IF(預測IC!CT20&gt;預測IC!CT$25,1,0)</f>
        <v>0</v>
      </c>
      <c r="CU20" s="7">
        <f>IF(預測IC!CU20&gt;預測IC!CU$25,1,0)</f>
        <v>0</v>
      </c>
      <c r="CV20" s="7">
        <f>IF(預測IC!CV20&gt;預測IC!CV$25,1,0)</f>
        <v>1</v>
      </c>
      <c r="CW20" s="7">
        <f>IF(預測IC!CW20&gt;預測IC!CW$25,1,0)</f>
        <v>0</v>
      </c>
      <c r="CX20" s="7">
        <f>IF(預測IC!CX20&gt;預測IC!CX$25,1,0)</f>
        <v>0</v>
      </c>
      <c r="CY20" s="7">
        <f>IF(預測IC!CY20&gt;預測IC!CY$25,1,0)</f>
        <v>1</v>
      </c>
      <c r="CZ20" s="7">
        <f>IF(預測IC!CZ20&gt;預測IC!CZ$25,1,0)</f>
        <v>1</v>
      </c>
      <c r="DA20" s="7">
        <f>IF(預測IC!DA20&gt;預測IC!DA$25,1,0)</f>
        <v>1</v>
      </c>
      <c r="DB20" s="7">
        <f>IF(預測IC!DB20&gt;預測IC!DB$25,1,0)</f>
        <v>1</v>
      </c>
      <c r="DC20" s="7">
        <f>IF(預測IC!DC20&gt;預測IC!DC$25,1,0)</f>
        <v>1</v>
      </c>
      <c r="DD20" s="7">
        <f>IF(預測IC!DD20&gt;預測IC!DD$25,1,0)</f>
        <v>1</v>
      </c>
      <c r="DE20" s="7">
        <f>IF(預測IC!DE20&gt;預測IC!DE$25,1,0)</f>
        <v>0</v>
      </c>
      <c r="DF20" s="7">
        <f>IF(預測IC!DF20&gt;預測IC!DF$25,1,0)</f>
        <v>1</v>
      </c>
      <c r="DG20" s="7">
        <f>IF(預測IC!DG20&gt;預測IC!DG$25,1,0)</f>
        <v>0</v>
      </c>
      <c r="DH20" s="7">
        <f>IF(預測IC!DH20&gt;預測IC!DH$25,1,0)</f>
        <v>1</v>
      </c>
      <c r="DI20" s="7">
        <f>IF(預測IC!DI20&gt;預測IC!DI$25,1,0)</f>
        <v>1</v>
      </c>
      <c r="DJ20" s="7">
        <f>IF(預測IC!DJ20&gt;預測IC!DJ$25,1,0)</f>
        <v>1</v>
      </c>
      <c r="DK20" s="7">
        <f>IF(預測IC!DK20&gt;預測IC!DK$25,1,0)</f>
        <v>0</v>
      </c>
      <c r="DL20" s="7">
        <f>IF(預測IC!DL20&gt;預測IC!DL$25,1,0)</f>
        <v>0</v>
      </c>
      <c r="DM20" s="7">
        <f>IF(預測IC!DM20&gt;預測IC!DM$25,1,0)</f>
        <v>0</v>
      </c>
      <c r="DN20" s="7">
        <f>IF(預測IC!DN20&gt;預測IC!DN$25,1,0)</f>
        <v>1</v>
      </c>
      <c r="DO20" s="7">
        <f>IF(預測IC!DO20&gt;預測IC!DO$25,1,0)</f>
        <v>1</v>
      </c>
      <c r="DP20" s="7">
        <f>IF(預測IC!DP20&gt;預測IC!DP$25,1,0)</f>
        <v>1</v>
      </c>
      <c r="DQ20" s="7">
        <f>IF(預測IC!DQ20&gt;預測IC!DQ$25,1,0)</f>
        <v>0</v>
      </c>
      <c r="DR20" s="7">
        <f>IF(預測IC!DR20&gt;預測IC!DR$25,1,0)</f>
        <v>1</v>
      </c>
      <c r="DS20" s="7">
        <f>IF(預測IC!DS20&gt;預測IC!DS$25,1,0)</f>
        <v>0</v>
      </c>
      <c r="DT20" s="7">
        <f>IF(預測IC!DT20&gt;預測IC!DT$25,1,0)</f>
        <v>0</v>
      </c>
      <c r="DU20" s="7">
        <f>IF(預測IC!DU20&gt;預測IC!DU$25,1,0)</f>
        <v>0</v>
      </c>
      <c r="DV20" s="7">
        <f>IF(預測IC!DV20&gt;預測IC!DV$25,1,0)</f>
        <v>1</v>
      </c>
      <c r="DW20" s="7">
        <f>IF(預測IC!DW20&gt;預測IC!DW$25,1,0)</f>
        <v>0</v>
      </c>
      <c r="DX20" s="7">
        <f>IF(預測IC!DX20&gt;預測IC!DX$25,1,0)</f>
        <v>1</v>
      </c>
      <c r="DY20" s="7">
        <f>IF(預測IC!DY20&gt;預測IC!DY$25,1,0)</f>
        <v>1</v>
      </c>
      <c r="DZ20" s="7">
        <f>IF(預測IC!DZ20&gt;預測IC!DZ$25,1,0)</f>
        <v>1</v>
      </c>
      <c r="EA20" s="7">
        <f>IF(預測IC!EA20&gt;預測IC!EA$25,1,0)</f>
        <v>1</v>
      </c>
      <c r="EB20" s="7">
        <f>IF(預測IC!EB20&gt;預測IC!EB$25,1,0)</f>
        <v>0</v>
      </c>
      <c r="EC20" s="7">
        <f>IF(預測IC!EC20&gt;預測IC!EC$25,1,0)</f>
        <v>0</v>
      </c>
      <c r="ED20" s="7">
        <f>IF(預測IC!ED20&gt;預測IC!ED$25,1,0)</f>
        <v>0</v>
      </c>
      <c r="EE20" s="7">
        <f>IF(預測IC!EE20&gt;預測IC!EE$25,1,0)</f>
        <v>0</v>
      </c>
      <c r="EF20" s="7">
        <f>IF(預測IC!EF20&gt;預測IC!EF$25,1,0)</f>
        <v>1</v>
      </c>
      <c r="EG20">
        <f t="shared" si="10"/>
        <v>71</v>
      </c>
      <c r="EH20" s="11">
        <f t="shared" si="11"/>
        <v>0.52238805970149249</v>
      </c>
    </row>
    <row r="21" spans="1:138" x14ac:dyDescent="0.3">
      <c r="A21" s="1">
        <v>241</v>
      </c>
      <c r="B21" s="1">
        <v>4</v>
      </c>
      <c r="C21" s="7">
        <f>IF(預測IC!C21&gt;預測IC!C$25,1,0)</f>
        <v>1</v>
      </c>
      <c r="D21" s="7">
        <f>IF(預測IC!D21&gt;預測IC!D$25,1,0)</f>
        <v>0</v>
      </c>
      <c r="E21" s="7">
        <f>IF(預測IC!E21&gt;預測IC!E$25,1,0)</f>
        <v>0</v>
      </c>
      <c r="F21" s="7">
        <f>IF(預測IC!F21&gt;預測IC!F$25,1,0)</f>
        <v>0</v>
      </c>
      <c r="G21" s="7">
        <f>IF(預測IC!G21&gt;預測IC!G$25,1,0)</f>
        <v>0</v>
      </c>
      <c r="H21" s="7">
        <f>IF(預測IC!H21&gt;預測IC!H$25,1,0)</f>
        <v>1</v>
      </c>
      <c r="I21" s="7">
        <f>IF(預測IC!I21&gt;預測IC!I$25,1,0)</f>
        <v>1</v>
      </c>
      <c r="J21" s="7">
        <f>IF(預測IC!J21&gt;預測IC!J$25,1,0)</f>
        <v>1</v>
      </c>
      <c r="K21" s="7">
        <f>IF(預測IC!K21&gt;預測IC!K$25,1,0)</f>
        <v>0</v>
      </c>
      <c r="L21" s="7">
        <f>IF(預測IC!L21&gt;預測IC!L$25,1,0)</f>
        <v>1</v>
      </c>
      <c r="M21" s="7">
        <f>IF(預測IC!M21&gt;預測IC!M$25,1,0)</f>
        <v>1</v>
      </c>
      <c r="N21" s="7">
        <f>IF(預測IC!N21&gt;預測IC!N$25,1,0)</f>
        <v>1</v>
      </c>
      <c r="O21" s="7">
        <f>IF(預測IC!O21&gt;預測IC!O$25,1,0)</f>
        <v>1</v>
      </c>
      <c r="P21" s="7">
        <f>IF(預測IC!P21&gt;預測IC!P$25,1,0)</f>
        <v>0</v>
      </c>
      <c r="Q21" s="7">
        <f>IF(預測IC!Q21&gt;預測IC!Q$25,1,0)</f>
        <v>0</v>
      </c>
      <c r="R21" s="7">
        <f>IF(預測IC!R21&gt;預測IC!R$25,1,0)</f>
        <v>0</v>
      </c>
      <c r="S21" s="7">
        <f>IF(預測IC!S21&gt;預測IC!S$25,1,0)</f>
        <v>0</v>
      </c>
      <c r="T21" s="7">
        <f>IF(預測IC!T21&gt;預測IC!T$25,1,0)</f>
        <v>1</v>
      </c>
      <c r="U21" s="7">
        <f>IF(預測IC!U21&gt;預測IC!U$25,1,0)</f>
        <v>0</v>
      </c>
      <c r="V21" s="7">
        <f>IF(預測IC!V21&gt;預測IC!V$25,1,0)</f>
        <v>1</v>
      </c>
      <c r="W21" s="7">
        <f>IF(預測IC!W21&gt;預測IC!W$25,1,0)</f>
        <v>1</v>
      </c>
      <c r="X21" s="7">
        <f>IF(預測IC!X21&gt;預測IC!X$25,1,0)</f>
        <v>1</v>
      </c>
      <c r="Y21" s="7">
        <f>IF(預測IC!Y21&gt;預測IC!Y$25,1,0)</f>
        <v>1</v>
      </c>
      <c r="Z21" s="7">
        <f>IF(預測IC!Z21&gt;預測IC!Z$25,1,0)</f>
        <v>1</v>
      </c>
      <c r="AA21" s="7">
        <f>IF(預測IC!AA21&gt;預測IC!AA$25,1,0)</f>
        <v>1</v>
      </c>
      <c r="AB21" s="7">
        <f>IF(預測IC!AB21&gt;預測IC!AB$25,1,0)</f>
        <v>1</v>
      </c>
      <c r="AC21" s="7">
        <f>IF(預測IC!AC21&gt;預測IC!AC$25,1,0)</f>
        <v>1</v>
      </c>
      <c r="AD21" s="7">
        <f>IF(預測IC!AD21&gt;預測IC!AD$25,1,0)</f>
        <v>1</v>
      </c>
      <c r="AE21" s="7">
        <f>IF(預測IC!AE21&gt;預測IC!AE$25,1,0)</f>
        <v>0</v>
      </c>
      <c r="AF21" s="7">
        <f>IF(預測IC!AF21&gt;預測IC!AF$25,1,0)</f>
        <v>1</v>
      </c>
      <c r="AG21" s="7">
        <f>IF(預測IC!AG21&gt;預測IC!AG$25,1,0)</f>
        <v>1</v>
      </c>
      <c r="AH21" s="7">
        <f>IF(預測IC!AH21&gt;預測IC!AH$25,1,0)</f>
        <v>1</v>
      </c>
      <c r="AI21" s="7">
        <f>IF(預測IC!AI21&gt;預測IC!AI$25,1,0)</f>
        <v>1</v>
      </c>
      <c r="AJ21" s="7">
        <f>IF(預測IC!AJ21&gt;預測IC!AJ$25,1,0)</f>
        <v>0</v>
      </c>
      <c r="AK21" s="7">
        <f>IF(預測IC!AK21&gt;預測IC!AK$25,1,0)</f>
        <v>1</v>
      </c>
      <c r="AL21" s="7">
        <f>IF(預測IC!AL21&gt;預測IC!AL$25,1,0)</f>
        <v>0</v>
      </c>
      <c r="AM21" s="7">
        <f>IF(預測IC!AM21&gt;預測IC!AM$25,1,0)</f>
        <v>1</v>
      </c>
      <c r="AN21" s="7">
        <f>IF(預測IC!AN21&gt;預測IC!AN$25,1,0)</f>
        <v>1</v>
      </c>
      <c r="AO21" s="7">
        <f>IF(預測IC!AO21&gt;預測IC!AO$25,1,0)</f>
        <v>1</v>
      </c>
      <c r="AP21" s="7">
        <f>IF(預測IC!AP21&gt;預測IC!AP$25,1,0)</f>
        <v>1</v>
      </c>
      <c r="AQ21" s="7">
        <f>IF(預測IC!AQ21&gt;預測IC!AQ$25,1,0)</f>
        <v>1</v>
      </c>
      <c r="AR21" s="7">
        <f>IF(預測IC!AR21&gt;預測IC!AR$25,1,0)</f>
        <v>0</v>
      </c>
      <c r="AS21" s="7">
        <f>IF(預測IC!AS21&gt;預測IC!AS$25,1,0)</f>
        <v>0</v>
      </c>
      <c r="AT21" s="7">
        <f>IF(預測IC!AT21&gt;預測IC!AT$25,1,0)</f>
        <v>1</v>
      </c>
      <c r="AU21" s="7">
        <f>IF(預測IC!AU21&gt;預測IC!AU$25,1,0)</f>
        <v>0</v>
      </c>
      <c r="AV21" s="7">
        <f>IF(預測IC!AV21&gt;預測IC!AV$25,1,0)</f>
        <v>0</v>
      </c>
      <c r="AW21" s="7">
        <f>IF(預測IC!AW21&gt;預測IC!AW$25,1,0)</f>
        <v>1</v>
      </c>
      <c r="AX21" s="7">
        <f>IF(預測IC!AX21&gt;預測IC!AX$25,1,0)</f>
        <v>1</v>
      </c>
      <c r="AY21" s="7">
        <f>IF(預測IC!AY21&gt;預測IC!AY$25,1,0)</f>
        <v>1</v>
      </c>
      <c r="AZ21" s="7">
        <f>IF(預測IC!AZ21&gt;預測IC!AZ$25,1,0)</f>
        <v>0</v>
      </c>
      <c r="BA21" s="7">
        <f>IF(預測IC!BA21&gt;預測IC!BA$25,1,0)</f>
        <v>0</v>
      </c>
      <c r="BB21" s="7">
        <f>IF(預測IC!BB21&gt;預測IC!BB$25,1,0)</f>
        <v>1</v>
      </c>
      <c r="BC21" s="7">
        <f>IF(預測IC!BC21&gt;預測IC!BC$25,1,0)</f>
        <v>1</v>
      </c>
      <c r="BD21" s="7">
        <f>IF(預測IC!BD21&gt;預測IC!BD$25,1,0)</f>
        <v>0</v>
      </c>
      <c r="BE21" s="7">
        <f>IF(預測IC!BE21&gt;預測IC!BE$25,1,0)</f>
        <v>0</v>
      </c>
      <c r="BF21" s="7">
        <f>IF(預測IC!BF21&gt;預測IC!BF$25,1,0)</f>
        <v>0</v>
      </c>
      <c r="BG21" s="7">
        <f>IF(預測IC!BG21&gt;預測IC!BG$25,1,0)</f>
        <v>0</v>
      </c>
      <c r="BH21" s="7">
        <f>IF(預測IC!BH21&gt;預測IC!BH$25,1,0)</f>
        <v>1</v>
      </c>
      <c r="BI21" s="7">
        <f>IF(預測IC!BI21&gt;預測IC!BI$25,1,0)</f>
        <v>1</v>
      </c>
      <c r="BJ21" s="7">
        <f>IF(預測IC!BJ21&gt;預測IC!BJ$25,1,0)</f>
        <v>0</v>
      </c>
      <c r="BK21" s="7">
        <f>IF(預測IC!BK21&gt;預測IC!BK$25,1,0)</f>
        <v>0</v>
      </c>
      <c r="BL21" s="7">
        <f>IF(預測IC!BL21&gt;預測IC!BL$25,1,0)</f>
        <v>1</v>
      </c>
      <c r="BM21" s="7">
        <f>IF(預測IC!BM21&gt;預測IC!BM$25,1,0)</f>
        <v>1</v>
      </c>
      <c r="BN21" s="7">
        <f>IF(預測IC!BN21&gt;預測IC!BN$25,1,0)</f>
        <v>1</v>
      </c>
      <c r="BO21" s="7">
        <f>IF(預測IC!BO21&gt;預測IC!BO$25,1,0)</f>
        <v>0</v>
      </c>
      <c r="BP21" s="7">
        <f>IF(預測IC!BP21&gt;預測IC!BP$25,1,0)</f>
        <v>1</v>
      </c>
      <c r="BQ21" s="7">
        <f>IF(預測IC!BQ21&gt;預測IC!BQ$25,1,0)</f>
        <v>1</v>
      </c>
      <c r="BR21" s="7">
        <f>IF(預測IC!BR21&gt;預測IC!BR$25,1,0)</f>
        <v>1</v>
      </c>
      <c r="BS21" s="7">
        <f>IF(預測IC!BS21&gt;預測IC!BS$25,1,0)</f>
        <v>0</v>
      </c>
      <c r="BT21" s="7">
        <f>IF(預測IC!BT21&gt;預測IC!BT$25,1,0)</f>
        <v>1</v>
      </c>
      <c r="BU21" s="7">
        <f>IF(預測IC!BU21&gt;預測IC!BU$25,1,0)</f>
        <v>0</v>
      </c>
      <c r="BV21" s="7">
        <f>IF(預測IC!BV21&gt;預測IC!BV$25,1,0)</f>
        <v>1</v>
      </c>
      <c r="BW21" s="7">
        <f>IF(預測IC!BW21&gt;預測IC!BW$25,1,0)</f>
        <v>0</v>
      </c>
      <c r="BX21" s="7">
        <f>IF(預測IC!BX21&gt;預測IC!BX$25,1,0)</f>
        <v>1</v>
      </c>
      <c r="BY21" s="7">
        <f>IF(預測IC!BY21&gt;預測IC!BY$25,1,0)</f>
        <v>1</v>
      </c>
      <c r="BZ21" s="7">
        <f>IF(預測IC!BZ21&gt;預測IC!BZ$25,1,0)</f>
        <v>0</v>
      </c>
      <c r="CA21" s="7">
        <f>IF(預測IC!CA21&gt;預測IC!CA$25,1,0)</f>
        <v>0</v>
      </c>
      <c r="CB21" s="7">
        <f>IF(預測IC!CB21&gt;預測IC!CB$25,1,0)</f>
        <v>1</v>
      </c>
      <c r="CC21" s="7">
        <f>IF(預測IC!CC21&gt;預測IC!CC$25,1,0)</f>
        <v>0</v>
      </c>
      <c r="CD21" s="7">
        <f>IF(預測IC!CD21&gt;預測IC!CD$25,1,0)</f>
        <v>1</v>
      </c>
      <c r="CE21" s="7">
        <f>IF(預測IC!CE21&gt;預測IC!CE$25,1,0)</f>
        <v>0</v>
      </c>
      <c r="CF21" s="7">
        <f>IF(預測IC!CF21&gt;預測IC!CF$25,1,0)</f>
        <v>1</v>
      </c>
      <c r="CG21" s="7">
        <f>IF(預測IC!CG21&gt;預測IC!CG$25,1,0)</f>
        <v>0</v>
      </c>
      <c r="CH21" s="7">
        <f>IF(預測IC!CH21&gt;預測IC!CH$25,1,0)</f>
        <v>0</v>
      </c>
      <c r="CI21" s="7">
        <f>IF(預測IC!CI21&gt;預測IC!CI$25,1,0)</f>
        <v>0</v>
      </c>
      <c r="CJ21" s="7">
        <f>IF(預測IC!CJ21&gt;預測IC!CJ$25,1,0)</f>
        <v>0</v>
      </c>
      <c r="CK21" s="7">
        <f>IF(預測IC!CK21&gt;預測IC!CK$25,1,0)</f>
        <v>1</v>
      </c>
      <c r="CL21" s="7">
        <f>IF(預測IC!CL21&gt;預測IC!CL$25,1,0)</f>
        <v>0</v>
      </c>
      <c r="CM21" s="7">
        <f>IF(預測IC!CM21&gt;預測IC!CM$25,1,0)</f>
        <v>0</v>
      </c>
      <c r="CN21" s="7">
        <f>IF(預測IC!CN21&gt;預測IC!CN$25,1,0)</f>
        <v>0</v>
      </c>
      <c r="CO21" s="7">
        <f>IF(預測IC!CO21&gt;預測IC!CO$25,1,0)</f>
        <v>0</v>
      </c>
      <c r="CP21" s="7">
        <f>IF(預測IC!CP21&gt;預測IC!CP$25,1,0)</f>
        <v>1</v>
      </c>
      <c r="CQ21" s="7">
        <f>IF(預測IC!CQ21&gt;預測IC!CQ$25,1,0)</f>
        <v>1</v>
      </c>
      <c r="CR21" s="7">
        <f>IF(預測IC!CR21&gt;預測IC!CR$25,1,0)</f>
        <v>1</v>
      </c>
      <c r="CS21" s="7">
        <f>IF(預測IC!CS21&gt;預測IC!CS$25,1,0)</f>
        <v>0</v>
      </c>
      <c r="CT21" s="7">
        <f>IF(預測IC!CT21&gt;預測IC!CT$25,1,0)</f>
        <v>1</v>
      </c>
      <c r="CU21" s="7">
        <f>IF(預測IC!CU21&gt;預測IC!CU$25,1,0)</f>
        <v>0</v>
      </c>
      <c r="CV21" s="7">
        <f>IF(預測IC!CV21&gt;預測IC!CV$25,1,0)</f>
        <v>1</v>
      </c>
      <c r="CW21" s="7">
        <f>IF(預測IC!CW21&gt;預測IC!CW$25,1,0)</f>
        <v>0</v>
      </c>
      <c r="CX21" s="7">
        <f>IF(預測IC!CX21&gt;預測IC!CX$25,1,0)</f>
        <v>0</v>
      </c>
      <c r="CY21" s="7">
        <f>IF(預測IC!CY21&gt;預測IC!CY$25,1,0)</f>
        <v>1</v>
      </c>
      <c r="CZ21" s="7">
        <f>IF(預測IC!CZ21&gt;預測IC!CZ$25,1,0)</f>
        <v>1</v>
      </c>
      <c r="DA21" s="7">
        <f>IF(預測IC!DA21&gt;預測IC!DA$25,1,0)</f>
        <v>1</v>
      </c>
      <c r="DB21" s="7">
        <f>IF(預測IC!DB21&gt;預測IC!DB$25,1,0)</f>
        <v>1</v>
      </c>
      <c r="DC21" s="7">
        <f>IF(預測IC!DC21&gt;預測IC!DC$25,1,0)</f>
        <v>0</v>
      </c>
      <c r="DD21" s="7">
        <f>IF(預測IC!DD21&gt;預測IC!DD$25,1,0)</f>
        <v>1</v>
      </c>
      <c r="DE21" s="7">
        <f>IF(預測IC!DE21&gt;預測IC!DE$25,1,0)</f>
        <v>0</v>
      </c>
      <c r="DF21" s="7">
        <f>IF(預測IC!DF21&gt;預測IC!DF$25,1,0)</f>
        <v>0</v>
      </c>
      <c r="DG21" s="7">
        <f>IF(預測IC!DG21&gt;預測IC!DG$25,1,0)</f>
        <v>0</v>
      </c>
      <c r="DH21" s="7">
        <f>IF(預測IC!DH21&gt;預測IC!DH$25,1,0)</f>
        <v>0</v>
      </c>
      <c r="DI21" s="7">
        <f>IF(預測IC!DI21&gt;預測IC!DI$25,1,0)</f>
        <v>1</v>
      </c>
      <c r="DJ21" s="7">
        <f>IF(預測IC!DJ21&gt;預測IC!DJ$25,1,0)</f>
        <v>1</v>
      </c>
      <c r="DK21" s="7">
        <f>IF(預測IC!DK21&gt;預測IC!DK$25,1,0)</f>
        <v>0</v>
      </c>
      <c r="DL21" s="7">
        <f>IF(預測IC!DL21&gt;預測IC!DL$25,1,0)</f>
        <v>0</v>
      </c>
      <c r="DM21" s="7">
        <f>IF(預測IC!DM21&gt;預測IC!DM$25,1,0)</f>
        <v>0</v>
      </c>
      <c r="DN21" s="7">
        <f>IF(預測IC!DN21&gt;預測IC!DN$25,1,0)</f>
        <v>1</v>
      </c>
      <c r="DO21" s="7">
        <f>IF(預測IC!DO21&gt;預測IC!DO$25,1,0)</f>
        <v>1</v>
      </c>
      <c r="DP21" s="7">
        <f>IF(預測IC!DP21&gt;預測IC!DP$25,1,0)</f>
        <v>0</v>
      </c>
      <c r="DQ21" s="7">
        <f>IF(預測IC!DQ21&gt;預測IC!DQ$25,1,0)</f>
        <v>0</v>
      </c>
      <c r="DR21" s="7">
        <f>IF(預測IC!DR21&gt;預測IC!DR$25,1,0)</f>
        <v>1</v>
      </c>
      <c r="DS21" s="7">
        <f>IF(預測IC!DS21&gt;預測IC!DS$25,1,0)</f>
        <v>0</v>
      </c>
      <c r="DT21" s="7">
        <f>IF(預測IC!DT21&gt;預測IC!DT$25,1,0)</f>
        <v>0</v>
      </c>
      <c r="DU21" s="7">
        <f>IF(預測IC!DU21&gt;預測IC!DU$25,1,0)</f>
        <v>0</v>
      </c>
      <c r="DV21" s="7">
        <f>IF(預測IC!DV21&gt;預測IC!DV$25,1,0)</f>
        <v>1</v>
      </c>
      <c r="DW21" s="7">
        <f>IF(預測IC!DW21&gt;預測IC!DW$25,1,0)</f>
        <v>0</v>
      </c>
      <c r="DX21" s="7">
        <f>IF(預測IC!DX21&gt;預測IC!DX$25,1,0)</f>
        <v>1</v>
      </c>
      <c r="DY21" s="7">
        <f>IF(預測IC!DY21&gt;預測IC!DY$25,1,0)</f>
        <v>1</v>
      </c>
      <c r="DZ21" s="7">
        <f>IF(預測IC!DZ21&gt;預測IC!DZ$25,1,0)</f>
        <v>1</v>
      </c>
      <c r="EA21" s="7">
        <f>IF(預測IC!EA21&gt;預測IC!EA$25,1,0)</f>
        <v>1</v>
      </c>
      <c r="EB21" s="7">
        <f>IF(預測IC!EB21&gt;預測IC!EB$25,1,0)</f>
        <v>0</v>
      </c>
      <c r="EC21" s="7">
        <f>IF(預測IC!EC21&gt;預測IC!EC$25,1,0)</f>
        <v>0</v>
      </c>
      <c r="ED21" s="7">
        <f>IF(預測IC!ED21&gt;預測IC!ED$25,1,0)</f>
        <v>0</v>
      </c>
      <c r="EE21" s="7">
        <f>IF(預測IC!EE21&gt;預測IC!EE$25,1,0)</f>
        <v>0</v>
      </c>
      <c r="EF21" s="7">
        <f>IF(預測IC!EF21&gt;預測IC!EF$25,1,0)</f>
        <v>1</v>
      </c>
      <c r="EG21">
        <f t="shared" si="10"/>
        <v>71</v>
      </c>
      <c r="EH21" s="11">
        <f t="shared" si="11"/>
        <v>0.52238805970149249</v>
      </c>
    </row>
    <row r="22" spans="1:138" x14ac:dyDescent="0.3">
      <c r="A22" s="1">
        <v>321</v>
      </c>
      <c r="B22" s="1">
        <v>3</v>
      </c>
      <c r="C22" s="7">
        <f>IF(預測IC!C22&gt;預測IC!C$25,1,0)</f>
        <v>1</v>
      </c>
      <c r="D22" s="7">
        <f>IF(預測IC!D22&gt;預測IC!D$25,1,0)</f>
        <v>0</v>
      </c>
      <c r="E22" s="7">
        <f>IF(預測IC!E22&gt;預測IC!E$25,1,0)</f>
        <v>0</v>
      </c>
      <c r="F22" s="7">
        <f>IF(預測IC!F22&gt;預測IC!F$25,1,0)</f>
        <v>0</v>
      </c>
      <c r="G22" s="7">
        <f>IF(預測IC!G22&gt;預測IC!G$25,1,0)</f>
        <v>0</v>
      </c>
      <c r="H22" s="7">
        <f>IF(預測IC!H22&gt;預測IC!H$25,1,0)</f>
        <v>1</v>
      </c>
      <c r="I22" s="7">
        <f>IF(預測IC!I22&gt;預測IC!I$25,1,0)</f>
        <v>1</v>
      </c>
      <c r="J22" s="7">
        <f>IF(預測IC!J22&gt;預測IC!J$25,1,0)</f>
        <v>1</v>
      </c>
      <c r="K22" s="7">
        <f>IF(預測IC!K22&gt;預測IC!K$25,1,0)</f>
        <v>0</v>
      </c>
      <c r="L22" s="7">
        <f>IF(預測IC!L22&gt;預測IC!L$25,1,0)</f>
        <v>1</v>
      </c>
      <c r="M22" s="7">
        <f>IF(預測IC!M22&gt;預測IC!M$25,1,0)</f>
        <v>0</v>
      </c>
      <c r="N22" s="7">
        <f>IF(預測IC!N22&gt;預測IC!N$25,1,0)</f>
        <v>1</v>
      </c>
      <c r="O22" s="7">
        <f>IF(預測IC!O22&gt;預測IC!O$25,1,0)</f>
        <v>1</v>
      </c>
      <c r="P22" s="7">
        <f>IF(預測IC!P22&gt;預測IC!P$25,1,0)</f>
        <v>0</v>
      </c>
      <c r="Q22" s="7">
        <f>IF(預測IC!Q22&gt;預測IC!Q$25,1,0)</f>
        <v>0</v>
      </c>
      <c r="R22" s="7">
        <f>IF(預測IC!R22&gt;預測IC!R$25,1,0)</f>
        <v>0</v>
      </c>
      <c r="S22" s="7">
        <f>IF(預測IC!S22&gt;預測IC!S$25,1,0)</f>
        <v>0</v>
      </c>
      <c r="T22" s="7">
        <f>IF(預測IC!T22&gt;預測IC!T$25,1,0)</f>
        <v>1</v>
      </c>
      <c r="U22" s="7">
        <f>IF(預測IC!U22&gt;預測IC!U$25,1,0)</f>
        <v>0</v>
      </c>
      <c r="V22" s="7">
        <f>IF(預測IC!V22&gt;預測IC!V$25,1,0)</f>
        <v>1</v>
      </c>
      <c r="W22" s="7">
        <f>IF(預測IC!W22&gt;預測IC!W$25,1,0)</f>
        <v>1</v>
      </c>
      <c r="X22" s="7">
        <f>IF(預測IC!X22&gt;預測IC!X$25,1,0)</f>
        <v>1</v>
      </c>
      <c r="Y22" s="7">
        <f>IF(預測IC!Y22&gt;預測IC!Y$25,1,0)</f>
        <v>1</v>
      </c>
      <c r="Z22" s="7">
        <f>IF(預測IC!Z22&gt;預測IC!Z$25,1,0)</f>
        <v>1</v>
      </c>
      <c r="AA22" s="7">
        <f>IF(預測IC!AA22&gt;預測IC!AA$25,1,0)</f>
        <v>1</v>
      </c>
      <c r="AB22" s="7">
        <f>IF(預測IC!AB22&gt;預測IC!AB$25,1,0)</f>
        <v>1</v>
      </c>
      <c r="AC22" s="7">
        <f>IF(預測IC!AC22&gt;預測IC!AC$25,1,0)</f>
        <v>1</v>
      </c>
      <c r="AD22" s="7">
        <f>IF(預測IC!AD22&gt;預測IC!AD$25,1,0)</f>
        <v>1</v>
      </c>
      <c r="AE22" s="7">
        <f>IF(預測IC!AE22&gt;預測IC!AE$25,1,0)</f>
        <v>0</v>
      </c>
      <c r="AF22" s="7">
        <f>IF(預測IC!AF22&gt;預測IC!AF$25,1,0)</f>
        <v>1</v>
      </c>
      <c r="AG22" s="7">
        <f>IF(預測IC!AG22&gt;預測IC!AG$25,1,0)</f>
        <v>1</v>
      </c>
      <c r="AH22" s="7">
        <f>IF(預測IC!AH22&gt;預測IC!AH$25,1,0)</f>
        <v>1</v>
      </c>
      <c r="AI22" s="7">
        <f>IF(預測IC!AI22&gt;預測IC!AI$25,1,0)</f>
        <v>1</v>
      </c>
      <c r="AJ22" s="7">
        <f>IF(預測IC!AJ22&gt;預測IC!AJ$25,1,0)</f>
        <v>0</v>
      </c>
      <c r="AK22" s="7">
        <f>IF(預測IC!AK22&gt;預測IC!AK$25,1,0)</f>
        <v>0</v>
      </c>
      <c r="AL22" s="7">
        <f>IF(預測IC!AL22&gt;預測IC!AL$25,1,0)</f>
        <v>0</v>
      </c>
      <c r="AM22" s="7">
        <f>IF(預測IC!AM22&gt;預測IC!AM$25,1,0)</f>
        <v>1</v>
      </c>
      <c r="AN22" s="7">
        <f>IF(預測IC!AN22&gt;預測IC!AN$25,1,0)</f>
        <v>1</v>
      </c>
      <c r="AO22" s="7">
        <f>IF(預測IC!AO22&gt;預測IC!AO$25,1,0)</f>
        <v>1</v>
      </c>
      <c r="AP22" s="7">
        <f>IF(預測IC!AP22&gt;預測IC!AP$25,1,0)</f>
        <v>1</v>
      </c>
      <c r="AQ22" s="7">
        <f>IF(預測IC!AQ22&gt;預測IC!AQ$25,1,0)</f>
        <v>0</v>
      </c>
      <c r="AR22" s="7">
        <f>IF(預測IC!AR22&gt;預測IC!AR$25,1,0)</f>
        <v>0</v>
      </c>
      <c r="AS22" s="7">
        <f>IF(預測IC!AS22&gt;預測IC!AS$25,1,0)</f>
        <v>1</v>
      </c>
      <c r="AT22" s="7">
        <f>IF(預測IC!AT22&gt;預測IC!AT$25,1,0)</f>
        <v>1</v>
      </c>
      <c r="AU22" s="7">
        <f>IF(預測IC!AU22&gt;預測IC!AU$25,1,0)</f>
        <v>0</v>
      </c>
      <c r="AV22" s="7">
        <f>IF(預測IC!AV22&gt;預測IC!AV$25,1,0)</f>
        <v>0</v>
      </c>
      <c r="AW22" s="7">
        <f>IF(預測IC!AW22&gt;預測IC!AW$25,1,0)</f>
        <v>0</v>
      </c>
      <c r="AX22" s="7">
        <f>IF(預測IC!AX22&gt;預測IC!AX$25,1,0)</f>
        <v>1</v>
      </c>
      <c r="AY22" s="7">
        <f>IF(預測IC!AY22&gt;預測IC!AY$25,1,0)</f>
        <v>1</v>
      </c>
      <c r="AZ22" s="7">
        <f>IF(預測IC!AZ22&gt;預測IC!AZ$25,1,0)</f>
        <v>0</v>
      </c>
      <c r="BA22" s="7">
        <f>IF(預測IC!BA22&gt;預測IC!BA$25,1,0)</f>
        <v>0</v>
      </c>
      <c r="BB22" s="7">
        <f>IF(預測IC!BB22&gt;預測IC!BB$25,1,0)</f>
        <v>1</v>
      </c>
      <c r="BC22" s="7">
        <f>IF(預測IC!BC22&gt;預測IC!BC$25,1,0)</f>
        <v>0</v>
      </c>
      <c r="BD22" s="7">
        <f>IF(預測IC!BD22&gt;預測IC!BD$25,1,0)</f>
        <v>0</v>
      </c>
      <c r="BE22" s="7">
        <f>IF(預測IC!BE22&gt;預測IC!BE$25,1,0)</f>
        <v>1</v>
      </c>
      <c r="BF22" s="7">
        <f>IF(預測IC!BF22&gt;預測IC!BF$25,1,0)</f>
        <v>0</v>
      </c>
      <c r="BG22" s="7">
        <f>IF(預測IC!BG22&gt;預測IC!BG$25,1,0)</f>
        <v>1</v>
      </c>
      <c r="BH22" s="7">
        <f>IF(預測IC!BH22&gt;預測IC!BH$25,1,0)</f>
        <v>0</v>
      </c>
      <c r="BI22" s="7">
        <f>IF(預測IC!BI22&gt;預測IC!BI$25,1,0)</f>
        <v>1</v>
      </c>
      <c r="BJ22" s="7">
        <f>IF(預測IC!BJ22&gt;預測IC!BJ$25,1,0)</f>
        <v>1</v>
      </c>
      <c r="BK22" s="7">
        <f>IF(預測IC!BK22&gt;預測IC!BK$25,1,0)</f>
        <v>0</v>
      </c>
      <c r="BL22" s="7">
        <f>IF(預測IC!BL22&gt;預測IC!BL$25,1,0)</f>
        <v>1</v>
      </c>
      <c r="BM22" s="7">
        <f>IF(預測IC!BM22&gt;預測IC!BM$25,1,0)</f>
        <v>1</v>
      </c>
      <c r="BN22" s="7">
        <f>IF(預測IC!BN22&gt;預測IC!BN$25,1,0)</f>
        <v>0</v>
      </c>
      <c r="BO22" s="7">
        <f>IF(預測IC!BO22&gt;預測IC!BO$25,1,0)</f>
        <v>0</v>
      </c>
      <c r="BP22" s="7">
        <f>IF(預測IC!BP22&gt;預測IC!BP$25,1,0)</f>
        <v>1</v>
      </c>
      <c r="BQ22" s="7">
        <f>IF(預測IC!BQ22&gt;預測IC!BQ$25,1,0)</f>
        <v>1</v>
      </c>
      <c r="BR22" s="7">
        <f>IF(預測IC!BR22&gt;預測IC!BR$25,1,0)</f>
        <v>1</v>
      </c>
      <c r="BS22" s="7">
        <f>IF(預測IC!BS22&gt;預測IC!BS$25,1,0)</f>
        <v>0</v>
      </c>
      <c r="BT22" s="7">
        <f>IF(預測IC!BT22&gt;預測IC!BT$25,1,0)</f>
        <v>1</v>
      </c>
      <c r="BU22" s="7">
        <f>IF(預測IC!BU22&gt;預測IC!BU$25,1,0)</f>
        <v>0</v>
      </c>
      <c r="BV22" s="7">
        <f>IF(預測IC!BV22&gt;預測IC!BV$25,1,0)</f>
        <v>1</v>
      </c>
      <c r="BW22" s="7">
        <f>IF(預測IC!BW22&gt;預測IC!BW$25,1,0)</f>
        <v>0</v>
      </c>
      <c r="BX22" s="7">
        <f>IF(預測IC!BX22&gt;預測IC!BX$25,1,0)</f>
        <v>1</v>
      </c>
      <c r="BY22" s="7">
        <f>IF(預測IC!BY22&gt;預測IC!BY$25,1,0)</f>
        <v>1</v>
      </c>
      <c r="BZ22" s="7">
        <f>IF(預測IC!BZ22&gt;預測IC!BZ$25,1,0)</f>
        <v>0</v>
      </c>
      <c r="CA22" s="7">
        <f>IF(預測IC!CA22&gt;預測IC!CA$25,1,0)</f>
        <v>0</v>
      </c>
      <c r="CB22" s="7">
        <f>IF(預測IC!CB22&gt;預測IC!CB$25,1,0)</f>
        <v>1</v>
      </c>
      <c r="CC22" s="7">
        <f>IF(預測IC!CC22&gt;預測IC!CC$25,1,0)</f>
        <v>0</v>
      </c>
      <c r="CD22" s="7">
        <f>IF(預測IC!CD22&gt;預測IC!CD$25,1,0)</f>
        <v>1</v>
      </c>
      <c r="CE22" s="7">
        <f>IF(預測IC!CE22&gt;預測IC!CE$25,1,0)</f>
        <v>0</v>
      </c>
      <c r="CF22" s="7">
        <f>IF(預測IC!CF22&gt;預測IC!CF$25,1,0)</f>
        <v>1</v>
      </c>
      <c r="CG22" s="7">
        <f>IF(預測IC!CG22&gt;預測IC!CG$25,1,0)</f>
        <v>0</v>
      </c>
      <c r="CH22" s="7">
        <f>IF(預測IC!CH22&gt;預測IC!CH$25,1,0)</f>
        <v>0</v>
      </c>
      <c r="CI22" s="7">
        <f>IF(預測IC!CI22&gt;預測IC!CI$25,1,0)</f>
        <v>0</v>
      </c>
      <c r="CJ22" s="7">
        <f>IF(預測IC!CJ22&gt;預測IC!CJ$25,1,0)</f>
        <v>0</v>
      </c>
      <c r="CK22" s="7">
        <f>IF(預測IC!CK22&gt;預測IC!CK$25,1,0)</f>
        <v>1</v>
      </c>
      <c r="CL22" s="7">
        <f>IF(預測IC!CL22&gt;預測IC!CL$25,1,0)</f>
        <v>0</v>
      </c>
      <c r="CM22" s="7">
        <f>IF(預測IC!CM22&gt;預測IC!CM$25,1,0)</f>
        <v>0</v>
      </c>
      <c r="CN22" s="7">
        <f>IF(預測IC!CN22&gt;預測IC!CN$25,1,0)</f>
        <v>0</v>
      </c>
      <c r="CO22" s="7">
        <f>IF(預測IC!CO22&gt;預測IC!CO$25,1,0)</f>
        <v>0</v>
      </c>
      <c r="CP22" s="7">
        <f>IF(預測IC!CP22&gt;預測IC!CP$25,1,0)</f>
        <v>1</v>
      </c>
      <c r="CQ22" s="7">
        <f>IF(預測IC!CQ22&gt;預測IC!CQ$25,1,0)</f>
        <v>1</v>
      </c>
      <c r="CR22" s="7">
        <f>IF(預測IC!CR22&gt;預測IC!CR$25,1,0)</f>
        <v>1</v>
      </c>
      <c r="CS22" s="7">
        <f>IF(預測IC!CS22&gt;預測IC!CS$25,1,0)</f>
        <v>0</v>
      </c>
      <c r="CT22" s="7">
        <f>IF(預測IC!CT22&gt;預測IC!CT$25,1,0)</f>
        <v>0</v>
      </c>
      <c r="CU22" s="7">
        <f>IF(預測IC!CU22&gt;預測IC!CU$25,1,0)</f>
        <v>0</v>
      </c>
      <c r="CV22" s="7">
        <f>IF(預測IC!CV22&gt;預測IC!CV$25,1,0)</f>
        <v>1</v>
      </c>
      <c r="CW22" s="7">
        <f>IF(預測IC!CW22&gt;預測IC!CW$25,1,0)</f>
        <v>0</v>
      </c>
      <c r="CX22" s="7">
        <f>IF(預測IC!CX22&gt;預測IC!CX$25,1,0)</f>
        <v>1</v>
      </c>
      <c r="CY22" s="7">
        <f>IF(預測IC!CY22&gt;預測IC!CY$25,1,0)</f>
        <v>1</v>
      </c>
      <c r="CZ22" s="7">
        <f>IF(預測IC!CZ22&gt;預測IC!CZ$25,1,0)</f>
        <v>1</v>
      </c>
      <c r="DA22" s="7">
        <f>IF(預測IC!DA22&gt;預測IC!DA$25,1,0)</f>
        <v>1</v>
      </c>
      <c r="DB22" s="7">
        <f>IF(預測IC!DB22&gt;預測IC!DB$25,1,0)</f>
        <v>1</v>
      </c>
      <c r="DC22" s="7">
        <f>IF(預測IC!DC22&gt;預測IC!DC$25,1,0)</f>
        <v>0</v>
      </c>
      <c r="DD22" s="7">
        <f>IF(預測IC!DD22&gt;預測IC!DD$25,1,0)</f>
        <v>1</v>
      </c>
      <c r="DE22" s="7">
        <f>IF(預測IC!DE22&gt;預測IC!DE$25,1,0)</f>
        <v>0</v>
      </c>
      <c r="DF22" s="7">
        <f>IF(預測IC!DF22&gt;預測IC!DF$25,1,0)</f>
        <v>0</v>
      </c>
      <c r="DG22" s="7">
        <f>IF(預測IC!DG22&gt;預測IC!DG$25,1,0)</f>
        <v>0</v>
      </c>
      <c r="DH22" s="7">
        <f>IF(預測IC!DH22&gt;預測IC!DH$25,1,0)</f>
        <v>1</v>
      </c>
      <c r="DI22" s="7">
        <f>IF(預測IC!DI22&gt;預測IC!DI$25,1,0)</f>
        <v>1</v>
      </c>
      <c r="DJ22" s="7">
        <f>IF(預測IC!DJ22&gt;預測IC!DJ$25,1,0)</f>
        <v>1</v>
      </c>
      <c r="DK22" s="7">
        <f>IF(預測IC!DK22&gt;預測IC!DK$25,1,0)</f>
        <v>0</v>
      </c>
      <c r="DL22" s="7">
        <f>IF(預測IC!DL22&gt;預測IC!DL$25,1,0)</f>
        <v>0</v>
      </c>
      <c r="DM22" s="7">
        <f>IF(預測IC!DM22&gt;預測IC!DM$25,1,0)</f>
        <v>1</v>
      </c>
      <c r="DN22" s="7">
        <f>IF(預測IC!DN22&gt;預測IC!DN$25,1,0)</f>
        <v>1</v>
      </c>
      <c r="DO22" s="7">
        <f>IF(預測IC!DO22&gt;預測IC!DO$25,1,0)</f>
        <v>1</v>
      </c>
      <c r="DP22" s="7">
        <f>IF(預測IC!DP22&gt;預測IC!DP$25,1,0)</f>
        <v>0</v>
      </c>
      <c r="DQ22" s="7">
        <f>IF(預測IC!DQ22&gt;預測IC!DQ$25,1,0)</f>
        <v>0</v>
      </c>
      <c r="DR22" s="7">
        <f>IF(預測IC!DR22&gt;預測IC!DR$25,1,0)</f>
        <v>0</v>
      </c>
      <c r="DS22" s="7">
        <f>IF(預測IC!DS22&gt;預測IC!DS$25,1,0)</f>
        <v>0</v>
      </c>
      <c r="DT22" s="7">
        <f>IF(預測IC!DT22&gt;預測IC!DT$25,1,0)</f>
        <v>0</v>
      </c>
      <c r="DU22" s="7">
        <f>IF(預測IC!DU22&gt;預測IC!DU$25,1,0)</f>
        <v>0</v>
      </c>
      <c r="DV22" s="7">
        <f>IF(預測IC!DV22&gt;預測IC!DV$25,1,0)</f>
        <v>1</v>
      </c>
      <c r="DW22" s="7">
        <f>IF(預測IC!DW22&gt;預測IC!DW$25,1,0)</f>
        <v>0</v>
      </c>
      <c r="DX22" s="7">
        <f>IF(預測IC!DX22&gt;預測IC!DX$25,1,0)</f>
        <v>1</v>
      </c>
      <c r="DY22" s="7">
        <f>IF(預測IC!DY22&gt;預測IC!DY$25,1,0)</f>
        <v>1</v>
      </c>
      <c r="DZ22" s="7">
        <f>IF(預測IC!DZ22&gt;預測IC!DZ$25,1,0)</f>
        <v>1</v>
      </c>
      <c r="EA22" s="7">
        <f>IF(預測IC!EA22&gt;預測IC!EA$25,1,0)</f>
        <v>1</v>
      </c>
      <c r="EB22" s="7">
        <f>IF(預測IC!EB22&gt;預測IC!EB$25,1,0)</f>
        <v>0</v>
      </c>
      <c r="EC22" s="7">
        <f>IF(預測IC!EC22&gt;預測IC!EC$25,1,0)</f>
        <v>1</v>
      </c>
      <c r="ED22" s="7">
        <f>IF(預測IC!ED22&gt;預測IC!ED$25,1,0)</f>
        <v>0</v>
      </c>
      <c r="EE22" s="7">
        <f>IF(預測IC!EE22&gt;預測IC!EE$25,1,0)</f>
        <v>0</v>
      </c>
      <c r="EF22" s="7">
        <f>IF(預測IC!EF22&gt;預測IC!EF$25,1,0)</f>
        <v>0</v>
      </c>
      <c r="EG22">
        <f t="shared" si="10"/>
        <v>69</v>
      </c>
      <c r="EH22" s="11">
        <f t="shared" si="11"/>
        <v>0.5149253731343284</v>
      </c>
    </row>
    <row r="23" spans="1:138" x14ac:dyDescent="0.3">
      <c r="A23" s="1">
        <v>482</v>
      </c>
      <c r="B23" s="1">
        <v>2</v>
      </c>
      <c r="C23" s="7">
        <f>IF(預測IC!C23&gt;預測IC!C$25,1,0)</f>
        <v>1</v>
      </c>
      <c r="D23" s="7">
        <f>IF(預測IC!D23&gt;預測IC!D$25,1,0)</f>
        <v>0</v>
      </c>
      <c r="E23" s="7">
        <f>IF(預測IC!E23&gt;預測IC!E$25,1,0)</f>
        <v>0</v>
      </c>
      <c r="F23" s="7">
        <f>IF(預測IC!F23&gt;預測IC!F$25,1,0)</f>
        <v>0</v>
      </c>
      <c r="G23" s="7">
        <f>IF(預測IC!G23&gt;預測IC!G$25,1,0)</f>
        <v>0</v>
      </c>
      <c r="H23" s="7">
        <f>IF(預測IC!H23&gt;預測IC!H$25,1,0)</f>
        <v>1</v>
      </c>
      <c r="I23" s="7">
        <f>IF(預測IC!I23&gt;預測IC!I$25,1,0)</f>
        <v>1</v>
      </c>
      <c r="J23" s="7">
        <f>IF(預測IC!J23&gt;預測IC!J$25,1,0)</f>
        <v>0</v>
      </c>
      <c r="K23" s="7">
        <f>IF(預測IC!K23&gt;預測IC!K$25,1,0)</f>
        <v>0</v>
      </c>
      <c r="L23" s="7">
        <f>IF(預測IC!L23&gt;預測IC!L$25,1,0)</f>
        <v>1</v>
      </c>
      <c r="M23" s="7">
        <f>IF(預測IC!M23&gt;預測IC!M$25,1,0)</f>
        <v>0</v>
      </c>
      <c r="N23" s="7">
        <f>IF(預測IC!N23&gt;預測IC!N$25,1,0)</f>
        <v>1</v>
      </c>
      <c r="O23" s="7">
        <f>IF(預測IC!O23&gt;預測IC!O$25,1,0)</f>
        <v>1</v>
      </c>
      <c r="P23" s="7">
        <f>IF(預測IC!P23&gt;預測IC!P$25,1,0)</f>
        <v>0</v>
      </c>
      <c r="Q23" s="7">
        <f>IF(預測IC!Q23&gt;預測IC!Q$25,1,0)</f>
        <v>0</v>
      </c>
      <c r="R23" s="7">
        <f>IF(預測IC!R23&gt;預測IC!R$25,1,0)</f>
        <v>0</v>
      </c>
      <c r="S23" s="7">
        <f>IF(預測IC!S23&gt;預測IC!S$25,1,0)</f>
        <v>0</v>
      </c>
      <c r="T23" s="7">
        <f>IF(預測IC!T23&gt;預測IC!T$25,1,0)</f>
        <v>1</v>
      </c>
      <c r="U23" s="7">
        <f>IF(預測IC!U23&gt;預測IC!U$25,1,0)</f>
        <v>0</v>
      </c>
      <c r="V23" s="7">
        <f>IF(預測IC!V23&gt;預測IC!V$25,1,0)</f>
        <v>1</v>
      </c>
      <c r="W23" s="7">
        <f>IF(預測IC!W23&gt;預測IC!W$25,1,0)</f>
        <v>1</v>
      </c>
      <c r="X23" s="7">
        <f>IF(預測IC!X23&gt;預測IC!X$25,1,0)</f>
        <v>1</v>
      </c>
      <c r="Y23" s="7">
        <f>IF(預測IC!Y23&gt;預測IC!Y$25,1,0)</f>
        <v>1</v>
      </c>
      <c r="Z23" s="7">
        <f>IF(預測IC!Z23&gt;預測IC!Z$25,1,0)</f>
        <v>1</v>
      </c>
      <c r="AA23" s="7">
        <f>IF(預測IC!AA23&gt;預測IC!AA$25,1,0)</f>
        <v>1</v>
      </c>
      <c r="AB23" s="7">
        <f>IF(預測IC!AB23&gt;預測IC!AB$25,1,0)</f>
        <v>1</v>
      </c>
      <c r="AC23" s="7">
        <f>IF(預測IC!AC23&gt;預測IC!AC$25,1,0)</f>
        <v>1</v>
      </c>
      <c r="AD23" s="7">
        <f>IF(預測IC!AD23&gt;預測IC!AD$25,1,0)</f>
        <v>1</v>
      </c>
      <c r="AE23" s="7">
        <f>IF(預測IC!AE23&gt;預測IC!AE$25,1,0)</f>
        <v>0</v>
      </c>
      <c r="AF23" s="7">
        <f>IF(預測IC!AF23&gt;預測IC!AF$25,1,0)</f>
        <v>1</v>
      </c>
      <c r="AG23" s="7">
        <f>IF(預測IC!AG23&gt;預測IC!AG$25,1,0)</f>
        <v>1</v>
      </c>
      <c r="AH23" s="7">
        <f>IF(預測IC!AH23&gt;預測IC!AH$25,1,0)</f>
        <v>0</v>
      </c>
      <c r="AI23" s="7">
        <f>IF(預測IC!AI23&gt;預測IC!AI$25,1,0)</f>
        <v>1</v>
      </c>
      <c r="AJ23" s="7">
        <f>IF(預測IC!AJ23&gt;預測IC!AJ$25,1,0)</f>
        <v>1</v>
      </c>
      <c r="AK23" s="7">
        <f>IF(預測IC!AK23&gt;預測IC!AK$25,1,0)</f>
        <v>1</v>
      </c>
      <c r="AL23" s="7">
        <f>IF(預測IC!AL23&gt;預測IC!AL$25,1,0)</f>
        <v>0</v>
      </c>
      <c r="AM23" s="7">
        <f>IF(預測IC!AM23&gt;預測IC!AM$25,1,0)</f>
        <v>0</v>
      </c>
      <c r="AN23" s="7">
        <f>IF(預測IC!AN23&gt;預測IC!AN$25,1,0)</f>
        <v>1</v>
      </c>
      <c r="AO23" s="7">
        <f>IF(預測IC!AO23&gt;預測IC!AO$25,1,0)</f>
        <v>0</v>
      </c>
      <c r="AP23" s="7">
        <f>IF(預測IC!AP23&gt;預測IC!AP$25,1,0)</f>
        <v>0</v>
      </c>
      <c r="AQ23" s="7">
        <f>IF(預測IC!AQ23&gt;預測IC!AQ$25,1,0)</f>
        <v>1</v>
      </c>
      <c r="AR23" s="7">
        <f>IF(預測IC!AR23&gt;預測IC!AR$25,1,0)</f>
        <v>0</v>
      </c>
      <c r="AS23" s="7">
        <f>IF(預測IC!AS23&gt;預測IC!AS$25,1,0)</f>
        <v>1</v>
      </c>
      <c r="AT23" s="7">
        <f>IF(預測IC!AT23&gt;預測IC!AT$25,1,0)</f>
        <v>1</v>
      </c>
      <c r="AU23" s="7">
        <f>IF(預測IC!AU23&gt;預測IC!AU$25,1,0)</f>
        <v>0</v>
      </c>
      <c r="AV23" s="7">
        <f>IF(預測IC!AV23&gt;預測IC!AV$25,1,0)</f>
        <v>0</v>
      </c>
      <c r="AW23" s="7">
        <f>IF(預測IC!AW23&gt;預測IC!AW$25,1,0)</f>
        <v>0</v>
      </c>
      <c r="AX23" s="7">
        <f>IF(預測IC!AX23&gt;預測IC!AX$25,1,0)</f>
        <v>1</v>
      </c>
      <c r="AY23" s="7">
        <f>IF(預測IC!AY23&gt;預測IC!AY$25,1,0)</f>
        <v>1</v>
      </c>
      <c r="AZ23" s="7">
        <f>IF(預測IC!AZ23&gt;預測IC!AZ$25,1,0)</f>
        <v>0</v>
      </c>
      <c r="BA23" s="7">
        <f>IF(預測IC!BA23&gt;預測IC!BA$25,1,0)</f>
        <v>1</v>
      </c>
      <c r="BB23" s="7">
        <f>IF(預測IC!BB23&gt;預測IC!BB$25,1,0)</f>
        <v>0</v>
      </c>
      <c r="BC23" s="7">
        <f>IF(預測IC!BC23&gt;預測IC!BC$25,1,0)</f>
        <v>0</v>
      </c>
      <c r="BD23" s="7">
        <f>IF(預測IC!BD23&gt;預測IC!BD$25,1,0)</f>
        <v>1</v>
      </c>
      <c r="BE23" s="7">
        <f>IF(預測IC!BE23&gt;預測IC!BE$25,1,0)</f>
        <v>0</v>
      </c>
      <c r="BF23" s="7">
        <f>IF(預測IC!BF23&gt;預測IC!BF$25,1,0)</f>
        <v>0</v>
      </c>
      <c r="BG23" s="7">
        <f>IF(預測IC!BG23&gt;預測IC!BG$25,1,0)</f>
        <v>0</v>
      </c>
      <c r="BH23" s="7">
        <f>IF(預測IC!BH23&gt;預測IC!BH$25,1,0)</f>
        <v>1</v>
      </c>
      <c r="BI23" s="7">
        <f>IF(預測IC!BI23&gt;預測IC!BI$25,1,0)</f>
        <v>1</v>
      </c>
      <c r="BJ23" s="7">
        <f>IF(預測IC!BJ23&gt;預測IC!BJ$25,1,0)</f>
        <v>0</v>
      </c>
      <c r="BK23" s="7">
        <f>IF(預測IC!BK23&gt;預測IC!BK$25,1,0)</f>
        <v>0</v>
      </c>
      <c r="BL23" s="7">
        <f>IF(預測IC!BL23&gt;預測IC!BL$25,1,0)</f>
        <v>1</v>
      </c>
      <c r="BM23" s="7">
        <f>IF(預測IC!BM23&gt;預測IC!BM$25,1,0)</f>
        <v>1</v>
      </c>
      <c r="BN23" s="7">
        <f>IF(預測IC!BN23&gt;預測IC!BN$25,1,0)</f>
        <v>0</v>
      </c>
      <c r="BO23" s="7">
        <f>IF(預測IC!BO23&gt;預測IC!BO$25,1,0)</f>
        <v>1</v>
      </c>
      <c r="BP23" s="7">
        <f>IF(預測IC!BP23&gt;預測IC!BP$25,1,0)</f>
        <v>1</v>
      </c>
      <c r="BQ23" s="7">
        <f>IF(預測IC!BQ23&gt;預測IC!BQ$25,1,0)</f>
        <v>1</v>
      </c>
      <c r="BR23" s="7">
        <f>IF(預測IC!BR23&gt;預測IC!BR$25,1,0)</f>
        <v>1</v>
      </c>
      <c r="BS23" s="7">
        <f>IF(預測IC!BS23&gt;預測IC!BS$25,1,0)</f>
        <v>0</v>
      </c>
      <c r="BT23" s="7">
        <f>IF(預測IC!BT23&gt;預測IC!BT$25,1,0)</f>
        <v>1</v>
      </c>
      <c r="BU23" s="7">
        <f>IF(預測IC!BU23&gt;預測IC!BU$25,1,0)</f>
        <v>0</v>
      </c>
      <c r="BV23" s="7">
        <f>IF(預測IC!BV23&gt;預測IC!BV$25,1,0)</f>
        <v>1</v>
      </c>
      <c r="BW23" s="7">
        <f>IF(預測IC!BW23&gt;預測IC!BW$25,1,0)</f>
        <v>0</v>
      </c>
      <c r="BX23" s="7">
        <f>IF(預測IC!BX23&gt;預測IC!BX$25,1,0)</f>
        <v>1</v>
      </c>
      <c r="BY23" s="7">
        <f>IF(預測IC!BY23&gt;預測IC!BY$25,1,0)</f>
        <v>1</v>
      </c>
      <c r="BZ23" s="7">
        <f>IF(預測IC!BZ23&gt;預測IC!BZ$25,1,0)</f>
        <v>0</v>
      </c>
      <c r="CA23" s="7">
        <f>IF(預測IC!CA23&gt;預測IC!CA$25,1,0)</f>
        <v>1</v>
      </c>
      <c r="CB23" s="7">
        <f>IF(預測IC!CB23&gt;預測IC!CB$25,1,0)</f>
        <v>0</v>
      </c>
      <c r="CC23" s="7">
        <f>IF(預測IC!CC23&gt;預測IC!CC$25,1,0)</f>
        <v>1</v>
      </c>
      <c r="CD23" s="7">
        <f>IF(預測IC!CD23&gt;預測IC!CD$25,1,0)</f>
        <v>1</v>
      </c>
      <c r="CE23" s="7">
        <f>IF(預測IC!CE23&gt;預測IC!CE$25,1,0)</f>
        <v>0</v>
      </c>
      <c r="CF23" s="7">
        <f>IF(預測IC!CF23&gt;預測IC!CF$25,1,0)</f>
        <v>1</v>
      </c>
      <c r="CG23" s="7">
        <f>IF(預測IC!CG23&gt;預測IC!CG$25,1,0)</f>
        <v>0</v>
      </c>
      <c r="CH23" s="7">
        <f>IF(預測IC!CH23&gt;預測IC!CH$25,1,0)</f>
        <v>0</v>
      </c>
      <c r="CI23" s="7">
        <f>IF(預測IC!CI23&gt;預測IC!CI$25,1,0)</f>
        <v>0</v>
      </c>
      <c r="CJ23" s="7">
        <f>IF(預測IC!CJ23&gt;預測IC!CJ$25,1,0)</f>
        <v>0</v>
      </c>
      <c r="CK23" s="7">
        <f>IF(預測IC!CK23&gt;預測IC!CK$25,1,0)</f>
        <v>1</v>
      </c>
      <c r="CL23" s="7">
        <f>IF(預測IC!CL23&gt;預測IC!CL$25,1,0)</f>
        <v>0</v>
      </c>
      <c r="CM23" s="7">
        <f>IF(預測IC!CM23&gt;預測IC!CM$25,1,0)</f>
        <v>0</v>
      </c>
      <c r="CN23" s="7">
        <f>IF(預測IC!CN23&gt;預測IC!CN$25,1,0)</f>
        <v>0</v>
      </c>
      <c r="CO23" s="7">
        <f>IF(預測IC!CO23&gt;預測IC!CO$25,1,0)</f>
        <v>0</v>
      </c>
      <c r="CP23" s="7">
        <f>IF(預測IC!CP23&gt;預測IC!CP$25,1,0)</f>
        <v>1</v>
      </c>
      <c r="CQ23" s="7">
        <f>IF(預測IC!CQ23&gt;預測IC!CQ$25,1,0)</f>
        <v>1</v>
      </c>
      <c r="CR23" s="7">
        <f>IF(預測IC!CR23&gt;預測IC!CR$25,1,0)</f>
        <v>1</v>
      </c>
      <c r="CS23" s="7">
        <f>IF(預測IC!CS23&gt;預測IC!CS$25,1,0)</f>
        <v>0</v>
      </c>
      <c r="CT23" s="7">
        <f>IF(預測IC!CT23&gt;預測IC!CT$25,1,0)</f>
        <v>1</v>
      </c>
      <c r="CU23" s="7">
        <f>IF(預測IC!CU23&gt;預測IC!CU$25,1,0)</f>
        <v>0</v>
      </c>
      <c r="CV23" s="7">
        <f>IF(預測IC!CV23&gt;預測IC!CV$25,1,0)</f>
        <v>1</v>
      </c>
      <c r="CW23" s="7">
        <f>IF(預測IC!CW23&gt;預測IC!CW$25,1,0)</f>
        <v>1</v>
      </c>
      <c r="CX23" s="7">
        <f>IF(預測IC!CX23&gt;預測IC!CX$25,1,0)</f>
        <v>1</v>
      </c>
      <c r="CY23" s="7">
        <f>IF(預測IC!CY23&gt;預測IC!CY$25,1,0)</f>
        <v>1</v>
      </c>
      <c r="CZ23" s="7">
        <f>IF(預測IC!CZ23&gt;預測IC!CZ$25,1,0)</f>
        <v>1</v>
      </c>
      <c r="DA23" s="7">
        <f>IF(預測IC!DA23&gt;預測IC!DA$25,1,0)</f>
        <v>1</v>
      </c>
      <c r="DB23" s="7">
        <f>IF(預測IC!DB23&gt;預測IC!DB$25,1,0)</f>
        <v>1</v>
      </c>
      <c r="DC23" s="7">
        <f>IF(預測IC!DC23&gt;預測IC!DC$25,1,0)</f>
        <v>0</v>
      </c>
      <c r="DD23" s="7">
        <f>IF(預測IC!DD23&gt;預測IC!DD$25,1,0)</f>
        <v>0</v>
      </c>
      <c r="DE23" s="7">
        <f>IF(預測IC!DE23&gt;預測IC!DE$25,1,0)</f>
        <v>0</v>
      </c>
      <c r="DF23" s="7">
        <f>IF(預測IC!DF23&gt;預測IC!DF$25,1,0)</f>
        <v>0</v>
      </c>
      <c r="DG23" s="7">
        <f>IF(預測IC!DG23&gt;預測IC!DG$25,1,0)</f>
        <v>0</v>
      </c>
      <c r="DH23" s="7">
        <f>IF(預測IC!DH23&gt;預測IC!DH$25,1,0)</f>
        <v>1</v>
      </c>
      <c r="DI23" s="7">
        <f>IF(預測IC!DI23&gt;預測IC!DI$25,1,0)</f>
        <v>1</v>
      </c>
      <c r="DJ23" s="7">
        <f>IF(預測IC!DJ23&gt;預測IC!DJ$25,1,0)</f>
        <v>1</v>
      </c>
      <c r="DK23" s="7">
        <f>IF(預測IC!DK23&gt;預測IC!DK$25,1,0)</f>
        <v>0</v>
      </c>
      <c r="DL23" s="7">
        <f>IF(預測IC!DL23&gt;預測IC!DL$25,1,0)</f>
        <v>1</v>
      </c>
      <c r="DM23" s="7">
        <f>IF(預測IC!DM23&gt;預測IC!DM$25,1,0)</f>
        <v>0</v>
      </c>
      <c r="DN23" s="7">
        <f>IF(預測IC!DN23&gt;預測IC!DN$25,1,0)</f>
        <v>1</v>
      </c>
      <c r="DO23" s="7">
        <f>IF(預測IC!DO23&gt;預測IC!DO$25,1,0)</f>
        <v>1</v>
      </c>
      <c r="DP23" s="7">
        <f>IF(預測IC!DP23&gt;預測IC!DP$25,1,0)</f>
        <v>0</v>
      </c>
      <c r="DQ23" s="7">
        <f>IF(預測IC!DQ23&gt;預測IC!DQ$25,1,0)</f>
        <v>0</v>
      </c>
      <c r="DR23" s="7">
        <f>IF(預測IC!DR23&gt;預測IC!DR$25,1,0)</f>
        <v>0</v>
      </c>
      <c r="DS23" s="7">
        <f>IF(預測IC!DS23&gt;預測IC!DS$25,1,0)</f>
        <v>0</v>
      </c>
      <c r="DT23" s="7">
        <f>IF(預測IC!DT23&gt;預測IC!DT$25,1,0)</f>
        <v>0</v>
      </c>
      <c r="DU23" s="7">
        <f>IF(預測IC!DU23&gt;預測IC!DU$25,1,0)</f>
        <v>0</v>
      </c>
      <c r="DV23" s="7">
        <f>IF(預測IC!DV23&gt;預測IC!DV$25,1,0)</f>
        <v>1</v>
      </c>
      <c r="DW23" s="7">
        <f>IF(預測IC!DW23&gt;預測IC!DW$25,1,0)</f>
        <v>1</v>
      </c>
      <c r="DX23" s="7">
        <f>IF(預測IC!DX23&gt;預測IC!DX$25,1,0)</f>
        <v>1</v>
      </c>
      <c r="DY23" s="7">
        <f>IF(預測IC!DY23&gt;預測IC!DY$25,1,0)</f>
        <v>1</v>
      </c>
      <c r="DZ23" s="7">
        <f>IF(預測IC!DZ23&gt;預測IC!DZ$25,1,0)</f>
        <v>1</v>
      </c>
      <c r="EA23" s="7">
        <f>IF(預測IC!EA23&gt;預測IC!EA$25,1,0)</f>
        <v>0</v>
      </c>
      <c r="EB23" s="7">
        <f>IF(預測IC!EB23&gt;預測IC!EB$25,1,0)</f>
        <v>0</v>
      </c>
      <c r="EC23" s="7">
        <f>IF(預測IC!EC23&gt;預測IC!EC$25,1,0)</f>
        <v>1</v>
      </c>
      <c r="ED23" s="7">
        <f>IF(預測IC!ED23&gt;預測IC!ED$25,1,0)</f>
        <v>1</v>
      </c>
      <c r="EE23" s="7">
        <f>IF(預測IC!EE23&gt;預測IC!EE$25,1,0)</f>
        <v>0</v>
      </c>
      <c r="EF23" s="7">
        <f>IF(預測IC!EF23&gt;預測IC!EF$25,1,0)</f>
        <v>0</v>
      </c>
      <c r="EG23">
        <f t="shared" si="10"/>
        <v>70</v>
      </c>
      <c r="EH23" s="11">
        <f t="shared" si="11"/>
        <v>0.52238805970149249</v>
      </c>
    </row>
    <row r="24" spans="1:138" x14ac:dyDescent="0.3">
      <c r="A24" s="1">
        <v>964</v>
      </c>
      <c r="B24" s="1">
        <v>1</v>
      </c>
      <c r="C24" s="7">
        <f>IF(預測IC!C24&gt;預測IC!C$25,1,0)</f>
        <v>1</v>
      </c>
      <c r="D24" s="7">
        <f>IF(預測IC!D24&gt;預測IC!D$25,1,0)</f>
        <v>0</v>
      </c>
      <c r="E24" s="7">
        <f>IF(預測IC!E24&gt;預測IC!E$25,1,0)</f>
        <v>1</v>
      </c>
      <c r="F24" s="7">
        <f>IF(預測IC!F24&gt;預測IC!F$25,1,0)</f>
        <v>0</v>
      </c>
      <c r="G24" s="7">
        <f>IF(預測IC!G24&gt;預測IC!G$25,1,0)</f>
        <v>1</v>
      </c>
      <c r="H24" s="7">
        <f>IF(預測IC!H24&gt;預測IC!H$25,1,0)</f>
        <v>1</v>
      </c>
      <c r="I24" s="7">
        <f>IF(預測IC!I24&gt;預測IC!I$25,1,0)</f>
        <v>1</v>
      </c>
      <c r="J24" s="7">
        <f>IF(預測IC!J24&gt;預測IC!J$25,1,0)</f>
        <v>0</v>
      </c>
      <c r="K24" s="7">
        <f>IF(預測IC!K24&gt;預測IC!K$25,1,0)</f>
        <v>1</v>
      </c>
      <c r="L24" s="7">
        <f>IF(預測IC!L24&gt;預測IC!L$25,1,0)</f>
        <v>1</v>
      </c>
      <c r="M24" s="7">
        <f>IF(預測IC!M24&gt;預測IC!M$25,1,0)</f>
        <v>0</v>
      </c>
      <c r="N24" s="7">
        <f>IF(預測IC!N24&gt;預測IC!N$25,1,0)</f>
        <v>1</v>
      </c>
      <c r="O24" s="7">
        <f>IF(預測IC!O24&gt;預測IC!O$25,1,0)</f>
        <v>1</v>
      </c>
      <c r="P24" s="7">
        <f>IF(預測IC!P24&gt;預測IC!P$25,1,0)</f>
        <v>0</v>
      </c>
      <c r="Q24" s="7">
        <f>IF(預測IC!Q24&gt;預測IC!Q$25,1,0)</f>
        <v>1</v>
      </c>
      <c r="R24" s="7">
        <f>IF(預測IC!R24&gt;預測IC!R$25,1,0)</f>
        <v>0</v>
      </c>
      <c r="S24" s="7">
        <f>IF(預測IC!S24&gt;預測IC!S$25,1,0)</f>
        <v>0</v>
      </c>
      <c r="T24" s="7">
        <f>IF(預測IC!T24&gt;預測IC!T$25,1,0)</f>
        <v>1</v>
      </c>
      <c r="U24" s="7">
        <f>IF(預測IC!U24&gt;預測IC!U$25,1,0)</f>
        <v>0</v>
      </c>
      <c r="V24" s="7">
        <f>IF(預測IC!V24&gt;預測IC!V$25,1,0)</f>
        <v>0</v>
      </c>
      <c r="W24" s="7">
        <f>IF(預測IC!W24&gt;預測IC!W$25,1,0)</f>
        <v>1</v>
      </c>
      <c r="X24" s="7">
        <f>IF(預測IC!X24&gt;預測IC!X$25,1,0)</f>
        <v>1</v>
      </c>
      <c r="Y24" s="7">
        <f>IF(預測IC!Y24&gt;預測IC!Y$25,1,0)</f>
        <v>1</v>
      </c>
      <c r="Z24" s="7">
        <f>IF(預測IC!Z24&gt;預測IC!Z$25,1,0)</f>
        <v>1</v>
      </c>
      <c r="AA24" s="7">
        <f>IF(預測IC!AA24&gt;預測IC!AA$25,1,0)</f>
        <v>1</v>
      </c>
      <c r="AB24" s="7">
        <f>IF(預測IC!AB24&gt;預測IC!AB$25,1,0)</f>
        <v>1</v>
      </c>
      <c r="AC24" s="7">
        <f>IF(預測IC!AC24&gt;預測IC!AC$25,1,0)</f>
        <v>1</v>
      </c>
      <c r="AD24" s="7">
        <f>IF(預測IC!AD24&gt;預測IC!AD$25,1,0)</f>
        <v>1</v>
      </c>
      <c r="AE24" s="7">
        <f>IF(預測IC!AE24&gt;預測IC!AE$25,1,0)</f>
        <v>0</v>
      </c>
      <c r="AF24" s="7">
        <f>IF(預測IC!AF24&gt;預測IC!AF$25,1,0)</f>
        <v>1</v>
      </c>
      <c r="AG24" s="7">
        <f>IF(預測IC!AG24&gt;預測IC!AG$25,1,0)</f>
        <v>1</v>
      </c>
      <c r="AH24" s="7">
        <f>IF(預測IC!AH24&gt;預測IC!AH$25,1,0)</f>
        <v>0</v>
      </c>
      <c r="AI24" s="7">
        <f>IF(預測IC!AI24&gt;預測IC!AI$25,1,0)</f>
        <v>1</v>
      </c>
      <c r="AJ24" s="7">
        <f>IF(預測IC!AJ24&gt;預測IC!AJ$25,1,0)</f>
        <v>1</v>
      </c>
      <c r="AK24" s="7">
        <f>IF(預測IC!AK24&gt;預測IC!AK$25,1,0)</f>
        <v>1</v>
      </c>
      <c r="AL24" s="7">
        <f>IF(預測IC!AL24&gt;預測IC!AL$25,1,0)</f>
        <v>0</v>
      </c>
      <c r="AM24" s="7">
        <f>IF(預測IC!AM24&gt;預測IC!AM$25,1,0)</f>
        <v>0</v>
      </c>
      <c r="AN24" s="7">
        <f>IF(預測IC!AN24&gt;預測IC!AN$25,1,0)</f>
        <v>1</v>
      </c>
      <c r="AO24" s="7">
        <f>IF(預測IC!AO24&gt;預測IC!AO$25,1,0)</f>
        <v>1</v>
      </c>
      <c r="AP24" s="7">
        <f>IF(預測IC!AP24&gt;預測IC!AP$25,1,0)</f>
        <v>0</v>
      </c>
      <c r="AQ24" s="7">
        <f>IF(預測IC!AQ24&gt;預測IC!AQ$25,1,0)</f>
        <v>1</v>
      </c>
      <c r="AR24" s="7">
        <f>IF(預測IC!AR24&gt;預測IC!AR$25,1,0)</f>
        <v>0</v>
      </c>
      <c r="AS24" s="7">
        <f>IF(預測IC!AS24&gt;預測IC!AS$25,1,0)</f>
        <v>1</v>
      </c>
      <c r="AT24" s="7">
        <f>IF(預測IC!AT24&gt;預測IC!AT$25,1,0)</f>
        <v>1</v>
      </c>
      <c r="AU24" s="7">
        <f>IF(預測IC!AU24&gt;預測IC!AU$25,1,0)</f>
        <v>0</v>
      </c>
      <c r="AV24" s="7">
        <f>IF(預測IC!AV24&gt;預測IC!AV$25,1,0)</f>
        <v>1</v>
      </c>
      <c r="AW24" s="7">
        <f>IF(預測IC!AW24&gt;預測IC!AW$25,1,0)</f>
        <v>1</v>
      </c>
      <c r="AX24" s="7">
        <f>IF(預測IC!AX24&gt;預測IC!AX$25,1,0)</f>
        <v>1</v>
      </c>
      <c r="AY24" s="7">
        <f>IF(預測IC!AY24&gt;預測IC!AY$25,1,0)</f>
        <v>1</v>
      </c>
      <c r="AZ24" s="7">
        <f>IF(預測IC!AZ24&gt;預測IC!AZ$25,1,0)</f>
        <v>1</v>
      </c>
      <c r="BA24" s="7">
        <f>IF(預測IC!BA24&gt;預測IC!BA$25,1,0)</f>
        <v>1</v>
      </c>
      <c r="BB24" s="7">
        <f>IF(預測IC!BB24&gt;預測IC!BB$25,1,0)</f>
        <v>0</v>
      </c>
      <c r="BC24" s="7">
        <f>IF(預測IC!BC24&gt;預測IC!BC$25,1,0)</f>
        <v>0</v>
      </c>
      <c r="BD24" s="7">
        <f>IF(預測IC!BD24&gt;預測IC!BD$25,1,0)</f>
        <v>1</v>
      </c>
      <c r="BE24" s="7">
        <f>IF(預測IC!BE24&gt;預測IC!BE$25,1,0)</f>
        <v>0</v>
      </c>
      <c r="BF24" s="7">
        <f>IF(預測IC!BF24&gt;預測IC!BF$25,1,0)</f>
        <v>1</v>
      </c>
      <c r="BG24" s="7">
        <f>IF(預測IC!BG24&gt;預測IC!BG$25,1,0)</f>
        <v>1</v>
      </c>
      <c r="BH24" s="7">
        <f>IF(預測IC!BH24&gt;預測IC!BH$25,1,0)</f>
        <v>0</v>
      </c>
      <c r="BI24" s="7">
        <f>IF(預測IC!BI24&gt;預測IC!BI$25,1,0)</f>
        <v>0</v>
      </c>
      <c r="BJ24" s="7">
        <f>IF(預測IC!BJ24&gt;預測IC!BJ$25,1,0)</f>
        <v>1</v>
      </c>
      <c r="BK24" s="7">
        <f>IF(預測IC!BK24&gt;預測IC!BK$25,1,0)</f>
        <v>0</v>
      </c>
      <c r="BL24" s="7">
        <f>IF(預測IC!BL24&gt;預測IC!BL$25,1,0)</f>
        <v>1</v>
      </c>
      <c r="BM24" s="7">
        <f>IF(預測IC!BM24&gt;預測IC!BM$25,1,0)</f>
        <v>0</v>
      </c>
      <c r="BN24" s="7">
        <f>IF(預測IC!BN24&gt;預測IC!BN$25,1,0)</f>
        <v>0</v>
      </c>
      <c r="BO24" s="7">
        <f>IF(預測IC!BO24&gt;預測IC!BO$25,1,0)</f>
        <v>0</v>
      </c>
      <c r="BP24" s="7">
        <f>IF(預測IC!BP24&gt;預測IC!BP$25,1,0)</f>
        <v>1</v>
      </c>
      <c r="BQ24" s="7">
        <f>IF(預測IC!BQ24&gt;預測IC!BQ$25,1,0)</f>
        <v>0</v>
      </c>
      <c r="BR24" s="7">
        <f>IF(預測IC!BR24&gt;預測IC!BR$25,1,0)</f>
        <v>1</v>
      </c>
      <c r="BS24" s="7">
        <f>IF(預測IC!BS24&gt;預測IC!BS$25,1,0)</f>
        <v>0</v>
      </c>
      <c r="BT24" s="7">
        <f>IF(預測IC!BT24&gt;預測IC!BT$25,1,0)</f>
        <v>1</v>
      </c>
      <c r="BU24" s="7">
        <f>IF(預測IC!BU24&gt;預測IC!BU$25,1,0)</f>
        <v>0</v>
      </c>
      <c r="BV24" s="7">
        <f>IF(預測IC!BV24&gt;預測IC!BV$25,1,0)</f>
        <v>1</v>
      </c>
      <c r="BW24" s="7">
        <f>IF(預測IC!BW24&gt;預測IC!BW$25,1,0)</f>
        <v>0</v>
      </c>
      <c r="BX24" s="7">
        <f>IF(預測IC!BX24&gt;預測IC!BX$25,1,0)</f>
        <v>0</v>
      </c>
      <c r="BY24" s="7">
        <f>IF(預測IC!BY24&gt;預測IC!BY$25,1,0)</f>
        <v>1</v>
      </c>
      <c r="BZ24" s="7">
        <f>IF(預測IC!BZ24&gt;預測IC!BZ$25,1,0)</f>
        <v>0</v>
      </c>
      <c r="CA24" s="7">
        <f>IF(預測IC!CA24&gt;預測IC!CA$25,1,0)</f>
        <v>1</v>
      </c>
      <c r="CB24" s="7">
        <f>IF(預測IC!CB24&gt;預測IC!CB$25,1,0)</f>
        <v>1</v>
      </c>
      <c r="CC24" s="7">
        <f>IF(預測IC!CC24&gt;預測IC!CC$25,1,0)</f>
        <v>1</v>
      </c>
      <c r="CD24" s="7">
        <f>IF(預測IC!CD24&gt;預測IC!CD$25,1,0)</f>
        <v>1</v>
      </c>
      <c r="CE24" s="7">
        <f>IF(預測IC!CE24&gt;預測IC!CE$25,1,0)</f>
        <v>0</v>
      </c>
      <c r="CF24" s="7">
        <f>IF(預測IC!CF24&gt;預測IC!CF$25,1,0)</f>
        <v>0</v>
      </c>
      <c r="CG24" s="7">
        <f>IF(預測IC!CG24&gt;預測IC!CG$25,1,0)</f>
        <v>0</v>
      </c>
      <c r="CH24" s="7">
        <f>IF(預測IC!CH24&gt;預測IC!CH$25,1,0)</f>
        <v>0</v>
      </c>
      <c r="CI24" s="7">
        <f>IF(預測IC!CI24&gt;預測IC!CI$25,1,0)</f>
        <v>0</v>
      </c>
      <c r="CJ24" s="7">
        <f>IF(預測IC!CJ24&gt;預測IC!CJ$25,1,0)</f>
        <v>0</v>
      </c>
      <c r="CK24" s="7">
        <f>IF(預測IC!CK24&gt;預測IC!CK$25,1,0)</f>
        <v>1</v>
      </c>
      <c r="CL24" s="7">
        <f>IF(預測IC!CL24&gt;預測IC!CL$25,1,0)</f>
        <v>1</v>
      </c>
      <c r="CM24" s="7">
        <f>IF(預測IC!CM24&gt;預測IC!CM$25,1,0)</f>
        <v>0</v>
      </c>
      <c r="CN24" s="7">
        <f>IF(預測IC!CN24&gt;預測IC!CN$25,1,0)</f>
        <v>0</v>
      </c>
      <c r="CO24" s="7">
        <f>IF(預測IC!CO24&gt;預測IC!CO$25,1,0)</f>
        <v>0</v>
      </c>
      <c r="CP24" s="7">
        <f>IF(預測IC!CP24&gt;預測IC!CP$25,1,0)</f>
        <v>1</v>
      </c>
      <c r="CQ24" s="7">
        <f>IF(預測IC!CQ24&gt;預測IC!CQ$25,1,0)</f>
        <v>0</v>
      </c>
      <c r="CR24" s="7">
        <f>IF(預測IC!CR24&gt;預測IC!CR$25,1,0)</f>
        <v>1</v>
      </c>
      <c r="CS24" s="7">
        <f>IF(預測IC!CS24&gt;預測IC!CS$25,1,0)</f>
        <v>0</v>
      </c>
      <c r="CT24" s="7">
        <f>IF(預測IC!CT24&gt;預測IC!CT$25,1,0)</f>
        <v>0</v>
      </c>
      <c r="CU24" s="7">
        <f>IF(預測IC!CU24&gt;預測IC!CU$25,1,0)</f>
        <v>0</v>
      </c>
      <c r="CV24" s="7">
        <f>IF(預測IC!CV24&gt;預測IC!CV$25,1,0)</f>
        <v>1</v>
      </c>
      <c r="CW24" s="7">
        <f>IF(預測IC!CW24&gt;預測IC!CW$25,1,0)</f>
        <v>0</v>
      </c>
      <c r="CX24" s="7">
        <f>IF(預測IC!CX24&gt;預測IC!CX$25,1,0)</f>
        <v>0</v>
      </c>
      <c r="CY24" s="7">
        <f>IF(預測IC!CY24&gt;預測IC!CY$25,1,0)</f>
        <v>1</v>
      </c>
      <c r="CZ24" s="7">
        <f>IF(預測IC!CZ24&gt;預測IC!CZ$25,1,0)</f>
        <v>1</v>
      </c>
      <c r="DA24" s="7">
        <f>IF(預測IC!DA24&gt;預測IC!DA$25,1,0)</f>
        <v>1</v>
      </c>
      <c r="DB24" s="7">
        <f>IF(預測IC!DB24&gt;預測IC!DB$25,1,0)</f>
        <v>1</v>
      </c>
      <c r="DC24" s="7">
        <f>IF(預測IC!DC24&gt;預測IC!DC$25,1,0)</f>
        <v>0</v>
      </c>
      <c r="DD24" s="7">
        <f>IF(預測IC!DD24&gt;預測IC!DD$25,1,0)</f>
        <v>1</v>
      </c>
      <c r="DE24" s="7">
        <f>IF(預測IC!DE24&gt;預測IC!DE$25,1,0)</f>
        <v>0</v>
      </c>
      <c r="DF24" s="7">
        <f>IF(預測IC!DF24&gt;預測IC!DF$25,1,0)</f>
        <v>0</v>
      </c>
      <c r="DG24" s="7">
        <f>IF(預測IC!DG24&gt;預測IC!DG$25,1,0)</f>
        <v>0</v>
      </c>
      <c r="DH24" s="7">
        <f>IF(預測IC!DH24&gt;預測IC!DH$25,1,0)</f>
        <v>1</v>
      </c>
      <c r="DI24" s="7">
        <f>IF(預測IC!DI24&gt;預測IC!DI$25,1,0)</f>
        <v>1</v>
      </c>
      <c r="DJ24" s="7">
        <f>IF(預測IC!DJ24&gt;預測IC!DJ$25,1,0)</f>
        <v>1</v>
      </c>
      <c r="DK24" s="7">
        <f>IF(預測IC!DK24&gt;預測IC!DK$25,1,0)</f>
        <v>0</v>
      </c>
      <c r="DL24" s="7">
        <f>IF(預測IC!DL24&gt;預測IC!DL$25,1,0)</f>
        <v>1</v>
      </c>
      <c r="DM24" s="7">
        <f>IF(預測IC!DM24&gt;預測IC!DM$25,1,0)</f>
        <v>0</v>
      </c>
      <c r="DN24" s="7">
        <f>IF(預測IC!DN24&gt;預測IC!DN$25,1,0)</f>
        <v>1</v>
      </c>
      <c r="DO24" s="7">
        <f>IF(預測IC!DO24&gt;預測IC!DO$25,1,0)</f>
        <v>1</v>
      </c>
      <c r="DP24" s="7">
        <f>IF(預測IC!DP24&gt;預測IC!DP$25,1,0)</f>
        <v>0</v>
      </c>
      <c r="DQ24" s="7">
        <f>IF(預測IC!DQ24&gt;預測IC!DQ$25,1,0)</f>
        <v>0</v>
      </c>
      <c r="DR24" s="7">
        <f>IF(預測IC!DR24&gt;預測IC!DR$25,1,0)</f>
        <v>0</v>
      </c>
      <c r="DS24" s="7">
        <f>IF(預測IC!DS24&gt;預測IC!DS$25,1,0)</f>
        <v>0</v>
      </c>
      <c r="DT24" s="7">
        <f>IF(預測IC!DT24&gt;預測IC!DT$25,1,0)</f>
        <v>0</v>
      </c>
      <c r="DU24" s="7">
        <f>IF(預測IC!DU24&gt;預測IC!DU$25,1,0)</f>
        <v>0</v>
      </c>
      <c r="DV24" s="7">
        <f>IF(預測IC!DV24&gt;預測IC!DV$25,1,0)</f>
        <v>1</v>
      </c>
      <c r="DW24" s="7">
        <f>IF(預測IC!DW24&gt;預測IC!DW$25,1,0)</f>
        <v>1</v>
      </c>
      <c r="DX24" s="7">
        <f>IF(預測IC!DX24&gt;預測IC!DX$25,1,0)</f>
        <v>1</v>
      </c>
      <c r="DY24" s="7">
        <f>IF(預測IC!DY24&gt;預測IC!DY$25,1,0)</f>
        <v>1</v>
      </c>
      <c r="DZ24" s="7">
        <f>IF(預測IC!DZ24&gt;預測IC!DZ$25,1,0)</f>
        <v>0</v>
      </c>
      <c r="EA24" s="7">
        <f>IF(預測IC!EA24&gt;預測IC!EA$25,1,0)</f>
        <v>0</v>
      </c>
      <c r="EB24" s="7">
        <f>IF(預測IC!EB24&gt;預測IC!EB$25,1,0)</f>
        <v>0</v>
      </c>
      <c r="EC24" s="7">
        <f>IF(預測IC!EC24&gt;預測IC!EC$25,1,0)</f>
        <v>1</v>
      </c>
      <c r="ED24" s="7">
        <f>IF(預測IC!ED24&gt;預測IC!ED$25,1,0)</f>
        <v>0</v>
      </c>
      <c r="EE24" s="7">
        <f>IF(預測IC!EE24&gt;預測IC!EE$25,1,0)</f>
        <v>0</v>
      </c>
      <c r="EF24" s="7">
        <f>IF(預測IC!EF24&gt;預測IC!EF$25,1,0)</f>
        <v>1</v>
      </c>
      <c r="EG24">
        <f t="shared" si="10"/>
        <v>71</v>
      </c>
      <c r="EH24" s="11">
        <f t="shared" si="11"/>
        <v>0.52238805970149249</v>
      </c>
    </row>
    <row r="25" spans="1:138" s="12" customFormat="1" x14ac:dyDescent="0.3">
      <c r="A25" s="6" t="s">
        <v>145</v>
      </c>
      <c r="B25" s="6" t="s">
        <v>146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G25"/>
  <sheetViews>
    <sheetView zoomScale="79" workbookViewId="0"/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7" x14ac:dyDescent="0.3">
      <c r="A1" t="str">
        <f>預測IC!A1</f>
        <v>NN1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2</v>
      </c>
      <c r="D6" s="7">
        <f t="array" ref="D6">MATCH(MAX(ABS(D3:D5)), ABS(D3:D5), 0)</f>
        <v>2</v>
      </c>
      <c r="E6" s="7">
        <f t="array" ref="E6">MATCH(MAX(ABS(E3:E5)), ABS(E3:E5), 0)</f>
        <v>2</v>
      </c>
      <c r="F6" s="7">
        <f t="array" ref="F6">MATCH(MAX(ABS(F3:F5)), ABS(F3:F5), 0)</f>
        <v>2</v>
      </c>
      <c r="G6" s="7">
        <f t="array" ref="G6">MATCH(MAX(ABS(G3:G5)), ABS(G3:G5), 0)</f>
        <v>2</v>
      </c>
      <c r="H6" s="7">
        <f t="array" ref="H6">MATCH(MAX(ABS(H3:H5)), ABS(H3:H5), 0)</f>
        <v>2</v>
      </c>
      <c r="I6" s="7">
        <f t="array" ref="I6">MATCH(MAX(ABS(I3:I5)), ABS(I3:I5), 0)</f>
        <v>2</v>
      </c>
      <c r="J6" s="7">
        <f t="array" ref="J6">MATCH(MAX(ABS(J3:J5)), ABS(J3:J5), 0)</f>
        <v>2</v>
      </c>
      <c r="K6" s="7">
        <f t="array" ref="K6">MATCH(MAX(ABS(K3:K5)), ABS(K3:K5), 0)</f>
        <v>2</v>
      </c>
      <c r="L6" s="7">
        <f t="array" ref="L6">MATCH(MAX(ABS(L3:L5)), ABS(L3:L5), 0)</f>
        <v>2</v>
      </c>
      <c r="M6" s="7">
        <f t="array" ref="M6">MATCH(MAX(ABS(M3:M5)), ABS(M3:M5), 0)</f>
        <v>1</v>
      </c>
      <c r="N6" s="7">
        <f t="array" ref="N6">MATCH(MAX(ABS(N3:N5)), ABS(N3:N5), 0)</f>
        <v>2</v>
      </c>
      <c r="O6" s="7">
        <f t="array" ref="O6">MATCH(MAX(ABS(O3:O5)), ABS(O3:O5), 0)</f>
        <v>2</v>
      </c>
      <c r="P6" s="7">
        <f t="array" ref="P6">MATCH(MAX(ABS(P3:P5)), ABS(P3:P5), 0)</f>
        <v>2</v>
      </c>
      <c r="Q6" s="7">
        <f t="array" ref="Q6">MATCH(MAX(ABS(Q3:Q5)), ABS(Q3:Q5), 0)</f>
        <v>2</v>
      </c>
      <c r="R6" s="7">
        <f t="array" ref="R6">MATCH(MAX(ABS(R3:R5)), ABS(R3:R5), 0)</f>
        <v>2</v>
      </c>
      <c r="S6" s="7">
        <f t="array" ref="S6">MATCH(MAX(ABS(S3:S5)), ABS(S3:S5), 0)</f>
        <v>2</v>
      </c>
      <c r="T6" s="7">
        <f t="array" ref="T6">MATCH(MAX(ABS(T3:T5)), ABS(T3:T5), 0)</f>
        <v>1</v>
      </c>
      <c r="U6" s="7">
        <f t="array" ref="U6">MATCH(MAX(ABS(U3:U5)), ABS(U3:U5), 0)</f>
        <v>2</v>
      </c>
      <c r="V6" s="7">
        <f t="array" ref="V6">MATCH(MAX(ABS(V3:V5)), ABS(V3:V5), 0)</f>
        <v>2</v>
      </c>
      <c r="W6" s="7">
        <f t="array" ref="W6">MATCH(MAX(ABS(W3:W5)), ABS(W3:W5), 0)</f>
        <v>1</v>
      </c>
      <c r="X6" s="7">
        <f t="array" ref="X6">MATCH(MAX(ABS(X3:X5)), ABS(X3:X5), 0)</f>
        <v>2</v>
      </c>
      <c r="Y6" s="7">
        <f t="array" ref="Y6">MATCH(MAX(ABS(Y3:Y5)), ABS(Y3:Y5), 0)</f>
        <v>2</v>
      </c>
      <c r="Z6" s="7">
        <f t="array" ref="Z6">MATCH(MAX(ABS(Z3:Z5)), ABS(Z3:Z5), 0)</f>
        <v>2</v>
      </c>
      <c r="AA6" s="7">
        <f t="array" ref="AA6">MATCH(MAX(ABS(AA3:AA5)), ABS(AA3:AA5), 0)</f>
        <v>2</v>
      </c>
      <c r="AB6" s="7">
        <f t="array" ref="AB6">MATCH(MAX(ABS(AB3:AB5)), ABS(AB3:AB5), 0)</f>
        <v>3</v>
      </c>
      <c r="AC6" s="7">
        <f t="array" ref="AC6">MATCH(MAX(ABS(AC3:AC5)), ABS(AC3:AC5), 0)</f>
        <v>2</v>
      </c>
      <c r="AD6" s="7">
        <f t="array" ref="AD6">MATCH(MAX(ABS(AD3:AD5)), ABS(AD3:AD5), 0)</f>
        <v>3</v>
      </c>
      <c r="AE6" s="7">
        <f t="array" ref="AE6">MATCH(MAX(ABS(AE3:AE5)), ABS(AE3:AE5), 0)</f>
        <v>2</v>
      </c>
      <c r="AF6" s="7">
        <f t="array" ref="AF6">MATCH(MAX(ABS(AF3:AF5)), ABS(AF3:AF5), 0)</f>
        <v>1</v>
      </c>
      <c r="AG6" s="7">
        <f t="array" ref="AG6">MATCH(MAX(ABS(AG3:AG5)), ABS(AG3:AG5), 0)</f>
        <v>2</v>
      </c>
      <c r="AH6" s="7">
        <f t="array" ref="AH6">MATCH(MAX(ABS(AH3:AH5)), ABS(AH3:AH5), 0)</f>
        <v>1</v>
      </c>
      <c r="AI6" s="7">
        <f t="array" ref="AI6">MATCH(MAX(ABS(AI3:AI5)), ABS(AI3:AI5), 0)</f>
        <v>1</v>
      </c>
      <c r="AJ6" s="7">
        <f t="array" ref="AJ6">MATCH(MAX(ABS(AJ3:AJ5)), ABS(AJ3:AJ5), 0)</f>
        <v>1</v>
      </c>
      <c r="AK6" s="7">
        <f t="array" ref="AK6">MATCH(MAX(ABS(AK3:AK5)), ABS(AK3:AK5), 0)</f>
        <v>1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1</v>
      </c>
      <c r="AP6" s="7">
        <f t="array" ref="AP6">MATCH(MAX(ABS(AP3:AP5)), ABS(AP3:AP5), 0)</f>
        <v>1</v>
      </c>
      <c r="AQ6" s="7">
        <f t="array" ref="AQ6">MATCH(MAX(ABS(AQ3:AQ5)), ABS(AQ3:AQ5), 0)</f>
        <v>1</v>
      </c>
      <c r="AR6" s="7">
        <f t="array" ref="AR6">MATCH(MAX(ABS(AR3:AR5)), ABS(AR3:AR5), 0)</f>
        <v>1</v>
      </c>
      <c r="AS6" s="7">
        <f t="array" ref="AS6">MATCH(MAX(ABS(AS3:AS5)), ABS(AS3:AS5), 0)</f>
        <v>1</v>
      </c>
      <c r="AT6" s="7">
        <f t="array" ref="AT6">MATCH(MAX(ABS(AT3:AT5)), ABS(AT3:AT5), 0)</f>
        <v>1</v>
      </c>
      <c r="AU6" s="7">
        <f t="array" ref="AU6">MATCH(MAX(ABS(AU3:AU5)), ABS(AU3:AU5), 0)</f>
        <v>1</v>
      </c>
      <c r="AV6" s="7">
        <f t="array" ref="AV6">MATCH(MAX(ABS(AV3:AV5)), ABS(AV3:AV5), 0)</f>
        <v>1</v>
      </c>
      <c r="AW6" s="7">
        <f t="array" ref="AW6">MATCH(MAX(ABS(AW3:AW5)), ABS(AW3:AW5), 0)</f>
        <v>1</v>
      </c>
      <c r="AX6" s="7">
        <f t="array" ref="AX6">MATCH(MAX(ABS(AX3:AX5)), ABS(AX3:AX5), 0)</f>
        <v>1</v>
      </c>
      <c r="AY6" s="7">
        <f t="array" ref="AY6">MATCH(MAX(ABS(AY3:AY5)), ABS(AY3:AY5), 0)</f>
        <v>1</v>
      </c>
      <c r="AZ6" s="7">
        <f t="array" ref="AZ6">MATCH(MAX(ABS(AZ3:AZ5)), ABS(AZ3:AZ5), 0)</f>
        <v>1</v>
      </c>
      <c r="BA6" s="7">
        <f t="array" ref="BA6">MATCH(MAX(ABS(BA3:BA5)), ABS(BA3:BA5), 0)</f>
        <v>2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1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1</v>
      </c>
      <c r="BJ6" s="7">
        <f t="array" ref="BJ6">MATCH(MAX(ABS(BJ3:BJ5)), ABS(BJ3:BJ5), 0)</f>
        <v>1</v>
      </c>
      <c r="BK6" s="7">
        <f t="array" ref="BK6">MATCH(MAX(ABS(BK3:BK5)), ABS(BK3:BK5), 0)</f>
        <v>1</v>
      </c>
      <c r="BL6" s="7">
        <f t="array" ref="BL6">MATCH(MAX(ABS(BL3:BL5)), ABS(BL3:BL5), 0)</f>
        <v>1</v>
      </c>
      <c r="BM6" s="7">
        <f t="array" ref="BM6">MATCH(MAX(ABS(BM3:BM5)), ABS(BM3:BM5), 0)</f>
        <v>3</v>
      </c>
      <c r="BN6" s="7">
        <f t="array" ref="BN6">MATCH(MAX(ABS(BN3:BN5)), ABS(BN3:BN5), 0)</f>
        <v>1</v>
      </c>
      <c r="BO6" s="7">
        <f t="array" ref="BO6">MATCH(MAX(ABS(BO3:BO5)), ABS(BO3:BO5), 0)</f>
        <v>1</v>
      </c>
      <c r="BP6" s="7">
        <f t="array" ref="BP6">MATCH(MAX(ABS(BP3:BP5)), ABS(BP3:BP5), 0)</f>
        <v>1</v>
      </c>
      <c r="BQ6" s="7">
        <f t="array" ref="BQ6">MATCH(MAX(ABS(BQ3:BQ5)), ABS(BQ3:BQ5), 0)</f>
        <v>1</v>
      </c>
      <c r="BR6" s="7">
        <f t="array" ref="BR6">MATCH(MAX(ABS(BR3:BR5)), ABS(BR3:BR5), 0)</f>
        <v>1</v>
      </c>
      <c r="BS6" s="7">
        <f t="array" ref="BS6">MATCH(MAX(ABS(BS3:BS5)), ABS(BS3:BS5), 0)</f>
        <v>1</v>
      </c>
      <c r="BT6" s="7">
        <f t="array" ref="BT6">MATCH(MAX(ABS(BT3:BT5)), ABS(BT3:BT5), 0)</f>
        <v>1</v>
      </c>
      <c r="BU6" s="7">
        <f t="array" ref="BU6">MATCH(MAX(ABS(BU3:BU5)), ABS(BU3:BU5), 0)</f>
        <v>1</v>
      </c>
      <c r="BV6" s="7">
        <f t="array" ref="BV6">MATCH(MAX(ABS(BV3:BV5)), ABS(BV3:BV5), 0)</f>
        <v>1</v>
      </c>
      <c r="BW6" s="7">
        <f t="array" ref="BW6">MATCH(MAX(ABS(BW3:BW5)), ABS(BW3:BW5), 0)</f>
        <v>1</v>
      </c>
      <c r="BX6" s="7">
        <f t="array" ref="BX6">MATCH(MAX(ABS(BX3:BX5)), ABS(BX3:BX5), 0)</f>
        <v>1</v>
      </c>
      <c r="BY6" s="7">
        <f t="array" ref="BY6">MATCH(MAX(ABS(BY3:BY5)), ABS(BY3:BY5), 0)</f>
        <v>1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1</v>
      </c>
      <c r="CC6" s="7">
        <f t="array" ref="CC6">MATCH(MAX(ABS(CC3:CC5)), ABS(CC3:CC5), 0)</f>
        <v>2</v>
      </c>
      <c r="CD6" s="7">
        <f t="array" ref="CD6">MATCH(MAX(ABS(CD3:CD5)), ABS(CD3:CD5), 0)</f>
        <v>2</v>
      </c>
      <c r="CE6" s="7">
        <f t="array" ref="CE6">MATCH(MAX(ABS(CE3:CE5)), ABS(CE3:CE5), 0)</f>
        <v>2</v>
      </c>
      <c r="CF6" s="7">
        <f t="array" ref="CF6">MATCH(MAX(ABS(CF3:CF5)), ABS(CF3:CF5), 0)</f>
        <v>2</v>
      </c>
      <c r="CG6" s="7">
        <f t="array" ref="CG6">MATCH(MAX(ABS(CG3:CG5)), ABS(CG3:CG5), 0)</f>
        <v>2</v>
      </c>
      <c r="CH6" s="7">
        <f t="array" ref="CH6">MATCH(MAX(ABS(CH3:CH5)), ABS(CH3:CH5), 0)</f>
        <v>1</v>
      </c>
      <c r="CI6" s="7">
        <f t="array" ref="CI6">MATCH(MAX(ABS(CI3:CI5)), ABS(CI3:CI5), 0)</f>
        <v>1</v>
      </c>
      <c r="CJ6" s="7">
        <f t="array" ref="CJ6">MATCH(MAX(ABS(CJ3:CJ5)), ABS(CJ3:CJ5), 0)</f>
        <v>1</v>
      </c>
      <c r="CK6" s="7">
        <f t="array" ref="CK6">MATCH(MAX(ABS(CK3:CK5)), ABS(CK3:CK5), 0)</f>
        <v>1</v>
      </c>
      <c r="CL6" s="7">
        <f t="array" ref="CL6">MATCH(MAX(ABS(CL3:CL5)), ABS(CL3:CL5), 0)</f>
        <v>1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1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2</v>
      </c>
      <c r="CS6" s="7">
        <f t="array" ref="CS6">MATCH(MAX(ABS(CS3:CS5)), ABS(CS3:CS5), 0)</f>
        <v>2</v>
      </c>
      <c r="CT6" s="7">
        <f t="array" ref="CT6">MATCH(MAX(ABS(CT3:CT5)), ABS(CT3:CT5), 0)</f>
        <v>1</v>
      </c>
      <c r="CU6" s="7">
        <f t="array" ref="CU6">MATCH(MAX(ABS(CU3:CU5)), ABS(CU3:CU5), 0)</f>
        <v>1</v>
      </c>
      <c r="CV6" s="7">
        <f t="array" ref="CV6">MATCH(MAX(ABS(CV3:CV5)), ABS(CV3:CV5), 0)</f>
        <v>1</v>
      </c>
      <c r="CW6" s="7">
        <f t="array" ref="CW6">MATCH(MAX(ABS(CW3:CW5)), ABS(CW3:CW5), 0)</f>
        <v>1</v>
      </c>
      <c r="CX6" s="7">
        <f t="array" ref="CX6">MATCH(MAX(ABS(CX3:CX5)), ABS(CX3:CX5), 0)</f>
        <v>1</v>
      </c>
      <c r="CY6" s="7">
        <f t="array" ref="CY6">MATCH(MAX(ABS(CY3:CY5)), ABS(CY3:CY5), 0)</f>
        <v>1</v>
      </c>
      <c r="CZ6" s="7">
        <f t="array" ref="CZ6">MATCH(MAX(ABS(CZ3:CZ5)), ABS(CZ3:CZ5), 0)</f>
        <v>1</v>
      </c>
      <c r="DA6" s="7">
        <f t="array" ref="DA6">MATCH(MAX(ABS(DA3:DA5)), ABS(DA3:DA5), 0)</f>
        <v>1</v>
      </c>
      <c r="DB6" s="7">
        <f t="array" ref="DB6">MATCH(MAX(ABS(DB3:DB5)), ABS(DB3:DB5), 0)</f>
        <v>2</v>
      </c>
      <c r="DC6" s="7">
        <f t="array" ref="DC6">MATCH(MAX(ABS(DC3:DC5)), ABS(DC3:DC5), 0)</f>
        <v>2</v>
      </c>
      <c r="DD6" s="7">
        <f t="array" ref="DD6">MATCH(MAX(ABS(DD3:DD5)), ABS(DD3:DD5), 0)</f>
        <v>2</v>
      </c>
      <c r="DE6" s="7">
        <f t="array" ref="DE6">MATCH(MAX(ABS(DE3:DE5)), ABS(DE3:DE5), 0)</f>
        <v>1</v>
      </c>
      <c r="DF6" s="7">
        <f t="array" ref="DF6">MATCH(MAX(ABS(DF3:DF5)), ABS(DF3:DF5), 0)</f>
        <v>1</v>
      </c>
      <c r="DG6" s="7">
        <f t="array" ref="DG6">MATCH(MAX(ABS(DG3:DG5)), ABS(DG3:DG5), 0)</f>
        <v>1</v>
      </c>
      <c r="DH6" s="7">
        <f t="array" ref="DH6">MATCH(MAX(ABS(DH3:DH5)), ABS(DH3:DH5), 0)</f>
        <v>1</v>
      </c>
      <c r="DI6" s="7">
        <f t="array" ref="DI6">MATCH(MAX(ABS(DI3:DI5)), ABS(DI3:DI5), 0)</f>
        <v>1</v>
      </c>
      <c r="DJ6" s="7">
        <f t="array" ref="DJ6">MATCH(MAX(ABS(DJ3:DJ5)), ABS(DJ3:DJ5), 0)</f>
        <v>2</v>
      </c>
      <c r="DK6" s="7">
        <f t="array" ref="DK6">MATCH(MAX(ABS(DK3:DK5)), ABS(DK3:DK5), 0)</f>
        <v>1</v>
      </c>
      <c r="DL6" s="7">
        <f t="array" ref="DL6">MATCH(MAX(ABS(DL3:DL5)), ABS(DL3:DL5), 0)</f>
        <v>1</v>
      </c>
      <c r="DM6" s="7">
        <f t="array" ref="DM6">MATCH(MAX(ABS(DM3:DM5)), ABS(DM3:DM5), 0)</f>
        <v>1</v>
      </c>
      <c r="DN6" s="7">
        <f t="array" ref="DN6">MATCH(MAX(ABS(DN3:DN5)), ABS(DN3:DN5), 0)</f>
        <v>1</v>
      </c>
      <c r="DO6" s="7">
        <f t="array" ref="DO6">MATCH(MAX(ABS(DO3:DO5)), ABS(DO3:DO5), 0)</f>
        <v>1</v>
      </c>
      <c r="DP6" s="7">
        <f t="array" ref="DP6">MATCH(MAX(ABS(DP3:DP5)), ABS(DP3:DP5), 0)</f>
        <v>1</v>
      </c>
      <c r="DQ6" s="7">
        <f t="array" ref="DQ6">MATCH(MAX(ABS(DQ3:DQ5)), ABS(DQ3:DQ5), 0)</f>
        <v>2</v>
      </c>
      <c r="DR6" s="7">
        <f t="array" ref="DR6">MATCH(MAX(ABS(DR3:DR5)), ABS(DR3:DR5), 0)</f>
        <v>1</v>
      </c>
      <c r="DS6" s="7">
        <f t="array" ref="DS6">MATCH(MAX(ABS(DS3:DS5)), ABS(DS3:DS5), 0)</f>
        <v>1</v>
      </c>
      <c r="DT6" s="7">
        <f t="array" ref="DT6">MATCH(MAX(ABS(DT3:DT5)), ABS(DT3:DT5), 0)</f>
        <v>2</v>
      </c>
      <c r="DU6" s="7">
        <f t="array" ref="DU6">MATCH(MAX(ABS(DU3:DU5)), ABS(DU3:DU5), 0)</f>
        <v>2</v>
      </c>
      <c r="DV6" s="7">
        <f t="array" ref="DV6">MATCH(MAX(ABS(DV3:DV5)), ABS(DV3:DV5), 0)</f>
        <v>1</v>
      </c>
      <c r="DW6" s="7">
        <f t="array" ref="DW6">MATCH(MAX(ABS(DW3:DW5)), ABS(DW3:DW5), 0)</f>
        <v>1</v>
      </c>
      <c r="DX6" s="7">
        <f t="array" ref="DX6">MATCH(MAX(ABS(DX3:DX5)), ABS(DX3:DX5), 0)</f>
        <v>1</v>
      </c>
      <c r="DY6" s="7">
        <f t="array" ref="DY6">MATCH(MAX(ABS(DY3:DY5)), ABS(DY3:DY5), 0)</f>
        <v>2</v>
      </c>
      <c r="DZ6" s="7">
        <f t="array" ref="DZ6">MATCH(MAX(ABS(DZ3:DZ5)), ABS(DZ3:DZ5), 0)</f>
        <v>2</v>
      </c>
      <c r="EA6" s="7">
        <f t="array" ref="EA6">MATCH(MAX(ABS(EA3:EA5)), ABS(EA3:EA5), 0)</f>
        <v>2</v>
      </c>
      <c r="EB6" s="7">
        <f t="array" ref="EB6">MATCH(MAX(ABS(EB3:EB5)), ABS(EB3:EB5), 0)</f>
        <v>1</v>
      </c>
      <c r="EC6" s="7">
        <f t="array" ref="EC6">MATCH(MAX(ABS(EC3:EC5)), ABS(EC3:EC5), 0)</f>
        <v>2</v>
      </c>
      <c r="ED6" s="7">
        <f t="array" ref="ED6">MATCH(MAX(ABS(ED3:ED5)), ABS(ED3:ED5), 0)</f>
        <v>1</v>
      </c>
      <c r="EE6" s="7">
        <f t="array" ref="EE6">MATCH(MAX(ABS(EE3:EE5)), ABS(EE3:EE5), 0)</f>
        <v>1</v>
      </c>
      <c r="EF6" s="7">
        <f t="array" ref="EF6">MATCH(MAX(ABS(EF3:EF5)), ABS(EF3:EF5), 0)</f>
        <v>1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size</v>
      </c>
      <c r="D7" s="7" t="str">
        <f t="shared" si="0"/>
        <v>size</v>
      </c>
      <c r="E7" s="7" t="str">
        <f t="shared" si="0"/>
        <v>size</v>
      </c>
      <c r="F7" s="7" t="str">
        <f t="shared" si="0"/>
        <v>size</v>
      </c>
      <c r="G7" s="7" t="str">
        <f t="shared" si="0"/>
        <v>size</v>
      </c>
      <c r="H7" s="7" t="str">
        <f t="shared" si="0"/>
        <v>size</v>
      </c>
      <c r="I7" s="7" t="str">
        <f t="shared" si="0"/>
        <v>size</v>
      </c>
      <c r="J7" s="7" t="str">
        <f t="shared" si="0"/>
        <v>size</v>
      </c>
      <c r="K7" s="7" t="str">
        <f t="shared" si="0"/>
        <v>size</v>
      </c>
      <c r="L7" s="7" t="str">
        <f t="shared" si="0"/>
        <v>size</v>
      </c>
      <c r="M7" s="7" t="str">
        <f t="shared" si="0"/>
        <v>bm</v>
      </c>
      <c r="N7" s="7" t="str">
        <f t="shared" si="0"/>
        <v>size</v>
      </c>
      <c r="O7" s="7" t="str">
        <f t="shared" si="0"/>
        <v>size</v>
      </c>
      <c r="P7" s="7" t="str">
        <f t="shared" si="0"/>
        <v>size</v>
      </c>
      <c r="Q7" s="7" t="str">
        <f t="shared" si="0"/>
        <v>size</v>
      </c>
      <c r="R7" s="7" t="str">
        <f t="shared" si="0"/>
        <v>size</v>
      </c>
      <c r="S7" s="7" t="str">
        <f t="shared" si="0"/>
        <v>size</v>
      </c>
      <c r="T7" s="7" t="str">
        <f t="shared" si="0"/>
        <v>bm</v>
      </c>
      <c r="U7" s="7" t="str">
        <f t="shared" si="0"/>
        <v>size</v>
      </c>
      <c r="V7" s="7" t="str">
        <f t="shared" si="0"/>
        <v>size</v>
      </c>
      <c r="W7" s="7" t="str">
        <f t="shared" si="0"/>
        <v>bm</v>
      </c>
      <c r="X7" s="7" t="str">
        <f t="shared" si="0"/>
        <v>size</v>
      </c>
      <c r="Y7" s="7" t="str">
        <f t="shared" si="0"/>
        <v>size</v>
      </c>
      <c r="Z7" s="7" t="str">
        <f t="shared" si="0"/>
        <v>size</v>
      </c>
      <c r="AA7" s="7" t="str">
        <f t="shared" si="0"/>
        <v>size</v>
      </c>
      <c r="AB7" s="7" t="str">
        <f t="shared" si="0"/>
        <v>mom</v>
      </c>
      <c r="AC7" s="7" t="str">
        <f t="shared" si="0"/>
        <v>size</v>
      </c>
      <c r="AD7" s="7" t="str">
        <f t="shared" si="0"/>
        <v>mom</v>
      </c>
      <c r="AE7" s="7" t="str">
        <f t="shared" si="0"/>
        <v>size</v>
      </c>
      <c r="AF7" s="7" t="str">
        <f t="shared" si="0"/>
        <v>bm</v>
      </c>
      <c r="AG7" s="7" t="str">
        <f t="shared" si="0"/>
        <v>size</v>
      </c>
      <c r="AH7" s="7" t="str">
        <f t="shared" si="0"/>
        <v>bm</v>
      </c>
      <c r="AI7" s="7" t="str">
        <f t="shared" ref="AI7:BN7" si="1">IF(AI6=1,"bm",IF(AI6=2,"size",IF(AI6=3,"mom")))</f>
        <v>bm</v>
      </c>
      <c r="AJ7" s="7" t="str">
        <f t="shared" si="1"/>
        <v>bm</v>
      </c>
      <c r="AK7" s="7" t="str">
        <f t="shared" si="1"/>
        <v>bm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bm</v>
      </c>
      <c r="AP7" s="7" t="str">
        <f t="shared" si="1"/>
        <v>bm</v>
      </c>
      <c r="AQ7" s="7" t="str">
        <f t="shared" si="1"/>
        <v>bm</v>
      </c>
      <c r="AR7" s="7" t="str">
        <f t="shared" si="1"/>
        <v>bm</v>
      </c>
      <c r="AS7" s="7" t="str">
        <f t="shared" si="1"/>
        <v>bm</v>
      </c>
      <c r="AT7" s="7" t="str">
        <f t="shared" si="1"/>
        <v>bm</v>
      </c>
      <c r="AU7" s="7" t="str">
        <f t="shared" si="1"/>
        <v>bm</v>
      </c>
      <c r="AV7" s="7" t="str">
        <f t="shared" si="1"/>
        <v>bm</v>
      </c>
      <c r="AW7" s="7" t="str">
        <f t="shared" si="1"/>
        <v>bm</v>
      </c>
      <c r="AX7" s="7" t="str">
        <f t="shared" si="1"/>
        <v>bm</v>
      </c>
      <c r="AY7" s="7" t="str">
        <f t="shared" si="1"/>
        <v>bm</v>
      </c>
      <c r="AZ7" s="7" t="str">
        <f t="shared" si="1"/>
        <v>bm</v>
      </c>
      <c r="BA7" s="7" t="str">
        <f t="shared" si="1"/>
        <v>size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bm</v>
      </c>
      <c r="BG7" s="7" t="str">
        <f t="shared" si="1"/>
        <v>bm</v>
      </c>
      <c r="BH7" s="7" t="str">
        <f t="shared" si="1"/>
        <v>bm</v>
      </c>
      <c r="BI7" s="7" t="str">
        <f t="shared" si="1"/>
        <v>bm</v>
      </c>
      <c r="BJ7" s="7" t="str">
        <f t="shared" si="1"/>
        <v>bm</v>
      </c>
      <c r="BK7" s="7" t="str">
        <f t="shared" si="1"/>
        <v>bm</v>
      </c>
      <c r="BL7" s="7" t="str">
        <f t="shared" si="1"/>
        <v>bm</v>
      </c>
      <c r="BM7" s="7" t="str">
        <f t="shared" si="1"/>
        <v>mom</v>
      </c>
      <c r="BN7" s="7" t="str">
        <f t="shared" si="1"/>
        <v>bm</v>
      </c>
      <c r="BO7" s="7" t="str">
        <f t="shared" ref="BO7:CT7" si="2">IF(BO6=1,"bm",IF(BO6=2,"size",IF(BO6=3,"mom")))</f>
        <v>bm</v>
      </c>
      <c r="BP7" s="7" t="str">
        <f t="shared" si="2"/>
        <v>bm</v>
      </c>
      <c r="BQ7" s="7" t="str">
        <f t="shared" si="2"/>
        <v>bm</v>
      </c>
      <c r="BR7" s="7" t="str">
        <f t="shared" si="2"/>
        <v>bm</v>
      </c>
      <c r="BS7" s="7" t="str">
        <f t="shared" si="2"/>
        <v>bm</v>
      </c>
      <c r="BT7" s="7" t="str">
        <f t="shared" si="2"/>
        <v>bm</v>
      </c>
      <c r="BU7" s="7" t="str">
        <f t="shared" si="2"/>
        <v>bm</v>
      </c>
      <c r="BV7" s="7" t="str">
        <f t="shared" si="2"/>
        <v>bm</v>
      </c>
      <c r="BW7" s="7" t="str">
        <f t="shared" si="2"/>
        <v>bm</v>
      </c>
      <c r="BX7" s="7" t="str">
        <f t="shared" si="2"/>
        <v>bm</v>
      </c>
      <c r="BY7" s="7" t="str">
        <f t="shared" si="2"/>
        <v>bm</v>
      </c>
      <c r="BZ7" s="7" t="str">
        <f t="shared" si="2"/>
        <v>bm</v>
      </c>
      <c r="CA7" s="7" t="str">
        <f t="shared" si="2"/>
        <v>bm</v>
      </c>
      <c r="CB7" s="7" t="str">
        <f t="shared" si="2"/>
        <v>bm</v>
      </c>
      <c r="CC7" s="7" t="str">
        <f t="shared" si="2"/>
        <v>size</v>
      </c>
      <c r="CD7" s="7" t="str">
        <f t="shared" si="2"/>
        <v>size</v>
      </c>
      <c r="CE7" s="7" t="str">
        <f t="shared" si="2"/>
        <v>size</v>
      </c>
      <c r="CF7" s="7" t="str">
        <f t="shared" si="2"/>
        <v>size</v>
      </c>
      <c r="CG7" s="7" t="str">
        <f t="shared" si="2"/>
        <v>size</v>
      </c>
      <c r="CH7" s="7" t="str">
        <f t="shared" si="2"/>
        <v>bm</v>
      </c>
      <c r="CI7" s="7" t="str">
        <f t="shared" si="2"/>
        <v>bm</v>
      </c>
      <c r="CJ7" s="7" t="str">
        <f t="shared" si="2"/>
        <v>bm</v>
      </c>
      <c r="CK7" s="7" t="str">
        <f t="shared" si="2"/>
        <v>bm</v>
      </c>
      <c r="CL7" s="7" t="str">
        <f t="shared" si="2"/>
        <v>bm</v>
      </c>
      <c r="CM7" s="7" t="str">
        <f t="shared" si="2"/>
        <v>bm</v>
      </c>
      <c r="CN7" s="7" t="str">
        <f t="shared" si="2"/>
        <v>bm</v>
      </c>
      <c r="CO7" s="7" t="str">
        <f t="shared" si="2"/>
        <v>bm</v>
      </c>
      <c r="CP7" s="7" t="str">
        <f t="shared" si="2"/>
        <v>bm</v>
      </c>
      <c r="CQ7" s="7" t="str">
        <f t="shared" si="2"/>
        <v>mom</v>
      </c>
      <c r="CR7" s="7" t="str">
        <f t="shared" si="2"/>
        <v>size</v>
      </c>
      <c r="CS7" s="7" t="str">
        <f t="shared" si="2"/>
        <v>size</v>
      </c>
      <c r="CT7" s="7" t="str">
        <f t="shared" si="2"/>
        <v>bm</v>
      </c>
      <c r="CU7" s="7" t="str">
        <f t="shared" ref="CU7:DZ7" si="3">IF(CU6=1,"bm",IF(CU6=2,"size",IF(CU6=3,"mom")))</f>
        <v>bm</v>
      </c>
      <c r="CV7" s="7" t="str">
        <f t="shared" si="3"/>
        <v>bm</v>
      </c>
      <c r="CW7" s="7" t="str">
        <f t="shared" si="3"/>
        <v>bm</v>
      </c>
      <c r="CX7" s="7" t="str">
        <f t="shared" si="3"/>
        <v>bm</v>
      </c>
      <c r="CY7" s="7" t="str">
        <f t="shared" si="3"/>
        <v>bm</v>
      </c>
      <c r="CZ7" s="7" t="str">
        <f t="shared" si="3"/>
        <v>bm</v>
      </c>
      <c r="DA7" s="7" t="str">
        <f t="shared" si="3"/>
        <v>bm</v>
      </c>
      <c r="DB7" s="7" t="str">
        <f t="shared" si="3"/>
        <v>size</v>
      </c>
      <c r="DC7" s="7" t="str">
        <f t="shared" si="3"/>
        <v>size</v>
      </c>
      <c r="DD7" s="7" t="str">
        <f t="shared" si="3"/>
        <v>size</v>
      </c>
      <c r="DE7" s="7" t="str">
        <f t="shared" si="3"/>
        <v>bm</v>
      </c>
      <c r="DF7" s="7" t="str">
        <f t="shared" si="3"/>
        <v>bm</v>
      </c>
      <c r="DG7" s="7" t="str">
        <f t="shared" si="3"/>
        <v>bm</v>
      </c>
      <c r="DH7" s="7" t="str">
        <f t="shared" si="3"/>
        <v>bm</v>
      </c>
      <c r="DI7" s="7" t="str">
        <f t="shared" si="3"/>
        <v>bm</v>
      </c>
      <c r="DJ7" s="7" t="str">
        <f t="shared" si="3"/>
        <v>size</v>
      </c>
      <c r="DK7" s="7" t="str">
        <f t="shared" si="3"/>
        <v>bm</v>
      </c>
      <c r="DL7" s="7" t="str">
        <f t="shared" si="3"/>
        <v>bm</v>
      </c>
      <c r="DM7" s="7" t="str">
        <f t="shared" si="3"/>
        <v>bm</v>
      </c>
      <c r="DN7" s="7" t="str">
        <f t="shared" si="3"/>
        <v>bm</v>
      </c>
      <c r="DO7" s="7" t="str">
        <f t="shared" si="3"/>
        <v>bm</v>
      </c>
      <c r="DP7" s="7" t="str">
        <f t="shared" si="3"/>
        <v>bm</v>
      </c>
      <c r="DQ7" s="7" t="str">
        <f t="shared" si="3"/>
        <v>size</v>
      </c>
      <c r="DR7" s="7" t="str">
        <f t="shared" si="3"/>
        <v>bm</v>
      </c>
      <c r="DS7" s="7" t="str">
        <f t="shared" si="3"/>
        <v>bm</v>
      </c>
      <c r="DT7" s="7" t="str">
        <f t="shared" si="3"/>
        <v>size</v>
      </c>
      <c r="DU7" s="7" t="str">
        <f t="shared" si="3"/>
        <v>size</v>
      </c>
      <c r="DV7" s="7" t="str">
        <f t="shared" si="3"/>
        <v>bm</v>
      </c>
      <c r="DW7" s="7" t="str">
        <f t="shared" si="3"/>
        <v>bm</v>
      </c>
      <c r="DX7" s="7" t="str">
        <f t="shared" si="3"/>
        <v>bm</v>
      </c>
      <c r="DY7" s="7" t="str">
        <f t="shared" si="3"/>
        <v>size</v>
      </c>
      <c r="DZ7" s="7" t="str">
        <f t="shared" si="3"/>
        <v>size</v>
      </c>
      <c r="EA7" s="7" t="str">
        <f t="shared" ref="EA7:EG7" si="4">IF(EA6=1,"bm",IF(EA6=2,"size",IF(EA6=3,"mom")))</f>
        <v>size</v>
      </c>
      <c r="EB7" s="7" t="str">
        <f t="shared" si="4"/>
        <v>bm</v>
      </c>
      <c r="EC7" s="7" t="str">
        <f t="shared" si="4"/>
        <v>size</v>
      </c>
      <c r="ED7" s="7" t="str">
        <f t="shared" si="4"/>
        <v>bm</v>
      </c>
      <c r="EE7" s="7" t="str">
        <f t="shared" si="4"/>
        <v>bm</v>
      </c>
      <c r="EF7" s="7" t="str">
        <f t="shared" si="4"/>
        <v>bm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-4.9660318332858187E-2</v>
      </c>
      <c r="D8" s="7">
        <f t="shared" si="5"/>
        <v>-6.445345992925948E-2</v>
      </c>
      <c r="E8" s="7">
        <f t="shared" si="5"/>
        <v>-9.5804928773652709E-2</v>
      </c>
      <c r="F8" s="7">
        <f t="shared" si="5"/>
        <v>-7.6694248625274991E-2</v>
      </c>
      <c r="G8" s="7">
        <f t="shared" si="5"/>
        <v>-2.651532023294172E-2</v>
      </c>
      <c r="H8" s="7">
        <f t="shared" si="5"/>
        <v>-3.4151649822825897E-2</v>
      </c>
      <c r="I8" s="7">
        <f t="shared" si="5"/>
        <v>-4.6190909592046463E-2</v>
      </c>
      <c r="J8" s="7">
        <f t="shared" si="5"/>
        <v>-4.6178362506532247E-2</v>
      </c>
      <c r="K8" s="7">
        <f t="shared" si="5"/>
        <v>-4.5931908840778947E-2</v>
      </c>
      <c r="L8" s="7">
        <f t="shared" si="5"/>
        <v>-4.0811789698647891E-2</v>
      </c>
      <c r="M8" s="7">
        <f t="shared" si="5"/>
        <v>3.2729103566482703E-2</v>
      </c>
      <c r="N8" s="7">
        <f t="shared" si="5"/>
        <v>-3.5831184190578111E-2</v>
      </c>
      <c r="O8" s="7">
        <f t="shared" si="5"/>
        <v>-5.702286088483291E-2</v>
      </c>
      <c r="P8" s="7">
        <f t="shared" si="5"/>
        <v>-4.2462624022791412E-2</v>
      </c>
      <c r="Q8" s="7">
        <f t="shared" si="5"/>
        <v>-3.7772238816422013E-2</v>
      </c>
      <c r="R8" s="7">
        <f t="shared" si="5"/>
        <v>-2.862815930799394E-2</v>
      </c>
      <c r="S8" s="7">
        <f t="shared" si="5"/>
        <v>-3.0997759055884269E-2</v>
      </c>
      <c r="T8" s="7">
        <f t="shared" si="5"/>
        <v>2.262072807092803E-2</v>
      </c>
      <c r="U8" s="7">
        <f t="shared" si="5"/>
        <v>-3.7956683729456563E-2</v>
      </c>
      <c r="V8" s="7">
        <f t="shared" si="5"/>
        <v>-2.9502006234075319E-2</v>
      </c>
      <c r="W8" s="7">
        <f t="shared" si="5"/>
        <v>4.5784045042201092E-2</v>
      </c>
      <c r="X8" s="7">
        <f t="shared" si="5"/>
        <v>-5.4483330503116392E-2</v>
      </c>
      <c r="Y8" s="7">
        <f t="shared" si="5"/>
        <v>-5.7374083583845582E-2</v>
      </c>
      <c r="Z8" s="7">
        <f t="shared" si="5"/>
        <v>-5.062832428295555E-2</v>
      </c>
      <c r="AA8" s="7">
        <f t="shared" si="5"/>
        <v>-4.2319641432599031E-2</v>
      </c>
      <c r="AB8" s="7">
        <f t="shared" si="5"/>
        <v>-4.99371392416516E-2</v>
      </c>
      <c r="AC8" s="7">
        <f t="shared" si="5"/>
        <v>-3.8455291231844213E-2</v>
      </c>
      <c r="AD8" s="7">
        <f t="shared" si="5"/>
        <v>-6.5956474854444447E-2</v>
      </c>
      <c r="AE8" s="7">
        <f t="shared" si="5"/>
        <v>-3.4794942198420678E-2</v>
      </c>
      <c r="AF8" s="7">
        <f t="shared" si="5"/>
        <v>1.3117941025955079E-2</v>
      </c>
      <c r="AG8" s="7">
        <f t="shared" si="5"/>
        <v>-3.2239149636300098E-2</v>
      </c>
      <c r="AH8" s="7">
        <f t="shared" si="5"/>
        <v>3.1884444011299258E-2</v>
      </c>
      <c r="AI8" s="7">
        <f t="shared" ref="AI8:BN8" si="6">IF(AI6=1,AI3,IF(AI6=2,AI4,IF(AI6=3,AI5)))</f>
        <v>3.6385761193522617E-2</v>
      </c>
      <c r="AJ8" s="7">
        <f t="shared" si="6"/>
        <v>3.5948919429733099E-2</v>
      </c>
      <c r="AK8" s="7">
        <f t="shared" si="6"/>
        <v>4.3482830969963061E-2</v>
      </c>
      <c r="AL8" s="7">
        <f t="shared" si="6"/>
        <v>3.8462077568039821E-2</v>
      </c>
      <c r="AM8" s="7">
        <f t="shared" si="6"/>
        <v>3.9410244165835981E-2</v>
      </c>
      <c r="AN8" s="7">
        <f t="shared" si="6"/>
        <v>5.0743620516414449E-2</v>
      </c>
      <c r="AO8" s="7">
        <f t="shared" si="6"/>
        <v>5.3684811620656157E-2</v>
      </c>
      <c r="AP8" s="7">
        <f t="shared" si="6"/>
        <v>4.9314899356547669E-2</v>
      </c>
      <c r="AQ8" s="7">
        <f t="shared" si="6"/>
        <v>3.2773687722358558E-2</v>
      </c>
      <c r="AR8" s="7">
        <f t="shared" si="6"/>
        <v>2.8295340626825871E-2</v>
      </c>
      <c r="AS8" s="7">
        <f t="shared" si="6"/>
        <v>2.8377802599917349E-2</v>
      </c>
      <c r="AT8" s="7">
        <f t="shared" si="6"/>
        <v>2.306922946025217E-2</v>
      </c>
      <c r="AU8" s="7">
        <f t="shared" si="6"/>
        <v>2.9397032882625889E-2</v>
      </c>
      <c r="AV8" s="7">
        <f t="shared" si="6"/>
        <v>3.103785222722218E-2</v>
      </c>
      <c r="AW8" s="7">
        <f t="shared" si="6"/>
        <v>2.6297924056821211E-2</v>
      </c>
      <c r="AX8" s="7">
        <f t="shared" si="6"/>
        <v>2.6164811358804361E-2</v>
      </c>
      <c r="AY8" s="7">
        <f t="shared" si="6"/>
        <v>3.2053783671709642E-2</v>
      </c>
      <c r="AZ8" s="7">
        <f t="shared" si="6"/>
        <v>3.4477530774765272E-2</v>
      </c>
      <c r="BA8" s="7">
        <f t="shared" si="6"/>
        <v>-2.96336447127158E-2</v>
      </c>
      <c r="BB8" s="7">
        <f t="shared" si="6"/>
        <v>-3.692311268093771E-2</v>
      </c>
      <c r="BC8" s="7">
        <f t="shared" si="6"/>
        <v>3.7421776938590827E-2</v>
      </c>
      <c r="BD8" s="7">
        <f t="shared" si="6"/>
        <v>3.141372245226793E-2</v>
      </c>
      <c r="BE8" s="7">
        <f t="shared" si="6"/>
        <v>3.2006411062996218E-2</v>
      </c>
      <c r="BF8" s="7">
        <f t="shared" si="6"/>
        <v>2.828182773285309E-2</v>
      </c>
      <c r="BG8" s="7">
        <f t="shared" si="6"/>
        <v>4.1103436715196499E-2</v>
      </c>
      <c r="BH8" s="7">
        <f t="shared" si="6"/>
        <v>4.5198779339126277E-2</v>
      </c>
      <c r="BI8" s="7">
        <f t="shared" si="6"/>
        <v>4.1588040384802467E-2</v>
      </c>
      <c r="BJ8" s="7">
        <f t="shared" si="6"/>
        <v>4.0723405736309587E-2</v>
      </c>
      <c r="BK8" s="7">
        <f t="shared" si="6"/>
        <v>3.6327700059770963E-2</v>
      </c>
      <c r="BL8" s="7">
        <f t="shared" si="6"/>
        <v>3.6173192149872829E-2</v>
      </c>
      <c r="BM8" s="7">
        <f t="shared" si="6"/>
        <v>-3.7766406128849933E-2</v>
      </c>
      <c r="BN8" s="7">
        <f t="shared" si="6"/>
        <v>3.0814038130409348E-2</v>
      </c>
      <c r="BO8" s="7">
        <f t="shared" ref="BO8:CT8" si="7">IF(BO6=1,BO3,IF(BO6=2,BO4,IF(BO6=3,BO5)))</f>
        <v>3.065585577146604E-2</v>
      </c>
      <c r="BP8" s="7">
        <f t="shared" si="7"/>
        <v>3.4399631895121928E-2</v>
      </c>
      <c r="BQ8" s="7">
        <f t="shared" si="7"/>
        <v>3.4868650026028229E-2</v>
      </c>
      <c r="BR8" s="7">
        <f t="shared" si="7"/>
        <v>3.6324039848933801E-2</v>
      </c>
      <c r="BS8" s="7">
        <f t="shared" si="7"/>
        <v>3.6164468096582622E-2</v>
      </c>
      <c r="BT8" s="7">
        <f t="shared" si="7"/>
        <v>3.8668894956456937E-2</v>
      </c>
      <c r="BU8" s="7">
        <f t="shared" si="7"/>
        <v>4.1103483948852763E-2</v>
      </c>
      <c r="BV8" s="7">
        <f t="shared" si="7"/>
        <v>2.8684133448632881E-2</v>
      </c>
      <c r="BW8" s="7">
        <f t="shared" si="7"/>
        <v>3.521650986163926E-2</v>
      </c>
      <c r="BX8" s="7">
        <f t="shared" si="7"/>
        <v>4.0767200067914247E-2</v>
      </c>
      <c r="BY8" s="7">
        <f t="shared" si="7"/>
        <v>2.160353774972024E-2</v>
      </c>
      <c r="BZ8" s="7">
        <f t="shared" si="7"/>
        <v>3.0433668800390778E-2</v>
      </c>
      <c r="CA8" s="7">
        <f t="shared" si="7"/>
        <v>3.7311958080318418E-2</v>
      </c>
      <c r="CB8" s="7">
        <f t="shared" si="7"/>
        <v>2.7612053143104789E-2</v>
      </c>
      <c r="CC8" s="7">
        <f t="shared" si="7"/>
        <v>-4.1111880962519533E-2</v>
      </c>
      <c r="CD8" s="7">
        <f t="shared" si="7"/>
        <v>-3.2535264061707238E-2</v>
      </c>
      <c r="CE8" s="7">
        <f t="shared" si="7"/>
        <v>-3.032312687201056E-2</v>
      </c>
      <c r="CF8" s="7">
        <f t="shared" si="7"/>
        <v>-6.1293035460275459E-2</v>
      </c>
      <c r="CG8" s="7">
        <f t="shared" si="7"/>
        <v>-4.4169599695747568E-2</v>
      </c>
      <c r="CH8" s="7">
        <f t="shared" si="7"/>
        <v>4.0909001215823568E-2</v>
      </c>
      <c r="CI8" s="7">
        <f t="shared" si="7"/>
        <v>3.9050253240311222E-2</v>
      </c>
      <c r="CJ8" s="7">
        <f t="shared" si="7"/>
        <v>2.4561899640003909E-2</v>
      </c>
      <c r="CK8" s="7">
        <f t="shared" si="7"/>
        <v>3.413446187252573E-2</v>
      </c>
      <c r="CL8" s="7">
        <f t="shared" si="7"/>
        <v>3.5925937532879773E-2</v>
      </c>
      <c r="CM8" s="7">
        <f t="shared" si="7"/>
        <v>4.2466042159304301E-2</v>
      </c>
      <c r="CN8" s="7">
        <f t="shared" si="7"/>
        <v>3.6523906516241801E-2</v>
      </c>
      <c r="CO8" s="7">
        <f t="shared" si="7"/>
        <v>3.7659149571028283E-2</v>
      </c>
      <c r="CP8" s="7">
        <f t="shared" si="7"/>
        <v>3.9957834472595419E-2</v>
      </c>
      <c r="CQ8" s="7">
        <f t="shared" si="7"/>
        <v>9.0067640458367376E-3</v>
      </c>
      <c r="CR8" s="7">
        <f t="shared" si="7"/>
        <v>-1.9179487848293229E-2</v>
      </c>
      <c r="CS8" s="7">
        <f t="shared" si="7"/>
        <v>-2.3347225810085481E-2</v>
      </c>
      <c r="CT8" s="7">
        <f t="shared" si="7"/>
        <v>4.0972167824902372E-2</v>
      </c>
      <c r="CU8" s="7">
        <f t="shared" ref="CU8:DZ8" si="8">IF(CU6=1,CU3,IF(CU6=2,CU4,IF(CU6=3,CU5)))</f>
        <v>3.8942373224816543E-2</v>
      </c>
      <c r="CV8" s="7">
        <f t="shared" si="8"/>
        <v>4.3015000500199303E-2</v>
      </c>
      <c r="CW8" s="7">
        <f t="shared" si="8"/>
        <v>3.9706600079107632E-2</v>
      </c>
      <c r="CX8" s="7">
        <f t="shared" si="8"/>
        <v>3.9171022856911548E-2</v>
      </c>
      <c r="CY8" s="7">
        <f t="shared" si="8"/>
        <v>3.4940834769569752E-2</v>
      </c>
      <c r="CZ8" s="7">
        <f t="shared" si="8"/>
        <v>3.6026834228159298E-2</v>
      </c>
      <c r="DA8" s="7">
        <f t="shared" si="8"/>
        <v>4.450954814790925E-2</v>
      </c>
      <c r="DB8" s="7">
        <f t="shared" si="8"/>
        <v>-4.4724835819105087E-2</v>
      </c>
      <c r="DC8" s="7">
        <f t="shared" si="8"/>
        <v>-7.0760187276930051E-2</v>
      </c>
      <c r="DD8" s="7">
        <f t="shared" si="8"/>
        <v>-5.7609848887751572E-2</v>
      </c>
      <c r="DE8" s="7">
        <f t="shared" si="8"/>
        <v>4.199397627237688E-2</v>
      </c>
      <c r="DF8" s="7">
        <f t="shared" si="8"/>
        <v>4.1965348731106439E-2</v>
      </c>
      <c r="DG8" s="7">
        <f t="shared" si="8"/>
        <v>4.0382244799122911E-2</v>
      </c>
      <c r="DH8" s="7">
        <f t="shared" si="8"/>
        <v>3.6787240146963857E-2</v>
      </c>
      <c r="DI8" s="7">
        <f t="shared" si="8"/>
        <v>3.6877765546082367E-2</v>
      </c>
      <c r="DJ8" s="7">
        <f t="shared" si="8"/>
        <v>-3.8760923501945078E-2</v>
      </c>
      <c r="DK8" s="7">
        <f t="shared" si="8"/>
        <v>3.6536443043095952E-2</v>
      </c>
      <c r="DL8" s="7">
        <f t="shared" si="8"/>
        <v>3.153055621902446E-2</v>
      </c>
      <c r="DM8" s="7">
        <f t="shared" si="8"/>
        <v>2.866223764473836E-2</v>
      </c>
      <c r="DN8" s="7">
        <f t="shared" si="8"/>
        <v>3.0844743252797239E-2</v>
      </c>
      <c r="DO8" s="7">
        <f t="shared" si="8"/>
        <v>3.3675363611272838E-2</v>
      </c>
      <c r="DP8" s="7">
        <f t="shared" si="8"/>
        <v>3.5102177512429639E-2</v>
      </c>
      <c r="DQ8" s="7">
        <f t="shared" si="8"/>
        <v>-3.7657447804277308E-2</v>
      </c>
      <c r="DR8" s="7">
        <f t="shared" si="8"/>
        <v>3.4114421599711522E-2</v>
      </c>
      <c r="DS8" s="7">
        <f t="shared" si="8"/>
        <v>3.6715906439180962E-2</v>
      </c>
      <c r="DT8" s="7">
        <f t="shared" si="8"/>
        <v>-4.1055975870549932E-2</v>
      </c>
      <c r="DU8" s="7">
        <f t="shared" si="8"/>
        <v>-3.7310577027678322E-2</v>
      </c>
      <c r="DV8" s="7">
        <f t="shared" si="8"/>
        <v>2.524093892652958E-2</v>
      </c>
      <c r="DW8" s="7">
        <f t="shared" si="8"/>
        <v>3.5159202684512107E-2</v>
      </c>
      <c r="DX8" s="7">
        <f t="shared" si="8"/>
        <v>3.2304964005665182E-2</v>
      </c>
      <c r="DY8" s="7">
        <f t="shared" si="8"/>
        <v>-3.3048755705593437E-2</v>
      </c>
      <c r="DZ8" s="7">
        <f t="shared" si="8"/>
        <v>-3.0982285927668149E-2</v>
      </c>
      <c r="EA8" s="7">
        <f t="shared" ref="EA8:EG8" si="9">IF(EA6=1,EA3,IF(EA6=2,EA4,IF(EA6=3,EA5)))</f>
        <v>-3.1659361830993077E-2</v>
      </c>
      <c r="EB8" s="7">
        <f t="shared" si="9"/>
        <v>3.723081253221186E-2</v>
      </c>
      <c r="EC8" s="7">
        <f t="shared" si="9"/>
        <v>-4.1069205257147343E-2</v>
      </c>
      <c r="ED8" s="7">
        <f t="shared" si="9"/>
        <v>3.4186640907954438E-2</v>
      </c>
      <c r="EE8" s="7">
        <f t="shared" si="9"/>
        <v>2.5041157579864502E-2</v>
      </c>
      <c r="EF8" s="7">
        <f t="shared" si="9"/>
        <v>3.4121434975122142E-2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A11" s="1" t="s">
        <v>143</v>
      </c>
      <c r="B11" s="1" t="s">
        <v>144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A12" s="1">
        <v>10</v>
      </c>
      <c r="B12" s="1">
        <v>96</v>
      </c>
      <c r="C12" s="7">
        <v>8.4653346747999555E-2</v>
      </c>
      <c r="D12" s="7">
        <f>C12+預測IC!D12</f>
        <v>0.10547514201987786</v>
      </c>
      <c r="E12" s="7">
        <f>D12+預測IC!E12</f>
        <v>9.8721113661519935E-2</v>
      </c>
      <c r="F12" s="7">
        <f>E12+預測IC!F12</f>
        <v>7.8852288713613591E-2</v>
      </c>
      <c r="G12" s="7">
        <f>F12+預測IC!G12</f>
        <v>8.6756635459541959E-2</v>
      </c>
      <c r="H12" s="7">
        <f>G12+預測IC!H12</f>
        <v>9.6116019221297616E-2</v>
      </c>
      <c r="I12" s="7">
        <f>H12+預測IC!I12</f>
        <v>0.13241995607034962</v>
      </c>
      <c r="J12" s="7">
        <f>I12+預測IC!J12</f>
        <v>0.17620453481522114</v>
      </c>
      <c r="K12" s="7">
        <f>J12+預測IC!K12</f>
        <v>0.16521613096239904</v>
      </c>
      <c r="L12" s="7">
        <f>K12+預測IC!L12</f>
        <v>0.16293890018143578</v>
      </c>
      <c r="M12" s="7">
        <f>L12+預測IC!M12</f>
        <v>0.14738709598127464</v>
      </c>
      <c r="N12" s="7">
        <f>M12+預測IC!N12</f>
        <v>0.19946120365663375</v>
      </c>
      <c r="O12" s="7">
        <f>N12+預測IC!O12</f>
        <v>0.21809109230261273</v>
      </c>
      <c r="P12" s="7">
        <f>O12+預測IC!P12</f>
        <v>0.19667067109815037</v>
      </c>
      <c r="Q12" s="7">
        <f>P12+預測IC!Q12</f>
        <v>0.2017863544721144</v>
      </c>
      <c r="R12" s="7">
        <f>Q12+預測IC!R12</f>
        <v>0.21493984313265299</v>
      </c>
      <c r="S12" s="7">
        <f>R12+預測IC!S12</f>
        <v>0.14388594603804594</v>
      </c>
      <c r="T12" s="7">
        <f>S12+預測IC!T12</f>
        <v>0.10064245721853277</v>
      </c>
      <c r="U12" s="7">
        <f>T12+預測IC!U12</f>
        <v>8.0275236665401775E-2</v>
      </c>
      <c r="V12" s="7">
        <f>U12+預測IC!V12</f>
        <v>0.12530522746825049</v>
      </c>
      <c r="W12" s="7">
        <f>V12+預測IC!W12</f>
        <v>0.14758366944156223</v>
      </c>
      <c r="X12" s="7">
        <f>W12+預測IC!X12</f>
        <v>0.19610294422187668</v>
      </c>
      <c r="Y12" s="7">
        <f>X12+預測IC!Y12</f>
        <v>0.1793145669700606</v>
      </c>
      <c r="Z12" s="7">
        <f>Y12+預測IC!Z12</f>
        <v>0.24293825028563457</v>
      </c>
      <c r="AA12" s="7">
        <f>Z12+預測IC!AA12</f>
        <v>0.20353458888452278</v>
      </c>
      <c r="AB12" s="7">
        <f>AA12+預測IC!AB12</f>
        <v>0.23822369943600094</v>
      </c>
      <c r="AC12" s="7">
        <f>AB12+預測IC!AC12</f>
        <v>0.27333846349964736</v>
      </c>
      <c r="AD12" s="7">
        <f>AC12+預測IC!AD12</f>
        <v>0.27918557349888456</v>
      </c>
      <c r="AE12" s="7">
        <f>AD12+預測IC!AE12</f>
        <v>0.24128794996665398</v>
      </c>
      <c r="AF12" s="7">
        <f>AE12+預測IC!AF12</f>
        <v>0.26172010127051892</v>
      </c>
      <c r="AG12" s="7">
        <f>AF12+預測IC!AG12</f>
        <v>0.29170224620324331</v>
      </c>
      <c r="AH12" s="7">
        <f>AG12+預測IC!AH12</f>
        <v>0.30741527997252416</v>
      </c>
      <c r="AI12" s="7">
        <f>AH12+預測IC!AI12</f>
        <v>0.33066173915138874</v>
      </c>
      <c r="AJ12" s="7">
        <f>AI12+預測IC!AJ12</f>
        <v>0.35172400184506231</v>
      </c>
      <c r="AK12" s="7">
        <f>AJ12+預測IC!AK12</f>
        <v>0.36122750969908729</v>
      </c>
      <c r="AL12" s="7">
        <f>AK12+預測IC!AL12</f>
        <v>0.31342701974700998</v>
      </c>
      <c r="AM12" s="7">
        <f>AL12+預測IC!AM12</f>
        <v>0.33013377175329728</v>
      </c>
      <c r="AN12" s="7">
        <f>AM12+預測IC!AN12</f>
        <v>0.39936700606672582</v>
      </c>
      <c r="AO12" s="7">
        <f>AN12+預測IC!AO12</f>
        <v>0.40159579910639887</v>
      </c>
      <c r="AP12" s="7">
        <f>AO12+預測IC!AP12</f>
        <v>0.40797616860329722</v>
      </c>
      <c r="AQ12" s="7">
        <f>AP12+預測IC!AQ12</f>
        <v>0.40627923802576776</v>
      </c>
      <c r="AR12" s="7">
        <f>AQ12+預測IC!AR12</f>
        <v>0.42850226401335995</v>
      </c>
      <c r="AS12" s="7">
        <f>AR12+預測IC!AS12</f>
        <v>0.44847853692373113</v>
      </c>
      <c r="AT12" s="7">
        <f>AS12+預測IC!AT12</f>
        <v>0.52067391927616624</v>
      </c>
      <c r="AU12" s="7">
        <f>AT12+預測IC!AU12</f>
        <v>0.52438745571621082</v>
      </c>
      <c r="AV12" s="7">
        <f>AU12+預測IC!AV12</f>
        <v>0.57810308637293051</v>
      </c>
      <c r="AW12" s="7">
        <f>AV12+預測IC!AW12</f>
        <v>0.57872456339094658</v>
      </c>
      <c r="AX12" s="7">
        <f>AW12+預測IC!AX12</f>
        <v>0.62232303064436945</v>
      </c>
      <c r="AY12" s="7">
        <f>AX12+預測IC!AY12</f>
        <v>0.64727832371204275</v>
      </c>
      <c r="AZ12" s="7">
        <f>AY12+預測IC!AZ12</f>
        <v>0.64497829764038506</v>
      </c>
      <c r="BA12" s="7">
        <f>AZ12+預測IC!BA12</f>
        <v>0.61854396776332343</v>
      </c>
      <c r="BB12" s="7">
        <f>BA12+預測IC!BB12</f>
        <v>0.63381857301578282</v>
      </c>
      <c r="BC12" s="7">
        <f>BB12+預測IC!BC12</f>
        <v>0.64609136205425932</v>
      </c>
      <c r="BD12" s="7">
        <f>BC12+預測IC!BD12</f>
        <v>0.65972191899591193</v>
      </c>
      <c r="BE12" s="7">
        <f>BD12+預測IC!BE12</f>
        <v>0.67833072883529721</v>
      </c>
      <c r="BF12" s="7">
        <f>BE12+預測IC!BF12</f>
        <v>0.61071377958760187</v>
      </c>
      <c r="BG12" s="7">
        <f>BF12+預測IC!BG12</f>
        <v>0.56395602570631809</v>
      </c>
      <c r="BH12" s="7">
        <f>BG12+預測IC!BH12</f>
        <v>0.52887643667640105</v>
      </c>
      <c r="BI12" s="7">
        <f>BH12+預測IC!BI12</f>
        <v>0.48512037229655647</v>
      </c>
      <c r="BJ12" s="7">
        <f>BI12+預測IC!BJ12</f>
        <v>0.46045724612143707</v>
      </c>
      <c r="BK12" s="7">
        <f>BJ12+預測IC!BK12</f>
        <v>0.43917258116130309</v>
      </c>
      <c r="BL12" s="7">
        <f>BK12+預測IC!BL12</f>
        <v>0.46388182699145175</v>
      </c>
      <c r="BM12" s="7">
        <f>BL12+預測IC!BM12</f>
        <v>0.45871273503522186</v>
      </c>
      <c r="BN12" s="7">
        <f>BM12+預測IC!BN12</f>
        <v>0.47022927054731839</v>
      </c>
      <c r="BO12" s="7">
        <f>BN12+預測IC!BO12</f>
        <v>0.4944755808035553</v>
      </c>
      <c r="BP12" s="7">
        <f>BO12+預測IC!BP12</f>
        <v>0.48396659549826121</v>
      </c>
      <c r="BQ12" s="7">
        <f>BP12+預測IC!BQ12</f>
        <v>0.49786334511700792</v>
      </c>
      <c r="BR12" s="7">
        <f>BQ12+預測IC!BR12</f>
        <v>0.49560233666360909</v>
      </c>
      <c r="BS12" s="7">
        <f>BR12+預測IC!BS12</f>
        <v>0.51446563004800505</v>
      </c>
      <c r="BT12" s="7">
        <f>BS12+預測IC!BT12</f>
        <v>0.53649709872544926</v>
      </c>
      <c r="BU12" s="7">
        <f>BT12+預測IC!BU12</f>
        <v>0.52771558158535281</v>
      </c>
      <c r="BV12" s="7">
        <f>BU12+預測IC!BV12</f>
        <v>0.5507780373185438</v>
      </c>
      <c r="BW12" s="7">
        <f>BV12+預測IC!BW12</f>
        <v>0.52129426859901429</v>
      </c>
      <c r="BX12" s="7">
        <f>BW12+預測IC!BX12</f>
        <v>0.53277143060296439</v>
      </c>
      <c r="BY12" s="7">
        <f>BX12+預測IC!BY12</f>
        <v>0.49940063027139292</v>
      </c>
      <c r="BZ12" s="7">
        <f>BY12+預測IC!BZ12</f>
        <v>0.53177935620387762</v>
      </c>
      <c r="CA12" s="7">
        <f>BZ12+預測IC!CA12</f>
        <v>0.53238304463837682</v>
      </c>
      <c r="CB12" s="7">
        <f>CA12+預測IC!CB12</f>
        <v>0.55955690743140851</v>
      </c>
      <c r="CC12" s="7">
        <f>CB12+預測IC!CC12</f>
        <v>0.54278594303729832</v>
      </c>
      <c r="CD12" s="7">
        <f>CC12+預測IC!CD12</f>
        <v>0.65371957662175084</v>
      </c>
      <c r="CE12" s="7">
        <f>CD12+預測IC!CE12</f>
        <v>0.66533898506398004</v>
      </c>
      <c r="CF12" s="7">
        <f>CE12+預測IC!CF12</f>
        <v>0.67336025957791001</v>
      </c>
      <c r="CG12" s="7">
        <f>CF12+預測IC!CG12</f>
        <v>0.62408229961482942</v>
      </c>
      <c r="CH12" s="7">
        <f>CG12+預測IC!CH12</f>
        <v>0.60761918723604358</v>
      </c>
      <c r="CI12" s="7">
        <f>CH12+預測IC!CI12</f>
        <v>0.57202115633493777</v>
      </c>
      <c r="CJ12" s="7">
        <f>CI12+預測IC!CJ12</f>
        <v>0.58746633681362659</v>
      </c>
      <c r="CK12" s="7">
        <f>CJ12+預測IC!CK12</f>
        <v>0.60026948096846144</v>
      </c>
      <c r="CL12" s="7">
        <f>CK12+預測IC!CL12</f>
        <v>0.71828508863807183</v>
      </c>
      <c r="CM12" s="7">
        <f>CL12+預測IC!CM12</f>
        <v>0.64657670062085959</v>
      </c>
      <c r="CN12" s="7">
        <f>CM12+預測IC!CN12</f>
        <v>0.6194929994063002</v>
      </c>
      <c r="CO12" s="7">
        <f>CN12+預測IC!CO12</f>
        <v>0.59467321415108765</v>
      </c>
      <c r="CP12" s="7">
        <f>CO12+預測IC!CP12</f>
        <v>0.59366819211539579</v>
      </c>
      <c r="CQ12" s="7">
        <f>CP12+預測IC!CQ12</f>
        <v>0.65635253911897062</v>
      </c>
      <c r="CR12" s="7">
        <f>CQ12+預測IC!CR12</f>
        <v>0.71351252564048417</v>
      </c>
      <c r="CS12" s="7">
        <f>CR12+預測IC!CS12</f>
        <v>0.71253395204563152</v>
      </c>
      <c r="CT12" s="7">
        <f>CS12+預測IC!CT12</f>
        <v>0.74464796265368072</v>
      </c>
      <c r="CU12" s="7">
        <f>CT12+預測IC!CU12</f>
        <v>0.66986843337232393</v>
      </c>
      <c r="CV12" s="7">
        <f>CU12+預測IC!CV12</f>
        <v>0.73490173986801277</v>
      </c>
      <c r="CW12" s="7">
        <f>CV12+預測IC!CW12</f>
        <v>0.7646594292963802</v>
      </c>
      <c r="CX12" s="7">
        <f>CW12+預測IC!CX12</f>
        <v>0.7339067910289172</v>
      </c>
      <c r="CY12" s="7">
        <f>CX12+預測IC!CY12</f>
        <v>0.75032738727672277</v>
      </c>
      <c r="CZ12" s="7">
        <f>CY12+預測IC!CZ12</f>
        <v>0.73800312521680611</v>
      </c>
      <c r="DA12" s="7">
        <f>CZ12+預測IC!DA12</f>
        <v>0.75482745804204987</v>
      </c>
      <c r="DB12" s="7">
        <f>DA12+預測IC!DB12</f>
        <v>0.79041274068595335</v>
      </c>
      <c r="DC12" s="7">
        <f>DB12+預測IC!DC12</f>
        <v>0.78591137689341184</v>
      </c>
      <c r="DD12" s="7">
        <f>DC12+預測IC!DD12</f>
        <v>0.71595083115906855</v>
      </c>
      <c r="DE12" s="7">
        <f>DD12+預測IC!DE12</f>
        <v>0.69121318674397347</v>
      </c>
      <c r="DF12" s="7">
        <f>DE12+預測IC!DF12</f>
        <v>0.70283750643184251</v>
      </c>
      <c r="DG12" s="7">
        <f>DF12+預測IC!DG12</f>
        <v>0.65642768865231782</v>
      </c>
      <c r="DH12" s="7">
        <f>DG12+預測IC!DH12</f>
        <v>0.68723084383917443</v>
      </c>
      <c r="DI12" s="7">
        <f>DH12+預測IC!DI12</f>
        <v>0.71721009839667416</v>
      </c>
      <c r="DJ12" s="7">
        <f>DI12+預測IC!DJ12</f>
        <v>0.75858814133234576</v>
      </c>
      <c r="DK12" s="7">
        <f>DJ12+預測IC!DK12</f>
        <v>0.75965933996092638</v>
      </c>
      <c r="DL12" s="7">
        <f>DK12+預測IC!DL12</f>
        <v>0.77832917329472939</v>
      </c>
      <c r="DM12" s="7">
        <f>DL12+預測IC!DM12</f>
        <v>0.78747266662825854</v>
      </c>
      <c r="DN12" s="7">
        <f>DM12+預測IC!DN12</f>
        <v>0.76893122316964613</v>
      </c>
      <c r="DO12" s="7">
        <f>DN12+預測IC!DO12</f>
        <v>0.79948816527113697</v>
      </c>
      <c r="DP12" s="7">
        <f>DO12+預測IC!DP12</f>
        <v>0.845441713286055</v>
      </c>
      <c r="DQ12" s="7">
        <f>DP12+預測IC!DQ12</f>
        <v>0.81157959293300652</v>
      </c>
      <c r="DR12" s="7">
        <f>DQ12+預測IC!DR12</f>
        <v>0.83035853621239342</v>
      </c>
      <c r="DS12" s="7">
        <f>DR12+預測IC!DS12</f>
        <v>0.79463238076069564</v>
      </c>
      <c r="DT12" s="7">
        <f>DS12+預測IC!DT12</f>
        <v>0.76981853919810894</v>
      </c>
      <c r="DU12" s="7">
        <f>DT12+預測IC!DU12</f>
        <v>0.72403139722364196</v>
      </c>
      <c r="DV12" s="7">
        <f>DU12+預測IC!DV12</f>
        <v>0.74078283873746253</v>
      </c>
      <c r="DW12" s="7">
        <f>DV12+預測IC!DW12</f>
        <v>0.73870662702484713</v>
      </c>
      <c r="DX12" s="7">
        <f>DW12+預測IC!DX12</f>
        <v>0.72060749024651372</v>
      </c>
      <c r="DY12" s="7">
        <f>DX12+預測IC!DY12</f>
        <v>0.6578792681517438</v>
      </c>
      <c r="DZ12" s="7">
        <f>DY12+預測IC!DZ12</f>
        <v>0.67791815827533286</v>
      </c>
      <c r="EA12" s="7">
        <f>DZ12+預測IC!EA12</f>
        <v>0.72901579081286416</v>
      </c>
      <c r="EB12" s="7">
        <f>EA12+預測IC!EB12</f>
        <v>0.73480176137324482</v>
      </c>
      <c r="EC12" s="7">
        <f>EB12+預測IC!EC12</f>
        <v>0.71991784324372565</v>
      </c>
      <c r="ED12" s="7">
        <f>EC12+預測IC!ED12</f>
        <v>0.71296036171600141</v>
      </c>
      <c r="EE12" s="7">
        <f>ED12+預測IC!EE12</f>
        <v>0.68645346955485376</v>
      </c>
      <c r="EF12" s="7">
        <f>EE12+預測IC!EF12</f>
        <v>0.72568681759364939</v>
      </c>
    </row>
    <row r="13" spans="1:137" x14ac:dyDescent="0.3">
      <c r="A13" s="1">
        <v>20</v>
      </c>
      <c r="B13" s="1">
        <v>48</v>
      </c>
      <c r="C13" s="7">
        <v>0.104112750252762</v>
      </c>
      <c r="D13" s="7">
        <f>C13+預測IC!D13</f>
        <v>0.13399036085732077</v>
      </c>
      <c r="E13" s="7">
        <f>D13+預測IC!E13</f>
        <v>9.9493741365967725E-2</v>
      </c>
      <c r="F13" s="7">
        <f>E13+預測IC!F13</f>
        <v>6.4571585483313224E-2</v>
      </c>
      <c r="G13" s="7">
        <f>F13+預測IC!G13</f>
        <v>4.9663605726009835E-2</v>
      </c>
      <c r="H13" s="7">
        <f>G13+預測IC!H13</f>
        <v>6.5593990295354954E-2</v>
      </c>
      <c r="I13" s="7">
        <f>H13+預測IC!I13</f>
        <v>9.8276853280077292E-2</v>
      </c>
      <c r="J13" s="7">
        <f>I13+預測IC!J13</f>
        <v>0.13282674524972199</v>
      </c>
      <c r="K13" s="7">
        <f>J13+預測IC!K13</f>
        <v>8.7495755007502979E-2</v>
      </c>
      <c r="L13" s="7">
        <f>K13+預測IC!L13</f>
        <v>5.8360085970057513E-2</v>
      </c>
      <c r="M13" s="7">
        <f>L13+預測IC!M13</f>
        <v>6.6068742232549715E-2</v>
      </c>
      <c r="N13" s="7">
        <f>M13+預測IC!N13</f>
        <v>0.10922069445631657</v>
      </c>
      <c r="O13" s="7">
        <f>N13+預測IC!O13</f>
        <v>0.14549397017623905</v>
      </c>
      <c r="P13" s="7">
        <f>O13+預測IC!P13</f>
        <v>0.1246370571148335</v>
      </c>
      <c r="Q13" s="7">
        <f>P13+預測IC!Q13</f>
        <v>0.10718067261847081</v>
      </c>
      <c r="R13" s="7">
        <f>Q13+預測IC!R13</f>
        <v>0.12369138370130076</v>
      </c>
      <c r="S13" s="7">
        <f>R13+預測IC!S13</f>
        <v>7.7608569775015901E-4</v>
      </c>
      <c r="T13" s="7">
        <f>S13+預測IC!T13</f>
        <v>-5.212371721094318E-2</v>
      </c>
      <c r="U13" s="7">
        <f>T13+預測IC!U13</f>
        <v>-0.10628479225263736</v>
      </c>
      <c r="V13" s="7">
        <f>U13+預測IC!V13</f>
        <v>-5.35050533524037E-2</v>
      </c>
      <c r="W13" s="7">
        <f>V13+預測IC!W13</f>
        <v>-2.2401965468033809E-2</v>
      </c>
      <c r="X13" s="7">
        <f>W13+預測IC!X13</f>
        <v>4.7349003301022756E-2</v>
      </c>
      <c r="Y13" s="7">
        <f>X13+預測IC!Y13</f>
        <v>2.0877120083680235E-2</v>
      </c>
      <c r="Z13" s="7">
        <f>Y13+預測IC!Z13</f>
        <v>9.9301554888863802E-2</v>
      </c>
      <c r="AA13" s="7">
        <f>Z13+預測IC!AA13</f>
        <v>6.718204455039252E-2</v>
      </c>
      <c r="AB13" s="7">
        <f>AA13+預測IC!AB13</f>
        <v>0.1138602646717698</v>
      </c>
      <c r="AC13" s="7">
        <f>AB13+預測IC!AC13</f>
        <v>0.13573182083314733</v>
      </c>
      <c r="AD13" s="7">
        <f>AC13+預測IC!AD13</f>
        <v>0.1423108660356881</v>
      </c>
      <c r="AE13" s="7">
        <f>AD13+預測IC!AE13</f>
        <v>9.9793654579896932E-2</v>
      </c>
      <c r="AF13" s="7">
        <f>AE13+預測IC!AF13</f>
        <v>0.13173411841419816</v>
      </c>
      <c r="AG13" s="7">
        <f>AF13+預測IC!AG13</f>
        <v>0.16341590146920104</v>
      </c>
      <c r="AH13" s="7">
        <f>AG13+預測IC!AH13</f>
        <v>0.18837110801906792</v>
      </c>
      <c r="AI13" s="7">
        <f>AH13+預測IC!AI13</f>
        <v>0.20828101823948139</v>
      </c>
      <c r="AJ13" s="7">
        <f>AI13+預測IC!AJ13</f>
        <v>0.2281673422706591</v>
      </c>
      <c r="AK13" s="7">
        <f>AJ13+預測IC!AK13</f>
        <v>0.23148578704209966</v>
      </c>
      <c r="AL13" s="7">
        <f>AK13+預測IC!AL13</f>
        <v>0.18222690224754959</v>
      </c>
      <c r="AM13" s="7">
        <f>AL13+預測IC!AM13</f>
        <v>0.16779279613346057</v>
      </c>
      <c r="AN13" s="7">
        <f>AM13+預測IC!AN13</f>
        <v>0.27312303426949469</v>
      </c>
      <c r="AO13" s="7">
        <f>AN13+預測IC!AO13</f>
        <v>0.28243422216890962</v>
      </c>
      <c r="AP13" s="7">
        <f>AO13+預測IC!AP13</f>
        <v>0.28032351504218334</v>
      </c>
      <c r="AQ13" s="7">
        <f>AP13+預測IC!AQ13</f>
        <v>0.27798344088266685</v>
      </c>
      <c r="AR13" s="7">
        <f>AQ13+預測IC!AR13</f>
        <v>0.29883148467739068</v>
      </c>
      <c r="AS13" s="7">
        <f>AR13+預測IC!AS13</f>
        <v>0.322236448218988</v>
      </c>
      <c r="AT13" s="7">
        <f>AS13+預測IC!AT13</f>
        <v>0.40865936294658745</v>
      </c>
      <c r="AU13" s="7">
        <f>AT13+預測IC!AU13</f>
        <v>0.39296394452011496</v>
      </c>
      <c r="AV13" s="7">
        <f>AU13+預測IC!AV13</f>
        <v>0.47262992016858507</v>
      </c>
      <c r="AW13" s="7">
        <f>AV13+預測IC!AW13</f>
        <v>0.4767099337516485</v>
      </c>
      <c r="AX13" s="7">
        <f>AW13+預測IC!AX13</f>
        <v>0.54386372153475881</v>
      </c>
      <c r="AY13" s="7">
        <f>AX13+預測IC!AY13</f>
        <v>0.56142806788338373</v>
      </c>
      <c r="AZ13" s="7">
        <f>AY13+預測IC!AZ13</f>
        <v>0.55332460041388432</v>
      </c>
      <c r="BA13" s="7">
        <f>AZ13+預測IC!BA13</f>
        <v>0.5271363263632417</v>
      </c>
      <c r="BB13" s="7">
        <f>BA13+預測IC!BB13</f>
        <v>0.57001170086005259</v>
      </c>
      <c r="BC13" s="7">
        <f>BB13+預測IC!BC13</f>
        <v>0.58129546797171028</v>
      </c>
      <c r="BD13" s="7">
        <f>BC13+預測IC!BD13</f>
        <v>0.5846398963553916</v>
      </c>
      <c r="BE13" s="7">
        <f>BD13+預測IC!BE13</f>
        <v>0.61203170266103313</v>
      </c>
      <c r="BF13" s="7">
        <f>BE13+預測IC!BF13</f>
        <v>0.49037455939507746</v>
      </c>
      <c r="BG13" s="7">
        <f>BF13+預測IC!BG13</f>
        <v>0.40197701353875664</v>
      </c>
      <c r="BH13" s="7">
        <f>BG13+預測IC!BH13</f>
        <v>0.36095335734656464</v>
      </c>
      <c r="BI13" s="7">
        <f>BH13+預測IC!BI13</f>
        <v>0.33935179824363171</v>
      </c>
      <c r="BJ13" s="7">
        <f>BI13+預測IC!BJ13</f>
        <v>0.31508571063052282</v>
      </c>
      <c r="BK13" s="7">
        <f>BJ13+預測IC!BK13</f>
        <v>0.29669468575077335</v>
      </c>
      <c r="BL13" s="7">
        <f>BK13+預測IC!BL13</f>
        <v>0.32864254596394848</v>
      </c>
      <c r="BM13" s="7">
        <f>BL13+預測IC!BM13</f>
        <v>0.34556116158283012</v>
      </c>
      <c r="BN13" s="7">
        <f>BM13+預測IC!BN13</f>
        <v>0.35661370345810639</v>
      </c>
      <c r="BO13" s="7">
        <f>BN13+預測IC!BO13</f>
        <v>0.38749241969158049</v>
      </c>
      <c r="BP13" s="7">
        <f>BO13+預測IC!BP13</f>
        <v>0.39692511538623199</v>
      </c>
      <c r="BQ13" s="7">
        <f>BP13+預測IC!BQ13</f>
        <v>0.43857817917565778</v>
      </c>
      <c r="BR13" s="7">
        <f>BQ13+預測IC!BR13</f>
        <v>0.43189676169210034</v>
      </c>
      <c r="BS13" s="7">
        <f>BR13+預測IC!BS13</f>
        <v>0.43931623353232002</v>
      </c>
      <c r="BT13" s="7">
        <f>BS13+預測IC!BT13</f>
        <v>0.47765973914879284</v>
      </c>
      <c r="BU13" s="7">
        <f>BT13+預測IC!BU13</f>
        <v>0.45995318411223907</v>
      </c>
      <c r="BV13" s="7">
        <f>BU13+預測IC!BV13</f>
        <v>0.48060678098844772</v>
      </c>
      <c r="BW13" s="7">
        <f>BV13+預測IC!BW13</f>
        <v>0.48237001879912472</v>
      </c>
      <c r="BX13" s="7">
        <f>BW13+預測IC!BX13</f>
        <v>0.5034480863231513</v>
      </c>
      <c r="BY13" s="7">
        <f>BX13+預測IC!BY13</f>
        <v>0.48893568865266079</v>
      </c>
      <c r="BZ13" s="7">
        <f>BY13+預測IC!BZ13</f>
        <v>0.554912418578004</v>
      </c>
      <c r="CA13" s="7">
        <f>BZ13+預測IC!CA13</f>
        <v>0.56593340396885561</v>
      </c>
      <c r="CB13" s="7">
        <f>CA13+預測IC!CB13</f>
        <v>0.5919507834915505</v>
      </c>
      <c r="CC13" s="7">
        <f>CB13+預測IC!CC13</f>
        <v>0.57941987127891714</v>
      </c>
      <c r="CD13" s="7">
        <f>CC13+預測IC!CD13</f>
        <v>0.68450570417124457</v>
      </c>
      <c r="CE13" s="7">
        <f>CD13+預測IC!CE13</f>
        <v>0.69372668849665831</v>
      </c>
      <c r="CF13" s="7">
        <f>CE13+預測IC!CF13</f>
        <v>0.68168302148159898</v>
      </c>
      <c r="CG13" s="7">
        <f>CF13+預測IC!CG13</f>
        <v>0.62366805367435962</v>
      </c>
      <c r="CH13" s="7">
        <f>CG13+預測IC!CH13</f>
        <v>0.61963854761614934</v>
      </c>
      <c r="CI13" s="7">
        <f>CH13+預測IC!CI13</f>
        <v>0.6051052443828695</v>
      </c>
      <c r="CJ13" s="7">
        <f>CI13+預測IC!CJ13</f>
        <v>0.60199915641091828</v>
      </c>
      <c r="CK13" s="7">
        <f>CJ13+預測IC!CK13</f>
        <v>0.63404442564738228</v>
      </c>
      <c r="CL13" s="7">
        <f>CK13+預測IC!CL13</f>
        <v>0.71549779174956307</v>
      </c>
      <c r="CM13" s="7">
        <f>CL13+預測IC!CM13</f>
        <v>0.61404557303554452</v>
      </c>
      <c r="CN13" s="7">
        <f>CM13+預測IC!CN13</f>
        <v>0.58715800703669219</v>
      </c>
      <c r="CO13" s="7">
        <f>CN13+預測IC!CO13</f>
        <v>0.5518236629560348</v>
      </c>
      <c r="CP13" s="7">
        <f>CO13+預測IC!CP13</f>
        <v>0.5724006586961643</v>
      </c>
      <c r="CQ13" s="7">
        <f>CP13+預測IC!CQ13</f>
        <v>0.64357952366456816</v>
      </c>
      <c r="CR13" s="7">
        <f>CQ13+預測IC!CR13</f>
        <v>0.75522441004504293</v>
      </c>
      <c r="CS13" s="7">
        <f>CR13+預測IC!CS13</f>
        <v>0.74565675637990758</v>
      </c>
      <c r="CT13" s="7">
        <f>CS13+預測IC!CT13</f>
        <v>0.78911902434895986</v>
      </c>
      <c r="CU13" s="7">
        <f>CT13+預測IC!CU13</f>
        <v>0.68202806263532256</v>
      </c>
      <c r="CV13" s="7">
        <f>CU13+預測IC!CV13</f>
        <v>0.75968411389229518</v>
      </c>
      <c r="CW13" s="7">
        <f>CV13+預測IC!CW13</f>
        <v>0.77014107682361388</v>
      </c>
      <c r="CX13" s="7">
        <f>CW13+預測IC!CX13</f>
        <v>0.73955823534392406</v>
      </c>
      <c r="CY13" s="7">
        <f>CX13+預測IC!CY13</f>
        <v>0.78075998722802087</v>
      </c>
      <c r="CZ13" s="7">
        <f>CY13+預測IC!CZ13</f>
        <v>0.77586177106795562</v>
      </c>
      <c r="DA13" s="7">
        <f>CZ13+預測IC!DA13</f>
        <v>0.79279839754302717</v>
      </c>
      <c r="DB13" s="7">
        <f>DA13+預測IC!DB13</f>
        <v>0.85415458278029865</v>
      </c>
      <c r="DC13" s="7">
        <f>DB13+預測IC!DC13</f>
        <v>0.84000471595300441</v>
      </c>
      <c r="DD13" s="7">
        <f>DC13+預測IC!DD13</f>
        <v>0.77102765702862097</v>
      </c>
      <c r="DE13" s="7">
        <f>DD13+預測IC!DE13</f>
        <v>0.74858566059938492</v>
      </c>
      <c r="DF13" s="7">
        <f>DE13+預測IC!DF13</f>
        <v>0.7658572926275673</v>
      </c>
      <c r="DG13" s="7">
        <f>DF13+預測IC!DG13</f>
        <v>0.71812820902110786</v>
      </c>
      <c r="DH13" s="7">
        <f>DG13+預測IC!DH13</f>
        <v>0.7569347259613961</v>
      </c>
      <c r="DI13" s="7">
        <f>DH13+預測IC!DI13</f>
        <v>0.7865051455958243</v>
      </c>
      <c r="DJ13" s="7">
        <f>DI13+預測IC!DJ13</f>
        <v>0.79352626921138225</v>
      </c>
      <c r="DK13" s="7">
        <f>DJ13+預測IC!DK13</f>
        <v>0.770125377315792</v>
      </c>
      <c r="DL13" s="7">
        <f>DK13+預測IC!DL13</f>
        <v>0.79217606799388018</v>
      </c>
      <c r="DM13" s="7">
        <f>DL13+預測IC!DM13</f>
        <v>0.78052017357836001</v>
      </c>
      <c r="DN13" s="7">
        <f>DM13+預測IC!DN13</f>
        <v>0.76774428409215678</v>
      </c>
      <c r="DO13" s="7">
        <f>DN13+預測IC!DO13</f>
        <v>0.80560774917694955</v>
      </c>
      <c r="DP13" s="7">
        <f>DO13+預測IC!DP13</f>
        <v>0.85060489983899878</v>
      </c>
      <c r="DQ13" s="7">
        <f>DP13+預測IC!DQ13</f>
        <v>0.81663843758703614</v>
      </c>
      <c r="DR13" s="7">
        <f>DQ13+預測IC!DR13</f>
        <v>0.83040964685934804</v>
      </c>
      <c r="DS13" s="7">
        <f>DR13+預測IC!DS13</f>
        <v>0.79152201901967822</v>
      </c>
      <c r="DT13" s="7">
        <f>DS13+預測IC!DT13</f>
        <v>0.7616762098586749</v>
      </c>
      <c r="DU13" s="7">
        <f>DT13+預測IC!DU13</f>
        <v>0.73797735607747339</v>
      </c>
      <c r="DV13" s="7">
        <f>DU13+預測IC!DV13</f>
        <v>0.74783016083972143</v>
      </c>
      <c r="DW13" s="7">
        <f>DV13+預測IC!DW13</f>
        <v>0.7347319317977461</v>
      </c>
      <c r="DX13" s="7">
        <f>DW13+預測IC!DX13</f>
        <v>0.71150232224877996</v>
      </c>
      <c r="DY13" s="7">
        <f>DX13+預測IC!DY13</f>
        <v>0.70199769744490248</v>
      </c>
      <c r="DZ13" s="7">
        <f>DY13+預測IC!DZ13</f>
        <v>0.7322829489198438</v>
      </c>
      <c r="EA13" s="7">
        <f>DZ13+預測IC!EA13</f>
        <v>0.79440162609587373</v>
      </c>
      <c r="EB13" s="7">
        <f>EA13+預測IC!EB13</f>
        <v>0.79460283231479889</v>
      </c>
      <c r="EC13" s="7">
        <f>EB13+預測IC!EC13</f>
        <v>0.77261797978327451</v>
      </c>
      <c r="ED13" s="7">
        <f>EC13+預測IC!ED13</f>
        <v>0.77970269979646789</v>
      </c>
      <c r="EE13" s="7">
        <f>ED13+預測IC!EE13</f>
        <v>0.73846831580055627</v>
      </c>
      <c r="EF13" s="7">
        <f>EE13+預測IC!EF13</f>
        <v>0.80504553116411248</v>
      </c>
    </row>
    <row r="14" spans="1:137" x14ac:dyDescent="0.3">
      <c r="A14" s="1">
        <v>50</v>
      </c>
      <c r="B14" s="1">
        <v>19</v>
      </c>
      <c r="C14" s="7">
        <v>0.1199414897527061</v>
      </c>
      <c r="D14" s="7">
        <f>C14+預測IC!D14</f>
        <v>0.20328880129600749</v>
      </c>
      <c r="E14" s="7">
        <f>D14+預測IC!E14</f>
        <v>0.15576285802875148</v>
      </c>
      <c r="F14" s="7">
        <f>E14+預測IC!F14</f>
        <v>0.10730871522889163</v>
      </c>
      <c r="G14" s="7">
        <f>F14+預測IC!G14</f>
        <v>6.6288798730966186E-2</v>
      </c>
      <c r="H14" s="7">
        <f>G14+預測IC!H14</f>
        <v>7.3963123002645015E-2</v>
      </c>
      <c r="I14" s="7">
        <f>H14+預測IC!I14</f>
        <v>0.11775048282578732</v>
      </c>
      <c r="J14" s="7">
        <f>I14+預測IC!J14</f>
        <v>0.1410604547906982</v>
      </c>
      <c r="K14" s="7">
        <f>J14+預測IC!K14</f>
        <v>6.8817510766447099E-3</v>
      </c>
      <c r="L14" s="7">
        <f>K14+預測IC!L14</f>
        <v>1.1728948264351516E-2</v>
      </c>
      <c r="M14" s="7">
        <f>L14+預測IC!M14</f>
        <v>1.6723468331139267E-2</v>
      </c>
      <c r="N14" s="7">
        <f>M14+預測IC!N14</f>
        <v>9.9482453025238393E-2</v>
      </c>
      <c r="O14" s="7">
        <f>N14+預測IC!O14</f>
        <v>0.13695824003824489</v>
      </c>
      <c r="P14" s="7">
        <f>O14+預測IC!P14</f>
        <v>7.8612318140003662E-2</v>
      </c>
      <c r="Q14" s="7">
        <f>P14+預測IC!Q14</f>
        <v>-6.8533944156079496E-4</v>
      </c>
      <c r="R14" s="7">
        <f>Q14+預測IC!R14</f>
        <v>-1.8447648070739325E-2</v>
      </c>
      <c r="S14" s="7">
        <f>R14+預測IC!S14</f>
        <v>-0.18434087525544801</v>
      </c>
      <c r="T14" s="7">
        <f>S14+預測IC!T14</f>
        <v>-0.25418235477634388</v>
      </c>
      <c r="U14" s="7">
        <f>T14+預測IC!U14</f>
        <v>-0.35844901941199148</v>
      </c>
      <c r="V14" s="7">
        <f>U14+預測IC!V14</f>
        <v>-0.33835989222661311</v>
      </c>
      <c r="W14" s="7">
        <f>V14+預測IC!W14</f>
        <v>-0.26435173283836011</v>
      </c>
      <c r="X14" s="7">
        <f>W14+預測IC!X14</f>
        <v>-0.15108862452609062</v>
      </c>
      <c r="Y14" s="7">
        <f>X14+預測IC!Y14</f>
        <v>-0.15630849912162254</v>
      </c>
      <c r="Z14" s="7">
        <f>Y14+預測IC!Z14</f>
        <v>-0.11779657284131487</v>
      </c>
      <c r="AA14" s="7">
        <f>Z14+預測IC!AA14</f>
        <v>-0.15724675314339703</v>
      </c>
      <c r="AB14" s="7">
        <f>AA14+預測IC!AB14</f>
        <v>-8.6477375796166822E-2</v>
      </c>
      <c r="AC14" s="7">
        <f>AB14+預測IC!AC14</f>
        <v>-9.9994644599660162E-2</v>
      </c>
      <c r="AD14" s="7">
        <f>AC14+預測IC!AD14</f>
        <v>-0.1129147512108785</v>
      </c>
      <c r="AE14" s="7">
        <f>AD14+預測IC!AE14</f>
        <v>-0.21932682345855609</v>
      </c>
      <c r="AF14" s="7">
        <f>AE14+預測IC!AF14</f>
        <v>-0.17890612091615699</v>
      </c>
      <c r="AG14" s="7">
        <f>AF14+預測IC!AG14</f>
        <v>-0.15838522626959448</v>
      </c>
      <c r="AH14" s="7">
        <f>AG14+預測IC!AH14</f>
        <v>-7.7433041845792833E-2</v>
      </c>
      <c r="AI14" s="7">
        <f>AH14+預測IC!AI14</f>
        <v>-6.6468471163218926E-2</v>
      </c>
      <c r="AJ14" s="7">
        <f>AI14+預測IC!AJ14</f>
        <v>2.9826505545565291E-2</v>
      </c>
      <c r="AK14" s="7">
        <f>AJ14+預測IC!AK14</f>
        <v>1.8317042608390111E-2</v>
      </c>
      <c r="AL14" s="7">
        <f>AK14+預測IC!AL14</f>
        <v>-3.2913140359739385E-2</v>
      </c>
      <c r="AM14" s="7">
        <f>AL14+預測IC!AM14</f>
        <v>-7.5376996297113197E-2</v>
      </c>
      <c r="AN14" s="7">
        <f>AM14+預測IC!AN14</f>
        <v>2.3217670472430521E-2</v>
      </c>
      <c r="AO14" s="7">
        <f>AN14+預測IC!AO14</f>
        <v>8.4123375937840472E-2</v>
      </c>
      <c r="AP14" s="7">
        <f>AO14+預測IC!AP14</f>
        <v>9.2475157567962693E-2</v>
      </c>
      <c r="AQ14" s="7">
        <f>AP14+預測IC!AQ14</f>
        <v>0.12220853806524035</v>
      </c>
      <c r="AR14" s="7">
        <f>AQ14+預測IC!AR14</f>
        <v>0.1297912297326792</v>
      </c>
      <c r="AS14" s="7">
        <f>AR14+預測IC!AS14</f>
        <v>0.12312189134298977</v>
      </c>
      <c r="AT14" s="7">
        <f>AS14+預測IC!AT14</f>
        <v>0.20252537105362783</v>
      </c>
      <c r="AU14" s="7">
        <f>AT14+預測IC!AU14</f>
        <v>0.14510375793949395</v>
      </c>
      <c r="AV14" s="7">
        <f>AU14+預測IC!AV14</f>
        <v>0.2113625071557525</v>
      </c>
      <c r="AW14" s="7">
        <f>AV14+預測IC!AW14</f>
        <v>0.192999575649795</v>
      </c>
      <c r="AX14" s="7">
        <f>AW14+預測IC!AX14</f>
        <v>0.32995060394418774</v>
      </c>
      <c r="AY14" s="7">
        <f>AX14+預測IC!AY14</f>
        <v>0.3450187227159493</v>
      </c>
      <c r="AZ14" s="7">
        <f>AY14+預測IC!AZ14</f>
        <v>0.29167015354379322</v>
      </c>
      <c r="BA14" s="7">
        <f>AZ14+預測IC!BA14</f>
        <v>0.22478032198094461</v>
      </c>
      <c r="BB14" s="7">
        <f>BA14+預測IC!BB14</f>
        <v>0.28651460398261946</v>
      </c>
      <c r="BC14" s="7">
        <f>BB14+預測IC!BC14</f>
        <v>0.27669360502734203</v>
      </c>
      <c r="BD14" s="7">
        <f>BC14+預測IC!BD14</f>
        <v>0.32002138669474745</v>
      </c>
      <c r="BE14" s="7">
        <f>BD14+預測IC!BE14</f>
        <v>0.36380844923023448</v>
      </c>
      <c r="BF14" s="7">
        <f>BE14+預測IC!BF14</f>
        <v>0.20997918765622617</v>
      </c>
      <c r="BG14" s="7">
        <f>BF14+預測IC!BG14</f>
        <v>8.4673881216636382E-2</v>
      </c>
      <c r="BH14" s="7">
        <f>BG14+預測IC!BH14</f>
        <v>1.1260417037911308E-2</v>
      </c>
      <c r="BI14" s="7">
        <f>BH14+預測IC!BI14</f>
        <v>5.22914849711432E-2</v>
      </c>
      <c r="BJ14" s="7">
        <f>BI14+預測IC!BJ14</f>
        <v>-1.6312710631159487E-2</v>
      </c>
      <c r="BK14" s="7">
        <f>BJ14+預測IC!BK14</f>
        <v>-2.1906462288232315E-2</v>
      </c>
      <c r="BL14" s="7">
        <f>BK14+預測IC!BL14</f>
        <v>3.7831304554138023E-2</v>
      </c>
      <c r="BM14" s="7">
        <f>BL14+預測IC!BM14</f>
        <v>7.7088519760565105E-2</v>
      </c>
      <c r="BN14" s="7">
        <f>BM14+預測IC!BN14</f>
        <v>9.8025057833116491E-2</v>
      </c>
      <c r="BO14" s="7">
        <f>BN14+預測IC!BO14</f>
        <v>0.13163410351038096</v>
      </c>
      <c r="BP14" s="7">
        <f>BO14+預測IC!BP14</f>
        <v>0.1473078370033401</v>
      </c>
      <c r="BQ14" s="7">
        <f>BP14+預測IC!BQ14</f>
        <v>0.16315136087329088</v>
      </c>
      <c r="BR14" s="7">
        <f>BQ14+預測IC!BR14</f>
        <v>0.13522193134067295</v>
      </c>
      <c r="BS14" s="7">
        <f>BR14+預測IC!BS14</f>
        <v>9.3727976196095047E-2</v>
      </c>
      <c r="BT14" s="7">
        <f>BS14+預測IC!BT14</f>
        <v>0.16774093853240638</v>
      </c>
      <c r="BU14" s="7">
        <f>BT14+預測IC!BU14</f>
        <v>0.17659577389043724</v>
      </c>
      <c r="BV14" s="7">
        <f>BU14+預測IC!BV14</f>
        <v>0.20232295590686464</v>
      </c>
      <c r="BW14" s="7">
        <f>BV14+預測IC!BW14</f>
        <v>0.21483090416445796</v>
      </c>
      <c r="BX14" s="7">
        <f>BW14+預測IC!BX14</f>
        <v>0.26980166428641106</v>
      </c>
      <c r="BY14" s="7">
        <f>BX14+預測IC!BY14</f>
        <v>0.26320537092144602</v>
      </c>
      <c r="BZ14" s="7">
        <f>BY14+預測IC!BZ14</f>
        <v>0.35658004917044561</v>
      </c>
      <c r="CA14" s="7">
        <f>BZ14+預測IC!CA14</f>
        <v>0.45309637375182887</v>
      </c>
      <c r="CB14" s="7">
        <f>CA14+預測IC!CB14</f>
        <v>0.5125734340453687</v>
      </c>
      <c r="CC14" s="7">
        <f>CB14+預測IC!CC14</f>
        <v>0.49977935326019007</v>
      </c>
      <c r="CD14" s="7">
        <f>CC14+預測IC!CD14</f>
        <v>0.59779606319238787</v>
      </c>
      <c r="CE14" s="7">
        <f>CD14+預測IC!CE14</f>
        <v>0.5256393439806899</v>
      </c>
      <c r="CF14" s="7">
        <f>CE14+預測IC!CF14</f>
        <v>0.48276193390537298</v>
      </c>
      <c r="CG14" s="7">
        <f>CF14+預測IC!CG14</f>
        <v>0.4254412702375524</v>
      </c>
      <c r="CH14" s="7">
        <f>CG14+預測IC!CH14</f>
        <v>0.37656159978148662</v>
      </c>
      <c r="CI14" s="7">
        <f>CH14+預測IC!CI14</f>
        <v>0.36185998777004386</v>
      </c>
      <c r="CJ14" s="7">
        <f>CI14+預測IC!CJ14</f>
        <v>0.33319213282586929</v>
      </c>
      <c r="CK14" s="7">
        <f>CJ14+預測IC!CK14</f>
        <v>0.34720849721651537</v>
      </c>
      <c r="CL14" s="7">
        <f>CK14+預測IC!CL14</f>
        <v>0.40947845209535183</v>
      </c>
      <c r="CM14" s="7">
        <f>CL14+預測IC!CM14</f>
        <v>0.29940947912264226</v>
      </c>
      <c r="CN14" s="7">
        <f>CM14+預測IC!CN14</f>
        <v>0.27638279045171621</v>
      </c>
      <c r="CO14" s="7">
        <f>CN14+預測IC!CO14</f>
        <v>0.1976190317333921</v>
      </c>
      <c r="CP14" s="7">
        <f>CO14+預測IC!CP14</f>
        <v>0.29127838947443396</v>
      </c>
      <c r="CQ14" s="7">
        <f>CP14+預測IC!CQ14</f>
        <v>0.32350628936182169</v>
      </c>
      <c r="CR14" s="7">
        <f>CQ14+預測IC!CR14</f>
        <v>0.53122600195246972</v>
      </c>
      <c r="CS14" s="7">
        <f>CR14+預測IC!CS14</f>
        <v>0.53563863548571933</v>
      </c>
      <c r="CT14" s="7">
        <f>CS14+預測IC!CT14</f>
        <v>0.59751098787732082</v>
      </c>
      <c r="CU14" s="7">
        <f>CT14+預測IC!CU14</f>
        <v>0.49596598792060631</v>
      </c>
      <c r="CV14" s="7">
        <f>CU14+預測IC!CV14</f>
        <v>0.64736282907823961</v>
      </c>
      <c r="CW14" s="7">
        <f>CV14+預測IC!CW14</f>
        <v>0.65559683095861554</v>
      </c>
      <c r="CX14" s="7">
        <f>CW14+預測IC!CX14</f>
        <v>0.56495760360869185</v>
      </c>
      <c r="CY14" s="7">
        <f>CX14+預測IC!CY14</f>
        <v>0.66131873373597572</v>
      </c>
      <c r="CZ14" s="7">
        <f>CY14+預測IC!CZ14</f>
        <v>0.65101733407755236</v>
      </c>
      <c r="DA14" s="7">
        <f>CZ14+預測IC!DA14</f>
        <v>0.59466545347241684</v>
      </c>
      <c r="DB14" s="7">
        <f>DA14+預測IC!DB14</f>
        <v>0.68490446702921803</v>
      </c>
      <c r="DC14" s="7">
        <f>DB14+預測IC!DC14</f>
        <v>0.641905925049018</v>
      </c>
      <c r="DD14" s="7">
        <f>DC14+預測IC!DD14</f>
        <v>0.56270057320083344</v>
      </c>
      <c r="DE14" s="7">
        <f>DD14+預測IC!DE14</f>
        <v>0.50017364919437446</v>
      </c>
      <c r="DF14" s="7">
        <f>DE14+預測IC!DF14</f>
        <v>0.56435405706542907</v>
      </c>
      <c r="DG14" s="7">
        <f>DF14+預測IC!DG14</f>
        <v>0.51877066133853067</v>
      </c>
      <c r="DH14" s="7">
        <f>DG14+預測IC!DH14</f>
        <v>0.527183901706201</v>
      </c>
      <c r="DI14" s="7">
        <f>DH14+預測IC!DI14</f>
        <v>0.56784303634177258</v>
      </c>
      <c r="DJ14" s="7">
        <f>DI14+預測IC!DJ14</f>
        <v>0.57663706572909335</v>
      </c>
      <c r="DK14" s="7">
        <f>DJ14+預測IC!DK14</f>
        <v>0.49922378143895713</v>
      </c>
      <c r="DL14" s="7">
        <f>DK14+預測IC!DL14</f>
        <v>0.53997865327085615</v>
      </c>
      <c r="DM14" s="7">
        <f>DL14+預測IC!DM14</f>
        <v>0.50755673652907718</v>
      </c>
      <c r="DN14" s="7">
        <f>DM14+預測IC!DN14</f>
        <v>0.55249247713757277</v>
      </c>
      <c r="DO14" s="7">
        <f>DN14+預測IC!DO14</f>
        <v>0.65508466650080655</v>
      </c>
      <c r="DP14" s="7">
        <f>DO14+預測IC!DP14</f>
        <v>0.65870252477253322</v>
      </c>
      <c r="DQ14" s="7">
        <f>DP14+預測IC!DQ14</f>
        <v>0.60268323878634278</v>
      </c>
      <c r="DR14" s="7">
        <f>DQ14+預測IC!DR14</f>
        <v>0.65530575824534232</v>
      </c>
      <c r="DS14" s="7">
        <f>DR14+預測IC!DS14</f>
        <v>0.62026085197442549</v>
      </c>
      <c r="DT14" s="7">
        <f>DS14+預測IC!DT14</f>
        <v>0.61250656163534267</v>
      </c>
      <c r="DU14" s="7">
        <f>DT14+預測IC!DU14</f>
        <v>0.49358897506776955</v>
      </c>
      <c r="DV14" s="7">
        <f>DU14+預測IC!DV14</f>
        <v>0.53874219897225262</v>
      </c>
      <c r="DW14" s="7">
        <f>DV14+預測IC!DW14</f>
        <v>0.50765022956420958</v>
      </c>
      <c r="DX14" s="7">
        <f>DW14+預測IC!DX14</f>
        <v>0.47996053220381096</v>
      </c>
      <c r="DY14" s="7">
        <f>DX14+預測IC!DY14</f>
        <v>0.43229954560146977</v>
      </c>
      <c r="DZ14" s="7">
        <f>DY14+預測IC!DZ14</f>
        <v>0.45399713485758658</v>
      </c>
      <c r="EA14" s="7">
        <f>DZ14+預測IC!EA14</f>
        <v>0.56152261805511039</v>
      </c>
      <c r="EB14" s="7">
        <f>EA14+預測IC!EB14</f>
        <v>0.53641309743684584</v>
      </c>
      <c r="EC14" s="7">
        <f>EB14+預測IC!EC14</f>
        <v>0.49315307990753821</v>
      </c>
      <c r="ED14" s="7">
        <f>EC14+預測IC!ED14</f>
        <v>0.45955579210560443</v>
      </c>
      <c r="EE14" s="7">
        <f>ED14+預測IC!EE14</f>
        <v>0.46295504562367695</v>
      </c>
      <c r="EF14" s="7">
        <f>EE14+預測IC!EF14</f>
        <v>0.53291146612223506</v>
      </c>
    </row>
    <row r="15" spans="1:137" x14ac:dyDescent="0.3">
      <c r="A15" s="1">
        <v>100</v>
      </c>
      <c r="B15" s="1">
        <v>10</v>
      </c>
      <c r="C15" s="7">
        <v>0.22764465877785839</v>
      </c>
      <c r="D15" s="7">
        <f>C15+預測IC!D15</f>
        <v>0.24459752356992412</v>
      </c>
      <c r="E15" s="7">
        <f>D15+預測IC!E15</f>
        <v>0.23439909729784061</v>
      </c>
      <c r="F15" s="7">
        <f>E15+預測IC!F15</f>
        <v>0.12583680392465071</v>
      </c>
      <c r="G15" s="7">
        <f>F15+預測IC!G15</f>
        <v>6.5199875253116435E-2</v>
      </c>
      <c r="H15" s="7">
        <f>G15+預測IC!H15</f>
        <v>0.11535769975670951</v>
      </c>
      <c r="I15" s="7">
        <f>H15+預測IC!I15</f>
        <v>0.17378914403657506</v>
      </c>
      <c r="J15" s="7">
        <f>I15+預測IC!J15</f>
        <v>0.2237506092839647</v>
      </c>
      <c r="K15" s="7">
        <f>J15+預測IC!K15</f>
        <v>-6.284401845240592E-2</v>
      </c>
      <c r="L15" s="7">
        <f>K15+預測IC!L15</f>
        <v>-3.0285513295221278E-2</v>
      </c>
      <c r="M15" s="7">
        <f>L15+預測IC!M15</f>
        <v>-4.7878038157340187E-3</v>
      </c>
      <c r="N15" s="7">
        <f>M15+預測IC!N15</f>
        <v>0.11608035034524708</v>
      </c>
      <c r="O15" s="7">
        <f>N15+預測IC!O15</f>
        <v>0.18983769459156169</v>
      </c>
      <c r="P15" s="7">
        <f>O15+預測IC!P15</f>
        <v>0.12572151156989991</v>
      </c>
      <c r="Q15" s="7">
        <f>P15+預測IC!Q15</f>
        <v>7.9822780123968318E-2</v>
      </c>
      <c r="R15" s="7">
        <f>Q15+預測IC!R15</f>
        <v>-4.6868278585845469E-2</v>
      </c>
      <c r="S15" s="7">
        <f>R15+預測IC!S15</f>
        <v>-0.31687617366799925</v>
      </c>
      <c r="T15" s="7">
        <f>S15+預測IC!T15</f>
        <v>-0.38367629861111135</v>
      </c>
      <c r="U15" s="7">
        <f>T15+預測IC!U15</f>
        <v>-0.52064436027838012</v>
      </c>
      <c r="V15" s="7">
        <f>U15+預測IC!V15</f>
        <v>-0.53777621362649286</v>
      </c>
      <c r="W15" s="7">
        <f>V15+預測IC!W15</f>
        <v>-0.43523261964374976</v>
      </c>
      <c r="X15" s="7">
        <f>W15+預測IC!X15</f>
        <v>-0.30838928818007666</v>
      </c>
      <c r="Y15" s="7">
        <f>X15+預測IC!Y15</f>
        <v>-0.28775931381425685</v>
      </c>
      <c r="Z15" s="7">
        <f>Y15+預測IC!Z15</f>
        <v>-0.24103934176089817</v>
      </c>
      <c r="AA15" s="7">
        <f>Z15+預測IC!AA15</f>
        <v>-0.29512048878893182</v>
      </c>
      <c r="AB15" s="7">
        <f>AA15+預測IC!AB15</f>
        <v>-0.21142031627310132</v>
      </c>
      <c r="AC15" s="7">
        <f>AB15+預測IC!AC15</f>
        <v>-0.19493935006491322</v>
      </c>
      <c r="AD15" s="7">
        <f>AC15+預測IC!AD15</f>
        <v>-0.1760030670340948</v>
      </c>
      <c r="AE15" s="7">
        <f>AD15+預測IC!AE15</f>
        <v>-0.27380075104304591</v>
      </c>
      <c r="AF15" s="7">
        <f>AE15+預測IC!AF15</f>
        <v>-0.20798113854600606</v>
      </c>
      <c r="AG15" s="7">
        <f>AF15+預測IC!AG15</f>
        <v>-0.19785766028435051</v>
      </c>
      <c r="AH15" s="7">
        <f>AG15+預測IC!AH15</f>
        <v>-6.4890295274627696E-2</v>
      </c>
      <c r="AI15" s="7">
        <f>AH15+預測IC!AI15</f>
        <v>9.3866649354541892E-3</v>
      </c>
      <c r="AJ15" s="7">
        <f>AI15+預測IC!AJ15</f>
        <v>1.3571099567787334E-2</v>
      </c>
      <c r="AK15" s="7">
        <f>AJ15+預測IC!AK15</f>
        <v>-2.3428212188942699E-2</v>
      </c>
      <c r="AL15" s="7">
        <f>AK15+預測IC!AL15</f>
        <v>-5.5788385985604122E-2</v>
      </c>
      <c r="AM15" s="7">
        <f>AL15+預測IC!AM15</f>
        <v>-0.12441959307522271</v>
      </c>
      <c r="AN15" s="7">
        <f>AM15+預測IC!AN15</f>
        <v>-2.2730887162839206E-2</v>
      </c>
      <c r="AO15" s="7">
        <f>AN15+預測IC!AO15</f>
        <v>4.063892530062789E-2</v>
      </c>
      <c r="AP15" s="7">
        <f>AO15+預測IC!AP15</f>
        <v>0.1311943003380561</v>
      </c>
      <c r="AQ15" s="7">
        <f>AP15+預測IC!AQ15</f>
        <v>0.16764761975829129</v>
      </c>
      <c r="AR15" s="7">
        <f>AQ15+預測IC!AR15</f>
        <v>0.18538144551753064</v>
      </c>
      <c r="AS15" s="7">
        <f>AR15+預測IC!AS15</f>
        <v>0.13664822416342884</v>
      </c>
      <c r="AT15" s="7">
        <f>AS15+預測IC!AT15</f>
        <v>0.2076380367671338</v>
      </c>
      <c r="AU15" s="7">
        <f>AT15+預測IC!AU15</f>
        <v>0.13046395951717202</v>
      </c>
      <c r="AV15" s="7">
        <f>AU15+預測IC!AV15</f>
        <v>0.16776188821628246</v>
      </c>
      <c r="AW15" s="7">
        <f>AV15+預測IC!AW15</f>
        <v>0.18342182747086341</v>
      </c>
      <c r="AX15" s="7">
        <f>AW15+預測IC!AX15</f>
        <v>0.30865580464559861</v>
      </c>
      <c r="AY15" s="7">
        <f>AX15+預測IC!AY15</f>
        <v>0.33667286875563152</v>
      </c>
      <c r="AZ15" s="7">
        <f>AY15+預測IC!AZ15</f>
        <v>0.24534958868712803</v>
      </c>
      <c r="BA15" s="7">
        <f>AZ15+預測IC!BA15</f>
        <v>0.26050132718092522</v>
      </c>
      <c r="BB15" s="7">
        <f>BA15+預測IC!BB15</f>
        <v>0.37322619325973833</v>
      </c>
      <c r="BC15" s="7">
        <f>BB15+預測IC!BC15</f>
        <v>0.43538133692756864</v>
      </c>
      <c r="BD15" s="7">
        <f>BC15+預測IC!BD15</f>
        <v>0.48842461083236471</v>
      </c>
      <c r="BE15" s="7">
        <f>BD15+預測IC!BE15</f>
        <v>0.53686733185002788</v>
      </c>
      <c r="BF15" s="7">
        <f>BE15+預測IC!BF15</f>
        <v>0.32599524436004046</v>
      </c>
      <c r="BG15" s="7">
        <f>BF15+預測IC!BG15</f>
        <v>0.15994402889544365</v>
      </c>
      <c r="BH15" s="7">
        <f>BG15+預測IC!BH15</f>
        <v>6.1294982489022987E-2</v>
      </c>
      <c r="BI15" s="7">
        <f>BH15+預測IC!BI15</f>
        <v>8.245409689576258E-2</v>
      </c>
      <c r="BJ15" s="7">
        <f>BI15+預測IC!BJ15</f>
        <v>-4.7656158140406829E-2</v>
      </c>
      <c r="BK15" s="7">
        <f>BJ15+預測IC!BK15</f>
        <v>-4.6832405872600791E-2</v>
      </c>
      <c r="BL15" s="7">
        <f>BK15+預測IC!BL15</f>
        <v>1.2571465468747649E-2</v>
      </c>
      <c r="BM15" s="7">
        <f>BL15+預測IC!BM15</f>
        <v>7.9396286835476865E-2</v>
      </c>
      <c r="BN15" s="7">
        <f>BM15+預測IC!BN15</f>
        <v>0.11953885656866675</v>
      </c>
      <c r="BO15" s="7">
        <f>BN15+預測IC!BO15</f>
        <v>0.14727333252359773</v>
      </c>
      <c r="BP15" s="7">
        <f>BO15+預測IC!BP15</f>
        <v>0.16145755323140251</v>
      </c>
      <c r="BQ15" s="7">
        <f>BP15+預測IC!BQ15</f>
        <v>0.17426048452173026</v>
      </c>
      <c r="BR15" s="7">
        <f>BQ15+預測IC!BR15</f>
        <v>0.12410305539967056</v>
      </c>
      <c r="BS15" s="7">
        <f>BR15+預測IC!BS15</f>
        <v>0.10727927794938426</v>
      </c>
      <c r="BT15" s="7">
        <f>BS15+預測IC!BT15</f>
        <v>0.19633948368071868</v>
      </c>
      <c r="BU15" s="7">
        <f>BT15+預測IC!BU15</f>
        <v>0.1768630638849252</v>
      </c>
      <c r="BV15" s="7">
        <f>BU15+預測IC!BV15</f>
        <v>0.23577803163747393</v>
      </c>
      <c r="BW15" s="7">
        <f>BV15+預測IC!BW15</f>
        <v>0.19983214150807022</v>
      </c>
      <c r="BX15" s="7">
        <f>BW15+預測IC!BX15</f>
        <v>0.22846803657380169</v>
      </c>
      <c r="BY15" s="7">
        <f>BX15+預測IC!BY15</f>
        <v>0.16677394509474186</v>
      </c>
      <c r="BZ15" s="7">
        <f>BY15+預測IC!BZ15</f>
        <v>0.37149396329434703</v>
      </c>
      <c r="CA15" s="7">
        <f>BZ15+預測IC!CA15</f>
        <v>0.46441449710314087</v>
      </c>
      <c r="CB15" s="7">
        <f>CA15+預測IC!CB15</f>
        <v>0.55709860262637834</v>
      </c>
      <c r="CC15" s="7">
        <f>CB15+預測IC!CC15</f>
        <v>0.40478033757221688</v>
      </c>
      <c r="CD15" s="7">
        <f>CC15+預測IC!CD15</f>
        <v>0.52493242153530129</v>
      </c>
      <c r="CE15" s="7">
        <f>CD15+預測IC!CE15</f>
        <v>0.40841585246518058</v>
      </c>
      <c r="CF15" s="7">
        <f>CE15+預測IC!CF15</f>
        <v>0.36706642259721306</v>
      </c>
      <c r="CG15" s="7">
        <f>CF15+預測IC!CG15</f>
        <v>0.28118040106704922</v>
      </c>
      <c r="CH15" s="7">
        <f>CG15+預測IC!CH15</f>
        <v>0.19983779308372096</v>
      </c>
      <c r="CI15" s="7">
        <f>CH15+預測IC!CI15</f>
        <v>0.20234873186405333</v>
      </c>
      <c r="CJ15" s="7">
        <f>CI15+預測IC!CJ15</f>
        <v>0.11530437579133525</v>
      </c>
      <c r="CK15" s="7">
        <f>CJ15+預測IC!CK15</f>
        <v>0.17197702156343467</v>
      </c>
      <c r="CL15" s="7">
        <f>CK15+預測IC!CL15</f>
        <v>0.20339899655668298</v>
      </c>
      <c r="CM15" s="7">
        <f>CL15+預測IC!CM15</f>
        <v>9.5279240843760271E-2</v>
      </c>
      <c r="CN15" s="7">
        <f>CM15+預測IC!CN15</f>
        <v>5.264512504459997E-2</v>
      </c>
      <c r="CO15" s="7">
        <f>CN15+預測IC!CO15</f>
        <v>-5.4334119154968129E-2</v>
      </c>
      <c r="CP15" s="7">
        <f>CO15+預測IC!CP15</f>
        <v>7.5764628518771554E-2</v>
      </c>
      <c r="CQ15" s="7">
        <f>CP15+預測IC!CQ15</f>
        <v>5.0801268062332754E-2</v>
      </c>
      <c r="CR15" s="7">
        <f>CQ15+預測IC!CR15</f>
        <v>0.23229020029806785</v>
      </c>
      <c r="CS15" s="7">
        <f>CR15+預測IC!CS15</f>
        <v>0.22580714919902223</v>
      </c>
      <c r="CT15" s="7">
        <f>CS15+預測IC!CT15</f>
        <v>0.25802370564407423</v>
      </c>
      <c r="CU15" s="7">
        <f>CT15+預測IC!CU15</f>
        <v>0.13397377423020612</v>
      </c>
      <c r="CV15" s="7">
        <f>CU15+預測IC!CV15</f>
        <v>0.31658532194712241</v>
      </c>
      <c r="CW15" s="7">
        <f>CV15+預測IC!CW15</f>
        <v>0.28932788040162849</v>
      </c>
      <c r="CX15" s="7">
        <f>CW15+預測IC!CX15</f>
        <v>0.1369401015100605</v>
      </c>
      <c r="CY15" s="7">
        <f>CX15+預測IC!CY15</f>
        <v>0.22988800584541846</v>
      </c>
      <c r="CZ15" s="7">
        <f>CY15+預測IC!CZ15</f>
        <v>0.20612467070493634</v>
      </c>
      <c r="DA15" s="7">
        <f>CZ15+預測IC!DA15</f>
        <v>0.26400681801354281</v>
      </c>
      <c r="DB15" s="7">
        <f>DA15+預測IC!DB15</f>
        <v>0.4736702200927585</v>
      </c>
      <c r="DC15" s="7">
        <f>DB15+預測IC!DC15</f>
        <v>0.40597778814763258</v>
      </c>
      <c r="DD15" s="7">
        <f>DC15+預測IC!DD15</f>
        <v>0.39147106201618631</v>
      </c>
      <c r="DE15" s="7">
        <f>DD15+預測IC!DE15</f>
        <v>0.33430742728493379</v>
      </c>
      <c r="DF15" s="7">
        <f>DE15+預測IC!DF15</f>
        <v>0.32825290101232962</v>
      </c>
      <c r="DG15" s="7">
        <f>DF15+預測IC!DG15</f>
        <v>0.28033541603798728</v>
      </c>
      <c r="DH15" s="7">
        <f>DG15+預測IC!DH15</f>
        <v>0.27939700127090072</v>
      </c>
      <c r="DI15" s="7">
        <f>DH15+預測IC!DI15</f>
        <v>0.33350531992803101</v>
      </c>
      <c r="DJ15" s="7">
        <f>DI15+預測IC!DJ15</f>
        <v>0.3935290966190883</v>
      </c>
      <c r="DK15" s="7">
        <f>DJ15+預測IC!DK15</f>
        <v>0.32134049881329074</v>
      </c>
      <c r="DL15" s="7">
        <f>DK15+預測IC!DL15</f>
        <v>0.32103650561046293</v>
      </c>
      <c r="DM15" s="7">
        <f>DL15+預測IC!DM15</f>
        <v>0.28198438891679717</v>
      </c>
      <c r="DN15" s="7">
        <f>DM15+預測IC!DN15</f>
        <v>0.36371510116792627</v>
      </c>
      <c r="DO15" s="7">
        <f>DN15+預測IC!DO15</f>
        <v>0.52326051252719852</v>
      </c>
      <c r="DP15" s="7">
        <f>DO15+預測IC!DP15</f>
        <v>0.48293031973596506</v>
      </c>
      <c r="DQ15" s="7">
        <f>DP15+預測IC!DQ15</f>
        <v>0.40999223983182226</v>
      </c>
      <c r="DR15" s="7">
        <f>DQ15+預測IC!DR15</f>
        <v>0.48000280644976068</v>
      </c>
      <c r="DS15" s="7">
        <f>DR15+預測IC!DS15</f>
        <v>0.40376089803796356</v>
      </c>
      <c r="DT15" s="7">
        <f>DS15+預測IC!DT15</f>
        <v>0.35104210804889391</v>
      </c>
      <c r="DU15" s="7">
        <f>DT15+預測IC!DU15</f>
        <v>0.162401463146506</v>
      </c>
      <c r="DV15" s="7">
        <f>DU15+預測IC!DV15</f>
        <v>0.20912919249974565</v>
      </c>
      <c r="DW15" s="7">
        <f>DV15+預測IC!DW15</f>
        <v>0.15868095591679859</v>
      </c>
      <c r="DX15" s="7">
        <f>DW15+預測IC!DX15</f>
        <v>0.13713528559631857</v>
      </c>
      <c r="DY15" s="7">
        <f>DX15+預測IC!DY15</f>
        <v>0.22080892028885735</v>
      </c>
      <c r="DZ15" s="7">
        <f>DY15+預測IC!DZ15</f>
        <v>0.25740541805266132</v>
      </c>
      <c r="EA15" s="7">
        <f>DZ15+預測IC!EA15</f>
        <v>0.36658235096253988</v>
      </c>
      <c r="EB15" s="7">
        <f>EA15+預測IC!EB15</f>
        <v>0.31045587069521519</v>
      </c>
      <c r="EC15" s="7">
        <f>EB15+預測IC!EC15</f>
        <v>0.23429879389859531</v>
      </c>
      <c r="ED15" s="7">
        <f>EC15+預測IC!ED15</f>
        <v>0.16191547460566635</v>
      </c>
      <c r="EE15" s="7">
        <f>ED15+預測IC!EE15</f>
        <v>0.15872475410413953</v>
      </c>
      <c r="EF15" s="7">
        <f>EE15+預測IC!EF15</f>
        <v>0.22442574524298176</v>
      </c>
    </row>
    <row r="16" spans="1:137" x14ac:dyDescent="0.3">
      <c r="A16" s="1">
        <v>107</v>
      </c>
      <c r="B16" s="1">
        <v>9</v>
      </c>
      <c r="C16" s="7">
        <v>0.20787477708292909</v>
      </c>
      <c r="D16" s="7">
        <f>C16+預測IC!D16</f>
        <v>0.20715452841561205</v>
      </c>
      <c r="E16" s="7">
        <f>D16+預測IC!E16</f>
        <v>0.20432435180552666</v>
      </c>
      <c r="F16" s="7">
        <f>E16+預測IC!F16</f>
        <v>0.10494185895003957</v>
      </c>
      <c r="G16" s="7">
        <f>F16+預測IC!G16</f>
        <v>3.1245593823115717E-2</v>
      </c>
      <c r="H16" s="7">
        <f>G16+預測IC!H16</f>
        <v>9.2244598440052561E-2</v>
      </c>
      <c r="I16" s="7">
        <f>H16+預測IC!I16</f>
        <v>0.14977521710567399</v>
      </c>
      <c r="J16" s="7">
        <f>I16+預測IC!J16</f>
        <v>0.19648514314834015</v>
      </c>
      <c r="K16" s="7">
        <f>J16+預測IC!K16</f>
        <v>-8.8185407078191946E-2</v>
      </c>
      <c r="L16" s="7">
        <f>K16+預測IC!L16</f>
        <v>-7.8298872490323149E-2</v>
      </c>
      <c r="M16" s="7">
        <f>L16+預測IC!M16</f>
        <v>-3.7964417765082567E-2</v>
      </c>
      <c r="N16" s="7">
        <f>M16+預測IC!N16</f>
        <v>8.770620777766773E-2</v>
      </c>
      <c r="O16" s="7">
        <f>N16+預測IC!O16</f>
        <v>0.16753306834878481</v>
      </c>
      <c r="P16" s="7">
        <f>O16+預測IC!P16</f>
        <v>0.10648783655736251</v>
      </c>
      <c r="Q16" s="7">
        <f>P16+預測IC!Q16</f>
        <v>2.5009193251369244E-2</v>
      </c>
      <c r="R16" s="7">
        <f>Q16+預測IC!R16</f>
        <v>-7.8100500636339956E-2</v>
      </c>
      <c r="S16" s="7">
        <f>R16+預測IC!S16</f>
        <v>-0.36516352103513472</v>
      </c>
      <c r="T16" s="7">
        <f>S16+預測IC!T16</f>
        <v>-0.43238258119273604</v>
      </c>
      <c r="U16" s="7">
        <f>T16+預測IC!U16</f>
        <v>-0.56244505262248057</v>
      </c>
      <c r="V16" s="7">
        <f>U16+預測IC!V16</f>
        <v>-0.5684671979554462</v>
      </c>
      <c r="W16" s="7">
        <f>V16+預測IC!W16</f>
        <v>-0.46680152190763441</v>
      </c>
      <c r="X16" s="7">
        <f>W16+預測IC!X16</f>
        <v>-0.34239173819914759</v>
      </c>
      <c r="Y16" s="7">
        <f>X16+預測IC!Y16</f>
        <v>-0.32221114977951198</v>
      </c>
      <c r="Z16" s="7">
        <f>Y16+預測IC!Z16</f>
        <v>-0.27915321889530026</v>
      </c>
      <c r="AA16" s="7">
        <f>Z16+預測IC!AA16</f>
        <v>-0.32264085473129239</v>
      </c>
      <c r="AB16" s="7">
        <f>AA16+預測IC!AB16</f>
        <v>-0.247655813093312</v>
      </c>
      <c r="AC16" s="7">
        <f>AB16+預測IC!AC16</f>
        <v>-0.20042957689075147</v>
      </c>
      <c r="AD16" s="7">
        <f>AC16+預測IC!AD16</f>
        <v>-0.19930755104167522</v>
      </c>
      <c r="AE16" s="7">
        <f>AD16+預測IC!AE16</f>
        <v>-0.29580991153028091</v>
      </c>
      <c r="AF16" s="7">
        <f>AE16+預測IC!AF16</f>
        <v>-0.23212406894869175</v>
      </c>
      <c r="AG16" s="7">
        <f>AF16+預測IC!AG16</f>
        <v>-0.21883331591215635</v>
      </c>
      <c r="AH16" s="7">
        <f>AG16+預測IC!AH16</f>
        <v>-7.0431690745003855E-2</v>
      </c>
      <c r="AI16" s="7">
        <f>AH16+預測IC!AI16</f>
        <v>2.0090958472150991E-2</v>
      </c>
      <c r="AJ16" s="7">
        <f>AI16+預測IC!AJ16</f>
        <v>2.4617167491158415E-3</v>
      </c>
      <c r="AK16" s="7">
        <f>AJ16+預測IC!AK16</f>
        <v>-5.5254509808089838E-3</v>
      </c>
      <c r="AL16" s="7">
        <f>AK16+預測IC!AL16</f>
        <v>-1.0965153611461961E-2</v>
      </c>
      <c r="AM16" s="7">
        <f>AL16+預測IC!AM16</f>
        <v>-6.3110886091553103E-2</v>
      </c>
      <c r="AN16" s="7">
        <f>AM16+預測IC!AN16</f>
        <v>4.3345313998122498E-2</v>
      </c>
      <c r="AO16" s="7">
        <f>AN16+預測IC!AO16</f>
        <v>0.10476998582403482</v>
      </c>
      <c r="AP16" s="7">
        <f>AO16+預測IC!AP16</f>
        <v>0.19949466839122948</v>
      </c>
      <c r="AQ16" s="7">
        <f>AP16+預測IC!AQ16</f>
        <v>0.25399242133511279</v>
      </c>
      <c r="AR16" s="7">
        <f>AQ16+預測IC!AR16</f>
        <v>0.28836440039538375</v>
      </c>
      <c r="AS16" s="7">
        <f>AR16+預測IC!AS16</f>
        <v>0.23572168215715</v>
      </c>
      <c r="AT16" s="7">
        <f>AS16+預測IC!AT16</f>
        <v>0.35828572550743482</v>
      </c>
      <c r="AU16" s="7">
        <f>AT16+預測IC!AU16</f>
        <v>0.27619545366443288</v>
      </c>
      <c r="AV16" s="7">
        <f>AU16+預測IC!AV16</f>
        <v>0.3282762891011704</v>
      </c>
      <c r="AW16" s="7">
        <f>AV16+預測IC!AW16</f>
        <v>0.36752921917582104</v>
      </c>
      <c r="AX16" s="7">
        <f>AW16+預測IC!AX16</f>
        <v>0.46835899241979395</v>
      </c>
      <c r="AY16" s="7">
        <f>AX16+預測IC!AY16</f>
        <v>0.50217158226413994</v>
      </c>
      <c r="AZ16" s="7">
        <f>AY16+預測IC!AZ16</f>
        <v>0.39726194708542772</v>
      </c>
      <c r="BA16" s="7">
        <f>AZ16+預測IC!BA16</f>
        <v>0.3633503851007292</v>
      </c>
      <c r="BB16" s="7">
        <f>BA16+預測IC!BB16</f>
        <v>0.47138930925346728</v>
      </c>
      <c r="BC16" s="7">
        <f>BB16+預測IC!BC16</f>
        <v>0.5385107753611591</v>
      </c>
      <c r="BD16" s="7">
        <f>BC16+預測IC!BD16</f>
        <v>0.57444748690706315</v>
      </c>
      <c r="BE16" s="7">
        <f>BD16+預測IC!BE16</f>
        <v>0.62585848130153809</v>
      </c>
      <c r="BF16" s="7">
        <f>BE16+預測IC!BF16</f>
        <v>0.37807162220107798</v>
      </c>
      <c r="BG16" s="7">
        <f>BF16+預測IC!BG16</f>
        <v>0.21684205261672737</v>
      </c>
      <c r="BH16" s="7">
        <f>BG16+預測IC!BH16</f>
        <v>0.12068001810899368</v>
      </c>
      <c r="BI16" s="7">
        <f>BH16+預測IC!BI16</f>
        <v>0.16966995854190467</v>
      </c>
      <c r="BJ16" s="7">
        <f>BI16+預測IC!BJ16</f>
        <v>7.3103155016366633E-2</v>
      </c>
      <c r="BK16" s="7">
        <f>BJ16+預測IC!BK16</f>
        <v>7.6075145311563661E-2</v>
      </c>
      <c r="BL16" s="7">
        <f>BK16+預測IC!BL16</f>
        <v>0.14669871101908682</v>
      </c>
      <c r="BM16" s="7">
        <f>BL16+預測IC!BM16</f>
        <v>0.22822258606105189</v>
      </c>
      <c r="BN16" s="7">
        <f>BM16+預測IC!BN16</f>
        <v>0.27612841866507915</v>
      </c>
      <c r="BO16" s="7">
        <f>BN16+預測IC!BO16</f>
        <v>0.29801877861873682</v>
      </c>
      <c r="BP16" s="7">
        <f>BO16+預測IC!BP16</f>
        <v>0.3188619621663174</v>
      </c>
      <c r="BQ16" s="7">
        <f>BP16+預測IC!BQ16</f>
        <v>0.33533997842124602</v>
      </c>
      <c r="BR16" s="7">
        <f>BQ16+預測IC!BR16</f>
        <v>0.30904313039980164</v>
      </c>
      <c r="BS16" s="7">
        <f>BR16+預測IC!BS16</f>
        <v>0.29585155725233747</v>
      </c>
      <c r="BT16" s="7">
        <f>BS16+預測IC!BT16</f>
        <v>0.3813347485201371</v>
      </c>
      <c r="BU16" s="7">
        <f>BT16+預測IC!BU16</f>
        <v>0.32356963833533664</v>
      </c>
      <c r="BV16" s="7">
        <f>BU16+預測IC!BV16</f>
        <v>0.38428087778217745</v>
      </c>
      <c r="BW16" s="7">
        <f>BV16+預測IC!BW16</f>
        <v>0.31853995035564281</v>
      </c>
      <c r="BX16" s="7">
        <f>BW16+預測IC!BX16</f>
        <v>0.35009918787677374</v>
      </c>
      <c r="BY16" s="7">
        <f>BX16+預測IC!BY16</f>
        <v>0.29953545502953083</v>
      </c>
      <c r="BZ16" s="7">
        <f>BY16+預測IC!BZ16</f>
        <v>0.43111730392018593</v>
      </c>
      <c r="CA16" s="7">
        <f>BZ16+預測IC!CA16</f>
        <v>0.56158718775842165</v>
      </c>
      <c r="CB16" s="7">
        <f>CA16+預測IC!CB16</f>
        <v>0.67745273674757689</v>
      </c>
      <c r="CC16" s="7">
        <f>CB16+預測IC!CC16</f>
        <v>0.51838022226364244</v>
      </c>
      <c r="CD16" s="7">
        <f>CC16+預測IC!CD16</f>
        <v>0.67345149389000425</v>
      </c>
      <c r="CE16" s="7">
        <f>CD16+預測IC!CE16</f>
        <v>0.54085643309649289</v>
      </c>
      <c r="CF16" s="7">
        <f>CE16+預測IC!CF16</f>
        <v>0.48805634876121201</v>
      </c>
      <c r="CG16" s="7">
        <f>CF16+預測IC!CG16</f>
        <v>0.42632847061454543</v>
      </c>
      <c r="CH16" s="7">
        <f>CG16+預測IC!CH16</f>
        <v>0.37587974591054935</v>
      </c>
      <c r="CI16" s="7">
        <f>CH16+預測IC!CI16</f>
        <v>0.38012041402270003</v>
      </c>
      <c r="CJ16" s="7">
        <f>CI16+預測IC!CJ16</f>
        <v>0.3345968632350334</v>
      </c>
      <c r="CK16" s="7">
        <f>CJ16+預測IC!CK16</f>
        <v>0.41106984695272381</v>
      </c>
      <c r="CL16" s="7">
        <f>CK16+預測IC!CL16</f>
        <v>0.42694852928743315</v>
      </c>
      <c r="CM16" s="7">
        <f>CL16+預測IC!CM16</f>
        <v>0.31389269089605853</v>
      </c>
      <c r="CN16" s="7">
        <f>CM16+預測IC!CN16</f>
        <v>0.28083517575510852</v>
      </c>
      <c r="CO16" s="7">
        <f>CN16+預測IC!CO16</f>
        <v>0.14619496696120321</v>
      </c>
      <c r="CP16" s="7">
        <f>CO16+預測IC!CP16</f>
        <v>0.25734641716284751</v>
      </c>
      <c r="CQ16" s="7">
        <f>CP16+預測IC!CQ16</f>
        <v>0.23701263734248659</v>
      </c>
      <c r="CR16" s="7">
        <f>CQ16+預測IC!CR16</f>
        <v>0.426299170809885</v>
      </c>
      <c r="CS16" s="7">
        <f>CR16+預測IC!CS16</f>
        <v>0.38544698321514165</v>
      </c>
      <c r="CT16" s="7">
        <f>CS16+預測IC!CT16</f>
        <v>0.43435050904657047</v>
      </c>
      <c r="CU16" s="7">
        <f>CT16+預測IC!CU16</f>
        <v>0.29887880818236434</v>
      </c>
      <c r="CV16" s="7">
        <f>CU16+預測IC!CV16</f>
        <v>0.47113033082085065</v>
      </c>
      <c r="CW16" s="7">
        <f>CV16+預測IC!CW16</f>
        <v>0.43945721664916793</v>
      </c>
      <c r="CX16" s="7">
        <f>CW16+預測IC!CX16</f>
        <v>0.27719124134655171</v>
      </c>
      <c r="CY16" s="7">
        <f>CX16+預測IC!CY16</f>
        <v>0.35847187922076595</v>
      </c>
      <c r="CZ16" s="7">
        <f>CY16+預測IC!CZ16</f>
        <v>0.32574705697862172</v>
      </c>
      <c r="DA16" s="7">
        <f>CZ16+預測IC!DA16</f>
        <v>0.40385335545308432</v>
      </c>
      <c r="DB16" s="7">
        <f>DA16+預測IC!DB16</f>
        <v>0.63551870135472821</v>
      </c>
      <c r="DC16" s="7">
        <f>DB16+預測IC!DC16</f>
        <v>0.55225464973174354</v>
      </c>
      <c r="DD16" s="7">
        <f>DC16+預測IC!DD16</f>
        <v>0.52051093924446357</v>
      </c>
      <c r="DE16" s="7">
        <f>DD16+預測IC!DE16</f>
        <v>0.48595853888567353</v>
      </c>
      <c r="DF16" s="7">
        <f>DE16+預測IC!DF16</f>
        <v>0.48326052533334757</v>
      </c>
      <c r="DG16" s="7">
        <f>DF16+預測IC!DG16</f>
        <v>0.43758361030445514</v>
      </c>
      <c r="DH16" s="7">
        <f>DG16+預測IC!DH16</f>
        <v>0.44156244226901048</v>
      </c>
      <c r="DI16" s="7">
        <f>DH16+預測IC!DI16</f>
        <v>0.48696194017027167</v>
      </c>
      <c r="DJ16" s="7">
        <f>DI16+預測IC!DJ16</f>
        <v>0.55791699260715721</v>
      </c>
      <c r="DK16" s="7">
        <f>DJ16+預測IC!DK16</f>
        <v>0.50023122325989788</v>
      </c>
      <c r="DL16" s="7">
        <f>DK16+預測IC!DL16</f>
        <v>0.47835834901012364</v>
      </c>
      <c r="DM16" s="7">
        <f>DL16+預測IC!DM16</f>
        <v>0.4594479748415804</v>
      </c>
      <c r="DN16" s="7">
        <f>DM16+預測IC!DN16</f>
        <v>0.57533470658657204</v>
      </c>
      <c r="DO16" s="7">
        <f>DN16+預測IC!DO16</f>
        <v>0.7449256529746463</v>
      </c>
      <c r="DP16" s="7">
        <f>DO16+預測IC!DP16</f>
        <v>0.72020906959691078</v>
      </c>
      <c r="DQ16" s="7">
        <f>DP16+預測IC!DQ16</f>
        <v>0.65264854965127483</v>
      </c>
      <c r="DR16" s="7">
        <f>DQ16+預測IC!DR16</f>
        <v>0.70783980130079005</v>
      </c>
      <c r="DS16" s="7">
        <f>DR16+預測IC!DS16</f>
        <v>0.61408773631103575</v>
      </c>
      <c r="DT16" s="7">
        <f>DS16+預測IC!DT16</f>
        <v>0.55497476123284983</v>
      </c>
      <c r="DU16" s="7">
        <f>DT16+預測IC!DU16</f>
        <v>0.36486651878693144</v>
      </c>
      <c r="DV16" s="7">
        <f>DU16+預測IC!DV16</f>
        <v>0.41059483595941842</v>
      </c>
      <c r="DW16" s="7">
        <f>DV16+預測IC!DW16</f>
        <v>0.38045572396960337</v>
      </c>
      <c r="DX16" s="7">
        <f>DW16+預測IC!DX16</f>
        <v>0.35850799619356244</v>
      </c>
      <c r="DY16" s="7">
        <f>DX16+預測IC!DY16</f>
        <v>0.45349286041479941</v>
      </c>
      <c r="DZ16" s="7">
        <f>DY16+預測IC!DZ16</f>
        <v>0.46614203200058879</v>
      </c>
      <c r="EA16" s="7">
        <f>DZ16+預測IC!EA16</f>
        <v>0.60594105074397853</v>
      </c>
      <c r="EB16" s="7">
        <f>EA16+預測IC!EB16</f>
        <v>0.53506560696442751</v>
      </c>
      <c r="EC16" s="7">
        <f>EB16+預測IC!EC16</f>
        <v>0.46656412639658851</v>
      </c>
      <c r="ED16" s="7">
        <f>EC16+預測IC!ED16</f>
        <v>0.38627921373775503</v>
      </c>
      <c r="EE16" s="7">
        <f>ED16+預測IC!EE16</f>
        <v>0.38188253843099534</v>
      </c>
      <c r="EF16" s="7">
        <f>EE16+預測IC!EF16</f>
        <v>0.42435693992490259</v>
      </c>
    </row>
    <row r="17" spans="1:136" x14ac:dyDescent="0.3">
      <c r="A17" s="1">
        <v>120</v>
      </c>
      <c r="B17" s="1">
        <v>8</v>
      </c>
      <c r="C17" s="7">
        <v>0.2060921883792059</v>
      </c>
      <c r="D17" s="7">
        <f>C17+預測IC!D17</f>
        <v>0.1887578136461181</v>
      </c>
      <c r="E17" s="7">
        <f>D17+預測IC!E17</f>
        <v>0.19613681514141945</v>
      </c>
      <c r="F17" s="7">
        <f>E17+預測IC!F17</f>
        <v>8.3299300024123751E-2</v>
      </c>
      <c r="G17" s="7">
        <f>F17+預測IC!G17</f>
        <v>1.2076533145941981E-2</v>
      </c>
      <c r="H17" s="7">
        <f>G17+預測IC!H17</f>
        <v>8.876435470855884E-2</v>
      </c>
      <c r="I17" s="7">
        <f>H17+預測IC!I17</f>
        <v>0.20248938251074633</v>
      </c>
      <c r="J17" s="7">
        <f>I17+預測IC!J17</f>
        <v>0.24434777762897553</v>
      </c>
      <c r="K17" s="7">
        <f>J17+預測IC!K17</f>
        <v>-5.2478773471586859E-2</v>
      </c>
      <c r="L17" s="7">
        <f>K17+預測IC!L17</f>
        <v>-4.2767883963428857E-2</v>
      </c>
      <c r="M17" s="7">
        <f>L17+預測IC!M17</f>
        <v>2.2164151020057324E-2</v>
      </c>
      <c r="N17" s="7">
        <f>M17+預測IC!N17</f>
        <v>0.15811258307284254</v>
      </c>
      <c r="O17" s="7">
        <f>N17+預測IC!O17</f>
        <v>0.25933935234517824</v>
      </c>
      <c r="P17" s="7">
        <f>O17+預測IC!P17</f>
        <v>0.19299998320634723</v>
      </c>
      <c r="Q17" s="7">
        <f>P17+預測IC!Q17</f>
        <v>9.2733154902779225E-2</v>
      </c>
      <c r="R17" s="7">
        <f>Q17+預測IC!R17</f>
        <v>-4.3693290297466963E-2</v>
      </c>
      <c r="S17" s="7">
        <f>R17+預測IC!S17</f>
        <v>-0.35434672295276515</v>
      </c>
      <c r="T17" s="7">
        <f>S17+預測IC!T17</f>
        <v>-0.4255487374855722</v>
      </c>
      <c r="U17" s="7">
        <f>T17+預測IC!U17</f>
        <v>-0.56681988002412909</v>
      </c>
      <c r="V17" s="7">
        <f>U17+預測IC!V17</f>
        <v>-0.56280869019443058</v>
      </c>
      <c r="W17" s="7">
        <f>V17+預測IC!W17</f>
        <v>-0.4432047061821231</v>
      </c>
      <c r="X17" s="7">
        <f>W17+預測IC!X17</f>
        <v>-0.32635850824131951</v>
      </c>
      <c r="Y17" s="7">
        <f>X17+預測IC!Y17</f>
        <v>-0.30343049717866466</v>
      </c>
      <c r="Z17" s="7">
        <f>Y17+預測IC!Z17</f>
        <v>-0.24956200788779886</v>
      </c>
      <c r="AA17" s="7">
        <f>Z17+預測IC!AA17</f>
        <v>-0.28477179746999798</v>
      </c>
      <c r="AB17" s="7">
        <f>AA17+預測IC!AB17</f>
        <v>-0.19991973459182566</v>
      </c>
      <c r="AC17" s="7">
        <f>AB17+預測IC!AC17</f>
        <v>-0.14119104430133186</v>
      </c>
      <c r="AD17" s="7">
        <f>AC17+預測IC!AD17</f>
        <v>-0.11927820012769126</v>
      </c>
      <c r="AE17" s="7">
        <f>AD17+預測IC!AE17</f>
        <v>-0.24643662257491628</v>
      </c>
      <c r="AF17" s="7">
        <f>AE17+預測IC!AF17</f>
        <v>-0.18500731245297614</v>
      </c>
      <c r="AG17" s="7">
        <f>AF17+預測IC!AG17</f>
        <v>-0.16226633166518595</v>
      </c>
      <c r="AH17" s="7">
        <f>AG17+預測IC!AH17</f>
        <v>-1.5241442409381356E-2</v>
      </c>
      <c r="AI17" s="7">
        <f>AH17+預測IC!AI17</f>
        <v>9.9623002988905238E-2</v>
      </c>
      <c r="AJ17" s="7">
        <f>AI17+預測IC!AJ17</f>
        <v>7.7415543464158798E-2</v>
      </c>
      <c r="AK17" s="7">
        <f>AJ17+預測IC!AK17</f>
        <v>6.4089830711795137E-2</v>
      </c>
      <c r="AL17" s="7">
        <f>AK17+預測IC!AL17</f>
        <v>3.7071648543106517E-2</v>
      </c>
      <c r="AM17" s="7">
        <f>AL17+預測IC!AM17</f>
        <v>-5.6280061483423752E-2</v>
      </c>
      <c r="AN17" s="7">
        <f>AM17+預測IC!AN17</f>
        <v>5.7007058862493951E-2</v>
      </c>
      <c r="AO17" s="7">
        <f>AN17+預測IC!AO17</f>
        <v>6.9639393458218138E-2</v>
      </c>
      <c r="AP17" s="7">
        <f>AO17+預測IC!AP17</f>
        <v>0.16305697353877957</v>
      </c>
      <c r="AQ17" s="7">
        <f>AP17+預測IC!AQ17</f>
        <v>0.22433422565700153</v>
      </c>
      <c r="AR17" s="7">
        <f>AQ17+預測IC!AR17</f>
        <v>0.27013685121430436</v>
      </c>
      <c r="AS17" s="7">
        <f>AR17+預測IC!AS17</f>
        <v>0.21133389427007004</v>
      </c>
      <c r="AT17" s="7">
        <f>AS17+預測IC!AT17</f>
        <v>0.33840568737732174</v>
      </c>
      <c r="AU17" s="7">
        <f>AT17+預測IC!AU17</f>
        <v>0.22270607784321683</v>
      </c>
      <c r="AV17" s="7">
        <f>AU17+預測IC!AV17</f>
        <v>0.28123552717784822</v>
      </c>
      <c r="AW17" s="7">
        <f>AV17+預測IC!AW17</f>
        <v>0.28965741521968502</v>
      </c>
      <c r="AX17" s="7">
        <f>AW17+預測IC!AX17</f>
        <v>0.385897973728484</v>
      </c>
      <c r="AY17" s="7">
        <f>AX17+預測IC!AY17</f>
        <v>0.41332167041908491</v>
      </c>
      <c r="AZ17" s="7">
        <f>AY17+預測IC!AZ17</f>
        <v>0.28816406815889384</v>
      </c>
      <c r="BA17" s="7">
        <f>AZ17+預測IC!BA17</f>
        <v>0.24939245291120327</v>
      </c>
      <c r="BB17" s="7">
        <f>BA17+預測IC!BB17</f>
        <v>0.37315651602504768</v>
      </c>
      <c r="BC17" s="7">
        <f>BB17+預測IC!BC17</f>
        <v>0.45701971120286133</v>
      </c>
      <c r="BD17" s="7">
        <f>BC17+預測IC!BD17</f>
        <v>0.47937619344906612</v>
      </c>
      <c r="BE17" s="7">
        <f>BD17+預測IC!BE17</f>
        <v>0.55672643568712654</v>
      </c>
      <c r="BF17" s="7">
        <f>BE17+預測IC!BF17</f>
        <v>0.40894960540696823</v>
      </c>
      <c r="BG17" s="7">
        <f>BF17+預測IC!BG17</f>
        <v>0.22319802727608734</v>
      </c>
      <c r="BH17" s="7">
        <f>BG17+預測IC!BH17</f>
        <v>9.0006913950758244E-2</v>
      </c>
      <c r="BI17" s="7">
        <f>BH17+預測IC!BI17</f>
        <v>0.17074531350910982</v>
      </c>
      <c r="BJ17" s="7">
        <f>BI17+預測IC!BJ17</f>
        <v>7.2877069140685841E-2</v>
      </c>
      <c r="BK17" s="7">
        <f>BJ17+預測IC!BK17</f>
        <v>5.9054117070580329E-2</v>
      </c>
      <c r="BL17" s="7">
        <f>BK17+預測IC!BL17</f>
        <v>0.13653708387052649</v>
      </c>
      <c r="BM17" s="7">
        <f>BL17+預測IC!BM17</f>
        <v>0.21253485431638647</v>
      </c>
      <c r="BN17" s="7">
        <f>BM17+預測IC!BN17</f>
        <v>0.25945037991026443</v>
      </c>
      <c r="BO17" s="7">
        <f>BN17+預測IC!BO17</f>
        <v>0.29462999532698803</v>
      </c>
      <c r="BP17" s="7">
        <f>BO17+預測IC!BP17</f>
        <v>0.33062597498146895</v>
      </c>
      <c r="BQ17" s="7">
        <f>BP17+預測IC!BQ17</f>
        <v>0.34200248542792056</v>
      </c>
      <c r="BR17" s="7">
        <f>BQ17+預測IC!BR17</f>
        <v>0.33235611030317064</v>
      </c>
      <c r="BS17" s="7">
        <f>BR17+預測IC!BS17</f>
        <v>0.32825264119256403</v>
      </c>
      <c r="BT17" s="7">
        <f>BS17+預測IC!BT17</f>
        <v>0.43766902006298736</v>
      </c>
      <c r="BU17" s="7">
        <f>BT17+預測IC!BU17</f>
        <v>0.36654120131223494</v>
      </c>
      <c r="BV17" s="7">
        <f>BU17+預測IC!BV17</f>
        <v>0.43675150433186327</v>
      </c>
      <c r="BW17" s="7">
        <f>BV17+預測IC!BW17</f>
        <v>0.35631979173259737</v>
      </c>
      <c r="BX17" s="7">
        <f>BW17+預測IC!BX17</f>
        <v>0.38514275635227013</v>
      </c>
      <c r="BY17" s="7">
        <f>BX17+預測IC!BY17</f>
        <v>0.3008972887235758</v>
      </c>
      <c r="BZ17" s="7">
        <f>BY17+預測IC!BZ17</f>
        <v>0.36775481933268195</v>
      </c>
      <c r="CA17" s="7">
        <f>BZ17+預測IC!CA17</f>
        <v>0.49863266710865584</v>
      </c>
      <c r="CB17" s="7">
        <f>CA17+預測IC!CB17</f>
        <v>0.60779850412939984</v>
      </c>
      <c r="CC17" s="7">
        <f>CB17+預測IC!CC17</f>
        <v>0.4328405301397189</v>
      </c>
      <c r="CD17" s="7">
        <f>CC17+預測IC!CD17</f>
        <v>0.60580027135886749</v>
      </c>
      <c r="CE17" s="7">
        <f>CD17+預測IC!CE17</f>
        <v>0.43068402585281595</v>
      </c>
      <c r="CF17" s="7">
        <f>CE17+預測IC!CF17</f>
        <v>0.3724452292581194</v>
      </c>
      <c r="CG17" s="7">
        <f>CF17+預測IC!CG17</f>
        <v>0.2977302406293883</v>
      </c>
      <c r="CH17" s="7">
        <f>CG17+預測IC!CH17</f>
        <v>0.26476116845893527</v>
      </c>
      <c r="CI17" s="7">
        <f>CH17+預測IC!CI17</f>
        <v>0.26846295183381985</v>
      </c>
      <c r="CJ17" s="7">
        <f>CI17+預測IC!CJ17</f>
        <v>0.2177206303493778</v>
      </c>
      <c r="CK17" s="7">
        <f>CJ17+預測IC!CK17</f>
        <v>0.30945920300729074</v>
      </c>
      <c r="CL17" s="7">
        <f>CK17+預測IC!CL17</f>
        <v>0.30003285823825943</v>
      </c>
      <c r="CM17" s="7">
        <f>CL17+預測IC!CM17</f>
        <v>0.20453898742170579</v>
      </c>
      <c r="CN17" s="7">
        <f>CM17+預測IC!CN17</f>
        <v>0.17782092627071883</v>
      </c>
      <c r="CO17" s="7">
        <f>CN17+預測IC!CO17</f>
        <v>4.0408050941193735E-2</v>
      </c>
      <c r="CP17" s="7">
        <f>CO17+預測IC!CP17</f>
        <v>0.14862943445008275</v>
      </c>
      <c r="CQ17" s="7">
        <f>CP17+預測IC!CQ17</f>
        <v>0.20053653779180927</v>
      </c>
      <c r="CR17" s="7">
        <f>CQ17+預測IC!CR17</f>
        <v>0.39693916955409858</v>
      </c>
      <c r="CS17" s="7">
        <f>CR17+預測IC!CS17</f>
        <v>0.36559335115838038</v>
      </c>
      <c r="CT17" s="7">
        <f>CS17+預測IC!CT17</f>
        <v>0.42424714776099443</v>
      </c>
      <c r="CU17" s="7">
        <f>CT17+預測IC!CU17</f>
        <v>0.26889525496123501</v>
      </c>
      <c r="CV17" s="7">
        <f>CU17+預測IC!CV17</f>
        <v>0.42036663982258937</v>
      </c>
      <c r="CW17" s="7">
        <f>CV17+預測IC!CW17</f>
        <v>0.39721079500774159</v>
      </c>
      <c r="CX17" s="7">
        <f>CW17+預測IC!CX17</f>
        <v>0.27220093960802416</v>
      </c>
      <c r="CY17" s="7">
        <f>CX17+預測IC!CY17</f>
        <v>0.34780985301782985</v>
      </c>
      <c r="CZ17" s="7">
        <f>CY17+預測IC!CZ17</f>
        <v>0.31621716863748917</v>
      </c>
      <c r="DA17" s="7">
        <f>CZ17+預測IC!DA17</f>
        <v>0.36432697339952286</v>
      </c>
      <c r="DB17" s="7">
        <f>DA17+預測IC!DB17</f>
        <v>0.58864394469460535</v>
      </c>
      <c r="DC17" s="7">
        <f>DB17+預測IC!DC17</f>
        <v>0.48979455214479584</v>
      </c>
      <c r="DD17" s="7">
        <f>DC17+預測IC!DD17</f>
        <v>0.46063913126191508</v>
      </c>
      <c r="DE17" s="7">
        <f>DD17+預測IC!DE17</f>
        <v>0.43651426791519304</v>
      </c>
      <c r="DF17" s="7">
        <f>DE17+預測IC!DF17</f>
        <v>0.42083982297866313</v>
      </c>
      <c r="DG17" s="7">
        <f>DF17+預測IC!DG17</f>
        <v>0.37362883455013934</v>
      </c>
      <c r="DH17" s="7">
        <f>DG17+預測IC!DH17</f>
        <v>0.38628272921265211</v>
      </c>
      <c r="DI17" s="7">
        <f>DH17+預測IC!DI17</f>
        <v>0.42132726527859715</v>
      </c>
      <c r="DJ17" s="7">
        <f>DI17+預測IC!DJ17</f>
        <v>0.55025232506460664</v>
      </c>
      <c r="DK17" s="7">
        <f>DJ17+預測IC!DK17</f>
        <v>0.4821342135757215</v>
      </c>
      <c r="DL17" s="7">
        <f>DK17+預測IC!DL17</f>
        <v>0.4782044818845928</v>
      </c>
      <c r="DM17" s="7">
        <f>DL17+預測IC!DM17</f>
        <v>0.44097700636860049</v>
      </c>
      <c r="DN17" s="7">
        <f>DM17+預測IC!DN17</f>
        <v>0.54745696897588692</v>
      </c>
      <c r="DO17" s="7">
        <f>DN17+預測IC!DO17</f>
        <v>0.72721989507461571</v>
      </c>
      <c r="DP17" s="7">
        <f>DO17+預測IC!DP17</f>
        <v>0.70212246506656095</v>
      </c>
      <c r="DQ17" s="7">
        <f>DP17+預測IC!DQ17</f>
        <v>0.63687811693279872</v>
      </c>
      <c r="DR17" s="7">
        <f>DQ17+預測IC!DR17</f>
        <v>0.69276293180912696</v>
      </c>
      <c r="DS17" s="7">
        <f>DR17+預測IC!DS17</f>
        <v>0.56844677200431604</v>
      </c>
      <c r="DT17" s="7">
        <f>DS17+預測IC!DT17</f>
        <v>0.50863483676933974</v>
      </c>
      <c r="DU17" s="7">
        <f>DT17+預測IC!DU17</f>
        <v>0.34907973729089592</v>
      </c>
      <c r="DV17" s="7">
        <f>DU17+預測IC!DV17</f>
        <v>0.39422857343995465</v>
      </c>
      <c r="DW17" s="7">
        <f>DV17+預測IC!DW17</f>
        <v>0.34599318047049354</v>
      </c>
      <c r="DX17" s="7">
        <f>DW17+預測IC!DX17</f>
        <v>0.3690283606396822</v>
      </c>
      <c r="DY17" s="7">
        <f>DX17+預測IC!DY17</f>
        <v>0.4950388985407369</v>
      </c>
      <c r="DZ17" s="7">
        <f>DY17+預測IC!DZ17</f>
        <v>0.49024784529474835</v>
      </c>
      <c r="EA17" s="7">
        <f>DZ17+預測IC!EA17</f>
        <v>0.65481936852686318</v>
      </c>
      <c r="EB17" s="7">
        <f>EA17+預測IC!EB17</f>
        <v>0.58103839880921027</v>
      </c>
      <c r="EC17" s="7">
        <f>EB17+預測IC!EC17</f>
        <v>0.45952638154118719</v>
      </c>
      <c r="ED17" s="7">
        <f>EC17+預測IC!ED17</f>
        <v>0.37667075913770232</v>
      </c>
      <c r="EE17" s="7">
        <f>ED17+預測IC!EE17</f>
        <v>0.37686428028378172</v>
      </c>
      <c r="EF17" s="7">
        <f>EE17+預測IC!EF17</f>
        <v>0.42457404729363357</v>
      </c>
    </row>
    <row r="18" spans="1:136" x14ac:dyDescent="0.3">
      <c r="A18" s="1">
        <v>137</v>
      </c>
      <c r="B18" s="1">
        <v>7</v>
      </c>
      <c r="C18" s="7">
        <v>0.18975112249235829</v>
      </c>
      <c r="D18" s="7">
        <f>C18+預測IC!D18</f>
        <v>0.18156365541096556</v>
      </c>
      <c r="E18" s="7">
        <f>D18+預測IC!E18</f>
        <v>0.12256299831275777</v>
      </c>
      <c r="F18" s="7">
        <f>E18+預測IC!F18</f>
        <v>-1.1851376120627921E-2</v>
      </c>
      <c r="G18" s="7">
        <f>F18+預測IC!G18</f>
        <v>-9.2645623141487776E-2</v>
      </c>
      <c r="H18" s="7">
        <f>G18+預測IC!H18</f>
        <v>2.9267166221782326E-2</v>
      </c>
      <c r="I18" s="7">
        <f>H18+預測IC!I18</f>
        <v>0.16476734644502342</v>
      </c>
      <c r="J18" s="7">
        <f>I18+預測IC!J18</f>
        <v>0.20817886219666504</v>
      </c>
      <c r="K18" s="7">
        <f>J18+預測IC!K18</f>
        <v>-0.15050323631123469</v>
      </c>
      <c r="L18" s="7">
        <f>K18+預測IC!L18</f>
        <v>-0.13752074946425308</v>
      </c>
      <c r="M18" s="7">
        <f>L18+預測IC!M18</f>
        <v>-5.7818172350276628E-2</v>
      </c>
      <c r="N18" s="7">
        <f>M18+預測IC!N18</f>
        <v>8.5174254934494473E-2</v>
      </c>
      <c r="O18" s="7">
        <f>N18+預測IC!O18</f>
        <v>0.18884474456411365</v>
      </c>
      <c r="P18" s="7">
        <f>O18+預測IC!P18</f>
        <v>0.10629213299416589</v>
      </c>
      <c r="Q18" s="7">
        <f>P18+預測IC!Q18</f>
        <v>1.3232543081259679E-2</v>
      </c>
      <c r="R18" s="7">
        <f>Q18+預測IC!R18</f>
        <v>-0.14095664565276173</v>
      </c>
      <c r="S18" s="7">
        <f>R18+預測IC!S18</f>
        <v>-0.52468927458465608</v>
      </c>
      <c r="T18" s="7">
        <f>S18+預測IC!T18</f>
        <v>-0.57893371461626475</v>
      </c>
      <c r="U18" s="7">
        <f>T18+預測IC!U18</f>
        <v>-0.71142873904608372</v>
      </c>
      <c r="V18" s="7">
        <f>U18+預測IC!V18</f>
        <v>-0.69853360397623288</v>
      </c>
      <c r="W18" s="7">
        <f>V18+預測IC!W18</f>
        <v>-0.56061636606052667</v>
      </c>
      <c r="X18" s="7">
        <f>W18+預測IC!X18</f>
        <v>-0.41716484842568607</v>
      </c>
      <c r="Y18" s="7">
        <f>X18+預測IC!Y18</f>
        <v>-0.39793251406825053</v>
      </c>
      <c r="Z18" s="7">
        <f>Y18+預測IC!Z18</f>
        <v>-0.30869815062772765</v>
      </c>
      <c r="AA18" s="7">
        <f>Z18+預測IC!AA18</f>
        <v>-0.35040339581045171</v>
      </c>
      <c r="AB18" s="7">
        <f>AA18+預測IC!AB18</f>
        <v>-0.26570509607996751</v>
      </c>
      <c r="AC18" s="7">
        <f>AB18+預測IC!AC18</f>
        <v>-0.20788208322401025</v>
      </c>
      <c r="AD18" s="7">
        <f>AC18+預測IC!AD18</f>
        <v>-0.18128649284493006</v>
      </c>
      <c r="AE18" s="7">
        <f>AD18+預測IC!AE18</f>
        <v>-0.32481573427400456</v>
      </c>
      <c r="AF18" s="7">
        <f>AE18+預測IC!AF18</f>
        <v>-0.29294231611337895</v>
      </c>
      <c r="AG18" s="7">
        <f>AF18+預測IC!AG18</f>
        <v>-0.26044920001550287</v>
      </c>
      <c r="AH18" s="7">
        <f>AG18+預測IC!AH18</f>
        <v>-9.738069519065326E-2</v>
      </c>
      <c r="AI18" s="7">
        <f>AH18+預測IC!AI18</f>
        <v>2.0705039367346939E-2</v>
      </c>
      <c r="AJ18" s="7">
        <f>AI18+預測IC!AJ18</f>
        <v>1.337759547815745E-2</v>
      </c>
      <c r="AK18" s="7">
        <f>AJ18+預測IC!AK18</f>
        <v>4.066752277520061E-2</v>
      </c>
      <c r="AL18" s="7">
        <f>AK18+預測IC!AL18</f>
        <v>7.854710995591159E-3</v>
      </c>
      <c r="AM18" s="7">
        <f>AL18+預測IC!AM18</f>
        <v>-8.8198318141226861E-2</v>
      </c>
      <c r="AN18" s="7">
        <f>AM18+預測IC!AN18</f>
        <v>-8.9036781860250686E-3</v>
      </c>
      <c r="AO18" s="7">
        <f>AN18+預測IC!AO18</f>
        <v>-3.4761432183322803E-3</v>
      </c>
      <c r="AP18" s="7">
        <f>AO18+預測IC!AP18</f>
        <v>9.2069649697172462E-2</v>
      </c>
      <c r="AQ18" s="7">
        <f>AP18+預測IC!AQ18</f>
        <v>0.15622462336069087</v>
      </c>
      <c r="AR18" s="7">
        <f>AQ18+預測IC!AR18</f>
        <v>0.19522709742345515</v>
      </c>
      <c r="AS18" s="7">
        <f>AR18+預測IC!AS18</f>
        <v>0.1119739695342692</v>
      </c>
      <c r="AT18" s="7">
        <f>AS18+預測IC!AT18</f>
        <v>0.27835977895832809</v>
      </c>
      <c r="AU18" s="7">
        <f>AT18+預測IC!AU18</f>
        <v>0.13946156431210838</v>
      </c>
      <c r="AV18" s="7">
        <f>AU18+預測IC!AV18</f>
        <v>0.19969722901857823</v>
      </c>
      <c r="AW18" s="7">
        <f>AV18+預測IC!AW18</f>
        <v>0.22423526325968568</v>
      </c>
      <c r="AX18" s="7">
        <f>AW18+預測IC!AX18</f>
        <v>0.33179613151552179</v>
      </c>
      <c r="AY18" s="7">
        <f>AX18+預測IC!AY18</f>
        <v>0.36657941015666984</v>
      </c>
      <c r="AZ18" s="7">
        <f>AY18+預測IC!AZ18</f>
        <v>0.21817032776777073</v>
      </c>
      <c r="BA18" s="7">
        <f>AZ18+預測IC!BA18</f>
        <v>0.18286808776100738</v>
      </c>
      <c r="BB18" s="7">
        <f>BA18+預測IC!BB18</f>
        <v>0.32052412991834445</v>
      </c>
      <c r="BC18" s="7">
        <f>BB18+預測IC!BC18</f>
        <v>0.40372570251166506</v>
      </c>
      <c r="BD18" s="7">
        <f>BC18+預測IC!BD18</f>
        <v>0.37970943082436465</v>
      </c>
      <c r="BE18" s="7">
        <f>BD18+預測IC!BE18</f>
        <v>0.4480706440625275</v>
      </c>
      <c r="BF18" s="7">
        <f>BE18+預測IC!BF18</f>
        <v>0.2830841493665201</v>
      </c>
      <c r="BG18" s="7">
        <f>BF18+預測IC!BG18</f>
        <v>0.1363701745382315</v>
      </c>
      <c r="BH18" s="7">
        <f>BG18+預測IC!BH18</f>
        <v>-1.5280906119110038E-3</v>
      </c>
      <c r="BI18" s="7">
        <f>BH18+預測IC!BI18</f>
        <v>7.4463003128547617E-2</v>
      </c>
      <c r="BJ18" s="7">
        <f>BI18+預測IC!BJ18</f>
        <v>-2.4070853556874175E-2</v>
      </c>
      <c r="BK18" s="7">
        <f>BJ18+預測IC!BK18</f>
        <v>-8.2074097727076772E-2</v>
      </c>
      <c r="BL18" s="7">
        <f>BK18+預測IC!BL18</f>
        <v>-9.164239068726876E-4</v>
      </c>
      <c r="BM18" s="7">
        <f>BL18+預測IC!BM18</f>
        <v>0.10185751515656691</v>
      </c>
      <c r="BN18" s="7">
        <f>BM18+預測IC!BN18</f>
        <v>0.15463190478039707</v>
      </c>
      <c r="BO18" s="7">
        <f>BN18+預測IC!BO18</f>
        <v>0.17485940088677171</v>
      </c>
      <c r="BP18" s="7">
        <f>BO18+預測IC!BP18</f>
        <v>0.22171694122145372</v>
      </c>
      <c r="BQ18" s="7">
        <f>BP18+預測IC!BQ18</f>
        <v>0.22363372533130271</v>
      </c>
      <c r="BR18" s="7">
        <f>BQ18+預測IC!BR18</f>
        <v>0.21788553174734798</v>
      </c>
      <c r="BS18" s="7">
        <f>BR18+預測IC!BS18</f>
        <v>0.21390190665022873</v>
      </c>
      <c r="BT18" s="7">
        <f>BS18+預測IC!BT18</f>
        <v>0.32913865468611536</v>
      </c>
      <c r="BU18" s="7">
        <f>BT18+預測IC!BU18</f>
        <v>0.24846121064607457</v>
      </c>
      <c r="BV18" s="7">
        <f>BU18+預測IC!BV18</f>
        <v>0.32938460592311691</v>
      </c>
      <c r="BW18" s="7">
        <f>BV18+預測IC!BW18</f>
        <v>0.24407351898992147</v>
      </c>
      <c r="BX18" s="7">
        <f>BW18+預測IC!BX18</f>
        <v>0.26309199370595715</v>
      </c>
      <c r="BY18" s="7">
        <f>BX18+預測IC!BY18</f>
        <v>0.14001701788193235</v>
      </c>
      <c r="BZ18" s="7">
        <f>BY18+預測IC!BZ18</f>
        <v>0.17536467040287035</v>
      </c>
      <c r="CA18" s="7">
        <f>BZ18+預測IC!CA18</f>
        <v>0.28969065735495958</v>
      </c>
      <c r="CB18" s="7">
        <f>CA18+預測IC!CB18</f>
        <v>0.38707794033436882</v>
      </c>
      <c r="CC18" s="7">
        <f>CB18+預測IC!CC18</f>
        <v>0.35890449631496868</v>
      </c>
      <c r="CD18" s="7">
        <f>CC18+預測IC!CD18</f>
        <v>0.55262131496179934</v>
      </c>
      <c r="CE18" s="7">
        <f>CD18+預測IC!CE18</f>
        <v>0.37469495865292191</v>
      </c>
      <c r="CF18" s="7">
        <f>CE18+預測IC!CF18</f>
        <v>0.41865270203953059</v>
      </c>
      <c r="CG18" s="7">
        <f>CF18+預測IC!CG18</f>
        <v>0.32704344647561123</v>
      </c>
      <c r="CH18" s="7">
        <f>CG18+預測IC!CH18</f>
        <v>0.28167779751645244</v>
      </c>
      <c r="CI18" s="7">
        <f>CH18+預測IC!CI18</f>
        <v>0.16661848670727394</v>
      </c>
      <c r="CJ18" s="7">
        <f>CI18+預測IC!CJ18</f>
        <v>0.10430480888236426</v>
      </c>
      <c r="CK18" s="7">
        <f>CJ18+預測IC!CK18</f>
        <v>0.19497259317464799</v>
      </c>
      <c r="CL18" s="7">
        <f>CK18+預測IC!CL18</f>
        <v>0.16398304811645487</v>
      </c>
      <c r="CM18" s="7">
        <f>CL18+預測IC!CM18</f>
        <v>6.1213436488503969E-2</v>
      </c>
      <c r="CN18" s="7">
        <f>CM18+預測IC!CN18</f>
        <v>2.6127182510327362E-2</v>
      </c>
      <c r="CO18" s="7">
        <f>CN18+預測IC!CO18</f>
        <v>-0.12447032711191994</v>
      </c>
      <c r="CP18" s="7">
        <f>CO18+預測IC!CP18</f>
        <v>-8.2000073039865395E-3</v>
      </c>
      <c r="CQ18" s="7">
        <f>CP18+預測IC!CQ18</f>
        <v>3.0042668290956163E-2</v>
      </c>
      <c r="CR18" s="7">
        <f>CQ18+預測IC!CR18</f>
        <v>0.22376507594316536</v>
      </c>
      <c r="CS18" s="7">
        <f>CR18+預測IC!CS18</f>
        <v>0.1660744272917499</v>
      </c>
      <c r="CT18" s="7">
        <f>CS18+預測IC!CT18</f>
        <v>0.24294465406397286</v>
      </c>
      <c r="CU18" s="7">
        <f>CT18+預測IC!CU18</f>
        <v>9.837983288783797E-2</v>
      </c>
      <c r="CV18" s="7">
        <f>CU18+預測IC!CV18</f>
        <v>0.22540210102084487</v>
      </c>
      <c r="CW18" s="7">
        <f>CV18+預測IC!CW18</f>
        <v>0.19707384443603515</v>
      </c>
      <c r="CX18" s="7">
        <f>CW18+預測IC!CX18</f>
        <v>4.3998154826881852E-2</v>
      </c>
      <c r="CY18" s="7">
        <f>CX18+預測IC!CY18</f>
        <v>0.13717653873478936</v>
      </c>
      <c r="CZ18" s="7">
        <f>CY18+預測IC!CZ18</f>
        <v>4.5717325322086819E-2</v>
      </c>
      <c r="DA18" s="7">
        <f>CZ18+預測IC!DA18</f>
        <v>0.12260787165438078</v>
      </c>
      <c r="DB18" s="7">
        <f>DA18+預測IC!DB18</f>
        <v>0.34498998417776328</v>
      </c>
      <c r="DC18" s="7">
        <f>DB18+預測IC!DC18</f>
        <v>0.26217027696660078</v>
      </c>
      <c r="DD18" s="7">
        <f>DC18+預測IC!DD18</f>
        <v>0.22115608964726685</v>
      </c>
      <c r="DE18" s="7">
        <f>DD18+預測IC!DE18</f>
        <v>0.18273550216081597</v>
      </c>
      <c r="DF18" s="7">
        <f>DE18+預測IC!DF18</f>
        <v>0.15466352708285444</v>
      </c>
      <c r="DG18" s="7">
        <f>DF18+預測IC!DG18</f>
        <v>9.9893042955980643E-2</v>
      </c>
      <c r="DH18" s="7">
        <f>DG18+預測IC!DH18</f>
        <v>0.11294307557290913</v>
      </c>
      <c r="DI18" s="7">
        <f>DH18+預測IC!DI18</f>
        <v>0.13155632360332731</v>
      </c>
      <c r="DJ18" s="7">
        <f>DI18+預測IC!DJ18</f>
        <v>0.27775239970273957</v>
      </c>
      <c r="DK18" s="7">
        <f>DJ18+預測IC!DK18</f>
        <v>0.22050180971611355</v>
      </c>
      <c r="DL18" s="7">
        <f>DK18+預測IC!DL18</f>
        <v>0.2166715356485214</v>
      </c>
      <c r="DM18" s="7">
        <f>DL18+預測IC!DM18</f>
        <v>0.21142085690625739</v>
      </c>
      <c r="DN18" s="7">
        <f>DM18+預測IC!DN18</f>
        <v>0.33652954017578807</v>
      </c>
      <c r="DO18" s="7">
        <f>DN18+預測IC!DO18</f>
        <v>0.55684975196708653</v>
      </c>
      <c r="DP18" s="7">
        <f>DO18+預測IC!DP18</f>
        <v>0.53533941720759215</v>
      </c>
      <c r="DQ18" s="7">
        <f>DP18+預測IC!DQ18</f>
        <v>0.47338388824022476</v>
      </c>
      <c r="DR18" s="7">
        <f>DQ18+預測IC!DR18</f>
        <v>0.55022454301218582</v>
      </c>
      <c r="DS18" s="7">
        <f>DR18+預測IC!DS18</f>
        <v>0.40250254456045309</v>
      </c>
      <c r="DT18" s="7">
        <f>DS18+預測IC!DT18</f>
        <v>0.37990150971934566</v>
      </c>
      <c r="DU18" s="7">
        <f>DT18+預測IC!DU18</f>
        <v>0.21731272529509557</v>
      </c>
      <c r="DV18" s="7">
        <f>DU18+預測IC!DV18</f>
        <v>0.28784041780117309</v>
      </c>
      <c r="DW18" s="7">
        <f>DV18+預測IC!DW18</f>
        <v>0.22986303747106124</v>
      </c>
      <c r="DX18" s="7">
        <f>DW18+預測IC!DX18</f>
        <v>0.29804033099279653</v>
      </c>
      <c r="DY18" s="7">
        <f>DX18+預測IC!DY18</f>
        <v>0.46380343565479965</v>
      </c>
      <c r="DZ18" s="7">
        <f>DY18+預測IC!DZ18</f>
        <v>0.42057558078535778</v>
      </c>
      <c r="EA18" s="7">
        <f>DZ18+預測IC!EA18</f>
        <v>0.61952132894969503</v>
      </c>
      <c r="EB18" s="7">
        <f>EA18+預測IC!EB18</f>
        <v>0.52247863940741612</v>
      </c>
      <c r="EC18" s="7">
        <f>EB18+預測IC!EC18</f>
        <v>0.37943840881463065</v>
      </c>
      <c r="ED18" s="7">
        <f>EC18+預測IC!ED18</f>
        <v>0.29916921268710756</v>
      </c>
      <c r="EE18" s="7">
        <f>ED18+預測IC!EE18</f>
        <v>0.29805792501474992</v>
      </c>
      <c r="EF18" s="7">
        <f>EE18+預測IC!EF18</f>
        <v>0.34701294212516648</v>
      </c>
    </row>
    <row r="19" spans="1:136" x14ac:dyDescent="0.3">
      <c r="A19" s="1">
        <v>160</v>
      </c>
      <c r="B19" s="1">
        <v>6</v>
      </c>
      <c r="C19" s="7">
        <v>0.19660026531165431</v>
      </c>
      <c r="D19" s="7">
        <f>C19+預測IC!D19</f>
        <v>0.17642946585745856</v>
      </c>
      <c r="E19" s="7">
        <f>D19+預測IC!E19</f>
        <v>0.12153137209004639</v>
      </c>
      <c r="F19" s="7">
        <f>E19+預測IC!F19</f>
        <v>8.2884690203802305E-2</v>
      </c>
      <c r="G19" s="7">
        <f>F19+預測IC!G19</f>
        <v>-1.4627400357797818E-2</v>
      </c>
      <c r="H19" s="7">
        <f>G19+預測IC!H19</f>
        <v>0.13426672167804948</v>
      </c>
      <c r="I19" s="7">
        <f>H19+預測IC!I19</f>
        <v>0.26892105456951598</v>
      </c>
      <c r="J19" s="7">
        <f>I19+預測IC!J19</f>
        <v>0.304350639089707</v>
      </c>
      <c r="K19" s="7">
        <f>J19+預測IC!K19</f>
        <v>-0.11398721187992722</v>
      </c>
      <c r="L19" s="7">
        <f>K19+預測IC!L19</f>
        <v>-7.093825424476119E-2</v>
      </c>
      <c r="M19" s="7">
        <f>L19+預測IC!M19</f>
        <v>1.5272084781356526E-2</v>
      </c>
      <c r="N19" s="7">
        <f>M19+預測IC!N19</f>
        <v>0.11061997047133743</v>
      </c>
      <c r="O19" s="7">
        <f>N19+預測IC!O19</f>
        <v>0.20284135349079463</v>
      </c>
      <c r="P19" s="7">
        <f>O19+預測IC!P19</f>
        <v>0.11030716730409752</v>
      </c>
      <c r="Q19" s="7">
        <f>P19+預測IC!Q19</f>
        <v>2.8441054567556689E-2</v>
      </c>
      <c r="R19" s="7">
        <f>Q19+預測IC!R19</f>
        <v>-0.1171422182346534</v>
      </c>
      <c r="S19" s="7">
        <f>R19+預測IC!S19</f>
        <v>-0.30130233493226144</v>
      </c>
      <c r="T19" s="7">
        <f>S19+預測IC!T19</f>
        <v>-0.32845661291856054</v>
      </c>
      <c r="U19" s="7">
        <f>T19+預測IC!U19</f>
        <v>-0.46415495155048375</v>
      </c>
      <c r="V19" s="7">
        <f>U19+預測IC!V19</f>
        <v>-0.42753626376503245</v>
      </c>
      <c r="W19" s="7">
        <f>V19+預測IC!W19</f>
        <v>-0.28091527304752234</v>
      </c>
      <c r="X19" s="7">
        <f>W19+預測IC!X19</f>
        <v>-0.16427622778342893</v>
      </c>
      <c r="Y19" s="7">
        <f>X19+預測IC!Y19</f>
        <v>-0.13864759025527243</v>
      </c>
      <c r="Z19" s="7">
        <f>Y19+預測IC!Z19</f>
        <v>-4.7028479679248864E-2</v>
      </c>
      <c r="AA19" s="7">
        <f>Z19+預測IC!AA19</f>
        <v>-8.8598664217404602E-2</v>
      </c>
      <c r="AB19" s="7">
        <f>AA19+預測IC!AB19</f>
        <v>1.3654941666538092E-2</v>
      </c>
      <c r="AC19" s="7">
        <f>AB19+預測IC!AC19</f>
        <v>4.2107776308229414E-2</v>
      </c>
      <c r="AD19" s="7">
        <f>AC19+預測IC!AD19</f>
        <v>7.7196704896179746E-2</v>
      </c>
      <c r="AE19" s="7">
        <f>AD19+預測IC!AE19</f>
        <v>-9.2219356101610056E-2</v>
      </c>
      <c r="AF19" s="7">
        <f>AE19+預測IC!AF19</f>
        <v>-5.3433689292710307E-2</v>
      </c>
      <c r="AG19" s="7">
        <f>AF19+預測IC!AG19</f>
        <v>-3.1297470220162486E-2</v>
      </c>
      <c r="AH19" s="7">
        <f>AG19+預測IC!AH19</f>
        <v>0.17285881694504709</v>
      </c>
      <c r="AI19" s="7">
        <f>AH19+預測IC!AI19</f>
        <v>0.26440747986972157</v>
      </c>
      <c r="AJ19" s="7">
        <f>AI19+預測IC!AJ19</f>
        <v>0.27657467144570208</v>
      </c>
      <c r="AK19" s="7">
        <f>AJ19+預測IC!AK19</f>
        <v>0.32563345607959293</v>
      </c>
      <c r="AL19" s="7">
        <f>AK19+預測IC!AL19</f>
        <v>0.31071884854979454</v>
      </c>
      <c r="AM19" s="7">
        <f>AL19+預測IC!AM19</f>
        <v>0.24959471749594783</v>
      </c>
      <c r="AN19" s="7">
        <f>AM19+預測IC!AN19</f>
        <v>0.33316301186162989</v>
      </c>
      <c r="AO19" s="7">
        <f>AN19+預測IC!AO19</f>
        <v>0.3590559149070443</v>
      </c>
      <c r="AP19" s="7">
        <f>AO19+預測IC!AP19</f>
        <v>0.48388416571406123</v>
      </c>
      <c r="AQ19" s="7">
        <f>AP19+預測IC!AQ19</f>
        <v>0.52625983087326422</v>
      </c>
      <c r="AR19" s="7">
        <f>AQ19+預測IC!AR19</f>
        <v>0.48511531597768842</v>
      </c>
      <c r="AS19" s="7">
        <f>AR19+預測IC!AS19</f>
        <v>0.37591643992462209</v>
      </c>
      <c r="AT19" s="7">
        <f>AS19+預測IC!AT19</f>
        <v>0.56051010373468013</v>
      </c>
      <c r="AU19" s="7">
        <f>AT19+預測IC!AU19</f>
        <v>0.40749547726041946</v>
      </c>
      <c r="AV19" s="7">
        <f>AU19+預測IC!AV19</f>
        <v>0.40446286765781142</v>
      </c>
      <c r="AW19" s="7">
        <f>AV19+預測IC!AW19</f>
        <v>0.42681903581194791</v>
      </c>
      <c r="AX19" s="7">
        <f>AW19+預測IC!AX19</f>
        <v>0.50702545012236078</v>
      </c>
      <c r="AY19" s="7">
        <f>AX19+預測IC!AY19</f>
        <v>0.53655442051574065</v>
      </c>
      <c r="AZ19" s="7">
        <f>AY19+預測IC!AZ19</f>
        <v>0.34967480234756632</v>
      </c>
      <c r="BA19" s="7">
        <f>AZ19+預測IC!BA19</f>
        <v>0.34816578579173124</v>
      </c>
      <c r="BB19" s="7">
        <f>BA19+預測IC!BB19</f>
        <v>0.50791198486416289</v>
      </c>
      <c r="BC19" s="7">
        <f>BB19+預測IC!BC19</f>
        <v>0.57196747121034863</v>
      </c>
      <c r="BD19" s="7">
        <f>BC19+預測IC!BD19</f>
        <v>0.56873307858028044</v>
      </c>
      <c r="BE19" s="7">
        <f>BD19+預測IC!BE19</f>
        <v>0.61986495254394702</v>
      </c>
      <c r="BF19" s="7">
        <f>BE19+預測IC!BF19</f>
        <v>0.47805551758020531</v>
      </c>
      <c r="BG19" s="7">
        <f>BF19+預測IC!BG19</f>
        <v>0.324746766410417</v>
      </c>
      <c r="BH19" s="7">
        <f>BG19+預測IC!BH19</f>
        <v>0.18424986045684369</v>
      </c>
      <c r="BI19" s="7">
        <f>BH19+預測IC!BI19</f>
        <v>0.28553409041605987</v>
      </c>
      <c r="BJ19" s="7">
        <f>BI19+預測IC!BJ19</f>
        <v>0.22662187324360414</v>
      </c>
      <c r="BK19" s="7">
        <f>BJ19+預測IC!BK19</f>
        <v>0.17487234715161176</v>
      </c>
      <c r="BL19" s="7">
        <f>BK19+預測IC!BL19</f>
        <v>0.25483700529811487</v>
      </c>
      <c r="BM19" s="7">
        <f>BL19+預測IC!BM19</f>
        <v>0.36908760555681058</v>
      </c>
      <c r="BN19" s="7">
        <f>BM19+預測IC!BN19</f>
        <v>0.43634025302408236</v>
      </c>
      <c r="BO19" s="7">
        <f>BN19+預測IC!BO19</f>
        <v>0.46206921428919773</v>
      </c>
      <c r="BP19" s="7">
        <f>BO19+預測IC!BP19</f>
        <v>0.52488802182332983</v>
      </c>
      <c r="BQ19" s="7">
        <f>BP19+預測IC!BQ19</f>
        <v>0.53482206627765294</v>
      </c>
      <c r="BR19" s="7">
        <f>BQ19+預測IC!BR19</f>
        <v>0.54149731230117293</v>
      </c>
      <c r="BS19" s="7">
        <f>BR19+預測IC!BS19</f>
        <v>0.51724097355669085</v>
      </c>
      <c r="BT19" s="7">
        <f>BS19+預測IC!BT19</f>
        <v>0.65887365341026427</v>
      </c>
      <c r="BU19" s="7">
        <f>BT19+預測IC!BU19</f>
        <v>0.58293740217602619</v>
      </c>
      <c r="BV19" s="7">
        <f>BU19+預測IC!BV19</f>
        <v>0.67659264332937252</v>
      </c>
      <c r="BW19" s="7">
        <f>BV19+預測IC!BW19</f>
        <v>0.56762568194572749</v>
      </c>
      <c r="BX19" s="7">
        <f>BW19+預測IC!BX19</f>
        <v>0.60171346721758578</v>
      </c>
      <c r="BY19" s="7">
        <f>BX19+預測IC!BY19</f>
        <v>0.49406373066193759</v>
      </c>
      <c r="BZ19" s="7">
        <f>BY19+預測IC!BZ19</f>
        <v>0.49748875883640931</v>
      </c>
      <c r="CA19" s="7">
        <f>BZ19+預測IC!CA19</f>
        <v>0.55370390266965241</v>
      </c>
      <c r="CB19" s="7">
        <f>CA19+預測IC!CB19</f>
        <v>0.63268071028817796</v>
      </c>
      <c r="CC19" s="7">
        <f>CB19+預測IC!CC19</f>
        <v>0.60795745752235053</v>
      </c>
      <c r="CD19" s="7">
        <f>CC19+預測IC!CD19</f>
        <v>0.82357665561606841</v>
      </c>
      <c r="CE19" s="7">
        <f>CD19+預測IC!CE19</f>
        <v>0.62531082643910918</v>
      </c>
      <c r="CF19" s="7">
        <f>CE19+預測IC!CF19</f>
        <v>0.70436235140992354</v>
      </c>
      <c r="CG19" s="7">
        <f>CF19+預測IC!CG19</f>
        <v>0.64724472654296639</v>
      </c>
      <c r="CH19" s="7">
        <f>CG19+預測IC!CH19</f>
        <v>0.60452968280023223</v>
      </c>
      <c r="CI19" s="7">
        <f>CH19+預測IC!CI19</f>
        <v>0.49379547504652782</v>
      </c>
      <c r="CJ19" s="7">
        <f>CI19+預測IC!CJ19</f>
        <v>0.43185497508049164</v>
      </c>
      <c r="CK19" s="7">
        <f>CJ19+預測IC!CK19</f>
        <v>0.53582269289758988</v>
      </c>
      <c r="CL19" s="7">
        <f>CK19+預測IC!CL19</f>
        <v>0.49258241292279997</v>
      </c>
      <c r="CM19" s="7">
        <f>CL19+預測IC!CM19</f>
        <v>0.3823465341854323</v>
      </c>
      <c r="CN19" s="7">
        <f>CM19+預測IC!CN19</f>
        <v>0.30541387951812882</v>
      </c>
      <c r="CO19" s="7">
        <f>CN19+預測IC!CO19</f>
        <v>0.13926732174284823</v>
      </c>
      <c r="CP19" s="7">
        <f>CO19+預測IC!CP19</f>
        <v>0.27668204650068412</v>
      </c>
      <c r="CQ19" s="7">
        <f>CP19+預測IC!CQ19</f>
        <v>0.30907665401710277</v>
      </c>
      <c r="CR19" s="7">
        <f>CQ19+預測IC!CR19</f>
        <v>0.48538337826329481</v>
      </c>
      <c r="CS19" s="7">
        <f>CR19+預測IC!CS19</f>
        <v>0.43113292871496128</v>
      </c>
      <c r="CT19" s="7">
        <f>CS19+預測IC!CT19</f>
        <v>0.45755413000322021</v>
      </c>
      <c r="CU19" s="7">
        <f>CT19+預測IC!CU19</f>
        <v>0.31094658674228121</v>
      </c>
      <c r="CV19" s="7">
        <f>CU19+預測IC!CV19</f>
        <v>0.40549959471366015</v>
      </c>
      <c r="CW19" s="7">
        <f>CV19+預測IC!CW19</f>
        <v>0.37330746132584458</v>
      </c>
      <c r="CX19" s="7">
        <f>CW19+預測IC!CX19</f>
        <v>0.22515717052133968</v>
      </c>
      <c r="CY19" s="7">
        <f>CX19+預測IC!CY19</f>
        <v>0.33304928997853067</v>
      </c>
      <c r="CZ19" s="7">
        <f>CY19+預測IC!CZ19</f>
        <v>0.27555002689001873</v>
      </c>
      <c r="DA19" s="7">
        <f>CZ19+預測IC!DA19</f>
        <v>0.39524642510186736</v>
      </c>
      <c r="DB19" s="7">
        <f>DA19+預測IC!DB19</f>
        <v>0.68138487900317379</v>
      </c>
      <c r="DC19" s="7">
        <f>DB19+預測IC!DC19</f>
        <v>0.61579729426527696</v>
      </c>
      <c r="DD19" s="7">
        <f>DC19+預測IC!DD19</f>
        <v>0.609596169010448</v>
      </c>
      <c r="DE19" s="7">
        <f>DD19+預測IC!DE19</f>
        <v>0.57657775435465597</v>
      </c>
      <c r="DF19" s="7">
        <f>DE19+預測IC!DF19</f>
        <v>0.55528141192748903</v>
      </c>
      <c r="DG19" s="7">
        <f>DF19+預測IC!DG19</f>
        <v>0.48890714693305271</v>
      </c>
      <c r="DH19" s="7">
        <f>DG19+預測IC!DH19</f>
        <v>0.53212775241630417</v>
      </c>
      <c r="DI19" s="7">
        <f>DH19+預測IC!DI19</f>
        <v>0.59077478542757267</v>
      </c>
      <c r="DJ19" s="7">
        <f>DI19+預測IC!DJ19</f>
        <v>0.75602525438664459</v>
      </c>
      <c r="DK19" s="7">
        <f>DJ19+預測IC!DK19</f>
        <v>0.74004096481198067</v>
      </c>
      <c r="DL19" s="7">
        <f>DK19+預測IC!DL19</f>
        <v>0.72805817890300684</v>
      </c>
      <c r="DM19" s="7">
        <f>DL19+預測IC!DM19</f>
        <v>0.77415608138863456</v>
      </c>
      <c r="DN19" s="7">
        <f>DM19+預測IC!DN19</f>
        <v>0.94808438311718291</v>
      </c>
      <c r="DO19" s="7">
        <f>DN19+預測IC!DO19</f>
        <v>1.1973463348269271</v>
      </c>
      <c r="DP19" s="7">
        <f>DO19+預測IC!DP19</f>
        <v>1.193343873895635</v>
      </c>
      <c r="DQ19" s="7">
        <f>DP19+預測IC!DQ19</f>
        <v>1.1427207024459021</v>
      </c>
      <c r="DR19" s="7">
        <f>DQ19+預測IC!DR19</f>
        <v>1.2186830557709503</v>
      </c>
      <c r="DS19" s="7">
        <f>DR19+預測IC!DS19</f>
        <v>1.04068750881698</v>
      </c>
      <c r="DT19" s="7">
        <f>DS19+預測IC!DT19</f>
        <v>1.035654262296875</v>
      </c>
      <c r="DU19" s="7">
        <f>DT19+預測IC!DU19</f>
        <v>0.84113482283389573</v>
      </c>
      <c r="DV19" s="7">
        <f>DU19+預測IC!DV19</f>
        <v>0.91272820943129784</v>
      </c>
      <c r="DW19" s="7">
        <f>DV19+預測IC!DW19</f>
        <v>0.85588422110983686</v>
      </c>
      <c r="DX19" s="7">
        <f>DW19+預測IC!DX19</f>
        <v>0.9504984144673746</v>
      </c>
      <c r="DY19" s="7">
        <f>DX19+預測IC!DY19</f>
        <v>1.1026178240718614</v>
      </c>
      <c r="DZ19" s="7">
        <f>DY19+預測IC!DZ19</f>
        <v>1.0229742559334263</v>
      </c>
      <c r="EA19" s="7">
        <f>DZ19+預測IC!EA19</f>
        <v>1.2560200862387068</v>
      </c>
      <c r="EB19" s="7">
        <f>EA19+預測IC!EB19</f>
        <v>1.1497742282132621</v>
      </c>
      <c r="EC19" s="7">
        <f>EB19+預測IC!EC19</f>
        <v>1.0060000253882531</v>
      </c>
      <c r="ED19" s="7">
        <f>EC19+預測IC!ED19</f>
        <v>0.91984047459007867</v>
      </c>
      <c r="EE19" s="7">
        <f>ED19+預測IC!EE19</f>
        <v>0.92714700126720639</v>
      </c>
      <c r="EF19" s="7">
        <f>EE19+預測IC!EF19</f>
        <v>0.94412495614197556</v>
      </c>
    </row>
    <row r="20" spans="1:136" x14ac:dyDescent="0.3">
      <c r="A20" s="1">
        <v>192</v>
      </c>
      <c r="B20" s="1">
        <v>5</v>
      </c>
      <c r="C20" s="7">
        <v>0.2015510478639157</v>
      </c>
      <c r="D20" s="7">
        <f>C20+預測IC!D20</f>
        <v>0.20190276612766125</v>
      </c>
      <c r="E20" s="7">
        <f>D20+預測IC!E20</f>
        <v>0.21740275427199524</v>
      </c>
      <c r="F20" s="7">
        <f>E20+預測IC!F20</f>
        <v>0.12618433209994928</v>
      </c>
      <c r="G20" s="7">
        <f>F20+預測IC!G20</f>
        <v>2.5818420181085378E-2</v>
      </c>
      <c r="H20" s="7">
        <f>G20+預測IC!H20</f>
        <v>0.19019041830975528</v>
      </c>
      <c r="I20" s="7">
        <f>H20+預測IC!I20</f>
        <v>0.34833998091085694</v>
      </c>
      <c r="J20" s="7">
        <f>I20+預測IC!J20</f>
        <v>0.38281123963771319</v>
      </c>
      <c r="K20" s="7">
        <f>J20+預測IC!K20</f>
        <v>0.29270258551503919</v>
      </c>
      <c r="L20" s="7">
        <f>K20+預測IC!L20</f>
        <v>0.38841122101957493</v>
      </c>
      <c r="M20" s="7">
        <f>L20+預測IC!M20</f>
        <v>0.48854463538366094</v>
      </c>
      <c r="N20" s="7">
        <f>M20+預測IC!N20</f>
        <v>0.59046956442930087</v>
      </c>
      <c r="O20" s="7">
        <f>N20+預測IC!O20</f>
        <v>0.6895710485737746</v>
      </c>
      <c r="P20" s="7">
        <f>O20+預測IC!P20</f>
        <v>0.59840112090524933</v>
      </c>
      <c r="Q20" s="7">
        <f>P20+預測IC!Q20</f>
        <v>0.49135579945452124</v>
      </c>
      <c r="R20" s="7">
        <f>Q20+預測IC!R20</f>
        <v>0.30041333246500734</v>
      </c>
      <c r="S20" s="7">
        <f>R20+預測IC!S20</f>
        <v>0.14523071413726474</v>
      </c>
      <c r="T20" s="7">
        <f>S20+預測IC!T20</f>
        <v>0.1608936246565241</v>
      </c>
      <c r="U20" s="7">
        <f>T20+預測IC!U20</f>
        <v>1.2243944538749191E-2</v>
      </c>
      <c r="V20" s="7">
        <f>U20+預測IC!V20</f>
        <v>2.488804765593813E-2</v>
      </c>
      <c r="W20" s="7">
        <f>V20+預測IC!W20</f>
        <v>0.19797342383351904</v>
      </c>
      <c r="X20" s="7">
        <f>W20+預測IC!X20</f>
        <v>0.34667062509065261</v>
      </c>
      <c r="Y20" s="7">
        <f>X20+預測IC!Y20</f>
        <v>0.38873811462924984</v>
      </c>
      <c r="Z20" s="7">
        <f>Y20+預測IC!Z20</f>
        <v>0.49435507511290916</v>
      </c>
      <c r="AA20" s="7">
        <f>Z20+預測IC!AA20</f>
        <v>0.47276052172561206</v>
      </c>
      <c r="AB20" s="7">
        <f>AA20+預測IC!AB20</f>
        <v>0.55752036245178527</v>
      </c>
      <c r="AC20" s="7">
        <f>AB20+預測IC!AC20</f>
        <v>0.61396370809230483</v>
      </c>
      <c r="AD20" s="7">
        <f>AC20+預測IC!AD20</f>
        <v>0.64841761094413453</v>
      </c>
      <c r="AE20" s="7">
        <f>AD20+預測IC!AE20</f>
        <v>0.44912474660503665</v>
      </c>
      <c r="AF20" s="7">
        <f>AE20+預測IC!AF20</f>
        <v>0.48816942499261662</v>
      </c>
      <c r="AG20" s="7">
        <f>AF20+預測IC!AG20</f>
        <v>0.5158286435325089</v>
      </c>
      <c r="AH20" s="7">
        <f>AG20+預測IC!AH20</f>
        <v>0.7324710961808697</v>
      </c>
      <c r="AI20" s="7">
        <f>AH20+預測IC!AI20</f>
        <v>0.84880785123619329</v>
      </c>
      <c r="AJ20" s="7">
        <f>AI20+預測IC!AJ20</f>
        <v>0.86604956695229451</v>
      </c>
      <c r="AK20" s="7">
        <f>AJ20+預測IC!AK20</f>
        <v>0.93301592809493983</v>
      </c>
      <c r="AL20" s="7">
        <f>AK20+預測IC!AL20</f>
        <v>0.91223566298634506</v>
      </c>
      <c r="AM20" s="7">
        <f>AL20+預測IC!AM20</f>
        <v>0.84470580319801791</v>
      </c>
      <c r="AN20" s="7">
        <f>AM20+預測IC!AN20</f>
        <v>0.92017599671701622</v>
      </c>
      <c r="AO20" s="7">
        <f>AN20+預測IC!AO20</f>
        <v>0.96546107868170461</v>
      </c>
      <c r="AP20" s="7">
        <f>AO20+預測IC!AP20</f>
        <v>1.1051813369213648</v>
      </c>
      <c r="AQ20" s="7">
        <f>AP20+預測IC!AQ20</f>
        <v>1.1384895680169091</v>
      </c>
      <c r="AR20" s="7">
        <f>AQ20+預測IC!AR20</f>
        <v>1.1087505681666081</v>
      </c>
      <c r="AS20" s="7">
        <f>AR20+預測IC!AS20</f>
        <v>1.0664588517176321</v>
      </c>
      <c r="AT20" s="7">
        <f>AS20+預測IC!AT20</f>
        <v>1.3055825991627026</v>
      </c>
      <c r="AU20" s="7">
        <f>AT20+預測IC!AU20</f>
        <v>1.1625099582355372</v>
      </c>
      <c r="AV20" s="7">
        <f>AU20+預測IC!AV20</f>
        <v>1.1302633454487738</v>
      </c>
      <c r="AW20" s="7">
        <f>AV20+預測IC!AW20</f>
        <v>1.1371286136279248</v>
      </c>
      <c r="AX20" s="7">
        <f>AW20+預測IC!AX20</f>
        <v>1.2478611616266264</v>
      </c>
      <c r="AY20" s="7">
        <f>AX20+預測IC!AY20</f>
        <v>1.2865358600695358</v>
      </c>
      <c r="AZ20" s="7">
        <f>AY20+預測IC!AZ20</f>
        <v>1.072733428892447</v>
      </c>
      <c r="BA20" s="7">
        <f>AZ20+預測IC!BA20</f>
        <v>0.97065585857166781</v>
      </c>
      <c r="BB20" s="7">
        <f>BA20+預測IC!BB20</f>
        <v>1.1383112819482371</v>
      </c>
      <c r="BC20" s="7">
        <f>BB20+預測IC!BC20</f>
        <v>1.2089168496259772</v>
      </c>
      <c r="BD20" s="7">
        <f>BC20+預測IC!BD20</f>
        <v>1.1554870364043799</v>
      </c>
      <c r="BE20" s="7">
        <f>BD20+預測IC!BE20</f>
        <v>1.1495402392651195</v>
      </c>
      <c r="BF20" s="7">
        <f>BE20+預測IC!BF20</f>
        <v>1.0115689761961442</v>
      </c>
      <c r="BG20" s="7">
        <f>BF20+預測IC!BG20</f>
        <v>0.91750692058780392</v>
      </c>
      <c r="BH20" s="7">
        <f>BG20+預測IC!BH20</f>
        <v>0.76744962002434947</v>
      </c>
      <c r="BI20" s="7">
        <f>BH20+預測IC!BI20</f>
        <v>0.88170528575887297</v>
      </c>
      <c r="BJ20" s="7">
        <f>BI20+預測IC!BJ20</f>
        <v>0.83256550194759893</v>
      </c>
      <c r="BK20" s="7">
        <f>BJ20+預測IC!BK20</f>
        <v>0.77333233410477165</v>
      </c>
      <c r="BL20" s="7">
        <f>BK20+預測IC!BL20</f>
        <v>0.85962456528122644</v>
      </c>
      <c r="BM20" s="7">
        <f>BL20+預測IC!BM20</f>
        <v>0.99654222660966474</v>
      </c>
      <c r="BN20" s="7">
        <f>BM20+預測IC!BN20</f>
        <v>1.1150994680550361</v>
      </c>
      <c r="BO20" s="7">
        <f>BN20+預測IC!BO20</f>
        <v>1.076637750539057</v>
      </c>
      <c r="BP20" s="7">
        <f>BO20+預測IC!BP20</f>
        <v>1.1370452713020121</v>
      </c>
      <c r="BQ20" s="7">
        <f>BP20+預測IC!BQ20</f>
        <v>1.1524969782628551</v>
      </c>
      <c r="BR20" s="7">
        <f>BQ20+預測IC!BR20</f>
        <v>1.1645706099933277</v>
      </c>
      <c r="BS20" s="7">
        <f>BR20+預測IC!BS20</f>
        <v>1.1699781161845189</v>
      </c>
      <c r="BT20" s="7">
        <f>BS20+預測IC!BT20</f>
        <v>1.3177811493631661</v>
      </c>
      <c r="BU20" s="7">
        <f>BT20+預測IC!BU20</f>
        <v>1.2190261999954595</v>
      </c>
      <c r="BV20" s="7">
        <f>BU20+預測IC!BV20</f>
        <v>1.3349445315585315</v>
      </c>
      <c r="BW20" s="7">
        <f>BV20+預測IC!BW20</f>
        <v>1.1994412797460554</v>
      </c>
      <c r="BX20" s="7">
        <f>BW20+預測IC!BX20</f>
        <v>1.2301349164292996</v>
      </c>
      <c r="BY20" s="7">
        <f>BX20+預測IC!BY20</f>
        <v>1.1249009500599962</v>
      </c>
      <c r="BZ20" s="7">
        <f>BY20+預測IC!BZ20</f>
        <v>1.1306210081816948</v>
      </c>
      <c r="CA20" s="7">
        <f>BZ20+預測IC!CA20</f>
        <v>1.1063724734422689</v>
      </c>
      <c r="CB20" s="7">
        <f>CA20+預測IC!CB20</f>
        <v>1.1062647183412404</v>
      </c>
      <c r="CC20" s="7">
        <f>CB20+預測IC!CC20</f>
        <v>1.0802216845581754</v>
      </c>
      <c r="CD20" s="7">
        <f>CC20+預測IC!CD20</f>
        <v>1.2612491820487723</v>
      </c>
      <c r="CE20" s="7">
        <f>CD20+預測IC!CE20</f>
        <v>1.0172853865790392</v>
      </c>
      <c r="CF20" s="7">
        <f>CE20+預測IC!CF20</f>
        <v>1.123070275855131</v>
      </c>
      <c r="CG20" s="7">
        <f>CF20+預測IC!CG20</f>
        <v>1.047100035112023</v>
      </c>
      <c r="CH20" s="7">
        <f>CG20+預測IC!CH20</f>
        <v>1.02490480608789</v>
      </c>
      <c r="CI20" s="7">
        <f>CH20+預測IC!CI20</f>
        <v>0.9396966036528146</v>
      </c>
      <c r="CJ20" s="7">
        <f>CI20+預測IC!CJ20</f>
        <v>0.81625628376546355</v>
      </c>
      <c r="CK20" s="7">
        <f>CJ20+預測IC!CK20</f>
        <v>0.90723468051557021</v>
      </c>
      <c r="CL20" s="7">
        <f>CK20+預測IC!CL20</f>
        <v>0.81504974632644123</v>
      </c>
      <c r="CM20" s="7">
        <f>CL20+預測IC!CM20</f>
        <v>0.71827394047720339</v>
      </c>
      <c r="CN20" s="7">
        <f>CM20+預測IC!CN20</f>
        <v>0.74043335184768799</v>
      </c>
      <c r="CO20" s="7">
        <f>CN20+預測IC!CO20</f>
        <v>0.51191514866614696</v>
      </c>
      <c r="CP20" s="7">
        <f>CO20+預測IC!CP20</f>
        <v>0.66857590386132992</v>
      </c>
      <c r="CQ20" s="7">
        <f>CP20+預測IC!CQ20</f>
        <v>0.69169394916161298</v>
      </c>
      <c r="CR20" s="7">
        <f>CQ20+預測IC!CR20</f>
        <v>0.88718005964655511</v>
      </c>
      <c r="CS20" s="7">
        <f>CR20+預測IC!CS20</f>
        <v>0.79004296091223303</v>
      </c>
      <c r="CT20" s="7">
        <f>CS20+預測IC!CT20</f>
        <v>0.8184573683088211</v>
      </c>
      <c r="CU20" s="7">
        <f>CT20+預測IC!CU20</f>
        <v>0.67172935923719423</v>
      </c>
      <c r="CV20" s="7">
        <f>CU20+預測IC!CV20</f>
        <v>0.79094348744987897</v>
      </c>
      <c r="CW20" s="7">
        <f>CV20+預測IC!CW20</f>
        <v>0.7651270848784022</v>
      </c>
      <c r="CX20" s="7">
        <f>CW20+預測IC!CX20</f>
        <v>0.61997289687853552</v>
      </c>
      <c r="CY20" s="7">
        <f>CX20+預測IC!CY20</f>
        <v>0.72093955399035903</v>
      </c>
      <c r="CZ20" s="7">
        <f>CY20+預測IC!CZ20</f>
        <v>0.7078769201280285</v>
      </c>
      <c r="DA20" s="7">
        <f>CZ20+預測IC!DA20</f>
        <v>0.93249638104106136</v>
      </c>
      <c r="DB20" s="7">
        <f>DA20+預測IC!DB20</f>
        <v>1.314986301307453</v>
      </c>
      <c r="DC20" s="7">
        <f>DB20+預測IC!DC20</f>
        <v>1.2776539901690522</v>
      </c>
      <c r="DD20" s="7">
        <f>DC20+預測IC!DD20</f>
        <v>1.274056805412102</v>
      </c>
      <c r="DE20" s="7">
        <f>DD20+預測IC!DE20</f>
        <v>1.2636380838052492</v>
      </c>
      <c r="DF20" s="7">
        <f>DE20+預測IC!DF20</f>
        <v>1.2181381253144508</v>
      </c>
      <c r="DG20" s="7">
        <f>DF20+預測IC!DG20</f>
        <v>1.1657933120146318</v>
      </c>
      <c r="DH20" s="7">
        <f>DG20+預測IC!DH20</f>
        <v>1.2138517242001348</v>
      </c>
      <c r="DI20" s="7">
        <f>DH20+預測IC!DI20</f>
        <v>1.2881000597922281</v>
      </c>
      <c r="DJ20" s="7">
        <f>DI20+預測IC!DJ20</f>
        <v>1.4246581522249255</v>
      </c>
      <c r="DK20" s="7">
        <f>DJ20+預測IC!DK20</f>
        <v>1.4038924937369308</v>
      </c>
      <c r="DL20" s="7">
        <f>DK20+預測IC!DL20</f>
        <v>1.384427120403311</v>
      </c>
      <c r="DM20" s="7">
        <f>DL20+預測IC!DM20</f>
        <v>1.3415623462949651</v>
      </c>
      <c r="DN20" s="7">
        <f>DM20+預測IC!DN20</f>
        <v>1.5247970799161339</v>
      </c>
      <c r="DO20" s="7">
        <f>DN20+預測IC!DO20</f>
        <v>1.7827984433751454</v>
      </c>
      <c r="DP20" s="7">
        <f>DO20+預測IC!DP20</f>
        <v>1.7611271816100409</v>
      </c>
      <c r="DQ20" s="7">
        <f>DP20+預測IC!DQ20</f>
        <v>1.7225868705256724</v>
      </c>
      <c r="DR20" s="7">
        <f>DQ20+預測IC!DR20</f>
        <v>1.8010995305539628</v>
      </c>
      <c r="DS20" s="7">
        <f>DR20+預測IC!DS20</f>
        <v>1.5950184329756081</v>
      </c>
      <c r="DT20" s="7">
        <f>DS20+預測IC!DT20</f>
        <v>1.6247037717744506</v>
      </c>
      <c r="DU20" s="7">
        <f>DT20+預測IC!DU20</f>
        <v>1.3520594439325051</v>
      </c>
      <c r="DV20" s="7">
        <f>DU20+預測IC!DV20</f>
        <v>1.4541016251149803</v>
      </c>
      <c r="DW20" s="7">
        <f>DV20+預測IC!DW20</f>
        <v>1.391816233202769</v>
      </c>
      <c r="DX20" s="7">
        <f>DW20+預測IC!DX20</f>
        <v>1.4896674514074943</v>
      </c>
      <c r="DY20" s="7">
        <f>DX20+預測IC!DY20</f>
        <v>1.6770692814466877</v>
      </c>
      <c r="DZ20" s="7">
        <f>DY20+預測IC!DZ20</f>
        <v>1.6951844079590703</v>
      </c>
      <c r="EA20" s="7">
        <f>DZ20+預測IC!EA20</f>
        <v>1.9888743919232417</v>
      </c>
      <c r="EB20" s="7">
        <f>EA20+預測IC!EB20</f>
        <v>1.8825621250729545</v>
      </c>
      <c r="EC20" s="7">
        <f>EB20+預測IC!EC20</f>
        <v>1.751555979310887</v>
      </c>
      <c r="ED20" s="7">
        <f>EC20+預測IC!ED20</f>
        <v>1.6769303213135596</v>
      </c>
      <c r="EE20" s="7">
        <f>ED20+預測IC!EE20</f>
        <v>1.6786713010654142</v>
      </c>
      <c r="EF20" s="7">
        <f>EE20+預測IC!EF20</f>
        <v>1.6989527176813215</v>
      </c>
    </row>
    <row r="21" spans="1:136" x14ac:dyDescent="0.3">
      <c r="A21" s="1">
        <v>241</v>
      </c>
      <c r="B21" s="1">
        <v>4</v>
      </c>
      <c r="C21" s="7">
        <v>0.21462957980695321</v>
      </c>
      <c r="D21" s="7">
        <f>C21+預測IC!D21</f>
        <v>0.21426187041179401</v>
      </c>
      <c r="E21" s="7">
        <f>D21+預測IC!E21</f>
        <v>0.21398251814100216</v>
      </c>
      <c r="F21" s="7">
        <f>E21+預測IC!F21</f>
        <v>0.16288503429459394</v>
      </c>
      <c r="G21" s="7">
        <f>F21+預測IC!G21</f>
        <v>0.15558889626674249</v>
      </c>
      <c r="H21" s="7">
        <f>G21+預測IC!H21</f>
        <v>0.3542569572465083</v>
      </c>
      <c r="I21" s="7">
        <f>H21+預測IC!I21</f>
        <v>0.50151256537398126</v>
      </c>
      <c r="J21" s="7">
        <f>I21+預測IC!J21</f>
        <v>0.56194789106562359</v>
      </c>
      <c r="K21" s="7">
        <f>J21+預測IC!K21</f>
        <v>0.47297487371160152</v>
      </c>
      <c r="L21" s="7">
        <f>K21+預測IC!L21</f>
        <v>0.58265448116583141</v>
      </c>
      <c r="M21" s="7">
        <f>L21+預測IC!M21</f>
        <v>0.65831513109259188</v>
      </c>
      <c r="N21" s="7">
        <f>M21+預測IC!N21</f>
        <v>0.75790254321553341</v>
      </c>
      <c r="O21" s="7">
        <f>N21+預測IC!O21</f>
        <v>0.88768500174588694</v>
      </c>
      <c r="P21" s="7">
        <f>O21+預測IC!P21</f>
        <v>0.74291240085620203</v>
      </c>
      <c r="Q21" s="7">
        <f>P21+預測IC!Q21</f>
        <v>0.66171703184022868</v>
      </c>
      <c r="R21" s="7">
        <f>Q21+預測IC!R21</f>
        <v>0.51902494111690733</v>
      </c>
      <c r="S21" s="7">
        <f>R21+預測IC!S21</f>
        <v>0.39043465566695035</v>
      </c>
      <c r="T21" s="7">
        <f>S21+預測IC!T21</f>
        <v>0.3763942913267454</v>
      </c>
      <c r="U21" s="7">
        <f>T21+預測IC!U21</f>
        <v>0.29011587371498737</v>
      </c>
      <c r="V21" s="7">
        <f>U21+預測IC!V21</f>
        <v>0.34367349308101858</v>
      </c>
      <c r="W21" s="7">
        <f>V21+預測IC!W21</f>
        <v>0.50146197269648118</v>
      </c>
      <c r="X21" s="7">
        <f>W21+預測IC!X21</f>
        <v>0.69879915128012793</v>
      </c>
      <c r="Y21" s="7">
        <f>X21+預測IC!Y21</f>
        <v>0.71963223417256272</v>
      </c>
      <c r="Z21" s="7">
        <f>Y21+預測IC!Z21</f>
        <v>0.83383622139528724</v>
      </c>
      <c r="AA21" s="7">
        <f>Z21+預測IC!AA21</f>
        <v>0.85332726493538114</v>
      </c>
      <c r="AB21" s="7">
        <f>AA21+預測IC!AB21</f>
        <v>0.98316684733245097</v>
      </c>
      <c r="AC21" s="7">
        <f>AB21+預測IC!AC21</f>
        <v>1.0574679771244733</v>
      </c>
      <c r="AD21" s="7">
        <f>AC21+預測IC!AD21</f>
        <v>1.1041654016772189</v>
      </c>
      <c r="AE21" s="7">
        <f>AD21+預測IC!AE21</f>
        <v>0.86370929118403217</v>
      </c>
      <c r="AF21" s="7">
        <f>AE21+預測IC!AF21</f>
        <v>0.91683490107059518</v>
      </c>
      <c r="AG21" s="7">
        <f>AF21+預測IC!AG21</f>
        <v>0.96113767886038926</v>
      </c>
      <c r="AH21" s="7">
        <f>AG21+預測IC!AH21</f>
        <v>1.2014889345191562</v>
      </c>
      <c r="AI21" s="7">
        <f>AH21+預測IC!AI21</f>
        <v>1.30361261003064</v>
      </c>
      <c r="AJ21" s="7">
        <f>AI21+預測IC!AJ21</f>
        <v>1.308798535676341</v>
      </c>
      <c r="AK21" s="7">
        <f>AJ21+預測IC!AK21</f>
        <v>1.4137871458286344</v>
      </c>
      <c r="AL21" s="7">
        <f>AK21+預測IC!AL21</f>
        <v>1.3763956596938802</v>
      </c>
      <c r="AM21" s="7">
        <f>AL21+預測IC!AM21</f>
        <v>1.4395213777013638</v>
      </c>
      <c r="AN21" s="7">
        <f>AM21+預測IC!AN21</f>
        <v>1.5514774337644581</v>
      </c>
      <c r="AO21" s="7">
        <f>AN21+預測IC!AO21</f>
        <v>1.5992038294081847</v>
      </c>
      <c r="AP21" s="7">
        <f>AO21+預測IC!AP21</f>
        <v>1.7873050351785038</v>
      </c>
      <c r="AQ21" s="7">
        <f>AP21+預測IC!AQ21</f>
        <v>1.8243412236290786</v>
      </c>
      <c r="AR21" s="7">
        <f>AQ21+預測IC!AR21</f>
        <v>1.7901433229982544</v>
      </c>
      <c r="AS21" s="7">
        <f>AR21+預測IC!AS21</f>
        <v>1.7447366409382463</v>
      </c>
      <c r="AT21" s="7">
        <f>AS21+預測IC!AT21</f>
        <v>2.0095748984862434</v>
      </c>
      <c r="AU21" s="7">
        <f>AT21+預測IC!AU21</f>
        <v>1.9461195688729633</v>
      </c>
      <c r="AV21" s="7">
        <f>AU21+預測IC!AV21</f>
        <v>1.8774056561764838</v>
      </c>
      <c r="AW21" s="7">
        <f>AV21+預測IC!AW21</f>
        <v>1.8871966861305811</v>
      </c>
      <c r="AX21" s="7">
        <f>AW21+預測IC!AX21</f>
        <v>2.0303443736003377</v>
      </c>
      <c r="AY21" s="7">
        <f>AX21+預測IC!AY21</f>
        <v>2.0773656645783758</v>
      </c>
      <c r="AZ21" s="7">
        <f>AY21+預測IC!AZ21</f>
        <v>1.8224543946812393</v>
      </c>
      <c r="BA21" s="7">
        <f>AZ21+預測IC!BA21</f>
        <v>1.803161187045532</v>
      </c>
      <c r="BB21" s="7">
        <f>BA21+預測IC!BB21</f>
        <v>2.0285073220838701</v>
      </c>
      <c r="BC21" s="7">
        <f>BB21+預測IC!BC21</f>
        <v>2.0668284698090638</v>
      </c>
      <c r="BD21" s="7">
        <f>BC21+預測IC!BD21</f>
        <v>2.0450776064384359</v>
      </c>
      <c r="BE21" s="7">
        <f>BD21+預測IC!BE21</f>
        <v>2.0514281398358376</v>
      </c>
      <c r="BF21" s="7">
        <f>BE21+預測IC!BF21</f>
        <v>1.8523109234052344</v>
      </c>
      <c r="BG21" s="7">
        <f>BF21+預測IC!BG21</f>
        <v>1.7600253518979807</v>
      </c>
      <c r="BH21" s="7">
        <f>BG21+預測IC!BH21</f>
        <v>1.6531832422605506</v>
      </c>
      <c r="BI21" s="7">
        <f>BH21+預測IC!BI21</f>
        <v>1.8070578883528072</v>
      </c>
      <c r="BJ21" s="7">
        <f>BI21+預測IC!BJ21</f>
        <v>1.7750753739418152</v>
      </c>
      <c r="BK21" s="7">
        <f>BJ21+預測IC!BK21</f>
        <v>1.7066254935622804</v>
      </c>
      <c r="BL21" s="7">
        <f>BK21+預測IC!BL21</f>
        <v>1.8493465862086302</v>
      </c>
      <c r="BM21" s="7">
        <f>BL21+預測IC!BM21</f>
        <v>2.0044665901297298</v>
      </c>
      <c r="BN21" s="7">
        <f>BM21+預測IC!BN21</f>
        <v>2.0681145381219777</v>
      </c>
      <c r="BO21" s="7">
        <f>BN21+預測IC!BO21</f>
        <v>2.0042573017082974</v>
      </c>
      <c r="BP21" s="7">
        <f>BO21+預測IC!BP21</f>
        <v>2.1087664311277119</v>
      </c>
      <c r="BQ21" s="7">
        <f>BP21+預測IC!BQ21</f>
        <v>2.1633086619622168</v>
      </c>
      <c r="BR21" s="7">
        <f>BQ21+預測IC!BR21</f>
        <v>2.1756325241460814</v>
      </c>
      <c r="BS21" s="7">
        <f>BR21+預測IC!BS21</f>
        <v>2.1814926969012576</v>
      </c>
      <c r="BT21" s="7">
        <f>BS21+預測IC!BT21</f>
        <v>2.3137373908757004</v>
      </c>
      <c r="BU21" s="7">
        <f>BT21+預測IC!BU21</f>
        <v>2.1782409286771314</v>
      </c>
      <c r="BV21" s="7">
        <f>BU21+預測IC!BV21</f>
        <v>2.3203839288625847</v>
      </c>
      <c r="BW21" s="7">
        <f>BV21+預測IC!BW21</f>
        <v>2.1737047319268537</v>
      </c>
      <c r="BX21" s="7">
        <f>BW21+預測IC!BX21</f>
        <v>2.1707139126424395</v>
      </c>
      <c r="BY21" s="7">
        <f>BX21+預測IC!BY21</f>
        <v>2.1203340614243231</v>
      </c>
      <c r="BZ21" s="7">
        <f>BY21+預測IC!BZ21</f>
        <v>2.0688358574098733</v>
      </c>
      <c r="CA21" s="7">
        <f>BZ21+預測IC!CA21</f>
        <v>2.0307569179346068</v>
      </c>
      <c r="CB21" s="7">
        <f>CA21+預測IC!CB21</f>
        <v>2.1042230173395358</v>
      </c>
      <c r="CC21" s="7">
        <f>CB21+預測IC!CC21</f>
        <v>2.0575294678705727</v>
      </c>
      <c r="CD21" s="7">
        <f>CC21+預測IC!CD21</f>
        <v>2.3455855322330459</v>
      </c>
      <c r="CE21" s="7">
        <f>CD21+預測IC!CE21</f>
        <v>1.9505095897680005</v>
      </c>
      <c r="CF21" s="7">
        <f>CE21+預測IC!CF21</f>
        <v>2.0650357473791687</v>
      </c>
      <c r="CG21" s="7">
        <f>CF21+預測IC!CG21</f>
        <v>1.9799504119050377</v>
      </c>
      <c r="CH21" s="7">
        <f>CG21+預測IC!CH21</f>
        <v>1.8233239712780691</v>
      </c>
      <c r="CI21" s="7">
        <f>CH21+預測IC!CI21</f>
        <v>1.7501412442030704</v>
      </c>
      <c r="CJ21" s="7">
        <f>CI21+預測IC!CJ21</f>
        <v>1.6645134871865681</v>
      </c>
      <c r="CK21" s="7">
        <f>CJ21+預測IC!CK21</f>
        <v>1.7915640339167023</v>
      </c>
      <c r="CL21" s="7">
        <f>CK21+預測IC!CL21</f>
        <v>1.6576736092937376</v>
      </c>
      <c r="CM21" s="7">
        <f>CL21+預測IC!CM21</f>
        <v>1.5414417901131785</v>
      </c>
      <c r="CN21" s="7">
        <f>CM21+預測IC!CN21</f>
        <v>1.571980680316954</v>
      </c>
      <c r="CO21" s="7">
        <f>CN21+預測IC!CO21</f>
        <v>1.3341886991775616</v>
      </c>
      <c r="CP21" s="7">
        <f>CO21+預測IC!CP21</f>
        <v>1.432496005301612</v>
      </c>
      <c r="CQ21" s="7">
        <f>CP21+預測IC!CQ21</f>
        <v>1.4554081994711083</v>
      </c>
      <c r="CR21" s="7">
        <f>CQ21+預測IC!CR21</f>
        <v>1.6944681658323761</v>
      </c>
      <c r="CS21" s="7">
        <f>CR21+預測IC!CS21</f>
        <v>1.6331991296130453</v>
      </c>
      <c r="CT21" s="7">
        <f>CS21+預測IC!CT21</f>
        <v>1.6811922336860492</v>
      </c>
      <c r="CU21" s="7">
        <f>CT21+預測IC!CU21</f>
        <v>1.5222756113685991</v>
      </c>
      <c r="CV21" s="7">
        <f>CU21+預測IC!CV21</f>
        <v>1.6766074561431714</v>
      </c>
      <c r="CW21" s="7">
        <f>CV21+預測IC!CW21</f>
        <v>1.6458549748351325</v>
      </c>
      <c r="CX21" s="7">
        <f>CW21+預測IC!CX21</f>
        <v>1.488886127923521</v>
      </c>
      <c r="CY21" s="7">
        <f>CX21+預測IC!CY21</f>
        <v>1.6413384341688402</v>
      </c>
      <c r="CZ21" s="7">
        <f>CY21+預測IC!CZ21</f>
        <v>1.6274912277571396</v>
      </c>
      <c r="DA21" s="7">
        <f>CZ21+預測IC!DA21</f>
        <v>1.903662093759861</v>
      </c>
      <c r="DB21" s="7">
        <f>DA21+預測IC!DB21</f>
        <v>2.3760128292305378</v>
      </c>
      <c r="DC21" s="7">
        <f>DB21+預測IC!DC21</f>
        <v>2.222108033860819</v>
      </c>
      <c r="DD21" s="7">
        <f>DC21+預測IC!DD21</f>
        <v>2.2192892394697483</v>
      </c>
      <c r="DE21" s="7">
        <f>DD21+預測IC!DE21</f>
        <v>2.1903115024094215</v>
      </c>
      <c r="DF21" s="7">
        <f>DE21+預測IC!DF21</f>
        <v>2.0415025999196783</v>
      </c>
      <c r="DG21" s="7">
        <f>DF21+預測IC!DG21</f>
        <v>1.9820930810747648</v>
      </c>
      <c r="DH21" s="7">
        <f>DG21+預測IC!DH21</f>
        <v>1.9717375095729073</v>
      </c>
      <c r="DI21" s="7">
        <f>DH21+預測IC!DI21</f>
        <v>2.0618867122907281</v>
      </c>
      <c r="DJ21" s="7">
        <f>DI21+預測IC!DJ21</f>
        <v>2.2184924307543699</v>
      </c>
      <c r="DK21" s="7">
        <f>DJ21+預測IC!DK21</f>
        <v>2.1975263686023512</v>
      </c>
      <c r="DL21" s="7">
        <f>DK21+預測IC!DL21</f>
        <v>2.184789377101338</v>
      </c>
      <c r="DM21" s="7">
        <f>DL21+預測IC!DM21</f>
        <v>2.1890439411222236</v>
      </c>
      <c r="DN21" s="7">
        <f>DM21+預測IC!DN21</f>
        <v>2.4093395819867509</v>
      </c>
      <c r="DO21" s="7">
        <f>DN21+預測IC!DO21</f>
        <v>2.7409663868653968</v>
      </c>
      <c r="DP21" s="7">
        <f>DO21+預測IC!DP21</f>
        <v>2.7038577537671635</v>
      </c>
      <c r="DQ21" s="7">
        <f>DP21+預測IC!DQ21</f>
        <v>2.6756417017147665</v>
      </c>
      <c r="DR21" s="7">
        <f>DQ21+預測IC!DR21</f>
        <v>2.7258125607518471</v>
      </c>
      <c r="DS21" s="7">
        <f>DR21+預測IC!DS21</f>
        <v>2.5249730869145512</v>
      </c>
      <c r="DT21" s="7">
        <f>DS21+預測IC!DT21</f>
        <v>2.5301882772612303</v>
      </c>
      <c r="DU21" s="7">
        <f>DT21+預測IC!DU21</f>
        <v>2.1903816384036623</v>
      </c>
      <c r="DV21" s="7">
        <f>DU21+預測IC!DV21</f>
        <v>2.3452798895335669</v>
      </c>
      <c r="DW21" s="7">
        <f>DV21+預測IC!DW21</f>
        <v>2.2226155585872323</v>
      </c>
      <c r="DX21" s="7">
        <f>DW21+預測IC!DX21</f>
        <v>2.3394444484620149</v>
      </c>
      <c r="DY21" s="7">
        <f>DX21+預測IC!DY21</f>
        <v>2.5651063296500043</v>
      </c>
      <c r="DZ21" s="7">
        <f>DY21+預測IC!DZ21</f>
        <v>2.7449973513749044</v>
      </c>
      <c r="EA21" s="7">
        <f>DZ21+預測IC!EA21</f>
        <v>3.0110541836542506</v>
      </c>
      <c r="EB21" s="7">
        <f>EA21+預測IC!EB21</f>
        <v>2.9077586246302429</v>
      </c>
      <c r="EC21" s="7">
        <f>EB21+預測IC!EC21</f>
        <v>2.7676646066780171</v>
      </c>
      <c r="ED21" s="7">
        <f>EC21+預測IC!ED21</f>
        <v>2.6849345591748057</v>
      </c>
      <c r="EE21" s="7">
        <f>ED21+預測IC!EE21</f>
        <v>2.6636239668669384</v>
      </c>
      <c r="EF21" s="7">
        <f>EE21+預測IC!EF21</f>
        <v>2.6448527028248194</v>
      </c>
    </row>
    <row r="22" spans="1:136" x14ac:dyDescent="0.3">
      <c r="A22" s="1">
        <v>321</v>
      </c>
      <c r="B22" s="1">
        <v>3</v>
      </c>
      <c r="C22" s="7">
        <v>0.20528030103697539</v>
      </c>
      <c r="D22" s="7">
        <f>C22+預測IC!D22</f>
        <v>0.16059940413348889</v>
      </c>
      <c r="E22" s="7">
        <f>D22+預測IC!E22</f>
        <v>0.11957187213286984</v>
      </c>
      <c r="F22" s="7">
        <f>E22+預測IC!F22</f>
        <v>2.2137876553883384E-2</v>
      </c>
      <c r="G22" s="7">
        <f>F22+預測IC!G22</f>
        <v>-1.0816947695915229E-2</v>
      </c>
      <c r="H22" s="7">
        <f>G22+預測IC!H22</f>
        <v>0.16793251579170768</v>
      </c>
      <c r="I22" s="7">
        <f>H22+預測IC!I22</f>
        <v>0.29142568512977746</v>
      </c>
      <c r="J22" s="7">
        <f>I22+預測IC!J22</f>
        <v>0.34402427439512034</v>
      </c>
      <c r="K22" s="7">
        <f>J22+預測IC!K22</f>
        <v>0.19073750374061105</v>
      </c>
      <c r="L22" s="7">
        <f>K22+預測IC!L22</f>
        <v>0.36192086316651229</v>
      </c>
      <c r="M22" s="7">
        <f>L22+預測IC!M22</f>
        <v>0.13676225810293058</v>
      </c>
      <c r="N22" s="7">
        <f>M22+預測IC!N22</f>
        <v>0.27004267712617708</v>
      </c>
      <c r="O22" s="7">
        <f>N22+預測IC!O22</f>
        <v>0.41352302313044947</v>
      </c>
      <c r="P22" s="7">
        <f>O22+預測IC!P22</f>
        <v>0.34074013900163247</v>
      </c>
      <c r="Q22" s="7">
        <f>P22+預測IC!Q22</f>
        <v>0.25145762089778523</v>
      </c>
      <c r="R22" s="7">
        <f>Q22+預測IC!R22</f>
        <v>7.0777890706500618E-2</v>
      </c>
      <c r="S22" s="7">
        <f>R22+預測IC!S22</f>
        <v>-9.8868664851439969E-2</v>
      </c>
      <c r="T22" s="7">
        <f>S22+預測IC!T22</f>
        <v>-0.119107277328274</v>
      </c>
      <c r="U22" s="7">
        <f>T22+預測IC!U22</f>
        <v>-0.22969730073077821</v>
      </c>
      <c r="V22" s="7">
        <f>U22+預測IC!V22</f>
        <v>-0.19141052421092269</v>
      </c>
      <c r="W22" s="7">
        <f>V22+預測IC!W22</f>
        <v>1.6069742813374699E-2</v>
      </c>
      <c r="X22" s="7">
        <f>W22+預測IC!X22</f>
        <v>0.2309697905429397</v>
      </c>
      <c r="Y22" s="7">
        <f>X22+預測IC!Y22</f>
        <v>0.24670199895646075</v>
      </c>
      <c r="Z22" s="7">
        <f>Y22+預測IC!Z22</f>
        <v>0.32225026810230678</v>
      </c>
      <c r="AA22" s="7">
        <f>Z22+預測IC!AA22</f>
        <v>0.32929828498916353</v>
      </c>
      <c r="AB22" s="7">
        <f>AA22+預測IC!AB22</f>
        <v>0.46373449770248903</v>
      </c>
      <c r="AC22" s="7">
        <f>AB22+預測IC!AC22</f>
        <v>0.53815487854291644</v>
      </c>
      <c r="AD22" s="7">
        <f>AC22+預測IC!AD22</f>
        <v>0.55062218121348894</v>
      </c>
      <c r="AE22" s="7">
        <f>AD22+預測IC!AE22</f>
        <v>0.32200106960711472</v>
      </c>
      <c r="AF22" s="7">
        <f>AE22+預測IC!AF22</f>
        <v>0.36918338576513887</v>
      </c>
      <c r="AG22" s="7">
        <f>AF22+預測IC!AG22</f>
        <v>0.42202492594087276</v>
      </c>
      <c r="AH22" s="7">
        <f>AG22+預測IC!AH22</f>
        <v>0.66964717210427405</v>
      </c>
      <c r="AI22" s="7">
        <f>AH22+預測IC!AI22</f>
        <v>0.78065088333122301</v>
      </c>
      <c r="AJ22" s="7">
        <f>AI22+預測IC!AJ22</f>
        <v>0.79373242496857999</v>
      </c>
      <c r="AK22" s="7">
        <f>AJ22+預測IC!AK22</f>
        <v>0.7254630968044522</v>
      </c>
      <c r="AL22" s="7">
        <f>AK22+預測IC!AL22</f>
        <v>0.72431837058070536</v>
      </c>
      <c r="AM22" s="7">
        <f>AL22+預測IC!AM22</f>
        <v>0.78069212494433293</v>
      </c>
      <c r="AN22" s="7">
        <f>AM22+預測IC!AN22</f>
        <v>0.89182493460789225</v>
      </c>
      <c r="AO22" s="7">
        <f>AN22+預測IC!AO22</f>
        <v>0.96654230800159791</v>
      </c>
      <c r="AP22" s="7">
        <f>AO22+預測IC!AP22</f>
        <v>1.2179373656499648</v>
      </c>
      <c r="AQ22" s="7">
        <f>AP22+預測IC!AQ22</f>
        <v>1.1628106449256219</v>
      </c>
      <c r="AR22" s="7">
        <f>AQ22+預測IC!AR22</f>
        <v>1.0546269443773855</v>
      </c>
      <c r="AS22" s="7">
        <f>AR22+預測IC!AS22</f>
        <v>1.1284706470632191</v>
      </c>
      <c r="AT22" s="7">
        <f>AS22+預測IC!AT22</f>
        <v>1.1461990180576558</v>
      </c>
      <c r="AU22" s="7">
        <f>AT22+預測IC!AU22</f>
        <v>1.0362844207394715</v>
      </c>
      <c r="AV22" s="7">
        <f>AU22+預測IC!AV22</f>
        <v>0.94653043886783883</v>
      </c>
      <c r="AW22" s="7">
        <f>AV22+預測IC!AW22</f>
        <v>0.91638104966082989</v>
      </c>
      <c r="AX22" s="7">
        <f>AW22+預測IC!AX22</f>
        <v>1.0901444496408541</v>
      </c>
      <c r="AY22" s="7">
        <f>AX22+預測IC!AY22</f>
        <v>1.1618778349750847</v>
      </c>
      <c r="AZ22" s="7">
        <f>AY22+預測IC!AZ22</f>
        <v>1.0069740566539327</v>
      </c>
      <c r="BA22" s="7">
        <f>AZ22+預測IC!BA22</f>
        <v>0.95779711690671221</v>
      </c>
      <c r="BB22" s="7">
        <f>BA22+預測IC!BB22</f>
        <v>1.2597270614471352</v>
      </c>
      <c r="BC22" s="7">
        <f>BB22+預測IC!BC22</f>
        <v>1.1288901233241799</v>
      </c>
      <c r="BD22" s="7">
        <f>BC22+預測IC!BD22</f>
        <v>1.1067159418583516</v>
      </c>
      <c r="BE22" s="7">
        <f>BD22+預測IC!BE22</f>
        <v>1.1289321252528322</v>
      </c>
      <c r="BF22" s="7">
        <f>BE22+預測IC!BF22</f>
        <v>0.92982967670439365</v>
      </c>
      <c r="BG22" s="7">
        <f>BF22+預測IC!BG22</f>
        <v>0.97106114585717407</v>
      </c>
      <c r="BH22" s="7">
        <f>BG22+預測IC!BH22</f>
        <v>0.84335413646075785</v>
      </c>
      <c r="BI22" s="7">
        <f>BH22+預測IC!BI22</f>
        <v>0.93067219563793357</v>
      </c>
      <c r="BJ22" s="7">
        <f>BI22+預測IC!BJ22</f>
        <v>0.94090617108703711</v>
      </c>
      <c r="BK22" s="7">
        <f>BJ22+預測IC!BK22</f>
        <v>0.89906653515337198</v>
      </c>
      <c r="BL22" s="7">
        <f>BK22+預測IC!BL22</f>
        <v>1.0608468742244073</v>
      </c>
      <c r="BM22" s="7">
        <f>BL22+預測IC!BM22</f>
        <v>1.2526439136804544</v>
      </c>
      <c r="BN22" s="7">
        <f>BM22+預測IC!BN22</f>
        <v>1.2373163616574121</v>
      </c>
      <c r="BO22" s="7">
        <f>BN22+預測IC!BO22</f>
        <v>1.1868319325446617</v>
      </c>
      <c r="BP22" s="7">
        <f>BO22+預測IC!BP22</f>
        <v>1.261667482699768</v>
      </c>
      <c r="BQ22" s="7">
        <f>BP22+預測IC!BQ22</f>
        <v>1.2894975800980806</v>
      </c>
      <c r="BR22" s="7">
        <f>BQ22+預測IC!BR22</f>
        <v>1.3103111895645334</v>
      </c>
      <c r="BS22" s="7">
        <f>BR22+預測IC!BS22</f>
        <v>1.2939384071877342</v>
      </c>
      <c r="BT22" s="7">
        <f>BS22+預測IC!BT22</f>
        <v>1.4244691105242804</v>
      </c>
      <c r="BU22" s="7">
        <f>BT22+預測IC!BU22</f>
        <v>1.2115203443862701</v>
      </c>
      <c r="BV22" s="7">
        <f>BU22+預測IC!BV22</f>
        <v>1.3700643167838791</v>
      </c>
      <c r="BW22" s="7">
        <f>BV22+預測IC!BW22</f>
        <v>1.1953958188562717</v>
      </c>
      <c r="BX22" s="7">
        <f>BW22+預測IC!BX22</f>
        <v>1.2320332645482441</v>
      </c>
      <c r="BY22" s="7">
        <f>BX22+預測IC!BY22</f>
        <v>1.2272864781455095</v>
      </c>
      <c r="BZ22" s="7">
        <f>BY22+預測IC!BZ22</f>
        <v>1.1709641258854355</v>
      </c>
      <c r="CA22" s="7">
        <f>BZ22+預測IC!CA22</f>
        <v>1.1075573618210728</v>
      </c>
      <c r="CB22" s="7">
        <f>CA22+預測IC!CB22</f>
        <v>1.1711616313607616</v>
      </c>
      <c r="CC22" s="7">
        <f>CB22+預測IC!CC22</f>
        <v>1.1561759279226052</v>
      </c>
      <c r="CD22" s="7">
        <f>CC22+預測IC!CD22</f>
        <v>1.4900539646353281</v>
      </c>
      <c r="CE22" s="7">
        <f>CD22+預測IC!CE22</f>
        <v>1.09666662553105</v>
      </c>
      <c r="CF22" s="7">
        <f>CE22+預測IC!CF22</f>
        <v>1.1974369825651148</v>
      </c>
      <c r="CG22" s="7">
        <f>CF22+預測IC!CG22</f>
        <v>0.99035164993160174</v>
      </c>
      <c r="CH22" s="7">
        <f>CG22+預測IC!CH22</f>
        <v>0.83674536512205844</v>
      </c>
      <c r="CI22" s="7">
        <f>CH22+預測IC!CI22</f>
        <v>0.77212804231168419</v>
      </c>
      <c r="CJ22" s="7">
        <f>CI22+預測IC!CJ22</f>
        <v>0.66874853722212146</v>
      </c>
      <c r="CK22" s="7">
        <f>CJ22+預測IC!CK22</f>
        <v>0.70491187982680392</v>
      </c>
      <c r="CL22" s="7">
        <f>CK22+預測IC!CL22</f>
        <v>0.4642600812017631</v>
      </c>
      <c r="CM22" s="7">
        <f>CL22+預測IC!CM22</f>
        <v>0.24442759600429981</v>
      </c>
      <c r="CN22" s="7">
        <f>CM22+預測IC!CN22</f>
        <v>0.2358808241833924</v>
      </c>
      <c r="CO22" s="7">
        <f>CN22+預測IC!CO22</f>
        <v>5.0595066278165596E-2</v>
      </c>
      <c r="CP22" s="7">
        <f>CO22+預測IC!CP22</f>
        <v>0.22243879942056441</v>
      </c>
      <c r="CQ22" s="7">
        <f>CP22+預測IC!CQ22</f>
        <v>0.2395984149396882</v>
      </c>
      <c r="CR22" s="7">
        <f>CQ22+預測IC!CR22</f>
        <v>0.48637118493157488</v>
      </c>
      <c r="CS22" s="7">
        <f>CR22+預測IC!CS22</f>
        <v>0.40158924904721049</v>
      </c>
      <c r="CT22" s="7">
        <f>CS22+預測IC!CT22</f>
        <v>0.43985186362248579</v>
      </c>
      <c r="CU22" s="7">
        <f>CT22+預測IC!CU22</f>
        <v>0.27249795243611763</v>
      </c>
      <c r="CV22" s="7">
        <f>CU22+預測IC!CV22</f>
        <v>0.43872063112567194</v>
      </c>
      <c r="CW22" s="7">
        <f>CV22+預測IC!CW22</f>
        <v>0.42522083258971033</v>
      </c>
      <c r="CX22" s="7">
        <f>CW22+預測IC!CX22</f>
        <v>0.37092753711590665</v>
      </c>
      <c r="CY22" s="7">
        <f>CX22+預測IC!CY22</f>
        <v>0.53336740582935338</v>
      </c>
      <c r="CZ22" s="7">
        <f>CY22+預測IC!CZ22</f>
        <v>0.52578015938821432</v>
      </c>
      <c r="DA22" s="7">
        <f>CZ22+預測IC!DA22</f>
        <v>0.83123182284306552</v>
      </c>
      <c r="DB22" s="7">
        <f>DA22+預測IC!DB22</f>
        <v>1.4246069945692972</v>
      </c>
      <c r="DC22" s="7">
        <f>DB22+預測IC!DC22</f>
        <v>1.2834397588499875</v>
      </c>
      <c r="DD22" s="7">
        <f>DC22+預測IC!DD22</f>
        <v>1.251729589724162</v>
      </c>
      <c r="DE22" s="7">
        <f>DD22+預測IC!DE22</f>
        <v>1.269486093226095</v>
      </c>
      <c r="DF22" s="7">
        <f>DE22+預測IC!DF22</f>
        <v>1.172414387589868</v>
      </c>
      <c r="DG22" s="7">
        <f>DF22+預測IC!DG22</f>
        <v>1.1005248881728649</v>
      </c>
      <c r="DH22" s="7">
        <f>DG22+預測IC!DH22</f>
        <v>1.135213640602055</v>
      </c>
      <c r="DI22" s="7">
        <f>DH22+預測IC!DI22</f>
        <v>1.2163191844423251</v>
      </c>
      <c r="DJ22" s="7">
        <f>DI22+預測IC!DJ22</f>
        <v>1.3700189472726549</v>
      </c>
      <c r="DK22" s="7">
        <f>DJ22+預測IC!DK22</f>
        <v>1.3466727706396935</v>
      </c>
      <c r="DL22" s="7">
        <f>DK22+預測IC!DL22</f>
        <v>1.3434594398965547</v>
      </c>
      <c r="DM22" s="7">
        <f>DL22+預測IC!DM22</f>
        <v>1.3861359890125955</v>
      </c>
      <c r="DN22" s="7">
        <f>DM22+預測IC!DN22</f>
        <v>1.6915110172847987</v>
      </c>
      <c r="DO22" s="7">
        <f>DN22+預測IC!DO22</f>
        <v>1.7672268333397048</v>
      </c>
      <c r="DP22" s="7">
        <f>DO22+預測IC!DP22</f>
        <v>1.6621277735392261</v>
      </c>
      <c r="DQ22" s="7">
        <f>DP22+預測IC!DQ22</f>
        <v>1.6102775717016049</v>
      </c>
      <c r="DR22" s="7">
        <f>DQ22+預測IC!DR22</f>
        <v>1.604185019086287</v>
      </c>
      <c r="DS22" s="7">
        <f>DR22+預測IC!DS22</f>
        <v>1.4071340975239277</v>
      </c>
      <c r="DT22" s="7">
        <f>DS22+預測IC!DT22</f>
        <v>1.3800053435457578</v>
      </c>
      <c r="DU22" s="7">
        <f>DT22+預測IC!DU22</f>
        <v>1.0047364712037856</v>
      </c>
      <c r="DV22" s="7">
        <f>DU22+預測IC!DV22</f>
        <v>1.1617988407535365</v>
      </c>
      <c r="DW22" s="7">
        <f>DV22+預測IC!DW22</f>
        <v>1.163906102509251</v>
      </c>
      <c r="DX22" s="7">
        <f>DW22+預測IC!DX22</f>
        <v>1.3282582265507901</v>
      </c>
      <c r="DY22" s="7">
        <f>DX22+預測IC!DY22</f>
        <v>1.6460125989152725</v>
      </c>
      <c r="DZ22" s="7">
        <f>DY22+預測IC!DZ22</f>
        <v>1.8116388451410281</v>
      </c>
      <c r="EA22" s="7">
        <f>DZ22+預測IC!EA22</f>
        <v>1.9519950071417218</v>
      </c>
      <c r="EB22" s="7">
        <f>EA22+預測IC!EB22</f>
        <v>1.8090679310893942</v>
      </c>
      <c r="EC22" s="7">
        <f>EB22+預測IC!EC22</f>
        <v>1.8374967428674451</v>
      </c>
      <c r="ED22" s="7">
        <f>EC22+預測IC!ED22</f>
        <v>1.7799975242586348</v>
      </c>
      <c r="EE22" s="7">
        <f>ED22+預測IC!EE22</f>
        <v>1.7323608648739359</v>
      </c>
      <c r="EF22" s="7">
        <f>EE22+預測IC!EF22</f>
        <v>1.6975706185017636</v>
      </c>
    </row>
    <row r="23" spans="1:136" x14ac:dyDescent="0.3">
      <c r="A23" s="1">
        <v>482</v>
      </c>
      <c r="B23" s="1">
        <v>2</v>
      </c>
      <c r="C23" s="7">
        <v>0.28298926569632887</v>
      </c>
      <c r="D23" s="7">
        <f>C23+預測IC!D23</f>
        <v>0.25317859801090681</v>
      </c>
      <c r="E23" s="7">
        <f>D23+預測IC!E23</f>
        <v>0.1722374254402346</v>
      </c>
      <c r="F23" s="7">
        <f>E23+預測IC!F23</f>
        <v>3.0572516388332888E-2</v>
      </c>
      <c r="G23" s="7">
        <f>F23+預測IC!G23</f>
        <v>-2.1651657458165489E-2</v>
      </c>
      <c r="H23" s="7">
        <f>G23+預測IC!H23</f>
        <v>0.18206665042080961</v>
      </c>
      <c r="I23" s="7">
        <f>H23+預測IC!I23</f>
        <v>0.33021867902110358</v>
      </c>
      <c r="J23" s="7">
        <f>I23+預測IC!J23</f>
        <v>0.23205638787465122</v>
      </c>
      <c r="K23" s="7">
        <f>J23+預測IC!K23</f>
        <v>2.7566911402417626E-2</v>
      </c>
      <c r="L23" s="7">
        <f>K23+預測IC!L23</f>
        <v>8.1610441178016246E-2</v>
      </c>
      <c r="M23" s="7">
        <f>L23+預測IC!M23</f>
        <v>-0.18095890586932406</v>
      </c>
      <c r="N23" s="7">
        <f>M23+預測IC!N23</f>
        <v>-2.4539668233311274E-2</v>
      </c>
      <c r="O23" s="7">
        <f>N23+預測IC!O23</f>
        <v>0.18002470973969081</v>
      </c>
      <c r="P23" s="7">
        <f>O23+預測IC!P23</f>
        <v>8.9622998557565434E-2</v>
      </c>
      <c r="Q23" s="7">
        <f>P23+預測IC!Q23</f>
        <v>-0.16122667834324134</v>
      </c>
      <c r="R23" s="7">
        <f>Q23+預測IC!R23</f>
        <v>-0.25085468138438599</v>
      </c>
      <c r="S23" s="7">
        <f>R23+預測IC!S23</f>
        <v>-0.36457921421164807</v>
      </c>
      <c r="T23" s="7">
        <f>S23+預測IC!T23</f>
        <v>-0.36495258342012682</v>
      </c>
      <c r="U23" s="7">
        <f>T23+預測IC!U23</f>
        <v>-0.4587100058609212</v>
      </c>
      <c r="V23" s="7">
        <f>U23+預測IC!V23</f>
        <v>-0.4817394629707123</v>
      </c>
      <c r="W23" s="7">
        <f>V23+預測IC!W23</f>
        <v>-0.15012031272156778</v>
      </c>
      <c r="X23" s="7">
        <f>W23+預測IC!X23</f>
        <v>0.11396538224172953</v>
      </c>
      <c r="Y23" s="7">
        <f>X23+預測IC!Y23</f>
        <v>0.12862518377221979</v>
      </c>
      <c r="Z23" s="7">
        <f>Y23+預測IC!Z23</f>
        <v>0.1616576992160951</v>
      </c>
      <c r="AA23" s="7">
        <f>Z23+預測IC!AA23</f>
        <v>0.16826399118556537</v>
      </c>
      <c r="AB23" s="7">
        <f>AA23+預測IC!AB23</f>
        <v>0.23230377106234887</v>
      </c>
      <c r="AC23" s="7">
        <f>AB23+預測IC!AC23</f>
        <v>0.3086501092091869</v>
      </c>
      <c r="AD23" s="7">
        <f>AC23+預測IC!AD23</f>
        <v>0.32366100956623428</v>
      </c>
      <c r="AE23" s="7">
        <f>AD23+預測IC!AE23</f>
        <v>-8.6832390462912024E-3</v>
      </c>
      <c r="AF23" s="7">
        <f>AE23+預測IC!AF23</f>
        <v>5.8223021043460083E-2</v>
      </c>
      <c r="AG23" s="7">
        <f>AF23+預測IC!AG23</f>
        <v>0.1500966786898203</v>
      </c>
      <c r="AH23" s="7">
        <f>AG23+預測IC!AH23</f>
        <v>1.4447758339153099E-2</v>
      </c>
      <c r="AI23" s="7">
        <f>AH23+預測IC!AI23</f>
        <v>0.2235993569594168</v>
      </c>
      <c r="AJ23" s="7">
        <f>AI23+預測IC!AJ23</f>
        <v>0.24718679725344098</v>
      </c>
      <c r="AK23" s="7">
        <f>AJ23+預測IC!AK23</f>
        <v>0.26574452799015225</v>
      </c>
      <c r="AL23" s="7">
        <f>AK23+預測IC!AL23</f>
        <v>0.21443421680766542</v>
      </c>
      <c r="AM23" s="7">
        <f>AL23+預測IC!AM23</f>
        <v>0.19396367350557936</v>
      </c>
      <c r="AN23" s="7">
        <f>AM23+預測IC!AN23</f>
        <v>0.43627837286288007</v>
      </c>
      <c r="AO23" s="7">
        <f>AN23+預測IC!AO23</f>
        <v>0.43094142067145597</v>
      </c>
      <c r="AP23" s="7">
        <f>AO23+預測IC!AP23</f>
        <v>0.42049359922390628</v>
      </c>
      <c r="AQ23" s="7">
        <f>AP23+預測IC!AQ23</f>
        <v>0.59620580780691323</v>
      </c>
      <c r="AR23" s="7">
        <f>AQ23+預測IC!AR23</f>
        <v>0.34274501202656915</v>
      </c>
      <c r="AS23" s="7">
        <f>AR23+預測IC!AS23</f>
        <v>0.42440863280713936</v>
      </c>
      <c r="AT23" s="7">
        <f>AS23+預測IC!AT23</f>
        <v>0.53391453577203962</v>
      </c>
      <c r="AU23" s="7">
        <f>AT23+預測IC!AU23</f>
        <v>0.33031864459045374</v>
      </c>
      <c r="AV23" s="7">
        <f>AU23+預測IC!AV23</f>
        <v>0.28116857796116174</v>
      </c>
      <c r="AW23" s="7">
        <f>AV23+預測IC!AW23</f>
        <v>0.22914166812275899</v>
      </c>
      <c r="AX23" s="7">
        <f>AW23+預測IC!AX23</f>
        <v>0.29897982194980305</v>
      </c>
      <c r="AY23" s="7">
        <f>AX23+預測IC!AY23</f>
        <v>0.46921380279038516</v>
      </c>
      <c r="AZ23" s="7">
        <f>AY23+預測IC!AZ23</f>
        <v>0.40546018538932493</v>
      </c>
      <c r="BA23" s="7">
        <f>AZ23+預測IC!BA23</f>
        <v>0.57754109476505766</v>
      </c>
      <c r="BB23" s="7">
        <f>BA23+預測IC!BB23</f>
        <v>0.52649161066217254</v>
      </c>
      <c r="BC23" s="7">
        <f>BB23+預測IC!BC23</f>
        <v>0.22566336148910676</v>
      </c>
      <c r="BD23" s="7">
        <f>BC23+預測IC!BD23</f>
        <v>0.32049424283555711</v>
      </c>
      <c r="BE23" s="7">
        <f>BD23+預測IC!BE23</f>
        <v>0.24906348043826054</v>
      </c>
      <c r="BF23" s="7">
        <f>BE23+預測IC!BF23</f>
        <v>3.9054367577809335E-2</v>
      </c>
      <c r="BG23" s="7">
        <f>BF23+預測IC!BG23</f>
        <v>7.3154015866352257E-4</v>
      </c>
      <c r="BH23" s="7">
        <f>BG23+預測IC!BH23</f>
        <v>-6.2633655544574701E-2</v>
      </c>
      <c r="BI23" s="7">
        <f>BH23+預測IC!BI23</f>
        <v>7.5585899681872404E-2</v>
      </c>
      <c r="BJ23" s="7">
        <f>BI23+預測IC!BJ23</f>
        <v>1.7565686137229974E-2</v>
      </c>
      <c r="BK23" s="7">
        <f>BJ23+預測IC!BK23</f>
        <v>1.9599794473707462E-2</v>
      </c>
      <c r="BL23" s="7">
        <f>BK23+預測IC!BL23</f>
        <v>0.16913409072394706</v>
      </c>
      <c r="BM23" s="7">
        <f>BL23+預測IC!BM23</f>
        <v>0.35831477751110097</v>
      </c>
      <c r="BN23" s="7">
        <f>BM23+預測IC!BN23</f>
        <v>0.35136760675228779</v>
      </c>
      <c r="BO23" s="7">
        <f>BN23+預測IC!BO23</f>
        <v>0.38789254849828686</v>
      </c>
      <c r="BP23" s="7">
        <f>BO23+預測IC!BP23</f>
        <v>0.48615894770974333</v>
      </c>
      <c r="BQ23" s="7">
        <f>BP23+預測IC!BQ23</f>
        <v>0.55820684914500951</v>
      </c>
      <c r="BR23" s="7">
        <f>BQ23+預測IC!BR23</f>
        <v>0.57605117060897237</v>
      </c>
      <c r="BS23" s="7">
        <f>BR23+預測IC!BS23</f>
        <v>0.50277578195106054</v>
      </c>
      <c r="BT23" s="7">
        <f>BS23+預測IC!BT23</f>
        <v>0.64642558797705763</v>
      </c>
      <c r="BU23" s="7">
        <f>BT23+預測IC!BU23</f>
        <v>0.44073785213111172</v>
      </c>
      <c r="BV23" s="7">
        <f>BU23+預測IC!BV23</f>
        <v>0.55420542049130017</v>
      </c>
      <c r="BW23" s="7">
        <f>BV23+預測IC!BW23</f>
        <v>0.35205308721560896</v>
      </c>
      <c r="BX23" s="7">
        <f>BW23+預測IC!BX23</f>
        <v>0.34383996748835582</v>
      </c>
      <c r="BY23" s="7">
        <f>BX23+預測IC!BY23</f>
        <v>0.3336342747940082</v>
      </c>
      <c r="BZ23" s="7">
        <f>BY23+預測IC!BZ23</f>
        <v>0.13130929612042461</v>
      </c>
      <c r="CA23" s="7">
        <f>BZ23+預測IC!CA23</f>
        <v>0.16559291596577116</v>
      </c>
      <c r="CB23" s="7">
        <f>CA23+預測IC!CB23</f>
        <v>0.12392792758718271</v>
      </c>
      <c r="CC23" s="7">
        <f>CB23+預測IC!CC23</f>
        <v>0.34888655508286281</v>
      </c>
      <c r="CD23" s="7">
        <f>CC23+預測IC!CD23</f>
        <v>0.54056301009764796</v>
      </c>
      <c r="CE23" s="7">
        <f>CD23+預測IC!CE23</f>
        <v>0.42393840330118654</v>
      </c>
      <c r="CF23" s="7">
        <f>CE23+預測IC!CF23</f>
        <v>0.44009923873126833</v>
      </c>
      <c r="CG23" s="7">
        <f>CF23+預測IC!CG23</f>
        <v>0.22346199710406534</v>
      </c>
      <c r="CH23" s="7">
        <f>CG23+預測IC!CH23</f>
        <v>6.1339422786994724E-2</v>
      </c>
      <c r="CI23" s="7">
        <f>CH23+預測IC!CI23</f>
        <v>-7.3882773864484469E-2</v>
      </c>
      <c r="CJ23" s="7">
        <f>CI23+預測IC!CJ23</f>
        <v>-9.3758141414895038E-2</v>
      </c>
      <c r="CK23" s="7">
        <f>CJ23+預測IC!CK23</f>
        <v>2.3588533130664974E-3</v>
      </c>
      <c r="CL23" s="7">
        <f>CK23+預測IC!CL23</f>
        <v>-0.40630215935435188</v>
      </c>
      <c r="CM23" s="7">
        <f>CL23+預測IC!CM23</f>
        <v>-0.64100713197045089</v>
      </c>
      <c r="CN23" s="7">
        <f>CM23+預測IC!CN23</f>
        <v>-0.69401231034025412</v>
      </c>
      <c r="CO23" s="7">
        <f>CN23+預測IC!CO23</f>
        <v>-0.96246328724340324</v>
      </c>
      <c r="CP23" s="7">
        <f>CO23+預測IC!CP23</f>
        <v>-0.71636151478718435</v>
      </c>
      <c r="CQ23" s="7">
        <f>CP23+預測IC!CQ23</f>
        <v>-0.74106378486656521</v>
      </c>
      <c r="CR23" s="7">
        <f>CQ23+預測IC!CR23</f>
        <v>-0.59006561439261762</v>
      </c>
      <c r="CS23" s="7">
        <f>CR23+預測IC!CS23</f>
        <v>-0.65522549868582969</v>
      </c>
      <c r="CT23" s="7">
        <f>CS23+預測IC!CT23</f>
        <v>-0.58983528330587975</v>
      </c>
      <c r="CU23" s="7">
        <f>CT23+預測IC!CU23</f>
        <v>-0.79193916829303657</v>
      </c>
      <c r="CV23" s="7">
        <f>CU23+預測IC!CV23</f>
        <v>-0.6386082000214619</v>
      </c>
      <c r="CW23" s="7">
        <f>CV23+預測IC!CW23</f>
        <v>-0.5744430879056206</v>
      </c>
      <c r="CX23" s="7">
        <f>CW23+預測IC!CX23</f>
        <v>-0.63630308105290123</v>
      </c>
      <c r="CY23" s="7">
        <f>CX23+預測IC!CY23</f>
        <v>-0.35459225357888136</v>
      </c>
      <c r="CZ23" s="7">
        <f>CY23+預測IC!CZ23</f>
        <v>-0.29331115306424044</v>
      </c>
      <c r="DA23" s="7">
        <f>CZ23+預測IC!DA23</f>
        <v>0.22445980855572195</v>
      </c>
      <c r="DB23" s="7">
        <f>DA23+預測IC!DB23</f>
        <v>1.0890353831529331</v>
      </c>
      <c r="DC23" s="7">
        <f>DB23+預測IC!DC23</f>
        <v>0.93108648383468007</v>
      </c>
      <c r="DD23" s="7">
        <f>DC23+預測IC!DD23</f>
        <v>0.83828780915752699</v>
      </c>
      <c r="DE23" s="7">
        <f>DD23+預測IC!DE23</f>
        <v>0.89837375666769859</v>
      </c>
      <c r="DF23" s="7">
        <f>DE23+預測IC!DF23</f>
        <v>0.70699988285524729</v>
      </c>
      <c r="DG23" s="7">
        <f>DF23+預測IC!DG23</f>
        <v>0.63937945544883801</v>
      </c>
      <c r="DH23" s="7">
        <f>DG23+預測IC!DH23</f>
        <v>0.74896165381093538</v>
      </c>
      <c r="DI23" s="7">
        <f>DH23+預測IC!DI23</f>
        <v>0.93387436735904061</v>
      </c>
      <c r="DJ23" s="7">
        <f>DI23+預測IC!DJ23</f>
        <v>1.0539069491829594</v>
      </c>
      <c r="DK23" s="7">
        <f>DJ23+預測IC!DK23</f>
        <v>1.0061571521343804</v>
      </c>
      <c r="DL23" s="7">
        <f>DK23+預測IC!DL23</f>
        <v>1.0323998042390048</v>
      </c>
      <c r="DM23" s="7">
        <f>DL23+預測IC!DM23</f>
        <v>1.0216894699321799</v>
      </c>
      <c r="DN23" s="7">
        <f>DM23+預測IC!DN23</f>
        <v>1.2866643264161712</v>
      </c>
      <c r="DO23" s="7">
        <f>DN23+預測IC!DO23</f>
        <v>1.4107327684039002</v>
      </c>
      <c r="DP23" s="7">
        <f>DO23+預測IC!DP23</f>
        <v>1.3723283725659019</v>
      </c>
      <c r="DQ23" s="7">
        <f>DP23+預測IC!DQ23</f>
        <v>1.2511963313084442</v>
      </c>
      <c r="DR23" s="7">
        <f>DQ23+預測IC!DR23</f>
        <v>1.1613103285771376</v>
      </c>
      <c r="DS23" s="7">
        <f>DR23+預測IC!DS23</f>
        <v>0.87321375165809134</v>
      </c>
      <c r="DT23" s="7">
        <f>DS23+預測IC!DT23</f>
        <v>0.89551020872784859</v>
      </c>
      <c r="DU23" s="7">
        <f>DT23+預測IC!DU23</f>
        <v>0.37026850207474871</v>
      </c>
      <c r="DV23" s="7">
        <f>DU23+預測IC!DV23</f>
        <v>0.56300990329264566</v>
      </c>
      <c r="DW23" s="7">
        <f>DV23+預測IC!DW23</f>
        <v>0.82999903626272398</v>
      </c>
      <c r="DX23" s="7">
        <f>DW23+預測IC!DX23</f>
        <v>1.0010018232311784</v>
      </c>
      <c r="DY23" s="7">
        <f>DX23+預測IC!DY23</f>
        <v>1.2692237526033023</v>
      </c>
      <c r="DZ23" s="7">
        <f>DY23+預測IC!DZ23</f>
        <v>1.3985567681550211</v>
      </c>
      <c r="EA23" s="7">
        <f>DZ23+預測IC!EA23</f>
        <v>1.369797988378616</v>
      </c>
      <c r="EB23" s="7">
        <f>EA23+預測IC!EB23</f>
        <v>1.231572493255414</v>
      </c>
      <c r="EC23" s="7">
        <f>EB23+預測IC!EC23</f>
        <v>1.3547774362110787</v>
      </c>
      <c r="ED23" s="7">
        <f>EC23+預測IC!ED23</f>
        <v>1.3936778587808025</v>
      </c>
      <c r="EE23" s="7">
        <f>ED23+預測IC!EE23</f>
        <v>1.32446578279581</v>
      </c>
      <c r="EF23" s="7">
        <f>EE23+預測IC!EF23</f>
        <v>1.2766835042041502</v>
      </c>
    </row>
    <row r="24" spans="1:136" x14ac:dyDescent="0.3">
      <c r="A24" s="1">
        <v>964</v>
      </c>
      <c r="B24" s="1">
        <v>1</v>
      </c>
      <c r="C24" s="7">
        <v>9.9113364206882743E-2</v>
      </c>
      <c r="D24" s="7">
        <f>C24+預測IC!D24</f>
        <v>-4.9356457655301555E-3</v>
      </c>
      <c r="E24" s="7">
        <f>D24+預測IC!E24</f>
        <v>6.6464684403766752E-2</v>
      </c>
      <c r="F24" s="7">
        <f>E24+預測IC!F24</f>
        <v>-0.16069486223298207</v>
      </c>
      <c r="G24" s="7">
        <f>F24+預測IC!G24</f>
        <v>6.5065160824590323E-2</v>
      </c>
      <c r="H24" s="7">
        <f>G24+預測IC!H24</f>
        <v>0.31175188931516012</v>
      </c>
      <c r="I24" s="7">
        <f>H24+預測IC!I24</f>
        <v>0.30963995611201661</v>
      </c>
      <c r="J24" s="7">
        <f>I24+預測IC!J24</f>
        <v>0.20966776320188046</v>
      </c>
      <c r="K24" s="7">
        <f>J24+預測IC!K24</f>
        <v>0.18815248484692035</v>
      </c>
      <c r="L24" s="7">
        <f>K24+預測IC!L24</f>
        <v>0.28377573535560247</v>
      </c>
      <c r="M24" s="7">
        <f>L24+預測IC!M24</f>
        <v>-0.17925180884453601</v>
      </c>
      <c r="N24" s="7">
        <f>M24+預測IC!N24</f>
        <v>-3.5121356444102803E-2</v>
      </c>
      <c r="O24" s="7">
        <f>N24+預測IC!O24</f>
        <v>0.2001878369613202</v>
      </c>
      <c r="P24" s="7">
        <f>O24+預測IC!P24</f>
        <v>9.5939422552320699E-2</v>
      </c>
      <c r="Q24" s="7">
        <f>P24+預測IC!Q24</f>
        <v>0.18608437135098366</v>
      </c>
      <c r="R24" s="7">
        <f>Q24+預測IC!R24</f>
        <v>7.7718876438792453E-2</v>
      </c>
      <c r="S24" s="7">
        <f>R24+預測IC!S24</f>
        <v>-0.27479558462137194</v>
      </c>
      <c r="T24" s="7">
        <f>S24+預測IC!T24</f>
        <v>-0.15110454052958272</v>
      </c>
      <c r="U24" s="7">
        <f>T24+預測IC!U24</f>
        <v>-0.29962321475350073</v>
      </c>
      <c r="V24" s="7">
        <f>U24+預測IC!V24</f>
        <v>-0.36676251759112921</v>
      </c>
      <c r="W24" s="7">
        <f>V24+預測IC!W24</f>
        <v>0.12894946836481341</v>
      </c>
      <c r="X24" s="7">
        <f>W24+預測IC!X24</f>
        <v>0.24697190087081733</v>
      </c>
      <c r="Y24" s="7">
        <f>X24+預測IC!Y24</f>
        <v>0.25644891579723439</v>
      </c>
      <c r="Z24" s="7">
        <f>Y24+預測IC!Z24</f>
        <v>0.36229124307604138</v>
      </c>
      <c r="AA24" s="7">
        <f>Z24+預測IC!AA24</f>
        <v>0.37583901131361863</v>
      </c>
      <c r="AB24" s="7">
        <f>AA24+預測IC!AB24</f>
        <v>0.57117863398886248</v>
      </c>
      <c r="AC24" s="7">
        <f>AB24+預測IC!AC24</f>
        <v>0.69655901476482751</v>
      </c>
      <c r="AD24" s="7">
        <f>AC24+預測IC!AD24</f>
        <v>0.70438085365745717</v>
      </c>
      <c r="AE24" s="7">
        <f>AD24+預測IC!AE24</f>
        <v>0.16312273241117592</v>
      </c>
      <c r="AF24" s="7">
        <f>AE24+預測IC!AF24</f>
        <v>0.1856447424459664</v>
      </c>
      <c r="AG24" s="7">
        <f>AF24+預測IC!AG24</f>
        <v>0.32438046007260402</v>
      </c>
      <c r="AH24" s="7">
        <f>AG24+預測IC!AH24</f>
        <v>2.2257703466028733E-2</v>
      </c>
      <c r="AI24" s="7">
        <f>AH24+預測IC!AI24</f>
        <v>0.33267193869537104</v>
      </c>
      <c r="AJ24" s="7">
        <f>AI24+預測IC!AJ24</f>
        <v>0.41810714048623515</v>
      </c>
      <c r="AK24" s="7">
        <f>AJ24+預測IC!AK24</f>
        <v>0.41954811756618332</v>
      </c>
      <c r="AL24" s="7">
        <f>AK24+預測IC!AL24</f>
        <v>0.31209369126044173</v>
      </c>
      <c r="AM24" s="7">
        <f>AL24+預測IC!AM24</f>
        <v>0.32706023659456568</v>
      </c>
      <c r="AN24" s="7">
        <f>AM24+預測IC!AN24</f>
        <v>0.54824970173999699</v>
      </c>
      <c r="AO24" s="7">
        <f>AN24+預測IC!AO24</f>
        <v>0.61433981356898704</v>
      </c>
      <c r="AP24" s="7">
        <f>AO24+預測IC!AP24</f>
        <v>0.19793127967927632</v>
      </c>
      <c r="AQ24" s="7">
        <f>AP24+預測IC!AQ24</f>
        <v>0.55442321137679451</v>
      </c>
      <c r="AR24" s="7">
        <f>AQ24+預測IC!AR24</f>
        <v>0.53407236688398008</v>
      </c>
      <c r="AS24" s="7">
        <f>AR24+預測IC!AS24</f>
        <v>0.53735914059060286</v>
      </c>
      <c r="AT24" s="7">
        <f>AS24+預測IC!AT24</f>
        <v>0.68812812051628369</v>
      </c>
      <c r="AU24" s="7">
        <f>AT24+預測IC!AU24</f>
        <v>0.4582871048368638</v>
      </c>
      <c r="AV24" s="7">
        <f>AU24+預測IC!AV24</f>
        <v>0.70597176506719128</v>
      </c>
      <c r="AW24" s="7">
        <f>AV24+預測IC!AW24</f>
        <v>0.71095930657823048</v>
      </c>
      <c r="AX24" s="7">
        <f>AW24+預測IC!AX24</f>
        <v>0.73926549316665502</v>
      </c>
      <c r="AY24" s="7">
        <f>AX24+預測IC!AY24</f>
        <v>0.90739278705154436</v>
      </c>
      <c r="AZ24" s="7">
        <f>AY24+預測IC!AZ24</f>
        <v>0.94525986065120959</v>
      </c>
      <c r="BA24" s="7">
        <f>AZ24+預測IC!BA24</f>
        <v>1.047042554961152</v>
      </c>
      <c r="BB24" s="7">
        <f>BA24+預測IC!BB24</f>
        <v>0.96088352156581713</v>
      </c>
      <c r="BC24" s="7">
        <f>BB24+預測IC!BC24</f>
        <v>0.15766750852143974</v>
      </c>
      <c r="BD24" s="7">
        <f>BC24+預測IC!BD24</f>
        <v>0.34326272776787492</v>
      </c>
      <c r="BE24" s="7">
        <f>BD24+預測IC!BE24</f>
        <v>0.29719837373618807</v>
      </c>
      <c r="BF24" s="7">
        <f>BE24+預測IC!BF24</f>
        <v>0.36156879468565162</v>
      </c>
      <c r="BG24" s="7">
        <f>BF24+預測IC!BG24</f>
        <v>0.45255302239308726</v>
      </c>
      <c r="BH24" s="7">
        <f>BG24+預測IC!BH24</f>
        <v>0.30487945714136755</v>
      </c>
      <c r="BI24" s="7">
        <f>BH24+預測IC!BI24</f>
        <v>0.27672782499318938</v>
      </c>
      <c r="BJ24" s="7">
        <f>BI24+預測IC!BJ24</f>
        <v>0.33729507931564878</v>
      </c>
      <c r="BK24" s="7">
        <f>BJ24+預測IC!BK24</f>
        <v>0.34131862620993503</v>
      </c>
      <c r="BL24" s="7">
        <f>BK24+預測IC!BL24</f>
        <v>0.65848292013465159</v>
      </c>
      <c r="BM24" s="7">
        <f>BL24+預測IC!BM24</f>
        <v>0.66995593925238872</v>
      </c>
      <c r="BN24" s="7">
        <f>BM24+預測IC!BN24</f>
        <v>0.67680528109796345</v>
      </c>
      <c r="BO24" s="7">
        <f>BN24+預測IC!BO24</f>
        <v>0.51569559000232157</v>
      </c>
      <c r="BP24" s="7">
        <f>BO24+預測IC!BP24</f>
        <v>0.63904677113164343</v>
      </c>
      <c r="BQ24" s="7">
        <f>BP24+預測IC!BQ24</f>
        <v>0.57487713780152838</v>
      </c>
      <c r="BR24" s="7">
        <f>BQ24+預測IC!BR24</f>
        <v>0.61723336110494609</v>
      </c>
      <c r="BS24" s="7">
        <f>BR24+預測IC!BS24</f>
        <v>0.61594864362048918</v>
      </c>
      <c r="BT24" s="7">
        <f>BS24+預測IC!BT24</f>
        <v>0.73221933967467645</v>
      </c>
      <c r="BU24" s="7">
        <f>BT24+預測IC!BU24</f>
        <v>0.50389270811473574</v>
      </c>
      <c r="BV24" s="7">
        <f>BU24+預測IC!BV24</f>
        <v>0.61162116200271865</v>
      </c>
      <c r="BW24" s="7">
        <f>BV24+預測IC!BW24</f>
        <v>0.54978527836712554</v>
      </c>
      <c r="BX24" s="7">
        <f>BW24+預測IC!BX24</f>
        <v>0.41682522265666777</v>
      </c>
      <c r="BY24" s="7">
        <f>BX24+預測IC!BY24</f>
        <v>0.52657089182408512</v>
      </c>
      <c r="BZ24" s="7">
        <f>BY24+預測IC!BZ24</f>
        <v>0.20624146456652753</v>
      </c>
      <c r="CA24" s="7">
        <f>BZ24+預測IC!CA24</f>
        <v>0.29159360335376067</v>
      </c>
      <c r="CB24" s="7">
        <f>CA24+預測IC!CB24</f>
        <v>0.35572068650980276</v>
      </c>
      <c r="CC24" s="7">
        <f>CB24+預測IC!CC24</f>
        <v>0.79557519877673633</v>
      </c>
      <c r="CD24" s="7">
        <f>CC24+預測IC!CD24</f>
        <v>0.93988150951893124</v>
      </c>
      <c r="CE24" s="7">
        <f>CD24+預測IC!CE24</f>
        <v>0.72976007428284284</v>
      </c>
      <c r="CF24" s="7">
        <f>CE24+預測IC!CF24</f>
        <v>0.68579544028611128</v>
      </c>
      <c r="CG24" s="7">
        <f>CF24+預測IC!CG24</f>
        <v>0.16582647421218921</v>
      </c>
      <c r="CH24" s="7">
        <f>CG24+預測IC!CH24</f>
        <v>-4.7146409817129087E-2</v>
      </c>
      <c r="CI24" s="7">
        <f>CH24+預測IC!CI24</f>
        <v>-0.34074605346681297</v>
      </c>
      <c r="CJ24" s="7">
        <f>CI24+預測IC!CJ24</f>
        <v>-0.32763656804739338</v>
      </c>
      <c r="CK24" s="7">
        <f>CJ24+預測IC!CK24</f>
        <v>-0.23410648873169682</v>
      </c>
      <c r="CL24" s="7">
        <f>CK24+預測IC!CL24</f>
        <v>-9.2351155359156112E-2</v>
      </c>
      <c r="CM24" s="7">
        <f>CL24+預測IC!CM24</f>
        <v>-0.72878441971866681</v>
      </c>
      <c r="CN24" s="7">
        <f>CM24+預測IC!CN24</f>
        <v>-0.83652318617587995</v>
      </c>
      <c r="CO24" s="7">
        <f>CN24+預測IC!CO24</f>
        <v>-1.4089327959105549</v>
      </c>
      <c r="CP24" s="7">
        <f>CO24+預測IC!CP24</f>
        <v>-1.2108654503634619</v>
      </c>
      <c r="CQ24" s="7">
        <f>CP24+預測IC!CQ24</f>
        <v>-1.3710550969909625</v>
      </c>
      <c r="CR24" s="7">
        <f>CQ24+預測IC!CR24</f>
        <v>-1.2332676409422594</v>
      </c>
      <c r="CS24" s="7">
        <f>CR24+預測IC!CS24</f>
        <v>-1.3412418768812868</v>
      </c>
      <c r="CT24" s="7">
        <f>CS24+預測IC!CT24</f>
        <v>-1.4607862652171266</v>
      </c>
      <c r="CU24" s="7">
        <f>CT24+預測IC!CU24</f>
        <v>-1.5135153100307814</v>
      </c>
      <c r="CV24" s="7">
        <f>CU24+預測IC!CV24</f>
        <v>-1.3306512151235586</v>
      </c>
      <c r="CW24" s="7">
        <f>CV24+預測IC!CW24</f>
        <v>-1.3322393573313662</v>
      </c>
      <c r="CX24" s="7">
        <f>CW24+預測IC!CX24</f>
        <v>-1.4789339830016537</v>
      </c>
      <c r="CY24" s="7">
        <f>CX24+預測IC!CY24</f>
        <v>-1.1187059362329159</v>
      </c>
      <c r="CZ24" s="7">
        <f>CY24+預測IC!CZ24</f>
        <v>-0.95659902635475569</v>
      </c>
      <c r="DA24" s="7">
        <f>CZ24+預測IC!DA24</f>
        <v>-0.14357662944779226</v>
      </c>
      <c r="DB24" s="7">
        <f>DA24+預測IC!DB24</f>
        <v>0.80453295993217688</v>
      </c>
      <c r="DC24" s="7">
        <f>DB24+預測IC!DC24</f>
        <v>0.52180318120365876</v>
      </c>
      <c r="DD24" s="7">
        <f>DC24+預測IC!DD24</f>
        <v>0.71764790338610007</v>
      </c>
      <c r="DE24" s="7">
        <f>DD24+預測IC!DE24</f>
        <v>0.58606231209056725</v>
      </c>
      <c r="DF24" s="7">
        <f>DE24+預測IC!DF24</f>
        <v>0.39142424833463674</v>
      </c>
      <c r="DG24" s="7">
        <f>DF24+預測IC!DG24</f>
        <v>0.271878961934504</v>
      </c>
      <c r="DH24" s="7">
        <f>DG24+預測IC!DH24</f>
        <v>0.37471180591601849</v>
      </c>
      <c r="DI24" s="7">
        <f>DH24+預測IC!DI24</f>
        <v>0.79781060564435746</v>
      </c>
      <c r="DJ24" s="7">
        <f>DI24+預測IC!DJ24</f>
        <v>1.0271804801754469</v>
      </c>
      <c r="DK24" s="7">
        <f>DJ24+預測IC!DK24</f>
        <v>0.86115875182119694</v>
      </c>
      <c r="DL24" s="7">
        <f>DK24+預測IC!DL24</f>
        <v>0.92251926503661386</v>
      </c>
      <c r="DM24" s="7">
        <f>DL24+預測IC!DM24</f>
        <v>0.81420316991042885</v>
      </c>
      <c r="DN24" s="7">
        <f>DM24+預測IC!DN24</f>
        <v>1.3310511089079611</v>
      </c>
      <c r="DO24" s="7">
        <f>DN24+預測IC!DO24</f>
        <v>1.4466630639314415</v>
      </c>
      <c r="DP24" s="7">
        <f>DO24+預測IC!DP24</f>
        <v>1.3023324215510854</v>
      </c>
      <c r="DQ24" s="7">
        <f>DP24+預測IC!DQ24</f>
        <v>1.2518462310721603</v>
      </c>
      <c r="DR24" s="7">
        <f>DQ24+預測IC!DR24</f>
        <v>1.231330600860131</v>
      </c>
      <c r="DS24" s="7">
        <f>DR24+預測IC!DS24</f>
        <v>1.0150690598272853</v>
      </c>
      <c r="DT24" s="7">
        <f>DS24+預測IC!DT24</f>
        <v>1.0445047862161487</v>
      </c>
      <c r="DU24" s="7">
        <f>DT24+預測IC!DU24</f>
        <v>0.27396147846019003</v>
      </c>
      <c r="DV24" s="7">
        <f>DU24+預測IC!DV24</f>
        <v>1.0244180276494113</v>
      </c>
      <c r="DW24" s="7">
        <f>DV24+預測IC!DW24</f>
        <v>1.4077812685946172</v>
      </c>
      <c r="DX24" s="7">
        <f>DW24+預測IC!DX24</f>
        <v>1.5815185990426963</v>
      </c>
      <c r="DY24" s="7">
        <f>DX24+預測IC!DY24</f>
        <v>1.6135851347726478</v>
      </c>
      <c r="DZ24" s="7">
        <f>DY24+預測IC!DZ24</f>
        <v>1.564680470513848</v>
      </c>
      <c r="EA24" s="7">
        <f>DZ24+預測IC!EA24</f>
        <v>1.5097602866723454</v>
      </c>
      <c r="EB24" s="7">
        <f>EA24+預測IC!EB24</f>
        <v>1.4005315142995391</v>
      </c>
      <c r="EC24" s="7">
        <f>EB24+預測IC!EC24</f>
        <v>1.6571828942630655</v>
      </c>
      <c r="ED24" s="7">
        <f>EC24+預測IC!ED24</f>
        <v>1.5873477405964489</v>
      </c>
      <c r="EE24" s="7">
        <f>ED24+預測IC!EE24</f>
        <v>1.4798670833620309</v>
      </c>
      <c r="EF24" s="7">
        <f>EE24+預測IC!EF24</f>
        <v>1.5471437604059992</v>
      </c>
    </row>
    <row r="25" spans="1:136" s="12" customFormat="1" x14ac:dyDescent="0.3">
      <c r="A25" s="14" t="s">
        <v>145</v>
      </c>
      <c r="B25" s="14" t="s">
        <v>146</v>
      </c>
      <c r="C25" s="15">
        <v>-1.7446770539390338E-2</v>
      </c>
      <c r="D25" s="16">
        <f>C25+預測IC!D25</f>
        <v>3.2542899924252917E-3</v>
      </c>
      <c r="E25" s="16">
        <f>D25+預測IC!E25</f>
        <v>2.7236419247192001E-2</v>
      </c>
      <c r="F25" s="16">
        <f>E25+預測IC!F25</f>
        <v>2.0678840274368924E-2</v>
      </c>
      <c r="G25" s="16">
        <f>F25+預測IC!G25</f>
        <v>5.2523970074888612E-2</v>
      </c>
      <c r="H25" s="16">
        <f>G25+預測IC!H25</f>
        <v>8.6872502811879138E-2</v>
      </c>
      <c r="I25" s="16">
        <f>H25+預測IC!I25</f>
        <v>7.8617570030553904E-2</v>
      </c>
      <c r="J25" s="16">
        <f>I25+預測IC!J25</f>
        <v>9.1461094424606662E-2</v>
      </c>
      <c r="K25" s="16">
        <f>J25+預測IC!K25</f>
        <v>4.0442569797815839E-2</v>
      </c>
      <c r="L25" s="16">
        <f>K25+預測IC!L25</f>
        <v>4.1316512538852428E-2</v>
      </c>
      <c r="M25" s="16">
        <f>L25+預測IC!M25</f>
        <v>6.4706088044348353E-2</v>
      </c>
      <c r="N25" s="16">
        <f>M25+預測IC!N25</f>
        <v>7.7695060244681202E-2</v>
      </c>
      <c r="O25" s="16">
        <f>N25+預測IC!O25</f>
        <v>8.3549648970316082E-2</v>
      </c>
      <c r="P25" s="16">
        <f>O25+預測IC!P25</f>
        <v>0.11096285554210664</v>
      </c>
      <c r="Q25" s="16">
        <f>P25+預測IC!Q25</f>
        <v>0.10724991942441378</v>
      </c>
      <c r="R25" s="16">
        <f>Q25+預測IC!R25</f>
        <v>0.13132653347223711</v>
      </c>
      <c r="S25" s="16">
        <f>R25+預測IC!S25</f>
        <v>0.11913650817319715</v>
      </c>
      <c r="T25" s="16">
        <f>S25+預測IC!T25</f>
        <v>7.9386930013607554E-2</v>
      </c>
      <c r="U25" s="16">
        <f>T25+預測IC!U25</f>
        <v>6.2314801819580018E-3</v>
      </c>
      <c r="V25" s="16">
        <f>U25+預測IC!V25</f>
        <v>-5.2028749728156659E-2</v>
      </c>
      <c r="W25" s="16">
        <f>V25+預測IC!W25</f>
        <v>-5.1255952162648284E-2</v>
      </c>
      <c r="X25" s="16">
        <f>W25+預測IC!X25</f>
        <v>-6.6644310274293142E-3</v>
      </c>
      <c r="Y25" s="16">
        <f>X25+預測IC!Y25</f>
        <v>-3.4364111077642409E-2</v>
      </c>
      <c r="Z25" s="16">
        <f>Y25+預測IC!Z25</f>
        <v>-3.226910512789876E-2</v>
      </c>
      <c r="AA25" s="16">
        <f>Z25+預測IC!AA25</f>
        <v>-5.5669656120462874E-2</v>
      </c>
      <c r="AB25" s="16">
        <f>AA25+預測IC!AB25</f>
        <v>-2.3540285023140685E-2</v>
      </c>
      <c r="AC25" s="16">
        <f>AB25+預測IC!AC25</f>
        <v>1.5362988070925745E-2</v>
      </c>
      <c r="AD25" s="16">
        <f>AC25+預測IC!AD25</f>
        <v>-2.7502394100178525E-2</v>
      </c>
      <c r="AE25" s="16">
        <f>AD25+預測IC!AE25</f>
        <v>-8.8551995500263658E-3</v>
      </c>
      <c r="AF25" s="16">
        <f>AE25+預測IC!AF25</f>
        <v>6.3745687725025833E-3</v>
      </c>
      <c r="AG25" s="16">
        <f>AF25+預測IC!AG25</f>
        <v>4.2391172551395004E-2</v>
      </c>
      <c r="AH25" s="16">
        <f>AG25+預測IC!AH25</f>
        <v>5.174578393671117E-2</v>
      </c>
      <c r="AI25" s="16">
        <f>AH25+預測IC!AI25</f>
        <v>6.2494035273549312E-2</v>
      </c>
      <c r="AJ25" s="16">
        <f>AI25+預測IC!AJ25</f>
        <v>7.5851789326630281E-2</v>
      </c>
      <c r="AK25" s="16">
        <f>AJ25+預測IC!AK25</f>
        <v>7.0519041997534893E-2</v>
      </c>
      <c r="AL25" s="16">
        <f>AK25+預測IC!AL25</f>
        <v>7.1902177804796574E-2</v>
      </c>
      <c r="AM25" s="16">
        <f>AL25+預測IC!AM25</f>
        <v>9.2698106224871041E-2</v>
      </c>
      <c r="AN25" s="16">
        <f>AM25+預測IC!AN25</f>
        <v>0.12421580844526167</v>
      </c>
      <c r="AO25" s="16">
        <f>AN25+預測IC!AO25</f>
        <v>0.13045752497859112</v>
      </c>
      <c r="AP25" s="16">
        <f>AO25+預測IC!AP25</f>
        <v>0.13660278663216249</v>
      </c>
      <c r="AQ25" s="16">
        <f>AP25+預測IC!AQ25</f>
        <v>0.15354914430885899</v>
      </c>
      <c r="AR25" s="16">
        <f>AQ25+預測IC!AR25</f>
        <v>0.18823197476316722</v>
      </c>
      <c r="AS25" s="16">
        <f>AR25+預測IC!AS25</f>
        <v>0.19133056338036419</v>
      </c>
      <c r="AT25" s="16">
        <f>AS25+預測IC!AT25</f>
        <v>0.2064119105238503</v>
      </c>
      <c r="AU25" s="16">
        <f>AT25+預測IC!AU25</f>
        <v>0.18716070129398632</v>
      </c>
      <c r="AV25" s="16">
        <f>AU25+預測IC!AV25</f>
        <v>0.22587221468161775</v>
      </c>
      <c r="AW25" s="16">
        <f>AV25+預測IC!AW25</f>
        <v>0.20401526354588115</v>
      </c>
      <c r="AX25" s="16">
        <f>AW25+預測IC!AX25</f>
        <v>0.21178956425567083</v>
      </c>
      <c r="AY25" s="16">
        <f>AX25+預測IC!AY25</f>
        <v>0.25418681095099677</v>
      </c>
      <c r="AZ25" s="16">
        <f>AY25+預測IC!AZ25</f>
        <v>0.22787783608983703</v>
      </c>
      <c r="BA25" s="16">
        <f>AZ25+預測IC!BA25</f>
        <v>0.23744958539855326</v>
      </c>
      <c r="BB25" s="16">
        <f>BA25+預測IC!BB25</f>
        <v>0.21319984413227844</v>
      </c>
      <c r="BC25" s="16">
        <f>BB25+預測IC!BC25</f>
        <v>0.23336321827619427</v>
      </c>
      <c r="BD25" s="16">
        <f>BC25+預測IC!BD25</f>
        <v>0.22985821949407825</v>
      </c>
      <c r="BE25" s="16">
        <f>BD25+預測IC!BE25</f>
        <v>0.25001015459262055</v>
      </c>
      <c r="BF25" s="16">
        <f>BE25+預測IC!BF25</f>
        <v>0.25059149082339083</v>
      </c>
      <c r="BG25" s="16">
        <f>BF25+預測IC!BG25</f>
        <v>0.24537178987013822</v>
      </c>
      <c r="BH25" s="16">
        <f>BG25+預測IC!BH25</f>
        <v>0.12950002846800823</v>
      </c>
      <c r="BI25" s="16">
        <f>BH25+預測IC!BI25</f>
        <v>0.13822525416044559</v>
      </c>
      <c r="BJ25" s="16">
        <f>BI25+預測IC!BJ25</f>
        <v>0.12184799318262345</v>
      </c>
      <c r="BK25" s="16">
        <f>BJ25+預測IC!BK25</f>
        <v>0.14268836478288388</v>
      </c>
      <c r="BL25" s="16">
        <f>BK25+預測IC!BL25</f>
        <v>0.18766423688499859</v>
      </c>
      <c r="BM25" s="16">
        <f>BL25+預測IC!BM25</f>
        <v>0.21161854296686244</v>
      </c>
      <c r="BN25" s="16">
        <f>BM25+預測IC!BN25</f>
        <v>0.24185764435830504</v>
      </c>
      <c r="BO25" s="16">
        <f>BN25+預測IC!BO25</f>
        <v>0.19813175676721753</v>
      </c>
      <c r="BP25" s="16">
        <f>BO25+預測IC!BP25</f>
        <v>0.22002122633541615</v>
      </c>
      <c r="BQ25" s="16">
        <f>BP25+預測IC!BQ25</f>
        <v>0.22864865659892455</v>
      </c>
      <c r="BR25" s="16">
        <f>BQ25+預測IC!BR25</f>
        <v>0.20945570260426577</v>
      </c>
      <c r="BS25" s="16">
        <f>BR25+預測IC!BS25</f>
        <v>0.22919083249239883</v>
      </c>
      <c r="BT25" s="16">
        <f>BS25+預測IC!BT25</f>
        <v>0.27688516997609824</v>
      </c>
      <c r="BU25" s="16">
        <f>BT25+預測IC!BU25</f>
        <v>0.28833998678268163</v>
      </c>
      <c r="BV25" s="16">
        <f>BU25+預測IC!BV25</f>
        <v>0.33156860751789485</v>
      </c>
      <c r="BW25" s="16">
        <f>BV25+預測IC!BW25</f>
        <v>0.28882117708097205</v>
      </c>
      <c r="BX25" s="16">
        <f>BW25+預測IC!BX25</f>
        <v>0.27100988465317749</v>
      </c>
      <c r="BY25" s="16">
        <f>BX25+預測IC!BY25</f>
        <v>0.11985678778410189</v>
      </c>
      <c r="BZ25" s="16">
        <f>BY25+預測IC!BZ25</f>
        <v>0.24408079140367717</v>
      </c>
      <c r="CA25" s="16">
        <f>BZ25+預測IC!CA25</f>
        <v>0.23952353755914751</v>
      </c>
      <c r="CB25" s="16">
        <f>CA25+預測IC!CB25</f>
        <v>0.29973477776405871</v>
      </c>
      <c r="CC25" s="16">
        <f>CB25+預測IC!CC25</f>
        <v>0.385726811246561</v>
      </c>
      <c r="CD25" s="16">
        <f>CC25+預測IC!CD25</f>
        <v>0.37991833166419492</v>
      </c>
      <c r="CE25" s="16">
        <f>CD25+預測IC!CE25</f>
        <v>0.37387698467522684</v>
      </c>
      <c r="CF25" s="16">
        <f>CE25+預測IC!CF25</f>
        <v>0.37632930904747891</v>
      </c>
      <c r="CG25" s="16">
        <f>CF25+預測IC!CG25</f>
        <v>0.46596556098450181</v>
      </c>
      <c r="CH25" s="16">
        <f>CG25+預測IC!CH25</f>
        <v>0.53695829351125968</v>
      </c>
      <c r="CI25" s="16">
        <f>CH25+預測IC!CI25</f>
        <v>0.56412893641304307</v>
      </c>
      <c r="CJ25" s="16">
        <f>CI25+預測IC!CJ25</f>
        <v>0.61659736483837313</v>
      </c>
      <c r="CK25" s="16">
        <f>CJ25+預測IC!CK25</f>
        <v>0.64607802578142259</v>
      </c>
      <c r="CL25" s="16">
        <f>CK25+預測IC!CL25</f>
        <v>0.71290310684162383</v>
      </c>
      <c r="CM25" s="16">
        <f>CL25+預測IC!CM25</f>
        <v>0.68413087782180682</v>
      </c>
      <c r="CN25" s="16">
        <f>CM25+預測IC!CN25</f>
        <v>0.72359339372344467</v>
      </c>
      <c r="CO25" s="16">
        <f>CN25+預測IC!CO25</f>
        <v>0.69456230674608477</v>
      </c>
      <c r="CP25" s="16">
        <f>CO25+預測IC!CP25</f>
        <v>0.70854618926555268</v>
      </c>
      <c r="CQ25" s="16">
        <f>CP25+預測IC!CQ25</f>
        <v>0.67626922430621883</v>
      </c>
      <c r="CR25" s="16">
        <f>CQ25+預測IC!CR25</f>
        <v>0.6793728009191129</v>
      </c>
      <c r="CS25" s="16">
        <f>CR25+預測IC!CS25</f>
        <v>0.70496465668619601</v>
      </c>
      <c r="CT25" s="16">
        <f>CS25+預測IC!CT25</f>
        <v>0.74935654297338927</v>
      </c>
      <c r="CU25" s="16">
        <f>CT25+預測IC!CU25</f>
        <v>0.71901758442381181</v>
      </c>
      <c r="CV25" s="16">
        <f>CU25+預測IC!CV25</f>
        <v>0.7177596079692401</v>
      </c>
      <c r="CW25" s="16">
        <f>CV25+預測IC!CW25</f>
        <v>0.72009596442509805</v>
      </c>
      <c r="CX25" s="16">
        <f>CW25+預測IC!CX25</f>
        <v>0.655831819499192</v>
      </c>
      <c r="CY25" s="16">
        <f>CX25+預測IC!CY25</f>
        <v>0.66874159895818441</v>
      </c>
      <c r="CZ25" s="16">
        <f>CY25+預測IC!CZ25</f>
        <v>0.54326450428732564</v>
      </c>
      <c r="DA25" s="16">
        <f>CZ25+預測IC!DA25</f>
        <v>0.55495518722711823</v>
      </c>
      <c r="DB25" s="16">
        <f>DA25+預測IC!DB25</f>
        <v>0.56129303092785998</v>
      </c>
      <c r="DC25" s="16">
        <f>DB25+預測IC!DC25</f>
        <v>0.44398767445847448</v>
      </c>
      <c r="DD25" s="16">
        <f>DC25+預測IC!DD25</f>
        <v>0.40797680240902789</v>
      </c>
      <c r="DE25" s="16">
        <f>DD25+預測IC!DE25</f>
        <v>0.54688810648129582</v>
      </c>
      <c r="DF25" s="16">
        <f>DE25+預測IC!DF25</f>
        <v>0.49574460025519007</v>
      </c>
      <c r="DG25" s="16">
        <f>DF25+預測IC!DG25</f>
        <v>0.57247604743715907</v>
      </c>
      <c r="DH25" s="16">
        <f>DG25+預測IC!DH25</f>
        <v>0.58798482963416721</v>
      </c>
      <c r="DI25" s="16">
        <f>DH25+預測IC!DI25</f>
        <v>0.61120860330892302</v>
      </c>
      <c r="DJ25" s="16">
        <f>DI25+預測IC!DJ25</f>
        <v>0.59283572694769515</v>
      </c>
      <c r="DK25" s="16">
        <f>DJ25+預測IC!DK25</f>
        <v>0.65503474103279458</v>
      </c>
      <c r="DL25" s="16">
        <f>DK25+預測IC!DL25</f>
        <v>0.67513304551975173</v>
      </c>
      <c r="DM25" s="16">
        <f>DL25+預測IC!DM25</f>
        <v>0.68863198526781977</v>
      </c>
      <c r="DN25" s="16">
        <f>DM25+預測IC!DN25</f>
        <v>0.65837977253939894</v>
      </c>
      <c r="DO25" s="16">
        <f>DN25+預測IC!DO25</f>
        <v>0.64135693683134509</v>
      </c>
      <c r="DP25" s="16">
        <f>DO25+預測IC!DP25</f>
        <v>0.61956841355888315</v>
      </c>
      <c r="DQ25" s="16">
        <f>DP25+預測IC!DQ25</f>
        <v>0.70531403814402038</v>
      </c>
      <c r="DR25" s="16">
        <f>DQ25+預測IC!DR25</f>
        <v>0.73342078174899417</v>
      </c>
      <c r="DS25" s="16">
        <f>DR25+預測IC!DS25</f>
        <v>0.73111762194163477</v>
      </c>
      <c r="DT25" s="16">
        <f>DS25+預測IC!DT25</f>
        <v>0.78958882007312226</v>
      </c>
      <c r="DU25" s="16">
        <f>DT25+預測IC!DU25</f>
        <v>0.85724776912176992</v>
      </c>
      <c r="DV25" s="16">
        <f>DU25+預測IC!DV25</f>
        <v>0.86226853976220219</v>
      </c>
      <c r="DW25" s="16">
        <f>DV25+預測IC!DW25</f>
        <v>0.89968472343740924</v>
      </c>
      <c r="DX25" s="16">
        <f>DW25+預測IC!DX25</f>
        <v>0.98379572718345132</v>
      </c>
      <c r="DY25" s="16">
        <f>DX25+預測IC!DY25</f>
        <v>0.94696332863943844</v>
      </c>
      <c r="DZ25" s="16">
        <f>DY25+預測IC!DZ25</f>
        <v>0.95005503145637549</v>
      </c>
      <c r="EA25" s="16">
        <f>DZ25+預測IC!EA25</f>
        <v>0.94809740324208092</v>
      </c>
      <c r="EB25" s="16">
        <f>EA25+預測IC!EB25</f>
        <v>0.97455650684560069</v>
      </c>
      <c r="EC25" s="16">
        <f>EB25+預測IC!EC25</f>
        <v>0.94980396808491041</v>
      </c>
      <c r="ED25" s="16">
        <f>EC25+預測IC!ED25</f>
        <v>0.98391945906747036</v>
      </c>
      <c r="EE25" s="16">
        <f>ED25+預測IC!EE25</f>
        <v>1.0049814330565034</v>
      </c>
      <c r="EF25" s="16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25"/>
  <sheetViews>
    <sheetView zoomScale="118" workbookViewId="0"/>
  </sheetViews>
  <sheetFormatPr defaultRowHeight="15" x14ac:dyDescent="0.3"/>
  <cols>
    <col min="137" max="137" width="10" bestFit="1" customWidth="1"/>
  </cols>
  <sheetData>
    <row r="1" spans="1:137" x14ac:dyDescent="0.3">
      <c r="A1" t="str">
        <f>預測IC!A1</f>
        <v>NN1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7" x14ac:dyDescent="0.3">
      <c r="B4" s="1" t="s">
        <v>138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7" x14ac:dyDescent="0.3">
      <c r="B5" s="1" t="s">
        <v>139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7" x14ac:dyDescent="0.3">
      <c r="A6" s="19" t="s">
        <v>140</v>
      </c>
      <c r="B6" s="20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mom</v>
      </c>
      <c r="AP7" s="7" t="str">
        <f t="shared" si="1"/>
        <v>size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mom</v>
      </c>
      <c r="AU7" s="7" t="str">
        <f t="shared" si="1"/>
        <v>mom</v>
      </c>
      <c r="AV7" s="7" t="str">
        <f t="shared" si="1"/>
        <v>size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bm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bm</v>
      </c>
      <c r="BH7" s="7" t="str">
        <f t="shared" si="1"/>
        <v>bm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bm</v>
      </c>
      <c r="BP7" s="7" t="str">
        <f t="shared" si="2"/>
        <v>size</v>
      </c>
      <c r="BQ7" s="7" t="str">
        <f t="shared" si="2"/>
        <v>mom</v>
      </c>
      <c r="BR7" s="7" t="str">
        <f t="shared" si="2"/>
        <v>bm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size</v>
      </c>
      <c r="BW7" s="7" t="str">
        <f t="shared" si="2"/>
        <v>mom</v>
      </c>
      <c r="BX7" s="7" t="str">
        <f t="shared" si="2"/>
        <v>mom</v>
      </c>
      <c r="BY7" s="7" t="str">
        <f t="shared" si="2"/>
        <v>size</v>
      </c>
      <c r="BZ7" s="7" t="str">
        <f t="shared" si="2"/>
        <v>bm</v>
      </c>
      <c r="CA7" s="7" t="str">
        <f t="shared" si="2"/>
        <v>bm</v>
      </c>
      <c r="CB7" s="7" t="str">
        <f t="shared" si="2"/>
        <v>size</v>
      </c>
      <c r="CC7" s="7" t="str">
        <f t="shared" si="2"/>
        <v>size</v>
      </c>
      <c r="CD7" s="7" t="str">
        <f t="shared" si="2"/>
        <v>mom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mom</v>
      </c>
      <c r="CL7" s="7" t="str">
        <f t="shared" si="2"/>
        <v>mom</v>
      </c>
      <c r="CM7" s="7" t="str">
        <f t="shared" si="2"/>
        <v>bm</v>
      </c>
      <c r="CN7" s="7" t="str">
        <f t="shared" si="2"/>
        <v>bm</v>
      </c>
      <c r="CO7" s="7" t="str">
        <f t="shared" si="2"/>
        <v>mom</v>
      </c>
      <c r="CP7" s="7" t="str">
        <f t="shared" si="2"/>
        <v>bm</v>
      </c>
      <c r="CQ7" s="7" t="str">
        <f t="shared" si="2"/>
        <v>mom</v>
      </c>
      <c r="CR7" s="7" t="str">
        <f t="shared" si="2"/>
        <v>mom</v>
      </c>
      <c r="CS7" s="7" t="str">
        <f t="shared" si="2"/>
        <v>size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size</v>
      </c>
      <c r="CW7" s="7" t="str">
        <f t="shared" si="3"/>
        <v>mom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mom</v>
      </c>
      <c r="DH7" s="7" t="str">
        <f t="shared" si="3"/>
        <v>size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bm</v>
      </c>
      <c r="DQ7" s="7" t="str">
        <f t="shared" si="3"/>
        <v>mom</v>
      </c>
      <c r="DR7" s="7" t="str">
        <f t="shared" si="3"/>
        <v>size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mom</v>
      </c>
      <c r="EC7" s="7" t="str">
        <f t="shared" si="4"/>
        <v>mom</v>
      </c>
      <c r="ED7" s="7" t="str">
        <f t="shared" si="4"/>
        <v>mom</v>
      </c>
      <c r="EE7" s="7" t="str">
        <f t="shared" si="4"/>
        <v>mom</v>
      </c>
      <c r="EF7" s="7" t="str">
        <f t="shared" si="4"/>
        <v>size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-0.20935792122733929</v>
      </c>
      <c r="D8" s="7">
        <f t="shared" si="5"/>
        <v>-0.19625335237819111</v>
      </c>
      <c r="E8" s="7">
        <f t="shared" si="5"/>
        <v>0.52484760680152232</v>
      </c>
      <c r="F8" s="7">
        <f t="shared" si="5"/>
        <v>4.6837059958046809E-2</v>
      </c>
      <c r="G8" s="7">
        <f t="shared" si="5"/>
        <v>-0.2104714261735883</v>
      </c>
      <c r="H8" s="7">
        <f t="shared" si="5"/>
        <v>0.4744149628629204</v>
      </c>
      <c r="I8" s="7">
        <f t="shared" si="5"/>
        <v>-0.196765586355543</v>
      </c>
      <c r="J8" s="7">
        <f t="shared" si="5"/>
        <v>0.27883034253821021</v>
      </c>
      <c r="K8" s="7">
        <f t="shared" si="5"/>
        <v>0.27552845629080469</v>
      </c>
      <c r="L8" s="7">
        <f t="shared" si="5"/>
        <v>-0.43004286310886081</v>
      </c>
      <c r="M8" s="7">
        <f t="shared" si="5"/>
        <v>0.32376774959305898</v>
      </c>
      <c r="N8" s="7">
        <f t="shared" si="5"/>
        <v>-0.34824165047033961</v>
      </c>
      <c r="O8" s="7">
        <f t="shared" si="5"/>
        <v>0.31084678168383018</v>
      </c>
      <c r="P8" s="7">
        <f t="shared" si="5"/>
        <v>0.39546612391174241</v>
      </c>
      <c r="Q8" s="7">
        <f t="shared" si="5"/>
        <v>-0.12307050339382571</v>
      </c>
      <c r="R8" s="7">
        <f t="shared" si="5"/>
        <v>-0.1125584938483795</v>
      </c>
      <c r="S8" s="7">
        <f t="shared" si="5"/>
        <v>0.3057921371194337</v>
      </c>
      <c r="T8" s="7">
        <f t="shared" si="5"/>
        <v>-0.14458476697667119</v>
      </c>
      <c r="U8" s="7">
        <f t="shared" si="5"/>
        <v>-0.26280780822848671</v>
      </c>
      <c r="V8" s="7">
        <f t="shared" si="5"/>
        <v>-0.13936695356286269</v>
      </c>
      <c r="W8" s="7">
        <f t="shared" si="5"/>
        <v>-0.39469012652483237</v>
      </c>
      <c r="X8" s="7">
        <f t="shared" si="5"/>
        <v>-0.16973075948726549</v>
      </c>
      <c r="Y8" s="7">
        <f t="shared" si="5"/>
        <v>-0.68127295831176804</v>
      </c>
      <c r="Z8" s="7">
        <f t="shared" si="5"/>
        <v>0.1030897419422631</v>
      </c>
      <c r="AA8" s="7">
        <f t="shared" si="5"/>
        <v>0.48637748963693123</v>
      </c>
      <c r="AB8" s="7">
        <f t="shared" si="5"/>
        <v>-0.23481983175156351</v>
      </c>
      <c r="AC8" s="7">
        <f t="shared" si="5"/>
        <v>-8.9163225286403025E-2</v>
      </c>
      <c r="AD8" s="7">
        <f t="shared" si="5"/>
        <v>0.14514145822358679</v>
      </c>
      <c r="AE8" s="7">
        <f t="shared" si="5"/>
        <v>7.4669147590605167E-2</v>
      </c>
      <c r="AF8" s="7">
        <f t="shared" si="5"/>
        <v>0.17577042279847119</v>
      </c>
      <c r="AG8" s="7">
        <f t="shared" si="5"/>
        <v>-0.30336041259100399</v>
      </c>
      <c r="AH8" s="7">
        <f t="shared" si="5"/>
        <v>-0.3482499081721625</v>
      </c>
      <c r="AI8" s="7">
        <f t="shared" ref="AI8:BN8" si="6">IF(AI6=1,AI3,IF(AI6=2,AI4,IF(AI6=3,AI5)))</f>
        <v>0.25872371710226461</v>
      </c>
      <c r="AJ8" s="7">
        <f t="shared" si="6"/>
        <v>-0.48889196953357</v>
      </c>
      <c r="AK8" s="7">
        <f t="shared" si="6"/>
        <v>0.13254842946584691</v>
      </c>
      <c r="AL8" s="7">
        <f t="shared" si="6"/>
        <v>0.1873807232887153</v>
      </c>
      <c r="AM8" s="7">
        <f t="shared" si="6"/>
        <v>9.6837349683265961E-2</v>
      </c>
      <c r="AN8" s="7">
        <f t="shared" si="6"/>
        <v>0.2075736584826228</v>
      </c>
      <c r="AO8" s="7">
        <f t="shared" si="6"/>
        <v>0.1844633194704077</v>
      </c>
      <c r="AP8" s="7">
        <f t="shared" si="6"/>
        <v>7.9750638168698984E-2</v>
      </c>
      <c r="AQ8" s="7">
        <f t="shared" si="6"/>
        <v>-0.2114396427417905</v>
      </c>
      <c r="AR8" s="7">
        <f t="shared" si="6"/>
        <v>0.1144314103616733</v>
      </c>
      <c r="AS8" s="7">
        <f t="shared" si="6"/>
        <v>0.14111009314114389</v>
      </c>
      <c r="AT8" s="7">
        <f t="shared" si="6"/>
        <v>0.1516447920969482</v>
      </c>
      <c r="AU8" s="7">
        <f t="shared" si="6"/>
        <v>-0.20083705233961571</v>
      </c>
      <c r="AV8" s="7">
        <f t="shared" si="6"/>
        <v>-0.21769900369851489</v>
      </c>
      <c r="AW8" s="7">
        <f t="shared" si="6"/>
        <v>-0.1741550037979904</v>
      </c>
      <c r="AX8" s="7">
        <f t="shared" si="6"/>
        <v>0.1122931240608864</v>
      </c>
      <c r="AY8" s="7">
        <f t="shared" si="6"/>
        <v>-0.118056117907044</v>
      </c>
      <c r="AZ8" s="7">
        <f t="shared" si="6"/>
        <v>0.20621977214253931</v>
      </c>
      <c r="BA8" s="7">
        <f t="shared" si="6"/>
        <v>0.16049954912817649</v>
      </c>
      <c r="BB8" s="7">
        <f t="shared" si="6"/>
        <v>-0.25246377965845751</v>
      </c>
      <c r="BC8" s="7">
        <f t="shared" si="6"/>
        <v>0.1567368975950931</v>
      </c>
      <c r="BD8" s="7">
        <f t="shared" si="6"/>
        <v>0.16688346547535879</v>
      </c>
      <c r="BE8" s="7">
        <f t="shared" si="6"/>
        <v>-0.13147229447438241</v>
      </c>
      <c r="BF8" s="7">
        <f t="shared" si="6"/>
        <v>-0.28526227318364472</v>
      </c>
      <c r="BG8" s="7">
        <f t="shared" si="6"/>
        <v>0.31531123716866039</v>
      </c>
      <c r="BH8" s="7">
        <f t="shared" si="6"/>
        <v>0.27010117711850462</v>
      </c>
      <c r="BI8" s="7">
        <f t="shared" si="6"/>
        <v>5.812657406460206E-2</v>
      </c>
      <c r="BJ8" s="7">
        <f t="shared" si="6"/>
        <v>-0.25986983403483388</v>
      </c>
      <c r="BK8" s="7">
        <f t="shared" si="6"/>
        <v>0.18487944696901781</v>
      </c>
      <c r="BL8" s="7">
        <f t="shared" si="6"/>
        <v>-0.26913172790454543</v>
      </c>
      <c r="BM8" s="7">
        <f t="shared" si="6"/>
        <v>0.1717381908649544</v>
      </c>
      <c r="BN8" s="7">
        <f t="shared" si="6"/>
        <v>-0.18092216130584951</v>
      </c>
      <c r="BO8" s="7">
        <f t="shared" ref="BO8:CT8" si="7">IF(BO6=1,BO3,IF(BO6=2,BO4,IF(BO6=3,BO5)))</f>
        <v>-0.149287939972541</v>
      </c>
      <c r="BP8" s="7">
        <f t="shared" si="7"/>
        <v>8.3627121253362802E-2</v>
      </c>
      <c r="BQ8" s="7">
        <f t="shared" si="7"/>
        <v>-0.16861046240236999</v>
      </c>
      <c r="BR8" s="7">
        <f t="shared" si="7"/>
        <v>0.21346470331308601</v>
      </c>
      <c r="BS8" s="7">
        <f t="shared" si="7"/>
        <v>0.1244241075337672</v>
      </c>
      <c r="BT8" s="7">
        <f t="shared" si="7"/>
        <v>0.20772231279415901</v>
      </c>
      <c r="BU8" s="7">
        <f t="shared" si="7"/>
        <v>0.1137793780847101</v>
      </c>
      <c r="BV8" s="7">
        <f t="shared" si="7"/>
        <v>0.17197266141593739</v>
      </c>
      <c r="BW8" s="7">
        <f t="shared" si="7"/>
        <v>-0.1268015683060742</v>
      </c>
      <c r="BX8" s="7">
        <f t="shared" si="7"/>
        <v>-0.10582029087279909</v>
      </c>
      <c r="BY8" s="7">
        <f t="shared" si="7"/>
        <v>-0.1826948620902353</v>
      </c>
      <c r="BZ8" s="7">
        <f t="shared" si="7"/>
        <v>-0.14071284467671319</v>
      </c>
      <c r="CA8" s="7">
        <f t="shared" si="7"/>
        <v>7.3472777058867567E-2</v>
      </c>
      <c r="CB8" s="7">
        <f t="shared" si="7"/>
        <v>0.19801890737320349</v>
      </c>
      <c r="CC8" s="7">
        <f t="shared" si="7"/>
        <v>-0.29446404903659129</v>
      </c>
      <c r="CD8" s="7">
        <f t="shared" si="7"/>
        <v>0.32742328506094998</v>
      </c>
      <c r="CE8" s="7">
        <f t="shared" si="7"/>
        <v>0.21879703659667429</v>
      </c>
      <c r="CF8" s="7">
        <f t="shared" si="7"/>
        <v>-0.14937324914413941</v>
      </c>
      <c r="CG8" s="7">
        <f t="shared" si="7"/>
        <v>0.16320028060313421</v>
      </c>
      <c r="CH8" s="7">
        <f t="shared" si="7"/>
        <v>-6.9038325074175663E-2</v>
      </c>
      <c r="CI8" s="7">
        <f t="shared" si="7"/>
        <v>-0.11536214708505139</v>
      </c>
      <c r="CJ8" s="7">
        <f t="shared" si="7"/>
        <v>-0.39111281147264998</v>
      </c>
      <c r="CK8" s="7">
        <f t="shared" si="7"/>
        <v>0.37897350211797709</v>
      </c>
      <c r="CL8" s="7">
        <f t="shared" si="7"/>
        <v>-7.6383453932209341E-2</v>
      </c>
      <c r="CM8" s="7">
        <f t="shared" si="7"/>
        <v>0.18311247425732111</v>
      </c>
      <c r="CN8" s="7">
        <f t="shared" si="7"/>
        <v>-0.39746167912504499</v>
      </c>
      <c r="CO8" s="7">
        <f t="shared" si="7"/>
        <v>0.43716796518582229</v>
      </c>
      <c r="CP8" s="7">
        <f t="shared" si="7"/>
        <v>-9.5682049872747255E-2</v>
      </c>
      <c r="CQ8" s="7">
        <f t="shared" si="7"/>
        <v>-0.49935244279872992</v>
      </c>
      <c r="CR8" s="7">
        <f t="shared" si="7"/>
        <v>0.3398570382696095</v>
      </c>
      <c r="CS8" s="7">
        <f t="shared" si="7"/>
        <v>-0.27901111949972451</v>
      </c>
      <c r="CT8" s="7">
        <f t="shared" si="7"/>
        <v>0.2246197528310597</v>
      </c>
      <c r="CU8" s="7">
        <f t="shared" ref="CU8:DZ8" si="8">IF(CU6=1,CU3,IF(CU6=2,CU4,IF(CU6=3,CU5)))</f>
        <v>-0.25171771168640761</v>
      </c>
      <c r="CV8" s="7">
        <f t="shared" si="8"/>
        <v>0.1117497704879042</v>
      </c>
      <c r="CW8" s="7">
        <f t="shared" si="8"/>
        <v>0.2108770628752098</v>
      </c>
      <c r="CX8" s="7">
        <f t="shared" si="8"/>
        <v>0.25016150139728283</v>
      </c>
      <c r="CY8" s="7">
        <f t="shared" si="8"/>
        <v>-0.52413353929587791</v>
      </c>
      <c r="CZ8" s="7">
        <f t="shared" si="8"/>
        <v>0.8216183061041753</v>
      </c>
      <c r="DA8" s="7">
        <f t="shared" si="8"/>
        <v>0.31254073484350059</v>
      </c>
      <c r="DB8" s="7">
        <f t="shared" si="8"/>
        <v>-0.15564612733519101</v>
      </c>
      <c r="DC8" s="7">
        <f t="shared" si="8"/>
        <v>-0.1869585274246745</v>
      </c>
      <c r="DD8" s="7">
        <f t="shared" si="8"/>
        <v>-0.42083892435479142</v>
      </c>
      <c r="DE8" s="7">
        <f t="shared" si="8"/>
        <v>-0.2279724207651195</v>
      </c>
      <c r="DF8" s="7">
        <f t="shared" si="8"/>
        <v>-0.33715973842927388</v>
      </c>
      <c r="DG8" s="7">
        <f t="shared" si="8"/>
        <v>-0.44400370439279008</v>
      </c>
      <c r="DH8" s="7">
        <f t="shared" si="8"/>
        <v>0.15762567020768259</v>
      </c>
      <c r="DI8" s="7">
        <f t="shared" si="8"/>
        <v>0.30896916307249689</v>
      </c>
      <c r="DJ8" s="7">
        <f t="shared" si="8"/>
        <v>-0.28669247758290828</v>
      </c>
      <c r="DK8" s="7">
        <f t="shared" si="8"/>
        <v>0.84621248517861269</v>
      </c>
      <c r="DL8" s="7">
        <f t="shared" si="8"/>
        <v>-0.16924034367306559</v>
      </c>
      <c r="DM8" s="7">
        <f t="shared" si="8"/>
        <v>-0.43945016692248923</v>
      </c>
      <c r="DN8" s="7">
        <f t="shared" si="8"/>
        <v>0.74751336560070059</v>
      </c>
      <c r="DO8" s="7">
        <f t="shared" si="8"/>
        <v>-0.39996426308914668</v>
      </c>
      <c r="DP8" s="7">
        <f t="shared" si="8"/>
        <v>0.16113140194021491</v>
      </c>
      <c r="DQ8" s="7">
        <f t="shared" si="8"/>
        <v>-0.58863430244229409</v>
      </c>
      <c r="DR8" s="7">
        <f t="shared" si="8"/>
        <v>-0.1292436792863576</v>
      </c>
      <c r="DS8" s="7">
        <f t="shared" si="8"/>
        <v>-0.19878519438361211</v>
      </c>
      <c r="DT8" s="7">
        <f t="shared" si="8"/>
        <v>0.4132117833889476</v>
      </c>
      <c r="DU8" s="7">
        <f t="shared" si="8"/>
        <v>-0.17065403209770361</v>
      </c>
      <c r="DV8" s="7">
        <f t="shared" si="8"/>
        <v>0.68828031734213269</v>
      </c>
      <c r="DW8" s="7">
        <f t="shared" si="8"/>
        <v>6.6155769939567149E-2</v>
      </c>
      <c r="DX8" s="7">
        <f t="shared" si="8"/>
        <v>-0.1999347157162332</v>
      </c>
      <c r="DY8" s="7">
        <f t="shared" si="8"/>
        <v>0.56631420698904078</v>
      </c>
      <c r="DZ8" s="7">
        <f t="shared" si="8"/>
        <v>0.47362880432099852</v>
      </c>
      <c r="EA8" s="7">
        <f t="shared" ref="EA8:EG8" si="9">IF(EA6=1,EA3,IF(EA6=2,EA4,IF(EA6=3,EA5)))</f>
        <v>-0.1948807812701929</v>
      </c>
      <c r="EB8" s="7">
        <f t="shared" si="9"/>
        <v>-1.076360940060376</v>
      </c>
      <c r="EC8" s="7">
        <f t="shared" si="9"/>
        <v>-0.13610628648279391</v>
      </c>
      <c r="ED8" s="7">
        <f t="shared" si="9"/>
        <v>-0.27349656344743889</v>
      </c>
      <c r="EE8" s="7">
        <f t="shared" si="9"/>
        <v>0.60134859370029736</v>
      </c>
      <c r="EF8" s="7">
        <f t="shared" si="9"/>
        <v>0.24381115553913091</v>
      </c>
      <c r="EG8" s="1">
        <f t="shared" si="9"/>
        <v>0</v>
      </c>
    </row>
    <row r="10" spans="1:137" x14ac:dyDescent="0.3">
      <c r="A10" s="19" t="s">
        <v>141</v>
      </c>
      <c r="B10" s="20"/>
      <c r="C10" s="1" t="s">
        <v>142</v>
      </c>
      <c r="D10" s="2">
        <v>964</v>
      </c>
    </row>
    <row r="11" spans="1:137" x14ac:dyDescent="0.3"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136</v>
      </c>
    </row>
    <row r="12" spans="1:137" x14ac:dyDescent="0.3">
      <c r="B12" s="1" t="s">
        <v>152</v>
      </c>
      <c r="C12" s="7">
        <v>8.4653346747999555E-2</v>
      </c>
      <c r="D12" s="7">
        <f>C12+預測IC!D12</f>
        <v>0.10547514201987786</v>
      </c>
      <c r="E12" s="7">
        <f>D12+預測IC!E12</f>
        <v>9.8721113661519935E-2</v>
      </c>
      <c r="F12" s="7">
        <f>E12+預測IC!F12</f>
        <v>7.8852288713613591E-2</v>
      </c>
      <c r="G12" s="7">
        <f>F12+預測IC!G12</f>
        <v>8.6756635459541959E-2</v>
      </c>
      <c r="H12" s="7">
        <f>G12+預測IC!H12</f>
        <v>9.6116019221297616E-2</v>
      </c>
      <c r="I12" s="7">
        <f>H12+預測IC!I12</f>
        <v>0.13241995607034962</v>
      </c>
      <c r="J12" s="7">
        <f>I12+預測IC!J12</f>
        <v>0.17620453481522114</v>
      </c>
      <c r="K12" s="7">
        <f>J12+預測IC!K12</f>
        <v>0.16521613096239904</v>
      </c>
      <c r="L12" s="7">
        <f>K12+預測IC!L12</f>
        <v>0.16293890018143578</v>
      </c>
      <c r="M12" s="7">
        <f>L12+預測IC!M12</f>
        <v>0.14738709598127464</v>
      </c>
      <c r="N12" s="7">
        <f>M12+預測IC!N12</f>
        <v>0.19946120365663375</v>
      </c>
      <c r="O12" s="7">
        <f>N12+預測IC!O12</f>
        <v>0.21809109230261273</v>
      </c>
      <c r="P12" s="7">
        <f>O12+預測IC!P12</f>
        <v>0.19667067109815037</v>
      </c>
      <c r="Q12" s="7">
        <f>P12+預測IC!Q12</f>
        <v>0.2017863544721144</v>
      </c>
      <c r="R12" s="7">
        <f>Q12+預測IC!R12</f>
        <v>0.21493984313265299</v>
      </c>
      <c r="S12" s="7">
        <f>R12+預測IC!S12</f>
        <v>0.14388594603804594</v>
      </c>
      <c r="T12" s="7">
        <f>S12+預測IC!T12</f>
        <v>0.10064245721853277</v>
      </c>
      <c r="U12" s="7">
        <f>T12+預測IC!U12</f>
        <v>8.0275236665401775E-2</v>
      </c>
      <c r="V12" s="7">
        <f>U12+預測IC!V12</f>
        <v>0.12530522746825049</v>
      </c>
      <c r="W12" s="7">
        <f>V12+預測IC!W12</f>
        <v>0.14758366944156223</v>
      </c>
      <c r="X12" s="7">
        <f>W12+預測IC!X12</f>
        <v>0.19610294422187668</v>
      </c>
      <c r="Y12" s="7">
        <f>X12+預測IC!Y12</f>
        <v>0.1793145669700606</v>
      </c>
      <c r="Z12" s="7">
        <f>Y12+預測IC!Z12</f>
        <v>0.24293825028563457</v>
      </c>
      <c r="AA12" s="7">
        <f>Z12+預測IC!AA12</f>
        <v>0.20353458888452278</v>
      </c>
      <c r="AB12" s="7">
        <f>AA12+預測IC!AB12</f>
        <v>0.23822369943600094</v>
      </c>
      <c r="AC12" s="7">
        <f>AB12+預測IC!AC12</f>
        <v>0.27333846349964736</v>
      </c>
      <c r="AD12" s="7">
        <f>AC12+預測IC!AD12</f>
        <v>0.27918557349888456</v>
      </c>
      <c r="AE12" s="7">
        <f>AD12+預測IC!AE12</f>
        <v>0.24128794996665398</v>
      </c>
      <c r="AF12" s="7">
        <f>AE12+預測IC!AF12</f>
        <v>0.26172010127051892</v>
      </c>
      <c r="AG12" s="7">
        <f>AF12+預測IC!AG12</f>
        <v>0.29170224620324331</v>
      </c>
      <c r="AH12" s="7">
        <f>AG12+預測IC!AH12</f>
        <v>0.30741527997252416</v>
      </c>
      <c r="AI12" s="7">
        <f>AH12+預測IC!AI12</f>
        <v>0.33066173915138874</v>
      </c>
      <c r="AJ12" s="7">
        <f>AI12+預測IC!AJ12</f>
        <v>0.35172400184506231</v>
      </c>
      <c r="AK12" s="7">
        <f>AJ12+預測IC!AK12</f>
        <v>0.36122750969908729</v>
      </c>
      <c r="AL12" s="7">
        <f>AK12+預測IC!AL12</f>
        <v>0.31342701974700998</v>
      </c>
      <c r="AM12" s="7">
        <f>AL12+預測IC!AM12</f>
        <v>0.33013377175329728</v>
      </c>
      <c r="AN12" s="7">
        <f>AM12+預測IC!AN12</f>
        <v>0.39936700606672582</v>
      </c>
      <c r="AO12" s="7">
        <f>AN12+預測IC!AO12</f>
        <v>0.40159579910639887</v>
      </c>
      <c r="AP12" s="7">
        <f>AO12+預測IC!AP12</f>
        <v>0.40797616860329722</v>
      </c>
      <c r="AQ12" s="7">
        <f>AP12+預測IC!AQ12</f>
        <v>0.40627923802576776</v>
      </c>
      <c r="AR12" s="7">
        <f>AQ12+預測IC!AR12</f>
        <v>0.42850226401335995</v>
      </c>
      <c r="AS12" s="7">
        <f>AR12+預測IC!AS12</f>
        <v>0.44847853692373113</v>
      </c>
      <c r="AT12" s="7">
        <f>AS12+預測IC!AT12</f>
        <v>0.52067391927616624</v>
      </c>
      <c r="AU12" s="7">
        <f>AT12+預測IC!AU12</f>
        <v>0.52438745571621082</v>
      </c>
      <c r="AV12" s="7">
        <f>AU12+預測IC!AV12</f>
        <v>0.57810308637293051</v>
      </c>
      <c r="AW12" s="7">
        <f>AV12+預測IC!AW12</f>
        <v>0.57872456339094658</v>
      </c>
      <c r="AX12" s="7">
        <f>AW12+預測IC!AX12</f>
        <v>0.62232303064436945</v>
      </c>
      <c r="AY12" s="7">
        <f>AX12+預測IC!AY12</f>
        <v>0.64727832371204275</v>
      </c>
      <c r="AZ12" s="7">
        <f>AY12+預測IC!AZ12</f>
        <v>0.64497829764038506</v>
      </c>
      <c r="BA12" s="7">
        <f>AZ12+預測IC!BA12</f>
        <v>0.61854396776332343</v>
      </c>
      <c r="BB12" s="7">
        <f>BA12+預測IC!BB12</f>
        <v>0.63381857301578282</v>
      </c>
      <c r="BC12" s="7">
        <f>BB12+預測IC!BC12</f>
        <v>0.64609136205425932</v>
      </c>
      <c r="BD12" s="7">
        <f>BC12+預測IC!BD12</f>
        <v>0.65972191899591193</v>
      </c>
      <c r="BE12" s="7">
        <f>BD12+預測IC!BE12</f>
        <v>0.67833072883529721</v>
      </c>
      <c r="BF12" s="7">
        <f>BE12+預測IC!BF12</f>
        <v>0.61071377958760187</v>
      </c>
      <c r="BG12" s="7">
        <f>BF12+預測IC!BG12</f>
        <v>0.56395602570631809</v>
      </c>
      <c r="BH12" s="7">
        <f>BG12+預測IC!BH12</f>
        <v>0.52887643667640105</v>
      </c>
      <c r="BI12" s="7">
        <f>BH12+預測IC!BI12</f>
        <v>0.48512037229655647</v>
      </c>
      <c r="BJ12" s="7">
        <f>BI12+預測IC!BJ12</f>
        <v>0.46045724612143707</v>
      </c>
      <c r="BK12" s="7">
        <f>BJ12+預測IC!BK12</f>
        <v>0.43917258116130309</v>
      </c>
      <c r="BL12" s="7">
        <f>BK12+預測IC!BL12</f>
        <v>0.46388182699145175</v>
      </c>
      <c r="BM12" s="7">
        <f>BL12+預測IC!BM12</f>
        <v>0.45871273503522186</v>
      </c>
      <c r="BN12" s="7">
        <f>BM12+預測IC!BN12</f>
        <v>0.47022927054731839</v>
      </c>
      <c r="BO12" s="7">
        <f>BN12+預測IC!BO12</f>
        <v>0.4944755808035553</v>
      </c>
      <c r="BP12" s="7">
        <f>BO12+預測IC!BP12</f>
        <v>0.48396659549826121</v>
      </c>
      <c r="BQ12" s="7">
        <f>BP12+預測IC!BQ12</f>
        <v>0.49786334511700792</v>
      </c>
      <c r="BR12" s="7">
        <f>BQ12+預測IC!BR12</f>
        <v>0.49560233666360909</v>
      </c>
      <c r="BS12" s="7">
        <f>BR12+預測IC!BS12</f>
        <v>0.51446563004800505</v>
      </c>
      <c r="BT12" s="7">
        <f>BS12+預測IC!BT12</f>
        <v>0.53649709872544926</v>
      </c>
      <c r="BU12" s="7">
        <f>BT12+預測IC!BU12</f>
        <v>0.52771558158535281</v>
      </c>
      <c r="BV12" s="7">
        <f>BU12+預測IC!BV12</f>
        <v>0.5507780373185438</v>
      </c>
      <c r="BW12" s="7">
        <f>BV12+預測IC!BW12</f>
        <v>0.52129426859901429</v>
      </c>
      <c r="BX12" s="7">
        <f>BW12+預測IC!BX12</f>
        <v>0.53277143060296439</v>
      </c>
      <c r="BY12" s="7">
        <f>BX12+預測IC!BY12</f>
        <v>0.49940063027139292</v>
      </c>
      <c r="BZ12" s="7">
        <f>BY12+預測IC!BZ12</f>
        <v>0.53177935620387762</v>
      </c>
      <c r="CA12" s="7">
        <f>BZ12+預測IC!CA12</f>
        <v>0.53238304463837682</v>
      </c>
      <c r="CB12" s="7">
        <f>CA12+預測IC!CB12</f>
        <v>0.55955690743140851</v>
      </c>
      <c r="CC12" s="7">
        <f>CB12+預測IC!CC12</f>
        <v>0.54278594303729832</v>
      </c>
      <c r="CD12" s="7">
        <f>CC12+預測IC!CD12</f>
        <v>0.65371957662175084</v>
      </c>
      <c r="CE12" s="7">
        <f>CD12+預測IC!CE12</f>
        <v>0.66533898506398004</v>
      </c>
      <c r="CF12" s="7">
        <f>CE12+預測IC!CF12</f>
        <v>0.67336025957791001</v>
      </c>
      <c r="CG12" s="7">
        <f>CF12+預測IC!CG12</f>
        <v>0.62408229961482942</v>
      </c>
      <c r="CH12" s="7">
        <f>CG12+預測IC!CH12</f>
        <v>0.60761918723604358</v>
      </c>
      <c r="CI12" s="7">
        <f>CH12+預測IC!CI12</f>
        <v>0.57202115633493777</v>
      </c>
      <c r="CJ12" s="7">
        <f>CI12+預測IC!CJ12</f>
        <v>0.58746633681362659</v>
      </c>
      <c r="CK12" s="7">
        <f>CJ12+預測IC!CK12</f>
        <v>0.60026948096846144</v>
      </c>
      <c r="CL12" s="7">
        <f>CK12+預測IC!CL12</f>
        <v>0.71828508863807183</v>
      </c>
      <c r="CM12" s="7">
        <f>CL12+預測IC!CM12</f>
        <v>0.64657670062085959</v>
      </c>
      <c r="CN12" s="7">
        <f>CM12+預測IC!CN12</f>
        <v>0.6194929994063002</v>
      </c>
      <c r="CO12" s="7">
        <f>CN12+預測IC!CO12</f>
        <v>0.59467321415108765</v>
      </c>
      <c r="CP12" s="7">
        <f>CO12+預測IC!CP12</f>
        <v>0.59366819211539579</v>
      </c>
      <c r="CQ12" s="7">
        <f>CP12+預測IC!CQ12</f>
        <v>0.65635253911897062</v>
      </c>
      <c r="CR12" s="7">
        <f>CQ12+預測IC!CR12</f>
        <v>0.71351252564048417</v>
      </c>
      <c r="CS12" s="7">
        <f>CR12+預測IC!CS12</f>
        <v>0.71253395204563152</v>
      </c>
      <c r="CT12" s="7">
        <f>CS12+預測IC!CT12</f>
        <v>0.74464796265368072</v>
      </c>
      <c r="CU12" s="7">
        <f>CT12+預測IC!CU12</f>
        <v>0.66986843337232393</v>
      </c>
      <c r="CV12" s="7">
        <f>CU12+預測IC!CV12</f>
        <v>0.73490173986801277</v>
      </c>
      <c r="CW12" s="7">
        <f>CV12+預測IC!CW12</f>
        <v>0.7646594292963802</v>
      </c>
      <c r="CX12" s="7">
        <f>CW12+預測IC!CX12</f>
        <v>0.7339067910289172</v>
      </c>
      <c r="CY12" s="7">
        <f>CX12+預測IC!CY12</f>
        <v>0.75032738727672277</v>
      </c>
      <c r="CZ12" s="7">
        <f>CY12+預測IC!CZ12</f>
        <v>0.73800312521680611</v>
      </c>
      <c r="DA12" s="7">
        <f>CZ12+預測IC!DA12</f>
        <v>0.75482745804204987</v>
      </c>
      <c r="DB12" s="7">
        <f>DA12+預測IC!DB12</f>
        <v>0.79041274068595335</v>
      </c>
      <c r="DC12" s="7">
        <f>DB12+預測IC!DC12</f>
        <v>0.78591137689341184</v>
      </c>
      <c r="DD12" s="7">
        <f>DC12+預測IC!DD12</f>
        <v>0.71595083115906855</v>
      </c>
      <c r="DE12" s="7">
        <f>DD12+預測IC!DE12</f>
        <v>0.69121318674397347</v>
      </c>
      <c r="DF12" s="7">
        <f>DE12+預測IC!DF12</f>
        <v>0.70283750643184251</v>
      </c>
      <c r="DG12" s="7">
        <f>DF12+預測IC!DG12</f>
        <v>0.65642768865231782</v>
      </c>
      <c r="DH12" s="7">
        <f>DG12+預測IC!DH12</f>
        <v>0.68723084383917443</v>
      </c>
      <c r="DI12" s="7">
        <f>DH12+預測IC!DI12</f>
        <v>0.71721009839667416</v>
      </c>
      <c r="DJ12" s="7">
        <f>DI12+預測IC!DJ12</f>
        <v>0.75858814133234576</v>
      </c>
      <c r="DK12" s="7">
        <f>DJ12+預測IC!DK12</f>
        <v>0.75965933996092638</v>
      </c>
      <c r="DL12" s="7">
        <f>DK12+預測IC!DL12</f>
        <v>0.77832917329472939</v>
      </c>
      <c r="DM12" s="7">
        <f>DL12+預測IC!DM12</f>
        <v>0.78747266662825854</v>
      </c>
      <c r="DN12" s="7">
        <f>DM12+預測IC!DN12</f>
        <v>0.76893122316964613</v>
      </c>
      <c r="DO12" s="7">
        <f>DN12+預測IC!DO12</f>
        <v>0.79948816527113697</v>
      </c>
      <c r="DP12" s="7">
        <f>DO12+預測IC!DP12</f>
        <v>0.845441713286055</v>
      </c>
      <c r="DQ12" s="7">
        <f>DP12+預測IC!DQ12</f>
        <v>0.81157959293300652</v>
      </c>
      <c r="DR12" s="7">
        <f>DQ12+預測IC!DR12</f>
        <v>0.83035853621239342</v>
      </c>
      <c r="DS12" s="7">
        <f>DR12+預測IC!DS12</f>
        <v>0.79463238076069564</v>
      </c>
      <c r="DT12" s="7">
        <f>DS12+預測IC!DT12</f>
        <v>0.76981853919810894</v>
      </c>
      <c r="DU12" s="7">
        <f>DT12+預測IC!DU12</f>
        <v>0.72403139722364196</v>
      </c>
      <c r="DV12" s="7">
        <f>DU12+預測IC!DV12</f>
        <v>0.74078283873746253</v>
      </c>
      <c r="DW12" s="7">
        <f>DV12+預測IC!DW12</f>
        <v>0.73870662702484713</v>
      </c>
      <c r="DX12" s="7">
        <f>DW12+預測IC!DX12</f>
        <v>0.72060749024651372</v>
      </c>
      <c r="DY12" s="7">
        <f>DX12+預測IC!DY12</f>
        <v>0.6578792681517438</v>
      </c>
      <c r="DZ12" s="7">
        <f>DY12+預測IC!DZ12</f>
        <v>0.67791815827533286</v>
      </c>
      <c r="EA12" s="7">
        <f>DZ12+預測IC!EA12</f>
        <v>0.72901579081286416</v>
      </c>
      <c r="EB12" s="7">
        <f>EA12+預測IC!EB12</f>
        <v>0.73480176137324482</v>
      </c>
      <c r="EC12" s="7">
        <f>EB12+預測IC!EC12</f>
        <v>0.71991784324372565</v>
      </c>
      <c r="ED12" s="7">
        <f>EC12+預測IC!ED12</f>
        <v>0.71296036171600141</v>
      </c>
      <c r="EE12" s="7">
        <f>ED12+預測IC!EE12</f>
        <v>0.68645346955485376</v>
      </c>
      <c r="EF12" s="7">
        <f>EE12+預測IC!EF12</f>
        <v>0.72568681759364939</v>
      </c>
    </row>
    <row r="13" spans="1:137" x14ac:dyDescent="0.3">
      <c r="B13" s="1" t="s">
        <v>153</v>
      </c>
      <c r="C13" s="7">
        <v>0.104112750252762</v>
      </c>
      <c r="D13" s="7">
        <f>C13+預測IC!D13</f>
        <v>0.13399036085732077</v>
      </c>
      <c r="E13" s="7">
        <f>D13+預測IC!E13</f>
        <v>9.9493741365967725E-2</v>
      </c>
      <c r="F13" s="7">
        <f>E13+預測IC!F13</f>
        <v>6.4571585483313224E-2</v>
      </c>
      <c r="G13" s="7">
        <f>F13+預測IC!G13</f>
        <v>4.9663605726009835E-2</v>
      </c>
      <c r="H13" s="7">
        <f>G13+預測IC!H13</f>
        <v>6.5593990295354954E-2</v>
      </c>
      <c r="I13" s="7">
        <f>H13+預測IC!I13</f>
        <v>9.8276853280077292E-2</v>
      </c>
      <c r="J13" s="7">
        <f>I13+預測IC!J13</f>
        <v>0.13282674524972199</v>
      </c>
      <c r="K13" s="7">
        <f>J13+預測IC!K13</f>
        <v>8.7495755007502979E-2</v>
      </c>
      <c r="L13" s="7">
        <f>K13+預測IC!L13</f>
        <v>5.8360085970057513E-2</v>
      </c>
      <c r="M13" s="7">
        <f>L13+預測IC!M13</f>
        <v>6.6068742232549715E-2</v>
      </c>
      <c r="N13" s="7">
        <f>M13+預測IC!N13</f>
        <v>0.10922069445631657</v>
      </c>
      <c r="O13" s="7">
        <f>N13+預測IC!O13</f>
        <v>0.14549397017623905</v>
      </c>
      <c r="P13" s="7">
        <f>O13+預測IC!P13</f>
        <v>0.1246370571148335</v>
      </c>
      <c r="Q13" s="7">
        <f>P13+預測IC!Q13</f>
        <v>0.10718067261847081</v>
      </c>
      <c r="R13" s="7">
        <f>Q13+預測IC!R13</f>
        <v>0.12369138370130076</v>
      </c>
      <c r="S13" s="7">
        <f>R13+預測IC!S13</f>
        <v>7.7608569775015901E-4</v>
      </c>
      <c r="T13" s="7">
        <f>S13+預測IC!T13</f>
        <v>-5.212371721094318E-2</v>
      </c>
      <c r="U13" s="7">
        <f>T13+預測IC!U13</f>
        <v>-0.10628479225263736</v>
      </c>
      <c r="V13" s="7">
        <f>U13+預測IC!V13</f>
        <v>-5.35050533524037E-2</v>
      </c>
      <c r="W13" s="7">
        <f>V13+預測IC!W13</f>
        <v>-2.2401965468033809E-2</v>
      </c>
      <c r="X13" s="7">
        <f>W13+預測IC!X13</f>
        <v>4.7349003301022756E-2</v>
      </c>
      <c r="Y13" s="7">
        <f>X13+預測IC!Y13</f>
        <v>2.0877120083680235E-2</v>
      </c>
      <c r="Z13" s="7">
        <f>Y13+預測IC!Z13</f>
        <v>9.9301554888863802E-2</v>
      </c>
      <c r="AA13" s="7">
        <f>Z13+預測IC!AA13</f>
        <v>6.718204455039252E-2</v>
      </c>
      <c r="AB13" s="7">
        <f>AA13+預測IC!AB13</f>
        <v>0.1138602646717698</v>
      </c>
      <c r="AC13" s="7">
        <f>AB13+預測IC!AC13</f>
        <v>0.13573182083314733</v>
      </c>
      <c r="AD13" s="7">
        <f>AC13+預測IC!AD13</f>
        <v>0.1423108660356881</v>
      </c>
      <c r="AE13" s="7">
        <f>AD13+預測IC!AE13</f>
        <v>9.9793654579896932E-2</v>
      </c>
      <c r="AF13" s="7">
        <f>AE13+預測IC!AF13</f>
        <v>0.13173411841419816</v>
      </c>
      <c r="AG13" s="7">
        <f>AF13+預測IC!AG13</f>
        <v>0.16341590146920104</v>
      </c>
      <c r="AH13" s="7">
        <f>AG13+預測IC!AH13</f>
        <v>0.18837110801906792</v>
      </c>
      <c r="AI13" s="7">
        <f>AH13+預測IC!AI13</f>
        <v>0.20828101823948139</v>
      </c>
      <c r="AJ13" s="7">
        <f>AI13+預測IC!AJ13</f>
        <v>0.2281673422706591</v>
      </c>
      <c r="AK13" s="7">
        <f>AJ13+預測IC!AK13</f>
        <v>0.23148578704209966</v>
      </c>
      <c r="AL13" s="7">
        <f>AK13+預測IC!AL13</f>
        <v>0.18222690224754959</v>
      </c>
      <c r="AM13" s="7">
        <f>AL13+預測IC!AM13</f>
        <v>0.16779279613346057</v>
      </c>
      <c r="AN13" s="7">
        <f>AM13+預測IC!AN13</f>
        <v>0.27312303426949469</v>
      </c>
      <c r="AO13" s="7">
        <f>AN13+預測IC!AO13</f>
        <v>0.28243422216890962</v>
      </c>
      <c r="AP13" s="7">
        <f>AO13+預測IC!AP13</f>
        <v>0.28032351504218334</v>
      </c>
      <c r="AQ13" s="7">
        <f>AP13+預測IC!AQ13</f>
        <v>0.27798344088266685</v>
      </c>
      <c r="AR13" s="7">
        <f>AQ13+預測IC!AR13</f>
        <v>0.29883148467739068</v>
      </c>
      <c r="AS13" s="7">
        <f>AR13+預測IC!AS13</f>
        <v>0.322236448218988</v>
      </c>
      <c r="AT13" s="7">
        <f>AS13+預測IC!AT13</f>
        <v>0.40865936294658745</v>
      </c>
      <c r="AU13" s="7">
        <f>AT13+預測IC!AU13</f>
        <v>0.39296394452011496</v>
      </c>
      <c r="AV13" s="7">
        <f>AU13+預測IC!AV13</f>
        <v>0.47262992016858507</v>
      </c>
      <c r="AW13" s="7">
        <f>AV13+預測IC!AW13</f>
        <v>0.4767099337516485</v>
      </c>
      <c r="AX13" s="7">
        <f>AW13+預測IC!AX13</f>
        <v>0.54386372153475881</v>
      </c>
      <c r="AY13" s="7">
        <f>AX13+預測IC!AY13</f>
        <v>0.56142806788338373</v>
      </c>
      <c r="AZ13" s="7">
        <f>AY13+預測IC!AZ13</f>
        <v>0.55332460041388432</v>
      </c>
      <c r="BA13" s="7">
        <f>AZ13+預測IC!BA13</f>
        <v>0.5271363263632417</v>
      </c>
      <c r="BB13" s="7">
        <f>BA13+預測IC!BB13</f>
        <v>0.57001170086005259</v>
      </c>
      <c r="BC13" s="7">
        <f>BB13+預測IC!BC13</f>
        <v>0.58129546797171028</v>
      </c>
      <c r="BD13" s="7">
        <f>BC13+預測IC!BD13</f>
        <v>0.5846398963553916</v>
      </c>
      <c r="BE13" s="7">
        <f>BD13+預測IC!BE13</f>
        <v>0.61203170266103313</v>
      </c>
      <c r="BF13" s="7">
        <f>BE13+預測IC!BF13</f>
        <v>0.49037455939507746</v>
      </c>
      <c r="BG13" s="7">
        <f>BF13+預測IC!BG13</f>
        <v>0.40197701353875664</v>
      </c>
      <c r="BH13" s="7">
        <f>BG13+預測IC!BH13</f>
        <v>0.36095335734656464</v>
      </c>
      <c r="BI13" s="7">
        <f>BH13+預測IC!BI13</f>
        <v>0.33935179824363171</v>
      </c>
      <c r="BJ13" s="7">
        <f>BI13+預測IC!BJ13</f>
        <v>0.31508571063052282</v>
      </c>
      <c r="BK13" s="7">
        <f>BJ13+預測IC!BK13</f>
        <v>0.29669468575077335</v>
      </c>
      <c r="BL13" s="7">
        <f>BK13+預測IC!BL13</f>
        <v>0.32864254596394848</v>
      </c>
      <c r="BM13" s="7">
        <f>BL13+預測IC!BM13</f>
        <v>0.34556116158283012</v>
      </c>
      <c r="BN13" s="7">
        <f>BM13+預測IC!BN13</f>
        <v>0.35661370345810639</v>
      </c>
      <c r="BO13" s="7">
        <f>BN13+預測IC!BO13</f>
        <v>0.38749241969158049</v>
      </c>
      <c r="BP13" s="7">
        <f>BO13+預測IC!BP13</f>
        <v>0.39692511538623199</v>
      </c>
      <c r="BQ13" s="7">
        <f>BP13+預測IC!BQ13</f>
        <v>0.43857817917565778</v>
      </c>
      <c r="BR13" s="7">
        <f>BQ13+預測IC!BR13</f>
        <v>0.43189676169210034</v>
      </c>
      <c r="BS13" s="7">
        <f>BR13+預測IC!BS13</f>
        <v>0.43931623353232002</v>
      </c>
      <c r="BT13" s="7">
        <f>BS13+預測IC!BT13</f>
        <v>0.47765973914879284</v>
      </c>
      <c r="BU13" s="7">
        <f>BT13+預測IC!BU13</f>
        <v>0.45995318411223907</v>
      </c>
      <c r="BV13" s="7">
        <f>BU13+預測IC!BV13</f>
        <v>0.48060678098844772</v>
      </c>
      <c r="BW13" s="7">
        <f>BV13+預測IC!BW13</f>
        <v>0.48237001879912472</v>
      </c>
      <c r="BX13" s="7">
        <f>BW13+預測IC!BX13</f>
        <v>0.5034480863231513</v>
      </c>
      <c r="BY13" s="7">
        <f>BX13+預測IC!BY13</f>
        <v>0.48893568865266079</v>
      </c>
      <c r="BZ13" s="7">
        <f>BY13+預測IC!BZ13</f>
        <v>0.554912418578004</v>
      </c>
      <c r="CA13" s="7">
        <f>BZ13+預測IC!CA13</f>
        <v>0.56593340396885561</v>
      </c>
      <c r="CB13" s="7">
        <f>CA13+預測IC!CB13</f>
        <v>0.5919507834915505</v>
      </c>
      <c r="CC13" s="7">
        <f>CB13+預測IC!CC13</f>
        <v>0.57941987127891714</v>
      </c>
      <c r="CD13" s="7">
        <f>CC13+預測IC!CD13</f>
        <v>0.68450570417124457</v>
      </c>
      <c r="CE13" s="7">
        <f>CD13+預測IC!CE13</f>
        <v>0.69372668849665831</v>
      </c>
      <c r="CF13" s="7">
        <f>CE13+預測IC!CF13</f>
        <v>0.68168302148159898</v>
      </c>
      <c r="CG13" s="7">
        <f>CF13+預測IC!CG13</f>
        <v>0.62366805367435962</v>
      </c>
      <c r="CH13" s="7">
        <f>CG13+預測IC!CH13</f>
        <v>0.61963854761614934</v>
      </c>
      <c r="CI13" s="7">
        <f>CH13+預測IC!CI13</f>
        <v>0.6051052443828695</v>
      </c>
      <c r="CJ13" s="7">
        <f>CI13+預測IC!CJ13</f>
        <v>0.60199915641091828</v>
      </c>
      <c r="CK13" s="7">
        <f>CJ13+預測IC!CK13</f>
        <v>0.63404442564738228</v>
      </c>
      <c r="CL13" s="7">
        <f>CK13+預測IC!CL13</f>
        <v>0.71549779174956307</v>
      </c>
      <c r="CM13" s="7">
        <f>CL13+預測IC!CM13</f>
        <v>0.61404557303554452</v>
      </c>
      <c r="CN13" s="7">
        <f>CM13+預測IC!CN13</f>
        <v>0.58715800703669219</v>
      </c>
      <c r="CO13" s="7">
        <f>CN13+預測IC!CO13</f>
        <v>0.5518236629560348</v>
      </c>
      <c r="CP13" s="7">
        <f>CO13+預測IC!CP13</f>
        <v>0.5724006586961643</v>
      </c>
      <c r="CQ13" s="7">
        <f>CP13+預測IC!CQ13</f>
        <v>0.64357952366456816</v>
      </c>
      <c r="CR13" s="7">
        <f>CQ13+預測IC!CR13</f>
        <v>0.75522441004504293</v>
      </c>
      <c r="CS13" s="7">
        <f>CR13+預測IC!CS13</f>
        <v>0.74565675637990758</v>
      </c>
      <c r="CT13" s="7">
        <f>CS13+預測IC!CT13</f>
        <v>0.78911902434895986</v>
      </c>
      <c r="CU13" s="7">
        <f>CT13+預測IC!CU13</f>
        <v>0.68202806263532256</v>
      </c>
      <c r="CV13" s="7">
        <f>CU13+預測IC!CV13</f>
        <v>0.75968411389229518</v>
      </c>
      <c r="CW13" s="7">
        <f>CV13+預測IC!CW13</f>
        <v>0.77014107682361388</v>
      </c>
      <c r="CX13" s="7">
        <f>CW13+預測IC!CX13</f>
        <v>0.73955823534392406</v>
      </c>
      <c r="CY13" s="7">
        <f>CX13+預測IC!CY13</f>
        <v>0.78075998722802087</v>
      </c>
      <c r="CZ13" s="7">
        <f>CY13+預測IC!CZ13</f>
        <v>0.77586177106795562</v>
      </c>
      <c r="DA13" s="7">
        <f>CZ13+預測IC!DA13</f>
        <v>0.79279839754302717</v>
      </c>
      <c r="DB13" s="7">
        <f>DA13+預測IC!DB13</f>
        <v>0.85415458278029865</v>
      </c>
      <c r="DC13" s="7">
        <f>DB13+預測IC!DC13</f>
        <v>0.84000471595300441</v>
      </c>
      <c r="DD13" s="7">
        <f>DC13+預測IC!DD13</f>
        <v>0.77102765702862097</v>
      </c>
      <c r="DE13" s="7">
        <f>DD13+預測IC!DE13</f>
        <v>0.74858566059938492</v>
      </c>
      <c r="DF13" s="7">
        <f>DE13+預測IC!DF13</f>
        <v>0.7658572926275673</v>
      </c>
      <c r="DG13" s="7">
        <f>DF13+預測IC!DG13</f>
        <v>0.71812820902110786</v>
      </c>
      <c r="DH13" s="7">
        <f>DG13+預測IC!DH13</f>
        <v>0.7569347259613961</v>
      </c>
      <c r="DI13" s="7">
        <f>DH13+預測IC!DI13</f>
        <v>0.7865051455958243</v>
      </c>
      <c r="DJ13" s="7">
        <f>DI13+預測IC!DJ13</f>
        <v>0.79352626921138225</v>
      </c>
      <c r="DK13" s="7">
        <f>DJ13+預測IC!DK13</f>
        <v>0.770125377315792</v>
      </c>
      <c r="DL13" s="7">
        <f>DK13+預測IC!DL13</f>
        <v>0.79217606799388018</v>
      </c>
      <c r="DM13" s="7">
        <f>DL13+預測IC!DM13</f>
        <v>0.78052017357836001</v>
      </c>
      <c r="DN13" s="7">
        <f>DM13+預測IC!DN13</f>
        <v>0.76774428409215678</v>
      </c>
      <c r="DO13" s="7">
        <f>DN13+預測IC!DO13</f>
        <v>0.80560774917694955</v>
      </c>
      <c r="DP13" s="7">
        <f>DO13+預測IC!DP13</f>
        <v>0.85060489983899878</v>
      </c>
      <c r="DQ13" s="7">
        <f>DP13+預測IC!DQ13</f>
        <v>0.81663843758703614</v>
      </c>
      <c r="DR13" s="7">
        <f>DQ13+預測IC!DR13</f>
        <v>0.83040964685934804</v>
      </c>
      <c r="DS13" s="7">
        <f>DR13+預測IC!DS13</f>
        <v>0.79152201901967822</v>
      </c>
      <c r="DT13" s="7">
        <f>DS13+預測IC!DT13</f>
        <v>0.7616762098586749</v>
      </c>
      <c r="DU13" s="7">
        <f>DT13+預測IC!DU13</f>
        <v>0.73797735607747339</v>
      </c>
      <c r="DV13" s="7">
        <f>DU13+預測IC!DV13</f>
        <v>0.74783016083972143</v>
      </c>
      <c r="DW13" s="7">
        <f>DV13+預測IC!DW13</f>
        <v>0.7347319317977461</v>
      </c>
      <c r="DX13" s="7">
        <f>DW13+預測IC!DX13</f>
        <v>0.71150232224877996</v>
      </c>
      <c r="DY13" s="7">
        <f>DX13+預測IC!DY13</f>
        <v>0.70199769744490248</v>
      </c>
      <c r="DZ13" s="7">
        <f>DY13+預測IC!DZ13</f>
        <v>0.7322829489198438</v>
      </c>
      <c r="EA13" s="7">
        <f>DZ13+預測IC!EA13</f>
        <v>0.79440162609587373</v>
      </c>
      <c r="EB13" s="7">
        <f>EA13+預測IC!EB13</f>
        <v>0.79460283231479889</v>
      </c>
      <c r="EC13" s="7">
        <f>EB13+預測IC!EC13</f>
        <v>0.77261797978327451</v>
      </c>
      <c r="ED13" s="7">
        <f>EC13+預測IC!ED13</f>
        <v>0.77970269979646789</v>
      </c>
      <c r="EE13" s="7">
        <f>ED13+預測IC!EE13</f>
        <v>0.73846831580055627</v>
      </c>
      <c r="EF13" s="7">
        <f>EE13+預測IC!EF13</f>
        <v>0.80504553116411248</v>
      </c>
    </row>
    <row r="14" spans="1:137" x14ac:dyDescent="0.3">
      <c r="B14" s="1" t="s">
        <v>154</v>
      </c>
      <c r="C14" s="7">
        <v>0.1199414897527061</v>
      </c>
      <c r="D14" s="7">
        <f>C14+預測IC!D14</f>
        <v>0.20328880129600749</v>
      </c>
      <c r="E14" s="7">
        <f>D14+預測IC!E14</f>
        <v>0.15576285802875148</v>
      </c>
      <c r="F14" s="7">
        <f>E14+預測IC!F14</f>
        <v>0.10730871522889163</v>
      </c>
      <c r="G14" s="7">
        <f>F14+預測IC!G14</f>
        <v>6.6288798730966186E-2</v>
      </c>
      <c r="H14" s="7">
        <f>G14+預測IC!H14</f>
        <v>7.3963123002645015E-2</v>
      </c>
      <c r="I14" s="7">
        <f>H14+預測IC!I14</f>
        <v>0.11775048282578732</v>
      </c>
      <c r="J14" s="7">
        <f>I14+預測IC!J14</f>
        <v>0.1410604547906982</v>
      </c>
      <c r="K14" s="7">
        <f>J14+預測IC!K14</f>
        <v>6.8817510766447099E-3</v>
      </c>
      <c r="L14" s="7">
        <f>K14+預測IC!L14</f>
        <v>1.1728948264351516E-2</v>
      </c>
      <c r="M14" s="7">
        <f>L14+預測IC!M14</f>
        <v>1.6723468331139267E-2</v>
      </c>
      <c r="N14" s="7">
        <f>M14+預測IC!N14</f>
        <v>9.9482453025238393E-2</v>
      </c>
      <c r="O14" s="7">
        <f>N14+預測IC!O14</f>
        <v>0.13695824003824489</v>
      </c>
      <c r="P14" s="7">
        <f>O14+預測IC!P14</f>
        <v>7.8612318140003662E-2</v>
      </c>
      <c r="Q14" s="7">
        <f>P14+預測IC!Q14</f>
        <v>-6.8533944156079496E-4</v>
      </c>
      <c r="R14" s="7">
        <f>Q14+預測IC!R14</f>
        <v>-1.8447648070739325E-2</v>
      </c>
      <c r="S14" s="7">
        <f>R14+預測IC!S14</f>
        <v>-0.18434087525544801</v>
      </c>
      <c r="T14" s="7">
        <f>S14+預測IC!T14</f>
        <v>-0.25418235477634388</v>
      </c>
      <c r="U14" s="7">
        <f>T14+預測IC!U14</f>
        <v>-0.35844901941199148</v>
      </c>
      <c r="V14" s="7">
        <f>U14+預測IC!V14</f>
        <v>-0.33835989222661311</v>
      </c>
      <c r="W14" s="7">
        <f>V14+預測IC!W14</f>
        <v>-0.26435173283836011</v>
      </c>
      <c r="X14" s="7">
        <f>W14+預測IC!X14</f>
        <v>-0.15108862452609062</v>
      </c>
      <c r="Y14" s="7">
        <f>X14+預測IC!Y14</f>
        <v>-0.15630849912162254</v>
      </c>
      <c r="Z14" s="7">
        <f>Y14+預測IC!Z14</f>
        <v>-0.11779657284131487</v>
      </c>
      <c r="AA14" s="7">
        <f>Z14+預測IC!AA14</f>
        <v>-0.15724675314339703</v>
      </c>
      <c r="AB14" s="7">
        <f>AA14+預測IC!AB14</f>
        <v>-8.6477375796166822E-2</v>
      </c>
      <c r="AC14" s="7">
        <f>AB14+預測IC!AC14</f>
        <v>-9.9994644599660162E-2</v>
      </c>
      <c r="AD14" s="7">
        <f>AC14+預測IC!AD14</f>
        <v>-0.1129147512108785</v>
      </c>
      <c r="AE14" s="7">
        <f>AD14+預測IC!AE14</f>
        <v>-0.21932682345855609</v>
      </c>
      <c r="AF14" s="7">
        <f>AE14+預測IC!AF14</f>
        <v>-0.17890612091615699</v>
      </c>
      <c r="AG14" s="7">
        <f>AF14+預測IC!AG14</f>
        <v>-0.15838522626959448</v>
      </c>
      <c r="AH14" s="7">
        <f>AG14+預測IC!AH14</f>
        <v>-7.7433041845792833E-2</v>
      </c>
      <c r="AI14" s="7">
        <f>AH14+預測IC!AI14</f>
        <v>-6.6468471163218926E-2</v>
      </c>
      <c r="AJ14" s="7">
        <f>AI14+預測IC!AJ14</f>
        <v>2.9826505545565291E-2</v>
      </c>
      <c r="AK14" s="7">
        <f>AJ14+預測IC!AK14</f>
        <v>1.8317042608390111E-2</v>
      </c>
      <c r="AL14" s="7">
        <f>AK14+預測IC!AL14</f>
        <v>-3.2913140359739385E-2</v>
      </c>
      <c r="AM14" s="7">
        <f>AL14+預測IC!AM14</f>
        <v>-7.5376996297113197E-2</v>
      </c>
      <c r="AN14" s="7">
        <f>AM14+預測IC!AN14</f>
        <v>2.3217670472430521E-2</v>
      </c>
      <c r="AO14" s="7">
        <f>AN14+預測IC!AO14</f>
        <v>8.4123375937840472E-2</v>
      </c>
      <c r="AP14" s="7">
        <f>AO14+預測IC!AP14</f>
        <v>9.2475157567962693E-2</v>
      </c>
      <c r="AQ14" s="7">
        <f>AP14+預測IC!AQ14</f>
        <v>0.12220853806524035</v>
      </c>
      <c r="AR14" s="7">
        <f>AQ14+預測IC!AR14</f>
        <v>0.1297912297326792</v>
      </c>
      <c r="AS14" s="7">
        <f>AR14+預測IC!AS14</f>
        <v>0.12312189134298977</v>
      </c>
      <c r="AT14" s="7">
        <f>AS14+預測IC!AT14</f>
        <v>0.20252537105362783</v>
      </c>
      <c r="AU14" s="7">
        <f>AT14+預測IC!AU14</f>
        <v>0.14510375793949395</v>
      </c>
      <c r="AV14" s="7">
        <f>AU14+預測IC!AV14</f>
        <v>0.2113625071557525</v>
      </c>
      <c r="AW14" s="7">
        <f>AV14+預測IC!AW14</f>
        <v>0.192999575649795</v>
      </c>
      <c r="AX14" s="7">
        <f>AW14+預測IC!AX14</f>
        <v>0.32995060394418774</v>
      </c>
      <c r="AY14" s="7">
        <f>AX14+預測IC!AY14</f>
        <v>0.3450187227159493</v>
      </c>
      <c r="AZ14" s="7">
        <f>AY14+預測IC!AZ14</f>
        <v>0.29167015354379322</v>
      </c>
      <c r="BA14" s="7">
        <f>AZ14+預測IC!BA14</f>
        <v>0.22478032198094461</v>
      </c>
      <c r="BB14" s="7">
        <f>BA14+預測IC!BB14</f>
        <v>0.28651460398261946</v>
      </c>
      <c r="BC14" s="7">
        <f>BB14+預測IC!BC14</f>
        <v>0.27669360502734203</v>
      </c>
      <c r="BD14" s="7">
        <f>BC14+預測IC!BD14</f>
        <v>0.32002138669474745</v>
      </c>
      <c r="BE14" s="7">
        <f>BD14+預測IC!BE14</f>
        <v>0.36380844923023448</v>
      </c>
      <c r="BF14" s="7">
        <f>BE14+預測IC!BF14</f>
        <v>0.20997918765622617</v>
      </c>
      <c r="BG14" s="7">
        <f>BF14+預測IC!BG14</f>
        <v>8.4673881216636382E-2</v>
      </c>
      <c r="BH14" s="7">
        <f>BG14+預測IC!BH14</f>
        <v>1.1260417037911308E-2</v>
      </c>
      <c r="BI14" s="7">
        <f>BH14+預測IC!BI14</f>
        <v>5.22914849711432E-2</v>
      </c>
      <c r="BJ14" s="7">
        <f>BI14+預測IC!BJ14</f>
        <v>-1.6312710631159487E-2</v>
      </c>
      <c r="BK14" s="7">
        <f>BJ14+預測IC!BK14</f>
        <v>-2.1906462288232315E-2</v>
      </c>
      <c r="BL14" s="7">
        <f>BK14+預測IC!BL14</f>
        <v>3.7831304554138023E-2</v>
      </c>
      <c r="BM14" s="7">
        <f>BL14+預測IC!BM14</f>
        <v>7.7088519760565105E-2</v>
      </c>
      <c r="BN14" s="7">
        <f>BM14+預測IC!BN14</f>
        <v>9.8025057833116491E-2</v>
      </c>
      <c r="BO14" s="7">
        <f>BN14+預測IC!BO14</f>
        <v>0.13163410351038096</v>
      </c>
      <c r="BP14" s="7">
        <f>BO14+預測IC!BP14</f>
        <v>0.1473078370033401</v>
      </c>
      <c r="BQ14" s="7">
        <f>BP14+預測IC!BQ14</f>
        <v>0.16315136087329088</v>
      </c>
      <c r="BR14" s="7">
        <f>BQ14+預測IC!BR14</f>
        <v>0.13522193134067295</v>
      </c>
      <c r="BS14" s="7">
        <f>BR14+預測IC!BS14</f>
        <v>9.3727976196095047E-2</v>
      </c>
      <c r="BT14" s="7">
        <f>BS14+預測IC!BT14</f>
        <v>0.16774093853240638</v>
      </c>
      <c r="BU14" s="7">
        <f>BT14+預測IC!BU14</f>
        <v>0.17659577389043724</v>
      </c>
      <c r="BV14" s="7">
        <f>BU14+預測IC!BV14</f>
        <v>0.20232295590686464</v>
      </c>
      <c r="BW14" s="7">
        <f>BV14+預測IC!BW14</f>
        <v>0.21483090416445796</v>
      </c>
      <c r="BX14" s="7">
        <f>BW14+預測IC!BX14</f>
        <v>0.26980166428641106</v>
      </c>
      <c r="BY14" s="7">
        <f>BX14+預測IC!BY14</f>
        <v>0.26320537092144602</v>
      </c>
      <c r="BZ14" s="7">
        <f>BY14+預測IC!BZ14</f>
        <v>0.35658004917044561</v>
      </c>
      <c r="CA14" s="7">
        <f>BZ14+預測IC!CA14</f>
        <v>0.45309637375182887</v>
      </c>
      <c r="CB14" s="7">
        <f>CA14+預測IC!CB14</f>
        <v>0.5125734340453687</v>
      </c>
      <c r="CC14" s="7">
        <f>CB14+預測IC!CC14</f>
        <v>0.49977935326019007</v>
      </c>
      <c r="CD14" s="7">
        <f>CC14+預測IC!CD14</f>
        <v>0.59779606319238787</v>
      </c>
      <c r="CE14" s="7">
        <f>CD14+預測IC!CE14</f>
        <v>0.5256393439806899</v>
      </c>
      <c r="CF14" s="7">
        <f>CE14+預測IC!CF14</f>
        <v>0.48276193390537298</v>
      </c>
      <c r="CG14" s="7">
        <f>CF14+預測IC!CG14</f>
        <v>0.4254412702375524</v>
      </c>
      <c r="CH14" s="7">
        <f>CG14+預測IC!CH14</f>
        <v>0.37656159978148662</v>
      </c>
      <c r="CI14" s="7">
        <f>CH14+預測IC!CI14</f>
        <v>0.36185998777004386</v>
      </c>
      <c r="CJ14" s="7">
        <f>CI14+預測IC!CJ14</f>
        <v>0.33319213282586929</v>
      </c>
      <c r="CK14" s="7">
        <f>CJ14+預測IC!CK14</f>
        <v>0.34720849721651537</v>
      </c>
      <c r="CL14" s="7">
        <f>CK14+預測IC!CL14</f>
        <v>0.40947845209535183</v>
      </c>
      <c r="CM14" s="7">
        <f>CL14+預測IC!CM14</f>
        <v>0.29940947912264226</v>
      </c>
      <c r="CN14" s="7">
        <f>CM14+預測IC!CN14</f>
        <v>0.27638279045171621</v>
      </c>
      <c r="CO14" s="7">
        <f>CN14+預測IC!CO14</f>
        <v>0.1976190317333921</v>
      </c>
      <c r="CP14" s="7">
        <f>CO14+預測IC!CP14</f>
        <v>0.29127838947443396</v>
      </c>
      <c r="CQ14" s="7">
        <f>CP14+預測IC!CQ14</f>
        <v>0.32350628936182169</v>
      </c>
      <c r="CR14" s="7">
        <f>CQ14+預測IC!CR14</f>
        <v>0.53122600195246972</v>
      </c>
      <c r="CS14" s="7">
        <f>CR14+預測IC!CS14</f>
        <v>0.53563863548571933</v>
      </c>
      <c r="CT14" s="7">
        <f>CS14+預測IC!CT14</f>
        <v>0.59751098787732082</v>
      </c>
      <c r="CU14" s="7">
        <f>CT14+預測IC!CU14</f>
        <v>0.49596598792060631</v>
      </c>
      <c r="CV14" s="7">
        <f>CU14+預測IC!CV14</f>
        <v>0.64736282907823961</v>
      </c>
      <c r="CW14" s="7">
        <f>CV14+預測IC!CW14</f>
        <v>0.65559683095861554</v>
      </c>
      <c r="CX14" s="7">
        <f>CW14+預測IC!CX14</f>
        <v>0.56495760360869185</v>
      </c>
      <c r="CY14" s="7">
        <f>CX14+預測IC!CY14</f>
        <v>0.66131873373597572</v>
      </c>
      <c r="CZ14" s="7">
        <f>CY14+預測IC!CZ14</f>
        <v>0.65101733407755236</v>
      </c>
      <c r="DA14" s="7">
        <f>CZ14+預測IC!DA14</f>
        <v>0.59466545347241684</v>
      </c>
      <c r="DB14" s="7">
        <f>DA14+預測IC!DB14</f>
        <v>0.68490446702921803</v>
      </c>
      <c r="DC14" s="7">
        <f>DB14+預測IC!DC14</f>
        <v>0.641905925049018</v>
      </c>
      <c r="DD14" s="7">
        <f>DC14+預測IC!DD14</f>
        <v>0.56270057320083344</v>
      </c>
      <c r="DE14" s="7">
        <f>DD14+預測IC!DE14</f>
        <v>0.50017364919437446</v>
      </c>
      <c r="DF14" s="7">
        <f>DE14+預測IC!DF14</f>
        <v>0.56435405706542907</v>
      </c>
      <c r="DG14" s="7">
        <f>DF14+預測IC!DG14</f>
        <v>0.51877066133853067</v>
      </c>
      <c r="DH14" s="7">
        <f>DG14+預測IC!DH14</f>
        <v>0.527183901706201</v>
      </c>
      <c r="DI14" s="7">
        <f>DH14+預測IC!DI14</f>
        <v>0.56784303634177258</v>
      </c>
      <c r="DJ14" s="7">
        <f>DI14+預測IC!DJ14</f>
        <v>0.57663706572909335</v>
      </c>
      <c r="DK14" s="7">
        <f>DJ14+預測IC!DK14</f>
        <v>0.49922378143895713</v>
      </c>
      <c r="DL14" s="7">
        <f>DK14+預測IC!DL14</f>
        <v>0.53997865327085615</v>
      </c>
      <c r="DM14" s="7">
        <f>DL14+預測IC!DM14</f>
        <v>0.50755673652907718</v>
      </c>
      <c r="DN14" s="7">
        <f>DM14+預測IC!DN14</f>
        <v>0.55249247713757277</v>
      </c>
      <c r="DO14" s="7">
        <f>DN14+預測IC!DO14</f>
        <v>0.65508466650080655</v>
      </c>
      <c r="DP14" s="7">
        <f>DO14+預測IC!DP14</f>
        <v>0.65870252477253322</v>
      </c>
      <c r="DQ14" s="7">
        <f>DP14+預測IC!DQ14</f>
        <v>0.60268323878634278</v>
      </c>
      <c r="DR14" s="7">
        <f>DQ14+預測IC!DR14</f>
        <v>0.65530575824534232</v>
      </c>
      <c r="DS14" s="7">
        <f>DR14+預測IC!DS14</f>
        <v>0.62026085197442549</v>
      </c>
      <c r="DT14" s="7">
        <f>DS14+預測IC!DT14</f>
        <v>0.61250656163534267</v>
      </c>
      <c r="DU14" s="7">
        <f>DT14+預測IC!DU14</f>
        <v>0.49358897506776955</v>
      </c>
      <c r="DV14" s="7">
        <f>DU14+預測IC!DV14</f>
        <v>0.53874219897225262</v>
      </c>
      <c r="DW14" s="7">
        <f>DV14+預測IC!DW14</f>
        <v>0.50765022956420958</v>
      </c>
      <c r="DX14" s="7">
        <f>DW14+預測IC!DX14</f>
        <v>0.47996053220381096</v>
      </c>
      <c r="DY14" s="7">
        <f>DX14+預測IC!DY14</f>
        <v>0.43229954560146977</v>
      </c>
      <c r="DZ14" s="7">
        <f>DY14+預測IC!DZ14</f>
        <v>0.45399713485758658</v>
      </c>
      <c r="EA14" s="7">
        <f>DZ14+預測IC!EA14</f>
        <v>0.56152261805511039</v>
      </c>
      <c r="EB14" s="7">
        <f>EA14+預測IC!EB14</f>
        <v>0.53641309743684584</v>
      </c>
      <c r="EC14" s="7">
        <f>EB14+預測IC!EC14</f>
        <v>0.49315307990753821</v>
      </c>
      <c r="ED14" s="7">
        <f>EC14+預測IC!ED14</f>
        <v>0.45955579210560443</v>
      </c>
      <c r="EE14" s="7">
        <f>ED14+預測IC!EE14</f>
        <v>0.46295504562367695</v>
      </c>
      <c r="EF14" s="7">
        <f>EE14+預測IC!EF14</f>
        <v>0.53291146612223506</v>
      </c>
    </row>
    <row r="15" spans="1:137" x14ac:dyDescent="0.3">
      <c r="B15" s="1" t="s">
        <v>155</v>
      </c>
      <c r="C15" s="7">
        <v>0.22764465877785839</v>
      </c>
      <c r="D15" s="7">
        <f>C15+預測IC!D15</f>
        <v>0.24459752356992412</v>
      </c>
      <c r="E15" s="7">
        <f>D15+預測IC!E15</f>
        <v>0.23439909729784061</v>
      </c>
      <c r="F15" s="7">
        <f>E15+預測IC!F15</f>
        <v>0.12583680392465071</v>
      </c>
      <c r="G15" s="7">
        <f>F15+預測IC!G15</f>
        <v>6.5199875253116435E-2</v>
      </c>
      <c r="H15" s="7">
        <f>G15+預測IC!H15</f>
        <v>0.11535769975670951</v>
      </c>
      <c r="I15" s="7">
        <f>H15+預測IC!I15</f>
        <v>0.17378914403657506</v>
      </c>
      <c r="J15" s="7">
        <f>I15+預測IC!J15</f>
        <v>0.2237506092839647</v>
      </c>
      <c r="K15" s="7">
        <f>J15+預測IC!K15</f>
        <v>-6.284401845240592E-2</v>
      </c>
      <c r="L15" s="7">
        <f>K15+預測IC!L15</f>
        <v>-3.0285513295221278E-2</v>
      </c>
      <c r="M15" s="7">
        <f>L15+預測IC!M15</f>
        <v>-4.7878038157340187E-3</v>
      </c>
      <c r="N15" s="7">
        <f>M15+預測IC!N15</f>
        <v>0.11608035034524708</v>
      </c>
      <c r="O15" s="7">
        <f>N15+預測IC!O15</f>
        <v>0.18983769459156169</v>
      </c>
      <c r="P15" s="7">
        <f>O15+預測IC!P15</f>
        <v>0.12572151156989991</v>
      </c>
      <c r="Q15" s="7">
        <f>P15+預測IC!Q15</f>
        <v>7.9822780123968318E-2</v>
      </c>
      <c r="R15" s="7">
        <f>Q15+預測IC!R15</f>
        <v>-4.6868278585845469E-2</v>
      </c>
      <c r="S15" s="7">
        <f>R15+預測IC!S15</f>
        <v>-0.31687617366799925</v>
      </c>
      <c r="T15" s="7">
        <f>S15+預測IC!T15</f>
        <v>-0.38367629861111135</v>
      </c>
      <c r="U15" s="7">
        <f>T15+預測IC!U15</f>
        <v>-0.52064436027838012</v>
      </c>
      <c r="V15" s="7">
        <f>U15+預測IC!V15</f>
        <v>-0.53777621362649286</v>
      </c>
      <c r="W15" s="7">
        <f>V15+預測IC!W15</f>
        <v>-0.43523261964374976</v>
      </c>
      <c r="X15" s="7">
        <f>W15+預測IC!X15</f>
        <v>-0.30838928818007666</v>
      </c>
      <c r="Y15" s="7">
        <f>X15+預測IC!Y15</f>
        <v>-0.28775931381425685</v>
      </c>
      <c r="Z15" s="7">
        <f>Y15+預測IC!Z15</f>
        <v>-0.24103934176089817</v>
      </c>
      <c r="AA15" s="7">
        <f>Z15+預測IC!AA15</f>
        <v>-0.29512048878893182</v>
      </c>
      <c r="AB15" s="7">
        <f>AA15+預測IC!AB15</f>
        <v>-0.21142031627310132</v>
      </c>
      <c r="AC15" s="7">
        <f>AB15+預測IC!AC15</f>
        <v>-0.19493935006491322</v>
      </c>
      <c r="AD15" s="7">
        <f>AC15+預測IC!AD15</f>
        <v>-0.1760030670340948</v>
      </c>
      <c r="AE15" s="7">
        <f>AD15+預測IC!AE15</f>
        <v>-0.27380075104304591</v>
      </c>
      <c r="AF15" s="7">
        <f>AE15+預測IC!AF15</f>
        <v>-0.20798113854600606</v>
      </c>
      <c r="AG15" s="7">
        <f>AF15+預測IC!AG15</f>
        <v>-0.19785766028435051</v>
      </c>
      <c r="AH15" s="7">
        <f>AG15+預測IC!AH15</f>
        <v>-6.4890295274627696E-2</v>
      </c>
      <c r="AI15" s="7">
        <f>AH15+預測IC!AI15</f>
        <v>9.3866649354541892E-3</v>
      </c>
      <c r="AJ15" s="7">
        <f>AI15+預測IC!AJ15</f>
        <v>1.3571099567787334E-2</v>
      </c>
      <c r="AK15" s="7">
        <f>AJ15+預測IC!AK15</f>
        <v>-2.3428212188942699E-2</v>
      </c>
      <c r="AL15" s="7">
        <f>AK15+預測IC!AL15</f>
        <v>-5.5788385985604122E-2</v>
      </c>
      <c r="AM15" s="7">
        <f>AL15+預測IC!AM15</f>
        <v>-0.12441959307522271</v>
      </c>
      <c r="AN15" s="7">
        <f>AM15+預測IC!AN15</f>
        <v>-2.2730887162839206E-2</v>
      </c>
      <c r="AO15" s="7">
        <f>AN15+預測IC!AO15</f>
        <v>4.063892530062789E-2</v>
      </c>
      <c r="AP15" s="7">
        <f>AO15+預測IC!AP15</f>
        <v>0.1311943003380561</v>
      </c>
      <c r="AQ15" s="7">
        <f>AP15+預測IC!AQ15</f>
        <v>0.16764761975829129</v>
      </c>
      <c r="AR15" s="7">
        <f>AQ15+預測IC!AR15</f>
        <v>0.18538144551753064</v>
      </c>
      <c r="AS15" s="7">
        <f>AR15+預測IC!AS15</f>
        <v>0.13664822416342884</v>
      </c>
      <c r="AT15" s="7">
        <f>AS15+預測IC!AT15</f>
        <v>0.2076380367671338</v>
      </c>
      <c r="AU15" s="7">
        <f>AT15+預測IC!AU15</f>
        <v>0.13046395951717202</v>
      </c>
      <c r="AV15" s="7">
        <f>AU15+預測IC!AV15</f>
        <v>0.16776188821628246</v>
      </c>
      <c r="AW15" s="7">
        <f>AV15+預測IC!AW15</f>
        <v>0.18342182747086341</v>
      </c>
      <c r="AX15" s="7">
        <f>AW15+預測IC!AX15</f>
        <v>0.30865580464559861</v>
      </c>
      <c r="AY15" s="7">
        <f>AX15+預測IC!AY15</f>
        <v>0.33667286875563152</v>
      </c>
      <c r="AZ15" s="7">
        <f>AY15+預測IC!AZ15</f>
        <v>0.24534958868712803</v>
      </c>
      <c r="BA15" s="7">
        <f>AZ15+預測IC!BA15</f>
        <v>0.26050132718092522</v>
      </c>
      <c r="BB15" s="7">
        <f>BA15+預測IC!BB15</f>
        <v>0.37322619325973833</v>
      </c>
      <c r="BC15" s="7">
        <f>BB15+預測IC!BC15</f>
        <v>0.43538133692756864</v>
      </c>
      <c r="BD15" s="7">
        <f>BC15+預測IC!BD15</f>
        <v>0.48842461083236471</v>
      </c>
      <c r="BE15" s="7">
        <f>BD15+預測IC!BE15</f>
        <v>0.53686733185002788</v>
      </c>
      <c r="BF15" s="7">
        <f>BE15+預測IC!BF15</f>
        <v>0.32599524436004046</v>
      </c>
      <c r="BG15" s="7">
        <f>BF15+預測IC!BG15</f>
        <v>0.15994402889544365</v>
      </c>
      <c r="BH15" s="7">
        <f>BG15+預測IC!BH15</f>
        <v>6.1294982489022987E-2</v>
      </c>
      <c r="BI15" s="7">
        <f>BH15+預測IC!BI15</f>
        <v>8.245409689576258E-2</v>
      </c>
      <c r="BJ15" s="7">
        <f>BI15+預測IC!BJ15</f>
        <v>-4.7656158140406829E-2</v>
      </c>
      <c r="BK15" s="7">
        <f>BJ15+預測IC!BK15</f>
        <v>-4.6832405872600791E-2</v>
      </c>
      <c r="BL15" s="7">
        <f>BK15+預測IC!BL15</f>
        <v>1.2571465468747649E-2</v>
      </c>
      <c r="BM15" s="7">
        <f>BL15+預測IC!BM15</f>
        <v>7.9396286835476865E-2</v>
      </c>
      <c r="BN15" s="7">
        <f>BM15+預測IC!BN15</f>
        <v>0.11953885656866675</v>
      </c>
      <c r="BO15" s="7">
        <f>BN15+預測IC!BO15</f>
        <v>0.14727333252359773</v>
      </c>
      <c r="BP15" s="7">
        <f>BO15+預測IC!BP15</f>
        <v>0.16145755323140251</v>
      </c>
      <c r="BQ15" s="7">
        <f>BP15+預測IC!BQ15</f>
        <v>0.17426048452173026</v>
      </c>
      <c r="BR15" s="7">
        <f>BQ15+預測IC!BR15</f>
        <v>0.12410305539967056</v>
      </c>
      <c r="BS15" s="7">
        <f>BR15+預測IC!BS15</f>
        <v>0.10727927794938426</v>
      </c>
      <c r="BT15" s="7">
        <f>BS15+預測IC!BT15</f>
        <v>0.19633948368071868</v>
      </c>
      <c r="BU15" s="7">
        <f>BT15+預測IC!BU15</f>
        <v>0.1768630638849252</v>
      </c>
      <c r="BV15" s="7">
        <f>BU15+預測IC!BV15</f>
        <v>0.23577803163747393</v>
      </c>
      <c r="BW15" s="7">
        <f>BV15+預測IC!BW15</f>
        <v>0.19983214150807022</v>
      </c>
      <c r="BX15" s="7">
        <f>BW15+預測IC!BX15</f>
        <v>0.22846803657380169</v>
      </c>
      <c r="BY15" s="7">
        <f>BX15+預測IC!BY15</f>
        <v>0.16677394509474186</v>
      </c>
      <c r="BZ15" s="7">
        <f>BY15+預測IC!BZ15</f>
        <v>0.37149396329434703</v>
      </c>
      <c r="CA15" s="7">
        <f>BZ15+預測IC!CA15</f>
        <v>0.46441449710314087</v>
      </c>
      <c r="CB15" s="7">
        <f>CA15+預測IC!CB15</f>
        <v>0.55709860262637834</v>
      </c>
      <c r="CC15" s="7">
        <f>CB15+預測IC!CC15</f>
        <v>0.40478033757221688</v>
      </c>
      <c r="CD15" s="7">
        <f>CC15+預測IC!CD15</f>
        <v>0.52493242153530129</v>
      </c>
      <c r="CE15" s="7">
        <f>CD15+預測IC!CE15</f>
        <v>0.40841585246518058</v>
      </c>
      <c r="CF15" s="7">
        <f>CE15+預測IC!CF15</f>
        <v>0.36706642259721306</v>
      </c>
      <c r="CG15" s="7">
        <f>CF15+預測IC!CG15</f>
        <v>0.28118040106704922</v>
      </c>
      <c r="CH15" s="7">
        <f>CG15+預測IC!CH15</f>
        <v>0.19983779308372096</v>
      </c>
      <c r="CI15" s="7">
        <f>CH15+預測IC!CI15</f>
        <v>0.20234873186405333</v>
      </c>
      <c r="CJ15" s="7">
        <f>CI15+預測IC!CJ15</f>
        <v>0.11530437579133525</v>
      </c>
      <c r="CK15" s="7">
        <f>CJ15+預測IC!CK15</f>
        <v>0.17197702156343467</v>
      </c>
      <c r="CL15" s="7">
        <f>CK15+預測IC!CL15</f>
        <v>0.20339899655668298</v>
      </c>
      <c r="CM15" s="7">
        <f>CL15+預測IC!CM15</f>
        <v>9.5279240843760271E-2</v>
      </c>
      <c r="CN15" s="7">
        <f>CM15+預測IC!CN15</f>
        <v>5.264512504459997E-2</v>
      </c>
      <c r="CO15" s="7">
        <f>CN15+預測IC!CO15</f>
        <v>-5.4334119154968129E-2</v>
      </c>
      <c r="CP15" s="7">
        <f>CO15+預測IC!CP15</f>
        <v>7.5764628518771554E-2</v>
      </c>
      <c r="CQ15" s="7">
        <f>CP15+預測IC!CQ15</f>
        <v>5.0801268062332754E-2</v>
      </c>
      <c r="CR15" s="7">
        <f>CQ15+預測IC!CR15</f>
        <v>0.23229020029806785</v>
      </c>
      <c r="CS15" s="7">
        <f>CR15+預測IC!CS15</f>
        <v>0.22580714919902223</v>
      </c>
      <c r="CT15" s="7">
        <f>CS15+預測IC!CT15</f>
        <v>0.25802370564407423</v>
      </c>
      <c r="CU15" s="7">
        <f>CT15+預測IC!CU15</f>
        <v>0.13397377423020612</v>
      </c>
      <c r="CV15" s="7">
        <f>CU15+預測IC!CV15</f>
        <v>0.31658532194712241</v>
      </c>
      <c r="CW15" s="7">
        <f>CV15+預測IC!CW15</f>
        <v>0.28932788040162849</v>
      </c>
      <c r="CX15" s="7">
        <f>CW15+預測IC!CX15</f>
        <v>0.1369401015100605</v>
      </c>
      <c r="CY15" s="7">
        <f>CX15+預測IC!CY15</f>
        <v>0.22988800584541846</v>
      </c>
      <c r="CZ15" s="7">
        <f>CY15+預測IC!CZ15</f>
        <v>0.20612467070493634</v>
      </c>
      <c r="DA15" s="7">
        <f>CZ15+預測IC!DA15</f>
        <v>0.26400681801354281</v>
      </c>
      <c r="DB15" s="7">
        <f>DA15+預測IC!DB15</f>
        <v>0.4736702200927585</v>
      </c>
      <c r="DC15" s="7">
        <f>DB15+預測IC!DC15</f>
        <v>0.40597778814763258</v>
      </c>
      <c r="DD15" s="7">
        <f>DC15+預測IC!DD15</f>
        <v>0.39147106201618631</v>
      </c>
      <c r="DE15" s="7">
        <f>DD15+預測IC!DE15</f>
        <v>0.33430742728493379</v>
      </c>
      <c r="DF15" s="7">
        <f>DE15+預測IC!DF15</f>
        <v>0.32825290101232962</v>
      </c>
      <c r="DG15" s="7">
        <f>DF15+預測IC!DG15</f>
        <v>0.28033541603798728</v>
      </c>
      <c r="DH15" s="7">
        <f>DG15+預測IC!DH15</f>
        <v>0.27939700127090072</v>
      </c>
      <c r="DI15" s="7">
        <f>DH15+預測IC!DI15</f>
        <v>0.33350531992803101</v>
      </c>
      <c r="DJ15" s="7">
        <f>DI15+預測IC!DJ15</f>
        <v>0.3935290966190883</v>
      </c>
      <c r="DK15" s="7">
        <f>DJ15+預測IC!DK15</f>
        <v>0.32134049881329074</v>
      </c>
      <c r="DL15" s="7">
        <f>DK15+預測IC!DL15</f>
        <v>0.32103650561046293</v>
      </c>
      <c r="DM15" s="7">
        <f>DL15+預測IC!DM15</f>
        <v>0.28198438891679717</v>
      </c>
      <c r="DN15" s="7">
        <f>DM15+預測IC!DN15</f>
        <v>0.36371510116792627</v>
      </c>
      <c r="DO15" s="7">
        <f>DN15+預測IC!DO15</f>
        <v>0.52326051252719852</v>
      </c>
      <c r="DP15" s="7">
        <f>DO15+預測IC!DP15</f>
        <v>0.48293031973596506</v>
      </c>
      <c r="DQ15" s="7">
        <f>DP15+預測IC!DQ15</f>
        <v>0.40999223983182226</v>
      </c>
      <c r="DR15" s="7">
        <f>DQ15+預測IC!DR15</f>
        <v>0.48000280644976068</v>
      </c>
      <c r="DS15" s="7">
        <f>DR15+預測IC!DS15</f>
        <v>0.40376089803796356</v>
      </c>
      <c r="DT15" s="7">
        <f>DS15+預測IC!DT15</f>
        <v>0.35104210804889391</v>
      </c>
      <c r="DU15" s="7">
        <f>DT15+預測IC!DU15</f>
        <v>0.162401463146506</v>
      </c>
      <c r="DV15" s="7">
        <f>DU15+預測IC!DV15</f>
        <v>0.20912919249974565</v>
      </c>
      <c r="DW15" s="7">
        <f>DV15+預測IC!DW15</f>
        <v>0.15868095591679859</v>
      </c>
      <c r="DX15" s="7">
        <f>DW15+預測IC!DX15</f>
        <v>0.13713528559631857</v>
      </c>
      <c r="DY15" s="7">
        <f>DX15+預測IC!DY15</f>
        <v>0.22080892028885735</v>
      </c>
      <c r="DZ15" s="7">
        <f>DY15+預測IC!DZ15</f>
        <v>0.25740541805266132</v>
      </c>
      <c r="EA15" s="7">
        <f>DZ15+預測IC!EA15</f>
        <v>0.36658235096253988</v>
      </c>
      <c r="EB15" s="7">
        <f>EA15+預測IC!EB15</f>
        <v>0.31045587069521519</v>
      </c>
      <c r="EC15" s="7">
        <f>EB15+預測IC!EC15</f>
        <v>0.23429879389859531</v>
      </c>
      <c r="ED15" s="7">
        <f>EC15+預測IC!ED15</f>
        <v>0.16191547460566635</v>
      </c>
      <c r="EE15" s="7">
        <f>ED15+預測IC!EE15</f>
        <v>0.15872475410413953</v>
      </c>
      <c r="EF15" s="7">
        <f>EE15+預測IC!EF15</f>
        <v>0.22442574524298176</v>
      </c>
    </row>
    <row r="16" spans="1:137" x14ac:dyDescent="0.3">
      <c r="B16" s="1" t="s">
        <v>156</v>
      </c>
      <c r="C16" s="7">
        <v>0.20787477708292909</v>
      </c>
      <c r="D16" s="7">
        <f>C16+預測IC!D16</f>
        <v>0.20715452841561205</v>
      </c>
      <c r="E16" s="7">
        <f>D16+預測IC!E16</f>
        <v>0.20432435180552666</v>
      </c>
      <c r="F16" s="7">
        <f>E16+預測IC!F16</f>
        <v>0.10494185895003957</v>
      </c>
      <c r="G16" s="7">
        <f>F16+預測IC!G16</f>
        <v>3.1245593823115717E-2</v>
      </c>
      <c r="H16" s="7">
        <f>G16+預測IC!H16</f>
        <v>9.2244598440052561E-2</v>
      </c>
      <c r="I16" s="7">
        <f>H16+預測IC!I16</f>
        <v>0.14977521710567399</v>
      </c>
      <c r="J16" s="7">
        <f>I16+預測IC!J16</f>
        <v>0.19648514314834015</v>
      </c>
      <c r="K16" s="7">
        <f>J16+預測IC!K16</f>
        <v>-8.8185407078191946E-2</v>
      </c>
      <c r="L16" s="7">
        <f>K16+預測IC!L16</f>
        <v>-7.8298872490323149E-2</v>
      </c>
      <c r="M16" s="7">
        <f>L16+預測IC!M16</f>
        <v>-3.7964417765082567E-2</v>
      </c>
      <c r="N16" s="7">
        <f>M16+預測IC!N16</f>
        <v>8.770620777766773E-2</v>
      </c>
      <c r="O16" s="7">
        <f>N16+預測IC!O16</f>
        <v>0.16753306834878481</v>
      </c>
      <c r="P16" s="7">
        <f>O16+預測IC!P16</f>
        <v>0.10648783655736251</v>
      </c>
      <c r="Q16" s="7">
        <f>P16+預測IC!Q16</f>
        <v>2.5009193251369244E-2</v>
      </c>
      <c r="R16" s="7">
        <f>Q16+預測IC!R16</f>
        <v>-7.8100500636339956E-2</v>
      </c>
      <c r="S16" s="7">
        <f>R16+預測IC!S16</f>
        <v>-0.36516352103513472</v>
      </c>
      <c r="T16" s="7">
        <f>S16+預測IC!T16</f>
        <v>-0.43238258119273604</v>
      </c>
      <c r="U16" s="7">
        <f>T16+預測IC!U16</f>
        <v>-0.56244505262248057</v>
      </c>
      <c r="V16" s="7">
        <f>U16+預測IC!V16</f>
        <v>-0.5684671979554462</v>
      </c>
      <c r="W16" s="7">
        <f>V16+預測IC!W16</f>
        <v>-0.46680152190763441</v>
      </c>
      <c r="X16" s="7">
        <f>W16+預測IC!X16</f>
        <v>-0.34239173819914759</v>
      </c>
      <c r="Y16" s="7">
        <f>X16+預測IC!Y16</f>
        <v>-0.32221114977951198</v>
      </c>
      <c r="Z16" s="7">
        <f>Y16+預測IC!Z16</f>
        <v>-0.27915321889530026</v>
      </c>
      <c r="AA16" s="7">
        <f>Z16+預測IC!AA16</f>
        <v>-0.32264085473129239</v>
      </c>
      <c r="AB16" s="7">
        <f>AA16+預測IC!AB16</f>
        <v>-0.247655813093312</v>
      </c>
      <c r="AC16" s="7">
        <f>AB16+預測IC!AC16</f>
        <v>-0.20042957689075147</v>
      </c>
      <c r="AD16" s="7">
        <f>AC16+預測IC!AD16</f>
        <v>-0.19930755104167522</v>
      </c>
      <c r="AE16" s="7">
        <f>AD16+預測IC!AE16</f>
        <v>-0.29580991153028091</v>
      </c>
      <c r="AF16" s="7">
        <f>AE16+預測IC!AF16</f>
        <v>-0.23212406894869175</v>
      </c>
      <c r="AG16" s="7">
        <f>AF16+預測IC!AG16</f>
        <v>-0.21883331591215635</v>
      </c>
      <c r="AH16" s="7">
        <f>AG16+預測IC!AH16</f>
        <v>-7.0431690745003855E-2</v>
      </c>
      <c r="AI16" s="7">
        <f>AH16+預測IC!AI16</f>
        <v>2.0090958472150991E-2</v>
      </c>
      <c r="AJ16" s="7">
        <f>AI16+預測IC!AJ16</f>
        <v>2.4617167491158415E-3</v>
      </c>
      <c r="AK16" s="7">
        <f>AJ16+預測IC!AK16</f>
        <v>-5.5254509808089838E-3</v>
      </c>
      <c r="AL16" s="7">
        <f>AK16+預測IC!AL16</f>
        <v>-1.0965153611461961E-2</v>
      </c>
      <c r="AM16" s="7">
        <f>AL16+預測IC!AM16</f>
        <v>-6.3110886091553103E-2</v>
      </c>
      <c r="AN16" s="7">
        <f>AM16+預測IC!AN16</f>
        <v>4.3345313998122498E-2</v>
      </c>
      <c r="AO16" s="7">
        <f>AN16+預測IC!AO16</f>
        <v>0.10476998582403482</v>
      </c>
      <c r="AP16" s="7">
        <f>AO16+預測IC!AP16</f>
        <v>0.19949466839122948</v>
      </c>
      <c r="AQ16" s="7">
        <f>AP16+預測IC!AQ16</f>
        <v>0.25399242133511279</v>
      </c>
      <c r="AR16" s="7">
        <f>AQ16+預測IC!AR16</f>
        <v>0.28836440039538375</v>
      </c>
      <c r="AS16" s="7">
        <f>AR16+預測IC!AS16</f>
        <v>0.23572168215715</v>
      </c>
      <c r="AT16" s="7">
        <f>AS16+預測IC!AT16</f>
        <v>0.35828572550743482</v>
      </c>
      <c r="AU16" s="7">
        <f>AT16+預測IC!AU16</f>
        <v>0.27619545366443288</v>
      </c>
      <c r="AV16" s="7">
        <f>AU16+預測IC!AV16</f>
        <v>0.3282762891011704</v>
      </c>
      <c r="AW16" s="7">
        <f>AV16+預測IC!AW16</f>
        <v>0.36752921917582104</v>
      </c>
      <c r="AX16" s="7">
        <f>AW16+預測IC!AX16</f>
        <v>0.46835899241979395</v>
      </c>
      <c r="AY16" s="7">
        <f>AX16+預測IC!AY16</f>
        <v>0.50217158226413994</v>
      </c>
      <c r="AZ16" s="7">
        <f>AY16+預測IC!AZ16</f>
        <v>0.39726194708542772</v>
      </c>
      <c r="BA16" s="7">
        <f>AZ16+預測IC!BA16</f>
        <v>0.3633503851007292</v>
      </c>
      <c r="BB16" s="7">
        <f>BA16+預測IC!BB16</f>
        <v>0.47138930925346728</v>
      </c>
      <c r="BC16" s="7">
        <f>BB16+預測IC!BC16</f>
        <v>0.5385107753611591</v>
      </c>
      <c r="BD16" s="7">
        <f>BC16+預測IC!BD16</f>
        <v>0.57444748690706315</v>
      </c>
      <c r="BE16" s="7">
        <f>BD16+預測IC!BE16</f>
        <v>0.62585848130153809</v>
      </c>
      <c r="BF16" s="7">
        <f>BE16+預測IC!BF16</f>
        <v>0.37807162220107798</v>
      </c>
      <c r="BG16" s="7">
        <f>BF16+預測IC!BG16</f>
        <v>0.21684205261672737</v>
      </c>
      <c r="BH16" s="7">
        <f>BG16+預測IC!BH16</f>
        <v>0.12068001810899368</v>
      </c>
      <c r="BI16" s="7">
        <f>BH16+預測IC!BI16</f>
        <v>0.16966995854190467</v>
      </c>
      <c r="BJ16" s="7">
        <f>BI16+預測IC!BJ16</f>
        <v>7.3103155016366633E-2</v>
      </c>
      <c r="BK16" s="7">
        <f>BJ16+預測IC!BK16</f>
        <v>7.6075145311563661E-2</v>
      </c>
      <c r="BL16" s="7">
        <f>BK16+預測IC!BL16</f>
        <v>0.14669871101908682</v>
      </c>
      <c r="BM16" s="7">
        <f>BL16+預測IC!BM16</f>
        <v>0.22822258606105189</v>
      </c>
      <c r="BN16" s="7">
        <f>BM16+預測IC!BN16</f>
        <v>0.27612841866507915</v>
      </c>
      <c r="BO16" s="7">
        <f>BN16+預測IC!BO16</f>
        <v>0.29801877861873682</v>
      </c>
      <c r="BP16" s="7">
        <f>BO16+預測IC!BP16</f>
        <v>0.3188619621663174</v>
      </c>
      <c r="BQ16" s="7">
        <f>BP16+預測IC!BQ16</f>
        <v>0.33533997842124602</v>
      </c>
      <c r="BR16" s="7">
        <f>BQ16+預測IC!BR16</f>
        <v>0.30904313039980164</v>
      </c>
      <c r="BS16" s="7">
        <f>BR16+預測IC!BS16</f>
        <v>0.29585155725233747</v>
      </c>
      <c r="BT16" s="7">
        <f>BS16+預測IC!BT16</f>
        <v>0.3813347485201371</v>
      </c>
      <c r="BU16" s="7">
        <f>BT16+預測IC!BU16</f>
        <v>0.32356963833533664</v>
      </c>
      <c r="BV16" s="7">
        <f>BU16+預測IC!BV16</f>
        <v>0.38428087778217745</v>
      </c>
      <c r="BW16" s="7">
        <f>BV16+預測IC!BW16</f>
        <v>0.31853995035564281</v>
      </c>
      <c r="BX16" s="7">
        <f>BW16+預測IC!BX16</f>
        <v>0.35009918787677374</v>
      </c>
      <c r="BY16" s="7">
        <f>BX16+預測IC!BY16</f>
        <v>0.29953545502953083</v>
      </c>
      <c r="BZ16" s="7">
        <f>BY16+預測IC!BZ16</f>
        <v>0.43111730392018593</v>
      </c>
      <c r="CA16" s="7">
        <f>BZ16+預測IC!CA16</f>
        <v>0.56158718775842165</v>
      </c>
      <c r="CB16" s="7">
        <f>CA16+預測IC!CB16</f>
        <v>0.67745273674757689</v>
      </c>
      <c r="CC16" s="7">
        <f>CB16+預測IC!CC16</f>
        <v>0.51838022226364244</v>
      </c>
      <c r="CD16" s="7">
        <f>CC16+預測IC!CD16</f>
        <v>0.67345149389000425</v>
      </c>
      <c r="CE16" s="7">
        <f>CD16+預測IC!CE16</f>
        <v>0.54085643309649289</v>
      </c>
      <c r="CF16" s="7">
        <f>CE16+預測IC!CF16</f>
        <v>0.48805634876121201</v>
      </c>
      <c r="CG16" s="7">
        <f>CF16+預測IC!CG16</f>
        <v>0.42632847061454543</v>
      </c>
      <c r="CH16" s="7">
        <f>CG16+預測IC!CH16</f>
        <v>0.37587974591054935</v>
      </c>
      <c r="CI16" s="7">
        <f>CH16+預測IC!CI16</f>
        <v>0.38012041402270003</v>
      </c>
      <c r="CJ16" s="7">
        <f>CI16+預測IC!CJ16</f>
        <v>0.3345968632350334</v>
      </c>
      <c r="CK16" s="7">
        <f>CJ16+預測IC!CK16</f>
        <v>0.41106984695272381</v>
      </c>
      <c r="CL16" s="7">
        <f>CK16+預測IC!CL16</f>
        <v>0.42694852928743315</v>
      </c>
      <c r="CM16" s="7">
        <f>CL16+預測IC!CM16</f>
        <v>0.31389269089605853</v>
      </c>
      <c r="CN16" s="7">
        <f>CM16+預測IC!CN16</f>
        <v>0.28083517575510852</v>
      </c>
      <c r="CO16" s="7">
        <f>CN16+預測IC!CO16</f>
        <v>0.14619496696120321</v>
      </c>
      <c r="CP16" s="7">
        <f>CO16+預測IC!CP16</f>
        <v>0.25734641716284751</v>
      </c>
      <c r="CQ16" s="7">
        <f>CP16+預測IC!CQ16</f>
        <v>0.23701263734248659</v>
      </c>
      <c r="CR16" s="7">
        <f>CQ16+預測IC!CR16</f>
        <v>0.426299170809885</v>
      </c>
      <c r="CS16" s="7">
        <f>CR16+預測IC!CS16</f>
        <v>0.38544698321514165</v>
      </c>
      <c r="CT16" s="7">
        <f>CS16+預測IC!CT16</f>
        <v>0.43435050904657047</v>
      </c>
      <c r="CU16" s="7">
        <f>CT16+預測IC!CU16</f>
        <v>0.29887880818236434</v>
      </c>
      <c r="CV16" s="7">
        <f>CU16+預測IC!CV16</f>
        <v>0.47113033082085065</v>
      </c>
      <c r="CW16" s="7">
        <f>CV16+預測IC!CW16</f>
        <v>0.43945721664916793</v>
      </c>
      <c r="CX16" s="7">
        <f>CW16+預測IC!CX16</f>
        <v>0.27719124134655171</v>
      </c>
      <c r="CY16" s="7">
        <f>CX16+預測IC!CY16</f>
        <v>0.35847187922076595</v>
      </c>
      <c r="CZ16" s="7">
        <f>CY16+預測IC!CZ16</f>
        <v>0.32574705697862172</v>
      </c>
      <c r="DA16" s="7">
        <f>CZ16+預測IC!DA16</f>
        <v>0.40385335545308432</v>
      </c>
      <c r="DB16" s="7">
        <f>DA16+預測IC!DB16</f>
        <v>0.63551870135472821</v>
      </c>
      <c r="DC16" s="7">
        <f>DB16+預測IC!DC16</f>
        <v>0.55225464973174354</v>
      </c>
      <c r="DD16" s="7">
        <f>DC16+預測IC!DD16</f>
        <v>0.52051093924446357</v>
      </c>
      <c r="DE16" s="7">
        <f>DD16+預測IC!DE16</f>
        <v>0.48595853888567353</v>
      </c>
      <c r="DF16" s="7">
        <f>DE16+預測IC!DF16</f>
        <v>0.48326052533334757</v>
      </c>
      <c r="DG16" s="7">
        <f>DF16+預測IC!DG16</f>
        <v>0.43758361030445514</v>
      </c>
      <c r="DH16" s="7">
        <f>DG16+預測IC!DH16</f>
        <v>0.44156244226901048</v>
      </c>
      <c r="DI16" s="7">
        <f>DH16+預測IC!DI16</f>
        <v>0.48696194017027167</v>
      </c>
      <c r="DJ16" s="7">
        <f>DI16+預測IC!DJ16</f>
        <v>0.55791699260715721</v>
      </c>
      <c r="DK16" s="7">
        <f>DJ16+預測IC!DK16</f>
        <v>0.50023122325989788</v>
      </c>
      <c r="DL16" s="7">
        <f>DK16+預測IC!DL16</f>
        <v>0.47835834901012364</v>
      </c>
      <c r="DM16" s="7">
        <f>DL16+預測IC!DM16</f>
        <v>0.4594479748415804</v>
      </c>
      <c r="DN16" s="7">
        <f>DM16+預測IC!DN16</f>
        <v>0.57533470658657204</v>
      </c>
      <c r="DO16" s="7">
        <f>DN16+預測IC!DO16</f>
        <v>0.7449256529746463</v>
      </c>
      <c r="DP16" s="7">
        <f>DO16+預測IC!DP16</f>
        <v>0.72020906959691078</v>
      </c>
      <c r="DQ16" s="7">
        <f>DP16+預測IC!DQ16</f>
        <v>0.65264854965127483</v>
      </c>
      <c r="DR16" s="7">
        <f>DQ16+預測IC!DR16</f>
        <v>0.70783980130079005</v>
      </c>
      <c r="DS16" s="7">
        <f>DR16+預測IC!DS16</f>
        <v>0.61408773631103575</v>
      </c>
      <c r="DT16" s="7">
        <f>DS16+預測IC!DT16</f>
        <v>0.55497476123284983</v>
      </c>
      <c r="DU16" s="7">
        <f>DT16+預測IC!DU16</f>
        <v>0.36486651878693144</v>
      </c>
      <c r="DV16" s="7">
        <f>DU16+預測IC!DV16</f>
        <v>0.41059483595941842</v>
      </c>
      <c r="DW16" s="7">
        <f>DV16+預測IC!DW16</f>
        <v>0.38045572396960337</v>
      </c>
      <c r="DX16" s="7">
        <f>DW16+預測IC!DX16</f>
        <v>0.35850799619356244</v>
      </c>
      <c r="DY16" s="7">
        <f>DX16+預測IC!DY16</f>
        <v>0.45349286041479941</v>
      </c>
      <c r="DZ16" s="7">
        <f>DY16+預測IC!DZ16</f>
        <v>0.46614203200058879</v>
      </c>
      <c r="EA16" s="7">
        <f>DZ16+預測IC!EA16</f>
        <v>0.60594105074397853</v>
      </c>
      <c r="EB16" s="7">
        <f>EA16+預測IC!EB16</f>
        <v>0.53506560696442751</v>
      </c>
      <c r="EC16" s="7">
        <f>EB16+預測IC!EC16</f>
        <v>0.46656412639658851</v>
      </c>
      <c r="ED16" s="7">
        <f>EC16+預測IC!ED16</f>
        <v>0.38627921373775503</v>
      </c>
      <c r="EE16" s="7">
        <f>ED16+預測IC!EE16</f>
        <v>0.38188253843099534</v>
      </c>
      <c r="EF16" s="7">
        <f>EE16+預測IC!EF16</f>
        <v>0.42435693992490259</v>
      </c>
    </row>
    <row r="17" spans="1:136" x14ac:dyDescent="0.3">
      <c r="B17" s="1" t="s">
        <v>157</v>
      </c>
      <c r="C17" s="7">
        <v>0.2060921883792059</v>
      </c>
      <c r="D17" s="7">
        <f>C17+預測IC!D17</f>
        <v>0.1887578136461181</v>
      </c>
      <c r="E17" s="7">
        <f>D17+預測IC!E17</f>
        <v>0.19613681514141945</v>
      </c>
      <c r="F17" s="7">
        <f>E17+預測IC!F17</f>
        <v>8.3299300024123751E-2</v>
      </c>
      <c r="G17" s="7">
        <f>F17+預測IC!G17</f>
        <v>1.2076533145941981E-2</v>
      </c>
      <c r="H17" s="7">
        <f>G17+預測IC!H17</f>
        <v>8.876435470855884E-2</v>
      </c>
      <c r="I17" s="7">
        <f>H17+預測IC!I17</f>
        <v>0.20248938251074633</v>
      </c>
      <c r="J17" s="7"/>
      <c r="K17" s="7">
        <f>J17+預測IC!K17</f>
        <v>-0.29682655110056239</v>
      </c>
      <c r="L17" s="7">
        <f>K17+預測IC!L17</f>
        <v>-0.28711566159240437</v>
      </c>
      <c r="M17" s="7">
        <f>L17+預測IC!M17</f>
        <v>-0.22218362660891819</v>
      </c>
      <c r="N17" s="7">
        <f>M17+預測IC!N17</f>
        <v>-8.6235194556132988E-2</v>
      </c>
      <c r="O17" s="7">
        <f>N17+預測IC!O17</f>
        <v>1.4991574716202716E-2</v>
      </c>
      <c r="P17" s="7">
        <f>O17+預測IC!P17</f>
        <v>-5.1347794422628296E-2</v>
      </c>
      <c r="Q17" s="7">
        <f>P17+預測IC!Q17</f>
        <v>-0.1516146227261963</v>
      </c>
      <c r="R17" s="7">
        <f>Q17+預測IC!R17</f>
        <v>-0.28804106792644246</v>
      </c>
      <c r="S17" s="7">
        <f>R17+預測IC!S17</f>
        <v>-0.59869450058174067</v>
      </c>
      <c r="T17" s="7">
        <f>S17+預測IC!T17</f>
        <v>-0.66989651511454773</v>
      </c>
      <c r="U17" s="7">
        <f>T17+預測IC!U17</f>
        <v>-0.81116765765310461</v>
      </c>
      <c r="V17" s="7">
        <f>U17+預測IC!V17</f>
        <v>-0.80715646782340611</v>
      </c>
      <c r="W17" s="7">
        <f>V17+預測IC!W17</f>
        <v>-0.68755248381109857</v>
      </c>
      <c r="X17" s="7">
        <f>W17+預測IC!X17</f>
        <v>-0.57070628587029493</v>
      </c>
      <c r="Y17" s="7">
        <f>X17+預測IC!Y17</f>
        <v>-0.54777827480764008</v>
      </c>
      <c r="Z17" s="7">
        <f>Y17+預測IC!Z17</f>
        <v>-0.49390978551677428</v>
      </c>
      <c r="AA17" s="7">
        <f>Z17+預測IC!AA17</f>
        <v>-0.52911957509897334</v>
      </c>
      <c r="AB17" s="7">
        <f>AA17+預測IC!AB17</f>
        <v>-0.44426751222080102</v>
      </c>
      <c r="AC17" s="7">
        <f>AB17+預測IC!AC17</f>
        <v>-0.3855388219303072</v>
      </c>
      <c r="AD17" s="7">
        <f>AC17+預測IC!AD17</f>
        <v>-0.36362597775666661</v>
      </c>
      <c r="AE17" s="7">
        <f>AD17+預測IC!AE17</f>
        <v>-0.49078440020389158</v>
      </c>
      <c r="AF17" s="7">
        <f>AE17+預測IC!AF17</f>
        <v>-0.42935509008195144</v>
      </c>
      <c r="AG17" s="7">
        <f>AF17+預測IC!AG17</f>
        <v>-0.40661410929416125</v>
      </c>
      <c r="AH17" s="7">
        <f>AG17+預測IC!AH17</f>
        <v>-0.25958922003835666</v>
      </c>
      <c r="AI17" s="7">
        <f>AH17+預測IC!AI17</f>
        <v>-0.14472477464007005</v>
      </c>
      <c r="AJ17" s="7">
        <f>AI17+預測IC!AJ17</f>
        <v>-0.16693223416481651</v>
      </c>
      <c r="AK17" s="7">
        <f>AJ17+預測IC!AK17</f>
        <v>-0.18025794691718017</v>
      </c>
      <c r="AL17" s="7">
        <f>AK17+預測IC!AL17</f>
        <v>-0.20727612908586879</v>
      </c>
      <c r="AM17" s="7">
        <f>AL17+預測IC!AM17</f>
        <v>-0.30062783911239904</v>
      </c>
      <c r="AN17" s="7">
        <f>AM17+預測IC!AN17</f>
        <v>-0.18734071876648134</v>
      </c>
      <c r="AO17" s="7">
        <f>AN17+預測IC!AO17</f>
        <v>-0.17470838417075715</v>
      </c>
      <c r="AP17" s="7">
        <f>AO17+預測IC!AP17</f>
        <v>-8.1290804090195706E-2</v>
      </c>
      <c r="AQ17" s="7">
        <f>AP17+預測IC!AQ17</f>
        <v>-2.0013551971973735E-2</v>
      </c>
      <c r="AR17" s="7">
        <f>AQ17+預測IC!AR17</f>
        <v>2.5789073585329093E-2</v>
      </c>
      <c r="AS17" s="7">
        <f>AR17+預測IC!AS17</f>
        <v>-3.301388335890524E-2</v>
      </c>
      <c r="AT17" s="7">
        <f>AS17+預測IC!AT17</f>
        <v>9.4057909748346463E-2</v>
      </c>
      <c r="AU17" s="7">
        <f>AT17+預測IC!AU17</f>
        <v>-2.1641699785758431E-2</v>
      </c>
      <c r="AV17" s="7">
        <f>AU17+預測IC!AV17</f>
        <v>3.6887749548872951E-2</v>
      </c>
      <c r="AW17" s="7">
        <f>AV17+預測IC!AW17</f>
        <v>4.5309637590709745E-2</v>
      </c>
      <c r="AX17" s="7">
        <f>AW17+預測IC!AX17</f>
        <v>0.14155019609950872</v>
      </c>
      <c r="AY17" s="7">
        <f>AX17+預測IC!AY17</f>
        <v>0.1689738927901096</v>
      </c>
      <c r="AZ17" s="7">
        <f>AY17+預測IC!AZ17</f>
        <v>4.3816290529918506E-2</v>
      </c>
      <c r="BA17" s="7">
        <f>AZ17+預測IC!BA17</f>
        <v>5.0446752822279478E-3</v>
      </c>
      <c r="BB17" s="7">
        <f>BA17+預測IC!BB17</f>
        <v>0.12880873839607235</v>
      </c>
      <c r="BC17" s="7">
        <f>BB17+預測IC!BC17</f>
        <v>0.21267193357388597</v>
      </c>
      <c r="BD17" s="7">
        <f>BC17+預測IC!BD17</f>
        <v>0.23502841582009079</v>
      </c>
      <c r="BE17" s="7">
        <f>BD17+預測IC!BE17</f>
        <v>0.31237865805815118</v>
      </c>
      <c r="BF17" s="7">
        <f>BE17+預測IC!BF17</f>
        <v>0.16460182777799287</v>
      </c>
      <c r="BG17" s="7">
        <f>BF17+預測IC!BG17</f>
        <v>-2.1149750352888019E-2</v>
      </c>
      <c r="BH17" s="7">
        <f>BG17+預測IC!BH17</f>
        <v>-0.15434086367821712</v>
      </c>
      <c r="BI17" s="7">
        <f>BH17+預測IC!BI17</f>
        <v>-7.3602464119865527E-2</v>
      </c>
      <c r="BJ17" s="7">
        <f>BI17+預測IC!BJ17</f>
        <v>-0.17147070848828949</v>
      </c>
      <c r="BK17" s="7">
        <f>BJ17+預測IC!BK17</f>
        <v>-0.185293660558395</v>
      </c>
      <c r="BL17" s="7">
        <f>BK17+預測IC!BL17</f>
        <v>-0.10781069375844883</v>
      </c>
      <c r="BM17" s="7">
        <f>BL17+預測IC!BM17</f>
        <v>-3.1812923312588864E-2</v>
      </c>
      <c r="BN17" s="7">
        <f>BM17+預測IC!BN17</f>
        <v>1.5102602281289124E-2</v>
      </c>
      <c r="BO17" s="7">
        <f>BN17+預測IC!BO17</f>
        <v>5.0282217698012735E-2</v>
      </c>
      <c r="BP17" s="7">
        <f>BO17+預測IC!BP17</f>
        <v>8.6278197352493646E-2</v>
      </c>
      <c r="BQ17" s="7">
        <f>BP17+預測IC!BQ17</f>
        <v>9.7654707798945251E-2</v>
      </c>
      <c r="BR17" s="7">
        <f>BQ17+預測IC!BR17</f>
        <v>8.8008332674195361E-2</v>
      </c>
      <c r="BS17" s="7">
        <f>BR17+預測IC!BS17</f>
        <v>8.3904863563588755E-2</v>
      </c>
      <c r="BT17" s="7">
        <f>BS17+預測IC!BT17</f>
        <v>0.19332124243401205</v>
      </c>
      <c r="BU17" s="7">
        <f>BT17+預測IC!BU17</f>
        <v>0.12219342368325964</v>
      </c>
      <c r="BV17" s="7">
        <f>BU17+預測IC!BV17</f>
        <v>0.19240372670288797</v>
      </c>
      <c r="BW17" s="7">
        <f>BV17+預測IC!BW17</f>
        <v>0.11197201410362206</v>
      </c>
      <c r="BX17" s="7">
        <f>BW17+預測IC!BX17</f>
        <v>0.1407949787232948</v>
      </c>
      <c r="BY17" s="7">
        <f>BX17+預測IC!BY17</f>
        <v>5.6549511094600463E-2</v>
      </c>
      <c r="BZ17" s="7">
        <f>BY17+預測IC!BZ17</f>
        <v>0.12340704170370664</v>
      </c>
      <c r="CA17" s="7">
        <f>BZ17+預測IC!CA17</f>
        <v>0.25428488947968053</v>
      </c>
      <c r="CB17" s="7">
        <f>CA17+預測IC!CB17</f>
        <v>0.36345072650042454</v>
      </c>
      <c r="CC17" s="7">
        <f>CB17+預測IC!CC17</f>
        <v>0.18849275251074363</v>
      </c>
      <c r="CD17" s="7">
        <f>CC17+預測IC!CD17</f>
        <v>0.36145249372989219</v>
      </c>
      <c r="CE17" s="7">
        <f>CD17+預測IC!CE17</f>
        <v>0.18633624822384068</v>
      </c>
      <c r="CF17" s="7">
        <f>CE17+預測IC!CF17</f>
        <v>0.12809745162914415</v>
      </c>
      <c r="CG17" s="7">
        <f>CF17+預測IC!CG17</f>
        <v>5.338246300041305E-2</v>
      </c>
      <c r="CH17" s="7">
        <f>CG17+預測IC!CH17</f>
        <v>2.041339082996E-2</v>
      </c>
      <c r="CI17" s="7">
        <f>CH17+預測IC!CI17</f>
        <v>2.4115174204844561E-2</v>
      </c>
      <c r="CJ17" s="7">
        <f>CI17+預測IC!CJ17</f>
        <v>-2.6627147279597488E-2</v>
      </c>
      <c r="CK17" s="7">
        <f>CJ17+預測IC!CK17</f>
        <v>6.5111425378315449E-2</v>
      </c>
      <c r="CL17" s="7">
        <f>CK17+預測IC!CL17</f>
        <v>5.5685080609284135E-2</v>
      </c>
      <c r="CM17" s="7">
        <f>CL17+預測IC!CM17</f>
        <v>-3.9808790207269504E-2</v>
      </c>
      <c r="CN17" s="7">
        <f>CM17+預測IC!CN17</f>
        <v>-6.6526851358256478E-2</v>
      </c>
      <c r="CO17" s="7">
        <f>CN17+預測IC!CO17</f>
        <v>-0.20393972668778157</v>
      </c>
      <c r="CP17" s="7">
        <f>CO17+預測IC!CP17</f>
        <v>-9.5718343178892565E-2</v>
      </c>
      <c r="CQ17" s="7">
        <f>CP17+預測IC!CQ17</f>
        <v>-4.3811239837166054E-2</v>
      </c>
      <c r="CR17" s="7">
        <f>CQ17+預測IC!CR17</f>
        <v>0.15259139192512325</v>
      </c>
      <c r="CS17" s="7">
        <f>CR17+預測IC!CS17</f>
        <v>0.12124557352940502</v>
      </c>
      <c r="CT17" s="7">
        <f>CS17+預測IC!CT17</f>
        <v>0.17989937013201909</v>
      </c>
      <c r="CU17" s="7">
        <f>CT17+預測IC!CU17</f>
        <v>2.4547477332259704E-2</v>
      </c>
      <c r="CV17" s="7">
        <f>CU17+預測IC!CV17</f>
        <v>0.1760188621936141</v>
      </c>
      <c r="CW17" s="7">
        <f>CV17+預測IC!CW17</f>
        <v>0.15286301737876629</v>
      </c>
      <c r="CX17" s="7">
        <f>CW17+預測IC!CX17</f>
        <v>2.7853161979048885E-2</v>
      </c>
      <c r="CY17" s="7">
        <f>CX17+預測IC!CY17</f>
        <v>0.10346207538885456</v>
      </c>
      <c r="CZ17" s="7">
        <f>CY17+預測IC!CZ17</f>
        <v>7.1869391008513861E-2</v>
      </c>
      <c r="DA17" s="7">
        <f>CZ17+預測IC!DA17</f>
        <v>0.11997919577054754</v>
      </c>
      <c r="DB17" s="7">
        <f>DA17+預測IC!DB17</f>
        <v>0.34429616706563004</v>
      </c>
      <c r="DC17" s="7">
        <f>DB17+預測IC!DC17</f>
        <v>0.24544677451582053</v>
      </c>
      <c r="DD17" s="7">
        <f>DC17+預測IC!DD17</f>
        <v>0.2162913536329398</v>
      </c>
      <c r="DE17" s="7">
        <f>DD17+預測IC!DE17</f>
        <v>0.19216649028621779</v>
      </c>
      <c r="DF17" s="7">
        <f>DE17+預測IC!DF17</f>
        <v>0.1764920453496879</v>
      </c>
      <c r="DG17" s="7">
        <f>DF17+預測IC!DG17</f>
        <v>0.12928105692116412</v>
      </c>
      <c r="DH17" s="7">
        <f>DG17+預測IC!DH17</f>
        <v>0.14193495158367689</v>
      </c>
      <c r="DI17" s="7">
        <f>DH17+預測IC!DI17</f>
        <v>0.17697948764962196</v>
      </c>
      <c r="DJ17" s="7">
        <f>DI17+預測IC!DJ17</f>
        <v>0.30590454743563145</v>
      </c>
      <c r="DK17" s="7">
        <f>DJ17+預測IC!DK17</f>
        <v>0.23778643594674631</v>
      </c>
      <c r="DL17" s="7">
        <f>DK17+預測IC!DL17</f>
        <v>0.23385670425561761</v>
      </c>
      <c r="DM17" s="7">
        <f>DL17+預測IC!DM17</f>
        <v>0.19662922873962529</v>
      </c>
      <c r="DN17" s="7">
        <f>DM17+預測IC!DN17</f>
        <v>0.30310919134691172</v>
      </c>
      <c r="DO17" s="7">
        <f>DN17+預測IC!DO17</f>
        <v>0.48287211744564051</v>
      </c>
      <c r="DP17" s="7">
        <f>DO17+預測IC!DP17</f>
        <v>0.45777468743758581</v>
      </c>
      <c r="DQ17" s="7">
        <f>DP17+預測IC!DQ17</f>
        <v>0.39253033930382353</v>
      </c>
      <c r="DR17" s="7">
        <f>DQ17+預測IC!DR17</f>
        <v>0.44841515418015182</v>
      </c>
      <c r="DS17" s="7">
        <f>DR17+預測IC!DS17</f>
        <v>0.32409899437534095</v>
      </c>
      <c r="DT17" s="7">
        <f>DS17+預測IC!DT17</f>
        <v>0.26428705914036466</v>
      </c>
      <c r="DU17" s="7">
        <f>DT17+預測IC!DU17</f>
        <v>0.10473195966192086</v>
      </c>
      <c r="DV17" s="7">
        <f>DU17+預測IC!DV17</f>
        <v>0.14988079581097963</v>
      </c>
      <c r="DW17" s="7">
        <f>DV17+預測IC!DW17</f>
        <v>0.10164540284151849</v>
      </c>
      <c r="DX17" s="7">
        <f>DW17+預測IC!DX17</f>
        <v>0.12468058301070715</v>
      </c>
      <c r="DY17" s="7">
        <f>DX17+預測IC!DY17</f>
        <v>0.25069112091176188</v>
      </c>
      <c r="DZ17" s="7">
        <f>DY17+預測IC!DZ17</f>
        <v>0.2459000676657733</v>
      </c>
      <c r="EA17" s="7">
        <f>DZ17+預測IC!EA17</f>
        <v>0.41047159089788809</v>
      </c>
      <c r="EB17" s="7">
        <f>EA17+預測IC!EB17</f>
        <v>0.33669062118023524</v>
      </c>
      <c r="EC17" s="7">
        <f>EB17+預測IC!EC17</f>
        <v>0.21517860391221214</v>
      </c>
      <c r="ED17" s="7">
        <f>EC17+預測IC!ED17</f>
        <v>0.13232298150872729</v>
      </c>
      <c r="EE17" s="7">
        <f>ED17+預測IC!EE17</f>
        <v>0.13251650265480672</v>
      </c>
      <c r="EF17" s="7">
        <f>EE17+預測IC!EF17</f>
        <v>0.18022626966465857</v>
      </c>
    </row>
    <row r="18" spans="1:136" x14ac:dyDescent="0.3">
      <c r="B18" s="1" t="s">
        <v>158</v>
      </c>
      <c r="C18" s="7">
        <v>0.18975112249235829</v>
      </c>
      <c r="D18" s="7">
        <f>C18+預測IC!D18</f>
        <v>0.18156365541096556</v>
      </c>
      <c r="E18" s="7">
        <f>D18+預測IC!E18</f>
        <v>0.12256299831275777</v>
      </c>
      <c r="F18" s="7">
        <f>E18+預測IC!F18</f>
        <v>-1.1851376120627921E-2</v>
      </c>
      <c r="G18" s="7">
        <f>F18+預測IC!G18</f>
        <v>-9.2645623141487776E-2</v>
      </c>
      <c r="H18" s="7">
        <f>G18+預測IC!H18</f>
        <v>2.9267166221782326E-2</v>
      </c>
      <c r="I18" s="7">
        <f>H18+預測IC!I18</f>
        <v>0.16476734644502342</v>
      </c>
      <c r="J18" s="7">
        <f>I18+預測IC!J18</f>
        <v>0.20817886219666504</v>
      </c>
      <c r="K18" s="7">
        <f>J18+預測IC!K18</f>
        <v>-0.15050323631123469</v>
      </c>
      <c r="L18" s="7">
        <f>K18+預測IC!L18</f>
        <v>-0.13752074946425308</v>
      </c>
      <c r="M18" s="7">
        <f>L18+預測IC!M18</f>
        <v>-5.7818172350276628E-2</v>
      </c>
      <c r="N18" s="7">
        <f>M18+預測IC!N18</f>
        <v>8.5174254934494473E-2</v>
      </c>
      <c r="O18" s="7">
        <f>N18+預測IC!O18</f>
        <v>0.18884474456411365</v>
      </c>
      <c r="P18" s="7">
        <f>O18+預測IC!P18</f>
        <v>0.10629213299416589</v>
      </c>
      <c r="Q18" s="7">
        <f>P18+預測IC!Q18</f>
        <v>1.3232543081259679E-2</v>
      </c>
      <c r="R18" s="7">
        <f>Q18+預測IC!R18</f>
        <v>-0.14095664565276173</v>
      </c>
      <c r="S18" s="7">
        <f>R18+預測IC!S18</f>
        <v>-0.52468927458465608</v>
      </c>
      <c r="T18" s="7">
        <f>S18+預測IC!T18</f>
        <v>-0.57893371461626475</v>
      </c>
      <c r="U18" s="7">
        <f>T18+預測IC!U18</f>
        <v>-0.71142873904608372</v>
      </c>
      <c r="V18" s="7">
        <f>U18+預測IC!V18</f>
        <v>-0.69853360397623288</v>
      </c>
      <c r="W18" s="7">
        <f>V18+預測IC!W18</f>
        <v>-0.56061636606052667</v>
      </c>
      <c r="X18" s="7">
        <f>W18+預測IC!X18</f>
        <v>-0.41716484842568607</v>
      </c>
      <c r="Y18" s="7">
        <f>X18+預測IC!Y18</f>
        <v>-0.39793251406825053</v>
      </c>
      <c r="Z18" s="7">
        <f>Y18+預測IC!Z18</f>
        <v>-0.30869815062772765</v>
      </c>
      <c r="AA18" s="7">
        <f>Z18+預測IC!AA18</f>
        <v>-0.35040339581045171</v>
      </c>
      <c r="AB18" s="7">
        <f>AA18+預測IC!AB18</f>
        <v>-0.26570509607996751</v>
      </c>
      <c r="AC18" s="7">
        <f>AB18+預測IC!AC18</f>
        <v>-0.20788208322401025</v>
      </c>
      <c r="AD18" s="7">
        <f>AC18+預測IC!AD18</f>
        <v>-0.18128649284493006</v>
      </c>
      <c r="AE18" s="7">
        <f>AD18+預測IC!AE18</f>
        <v>-0.32481573427400456</v>
      </c>
      <c r="AF18" s="7">
        <f>AE18+預測IC!AF18</f>
        <v>-0.29294231611337895</v>
      </c>
      <c r="AG18" s="7">
        <f>AF18+預測IC!AG18</f>
        <v>-0.26044920001550287</v>
      </c>
      <c r="AH18" s="7">
        <f>AG18+預測IC!AH18</f>
        <v>-9.738069519065326E-2</v>
      </c>
      <c r="AI18" s="7">
        <f>AH18+預測IC!AI18</f>
        <v>2.0705039367346939E-2</v>
      </c>
      <c r="AJ18" s="7">
        <f>AI18+預測IC!AJ18</f>
        <v>1.337759547815745E-2</v>
      </c>
      <c r="AK18" s="7">
        <f>AJ18+預測IC!AK18</f>
        <v>4.066752277520061E-2</v>
      </c>
      <c r="AL18" s="7">
        <f>AK18+預測IC!AL18</f>
        <v>7.854710995591159E-3</v>
      </c>
      <c r="AM18" s="7">
        <f>AL18+預測IC!AM18</f>
        <v>-8.8198318141226861E-2</v>
      </c>
      <c r="AN18" s="7">
        <f>AM18+預測IC!AN18</f>
        <v>-8.9036781860250686E-3</v>
      </c>
      <c r="AO18" s="7">
        <f>AN18+預測IC!AO18</f>
        <v>-3.4761432183322803E-3</v>
      </c>
      <c r="AP18" s="7">
        <f>AO18+預測IC!AP18</f>
        <v>9.2069649697172462E-2</v>
      </c>
      <c r="AQ18" s="7">
        <f>AP18+預測IC!AQ18</f>
        <v>0.15622462336069087</v>
      </c>
      <c r="AR18" s="7">
        <f>AQ18+預測IC!AR18</f>
        <v>0.19522709742345515</v>
      </c>
      <c r="AS18" s="7">
        <f>AR18+預測IC!AS18</f>
        <v>0.1119739695342692</v>
      </c>
      <c r="AT18" s="7">
        <f>AS18+預測IC!AT18</f>
        <v>0.27835977895832809</v>
      </c>
      <c r="AU18" s="7">
        <f>AT18+預測IC!AU18</f>
        <v>0.13946156431210838</v>
      </c>
      <c r="AV18" s="7">
        <f>AU18+預測IC!AV18</f>
        <v>0.19969722901857823</v>
      </c>
      <c r="AW18" s="7">
        <f>AV18+預測IC!AW18</f>
        <v>0.22423526325968568</v>
      </c>
      <c r="AX18" s="7">
        <f>AW18+預測IC!AX18</f>
        <v>0.33179613151552179</v>
      </c>
      <c r="AY18" s="7">
        <f>AX18+預測IC!AY18</f>
        <v>0.36657941015666984</v>
      </c>
      <c r="AZ18" s="7">
        <f>AY18+預測IC!AZ18</f>
        <v>0.21817032776777073</v>
      </c>
      <c r="BA18" s="7">
        <f>AZ18+預測IC!BA18</f>
        <v>0.18286808776100738</v>
      </c>
      <c r="BB18" s="7">
        <f>BA18+預測IC!BB18</f>
        <v>0.32052412991834445</v>
      </c>
      <c r="BC18" s="7">
        <f>BB18+預測IC!BC18</f>
        <v>0.40372570251166506</v>
      </c>
      <c r="BD18" s="7">
        <f>BC18+預測IC!BD18</f>
        <v>0.37970943082436465</v>
      </c>
      <c r="BE18" s="7">
        <f>BD18+預測IC!BE18</f>
        <v>0.4480706440625275</v>
      </c>
      <c r="BF18" s="7">
        <f>BE18+預測IC!BF18</f>
        <v>0.2830841493665201</v>
      </c>
      <c r="BG18" s="7">
        <f>BF18+預測IC!BG18</f>
        <v>0.1363701745382315</v>
      </c>
      <c r="BH18" s="7">
        <f>BG18+預測IC!BH18</f>
        <v>-1.5280906119110038E-3</v>
      </c>
      <c r="BI18" s="7">
        <f>BH18+預測IC!BI18</f>
        <v>7.4463003128547617E-2</v>
      </c>
      <c r="BJ18" s="7">
        <f>BI18+預測IC!BJ18</f>
        <v>-2.4070853556874175E-2</v>
      </c>
      <c r="BK18" s="7">
        <f>BJ18+預測IC!BK18</f>
        <v>-8.2074097727076772E-2</v>
      </c>
      <c r="BL18" s="7">
        <f>BK18+預測IC!BL18</f>
        <v>-9.164239068726876E-4</v>
      </c>
      <c r="BM18" s="7">
        <f>BL18+預測IC!BM18</f>
        <v>0.10185751515656691</v>
      </c>
      <c r="BN18" s="7">
        <f>BM18+預測IC!BN18</f>
        <v>0.15463190478039707</v>
      </c>
      <c r="BO18" s="7">
        <f>BN18+預測IC!BO18</f>
        <v>0.17485940088677171</v>
      </c>
      <c r="BP18" s="7">
        <f>BO18+預測IC!BP18</f>
        <v>0.22171694122145372</v>
      </c>
      <c r="BQ18" s="7">
        <f>BP18+預測IC!BQ18</f>
        <v>0.22363372533130271</v>
      </c>
      <c r="BR18" s="7">
        <f>BQ18+預測IC!BR18</f>
        <v>0.21788553174734798</v>
      </c>
      <c r="BS18" s="7">
        <f>BR18+預測IC!BS18</f>
        <v>0.21390190665022873</v>
      </c>
      <c r="BT18" s="7">
        <f>BS18+預測IC!BT18</f>
        <v>0.32913865468611536</v>
      </c>
      <c r="BU18" s="7">
        <f>BT18+預測IC!BU18</f>
        <v>0.24846121064607457</v>
      </c>
      <c r="BV18" s="7">
        <f>BU18+預測IC!BV18</f>
        <v>0.32938460592311691</v>
      </c>
      <c r="BW18" s="7">
        <f>BV18+預測IC!BW18</f>
        <v>0.24407351898992147</v>
      </c>
      <c r="BX18" s="7">
        <f>BW18+預測IC!BX18</f>
        <v>0.26309199370595715</v>
      </c>
      <c r="BY18" s="7">
        <f>BX18+預測IC!BY18</f>
        <v>0.14001701788193235</v>
      </c>
      <c r="BZ18" s="7">
        <f>BY18+預測IC!BZ18</f>
        <v>0.17536467040287035</v>
      </c>
      <c r="CA18" s="7">
        <f>BZ18+預測IC!CA18</f>
        <v>0.28969065735495958</v>
      </c>
      <c r="CB18" s="7">
        <f>CA18+預測IC!CB18</f>
        <v>0.38707794033436882</v>
      </c>
      <c r="CC18" s="7">
        <f>CB18+預測IC!CC18</f>
        <v>0.35890449631496868</v>
      </c>
      <c r="CD18" s="7">
        <f>CC18+預測IC!CD18</f>
        <v>0.55262131496179934</v>
      </c>
      <c r="CE18" s="7">
        <f>CD18+預測IC!CE18</f>
        <v>0.37469495865292191</v>
      </c>
      <c r="CF18" s="7">
        <f>CE18+預測IC!CF18</f>
        <v>0.41865270203953059</v>
      </c>
      <c r="CG18" s="7">
        <f>CF18+預測IC!CG18</f>
        <v>0.32704344647561123</v>
      </c>
      <c r="CH18" s="7">
        <f>CG18+預測IC!CH18</f>
        <v>0.28167779751645244</v>
      </c>
      <c r="CI18" s="7">
        <f>CH18+預測IC!CI18</f>
        <v>0.16661848670727394</v>
      </c>
      <c r="CJ18" s="7">
        <f>CI18+預測IC!CJ18</f>
        <v>0.10430480888236426</v>
      </c>
      <c r="CK18" s="7">
        <f>CJ18+預測IC!CK18</f>
        <v>0.19497259317464799</v>
      </c>
      <c r="CL18" s="7">
        <f>CK18+預測IC!CL18</f>
        <v>0.16398304811645487</v>
      </c>
      <c r="CM18" s="7">
        <f>CL18+預測IC!CM18</f>
        <v>6.1213436488503969E-2</v>
      </c>
      <c r="CN18" s="7">
        <f>CM18+預測IC!CN18</f>
        <v>2.6127182510327362E-2</v>
      </c>
      <c r="CO18" s="7">
        <f>CN18+預測IC!CO18</f>
        <v>-0.12447032711191994</v>
      </c>
      <c r="CP18" s="7">
        <f>CO18+預測IC!CP18</f>
        <v>-8.2000073039865395E-3</v>
      </c>
      <c r="CQ18" s="7">
        <f>CP18+預測IC!CQ18</f>
        <v>3.0042668290956163E-2</v>
      </c>
      <c r="CR18" s="7">
        <f>CQ18+預測IC!CR18</f>
        <v>0.22376507594316536</v>
      </c>
      <c r="CS18" s="7">
        <f>CR18+預測IC!CS18</f>
        <v>0.1660744272917499</v>
      </c>
      <c r="CT18" s="7">
        <f>CS18+預測IC!CT18</f>
        <v>0.24294465406397286</v>
      </c>
      <c r="CU18" s="7">
        <f>CT18+預測IC!CU18</f>
        <v>9.837983288783797E-2</v>
      </c>
      <c r="CV18" s="7">
        <f>CU18+預測IC!CV18</f>
        <v>0.22540210102084487</v>
      </c>
      <c r="CW18" s="7">
        <f>CV18+預測IC!CW18</f>
        <v>0.19707384443603515</v>
      </c>
      <c r="CX18" s="7">
        <f>CW18+預測IC!CX18</f>
        <v>4.3998154826881852E-2</v>
      </c>
      <c r="CY18" s="7">
        <f>CX18+預測IC!CY18</f>
        <v>0.13717653873478936</v>
      </c>
      <c r="CZ18" s="7">
        <f>CY18+預測IC!CZ18</f>
        <v>4.5717325322086819E-2</v>
      </c>
      <c r="DA18" s="7">
        <f>CZ18+預測IC!DA18</f>
        <v>0.12260787165438078</v>
      </c>
      <c r="DB18" s="7">
        <f>DA18+預測IC!DB18</f>
        <v>0.34498998417776328</v>
      </c>
      <c r="DC18" s="7">
        <f>DB18+預測IC!DC18</f>
        <v>0.26217027696660078</v>
      </c>
      <c r="DD18" s="7">
        <f>DC18+預測IC!DD18</f>
        <v>0.22115608964726685</v>
      </c>
      <c r="DE18" s="7">
        <f>DD18+預測IC!DE18</f>
        <v>0.18273550216081597</v>
      </c>
      <c r="DF18" s="7">
        <f>DE18+預測IC!DF18</f>
        <v>0.15466352708285444</v>
      </c>
      <c r="DG18" s="7">
        <f>DF18+預測IC!DG18</f>
        <v>9.9893042955980643E-2</v>
      </c>
      <c r="DH18" s="7">
        <f>DG18+預測IC!DH18</f>
        <v>0.11294307557290913</v>
      </c>
      <c r="DI18" s="7">
        <f>DH18+預測IC!DI18</f>
        <v>0.13155632360332731</v>
      </c>
      <c r="DJ18" s="7">
        <f>DI18+預測IC!DJ18</f>
        <v>0.27775239970273957</v>
      </c>
      <c r="DK18" s="7">
        <f>DJ18+預測IC!DK18</f>
        <v>0.22050180971611355</v>
      </c>
      <c r="DL18" s="7">
        <f>DK18+預測IC!DL18</f>
        <v>0.2166715356485214</v>
      </c>
      <c r="DM18" s="7">
        <f>DL18+預測IC!DM18</f>
        <v>0.21142085690625739</v>
      </c>
      <c r="DN18" s="7">
        <f>DM18+預測IC!DN18</f>
        <v>0.33652954017578807</v>
      </c>
      <c r="DO18" s="7">
        <f>DN18+預測IC!DO18</f>
        <v>0.55684975196708653</v>
      </c>
      <c r="DP18" s="7">
        <f>DO18+預測IC!DP18</f>
        <v>0.53533941720759215</v>
      </c>
      <c r="DQ18" s="7">
        <f>DP18+預測IC!DQ18</f>
        <v>0.47338388824022476</v>
      </c>
      <c r="DR18" s="7">
        <f>DQ18+預測IC!DR18</f>
        <v>0.55022454301218582</v>
      </c>
      <c r="DS18" s="7">
        <f>DR18+預測IC!DS18</f>
        <v>0.40250254456045309</v>
      </c>
      <c r="DT18" s="7">
        <f>DS18+預測IC!DT18</f>
        <v>0.37990150971934566</v>
      </c>
      <c r="DU18" s="7">
        <f>DT18+預測IC!DU18</f>
        <v>0.21731272529509557</v>
      </c>
      <c r="DV18" s="7">
        <f>DU18+預測IC!DV18</f>
        <v>0.28784041780117309</v>
      </c>
      <c r="DW18" s="7">
        <f>DV18+預測IC!DW18</f>
        <v>0.22986303747106124</v>
      </c>
      <c r="DX18" s="7">
        <f>DW18+預測IC!DX18</f>
        <v>0.29804033099279653</v>
      </c>
      <c r="DY18" s="7">
        <f>DX18+預測IC!DY18</f>
        <v>0.46380343565479965</v>
      </c>
      <c r="DZ18" s="7">
        <f>DY18+預測IC!DZ18</f>
        <v>0.42057558078535778</v>
      </c>
      <c r="EA18" s="7">
        <f>DZ18+預測IC!EA18</f>
        <v>0.61952132894969503</v>
      </c>
      <c r="EB18" s="7">
        <f>EA18+預測IC!EB18</f>
        <v>0.52247863940741612</v>
      </c>
      <c r="EC18" s="7">
        <f>EB18+預測IC!EC18</f>
        <v>0.37943840881463065</v>
      </c>
      <c r="ED18" s="7">
        <f>EC18+預測IC!ED18</f>
        <v>0.29916921268710756</v>
      </c>
      <c r="EE18" s="7">
        <f>ED18+預測IC!EE18</f>
        <v>0.29805792501474992</v>
      </c>
      <c r="EF18" s="7">
        <f>EE18+預測IC!EF18</f>
        <v>0.34701294212516648</v>
      </c>
    </row>
    <row r="19" spans="1:136" x14ac:dyDescent="0.3">
      <c r="B19" s="1" t="s">
        <v>159</v>
      </c>
      <c r="C19" s="7">
        <v>0.19660026531165431</v>
      </c>
      <c r="D19" s="7">
        <f>C19+預測IC!D19</f>
        <v>0.17642946585745856</v>
      </c>
      <c r="E19" s="7">
        <f>D19+預測IC!E19</f>
        <v>0.12153137209004639</v>
      </c>
      <c r="F19" s="7">
        <f>E19+預測IC!F19</f>
        <v>8.2884690203802305E-2</v>
      </c>
      <c r="G19" s="7">
        <f>F19+預測IC!G19</f>
        <v>-1.4627400357797818E-2</v>
      </c>
      <c r="H19" s="7">
        <f>G19+預測IC!H19</f>
        <v>0.13426672167804948</v>
      </c>
      <c r="I19" s="7">
        <f>H19+預測IC!I19</f>
        <v>0.26892105456951598</v>
      </c>
      <c r="J19" s="7">
        <f>I19+預測IC!J19</f>
        <v>0.304350639089707</v>
      </c>
      <c r="K19" s="7">
        <f>J19+預測IC!K19</f>
        <v>-0.11398721187992722</v>
      </c>
      <c r="L19" s="7">
        <f>K19+預測IC!L19</f>
        <v>-7.093825424476119E-2</v>
      </c>
      <c r="M19" s="7">
        <f>L19+預測IC!M19</f>
        <v>1.5272084781356526E-2</v>
      </c>
      <c r="N19" s="7">
        <f>M19+預測IC!N19</f>
        <v>0.11061997047133743</v>
      </c>
      <c r="O19" s="7">
        <f>N19+預測IC!O19</f>
        <v>0.20284135349079463</v>
      </c>
      <c r="P19" s="7">
        <f>O19+預測IC!P19</f>
        <v>0.11030716730409752</v>
      </c>
      <c r="Q19" s="7">
        <f>P19+預測IC!Q19</f>
        <v>2.8441054567556689E-2</v>
      </c>
      <c r="R19" s="7">
        <f>Q19+預測IC!R19</f>
        <v>-0.1171422182346534</v>
      </c>
      <c r="S19" s="7">
        <f>R19+預測IC!S19</f>
        <v>-0.30130233493226144</v>
      </c>
      <c r="T19" s="7">
        <f>S19+預測IC!T19</f>
        <v>-0.32845661291856054</v>
      </c>
      <c r="U19" s="7">
        <f>T19+預測IC!U19</f>
        <v>-0.46415495155048375</v>
      </c>
      <c r="V19" s="7">
        <f>U19+預測IC!V19</f>
        <v>-0.42753626376503245</v>
      </c>
      <c r="W19" s="7">
        <f>V19+預測IC!W19</f>
        <v>-0.28091527304752234</v>
      </c>
      <c r="X19" s="7">
        <f>W19+預測IC!X19</f>
        <v>-0.16427622778342893</v>
      </c>
      <c r="Y19" s="7">
        <f>X19+預測IC!Y19</f>
        <v>-0.13864759025527243</v>
      </c>
      <c r="Z19" s="7">
        <f>Y19+預測IC!Z19</f>
        <v>-4.7028479679248864E-2</v>
      </c>
      <c r="AA19" s="7">
        <f>Z19+預測IC!AA19</f>
        <v>-8.8598664217404602E-2</v>
      </c>
      <c r="AB19" s="7">
        <f>AA19+預測IC!AB19</f>
        <v>1.3654941666538092E-2</v>
      </c>
      <c r="AC19" s="7">
        <f>AB19+預測IC!AC19</f>
        <v>4.2107776308229414E-2</v>
      </c>
      <c r="AD19" s="7">
        <f>AC19+預測IC!AD19</f>
        <v>7.7196704896179746E-2</v>
      </c>
      <c r="AE19" s="7">
        <f>AD19+預測IC!AE19</f>
        <v>-9.2219356101610056E-2</v>
      </c>
      <c r="AF19" s="7">
        <f>AE19+預測IC!AF19</f>
        <v>-5.3433689292710307E-2</v>
      </c>
      <c r="AG19" s="7">
        <f>AF19+預測IC!AG19</f>
        <v>-3.1297470220162486E-2</v>
      </c>
      <c r="AH19" s="7">
        <f>AG19+預測IC!AH19</f>
        <v>0.17285881694504709</v>
      </c>
      <c r="AI19" s="7">
        <f>AH19+預測IC!AI19</f>
        <v>0.26440747986972157</v>
      </c>
      <c r="AJ19" s="7">
        <f>AI19+預測IC!AJ19</f>
        <v>0.27657467144570208</v>
      </c>
      <c r="AK19" s="7">
        <f>AJ19+預測IC!AK19</f>
        <v>0.32563345607959293</v>
      </c>
      <c r="AL19" s="7">
        <f>AK19+預測IC!AL19</f>
        <v>0.31071884854979454</v>
      </c>
      <c r="AM19" s="7">
        <f>AL19+預測IC!AM19</f>
        <v>0.24959471749594783</v>
      </c>
      <c r="AN19" s="7">
        <f>AM19+預測IC!AN19</f>
        <v>0.33316301186162989</v>
      </c>
      <c r="AO19" s="7">
        <f>AN19+預測IC!AO19</f>
        <v>0.3590559149070443</v>
      </c>
      <c r="AP19" s="7">
        <f>AO19+預測IC!AP19</f>
        <v>0.48388416571406123</v>
      </c>
      <c r="AQ19" s="7">
        <f>AP19+預測IC!AQ19</f>
        <v>0.52625983087326422</v>
      </c>
      <c r="AR19" s="7">
        <f>AQ19+預測IC!AR19</f>
        <v>0.48511531597768842</v>
      </c>
      <c r="AS19" s="7">
        <f>AR19+預測IC!AS19</f>
        <v>0.37591643992462209</v>
      </c>
      <c r="AT19" s="7">
        <f>AS19+預測IC!AT19</f>
        <v>0.56051010373468013</v>
      </c>
      <c r="AU19" s="7">
        <f>AT19+預測IC!AU19</f>
        <v>0.40749547726041946</v>
      </c>
      <c r="AV19" s="7">
        <f>AU19+預測IC!AV19</f>
        <v>0.40446286765781142</v>
      </c>
      <c r="AW19" s="7">
        <f>AV19+預測IC!AW19</f>
        <v>0.42681903581194791</v>
      </c>
      <c r="AX19" s="7">
        <f>AW19+預測IC!AX19</f>
        <v>0.50702545012236078</v>
      </c>
      <c r="AY19" s="7">
        <f>AX19+預測IC!AY19</f>
        <v>0.53655442051574065</v>
      </c>
      <c r="AZ19" s="7">
        <f>AY19+預測IC!AZ19</f>
        <v>0.34967480234756632</v>
      </c>
      <c r="BA19" s="7">
        <f>AZ19+預測IC!BA19</f>
        <v>0.34816578579173124</v>
      </c>
      <c r="BB19" s="7">
        <f>BA19+預測IC!BB19</f>
        <v>0.50791198486416289</v>
      </c>
      <c r="BC19" s="7">
        <f>BB19+預測IC!BC19</f>
        <v>0.57196747121034863</v>
      </c>
      <c r="BD19" s="7">
        <f>BC19+預測IC!BD19</f>
        <v>0.56873307858028044</v>
      </c>
      <c r="BE19" s="7">
        <f>BD19+預測IC!BE19</f>
        <v>0.61986495254394702</v>
      </c>
      <c r="BF19" s="7">
        <f>BE19+預測IC!BF19</f>
        <v>0.47805551758020531</v>
      </c>
      <c r="BG19" s="7">
        <f>BF19+預測IC!BG19</f>
        <v>0.324746766410417</v>
      </c>
      <c r="BH19" s="7">
        <f>BG19+預測IC!BH19</f>
        <v>0.18424986045684369</v>
      </c>
      <c r="BI19" s="7">
        <f>BH19+預測IC!BI19</f>
        <v>0.28553409041605987</v>
      </c>
      <c r="BJ19" s="7">
        <f>BI19+預測IC!BJ19</f>
        <v>0.22662187324360414</v>
      </c>
      <c r="BK19" s="7">
        <f>BJ19+預測IC!BK19</f>
        <v>0.17487234715161176</v>
      </c>
      <c r="BL19" s="7">
        <f>BK19+預測IC!BL19</f>
        <v>0.25483700529811487</v>
      </c>
      <c r="BM19" s="7">
        <f>BL19+預測IC!BM19</f>
        <v>0.36908760555681058</v>
      </c>
      <c r="BN19" s="7">
        <f>BM19+預測IC!BN19</f>
        <v>0.43634025302408236</v>
      </c>
      <c r="BO19" s="7">
        <f>BN19+預測IC!BO19</f>
        <v>0.46206921428919773</v>
      </c>
      <c r="BP19" s="7">
        <f>BO19+預測IC!BP19</f>
        <v>0.52488802182332983</v>
      </c>
      <c r="BQ19" s="7">
        <f>BP19+預測IC!BQ19</f>
        <v>0.53482206627765294</v>
      </c>
      <c r="BR19" s="7">
        <f>BQ19+預測IC!BR19</f>
        <v>0.54149731230117293</v>
      </c>
      <c r="BS19" s="7">
        <f>BR19+預測IC!BS19</f>
        <v>0.51724097355669085</v>
      </c>
      <c r="BT19" s="7">
        <f>BS19+預測IC!BT19</f>
        <v>0.65887365341026427</v>
      </c>
      <c r="BU19" s="7">
        <f>BT19+預測IC!BU19</f>
        <v>0.58293740217602619</v>
      </c>
      <c r="BV19" s="7">
        <f>BU19+預測IC!BV19</f>
        <v>0.67659264332937252</v>
      </c>
      <c r="BW19" s="7">
        <f>BV19+預測IC!BW19</f>
        <v>0.56762568194572749</v>
      </c>
      <c r="BX19" s="7">
        <f>BW19+預測IC!BX19</f>
        <v>0.60171346721758578</v>
      </c>
      <c r="BY19" s="7">
        <f>BX19+預測IC!BY19</f>
        <v>0.49406373066193759</v>
      </c>
      <c r="BZ19" s="7">
        <f>BY19+預測IC!BZ19</f>
        <v>0.49748875883640931</v>
      </c>
      <c r="CA19" s="7">
        <f>BZ19+預測IC!CA19</f>
        <v>0.55370390266965241</v>
      </c>
      <c r="CB19" s="7">
        <f>CA19+預測IC!CB19</f>
        <v>0.63268071028817796</v>
      </c>
      <c r="CC19" s="7">
        <f>CB19+預測IC!CC19</f>
        <v>0.60795745752235053</v>
      </c>
      <c r="CD19" s="7">
        <f>CC19+預測IC!CD19</f>
        <v>0.82357665561606841</v>
      </c>
      <c r="CE19" s="7">
        <f>CD19+預測IC!CE19</f>
        <v>0.62531082643910918</v>
      </c>
      <c r="CF19" s="7">
        <f>CE19+預測IC!CF19</f>
        <v>0.70436235140992354</v>
      </c>
      <c r="CG19" s="7">
        <f>CF19+預測IC!CG19</f>
        <v>0.64724472654296639</v>
      </c>
      <c r="CH19" s="7">
        <f>CG19+預測IC!CH19</f>
        <v>0.60452968280023223</v>
      </c>
      <c r="CI19" s="7">
        <f>CH19+預測IC!CI19</f>
        <v>0.49379547504652782</v>
      </c>
      <c r="CJ19" s="7">
        <f>CI19+預測IC!CJ19</f>
        <v>0.43185497508049164</v>
      </c>
      <c r="CK19" s="7">
        <f>CJ19+預測IC!CK19</f>
        <v>0.53582269289758988</v>
      </c>
      <c r="CL19" s="7">
        <f>CK19+預測IC!CL19</f>
        <v>0.49258241292279997</v>
      </c>
      <c r="CM19" s="7">
        <f>CL19+預測IC!CM19</f>
        <v>0.3823465341854323</v>
      </c>
      <c r="CN19" s="7">
        <f>CM19+預測IC!CN19</f>
        <v>0.30541387951812882</v>
      </c>
      <c r="CO19" s="7">
        <f>CN19+預測IC!CO19</f>
        <v>0.13926732174284823</v>
      </c>
      <c r="CP19" s="7">
        <f>CO19+預測IC!CP19</f>
        <v>0.27668204650068412</v>
      </c>
      <c r="CQ19" s="7">
        <f>CP19+預測IC!CQ19</f>
        <v>0.30907665401710277</v>
      </c>
      <c r="CR19" s="7">
        <f>CQ19+預測IC!CR19</f>
        <v>0.48538337826329481</v>
      </c>
      <c r="CS19" s="7">
        <f>CR19+預測IC!CS19</f>
        <v>0.43113292871496128</v>
      </c>
      <c r="CT19" s="7">
        <f>CS19+預測IC!CT19</f>
        <v>0.45755413000322021</v>
      </c>
      <c r="CU19" s="7">
        <f>CT19+預測IC!CU19</f>
        <v>0.31094658674228121</v>
      </c>
      <c r="CV19" s="7">
        <f>CU19+預測IC!CV19</f>
        <v>0.40549959471366015</v>
      </c>
      <c r="CW19" s="7">
        <f>CV19+預測IC!CW19</f>
        <v>0.37330746132584458</v>
      </c>
      <c r="CX19" s="7">
        <f>CW19+預測IC!CX19</f>
        <v>0.22515717052133968</v>
      </c>
      <c r="CY19" s="7">
        <f>CX19+預測IC!CY19</f>
        <v>0.33304928997853067</v>
      </c>
      <c r="CZ19" s="7">
        <f>CY19+預測IC!CZ19</f>
        <v>0.27555002689001873</v>
      </c>
      <c r="DA19" s="7">
        <f>CZ19+預測IC!DA19</f>
        <v>0.39524642510186736</v>
      </c>
      <c r="DB19" s="7">
        <f>DA19+預測IC!DB19</f>
        <v>0.68138487900317379</v>
      </c>
      <c r="DC19" s="7">
        <f>DB19+預測IC!DC19</f>
        <v>0.61579729426527696</v>
      </c>
      <c r="DD19" s="7">
        <f>DC19+預測IC!DD19</f>
        <v>0.609596169010448</v>
      </c>
      <c r="DE19" s="7">
        <f>DD19+預測IC!DE19</f>
        <v>0.57657775435465597</v>
      </c>
      <c r="DF19" s="7">
        <f>DE19+預測IC!DF19</f>
        <v>0.55528141192748903</v>
      </c>
      <c r="DG19" s="7">
        <f>DF19+預測IC!DG19</f>
        <v>0.48890714693305271</v>
      </c>
      <c r="DH19" s="7">
        <f>DG19+預測IC!DH19</f>
        <v>0.53212775241630417</v>
      </c>
      <c r="DI19" s="7">
        <f>DH19+預測IC!DI19</f>
        <v>0.59077478542757267</v>
      </c>
      <c r="DJ19" s="7">
        <f>DI19+預測IC!DJ19</f>
        <v>0.75602525438664459</v>
      </c>
      <c r="DK19" s="7">
        <f>DJ19+預測IC!DK19</f>
        <v>0.74004096481198067</v>
      </c>
      <c r="DL19" s="7">
        <f>DK19+預測IC!DL19</f>
        <v>0.72805817890300684</v>
      </c>
      <c r="DM19" s="7">
        <f>DL19+預測IC!DM19</f>
        <v>0.77415608138863456</v>
      </c>
      <c r="DN19" s="7">
        <f>DM19+預測IC!DN19</f>
        <v>0.94808438311718291</v>
      </c>
      <c r="DO19" s="7">
        <f>DN19+預測IC!DO19</f>
        <v>1.1973463348269271</v>
      </c>
      <c r="DP19" s="7">
        <f>DO19+預測IC!DP19</f>
        <v>1.193343873895635</v>
      </c>
      <c r="DQ19" s="7">
        <f>DP19+預測IC!DQ19</f>
        <v>1.1427207024459021</v>
      </c>
      <c r="DR19" s="7">
        <f>DQ19+預測IC!DR19</f>
        <v>1.2186830557709503</v>
      </c>
      <c r="DS19" s="7">
        <f>DR19+預測IC!DS19</f>
        <v>1.04068750881698</v>
      </c>
      <c r="DT19" s="7">
        <f>DS19+預測IC!DT19</f>
        <v>1.035654262296875</v>
      </c>
      <c r="DU19" s="7">
        <f>DT19+預測IC!DU19</f>
        <v>0.84113482283389573</v>
      </c>
      <c r="DV19" s="7">
        <f>DU19+預測IC!DV19</f>
        <v>0.91272820943129784</v>
      </c>
      <c r="DW19" s="7">
        <f>DV19+預測IC!DW19</f>
        <v>0.85588422110983686</v>
      </c>
      <c r="DX19" s="7">
        <f>DW19+預測IC!DX19</f>
        <v>0.9504984144673746</v>
      </c>
      <c r="DY19" s="7">
        <f>DX19+預測IC!DY19</f>
        <v>1.1026178240718614</v>
      </c>
      <c r="DZ19" s="7">
        <f>DY19+預測IC!DZ19</f>
        <v>1.0229742559334263</v>
      </c>
      <c r="EA19" s="7">
        <f>DZ19+預測IC!EA19</f>
        <v>1.2560200862387068</v>
      </c>
      <c r="EB19" s="7">
        <f>EA19+預測IC!EB19</f>
        <v>1.1497742282132621</v>
      </c>
      <c r="EC19" s="7">
        <f>EB19+預測IC!EC19</f>
        <v>1.0060000253882531</v>
      </c>
      <c r="ED19" s="7">
        <f>EC19+預測IC!ED19</f>
        <v>0.91984047459007867</v>
      </c>
      <c r="EE19" s="7">
        <f>ED19+預測IC!EE19</f>
        <v>0.92714700126720639</v>
      </c>
      <c r="EF19" s="7">
        <f>EE19+預測IC!EF19</f>
        <v>0.94412495614197556</v>
      </c>
    </row>
    <row r="20" spans="1:136" x14ac:dyDescent="0.3">
      <c r="B20" s="1" t="s">
        <v>160</v>
      </c>
      <c r="C20" s="7">
        <v>0.2015510478639157</v>
      </c>
      <c r="D20" s="7">
        <f>C20+預測IC!D20</f>
        <v>0.20190276612766125</v>
      </c>
      <c r="E20" s="7">
        <f>D20+預測IC!E20</f>
        <v>0.21740275427199524</v>
      </c>
      <c r="F20" s="7">
        <f>E20+預測IC!F20</f>
        <v>0.12618433209994928</v>
      </c>
      <c r="G20" s="7">
        <f>F20+預測IC!G20</f>
        <v>2.5818420181085378E-2</v>
      </c>
      <c r="H20" s="7">
        <f>G20+預測IC!H20</f>
        <v>0.19019041830975528</v>
      </c>
      <c r="I20" s="7">
        <f>H20+預測IC!I20</f>
        <v>0.34833998091085694</v>
      </c>
      <c r="J20" s="7">
        <f>I20+預測IC!J20</f>
        <v>0.38281123963771319</v>
      </c>
      <c r="K20" s="7">
        <f>J20+預測IC!K20</f>
        <v>0.29270258551503919</v>
      </c>
      <c r="L20" s="7">
        <f>K20+預測IC!L20</f>
        <v>0.38841122101957493</v>
      </c>
      <c r="M20" s="7">
        <f>L20+預測IC!M20</f>
        <v>0.48854463538366094</v>
      </c>
      <c r="N20" s="7">
        <f>M20+預測IC!N20</f>
        <v>0.59046956442930087</v>
      </c>
      <c r="O20" s="7">
        <f>N20+預測IC!O20</f>
        <v>0.6895710485737746</v>
      </c>
      <c r="P20" s="7">
        <f>O20+預測IC!P20</f>
        <v>0.59840112090524933</v>
      </c>
      <c r="Q20" s="7">
        <f>P20+預測IC!Q20</f>
        <v>0.49135579945452124</v>
      </c>
      <c r="R20" s="7">
        <f>Q20+預測IC!R20</f>
        <v>0.30041333246500734</v>
      </c>
      <c r="S20" s="7">
        <f>R20+預測IC!S20</f>
        <v>0.14523071413726474</v>
      </c>
      <c r="T20" s="7">
        <f>S20+預測IC!T20</f>
        <v>0.1608936246565241</v>
      </c>
      <c r="U20" s="7">
        <f>T20+預測IC!U20</f>
        <v>1.2243944538749191E-2</v>
      </c>
      <c r="V20" s="7">
        <f>U20+預測IC!V20</f>
        <v>2.488804765593813E-2</v>
      </c>
      <c r="W20" s="7">
        <f>V20+預測IC!W20</f>
        <v>0.19797342383351904</v>
      </c>
      <c r="X20" s="7">
        <f>W20+預測IC!X20</f>
        <v>0.34667062509065261</v>
      </c>
      <c r="Y20" s="7">
        <f>X20+預測IC!Y20</f>
        <v>0.38873811462924984</v>
      </c>
      <c r="Z20" s="7">
        <f>Y20+預測IC!Z20</f>
        <v>0.49435507511290916</v>
      </c>
      <c r="AA20" s="7">
        <f>Z20+預測IC!AA20</f>
        <v>0.47276052172561206</v>
      </c>
      <c r="AB20" s="7">
        <f>AA20+預測IC!AB20</f>
        <v>0.55752036245178527</v>
      </c>
      <c r="AC20" s="7">
        <f>AB20+預測IC!AC20</f>
        <v>0.61396370809230483</v>
      </c>
      <c r="AD20" s="7">
        <f>AC20+預測IC!AD20</f>
        <v>0.64841761094413453</v>
      </c>
      <c r="AE20" s="7">
        <f>AD20+預測IC!AE20</f>
        <v>0.44912474660503665</v>
      </c>
      <c r="AF20" s="7">
        <f>AE20+預測IC!AF20</f>
        <v>0.48816942499261662</v>
      </c>
      <c r="AG20" s="7">
        <f>AF20+預測IC!AG20</f>
        <v>0.5158286435325089</v>
      </c>
      <c r="AH20" s="7">
        <f>AG20+預測IC!AH20</f>
        <v>0.7324710961808697</v>
      </c>
      <c r="AI20" s="7">
        <f>AH20+預測IC!AI20</f>
        <v>0.84880785123619329</v>
      </c>
      <c r="AJ20" s="7">
        <f>AI20+預測IC!AJ20</f>
        <v>0.86604956695229451</v>
      </c>
      <c r="AK20" s="7">
        <f>AJ20+預測IC!AK20</f>
        <v>0.93301592809493983</v>
      </c>
      <c r="AL20" s="7">
        <f>AK20+預測IC!AL20</f>
        <v>0.91223566298634506</v>
      </c>
      <c r="AM20" s="7">
        <f>AL20+預測IC!AM20</f>
        <v>0.84470580319801791</v>
      </c>
      <c r="AN20" s="7">
        <f>AM20+預測IC!AN20</f>
        <v>0.92017599671701622</v>
      </c>
      <c r="AO20" s="7">
        <f>AN20+預測IC!AO20</f>
        <v>0.96546107868170461</v>
      </c>
      <c r="AP20" s="7">
        <f>AO20+預測IC!AP20</f>
        <v>1.1051813369213648</v>
      </c>
      <c r="AQ20" s="7">
        <f>AP20+預測IC!AQ20</f>
        <v>1.1384895680169091</v>
      </c>
      <c r="AR20" s="7">
        <f>AQ20+預測IC!AR20</f>
        <v>1.1087505681666081</v>
      </c>
      <c r="AS20" s="7">
        <f>AR20+預測IC!AS20</f>
        <v>1.0664588517176321</v>
      </c>
      <c r="AT20" s="7">
        <f>AS20+預測IC!AT20</f>
        <v>1.3055825991627026</v>
      </c>
      <c r="AU20" s="7">
        <f>AT20+預測IC!AU20</f>
        <v>1.1625099582355372</v>
      </c>
      <c r="AV20" s="7">
        <f>AU20+預測IC!AV20</f>
        <v>1.1302633454487738</v>
      </c>
      <c r="AW20" s="7">
        <f>AV20+預測IC!AW20</f>
        <v>1.1371286136279248</v>
      </c>
      <c r="AX20" s="7">
        <f>AW20+預測IC!AX20</f>
        <v>1.2478611616266264</v>
      </c>
      <c r="AY20" s="7">
        <f>AX20+預測IC!AY20</f>
        <v>1.2865358600695358</v>
      </c>
      <c r="AZ20" s="7">
        <f>AY20+預測IC!AZ20</f>
        <v>1.072733428892447</v>
      </c>
      <c r="BA20" s="7">
        <f>AZ20+預測IC!BA20</f>
        <v>0.97065585857166781</v>
      </c>
      <c r="BB20" s="7">
        <f>BA20+預測IC!BB20</f>
        <v>1.1383112819482371</v>
      </c>
      <c r="BC20" s="7">
        <f>BB20+預測IC!BC20</f>
        <v>1.2089168496259772</v>
      </c>
      <c r="BD20" s="7">
        <f>BC20+預測IC!BD20</f>
        <v>1.1554870364043799</v>
      </c>
      <c r="BE20" s="7">
        <f>BD20+預測IC!BE20</f>
        <v>1.1495402392651195</v>
      </c>
      <c r="BF20" s="7">
        <f>BE20+預測IC!BF20</f>
        <v>1.0115689761961442</v>
      </c>
      <c r="BG20" s="7">
        <f>BF20+預測IC!BG20</f>
        <v>0.91750692058780392</v>
      </c>
      <c r="BH20" s="7">
        <f>BG20+預測IC!BH20</f>
        <v>0.76744962002434947</v>
      </c>
      <c r="BI20" s="7">
        <f>BH20+預測IC!BI20</f>
        <v>0.88170528575887297</v>
      </c>
      <c r="BJ20" s="7">
        <f>BI20+預測IC!BJ20</f>
        <v>0.83256550194759893</v>
      </c>
      <c r="BK20" s="7">
        <f>BJ20+預測IC!BK20</f>
        <v>0.77333233410477165</v>
      </c>
      <c r="BL20" s="7">
        <f>BK20+預測IC!BL20</f>
        <v>0.85962456528122644</v>
      </c>
      <c r="BM20" s="7">
        <f>BL20+預測IC!BM20</f>
        <v>0.99654222660966474</v>
      </c>
      <c r="BN20" s="7">
        <f>BM20+預測IC!BN20</f>
        <v>1.1150994680550361</v>
      </c>
      <c r="BO20" s="7">
        <f>BN20+預測IC!BO20</f>
        <v>1.076637750539057</v>
      </c>
      <c r="BP20" s="7">
        <f>BO20+預測IC!BP20</f>
        <v>1.1370452713020121</v>
      </c>
      <c r="BQ20" s="7">
        <f>BP20+預測IC!BQ20</f>
        <v>1.1524969782628551</v>
      </c>
      <c r="BR20" s="7">
        <f>BQ20+預測IC!BR20</f>
        <v>1.1645706099933277</v>
      </c>
      <c r="BS20" s="7">
        <f>BR20+預測IC!BS20</f>
        <v>1.1699781161845189</v>
      </c>
      <c r="BT20" s="7">
        <f>BS20+預測IC!BT20</f>
        <v>1.3177811493631661</v>
      </c>
      <c r="BU20" s="7">
        <f>BT20+預測IC!BU20</f>
        <v>1.2190261999954595</v>
      </c>
      <c r="BV20" s="7">
        <f>BU20+預測IC!BV20</f>
        <v>1.3349445315585315</v>
      </c>
      <c r="BW20" s="7">
        <f>BV20+預測IC!BW20</f>
        <v>1.1994412797460554</v>
      </c>
      <c r="BX20" s="7">
        <f>BW20+預測IC!BX20</f>
        <v>1.2301349164292996</v>
      </c>
      <c r="BY20" s="7">
        <f>BX20+預測IC!BY20</f>
        <v>1.1249009500599962</v>
      </c>
      <c r="BZ20" s="7">
        <f>BY20+預測IC!BZ20</f>
        <v>1.1306210081816948</v>
      </c>
      <c r="CA20" s="7">
        <f>BZ20+預測IC!CA20</f>
        <v>1.1063724734422689</v>
      </c>
      <c r="CB20" s="7">
        <f>CA20+預測IC!CB20</f>
        <v>1.1062647183412404</v>
      </c>
      <c r="CC20" s="7">
        <f>CB20+預測IC!CC20</f>
        <v>1.0802216845581754</v>
      </c>
      <c r="CD20" s="7">
        <f>CC20+預測IC!CD20</f>
        <v>1.2612491820487723</v>
      </c>
      <c r="CE20" s="7">
        <f>CD20+預測IC!CE20</f>
        <v>1.0172853865790392</v>
      </c>
      <c r="CF20" s="7">
        <f>CE20+預測IC!CF20</f>
        <v>1.123070275855131</v>
      </c>
      <c r="CG20" s="7">
        <f>CF20+預測IC!CG20</f>
        <v>1.047100035112023</v>
      </c>
      <c r="CH20" s="7">
        <f>CG20+預測IC!CH20</f>
        <v>1.02490480608789</v>
      </c>
      <c r="CI20" s="7">
        <f>CH20+預測IC!CI20</f>
        <v>0.9396966036528146</v>
      </c>
      <c r="CJ20" s="7">
        <f>CI20+預測IC!CJ20</f>
        <v>0.81625628376546355</v>
      </c>
      <c r="CK20" s="7">
        <f>CJ20+預測IC!CK20</f>
        <v>0.90723468051557021</v>
      </c>
      <c r="CL20" s="7">
        <f>CK20+預測IC!CL20</f>
        <v>0.81504974632644123</v>
      </c>
      <c r="CM20" s="7">
        <f>CL20+預測IC!CM20</f>
        <v>0.71827394047720339</v>
      </c>
      <c r="CN20" s="7">
        <f>CM20+預測IC!CN20</f>
        <v>0.74043335184768799</v>
      </c>
      <c r="CO20" s="7">
        <f>CN20+預測IC!CO20</f>
        <v>0.51191514866614696</v>
      </c>
      <c r="CP20" s="7">
        <f>CO20+預測IC!CP20</f>
        <v>0.66857590386132992</v>
      </c>
      <c r="CQ20" s="7">
        <f>CP20+預測IC!CQ20</f>
        <v>0.69169394916161298</v>
      </c>
      <c r="CR20" s="7">
        <f>CQ20+預測IC!CR20</f>
        <v>0.88718005964655511</v>
      </c>
      <c r="CS20" s="7">
        <f>CR20+預測IC!CS20</f>
        <v>0.79004296091223303</v>
      </c>
      <c r="CT20" s="7">
        <f>CS20+預測IC!CT20</f>
        <v>0.8184573683088211</v>
      </c>
      <c r="CU20" s="7">
        <f>CT20+預測IC!CU20</f>
        <v>0.67172935923719423</v>
      </c>
      <c r="CV20" s="7">
        <f>CU20+預測IC!CV20</f>
        <v>0.79094348744987897</v>
      </c>
      <c r="CW20" s="7">
        <f>CV20+預測IC!CW20</f>
        <v>0.7651270848784022</v>
      </c>
      <c r="CX20" s="7">
        <f>CW20+預測IC!CX20</f>
        <v>0.61997289687853552</v>
      </c>
      <c r="CY20" s="7">
        <f>CX20+預測IC!CY20</f>
        <v>0.72093955399035903</v>
      </c>
      <c r="CZ20" s="7">
        <f>CY20+預測IC!CZ20</f>
        <v>0.7078769201280285</v>
      </c>
      <c r="DA20" s="7">
        <f>CZ20+預測IC!DA20</f>
        <v>0.93249638104106136</v>
      </c>
      <c r="DB20" s="7">
        <f>DA20+預測IC!DB20</f>
        <v>1.314986301307453</v>
      </c>
      <c r="DC20" s="7">
        <f>DB20+預測IC!DC20</f>
        <v>1.2776539901690522</v>
      </c>
      <c r="DD20" s="7">
        <f>DC20+預測IC!DD20</f>
        <v>1.274056805412102</v>
      </c>
      <c r="DE20" s="7">
        <f>DD20+預測IC!DE20</f>
        <v>1.2636380838052492</v>
      </c>
      <c r="DF20" s="7">
        <f>DE20+預測IC!DF20</f>
        <v>1.2181381253144508</v>
      </c>
      <c r="DG20" s="7">
        <f>DF20+預測IC!DG20</f>
        <v>1.1657933120146318</v>
      </c>
      <c r="DH20" s="7">
        <f>DG20+預測IC!DH20</f>
        <v>1.2138517242001348</v>
      </c>
      <c r="DI20" s="7">
        <f>DH20+預測IC!DI20</f>
        <v>1.2881000597922281</v>
      </c>
      <c r="DJ20" s="7">
        <f>DI20+預測IC!DJ20</f>
        <v>1.4246581522249255</v>
      </c>
      <c r="DK20" s="7">
        <f>DJ20+預測IC!DK20</f>
        <v>1.4038924937369308</v>
      </c>
      <c r="DL20" s="7">
        <f>DK20+預測IC!DL20</f>
        <v>1.384427120403311</v>
      </c>
      <c r="DM20" s="7">
        <f>DL20+預測IC!DM20</f>
        <v>1.3415623462949651</v>
      </c>
      <c r="DN20" s="7">
        <f>DM20+預測IC!DN20</f>
        <v>1.5247970799161339</v>
      </c>
      <c r="DO20" s="7">
        <f>DN20+預測IC!DO20</f>
        <v>1.7827984433751454</v>
      </c>
      <c r="DP20" s="7">
        <f>DO20+預測IC!DP20</f>
        <v>1.7611271816100409</v>
      </c>
      <c r="DQ20" s="7">
        <f>DP20+預測IC!DQ20</f>
        <v>1.7225868705256724</v>
      </c>
      <c r="DR20" s="7">
        <f>DQ20+預測IC!DR20</f>
        <v>1.8010995305539628</v>
      </c>
      <c r="DS20" s="7">
        <f>DR20+預測IC!DS20</f>
        <v>1.5950184329756081</v>
      </c>
      <c r="DT20" s="7">
        <f>DS20+預測IC!DT20</f>
        <v>1.6247037717744506</v>
      </c>
      <c r="DU20" s="7">
        <f>DT20+預測IC!DU20</f>
        <v>1.3520594439325051</v>
      </c>
      <c r="DV20" s="7">
        <f>DU20+預測IC!DV20</f>
        <v>1.4541016251149803</v>
      </c>
      <c r="DW20" s="7">
        <f>DV20+預測IC!DW20</f>
        <v>1.391816233202769</v>
      </c>
      <c r="DX20" s="7">
        <f>DW20+預測IC!DX20</f>
        <v>1.4896674514074943</v>
      </c>
      <c r="DY20" s="7">
        <f>DX20+預測IC!DY20</f>
        <v>1.6770692814466877</v>
      </c>
      <c r="DZ20" s="7">
        <f>DY20+預測IC!DZ20</f>
        <v>1.6951844079590703</v>
      </c>
      <c r="EA20" s="7">
        <f>DZ20+預測IC!EA20</f>
        <v>1.9888743919232417</v>
      </c>
      <c r="EB20" s="7">
        <f>EA20+預測IC!EB20</f>
        <v>1.8825621250729545</v>
      </c>
      <c r="EC20" s="7">
        <f>EB20+預測IC!EC20</f>
        <v>1.751555979310887</v>
      </c>
      <c r="ED20" s="7">
        <f>EC20+預測IC!ED20</f>
        <v>1.6769303213135596</v>
      </c>
      <c r="EE20" s="7">
        <f>ED20+預測IC!EE20</f>
        <v>1.6786713010654142</v>
      </c>
      <c r="EF20" s="7">
        <f>EE20+預測IC!EF20</f>
        <v>1.6989527176813215</v>
      </c>
    </row>
    <row r="21" spans="1:136" x14ac:dyDescent="0.3">
      <c r="B21" s="1" t="s">
        <v>161</v>
      </c>
      <c r="C21" s="7">
        <v>0.21462957980695321</v>
      </c>
      <c r="D21" s="7">
        <f>C21+預測IC!D21</f>
        <v>0.21426187041179401</v>
      </c>
      <c r="E21" s="7">
        <f>D21+預測IC!E21</f>
        <v>0.21398251814100216</v>
      </c>
      <c r="F21" s="7">
        <f>E21+預測IC!F21</f>
        <v>0.16288503429459394</v>
      </c>
      <c r="G21" s="7">
        <f>F21+預測IC!G21</f>
        <v>0.15558889626674249</v>
      </c>
      <c r="H21" s="7">
        <f>G21+預測IC!H21</f>
        <v>0.3542569572465083</v>
      </c>
      <c r="I21" s="7">
        <f>H21+預測IC!I21</f>
        <v>0.50151256537398126</v>
      </c>
      <c r="J21" s="7">
        <f>I21+預測IC!J21</f>
        <v>0.56194789106562359</v>
      </c>
      <c r="K21" s="7">
        <f>J21+預測IC!K21</f>
        <v>0.47297487371160152</v>
      </c>
      <c r="L21" s="7">
        <f>K21+預測IC!L21</f>
        <v>0.58265448116583141</v>
      </c>
      <c r="M21" s="7">
        <f>L21+預測IC!M21</f>
        <v>0.65831513109259188</v>
      </c>
      <c r="N21" s="7">
        <f>M21+預測IC!N21</f>
        <v>0.75790254321553341</v>
      </c>
      <c r="O21" s="7">
        <f>N21+預測IC!O21</f>
        <v>0.88768500174588694</v>
      </c>
      <c r="P21" s="7">
        <f>O21+預測IC!P21</f>
        <v>0.74291240085620203</v>
      </c>
      <c r="Q21" s="7">
        <f>P21+預測IC!Q21</f>
        <v>0.66171703184022868</v>
      </c>
      <c r="R21" s="7">
        <f>Q21+預測IC!R21</f>
        <v>0.51902494111690733</v>
      </c>
      <c r="S21" s="7">
        <f>R21+預測IC!S21</f>
        <v>0.39043465566695035</v>
      </c>
      <c r="T21" s="7">
        <f>S21+預測IC!T21</f>
        <v>0.3763942913267454</v>
      </c>
      <c r="U21" s="7">
        <f>T21+預測IC!U21</f>
        <v>0.29011587371498737</v>
      </c>
      <c r="V21" s="7">
        <f>U21+預測IC!V21</f>
        <v>0.34367349308101858</v>
      </c>
      <c r="W21" s="7">
        <f>V21+預測IC!W21</f>
        <v>0.50146197269648118</v>
      </c>
      <c r="X21" s="7">
        <f>W21+預測IC!X21</f>
        <v>0.69879915128012793</v>
      </c>
      <c r="Y21" s="7">
        <f>X21+預測IC!Y21</f>
        <v>0.71963223417256272</v>
      </c>
      <c r="Z21" s="7">
        <f>Y21+預測IC!Z21</f>
        <v>0.83383622139528724</v>
      </c>
      <c r="AA21" s="7">
        <f>Z21+預測IC!AA21</f>
        <v>0.85332726493538114</v>
      </c>
      <c r="AB21" s="7">
        <f>AA21+預測IC!AB21</f>
        <v>0.98316684733245097</v>
      </c>
      <c r="AC21" s="7">
        <f>AB21+預測IC!AC21</f>
        <v>1.0574679771244733</v>
      </c>
      <c r="AD21" s="7">
        <f>AC21+預測IC!AD21</f>
        <v>1.1041654016772189</v>
      </c>
      <c r="AE21" s="7">
        <f>AD21+預測IC!AE21</f>
        <v>0.86370929118403217</v>
      </c>
      <c r="AF21" s="7">
        <f>AE21+預測IC!AF21</f>
        <v>0.91683490107059518</v>
      </c>
      <c r="AG21" s="7">
        <f>AF21+預測IC!AG21</f>
        <v>0.96113767886038926</v>
      </c>
      <c r="AH21" s="7">
        <f>AG21+預測IC!AH21</f>
        <v>1.2014889345191562</v>
      </c>
      <c r="AI21" s="7">
        <f>AH21+預測IC!AI21</f>
        <v>1.30361261003064</v>
      </c>
      <c r="AJ21" s="7">
        <f>AI21+預測IC!AJ21</f>
        <v>1.308798535676341</v>
      </c>
      <c r="AK21" s="7">
        <f>AJ21+預測IC!AK21</f>
        <v>1.4137871458286344</v>
      </c>
      <c r="AL21" s="7">
        <f>AK21+預測IC!AL21</f>
        <v>1.3763956596938802</v>
      </c>
      <c r="AM21" s="7">
        <f>AL21+預測IC!AM21</f>
        <v>1.4395213777013638</v>
      </c>
      <c r="AN21" s="7">
        <f>AM21+預測IC!AN21</f>
        <v>1.5514774337644581</v>
      </c>
      <c r="AO21" s="7">
        <f>AN21+預測IC!AO21</f>
        <v>1.5992038294081847</v>
      </c>
      <c r="AP21" s="7">
        <f>AO21+預測IC!AP21</f>
        <v>1.7873050351785038</v>
      </c>
      <c r="AQ21" s="7">
        <f>AP21+預測IC!AQ21</f>
        <v>1.8243412236290786</v>
      </c>
      <c r="AR21" s="7">
        <f>AQ21+預測IC!AR21</f>
        <v>1.7901433229982544</v>
      </c>
      <c r="AS21" s="7">
        <f>AR21+預測IC!AS21</f>
        <v>1.7447366409382463</v>
      </c>
      <c r="AT21" s="7">
        <f>AS21+預測IC!AT21</f>
        <v>2.0095748984862434</v>
      </c>
      <c r="AU21" s="7">
        <f>AT21+預測IC!AU21</f>
        <v>1.9461195688729633</v>
      </c>
      <c r="AV21" s="7">
        <f>AU21+預測IC!AV21</f>
        <v>1.8774056561764838</v>
      </c>
      <c r="AW21" s="7">
        <f>AV21+預測IC!AW21</f>
        <v>1.8871966861305811</v>
      </c>
      <c r="AX21" s="7">
        <f>AW21+預測IC!AX21</f>
        <v>2.0303443736003377</v>
      </c>
      <c r="AY21" s="7">
        <f>AX21+預測IC!AY21</f>
        <v>2.0773656645783758</v>
      </c>
      <c r="AZ21" s="7">
        <f>AY21+預測IC!AZ21</f>
        <v>1.8224543946812393</v>
      </c>
      <c r="BA21" s="7">
        <f>AZ21+預測IC!BA21</f>
        <v>1.803161187045532</v>
      </c>
      <c r="BB21" s="7">
        <f>BA21+預測IC!BB21</f>
        <v>2.0285073220838701</v>
      </c>
      <c r="BC21" s="7">
        <f>BB21+預測IC!BC21</f>
        <v>2.0668284698090638</v>
      </c>
      <c r="BD21" s="7">
        <f>BC21+預測IC!BD21</f>
        <v>2.0450776064384359</v>
      </c>
      <c r="BE21" s="7">
        <f>BD21+預測IC!BE21</f>
        <v>2.0514281398358376</v>
      </c>
      <c r="BF21" s="7">
        <f>BE21+預測IC!BF21</f>
        <v>1.8523109234052344</v>
      </c>
      <c r="BG21" s="7">
        <f>BF21+預測IC!BG21</f>
        <v>1.7600253518979807</v>
      </c>
      <c r="BH21" s="7">
        <f>BG21+預測IC!BH21</f>
        <v>1.6531832422605506</v>
      </c>
      <c r="BI21" s="7">
        <f>BH21+預測IC!BI21</f>
        <v>1.8070578883528072</v>
      </c>
      <c r="BJ21" s="7">
        <f>BI21+預測IC!BJ21</f>
        <v>1.7750753739418152</v>
      </c>
      <c r="BK21" s="7">
        <f>BJ21+預測IC!BK21</f>
        <v>1.7066254935622804</v>
      </c>
      <c r="BL21" s="7">
        <f>BK21+預測IC!BL21</f>
        <v>1.8493465862086302</v>
      </c>
      <c r="BM21" s="7">
        <f>BL21+預測IC!BM21</f>
        <v>2.0044665901297298</v>
      </c>
      <c r="BN21" s="7">
        <f>BM21+預測IC!BN21</f>
        <v>2.0681145381219777</v>
      </c>
      <c r="BO21" s="7">
        <f>BN21+預測IC!BO21</f>
        <v>2.0042573017082974</v>
      </c>
      <c r="BP21" s="7">
        <f>BO21+預測IC!BP21</f>
        <v>2.1087664311277119</v>
      </c>
      <c r="BQ21" s="7">
        <f>BP21+預測IC!BQ21</f>
        <v>2.1633086619622168</v>
      </c>
      <c r="BR21" s="7">
        <f>BQ21+預測IC!BR21</f>
        <v>2.1756325241460814</v>
      </c>
      <c r="BS21" s="7">
        <f>BR21+預測IC!BS21</f>
        <v>2.1814926969012576</v>
      </c>
      <c r="BT21" s="7">
        <f>BS21+預測IC!BT21</f>
        <v>2.3137373908757004</v>
      </c>
      <c r="BU21" s="7">
        <f>BT21+預測IC!BU21</f>
        <v>2.1782409286771314</v>
      </c>
      <c r="BV21" s="7">
        <f>BU21+預測IC!BV21</f>
        <v>2.3203839288625847</v>
      </c>
      <c r="BW21" s="7">
        <f>BV21+預測IC!BW21</f>
        <v>2.1737047319268537</v>
      </c>
      <c r="BX21" s="7">
        <f>BW21+預測IC!BX21</f>
        <v>2.1707139126424395</v>
      </c>
      <c r="BY21" s="7">
        <f>BX21+預測IC!BY21</f>
        <v>2.1203340614243231</v>
      </c>
      <c r="BZ21" s="7">
        <f>BY21+預測IC!BZ21</f>
        <v>2.0688358574098733</v>
      </c>
      <c r="CA21" s="7">
        <f>BZ21+預測IC!CA21</f>
        <v>2.0307569179346068</v>
      </c>
      <c r="CB21" s="7">
        <f>CA21+預測IC!CB21</f>
        <v>2.1042230173395358</v>
      </c>
      <c r="CC21" s="7">
        <f>CB21+預測IC!CC21</f>
        <v>2.0575294678705727</v>
      </c>
      <c r="CD21" s="7">
        <f>CC21+預測IC!CD21</f>
        <v>2.3455855322330459</v>
      </c>
      <c r="CE21" s="7">
        <f>CD21+預測IC!CE21</f>
        <v>1.9505095897680005</v>
      </c>
      <c r="CF21" s="7">
        <f>CE21+預測IC!CF21</f>
        <v>2.0650357473791687</v>
      </c>
      <c r="CG21" s="7">
        <f>CF21+預測IC!CG21</f>
        <v>1.9799504119050377</v>
      </c>
      <c r="CH21" s="7">
        <f>CG21+預測IC!CH21</f>
        <v>1.8233239712780691</v>
      </c>
      <c r="CI21" s="7">
        <f>CH21+預測IC!CI21</f>
        <v>1.7501412442030704</v>
      </c>
      <c r="CJ21" s="7">
        <f>CI21+預測IC!CJ21</f>
        <v>1.6645134871865681</v>
      </c>
      <c r="CK21" s="7">
        <f>CJ21+預測IC!CK21</f>
        <v>1.7915640339167023</v>
      </c>
      <c r="CL21" s="7">
        <f>CK21+預測IC!CL21</f>
        <v>1.6576736092937376</v>
      </c>
      <c r="CM21" s="7">
        <f>CL21+預測IC!CM21</f>
        <v>1.5414417901131785</v>
      </c>
      <c r="CN21" s="7">
        <f>CM21+預測IC!CN21</f>
        <v>1.571980680316954</v>
      </c>
      <c r="CO21" s="7">
        <f>CN21+預測IC!CO21</f>
        <v>1.3341886991775616</v>
      </c>
      <c r="CP21" s="7">
        <f>CO21+預測IC!CP21</f>
        <v>1.432496005301612</v>
      </c>
      <c r="CQ21" s="7">
        <f>CP21+預測IC!CQ21</f>
        <v>1.4554081994711083</v>
      </c>
      <c r="CR21" s="7">
        <f>CQ21+預測IC!CR21</f>
        <v>1.6944681658323761</v>
      </c>
      <c r="CS21" s="7">
        <f>CR21+預測IC!CS21</f>
        <v>1.6331991296130453</v>
      </c>
      <c r="CT21" s="7">
        <f>CS21+預測IC!CT21</f>
        <v>1.6811922336860492</v>
      </c>
      <c r="CU21" s="7">
        <f>CT21+預測IC!CU21</f>
        <v>1.5222756113685991</v>
      </c>
      <c r="CV21" s="7">
        <f>CU21+預測IC!CV21</f>
        <v>1.6766074561431714</v>
      </c>
      <c r="CW21" s="7">
        <f>CV21+預測IC!CW21</f>
        <v>1.6458549748351325</v>
      </c>
      <c r="CX21" s="7">
        <f>CW21+預測IC!CX21</f>
        <v>1.488886127923521</v>
      </c>
      <c r="CY21" s="7">
        <f>CX21+預測IC!CY21</f>
        <v>1.6413384341688402</v>
      </c>
      <c r="CZ21" s="7">
        <f>CY21+預測IC!CZ21</f>
        <v>1.6274912277571396</v>
      </c>
      <c r="DA21" s="7">
        <f>CZ21+預測IC!DA21</f>
        <v>1.903662093759861</v>
      </c>
      <c r="DB21" s="7">
        <f>DA21+預測IC!DB21</f>
        <v>2.3760128292305378</v>
      </c>
      <c r="DC21" s="7">
        <f>DB21+預測IC!DC21</f>
        <v>2.222108033860819</v>
      </c>
      <c r="DD21" s="7">
        <f>DC21+預測IC!DD21</f>
        <v>2.2192892394697483</v>
      </c>
      <c r="DE21" s="7">
        <f>DD21+預測IC!DE21</f>
        <v>2.1903115024094215</v>
      </c>
      <c r="DF21" s="7">
        <f>DE21+預測IC!DF21</f>
        <v>2.0415025999196783</v>
      </c>
      <c r="DG21" s="7">
        <f>DF21+預測IC!DG21</f>
        <v>1.9820930810747648</v>
      </c>
      <c r="DH21" s="7">
        <f>DG21+預測IC!DH21</f>
        <v>1.9717375095729073</v>
      </c>
      <c r="DI21" s="7">
        <f>DH21+預測IC!DI21</f>
        <v>2.0618867122907281</v>
      </c>
      <c r="DJ21" s="7">
        <f>DI21+預測IC!DJ21</f>
        <v>2.2184924307543699</v>
      </c>
      <c r="DK21" s="7">
        <f>DJ21+預測IC!DK21</f>
        <v>2.1975263686023512</v>
      </c>
      <c r="DL21" s="7">
        <f>DK21+預測IC!DL21</f>
        <v>2.184789377101338</v>
      </c>
      <c r="DM21" s="7">
        <f>DL21+預測IC!DM21</f>
        <v>2.1890439411222236</v>
      </c>
      <c r="DN21" s="7">
        <f>DM21+預測IC!DN21</f>
        <v>2.4093395819867509</v>
      </c>
      <c r="DO21" s="7">
        <f>DN21+預測IC!DO21</f>
        <v>2.7409663868653968</v>
      </c>
      <c r="DP21" s="7">
        <f>DO21+預測IC!DP21</f>
        <v>2.7038577537671635</v>
      </c>
      <c r="DQ21" s="7">
        <f>DP21+預測IC!DQ21</f>
        <v>2.6756417017147665</v>
      </c>
      <c r="DR21" s="7">
        <f>DQ21+預測IC!DR21</f>
        <v>2.7258125607518471</v>
      </c>
      <c r="DS21" s="7">
        <f>DR21+預測IC!DS21</f>
        <v>2.5249730869145512</v>
      </c>
      <c r="DT21" s="7">
        <f>DS21+預測IC!DT21</f>
        <v>2.5301882772612303</v>
      </c>
      <c r="DU21" s="7">
        <f>DT21+預測IC!DU21</f>
        <v>2.1903816384036623</v>
      </c>
      <c r="DV21" s="7">
        <f>DU21+預測IC!DV21</f>
        <v>2.3452798895335669</v>
      </c>
      <c r="DW21" s="7">
        <f>DV21+預測IC!DW21</f>
        <v>2.2226155585872323</v>
      </c>
      <c r="DX21" s="7">
        <f>DW21+預測IC!DX21</f>
        <v>2.3394444484620149</v>
      </c>
      <c r="DY21" s="7">
        <f>DX21+預測IC!DY21</f>
        <v>2.5651063296500043</v>
      </c>
      <c r="DZ21" s="7">
        <f>DY21+預測IC!DZ21</f>
        <v>2.7449973513749044</v>
      </c>
      <c r="EA21" s="7">
        <f>DZ21+預測IC!EA21</f>
        <v>3.0110541836542506</v>
      </c>
      <c r="EB21" s="7">
        <f>EA21+預測IC!EB21</f>
        <v>2.9077586246302429</v>
      </c>
      <c r="EC21" s="7">
        <f>EB21+預測IC!EC21</f>
        <v>2.7676646066780171</v>
      </c>
      <c r="ED21" s="7">
        <f>EC21+預測IC!ED21</f>
        <v>2.6849345591748057</v>
      </c>
      <c r="EE21" s="7">
        <f>ED21+預測IC!EE21</f>
        <v>2.6636239668669384</v>
      </c>
      <c r="EF21" s="7">
        <f>EE21+預測IC!EF21</f>
        <v>2.6448527028248194</v>
      </c>
    </row>
    <row r="22" spans="1:136" x14ac:dyDescent="0.3">
      <c r="B22" s="1" t="s">
        <v>162</v>
      </c>
      <c r="C22" s="7">
        <v>0.20528030103697539</v>
      </c>
      <c r="D22" s="7">
        <f>C22+預測IC!D22</f>
        <v>0.16059940413348889</v>
      </c>
      <c r="E22" s="7">
        <f>D22+預測IC!E22</f>
        <v>0.11957187213286984</v>
      </c>
      <c r="F22" s="7">
        <f>E22+預測IC!F22</f>
        <v>2.2137876553883384E-2</v>
      </c>
      <c r="G22" s="7">
        <f>F22+預測IC!G22</f>
        <v>-1.0816947695915229E-2</v>
      </c>
      <c r="H22" s="7">
        <f>G22+預測IC!H22</f>
        <v>0.16793251579170768</v>
      </c>
      <c r="I22" s="7">
        <f>H22+預測IC!I22</f>
        <v>0.29142568512977746</v>
      </c>
      <c r="J22" s="7">
        <f>I22+預測IC!J22</f>
        <v>0.34402427439512034</v>
      </c>
      <c r="K22" s="7">
        <f>J22+預測IC!K22</f>
        <v>0.19073750374061105</v>
      </c>
      <c r="L22" s="7">
        <f>K22+預測IC!L22</f>
        <v>0.36192086316651229</v>
      </c>
      <c r="M22" s="7">
        <f>L22+預測IC!M22</f>
        <v>0.13676225810293058</v>
      </c>
      <c r="N22" s="7">
        <f>M22+預測IC!N22</f>
        <v>0.27004267712617708</v>
      </c>
      <c r="O22" s="7">
        <f>N22+預測IC!O22</f>
        <v>0.41352302313044947</v>
      </c>
      <c r="P22" s="7">
        <f>O22+預測IC!P22</f>
        <v>0.34074013900163247</v>
      </c>
      <c r="Q22" s="7">
        <f>P22+預測IC!Q22</f>
        <v>0.25145762089778523</v>
      </c>
      <c r="R22" s="7">
        <f>Q22+預測IC!R22</f>
        <v>7.0777890706500618E-2</v>
      </c>
      <c r="S22" s="7">
        <f>R22+預測IC!S22</f>
        <v>-9.8868664851439969E-2</v>
      </c>
      <c r="T22" s="7">
        <f>S22+預測IC!T22</f>
        <v>-0.119107277328274</v>
      </c>
      <c r="U22" s="7">
        <f>T22+預測IC!U22</f>
        <v>-0.22969730073077821</v>
      </c>
      <c r="V22" s="7">
        <f>U22+預測IC!V22</f>
        <v>-0.19141052421092269</v>
      </c>
      <c r="W22" s="7">
        <f>V22+預測IC!W22</f>
        <v>1.6069742813374699E-2</v>
      </c>
      <c r="X22" s="7">
        <f>W22+預測IC!X22</f>
        <v>0.2309697905429397</v>
      </c>
      <c r="Y22" s="7">
        <f>X22+預測IC!Y22</f>
        <v>0.24670199895646075</v>
      </c>
      <c r="Z22" s="7">
        <f>Y22+預測IC!Z22</f>
        <v>0.32225026810230678</v>
      </c>
      <c r="AA22" s="7">
        <f>Z22+預測IC!AA22</f>
        <v>0.32929828498916353</v>
      </c>
      <c r="AB22" s="7">
        <f>AA22+預測IC!AB22</f>
        <v>0.46373449770248903</v>
      </c>
      <c r="AC22" s="7">
        <f>AB22+預測IC!AC22</f>
        <v>0.53815487854291644</v>
      </c>
      <c r="AD22" s="7">
        <f>AC22+預測IC!AD22</f>
        <v>0.55062218121348894</v>
      </c>
      <c r="AE22" s="7">
        <f>AD22+預測IC!AE22</f>
        <v>0.32200106960711472</v>
      </c>
      <c r="AF22" s="7">
        <f>AE22+預測IC!AF22</f>
        <v>0.36918338576513887</v>
      </c>
      <c r="AG22" s="7">
        <f>AF22+預測IC!AG22</f>
        <v>0.42202492594087276</v>
      </c>
      <c r="AH22" s="7">
        <f>AG22+預測IC!AH22</f>
        <v>0.66964717210427405</v>
      </c>
      <c r="AI22" s="7">
        <f>AH22+預測IC!AI22</f>
        <v>0.78065088333122301</v>
      </c>
      <c r="AJ22" s="7">
        <f>AI22+預測IC!AJ22</f>
        <v>0.79373242496857999</v>
      </c>
      <c r="AK22" s="7">
        <f>AJ22+預測IC!AK22</f>
        <v>0.7254630968044522</v>
      </c>
      <c r="AL22" s="7">
        <f>AK22+預測IC!AL22</f>
        <v>0.72431837058070536</v>
      </c>
      <c r="AM22" s="7">
        <f>AL22+預測IC!AM22</f>
        <v>0.78069212494433293</v>
      </c>
      <c r="AN22" s="7">
        <f>AM22+預測IC!AN22</f>
        <v>0.89182493460789225</v>
      </c>
      <c r="AO22" s="7">
        <f>AN22+預測IC!AO22</f>
        <v>0.96654230800159791</v>
      </c>
      <c r="AP22" s="7">
        <f>AO22+預測IC!AP22</f>
        <v>1.2179373656499648</v>
      </c>
      <c r="AQ22" s="7">
        <f>AP22+預測IC!AQ22</f>
        <v>1.1628106449256219</v>
      </c>
      <c r="AR22" s="7">
        <f>AQ22+預測IC!AR22</f>
        <v>1.0546269443773855</v>
      </c>
      <c r="AS22" s="7">
        <f>AR22+預測IC!AS22</f>
        <v>1.1284706470632191</v>
      </c>
      <c r="AT22" s="7">
        <f>AS22+預測IC!AT22</f>
        <v>1.1461990180576558</v>
      </c>
      <c r="AU22" s="7">
        <f>AT22+預測IC!AU22</f>
        <v>1.0362844207394715</v>
      </c>
      <c r="AV22" s="7">
        <f>AU22+預測IC!AV22</f>
        <v>0.94653043886783883</v>
      </c>
      <c r="AW22" s="7">
        <f>AV22+預測IC!AW22</f>
        <v>0.91638104966082989</v>
      </c>
      <c r="AX22" s="7">
        <f>AW22+預測IC!AX22</f>
        <v>1.0901444496408541</v>
      </c>
      <c r="AY22" s="7">
        <f>AX22+預測IC!AY22</f>
        <v>1.1618778349750847</v>
      </c>
      <c r="AZ22" s="7">
        <f>AY22+預測IC!AZ22</f>
        <v>1.0069740566539327</v>
      </c>
      <c r="BA22" s="7">
        <f>AZ22+預測IC!BA22</f>
        <v>0.95779711690671221</v>
      </c>
      <c r="BB22" s="7">
        <f>BA22+預測IC!BB22</f>
        <v>1.2597270614471352</v>
      </c>
      <c r="BC22" s="7">
        <f>BB22+預測IC!BC22</f>
        <v>1.1288901233241799</v>
      </c>
      <c r="BD22" s="7">
        <f>BC22+預測IC!BD22</f>
        <v>1.1067159418583516</v>
      </c>
      <c r="BE22" s="7">
        <f>BD22+預測IC!BE22</f>
        <v>1.1289321252528322</v>
      </c>
      <c r="BF22" s="7">
        <f>BE22+預測IC!BF22</f>
        <v>0.92982967670439365</v>
      </c>
      <c r="BG22" s="7">
        <f>BF22+預測IC!BG22</f>
        <v>0.97106114585717407</v>
      </c>
      <c r="BH22" s="7">
        <f>BG22+預測IC!BH22</f>
        <v>0.84335413646075785</v>
      </c>
      <c r="BI22" s="7">
        <f>BH22+預測IC!BI22</f>
        <v>0.93067219563793357</v>
      </c>
      <c r="BJ22" s="7">
        <f>BI22+預測IC!BJ22</f>
        <v>0.94090617108703711</v>
      </c>
      <c r="BK22" s="7">
        <f>BJ22+預測IC!BK22</f>
        <v>0.89906653515337198</v>
      </c>
      <c r="BL22" s="7">
        <f>BK22+預測IC!BL22</f>
        <v>1.0608468742244073</v>
      </c>
      <c r="BM22" s="7">
        <f>BL22+預測IC!BM22</f>
        <v>1.2526439136804544</v>
      </c>
      <c r="BN22" s="7">
        <f>BM22+預測IC!BN22</f>
        <v>1.2373163616574121</v>
      </c>
      <c r="BO22" s="7">
        <f>BN22+預測IC!BO22</f>
        <v>1.1868319325446617</v>
      </c>
      <c r="BP22" s="7">
        <f>BO22+預測IC!BP22</f>
        <v>1.261667482699768</v>
      </c>
      <c r="BQ22" s="7">
        <f>BP22+預測IC!BQ22</f>
        <v>1.2894975800980806</v>
      </c>
      <c r="BR22" s="7">
        <f>BQ22+預測IC!BR22</f>
        <v>1.3103111895645334</v>
      </c>
      <c r="BS22" s="7">
        <f>BR22+預測IC!BS22</f>
        <v>1.2939384071877342</v>
      </c>
      <c r="BT22" s="7">
        <f>BS22+預測IC!BT22</f>
        <v>1.4244691105242804</v>
      </c>
      <c r="BU22" s="7">
        <f>BT22+預測IC!BU22</f>
        <v>1.2115203443862701</v>
      </c>
      <c r="BV22" s="7">
        <f>BU22+預測IC!BV22</f>
        <v>1.3700643167838791</v>
      </c>
      <c r="BW22" s="7">
        <f>BV22+預測IC!BW22</f>
        <v>1.1953958188562717</v>
      </c>
      <c r="BX22" s="7">
        <f>BW22+預測IC!BX22</f>
        <v>1.2320332645482441</v>
      </c>
      <c r="BY22" s="7">
        <f>BX22+預測IC!BY22</f>
        <v>1.2272864781455095</v>
      </c>
      <c r="BZ22" s="7">
        <f>BY22+預測IC!BZ22</f>
        <v>1.1709641258854355</v>
      </c>
      <c r="CA22" s="7">
        <f>BZ22+預測IC!CA22</f>
        <v>1.1075573618210728</v>
      </c>
      <c r="CB22" s="7">
        <f>CA22+預測IC!CB22</f>
        <v>1.1711616313607616</v>
      </c>
      <c r="CC22" s="7">
        <f>CB22+預測IC!CC22</f>
        <v>1.1561759279226052</v>
      </c>
      <c r="CD22" s="7">
        <f>CC22+預測IC!CD22</f>
        <v>1.4900539646353281</v>
      </c>
      <c r="CE22" s="7">
        <f>CD22+預測IC!CE22</f>
        <v>1.09666662553105</v>
      </c>
      <c r="CF22" s="7">
        <f>CE22+預測IC!CF22</f>
        <v>1.1974369825651148</v>
      </c>
      <c r="CG22" s="7">
        <f>CF22+預測IC!CG22</f>
        <v>0.99035164993160174</v>
      </c>
      <c r="CH22" s="7">
        <f>CG22+預測IC!CH22</f>
        <v>0.83674536512205844</v>
      </c>
      <c r="CI22" s="7">
        <f>CH22+預測IC!CI22</f>
        <v>0.77212804231168419</v>
      </c>
      <c r="CJ22" s="7">
        <f>CI22+預測IC!CJ22</f>
        <v>0.66874853722212146</v>
      </c>
      <c r="CK22" s="7">
        <f>CJ22+預測IC!CK22</f>
        <v>0.70491187982680392</v>
      </c>
      <c r="CL22" s="7">
        <f>CK22+預測IC!CL22</f>
        <v>0.4642600812017631</v>
      </c>
      <c r="CM22" s="7">
        <f>CL22+預測IC!CM22</f>
        <v>0.24442759600429981</v>
      </c>
      <c r="CN22" s="7">
        <f>CM22+預測IC!CN22</f>
        <v>0.2358808241833924</v>
      </c>
      <c r="CO22" s="7">
        <f>CN22+預測IC!CO22</f>
        <v>5.0595066278165596E-2</v>
      </c>
      <c r="CP22" s="7">
        <f>CO22+預測IC!CP22</f>
        <v>0.22243879942056441</v>
      </c>
      <c r="CQ22" s="7">
        <f>CP22+預測IC!CQ22</f>
        <v>0.2395984149396882</v>
      </c>
      <c r="CR22" s="7">
        <f>CQ22+預測IC!CR22</f>
        <v>0.48637118493157488</v>
      </c>
      <c r="CS22" s="7">
        <f>CR22+預測IC!CS22</f>
        <v>0.40158924904721049</v>
      </c>
      <c r="CT22" s="7">
        <f>CS22+預測IC!CT22</f>
        <v>0.43985186362248579</v>
      </c>
      <c r="CU22" s="7">
        <f>CT22+預測IC!CU22</f>
        <v>0.27249795243611763</v>
      </c>
      <c r="CV22" s="7">
        <f>CU22+預測IC!CV22</f>
        <v>0.43872063112567194</v>
      </c>
      <c r="CW22" s="7">
        <f>CV22+預測IC!CW22</f>
        <v>0.42522083258971033</v>
      </c>
      <c r="CX22" s="7">
        <f>CW22+預測IC!CX22</f>
        <v>0.37092753711590665</v>
      </c>
      <c r="CY22" s="7">
        <f>CX22+預測IC!CY22</f>
        <v>0.53336740582935338</v>
      </c>
      <c r="CZ22" s="7">
        <f>CY22+預測IC!CZ22</f>
        <v>0.52578015938821432</v>
      </c>
      <c r="DA22" s="7">
        <f>CZ22+預測IC!DA22</f>
        <v>0.83123182284306552</v>
      </c>
      <c r="DB22" s="7">
        <f>DA22+預測IC!DB22</f>
        <v>1.4246069945692972</v>
      </c>
      <c r="DC22" s="7">
        <f>DB22+預測IC!DC22</f>
        <v>1.2834397588499875</v>
      </c>
      <c r="DD22" s="7">
        <f>DC22+預測IC!DD22</f>
        <v>1.251729589724162</v>
      </c>
      <c r="DE22" s="7">
        <f>DD22+預測IC!DE22</f>
        <v>1.269486093226095</v>
      </c>
      <c r="DF22" s="7">
        <f>DE22+預測IC!DF22</f>
        <v>1.172414387589868</v>
      </c>
      <c r="DG22" s="7">
        <f>DF22+預測IC!DG22</f>
        <v>1.1005248881728649</v>
      </c>
      <c r="DH22" s="7">
        <f>DG22+預測IC!DH22</f>
        <v>1.135213640602055</v>
      </c>
      <c r="DI22" s="7">
        <f>DH22+預測IC!DI22</f>
        <v>1.2163191844423251</v>
      </c>
      <c r="DJ22" s="7">
        <f>DI22+預測IC!DJ22</f>
        <v>1.3700189472726549</v>
      </c>
      <c r="DK22" s="7">
        <f>DJ22+預測IC!DK22</f>
        <v>1.3466727706396935</v>
      </c>
      <c r="DL22" s="7">
        <f>DK22+預測IC!DL22</f>
        <v>1.3434594398965547</v>
      </c>
      <c r="DM22" s="7">
        <f>DL22+預測IC!DM22</f>
        <v>1.3861359890125955</v>
      </c>
      <c r="DN22" s="7">
        <f>DM22+預測IC!DN22</f>
        <v>1.6915110172847987</v>
      </c>
      <c r="DO22" s="7">
        <f>DN22+預測IC!DO22</f>
        <v>1.7672268333397048</v>
      </c>
      <c r="DP22" s="7">
        <f>DO22+預測IC!DP22</f>
        <v>1.6621277735392261</v>
      </c>
      <c r="DQ22" s="7">
        <f>DP22+預測IC!DQ22</f>
        <v>1.6102775717016049</v>
      </c>
      <c r="DR22" s="7">
        <f>DQ22+預測IC!DR22</f>
        <v>1.604185019086287</v>
      </c>
      <c r="DS22" s="7">
        <f>DR22+預測IC!DS22</f>
        <v>1.4071340975239277</v>
      </c>
      <c r="DT22" s="7">
        <f>DS22+預測IC!DT22</f>
        <v>1.3800053435457578</v>
      </c>
      <c r="DU22" s="7">
        <f>DT22+預測IC!DU22</f>
        <v>1.0047364712037856</v>
      </c>
      <c r="DV22" s="7">
        <f>DU22+預測IC!DV22</f>
        <v>1.1617988407535365</v>
      </c>
      <c r="DW22" s="7">
        <f>DV22+預測IC!DW22</f>
        <v>1.163906102509251</v>
      </c>
      <c r="DX22" s="7">
        <f>DW22+預測IC!DX22</f>
        <v>1.3282582265507901</v>
      </c>
      <c r="DY22" s="7">
        <f>DX22+預測IC!DY22</f>
        <v>1.6460125989152725</v>
      </c>
      <c r="DZ22" s="7">
        <f>DY22+預測IC!DZ22</f>
        <v>1.8116388451410281</v>
      </c>
      <c r="EA22" s="7">
        <f>DZ22+預測IC!EA22</f>
        <v>1.9519950071417218</v>
      </c>
      <c r="EB22" s="7">
        <f>EA22+預測IC!EB22</f>
        <v>1.8090679310893942</v>
      </c>
      <c r="EC22" s="7">
        <f>EB22+預測IC!EC22</f>
        <v>1.8374967428674451</v>
      </c>
      <c r="ED22" s="7">
        <f>EC22+預測IC!ED22</f>
        <v>1.7799975242586348</v>
      </c>
      <c r="EE22" s="7">
        <f>ED22+預測IC!EE22</f>
        <v>1.7323608648739359</v>
      </c>
      <c r="EF22" s="7">
        <f>EE22+預測IC!EF22</f>
        <v>1.6975706185017636</v>
      </c>
    </row>
    <row r="23" spans="1:136" x14ac:dyDescent="0.3">
      <c r="B23" s="1" t="s">
        <v>163</v>
      </c>
      <c r="C23" s="7">
        <v>0.28298926569632887</v>
      </c>
      <c r="D23" s="7">
        <f>C23+預測IC!D23</f>
        <v>0.25317859801090681</v>
      </c>
      <c r="E23" s="7">
        <f>D23+預測IC!E23</f>
        <v>0.1722374254402346</v>
      </c>
      <c r="F23" s="7">
        <f>E23+預測IC!F23</f>
        <v>3.0572516388332888E-2</v>
      </c>
      <c r="G23" s="7">
        <f>F23+預測IC!G23</f>
        <v>-2.1651657458165489E-2</v>
      </c>
      <c r="H23" s="7">
        <f>G23+預測IC!H23</f>
        <v>0.18206665042080961</v>
      </c>
      <c r="I23" s="7">
        <f>H23+預測IC!I23</f>
        <v>0.33021867902110358</v>
      </c>
      <c r="J23" s="7">
        <f>I23+預測IC!J23</f>
        <v>0.23205638787465122</v>
      </c>
      <c r="K23" s="7">
        <f>J23+預測IC!K23</f>
        <v>2.7566911402417626E-2</v>
      </c>
      <c r="L23" s="7">
        <f>K23+預測IC!L23</f>
        <v>8.1610441178016246E-2</v>
      </c>
      <c r="M23" s="7">
        <f>L23+預測IC!M23</f>
        <v>-0.18095890586932406</v>
      </c>
      <c r="N23" s="7">
        <f>M23+預測IC!N23</f>
        <v>-2.4539668233311274E-2</v>
      </c>
      <c r="O23" s="7">
        <f>N23+預測IC!O23</f>
        <v>0.18002470973969081</v>
      </c>
      <c r="P23" s="7">
        <f>O23+預測IC!P23</f>
        <v>8.9622998557565434E-2</v>
      </c>
      <c r="Q23" s="7">
        <f>P23+預測IC!Q23</f>
        <v>-0.16122667834324134</v>
      </c>
      <c r="R23" s="7">
        <f>Q23+預測IC!R23</f>
        <v>-0.25085468138438599</v>
      </c>
      <c r="S23" s="7">
        <f>R23+預測IC!S23</f>
        <v>-0.36457921421164807</v>
      </c>
      <c r="T23" s="7">
        <f>S23+預測IC!T23</f>
        <v>-0.36495258342012682</v>
      </c>
      <c r="U23" s="7">
        <f>T23+預測IC!U23</f>
        <v>-0.4587100058609212</v>
      </c>
      <c r="V23" s="7">
        <f>U23+預測IC!V23</f>
        <v>-0.4817394629707123</v>
      </c>
      <c r="W23" s="7">
        <f>V23+預測IC!W23</f>
        <v>-0.15012031272156778</v>
      </c>
      <c r="X23" s="7">
        <f>W23+預測IC!X23</f>
        <v>0.11396538224172953</v>
      </c>
      <c r="Y23" s="7">
        <f>X23+預測IC!Y23</f>
        <v>0.12862518377221979</v>
      </c>
      <c r="Z23" s="7">
        <f>Y23+預測IC!Z23</f>
        <v>0.1616576992160951</v>
      </c>
      <c r="AA23" s="7">
        <f>Z23+預測IC!AA23</f>
        <v>0.16826399118556537</v>
      </c>
      <c r="AB23" s="7">
        <f>AA23+預測IC!AB23</f>
        <v>0.23230377106234887</v>
      </c>
      <c r="AC23" s="7">
        <f>AB23+預測IC!AC23</f>
        <v>0.3086501092091869</v>
      </c>
      <c r="AD23" s="7">
        <f>AC23+預測IC!AD23</f>
        <v>0.32366100956623428</v>
      </c>
      <c r="AE23" s="7">
        <f>AD23+預測IC!AE23</f>
        <v>-8.6832390462912024E-3</v>
      </c>
      <c r="AF23" s="7">
        <f>AE23+預測IC!AF23</f>
        <v>5.8223021043460083E-2</v>
      </c>
      <c r="AG23" s="7">
        <f>AF23+預測IC!AG23</f>
        <v>0.1500966786898203</v>
      </c>
      <c r="AH23" s="7">
        <f>AG23+預測IC!AH23</f>
        <v>1.4447758339153099E-2</v>
      </c>
      <c r="AI23" s="7">
        <f>AH23+預測IC!AI23</f>
        <v>0.2235993569594168</v>
      </c>
      <c r="AJ23" s="7">
        <f>AI23+預測IC!AJ23</f>
        <v>0.24718679725344098</v>
      </c>
      <c r="AK23" s="7">
        <f>AJ23+預測IC!AK23</f>
        <v>0.26574452799015225</v>
      </c>
      <c r="AL23" s="7">
        <f>AK23+預測IC!AL23</f>
        <v>0.21443421680766542</v>
      </c>
      <c r="AM23" s="7">
        <f>AL23+預測IC!AM23</f>
        <v>0.19396367350557936</v>
      </c>
      <c r="AN23" s="7">
        <f>AM23+預測IC!AN23</f>
        <v>0.43627837286288007</v>
      </c>
      <c r="AO23" s="7">
        <f>AN23+預測IC!AO23</f>
        <v>0.43094142067145597</v>
      </c>
      <c r="AP23" s="7">
        <f>AO23+預測IC!AP23</f>
        <v>0.42049359922390628</v>
      </c>
      <c r="AQ23" s="7">
        <f>AP23+預測IC!AQ23</f>
        <v>0.59620580780691323</v>
      </c>
      <c r="AR23" s="7">
        <f>AQ23+預測IC!AR23</f>
        <v>0.34274501202656915</v>
      </c>
      <c r="AS23" s="7">
        <f>AR23+預測IC!AS23</f>
        <v>0.42440863280713936</v>
      </c>
      <c r="AT23" s="7">
        <f>AS23+預測IC!AT23</f>
        <v>0.53391453577203962</v>
      </c>
      <c r="AU23" s="7">
        <f>AT23+預測IC!AU23</f>
        <v>0.33031864459045374</v>
      </c>
      <c r="AV23" s="7">
        <f>AU23+預測IC!AV23</f>
        <v>0.28116857796116174</v>
      </c>
      <c r="AW23" s="7">
        <f>AV23+預測IC!AW23</f>
        <v>0.22914166812275899</v>
      </c>
      <c r="AX23" s="7">
        <f>AW23+預測IC!AX23</f>
        <v>0.29897982194980305</v>
      </c>
      <c r="AY23" s="7">
        <f>AX23+預測IC!AY23</f>
        <v>0.46921380279038516</v>
      </c>
      <c r="AZ23" s="7">
        <f>AY23+預測IC!AZ23</f>
        <v>0.40546018538932493</v>
      </c>
      <c r="BA23" s="7">
        <f>AZ23+預測IC!BA23</f>
        <v>0.57754109476505766</v>
      </c>
      <c r="BB23" s="7">
        <f>BA23+預測IC!BB23</f>
        <v>0.52649161066217254</v>
      </c>
      <c r="BC23" s="7">
        <f>BB23+預測IC!BC23</f>
        <v>0.22566336148910676</v>
      </c>
      <c r="BD23" s="7">
        <f>BC23+預測IC!BD23</f>
        <v>0.32049424283555711</v>
      </c>
      <c r="BE23" s="7">
        <f>BD23+預測IC!BE23</f>
        <v>0.24906348043826054</v>
      </c>
      <c r="BF23" s="7">
        <f>BE23+預測IC!BF23</f>
        <v>3.9054367577809335E-2</v>
      </c>
      <c r="BG23" s="7">
        <f>BF23+預測IC!BG23</f>
        <v>7.3154015866352257E-4</v>
      </c>
      <c r="BH23" s="7">
        <f>BG23+預測IC!BH23</f>
        <v>-6.2633655544574701E-2</v>
      </c>
      <c r="BI23" s="7">
        <f>BH23+預測IC!BI23</f>
        <v>7.5585899681872404E-2</v>
      </c>
      <c r="BJ23" s="7">
        <f>BI23+預測IC!BJ23</f>
        <v>1.7565686137229974E-2</v>
      </c>
      <c r="BK23" s="7">
        <f>BJ23+預測IC!BK23</f>
        <v>1.9599794473707462E-2</v>
      </c>
      <c r="BL23" s="7">
        <f>BK23+預測IC!BL23</f>
        <v>0.16913409072394706</v>
      </c>
      <c r="BM23" s="7">
        <f>BL23+預測IC!BM23</f>
        <v>0.35831477751110097</v>
      </c>
      <c r="BN23" s="7">
        <f>BM23+預測IC!BN23</f>
        <v>0.35136760675228779</v>
      </c>
      <c r="BO23" s="7">
        <f>BN23+預測IC!BO23</f>
        <v>0.38789254849828686</v>
      </c>
      <c r="BP23" s="7">
        <f>BO23+預測IC!BP23</f>
        <v>0.48615894770974333</v>
      </c>
      <c r="BQ23" s="7">
        <f>BP23+預測IC!BQ23</f>
        <v>0.55820684914500951</v>
      </c>
      <c r="BR23" s="7">
        <f>BQ23+預測IC!BR23</f>
        <v>0.57605117060897237</v>
      </c>
      <c r="BS23" s="7">
        <f>BR23+預測IC!BS23</f>
        <v>0.50277578195106054</v>
      </c>
      <c r="BT23" s="7">
        <f>BS23+預測IC!BT23</f>
        <v>0.64642558797705763</v>
      </c>
      <c r="BU23" s="7">
        <f>BT23+預測IC!BU23</f>
        <v>0.44073785213111172</v>
      </c>
      <c r="BV23" s="7">
        <f>BU23+預測IC!BV23</f>
        <v>0.55420542049130017</v>
      </c>
      <c r="BW23" s="7">
        <f>BV23+預測IC!BW23</f>
        <v>0.35205308721560896</v>
      </c>
      <c r="BX23" s="7">
        <f>BW23+預測IC!BX23</f>
        <v>0.34383996748835582</v>
      </c>
      <c r="BY23" s="7">
        <f>BX23+預測IC!BY23</f>
        <v>0.3336342747940082</v>
      </c>
      <c r="BZ23" s="7">
        <f>BY23+預測IC!BZ23</f>
        <v>0.13130929612042461</v>
      </c>
      <c r="CA23" s="7">
        <f>BZ23+預測IC!CA23</f>
        <v>0.16559291596577116</v>
      </c>
      <c r="CB23" s="7">
        <f>CA23+預測IC!CB23</f>
        <v>0.12392792758718271</v>
      </c>
      <c r="CC23" s="7">
        <f>CB23+預測IC!CC23</f>
        <v>0.34888655508286281</v>
      </c>
      <c r="CD23" s="7">
        <f>CC23+預測IC!CD23</f>
        <v>0.54056301009764796</v>
      </c>
      <c r="CE23" s="7">
        <f>CD23+預測IC!CE23</f>
        <v>0.42393840330118654</v>
      </c>
      <c r="CF23" s="7">
        <f>CE23+預測IC!CF23</f>
        <v>0.44009923873126833</v>
      </c>
      <c r="CG23" s="7">
        <f>CF23+預測IC!CG23</f>
        <v>0.22346199710406534</v>
      </c>
      <c r="CH23" s="7">
        <f>CG23+預測IC!CH23</f>
        <v>6.1339422786994724E-2</v>
      </c>
      <c r="CI23" s="7">
        <f>CH23+預測IC!CI23</f>
        <v>-7.3882773864484469E-2</v>
      </c>
      <c r="CJ23" s="7">
        <f>CI23+預測IC!CJ23</f>
        <v>-9.3758141414895038E-2</v>
      </c>
      <c r="CK23" s="7">
        <f>CJ23+預測IC!CK23</f>
        <v>2.3588533130664974E-3</v>
      </c>
      <c r="CL23" s="7">
        <f>CK23+預測IC!CL23</f>
        <v>-0.40630215935435188</v>
      </c>
      <c r="CM23" s="7">
        <f>CL23+預測IC!CM23</f>
        <v>-0.64100713197045089</v>
      </c>
      <c r="CN23" s="7">
        <f>CM23+預測IC!CN23</f>
        <v>-0.69401231034025412</v>
      </c>
      <c r="CO23" s="7">
        <f>CN23+預測IC!CO23</f>
        <v>-0.96246328724340324</v>
      </c>
      <c r="CP23" s="7">
        <f>CO23+預測IC!CP23</f>
        <v>-0.71636151478718435</v>
      </c>
      <c r="CQ23" s="7">
        <f>CP23+預測IC!CQ23</f>
        <v>-0.74106378486656521</v>
      </c>
      <c r="CR23" s="7">
        <f>CQ23+預測IC!CR23</f>
        <v>-0.59006561439261762</v>
      </c>
      <c r="CS23" s="7">
        <f>CR23+預測IC!CS23</f>
        <v>-0.65522549868582969</v>
      </c>
      <c r="CT23" s="7">
        <f>CS23+預測IC!CT23</f>
        <v>-0.58983528330587975</v>
      </c>
      <c r="CU23" s="7">
        <f>CT23+預測IC!CU23</f>
        <v>-0.79193916829303657</v>
      </c>
      <c r="CV23" s="7">
        <f>CU23+預測IC!CV23</f>
        <v>-0.6386082000214619</v>
      </c>
      <c r="CW23" s="7">
        <f>CV23+預測IC!CW23</f>
        <v>-0.5744430879056206</v>
      </c>
      <c r="CX23" s="7">
        <f>CW23+預測IC!CX23</f>
        <v>-0.63630308105290123</v>
      </c>
      <c r="CY23" s="7">
        <f>CX23+預測IC!CY23</f>
        <v>-0.35459225357888136</v>
      </c>
      <c r="CZ23" s="7">
        <f>CY23+預測IC!CZ23</f>
        <v>-0.29331115306424044</v>
      </c>
      <c r="DA23" s="7">
        <f>CZ23+預測IC!DA23</f>
        <v>0.22445980855572195</v>
      </c>
      <c r="DB23" s="7">
        <f>DA23+預測IC!DB23</f>
        <v>1.0890353831529331</v>
      </c>
      <c r="DC23" s="7">
        <f>DB23+預測IC!DC23</f>
        <v>0.93108648383468007</v>
      </c>
      <c r="DD23" s="7">
        <f>DC23+預測IC!DD23</f>
        <v>0.83828780915752699</v>
      </c>
      <c r="DE23" s="7">
        <f>DD23+預測IC!DE23</f>
        <v>0.89837375666769859</v>
      </c>
      <c r="DF23" s="7">
        <f>DE23+預測IC!DF23</f>
        <v>0.70699988285524729</v>
      </c>
      <c r="DG23" s="7">
        <f>DF23+預測IC!DG23</f>
        <v>0.63937945544883801</v>
      </c>
      <c r="DH23" s="7">
        <f>DG23+預測IC!DH23</f>
        <v>0.74896165381093538</v>
      </c>
      <c r="DI23" s="7">
        <f>DH23+預測IC!DI23</f>
        <v>0.93387436735904061</v>
      </c>
      <c r="DJ23" s="7">
        <f>DI23+預測IC!DJ23</f>
        <v>1.0539069491829594</v>
      </c>
      <c r="DK23" s="7">
        <f>DJ23+預測IC!DK23</f>
        <v>1.0061571521343804</v>
      </c>
      <c r="DL23" s="7">
        <f>DK23+預測IC!DL23</f>
        <v>1.0323998042390048</v>
      </c>
      <c r="DM23" s="7">
        <f>DL23+預測IC!DM23</f>
        <v>1.0216894699321799</v>
      </c>
      <c r="DN23" s="7">
        <f>DM23+預測IC!DN23</f>
        <v>1.2866643264161712</v>
      </c>
      <c r="DO23" s="7">
        <f>DN23+預測IC!DO23</f>
        <v>1.4107327684039002</v>
      </c>
      <c r="DP23" s="7">
        <f>DO23+預測IC!DP23</f>
        <v>1.3723283725659019</v>
      </c>
      <c r="DQ23" s="7">
        <f>DP23+預測IC!DQ23</f>
        <v>1.2511963313084442</v>
      </c>
      <c r="DR23" s="7">
        <f>DQ23+預測IC!DR23</f>
        <v>1.1613103285771376</v>
      </c>
      <c r="DS23" s="7">
        <f>DR23+預測IC!DS23</f>
        <v>0.87321375165809134</v>
      </c>
      <c r="DT23" s="7">
        <f>DS23+預測IC!DT23</f>
        <v>0.89551020872784859</v>
      </c>
      <c r="DU23" s="7">
        <f>DT23+預測IC!DU23</f>
        <v>0.37026850207474871</v>
      </c>
      <c r="DV23" s="7">
        <f>DU23+預測IC!DV23</f>
        <v>0.56300990329264566</v>
      </c>
      <c r="DW23" s="7">
        <f>DV23+預測IC!DW23</f>
        <v>0.82999903626272398</v>
      </c>
      <c r="DX23" s="7">
        <f>DW23+預測IC!DX23</f>
        <v>1.0010018232311784</v>
      </c>
      <c r="DY23" s="7">
        <f>DX23+預測IC!DY23</f>
        <v>1.2692237526033023</v>
      </c>
      <c r="DZ23" s="7">
        <f>DY23+預測IC!DZ23</f>
        <v>1.3985567681550211</v>
      </c>
      <c r="EA23" s="7">
        <f>DZ23+預測IC!EA23</f>
        <v>1.369797988378616</v>
      </c>
      <c r="EB23" s="7">
        <f>EA23+預測IC!EB23</f>
        <v>1.231572493255414</v>
      </c>
      <c r="EC23" s="7">
        <f>EB23+預測IC!EC23</f>
        <v>1.3547774362110787</v>
      </c>
      <c r="ED23" s="7">
        <f>EC23+預測IC!ED23</f>
        <v>1.3936778587808025</v>
      </c>
      <c r="EE23" s="7">
        <f>ED23+預測IC!EE23</f>
        <v>1.32446578279581</v>
      </c>
      <c r="EF23" s="7">
        <f>EE23+預測IC!EF23</f>
        <v>1.2766835042041502</v>
      </c>
    </row>
    <row r="24" spans="1:136" x14ac:dyDescent="0.3">
      <c r="B24" s="1" t="s">
        <v>164</v>
      </c>
      <c r="C24" s="7">
        <v>9.9113364206882743E-2</v>
      </c>
      <c r="D24" s="7">
        <f>C24+預測IC!D24</f>
        <v>-4.9356457655301555E-3</v>
      </c>
      <c r="E24" s="7">
        <f>D24+預測IC!E24</f>
        <v>6.6464684403766752E-2</v>
      </c>
      <c r="F24" s="7">
        <f>E24+預測IC!F24</f>
        <v>-0.16069486223298207</v>
      </c>
      <c r="G24" s="7">
        <f>F24+預測IC!G24</f>
        <v>6.5065160824590323E-2</v>
      </c>
      <c r="H24" s="7">
        <f>G24+預測IC!H24</f>
        <v>0.31175188931516012</v>
      </c>
      <c r="I24" s="7">
        <f>H24+預測IC!I24</f>
        <v>0.30963995611201661</v>
      </c>
      <c r="J24" s="7">
        <f>I24+預測IC!J24</f>
        <v>0.20966776320188046</v>
      </c>
      <c r="K24" s="7">
        <f>J24+預測IC!K24</f>
        <v>0.18815248484692035</v>
      </c>
      <c r="L24" s="7">
        <f>K24+預測IC!L24</f>
        <v>0.28377573535560247</v>
      </c>
      <c r="M24" s="7">
        <f>L24+預測IC!M24</f>
        <v>-0.17925180884453601</v>
      </c>
      <c r="N24" s="7">
        <f>M24+預測IC!N24</f>
        <v>-3.5121356444102803E-2</v>
      </c>
      <c r="O24" s="7">
        <f>N24+預測IC!O24</f>
        <v>0.2001878369613202</v>
      </c>
      <c r="P24" s="7">
        <f>O24+預測IC!P24</f>
        <v>9.5939422552320699E-2</v>
      </c>
      <c r="Q24" s="7">
        <f>P24+預測IC!Q24</f>
        <v>0.18608437135098366</v>
      </c>
      <c r="R24" s="7">
        <f>Q24+預測IC!R24</f>
        <v>7.7718876438792453E-2</v>
      </c>
      <c r="S24" s="7">
        <f>R24+預測IC!S24</f>
        <v>-0.27479558462137194</v>
      </c>
      <c r="T24" s="7">
        <f>S24+預測IC!T24</f>
        <v>-0.15110454052958272</v>
      </c>
      <c r="U24" s="7">
        <f>T24+預測IC!U24</f>
        <v>-0.29962321475350073</v>
      </c>
      <c r="V24" s="7">
        <f>U24+預測IC!V24</f>
        <v>-0.36676251759112921</v>
      </c>
      <c r="W24" s="7">
        <f>V24+預測IC!W24</f>
        <v>0.12894946836481341</v>
      </c>
      <c r="X24" s="7">
        <f>W24+預測IC!X24</f>
        <v>0.24697190087081733</v>
      </c>
      <c r="Y24" s="7">
        <f>X24+預測IC!Y24</f>
        <v>0.25644891579723439</v>
      </c>
      <c r="Z24" s="7">
        <f>Y24+預測IC!Z24</f>
        <v>0.36229124307604138</v>
      </c>
      <c r="AA24" s="7">
        <f>Z24+預測IC!AA24</f>
        <v>0.37583901131361863</v>
      </c>
      <c r="AB24" s="7">
        <f>AA24+預測IC!AB24</f>
        <v>0.57117863398886248</v>
      </c>
      <c r="AC24" s="7">
        <f>AB24+預測IC!AC24</f>
        <v>0.69655901476482751</v>
      </c>
      <c r="AD24" s="7">
        <f>AC24+預測IC!AD24</f>
        <v>0.70438085365745717</v>
      </c>
      <c r="AE24" s="7">
        <f>AD24+預測IC!AE24</f>
        <v>0.16312273241117592</v>
      </c>
      <c r="AF24" s="7">
        <f>AE24+預測IC!AF24</f>
        <v>0.1856447424459664</v>
      </c>
      <c r="AG24" s="7">
        <f>AF24+預測IC!AG24</f>
        <v>0.32438046007260402</v>
      </c>
      <c r="AH24" s="7">
        <f>AG24+預測IC!AH24</f>
        <v>2.2257703466028733E-2</v>
      </c>
      <c r="AI24" s="7">
        <f>AH24+預測IC!AI24</f>
        <v>0.33267193869537104</v>
      </c>
      <c r="AJ24" s="7">
        <f>AI24+預測IC!AJ24</f>
        <v>0.41810714048623515</v>
      </c>
      <c r="AK24" s="7">
        <f>AJ24+預測IC!AK24</f>
        <v>0.41954811756618332</v>
      </c>
      <c r="AL24" s="7">
        <f>AK24+預測IC!AL24</f>
        <v>0.31209369126044173</v>
      </c>
      <c r="AM24" s="7">
        <f>AL24+預測IC!AM24</f>
        <v>0.32706023659456568</v>
      </c>
      <c r="AN24" s="7">
        <f>AM24+預測IC!AN24</f>
        <v>0.54824970173999699</v>
      </c>
      <c r="AO24" s="7">
        <f>AN24+預測IC!AO24</f>
        <v>0.61433981356898704</v>
      </c>
      <c r="AP24" s="7">
        <f>AO24+預測IC!AP24</f>
        <v>0.19793127967927632</v>
      </c>
      <c r="AQ24" s="7">
        <f>AP24+預測IC!AQ24</f>
        <v>0.55442321137679451</v>
      </c>
      <c r="AR24" s="7">
        <f>AQ24+預測IC!AR24</f>
        <v>0.53407236688398008</v>
      </c>
      <c r="AS24" s="7">
        <f>AR24+預測IC!AS24</f>
        <v>0.53735914059060286</v>
      </c>
      <c r="AT24" s="7">
        <f>AS24+預測IC!AT24</f>
        <v>0.68812812051628369</v>
      </c>
      <c r="AU24" s="7">
        <f>AT24+預測IC!AU24</f>
        <v>0.4582871048368638</v>
      </c>
      <c r="AV24" s="7">
        <f>AU24+預測IC!AV24</f>
        <v>0.70597176506719128</v>
      </c>
      <c r="AW24" s="7">
        <f>AV24+預測IC!AW24</f>
        <v>0.71095930657823048</v>
      </c>
      <c r="AX24" s="7">
        <f>AW24+預測IC!AX24</f>
        <v>0.73926549316665502</v>
      </c>
      <c r="AY24" s="7">
        <f>AX24+預測IC!AY24</f>
        <v>0.90739278705154436</v>
      </c>
      <c r="AZ24" s="7">
        <f>AY24+預測IC!AZ24</f>
        <v>0.94525986065120959</v>
      </c>
      <c r="BA24" s="7">
        <f>AZ24+預測IC!BA24</f>
        <v>1.047042554961152</v>
      </c>
      <c r="BB24" s="7">
        <f>BA24+預測IC!BB24</f>
        <v>0.96088352156581713</v>
      </c>
      <c r="BC24" s="7">
        <f>BB24+預測IC!BC24</f>
        <v>0.15766750852143974</v>
      </c>
      <c r="BD24" s="7">
        <f>BC24+預測IC!BD24</f>
        <v>0.34326272776787492</v>
      </c>
      <c r="BE24" s="7">
        <f>BD24+預測IC!BE24</f>
        <v>0.29719837373618807</v>
      </c>
      <c r="BF24" s="7">
        <f>BE24+預測IC!BF24</f>
        <v>0.36156879468565162</v>
      </c>
      <c r="BG24" s="7">
        <f>BF24+預測IC!BG24</f>
        <v>0.45255302239308726</v>
      </c>
      <c r="BH24" s="7">
        <f>BG24+預測IC!BH24</f>
        <v>0.30487945714136755</v>
      </c>
      <c r="BI24" s="7">
        <f>BH24+預測IC!BI24</f>
        <v>0.27672782499318938</v>
      </c>
      <c r="BJ24" s="7">
        <f>BI24+預測IC!BJ24</f>
        <v>0.33729507931564878</v>
      </c>
      <c r="BK24" s="7">
        <f>BJ24+預測IC!BK24</f>
        <v>0.34131862620993503</v>
      </c>
      <c r="BL24" s="7">
        <f>BK24+預測IC!BL24</f>
        <v>0.65848292013465159</v>
      </c>
      <c r="BM24" s="7">
        <f>BL24+預測IC!BM24</f>
        <v>0.66995593925238872</v>
      </c>
      <c r="BN24" s="7">
        <f>BM24+預測IC!BN24</f>
        <v>0.67680528109796345</v>
      </c>
      <c r="BO24" s="7">
        <f>BN24+預測IC!BO24</f>
        <v>0.51569559000232157</v>
      </c>
      <c r="BP24" s="7">
        <f>BO24+預測IC!BP24</f>
        <v>0.63904677113164343</v>
      </c>
      <c r="BQ24" s="7">
        <f>BP24+預測IC!BQ24</f>
        <v>0.57487713780152838</v>
      </c>
      <c r="BR24" s="7">
        <f>BQ24+預測IC!BR24</f>
        <v>0.61723336110494609</v>
      </c>
      <c r="BS24" s="7">
        <f>BR24+預測IC!BS24</f>
        <v>0.61594864362048918</v>
      </c>
      <c r="BT24" s="7">
        <f>BS24+預測IC!BT24</f>
        <v>0.73221933967467645</v>
      </c>
      <c r="BU24" s="7">
        <f>BT24+預測IC!BU24</f>
        <v>0.50389270811473574</v>
      </c>
      <c r="BV24" s="7">
        <f>BU24+預測IC!BV24</f>
        <v>0.61162116200271865</v>
      </c>
      <c r="BW24" s="7">
        <f>BV24+預測IC!BW24</f>
        <v>0.54978527836712554</v>
      </c>
      <c r="BX24" s="7">
        <f>BW24+預測IC!BX24</f>
        <v>0.41682522265666777</v>
      </c>
      <c r="BY24" s="7">
        <f>BX24+預測IC!BY24</f>
        <v>0.52657089182408512</v>
      </c>
      <c r="BZ24" s="7">
        <f>BY24+預測IC!BZ24</f>
        <v>0.20624146456652753</v>
      </c>
      <c r="CA24" s="7">
        <f>BZ24+預測IC!CA24</f>
        <v>0.29159360335376067</v>
      </c>
      <c r="CB24" s="7">
        <f>CA24+預測IC!CB24</f>
        <v>0.35572068650980276</v>
      </c>
      <c r="CC24" s="7">
        <f>CB24+預測IC!CC24</f>
        <v>0.79557519877673633</v>
      </c>
      <c r="CD24" s="7">
        <f>CC24+預測IC!CD24</f>
        <v>0.93988150951893124</v>
      </c>
      <c r="CE24" s="7">
        <f>CD24+預測IC!CE24</f>
        <v>0.72976007428284284</v>
      </c>
      <c r="CF24" s="7">
        <f>CE24+預測IC!CF24</f>
        <v>0.68579544028611128</v>
      </c>
      <c r="CG24" s="7">
        <f>CF24+預測IC!CG24</f>
        <v>0.16582647421218921</v>
      </c>
      <c r="CH24" s="7">
        <f>CG24+預測IC!CH24</f>
        <v>-4.7146409817129087E-2</v>
      </c>
      <c r="CI24" s="7">
        <f>CH24+預測IC!CI24</f>
        <v>-0.34074605346681297</v>
      </c>
      <c r="CJ24" s="7">
        <f>CI24+預測IC!CJ24</f>
        <v>-0.32763656804739338</v>
      </c>
      <c r="CK24" s="7">
        <f>CJ24+預測IC!CK24</f>
        <v>-0.23410648873169682</v>
      </c>
      <c r="CL24" s="7">
        <f>CK24+預測IC!CL24</f>
        <v>-9.2351155359156112E-2</v>
      </c>
      <c r="CM24" s="7">
        <f>CL24+預測IC!CM24</f>
        <v>-0.72878441971866681</v>
      </c>
      <c r="CN24" s="7">
        <f>CM24+預測IC!CN24</f>
        <v>-0.83652318617587995</v>
      </c>
      <c r="CO24" s="7">
        <f>CN24+預測IC!CO24</f>
        <v>-1.4089327959105549</v>
      </c>
      <c r="CP24" s="7">
        <f>CO24+預測IC!CP24</f>
        <v>-1.2108654503634619</v>
      </c>
      <c r="CQ24" s="7">
        <f>CP24+預測IC!CQ24</f>
        <v>-1.3710550969909625</v>
      </c>
      <c r="CR24" s="7">
        <f>CQ24+預測IC!CR24</f>
        <v>-1.2332676409422594</v>
      </c>
      <c r="CS24" s="7">
        <f>CR24+預測IC!CS24</f>
        <v>-1.3412418768812868</v>
      </c>
      <c r="CT24" s="7">
        <f>CS24+預測IC!CT24</f>
        <v>-1.4607862652171266</v>
      </c>
      <c r="CU24" s="7">
        <f>CT24+預測IC!CU24</f>
        <v>-1.5135153100307814</v>
      </c>
      <c r="CV24" s="7">
        <f>CU24+預測IC!CV24</f>
        <v>-1.3306512151235586</v>
      </c>
      <c r="CW24" s="7">
        <f>CV24+預測IC!CW24</f>
        <v>-1.3322393573313662</v>
      </c>
      <c r="CX24" s="7">
        <f>CW24+預測IC!CX24</f>
        <v>-1.4789339830016537</v>
      </c>
      <c r="CY24" s="7">
        <f>CX24+預測IC!CY24</f>
        <v>-1.1187059362329159</v>
      </c>
      <c r="CZ24" s="7">
        <f>CY24+預測IC!CZ24</f>
        <v>-0.95659902635475569</v>
      </c>
      <c r="DA24" s="7">
        <f>CZ24+預測IC!DA24</f>
        <v>-0.14357662944779226</v>
      </c>
      <c r="DB24" s="7">
        <f>DA24+預測IC!DB24</f>
        <v>0.80453295993217688</v>
      </c>
      <c r="DC24" s="7">
        <f>DB24+預測IC!DC24</f>
        <v>0.52180318120365876</v>
      </c>
      <c r="DD24" s="7">
        <f>DC24+預測IC!DD24</f>
        <v>0.71764790338610007</v>
      </c>
      <c r="DE24" s="7">
        <f>DD24+預測IC!DE24</f>
        <v>0.58606231209056725</v>
      </c>
      <c r="DF24" s="7">
        <f>DE24+預測IC!DF24</f>
        <v>0.39142424833463674</v>
      </c>
      <c r="DG24" s="7">
        <f>DF24+預測IC!DG24</f>
        <v>0.271878961934504</v>
      </c>
      <c r="DH24" s="7">
        <f>DG24+預測IC!DH24</f>
        <v>0.37471180591601849</v>
      </c>
      <c r="DI24" s="7">
        <f>DH24+預測IC!DI24</f>
        <v>0.79781060564435746</v>
      </c>
      <c r="DJ24" s="7">
        <f>DI24+預測IC!DJ24</f>
        <v>1.0271804801754469</v>
      </c>
      <c r="DK24" s="7">
        <f>DJ24+預測IC!DK24</f>
        <v>0.86115875182119694</v>
      </c>
      <c r="DL24" s="7">
        <f>DK24+預測IC!DL24</f>
        <v>0.92251926503661386</v>
      </c>
      <c r="DM24" s="7">
        <f>DL24+預測IC!DM24</f>
        <v>0.81420316991042885</v>
      </c>
      <c r="DN24" s="7">
        <f>DM24+預測IC!DN24</f>
        <v>1.3310511089079611</v>
      </c>
      <c r="DO24" s="7">
        <f>DN24+預測IC!DO24</f>
        <v>1.4466630639314415</v>
      </c>
      <c r="DP24" s="7">
        <f>DO24+預測IC!DP24</f>
        <v>1.3023324215510854</v>
      </c>
      <c r="DQ24" s="7">
        <f>DP24+預測IC!DQ24</f>
        <v>1.2518462310721603</v>
      </c>
      <c r="DR24" s="7">
        <f>DQ24+預測IC!DR24</f>
        <v>1.231330600860131</v>
      </c>
      <c r="DS24" s="7">
        <f>DR24+預測IC!DS24</f>
        <v>1.0150690598272853</v>
      </c>
      <c r="DT24" s="7">
        <f>DS24+預測IC!DT24</f>
        <v>1.0445047862161487</v>
      </c>
      <c r="DU24" s="7">
        <f>DT24+預測IC!DU24</f>
        <v>0.27396147846019003</v>
      </c>
      <c r="DV24" s="7">
        <f>DU24+預測IC!DV24</f>
        <v>1.0244180276494113</v>
      </c>
      <c r="DW24" s="7">
        <f>DV24+預測IC!DW24</f>
        <v>1.4077812685946172</v>
      </c>
      <c r="DX24" s="7">
        <f>DW24+預測IC!DX24</f>
        <v>1.5815185990426963</v>
      </c>
      <c r="DY24" s="7">
        <f>DX24+預測IC!DY24</f>
        <v>1.6135851347726478</v>
      </c>
      <c r="DZ24" s="7">
        <f>DY24+預測IC!DZ24</f>
        <v>1.564680470513848</v>
      </c>
      <c r="EA24" s="7">
        <f>DZ24+預測IC!EA24</f>
        <v>1.5097602866723454</v>
      </c>
      <c r="EB24" s="7">
        <f>EA24+預測IC!EB24</f>
        <v>1.4005315142995391</v>
      </c>
      <c r="EC24" s="7">
        <f>EB24+預測IC!EC24</f>
        <v>1.6571828942630655</v>
      </c>
      <c r="ED24" s="7">
        <f>EC24+預測IC!ED24</f>
        <v>1.5873477405964489</v>
      </c>
      <c r="EE24" s="7">
        <f>ED24+預測IC!EE24</f>
        <v>1.4798670833620309</v>
      </c>
      <c r="EF24" s="7">
        <f>EE24+預測IC!EF24</f>
        <v>1.5471437604059992</v>
      </c>
    </row>
    <row r="25" spans="1:136" s="12" customFormat="1" x14ac:dyDescent="0.3">
      <c r="A25" s="14" t="s">
        <v>145</v>
      </c>
      <c r="B25" s="14" t="s">
        <v>146</v>
      </c>
      <c r="C25" s="15">
        <v>-1.7446770539390338E-2</v>
      </c>
      <c r="D25" s="16">
        <f>C25+預測IC!D25</f>
        <v>3.2542899924252917E-3</v>
      </c>
      <c r="E25" s="16">
        <f>D25+預測IC!E25</f>
        <v>2.7236419247192001E-2</v>
      </c>
      <c r="F25" s="16">
        <f>E25+預測IC!F25</f>
        <v>2.0678840274368924E-2</v>
      </c>
      <c r="G25" s="16">
        <f>F25+預測IC!G25</f>
        <v>5.2523970074888612E-2</v>
      </c>
      <c r="H25" s="16">
        <f>G25+預測IC!H25</f>
        <v>8.6872502811879138E-2</v>
      </c>
      <c r="I25" s="16">
        <f>H25+預測IC!I25</f>
        <v>7.8617570030553904E-2</v>
      </c>
      <c r="J25" s="16">
        <f>I25+預測IC!J25</f>
        <v>9.1461094424606662E-2</v>
      </c>
      <c r="K25" s="16">
        <f>J25+預測IC!K25</f>
        <v>4.0442569797815839E-2</v>
      </c>
      <c r="L25" s="16">
        <f>K25+預測IC!L25</f>
        <v>4.1316512538852428E-2</v>
      </c>
      <c r="M25" s="16">
        <f>L25+預測IC!M25</f>
        <v>6.4706088044348353E-2</v>
      </c>
      <c r="N25" s="16">
        <f>M25+預測IC!N25</f>
        <v>7.7695060244681202E-2</v>
      </c>
      <c r="O25" s="16">
        <f>N25+預測IC!O25</f>
        <v>8.3549648970316082E-2</v>
      </c>
      <c r="P25" s="16">
        <f>O25+預測IC!P25</f>
        <v>0.11096285554210664</v>
      </c>
      <c r="Q25" s="16">
        <f>P25+預測IC!Q25</f>
        <v>0.10724991942441378</v>
      </c>
      <c r="R25" s="16">
        <f>Q25+預測IC!R25</f>
        <v>0.13132653347223711</v>
      </c>
      <c r="S25" s="16">
        <f>R25+預測IC!S25</f>
        <v>0.11913650817319715</v>
      </c>
      <c r="T25" s="16">
        <f>S25+預測IC!T25</f>
        <v>7.9386930013607554E-2</v>
      </c>
      <c r="U25" s="16">
        <f>T25+預測IC!U25</f>
        <v>6.2314801819580018E-3</v>
      </c>
      <c r="V25" s="16">
        <f>U25+預測IC!V25</f>
        <v>-5.2028749728156659E-2</v>
      </c>
      <c r="W25" s="16">
        <f>V25+預測IC!W25</f>
        <v>-5.1255952162648284E-2</v>
      </c>
      <c r="X25" s="16">
        <f>W25+預測IC!X25</f>
        <v>-6.6644310274293142E-3</v>
      </c>
      <c r="Y25" s="16">
        <f>X25+預測IC!Y25</f>
        <v>-3.4364111077642409E-2</v>
      </c>
      <c r="Z25" s="16">
        <f>Y25+預測IC!Z25</f>
        <v>-3.226910512789876E-2</v>
      </c>
      <c r="AA25" s="16">
        <f>Z25+預測IC!AA25</f>
        <v>-5.5669656120462874E-2</v>
      </c>
      <c r="AB25" s="16">
        <f>AA25+預測IC!AB25</f>
        <v>-2.3540285023140685E-2</v>
      </c>
      <c r="AC25" s="16">
        <f>AB25+預測IC!AC25</f>
        <v>1.5362988070925745E-2</v>
      </c>
      <c r="AD25" s="16">
        <f>AC25+預測IC!AD25</f>
        <v>-2.7502394100178525E-2</v>
      </c>
      <c r="AE25" s="16">
        <f>AD25+預測IC!AE25</f>
        <v>-8.8551995500263658E-3</v>
      </c>
      <c r="AF25" s="16">
        <f>AE25+預測IC!AF25</f>
        <v>6.3745687725025833E-3</v>
      </c>
      <c r="AG25" s="16">
        <f>AF25+預測IC!AG25</f>
        <v>4.2391172551395004E-2</v>
      </c>
      <c r="AH25" s="16">
        <f>AG25+預測IC!AH25</f>
        <v>5.174578393671117E-2</v>
      </c>
      <c r="AI25" s="16">
        <f>AH25+預測IC!AI25</f>
        <v>6.2494035273549312E-2</v>
      </c>
      <c r="AJ25" s="16">
        <f>AI25+預測IC!AJ25</f>
        <v>7.5851789326630281E-2</v>
      </c>
      <c r="AK25" s="16">
        <f>AJ25+預測IC!AK25</f>
        <v>7.0519041997534893E-2</v>
      </c>
      <c r="AL25" s="16">
        <f>AK25+預測IC!AL25</f>
        <v>7.1902177804796574E-2</v>
      </c>
      <c r="AM25" s="16">
        <f>AL25+預測IC!AM25</f>
        <v>9.2698106224871041E-2</v>
      </c>
      <c r="AN25" s="16">
        <f>AM25+預測IC!AN25</f>
        <v>0.12421580844526167</v>
      </c>
      <c r="AO25" s="16">
        <f>AN25+預測IC!AO25</f>
        <v>0.13045752497859112</v>
      </c>
      <c r="AP25" s="16">
        <f>AO25+預測IC!AP25</f>
        <v>0.13660278663216249</v>
      </c>
      <c r="AQ25" s="16">
        <f>AP25+預測IC!AQ25</f>
        <v>0.15354914430885899</v>
      </c>
      <c r="AR25" s="16">
        <f>AQ25+預測IC!AR25</f>
        <v>0.18823197476316722</v>
      </c>
      <c r="AS25" s="16">
        <f>AR25+預測IC!AS25</f>
        <v>0.19133056338036419</v>
      </c>
      <c r="AT25" s="16">
        <f>AS25+預測IC!AT25</f>
        <v>0.2064119105238503</v>
      </c>
      <c r="AU25" s="16">
        <f>AT25+預測IC!AU25</f>
        <v>0.18716070129398632</v>
      </c>
      <c r="AV25" s="16">
        <f>AU25+預測IC!AV25</f>
        <v>0.22587221468161775</v>
      </c>
      <c r="AW25" s="16">
        <f>AV25+預測IC!AW25</f>
        <v>0.20401526354588115</v>
      </c>
      <c r="AX25" s="16">
        <f>AW25+預測IC!AX25</f>
        <v>0.21178956425567083</v>
      </c>
      <c r="AY25" s="16">
        <f>AX25+預測IC!AY25</f>
        <v>0.25418681095099677</v>
      </c>
      <c r="AZ25" s="16">
        <f>AY25+預測IC!AZ25</f>
        <v>0.22787783608983703</v>
      </c>
      <c r="BA25" s="16">
        <f>AZ25+預測IC!BA25</f>
        <v>0.23744958539855326</v>
      </c>
      <c r="BB25" s="16">
        <f>BA25+預測IC!BB25</f>
        <v>0.21319984413227844</v>
      </c>
      <c r="BC25" s="16">
        <f>BB25+預測IC!BC25</f>
        <v>0.23336321827619427</v>
      </c>
      <c r="BD25" s="16">
        <f>BC25+預測IC!BD25</f>
        <v>0.22985821949407825</v>
      </c>
      <c r="BE25" s="16">
        <f>BD25+預測IC!BE25</f>
        <v>0.25001015459262055</v>
      </c>
      <c r="BF25" s="16">
        <f>BE25+預測IC!BF25</f>
        <v>0.25059149082339083</v>
      </c>
      <c r="BG25" s="16">
        <f>BF25+預測IC!BG25</f>
        <v>0.24537178987013822</v>
      </c>
      <c r="BH25" s="16">
        <f>BG25+預測IC!BH25</f>
        <v>0.12950002846800823</v>
      </c>
      <c r="BI25" s="16">
        <f>BH25+預測IC!BI25</f>
        <v>0.13822525416044559</v>
      </c>
      <c r="BJ25" s="16">
        <f>BI25+預測IC!BJ25</f>
        <v>0.12184799318262345</v>
      </c>
      <c r="BK25" s="16">
        <f>BJ25+預測IC!BK25</f>
        <v>0.14268836478288388</v>
      </c>
      <c r="BL25" s="16">
        <f>BK25+預測IC!BL25</f>
        <v>0.18766423688499859</v>
      </c>
      <c r="BM25" s="16">
        <f>BL25+預測IC!BM25</f>
        <v>0.21161854296686244</v>
      </c>
      <c r="BN25" s="16">
        <f>BM25+預測IC!BN25</f>
        <v>0.24185764435830504</v>
      </c>
      <c r="BO25" s="16">
        <f>BN25+預測IC!BO25</f>
        <v>0.19813175676721753</v>
      </c>
      <c r="BP25" s="16">
        <f>BO25+預測IC!BP25</f>
        <v>0.22002122633541615</v>
      </c>
      <c r="BQ25" s="16">
        <f>BP25+預測IC!BQ25</f>
        <v>0.22864865659892455</v>
      </c>
      <c r="BR25" s="16">
        <f>BQ25+預測IC!BR25</f>
        <v>0.20945570260426577</v>
      </c>
      <c r="BS25" s="16">
        <f>BR25+預測IC!BS25</f>
        <v>0.22919083249239883</v>
      </c>
      <c r="BT25" s="16">
        <f>BS25+預測IC!BT25</f>
        <v>0.27688516997609824</v>
      </c>
      <c r="BU25" s="16">
        <f>BT25+預測IC!BU25</f>
        <v>0.28833998678268163</v>
      </c>
      <c r="BV25" s="16">
        <f>BU25+預測IC!BV25</f>
        <v>0.33156860751789485</v>
      </c>
      <c r="BW25" s="16">
        <f>BV25+預測IC!BW25</f>
        <v>0.28882117708097205</v>
      </c>
      <c r="BX25" s="16">
        <f>BW25+預測IC!BX25</f>
        <v>0.27100988465317749</v>
      </c>
      <c r="BY25" s="16">
        <f>BX25+預測IC!BY25</f>
        <v>0.11985678778410189</v>
      </c>
      <c r="BZ25" s="16">
        <f>BY25+預測IC!BZ25</f>
        <v>0.24408079140367717</v>
      </c>
      <c r="CA25" s="16">
        <f>BZ25+預測IC!CA25</f>
        <v>0.23952353755914751</v>
      </c>
      <c r="CB25" s="16">
        <f>CA25+預測IC!CB25</f>
        <v>0.29973477776405871</v>
      </c>
      <c r="CC25" s="16">
        <f>CB25+預測IC!CC25</f>
        <v>0.385726811246561</v>
      </c>
      <c r="CD25" s="16">
        <f>CC25+預測IC!CD25</f>
        <v>0.37991833166419492</v>
      </c>
      <c r="CE25" s="16">
        <f>CD25+預測IC!CE25</f>
        <v>0.37387698467522684</v>
      </c>
      <c r="CF25" s="16">
        <f>CE25+預測IC!CF25</f>
        <v>0.37632930904747891</v>
      </c>
      <c r="CG25" s="16">
        <f>CF25+預測IC!CG25</f>
        <v>0.46596556098450181</v>
      </c>
      <c r="CH25" s="16">
        <f>CG25+預測IC!CH25</f>
        <v>0.53695829351125968</v>
      </c>
      <c r="CI25" s="16">
        <f>CH25+預測IC!CI25</f>
        <v>0.56412893641304307</v>
      </c>
      <c r="CJ25" s="16">
        <f>CI25+預測IC!CJ25</f>
        <v>0.61659736483837313</v>
      </c>
      <c r="CK25" s="16">
        <f>CJ25+預測IC!CK25</f>
        <v>0.64607802578142259</v>
      </c>
      <c r="CL25" s="16">
        <f>CK25+預測IC!CL25</f>
        <v>0.71290310684162383</v>
      </c>
      <c r="CM25" s="16">
        <f>CL25+預測IC!CM25</f>
        <v>0.68413087782180682</v>
      </c>
      <c r="CN25" s="16">
        <f>CM25+預測IC!CN25</f>
        <v>0.72359339372344467</v>
      </c>
      <c r="CO25" s="16">
        <f>CN25+預測IC!CO25</f>
        <v>0.69456230674608477</v>
      </c>
      <c r="CP25" s="16">
        <f>CO25+預測IC!CP25</f>
        <v>0.70854618926555268</v>
      </c>
      <c r="CQ25" s="16">
        <f>CP25+預測IC!CQ25</f>
        <v>0.67626922430621883</v>
      </c>
      <c r="CR25" s="16">
        <f>CQ25+預測IC!CR25</f>
        <v>0.6793728009191129</v>
      </c>
      <c r="CS25" s="16">
        <f>CR25+預測IC!CS25</f>
        <v>0.70496465668619601</v>
      </c>
      <c r="CT25" s="16">
        <f>CS25+預測IC!CT25</f>
        <v>0.74935654297338927</v>
      </c>
      <c r="CU25" s="16">
        <f>CT25+預測IC!CU25</f>
        <v>0.71901758442381181</v>
      </c>
      <c r="CV25" s="16">
        <f>CU25+預測IC!CV25</f>
        <v>0.7177596079692401</v>
      </c>
      <c r="CW25" s="16">
        <f>CV25+預測IC!CW25</f>
        <v>0.72009596442509805</v>
      </c>
      <c r="CX25" s="16">
        <f>CW25+預測IC!CX25</f>
        <v>0.655831819499192</v>
      </c>
      <c r="CY25" s="16">
        <f>CX25+預測IC!CY25</f>
        <v>0.66874159895818441</v>
      </c>
      <c r="CZ25" s="16">
        <f>CY25+預測IC!CZ25</f>
        <v>0.54326450428732564</v>
      </c>
      <c r="DA25" s="16">
        <f>CZ25+預測IC!DA25</f>
        <v>0.55495518722711823</v>
      </c>
      <c r="DB25" s="16">
        <f>DA25+預測IC!DB25</f>
        <v>0.56129303092785998</v>
      </c>
      <c r="DC25" s="16">
        <f>DB25+預測IC!DC25</f>
        <v>0.44398767445847448</v>
      </c>
      <c r="DD25" s="16">
        <f>DC25+預測IC!DD25</f>
        <v>0.40797680240902789</v>
      </c>
      <c r="DE25" s="16">
        <f>DD25+預測IC!DE25</f>
        <v>0.54688810648129582</v>
      </c>
      <c r="DF25" s="16">
        <f>DE25+預測IC!DF25</f>
        <v>0.49574460025519007</v>
      </c>
      <c r="DG25" s="16">
        <f>DF25+預測IC!DG25</f>
        <v>0.57247604743715907</v>
      </c>
      <c r="DH25" s="16">
        <f>DG25+預測IC!DH25</f>
        <v>0.58798482963416721</v>
      </c>
      <c r="DI25" s="16">
        <f>DH25+預測IC!DI25</f>
        <v>0.61120860330892302</v>
      </c>
      <c r="DJ25" s="16">
        <f>DI25+預測IC!DJ25</f>
        <v>0.59283572694769515</v>
      </c>
      <c r="DK25" s="16">
        <f>DJ25+預測IC!DK25</f>
        <v>0.65503474103279458</v>
      </c>
      <c r="DL25" s="16">
        <f>DK25+預測IC!DL25</f>
        <v>0.67513304551975173</v>
      </c>
      <c r="DM25" s="16">
        <f>DL25+預測IC!DM25</f>
        <v>0.68863198526781977</v>
      </c>
      <c r="DN25" s="16">
        <f>DM25+預測IC!DN25</f>
        <v>0.65837977253939894</v>
      </c>
      <c r="DO25" s="16">
        <f>DN25+預測IC!DO25</f>
        <v>0.64135693683134509</v>
      </c>
      <c r="DP25" s="16">
        <f>DO25+預測IC!DP25</f>
        <v>0.61956841355888315</v>
      </c>
      <c r="DQ25" s="16">
        <f>DP25+預測IC!DQ25</f>
        <v>0.70531403814402038</v>
      </c>
      <c r="DR25" s="16">
        <f>DQ25+預測IC!DR25</f>
        <v>0.73342078174899417</v>
      </c>
      <c r="DS25" s="16">
        <f>DR25+預測IC!DS25</f>
        <v>0.73111762194163477</v>
      </c>
      <c r="DT25" s="16">
        <f>DS25+預測IC!DT25</f>
        <v>0.78958882007312226</v>
      </c>
      <c r="DU25" s="16">
        <f>DT25+預測IC!DU25</f>
        <v>0.85724776912176992</v>
      </c>
      <c r="DV25" s="16">
        <f>DU25+預測IC!DV25</f>
        <v>0.86226853976220219</v>
      </c>
      <c r="DW25" s="16">
        <f>DV25+預測IC!DW25</f>
        <v>0.89968472343740924</v>
      </c>
      <c r="DX25" s="16">
        <f>DW25+預測IC!DX25</f>
        <v>0.98379572718345132</v>
      </c>
      <c r="DY25" s="16">
        <f>DX25+預測IC!DY25</f>
        <v>0.94696332863943844</v>
      </c>
      <c r="DZ25" s="16">
        <f>DY25+預測IC!DZ25</f>
        <v>0.95005503145637549</v>
      </c>
      <c r="EA25" s="16">
        <f>DZ25+預測IC!EA25</f>
        <v>0.94809740324208092</v>
      </c>
      <c r="EB25" s="16">
        <f>EA25+預測IC!EB25</f>
        <v>0.97455650684560069</v>
      </c>
      <c r="EC25" s="16">
        <f>EB25+預測IC!EC25</f>
        <v>0.94980396808491041</v>
      </c>
      <c r="ED25" s="16">
        <f>EC25+預測IC!ED25</f>
        <v>0.98391945906747036</v>
      </c>
      <c r="EE25" s="16">
        <f>ED25+預測IC!EE25</f>
        <v>1.0049814330565034</v>
      </c>
      <c r="EF25" s="16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21"/>
  <sheetViews>
    <sheetView workbookViewId="0"/>
  </sheetViews>
  <sheetFormatPr defaultRowHeight="15" x14ac:dyDescent="0.3"/>
  <cols>
    <col min="1" max="1" width="16.375" bestFit="1" customWidth="1"/>
  </cols>
  <sheetData>
    <row r="1" spans="1:137" x14ac:dyDescent="0.3">
      <c r="A1" t="str">
        <f>預測IC!A1</f>
        <v>NN1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</row>
    <row r="3" spans="1:137" x14ac:dyDescent="0.3">
      <c r="B3" s="1" t="s">
        <v>137</v>
      </c>
      <c r="C3" s="7">
        <v>3.6997013757333698E-2</v>
      </c>
      <c r="D3" s="7">
        <v>3.3297817500003282E-2</v>
      </c>
      <c r="E3" s="7">
        <v>1.542163833496168E-2</v>
      </c>
      <c r="F3" s="7">
        <v>1.6456982644761711E-2</v>
      </c>
      <c r="G3" s="7">
        <v>1.7226210935333459E-2</v>
      </c>
      <c r="H3" s="7">
        <v>2.8764108032567459E-2</v>
      </c>
      <c r="I3" s="7">
        <v>2.427932822777535E-2</v>
      </c>
      <c r="J3" s="7">
        <v>2.731641860027573E-2</v>
      </c>
      <c r="K3" s="7">
        <v>3.0174004661944549E-2</v>
      </c>
      <c r="L3" s="7">
        <v>2.5236297001741709E-2</v>
      </c>
      <c r="M3" s="7">
        <v>3.2729103566482703E-2</v>
      </c>
      <c r="N3" s="7">
        <v>3.1554761397993208E-2</v>
      </c>
      <c r="O3" s="7">
        <v>3.4033301690891533E-2</v>
      </c>
      <c r="P3" s="7">
        <v>3.321291110249007E-2</v>
      </c>
      <c r="Q3" s="7">
        <v>2.910333512892541E-2</v>
      </c>
      <c r="R3" s="7">
        <v>2.6473653115280309E-2</v>
      </c>
      <c r="S3" s="7">
        <v>2.8295345986913231E-2</v>
      </c>
      <c r="T3" s="7">
        <v>2.262072807092803E-2</v>
      </c>
      <c r="U3" s="7">
        <v>1.614400695132449E-2</v>
      </c>
      <c r="V3" s="7">
        <v>2.5033177832038969E-2</v>
      </c>
      <c r="W3" s="7">
        <v>4.5784045042201092E-2</v>
      </c>
      <c r="X3" s="7">
        <v>4.3057813861526573E-2</v>
      </c>
      <c r="Y3" s="7">
        <v>3.7785745549657773E-2</v>
      </c>
      <c r="Z3" s="7">
        <v>2.409745457622987E-2</v>
      </c>
      <c r="AA3" s="7">
        <v>3.009442686823352E-2</v>
      </c>
      <c r="AB3" s="7">
        <v>2.8087063172378191E-2</v>
      </c>
      <c r="AC3" s="7">
        <v>3.3771066806544549E-2</v>
      </c>
      <c r="AD3" s="7">
        <v>3.413170384138306E-2</v>
      </c>
      <c r="AE3" s="7">
        <v>3.4141408533312018E-2</v>
      </c>
      <c r="AF3" s="7">
        <v>1.3117941025955079E-2</v>
      </c>
      <c r="AG3" s="7">
        <v>2.4857354012934599E-2</v>
      </c>
      <c r="AH3" s="7">
        <v>3.1884444011299258E-2</v>
      </c>
      <c r="AI3" s="7">
        <v>3.6385761193522617E-2</v>
      </c>
      <c r="AJ3" s="7">
        <v>3.5948919429733099E-2</v>
      </c>
      <c r="AK3" s="7">
        <v>4.3482830969963061E-2</v>
      </c>
      <c r="AL3" s="7">
        <v>3.8462077568039821E-2</v>
      </c>
      <c r="AM3" s="7">
        <v>3.9410244165835981E-2</v>
      </c>
      <c r="AN3" s="7">
        <v>5.0743620516414449E-2</v>
      </c>
      <c r="AO3" s="7">
        <v>5.3684811620656157E-2</v>
      </c>
      <c r="AP3" s="7">
        <v>4.9314899356547669E-2</v>
      </c>
      <c r="AQ3" s="7">
        <v>3.2773687722358558E-2</v>
      </c>
      <c r="AR3" s="7">
        <v>2.8295340626825871E-2</v>
      </c>
      <c r="AS3" s="7">
        <v>2.8377802599917349E-2</v>
      </c>
      <c r="AT3" s="7">
        <v>2.306922946025217E-2</v>
      </c>
      <c r="AU3" s="7">
        <v>2.9397032882625889E-2</v>
      </c>
      <c r="AV3" s="7">
        <v>3.103785222722218E-2</v>
      </c>
      <c r="AW3" s="7">
        <v>2.6297924056821211E-2</v>
      </c>
      <c r="AX3" s="7">
        <v>2.6164811358804361E-2</v>
      </c>
      <c r="AY3" s="7">
        <v>3.2053783671709642E-2</v>
      </c>
      <c r="AZ3" s="7">
        <v>3.4477530774765272E-2</v>
      </c>
      <c r="BA3" s="7">
        <v>2.9331890747661678E-2</v>
      </c>
      <c r="BB3" s="7">
        <v>3.4324947588369348E-2</v>
      </c>
      <c r="BC3" s="7">
        <v>3.7421776938590827E-2</v>
      </c>
      <c r="BD3" s="7">
        <v>3.141372245226793E-2</v>
      </c>
      <c r="BE3" s="7">
        <v>3.2006411062996218E-2</v>
      </c>
      <c r="BF3" s="7">
        <v>2.828182773285309E-2</v>
      </c>
      <c r="BG3" s="7">
        <v>4.1103436715196499E-2</v>
      </c>
      <c r="BH3" s="7">
        <v>4.5198779339126277E-2</v>
      </c>
      <c r="BI3" s="7">
        <v>4.1588040384802467E-2</v>
      </c>
      <c r="BJ3" s="7">
        <v>4.0723405736309587E-2</v>
      </c>
      <c r="BK3" s="7">
        <v>3.6327700059770963E-2</v>
      </c>
      <c r="BL3" s="7">
        <v>3.6173192149872829E-2</v>
      </c>
      <c r="BM3" s="7">
        <v>3.7708587815686451E-2</v>
      </c>
      <c r="BN3" s="7">
        <v>3.0814038130409348E-2</v>
      </c>
      <c r="BO3" s="7">
        <v>3.065585577146604E-2</v>
      </c>
      <c r="BP3" s="7">
        <v>3.4399631895121928E-2</v>
      </c>
      <c r="BQ3" s="7">
        <v>3.4868650026028229E-2</v>
      </c>
      <c r="BR3" s="7">
        <v>3.6324039848933801E-2</v>
      </c>
      <c r="BS3" s="7">
        <v>3.6164468096582622E-2</v>
      </c>
      <c r="BT3" s="7">
        <v>3.8668894956456937E-2</v>
      </c>
      <c r="BU3" s="7">
        <v>4.1103483948852763E-2</v>
      </c>
      <c r="BV3" s="7">
        <v>2.8684133448632881E-2</v>
      </c>
      <c r="BW3" s="7">
        <v>3.521650986163926E-2</v>
      </c>
      <c r="BX3" s="7">
        <v>4.0767200067914247E-2</v>
      </c>
      <c r="BY3" s="7">
        <v>2.160353774972024E-2</v>
      </c>
      <c r="BZ3" s="7">
        <v>3.0433668800390778E-2</v>
      </c>
      <c r="CA3" s="7">
        <v>3.7311958080318418E-2</v>
      </c>
      <c r="CB3" s="7">
        <v>2.7612053143104789E-2</v>
      </c>
      <c r="CC3" s="7">
        <v>1.9742954750447479E-2</v>
      </c>
      <c r="CD3" s="7">
        <v>7.791460166144233E-3</v>
      </c>
      <c r="CE3" s="7">
        <v>2.2526806957081459E-2</v>
      </c>
      <c r="CF3" s="7">
        <v>3.4778187915741783E-2</v>
      </c>
      <c r="CG3" s="7">
        <v>3.2581362027151728E-2</v>
      </c>
      <c r="CH3" s="7">
        <v>4.0909001215823568E-2</v>
      </c>
      <c r="CI3" s="7">
        <v>3.9050253240311222E-2</v>
      </c>
      <c r="CJ3" s="7">
        <v>2.4561899640003909E-2</v>
      </c>
      <c r="CK3" s="7">
        <v>3.413446187252573E-2</v>
      </c>
      <c r="CL3" s="7">
        <v>3.5925937532879773E-2</v>
      </c>
      <c r="CM3" s="7">
        <v>4.2466042159304301E-2</v>
      </c>
      <c r="CN3" s="7">
        <v>3.6523906516241801E-2</v>
      </c>
      <c r="CO3" s="7">
        <v>3.7659149571028283E-2</v>
      </c>
      <c r="CP3" s="7">
        <v>3.9957834472595419E-2</v>
      </c>
      <c r="CQ3" s="7">
        <v>-4.5921902670845449E-3</v>
      </c>
      <c r="CR3" s="7">
        <v>1.500343045059385E-2</v>
      </c>
      <c r="CS3" s="7">
        <v>2.2458754318599651E-2</v>
      </c>
      <c r="CT3" s="7">
        <v>4.0972167824902372E-2</v>
      </c>
      <c r="CU3" s="7">
        <v>3.8942373224816543E-2</v>
      </c>
      <c r="CV3" s="7">
        <v>4.3015000500199303E-2</v>
      </c>
      <c r="CW3" s="7">
        <v>3.9706600079107632E-2</v>
      </c>
      <c r="CX3" s="7">
        <v>3.9171022856911548E-2</v>
      </c>
      <c r="CY3" s="7">
        <v>3.4940834769569752E-2</v>
      </c>
      <c r="CZ3" s="7">
        <v>3.6026834228159298E-2</v>
      </c>
      <c r="DA3" s="7">
        <v>4.450954814790925E-2</v>
      </c>
      <c r="DB3" s="7">
        <v>3.9322897230046248E-2</v>
      </c>
      <c r="DC3" s="7">
        <v>3.7933403354666211E-2</v>
      </c>
      <c r="DD3" s="7">
        <v>3.9075000966415717E-2</v>
      </c>
      <c r="DE3" s="7">
        <v>4.199397627237688E-2</v>
      </c>
      <c r="DF3" s="7">
        <v>4.1965348731106439E-2</v>
      </c>
      <c r="DG3" s="7">
        <v>4.0382244799122911E-2</v>
      </c>
      <c r="DH3" s="7">
        <v>3.6787240146963857E-2</v>
      </c>
      <c r="DI3" s="7">
        <v>3.6877765546082367E-2</v>
      </c>
      <c r="DJ3" s="7">
        <v>3.368209367541955E-2</v>
      </c>
      <c r="DK3" s="7">
        <v>3.6536443043095952E-2</v>
      </c>
      <c r="DL3" s="7">
        <v>3.153055621902446E-2</v>
      </c>
      <c r="DM3" s="7">
        <v>2.866223764473836E-2</v>
      </c>
      <c r="DN3" s="7">
        <v>3.0844743252797239E-2</v>
      </c>
      <c r="DO3" s="7">
        <v>3.3675363611272838E-2</v>
      </c>
      <c r="DP3" s="7">
        <v>3.5102177512429639E-2</v>
      </c>
      <c r="DQ3" s="7">
        <v>3.6708207074369593E-2</v>
      </c>
      <c r="DR3" s="7">
        <v>3.4114421599711522E-2</v>
      </c>
      <c r="DS3" s="7">
        <v>3.6715906439180962E-2</v>
      </c>
      <c r="DT3" s="7">
        <v>3.4828052772429188E-2</v>
      </c>
      <c r="DU3" s="7">
        <v>2.336557726410772E-2</v>
      </c>
      <c r="DV3" s="7">
        <v>2.524093892652958E-2</v>
      </c>
      <c r="DW3" s="7">
        <v>3.5159202684512107E-2</v>
      </c>
      <c r="DX3" s="7">
        <v>3.2304964005665182E-2</v>
      </c>
      <c r="DY3" s="7">
        <v>2.325821710130703E-2</v>
      </c>
      <c r="DZ3" s="7">
        <v>2.8308751932577921E-2</v>
      </c>
      <c r="EA3" s="7">
        <v>3.1397321824344362E-2</v>
      </c>
      <c r="EB3" s="7">
        <v>3.723081253221186E-2</v>
      </c>
      <c r="EC3" s="7">
        <v>3.3346090074484303E-2</v>
      </c>
      <c r="ED3" s="7">
        <v>3.4186640907954438E-2</v>
      </c>
      <c r="EE3" s="7">
        <v>2.5041157579864502E-2</v>
      </c>
      <c r="EF3" s="7">
        <v>3.4121434975122142E-2</v>
      </c>
      <c r="EG3" s="1"/>
    </row>
    <row r="4" spans="1:137" x14ac:dyDescent="0.3">
      <c r="B4" s="1" t="s">
        <v>138</v>
      </c>
      <c r="C4" s="7">
        <v>-4.9660318332858187E-2</v>
      </c>
      <c r="D4" s="7">
        <v>-6.445345992925948E-2</v>
      </c>
      <c r="E4" s="7">
        <v>-9.5804928773652709E-2</v>
      </c>
      <c r="F4" s="7">
        <v>-7.6694248625274991E-2</v>
      </c>
      <c r="G4" s="7">
        <v>-2.651532023294172E-2</v>
      </c>
      <c r="H4" s="7">
        <v>-3.4151649822825897E-2</v>
      </c>
      <c r="I4" s="7">
        <v>-4.6190909592046463E-2</v>
      </c>
      <c r="J4" s="7">
        <v>-4.6178362506532247E-2</v>
      </c>
      <c r="K4" s="7">
        <v>-4.5931908840778947E-2</v>
      </c>
      <c r="L4" s="7">
        <v>-4.0811789698647891E-2</v>
      </c>
      <c r="M4" s="7">
        <v>-1.873414103458905E-2</v>
      </c>
      <c r="N4" s="7">
        <v>-3.5831184190578111E-2</v>
      </c>
      <c r="O4" s="7">
        <v>-5.702286088483291E-2</v>
      </c>
      <c r="P4" s="7">
        <v>-4.2462624022791412E-2</v>
      </c>
      <c r="Q4" s="7">
        <v>-3.7772238816422013E-2</v>
      </c>
      <c r="R4" s="7">
        <v>-2.862815930799394E-2</v>
      </c>
      <c r="S4" s="7">
        <v>-3.0997759055884269E-2</v>
      </c>
      <c r="T4" s="7">
        <v>-6.7040182200879071E-3</v>
      </c>
      <c r="U4" s="7">
        <v>-3.7956683729456563E-2</v>
      </c>
      <c r="V4" s="7">
        <v>-2.9502006234075319E-2</v>
      </c>
      <c r="W4" s="7">
        <v>-4.1243236947333221E-2</v>
      </c>
      <c r="X4" s="7">
        <v>-5.4483330503116392E-2</v>
      </c>
      <c r="Y4" s="7">
        <v>-5.7374083583845582E-2</v>
      </c>
      <c r="Z4" s="7">
        <v>-5.062832428295555E-2</v>
      </c>
      <c r="AA4" s="7">
        <v>-4.2319641432599031E-2</v>
      </c>
      <c r="AB4" s="7">
        <v>-3.4273779764488428E-2</v>
      </c>
      <c r="AC4" s="7">
        <v>-3.8455291231844213E-2</v>
      </c>
      <c r="AD4" s="7">
        <v>-3.2603254778855922E-2</v>
      </c>
      <c r="AE4" s="7">
        <v>-3.4794942198420678E-2</v>
      </c>
      <c r="AF4" s="7">
        <v>-1.6393718636095241E-3</v>
      </c>
      <c r="AG4" s="7">
        <v>-3.2239149636300098E-2</v>
      </c>
      <c r="AH4" s="7">
        <v>-2.5692956522812369E-2</v>
      </c>
      <c r="AI4" s="7">
        <v>-3.0088884967129251E-2</v>
      </c>
      <c r="AJ4" s="7">
        <v>-2.9719525002256612E-2</v>
      </c>
      <c r="AK4" s="7">
        <v>-2.2742980873006469E-2</v>
      </c>
      <c r="AL4" s="7">
        <v>-2.5322144484343011E-2</v>
      </c>
      <c r="AM4" s="7">
        <v>-2.4117366031258889E-2</v>
      </c>
      <c r="AN4" s="7">
        <v>-2.7272205497438251E-2</v>
      </c>
      <c r="AO4" s="7">
        <v>-2.8383119971379631E-2</v>
      </c>
      <c r="AP4" s="7">
        <v>-2.3965544168188649E-2</v>
      </c>
      <c r="AQ4" s="7">
        <v>-3.030446790004868E-2</v>
      </c>
      <c r="AR4" s="7">
        <v>-1.7736018223184071E-2</v>
      </c>
      <c r="AS4" s="7">
        <v>-1.493919702839897E-2</v>
      </c>
      <c r="AT4" s="7">
        <v>-1.360870710963996E-2</v>
      </c>
      <c r="AU4" s="7">
        <v>-1.64239136720245E-2</v>
      </c>
      <c r="AV4" s="7">
        <v>-2.403960382952099E-2</v>
      </c>
      <c r="AW4" s="7">
        <v>-2.1378703324508221E-2</v>
      </c>
      <c r="AX4" s="7">
        <v>-2.3051306823519201E-2</v>
      </c>
      <c r="AY4" s="7">
        <v>-2.3942340840396089E-2</v>
      </c>
      <c r="AZ4" s="7">
        <v>-1.5978328701610589E-2</v>
      </c>
      <c r="BA4" s="7">
        <v>-2.96336447127158E-2</v>
      </c>
      <c r="BB4" s="7">
        <v>-3.692311268093771E-2</v>
      </c>
      <c r="BC4" s="7">
        <v>-2.261170394459297E-2</v>
      </c>
      <c r="BD4" s="7">
        <v>-2.6965640293280121E-2</v>
      </c>
      <c r="BE4" s="7">
        <v>-3.0957563468957731E-2</v>
      </c>
      <c r="BF4" s="7">
        <v>-1.818188402379485E-2</v>
      </c>
      <c r="BG4" s="7">
        <v>-1.5961031950800581E-2</v>
      </c>
      <c r="BH4" s="7">
        <v>-2.135865771827607E-2</v>
      </c>
      <c r="BI4" s="7">
        <v>-1.8895748986708129E-2</v>
      </c>
      <c r="BJ4" s="7">
        <v>-2.1052815893500949E-2</v>
      </c>
      <c r="BK4" s="7">
        <v>-2.6611829891188689E-2</v>
      </c>
      <c r="BL4" s="7">
        <v>-1.7576750586568161E-2</v>
      </c>
      <c r="BM4" s="7">
        <v>-2.1846036256586331E-2</v>
      </c>
      <c r="BN4" s="7">
        <v>-1.375092080271929E-2</v>
      </c>
      <c r="BO4" s="7">
        <v>-6.5027887606542486E-3</v>
      </c>
      <c r="BP4" s="7">
        <v>-1.2171710408862779E-2</v>
      </c>
      <c r="BQ4" s="7">
        <v>2.227728406744933E-4</v>
      </c>
      <c r="BR4" s="7">
        <v>-5.2450640342201118E-3</v>
      </c>
      <c r="BS4" s="7">
        <v>-1.293842649692345E-2</v>
      </c>
      <c r="BT4" s="7">
        <v>-1.6350339533214089E-2</v>
      </c>
      <c r="BU4" s="7">
        <v>-1.728604738886749E-3</v>
      </c>
      <c r="BV4" s="7">
        <v>1.5184016021425851E-2</v>
      </c>
      <c r="BW4" s="7">
        <v>-3.769282605662698E-3</v>
      </c>
      <c r="BX4" s="7">
        <v>-1.604521724942751E-2</v>
      </c>
      <c r="BY4" s="7">
        <v>-1.88945868262042E-2</v>
      </c>
      <c r="BZ4" s="7">
        <v>-4.1566140502701529E-3</v>
      </c>
      <c r="CA4" s="7">
        <v>-1.8223500239176571E-2</v>
      </c>
      <c r="CB4" s="7">
        <v>-2.2303988166437399E-2</v>
      </c>
      <c r="CC4" s="7">
        <v>-4.1111880962519533E-2</v>
      </c>
      <c r="CD4" s="7">
        <v>-3.2535264061707238E-2</v>
      </c>
      <c r="CE4" s="7">
        <v>-3.032312687201056E-2</v>
      </c>
      <c r="CF4" s="7">
        <v>-6.1293035460275459E-2</v>
      </c>
      <c r="CG4" s="7">
        <v>-4.4169599695747568E-2</v>
      </c>
      <c r="CH4" s="7">
        <v>-2.6870447905611401E-2</v>
      </c>
      <c r="CI4" s="7">
        <v>-1.773472915994885E-2</v>
      </c>
      <c r="CJ4" s="7">
        <v>-1.1493971416673481E-2</v>
      </c>
      <c r="CK4" s="7">
        <v>-1.591056979345622E-2</v>
      </c>
      <c r="CL4" s="7">
        <v>-1.5536443154462671E-2</v>
      </c>
      <c r="CM4" s="7">
        <v>-1.914161954811509E-2</v>
      </c>
      <c r="CN4" s="7">
        <v>8.0306048225056107E-3</v>
      </c>
      <c r="CO4" s="7">
        <v>4.1846283604194782E-3</v>
      </c>
      <c r="CP4" s="7">
        <v>-7.4834120697278624E-3</v>
      </c>
      <c r="CQ4" s="7">
        <v>-6.7070377330988762E-4</v>
      </c>
      <c r="CR4" s="7">
        <v>-1.9179487848293229E-2</v>
      </c>
      <c r="CS4" s="7">
        <v>-2.3347225810085481E-2</v>
      </c>
      <c r="CT4" s="7">
        <v>-2.178912425218113E-2</v>
      </c>
      <c r="CU4" s="7">
        <v>-2.9507372473936151E-2</v>
      </c>
      <c r="CV4" s="7">
        <v>-2.4862938683814881E-2</v>
      </c>
      <c r="CW4" s="7">
        <v>-2.2835803406750808E-2</v>
      </c>
      <c r="CX4" s="7">
        <v>-2.2235554973403029E-2</v>
      </c>
      <c r="CY4" s="7">
        <v>-2.5586670761170459E-2</v>
      </c>
      <c r="CZ4" s="7">
        <v>-3.0230896753603319E-2</v>
      </c>
      <c r="DA4" s="7">
        <v>-4.3223925894819153E-2</v>
      </c>
      <c r="DB4" s="7">
        <v>-4.4724835819105087E-2</v>
      </c>
      <c r="DC4" s="7">
        <v>-7.0760187276930051E-2</v>
      </c>
      <c r="DD4" s="7">
        <v>-5.7609848887751572E-2</v>
      </c>
      <c r="DE4" s="7">
        <v>-3.4042017450934013E-2</v>
      </c>
      <c r="DF4" s="7">
        <v>-2.718361177865523E-2</v>
      </c>
      <c r="DG4" s="7">
        <v>-3.5052460407378819E-2</v>
      </c>
      <c r="DH4" s="7">
        <v>-8.4282458345975725E-3</v>
      </c>
      <c r="DI4" s="7">
        <v>-3.637069802548519E-2</v>
      </c>
      <c r="DJ4" s="7">
        <v>-3.8760923501945078E-2</v>
      </c>
      <c r="DK4" s="7">
        <v>-2.7971574567053511E-2</v>
      </c>
      <c r="DL4" s="7">
        <v>-1.6270628812141918E-2</v>
      </c>
      <c r="DM4" s="7">
        <v>-1.7815731569619429E-2</v>
      </c>
      <c r="DN4" s="7">
        <v>-8.0526821730305329E-3</v>
      </c>
      <c r="DO4" s="7">
        <v>-2.353638413678133E-2</v>
      </c>
      <c r="DP4" s="7">
        <v>-2.9487319582336639E-2</v>
      </c>
      <c r="DQ4" s="7">
        <v>-3.7657447804277308E-2</v>
      </c>
      <c r="DR4" s="7">
        <v>-2.9648058945284859E-2</v>
      </c>
      <c r="DS4" s="7">
        <v>-3.01896062167205E-2</v>
      </c>
      <c r="DT4" s="7">
        <v>-4.1055975870549932E-2</v>
      </c>
      <c r="DU4" s="7">
        <v>-3.7310577027678322E-2</v>
      </c>
      <c r="DV4" s="7">
        <v>-8.9387634209458482E-3</v>
      </c>
      <c r="DW4" s="7">
        <v>-1.8377445548267719E-2</v>
      </c>
      <c r="DX4" s="7">
        <v>-3.038579821031457E-2</v>
      </c>
      <c r="DY4" s="7">
        <v>-3.3048755705593437E-2</v>
      </c>
      <c r="DZ4" s="7">
        <v>-3.0982285927668149E-2</v>
      </c>
      <c r="EA4" s="7">
        <v>-3.1659361830993077E-2</v>
      </c>
      <c r="EB4" s="7">
        <v>-3.649065280038747E-2</v>
      </c>
      <c r="EC4" s="7">
        <v>-4.1069205257147343E-2</v>
      </c>
      <c r="ED4" s="7">
        <v>-3.1004875189287899E-2</v>
      </c>
      <c r="EE4" s="7">
        <v>-2.307595276287884E-2</v>
      </c>
      <c r="EF4" s="7">
        <v>-1.1420860313987889E-2</v>
      </c>
      <c r="EG4" s="1"/>
    </row>
    <row r="5" spans="1:137" x14ac:dyDescent="0.3">
      <c r="B5" s="1" t="s">
        <v>139</v>
      </c>
      <c r="C5" s="7">
        <v>3.5923216435306189E-3</v>
      </c>
      <c r="D5" s="7">
        <v>2.8862197223557262E-3</v>
      </c>
      <c r="E5" s="7">
        <v>8.0135071589913301E-3</v>
      </c>
      <c r="F5" s="7">
        <v>7.4387135878969382E-3</v>
      </c>
      <c r="G5" s="7">
        <v>-1.698488952144591E-4</v>
      </c>
      <c r="H5" s="7">
        <v>9.1359420815390231E-3</v>
      </c>
      <c r="I5" s="7">
        <v>1.2007171314759381E-2</v>
      </c>
      <c r="J5" s="7">
        <v>5.9464452790785093E-3</v>
      </c>
      <c r="K5" s="7">
        <v>1.6591641238482821E-2</v>
      </c>
      <c r="L5" s="7">
        <v>1.920161893371632E-2</v>
      </c>
      <c r="M5" s="7">
        <v>1.9701815290587801E-2</v>
      </c>
      <c r="N5" s="7">
        <v>2.0161711803974011E-2</v>
      </c>
      <c r="O5" s="7">
        <v>1.3437225514017491E-2</v>
      </c>
      <c r="P5" s="7">
        <v>1.7638047330766411E-2</v>
      </c>
      <c r="Q5" s="7">
        <v>1.3117422271736861E-2</v>
      </c>
      <c r="R5" s="7">
        <v>1.345674557846294E-2</v>
      </c>
      <c r="S5" s="7">
        <v>1.6544045810315121E-2</v>
      </c>
      <c r="T5" s="7">
        <v>1.588127346287815E-2</v>
      </c>
      <c r="U5" s="7">
        <v>2.5940277266489609E-2</v>
      </c>
      <c r="V5" s="7">
        <v>1.968064199513106E-2</v>
      </c>
      <c r="W5" s="7">
        <v>3.2681747373401578E-2</v>
      </c>
      <c r="X5" s="7">
        <v>2.88193361747647E-2</v>
      </c>
      <c r="Y5" s="7">
        <v>-3.6096516306345743E-2</v>
      </c>
      <c r="Z5" s="7">
        <v>-5.819473766386217E-3</v>
      </c>
      <c r="AA5" s="7">
        <v>-1.384361877178903E-2</v>
      </c>
      <c r="AB5" s="7">
        <v>-4.99371392416516E-2</v>
      </c>
      <c r="AC5" s="7">
        <v>-9.2081626879443376E-3</v>
      </c>
      <c r="AD5" s="7">
        <v>-6.5956474854444447E-2</v>
      </c>
      <c r="AE5" s="7">
        <v>-2.173514574122511E-2</v>
      </c>
      <c r="AF5" s="7">
        <v>8.9724224078771442E-3</v>
      </c>
      <c r="AG5" s="7">
        <v>-1.1832985971204321E-2</v>
      </c>
      <c r="AH5" s="7">
        <v>-2.9651907106316919E-3</v>
      </c>
      <c r="AI5" s="7">
        <v>4.7857326511695827E-3</v>
      </c>
      <c r="AJ5" s="7">
        <v>5.7367073977292078E-3</v>
      </c>
      <c r="AK5" s="7">
        <v>7.3926873281479092E-3</v>
      </c>
      <c r="AL5" s="7">
        <v>-1.8742539375924451E-3</v>
      </c>
      <c r="AM5" s="7">
        <v>-1.952523109832151E-3</v>
      </c>
      <c r="AN5" s="7">
        <v>-3.6238168597597618E-3</v>
      </c>
      <c r="AO5" s="7">
        <v>-9.1603059763778593E-3</v>
      </c>
      <c r="AP5" s="7">
        <v>2.5415010892232532E-3</v>
      </c>
      <c r="AQ5" s="7">
        <v>3.8483729442072121E-3</v>
      </c>
      <c r="AR5" s="7">
        <v>3.4029774500497689E-3</v>
      </c>
      <c r="AS5" s="7">
        <v>8.5747228695072812E-4</v>
      </c>
      <c r="AT5" s="7">
        <v>8.1789276697448576E-3</v>
      </c>
      <c r="AU5" s="7">
        <v>1.005796764455418E-2</v>
      </c>
      <c r="AV5" s="7">
        <v>1.1137854065294999E-2</v>
      </c>
      <c r="AW5" s="7">
        <v>1.337826848807136E-2</v>
      </c>
      <c r="AX5" s="7">
        <v>1.18848248356704E-2</v>
      </c>
      <c r="AY5" s="7">
        <v>-6.6054212052508997E-6</v>
      </c>
      <c r="AZ5" s="7">
        <v>7.8238778565858352E-3</v>
      </c>
      <c r="BA5" s="7">
        <v>6.98923551593754E-3</v>
      </c>
      <c r="BB5" s="7">
        <v>7.1871697288773849E-3</v>
      </c>
      <c r="BC5" s="7">
        <v>-2.3924143890266141E-3</v>
      </c>
      <c r="BD5" s="7">
        <v>7.2638542327923324E-4</v>
      </c>
      <c r="BE5" s="7">
        <v>-2.2265342845179809E-3</v>
      </c>
      <c r="BF5" s="7">
        <v>-1.0446614486325819E-3</v>
      </c>
      <c r="BG5" s="7">
        <v>-2.071082545210403E-2</v>
      </c>
      <c r="BH5" s="7">
        <v>-4.4325197973968437E-2</v>
      </c>
      <c r="BI5" s="7">
        <v>-1.4765945486966079E-2</v>
      </c>
      <c r="BJ5" s="7">
        <v>-2.2277758365709211E-2</v>
      </c>
      <c r="BK5" s="7">
        <v>-2.350667592759435E-2</v>
      </c>
      <c r="BL5" s="7">
        <v>-1.659613811373151E-2</v>
      </c>
      <c r="BM5" s="7">
        <v>-3.7766406128849933E-2</v>
      </c>
      <c r="BN5" s="7">
        <v>-1.004054101261369E-2</v>
      </c>
      <c r="BO5" s="7">
        <v>-7.4939665232719018E-3</v>
      </c>
      <c r="BP5" s="7">
        <v>3.371447827029599E-3</v>
      </c>
      <c r="BQ5" s="7">
        <v>6.8205160463408977E-3</v>
      </c>
      <c r="BR5" s="7">
        <v>5.5997292120069176E-3</v>
      </c>
      <c r="BS5" s="7">
        <v>1.5475741356267531E-2</v>
      </c>
      <c r="BT5" s="7">
        <v>2.505139605033146E-3</v>
      </c>
      <c r="BU5" s="7">
        <v>6.9054048686437997E-3</v>
      </c>
      <c r="BV5" s="7">
        <v>6.759512559919926E-3</v>
      </c>
      <c r="BW5" s="7">
        <v>5.3854477548855081E-3</v>
      </c>
      <c r="BX5" s="7">
        <v>-5.1415040641252365E-4</v>
      </c>
      <c r="BY5" s="7">
        <v>-4.2217786474238114E-3</v>
      </c>
      <c r="BZ5" s="7">
        <v>1.3635264175112351E-3</v>
      </c>
      <c r="CA5" s="7">
        <v>1.234011782232132E-2</v>
      </c>
      <c r="CB5" s="7">
        <v>1.616138172374685E-2</v>
      </c>
      <c r="CC5" s="7">
        <v>2.1700747371675242E-3</v>
      </c>
      <c r="CD5" s="7">
        <v>8.3982369302591179E-3</v>
      </c>
      <c r="CE5" s="7">
        <v>2.9924757275427601E-3</v>
      </c>
      <c r="CF5" s="7">
        <v>-8.3356639285777159E-4</v>
      </c>
      <c r="CG5" s="7">
        <v>-7.4006182308146776E-4</v>
      </c>
      <c r="CH5" s="7">
        <v>-1.191538287503947E-2</v>
      </c>
      <c r="CI5" s="7">
        <v>-1.445466793303803E-2</v>
      </c>
      <c r="CJ5" s="7">
        <v>-7.2598371634770833E-3</v>
      </c>
      <c r="CK5" s="7">
        <v>-1.294178754845607E-3</v>
      </c>
      <c r="CL5" s="7">
        <v>9.4434034914934982E-3</v>
      </c>
      <c r="CM5" s="7">
        <v>5.1140346103961528E-3</v>
      </c>
      <c r="CN5" s="7">
        <v>2.873279302798517E-3</v>
      </c>
      <c r="CO5" s="7">
        <v>1.7240475986858961E-2</v>
      </c>
      <c r="CP5" s="7">
        <v>1.141421806863863E-2</v>
      </c>
      <c r="CQ5" s="7">
        <v>9.0067640458367376E-3</v>
      </c>
      <c r="CR5" s="7">
        <v>-2.0834521461759619E-3</v>
      </c>
      <c r="CS5" s="7">
        <v>-2.1705770934876179E-2</v>
      </c>
      <c r="CT5" s="7">
        <v>-5.3317796351909441E-3</v>
      </c>
      <c r="CU5" s="7">
        <v>-3.68701425744362E-3</v>
      </c>
      <c r="CV5" s="7">
        <v>-3.7795651312946363E-2</v>
      </c>
      <c r="CW5" s="7">
        <v>-1.389414662767193E-2</v>
      </c>
      <c r="CX5" s="7">
        <v>6.6294897158866882E-3</v>
      </c>
      <c r="CY5" s="7">
        <v>-8.2669791474472634E-3</v>
      </c>
      <c r="CZ5" s="7">
        <v>1.6345621066842331E-3</v>
      </c>
      <c r="DA5" s="7">
        <v>4.0989739461057571E-4</v>
      </c>
      <c r="DB5" s="7">
        <v>4.4160124984572238E-3</v>
      </c>
      <c r="DC5" s="7">
        <v>2.6999676534044229E-2</v>
      </c>
      <c r="DD5" s="7">
        <v>9.318786018478754E-3</v>
      </c>
      <c r="DE5" s="7">
        <v>-7.7970742974550434E-3</v>
      </c>
      <c r="DF5" s="7">
        <v>-8.1874226333864611E-3</v>
      </c>
      <c r="DG5" s="7">
        <v>4.7082207843577046E-3</v>
      </c>
      <c r="DH5" s="7">
        <v>-1.366700326533769E-2</v>
      </c>
      <c r="DI5" s="7">
        <v>-7.0506889413944297E-3</v>
      </c>
      <c r="DJ5" s="7">
        <v>-1.7588579481036151E-3</v>
      </c>
      <c r="DK5" s="7">
        <v>3.3090688344859318E-3</v>
      </c>
      <c r="DL5" s="7">
        <v>4.8628677609277044E-3</v>
      </c>
      <c r="DM5" s="7">
        <v>3.615095063496505E-3</v>
      </c>
      <c r="DN5" s="7">
        <v>6.2882035928106261E-3</v>
      </c>
      <c r="DO5" s="7">
        <v>3.5527335435835928E-3</v>
      </c>
      <c r="DP5" s="7">
        <v>2.5222760754322459E-3</v>
      </c>
      <c r="DQ5" s="7">
        <v>-1.066481554793703E-2</v>
      </c>
      <c r="DR5" s="7">
        <v>1.0994664104448231E-2</v>
      </c>
      <c r="DS5" s="7">
        <v>-6.4490210014508389E-4</v>
      </c>
      <c r="DT5" s="7">
        <v>2.3512508887306861E-4</v>
      </c>
      <c r="DU5" s="7">
        <v>7.3690345715555156E-3</v>
      </c>
      <c r="DV5" s="7">
        <v>6.7783151790338399E-3</v>
      </c>
      <c r="DW5" s="7">
        <v>-3.7712345710407022E-3</v>
      </c>
      <c r="DX5" s="7">
        <v>1.105501636716033E-3</v>
      </c>
      <c r="DY5" s="7">
        <v>3.3867890298772299E-3</v>
      </c>
      <c r="DZ5" s="7">
        <v>3.2550462209418539E-3</v>
      </c>
      <c r="EA5" s="7">
        <v>6.2664247918384338E-3</v>
      </c>
      <c r="EB5" s="7">
        <v>-1.711276767800882E-2</v>
      </c>
      <c r="EC5" s="7">
        <v>-2.0886644363588509E-2</v>
      </c>
      <c r="ED5" s="7">
        <v>-9.2848104822526711E-3</v>
      </c>
      <c r="EE5" s="7">
        <v>-1.1958726691457309E-2</v>
      </c>
      <c r="EF5" s="7">
        <v>-1.4122559209273111E-2</v>
      </c>
      <c r="EG5" s="1"/>
    </row>
    <row r="7" spans="1:137" x14ac:dyDescent="0.3">
      <c r="A7" t="s">
        <v>165</v>
      </c>
    </row>
    <row r="8" spans="1:137" x14ac:dyDescent="0.3"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1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42</v>
      </c>
      <c r="AR8" s="1" t="s">
        <v>43</v>
      </c>
      <c r="AS8" s="1" t="s">
        <v>44</v>
      </c>
      <c r="AT8" s="1" t="s">
        <v>45</v>
      </c>
      <c r="AU8" s="1" t="s">
        <v>46</v>
      </c>
      <c r="AV8" s="1" t="s">
        <v>47</v>
      </c>
      <c r="AW8" s="1" t="s">
        <v>48</v>
      </c>
      <c r="AX8" s="1" t="s">
        <v>49</v>
      </c>
      <c r="AY8" s="1" t="s">
        <v>50</v>
      </c>
      <c r="AZ8" s="1" t="s">
        <v>51</v>
      </c>
      <c r="BA8" s="1" t="s">
        <v>52</v>
      </c>
      <c r="BB8" s="1" t="s">
        <v>53</v>
      </c>
      <c r="BC8" s="1" t="s">
        <v>54</v>
      </c>
      <c r="BD8" s="1" t="s">
        <v>55</v>
      </c>
      <c r="BE8" s="1" t="s">
        <v>56</v>
      </c>
      <c r="BF8" s="1" t="s">
        <v>57</v>
      </c>
      <c r="BG8" s="1" t="s">
        <v>58</v>
      </c>
      <c r="BH8" s="1" t="s">
        <v>59</v>
      </c>
      <c r="BI8" s="1" t="s">
        <v>60</v>
      </c>
      <c r="BJ8" s="1" t="s">
        <v>61</v>
      </c>
      <c r="BK8" s="1" t="s">
        <v>62</v>
      </c>
      <c r="BL8" s="1" t="s">
        <v>63</v>
      </c>
      <c r="BM8" s="1" t="s">
        <v>64</v>
      </c>
      <c r="BN8" s="1" t="s">
        <v>65</v>
      </c>
      <c r="BO8" s="1" t="s">
        <v>66</v>
      </c>
      <c r="BP8" s="1" t="s">
        <v>67</v>
      </c>
      <c r="BQ8" s="1" t="s">
        <v>68</v>
      </c>
      <c r="BR8" s="1" t="s">
        <v>69</v>
      </c>
      <c r="BS8" s="1" t="s">
        <v>70</v>
      </c>
      <c r="BT8" s="1" t="s">
        <v>71</v>
      </c>
      <c r="BU8" s="1" t="s">
        <v>72</v>
      </c>
      <c r="BV8" s="1" t="s">
        <v>73</v>
      </c>
      <c r="BW8" s="1" t="s">
        <v>74</v>
      </c>
      <c r="BX8" s="1" t="s">
        <v>75</v>
      </c>
      <c r="BY8" s="1" t="s">
        <v>76</v>
      </c>
      <c r="BZ8" s="1" t="s">
        <v>77</v>
      </c>
      <c r="CA8" s="1" t="s">
        <v>78</v>
      </c>
      <c r="CB8" s="1" t="s">
        <v>79</v>
      </c>
      <c r="CC8" s="1" t="s">
        <v>80</v>
      </c>
      <c r="CD8" s="1" t="s">
        <v>81</v>
      </c>
      <c r="CE8" s="1" t="s">
        <v>82</v>
      </c>
      <c r="CF8" s="1" t="s">
        <v>83</v>
      </c>
      <c r="CG8" s="1" t="s">
        <v>84</v>
      </c>
      <c r="CH8" s="1" t="s">
        <v>85</v>
      </c>
      <c r="CI8" s="1" t="s">
        <v>86</v>
      </c>
      <c r="CJ8" s="1" t="s">
        <v>87</v>
      </c>
      <c r="CK8" s="1" t="s">
        <v>88</v>
      </c>
      <c r="CL8" s="1" t="s">
        <v>89</v>
      </c>
      <c r="CM8" s="1" t="s">
        <v>90</v>
      </c>
      <c r="CN8" s="1" t="s">
        <v>91</v>
      </c>
      <c r="CO8" s="1" t="s">
        <v>92</v>
      </c>
      <c r="CP8" s="1" t="s">
        <v>93</v>
      </c>
      <c r="CQ8" s="1" t="s">
        <v>94</v>
      </c>
      <c r="CR8" s="1" t="s">
        <v>95</v>
      </c>
      <c r="CS8" s="1" t="s">
        <v>96</v>
      </c>
      <c r="CT8" s="1" t="s">
        <v>97</v>
      </c>
      <c r="CU8" s="1" t="s">
        <v>98</v>
      </c>
      <c r="CV8" s="1" t="s">
        <v>99</v>
      </c>
      <c r="CW8" s="1" t="s">
        <v>100</v>
      </c>
      <c r="CX8" s="1" t="s">
        <v>101</v>
      </c>
      <c r="CY8" s="1" t="s">
        <v>102</v>
      </c>
      <c r="CZ8" s="1" t="s">
        <v>103</v>
      </c>
      <c r="DA8" s="1" t="s">
        <v>104</v>
      </c>
      <c r="DB8" s="1" t="s">
        <v>105</v>
      </c>
      <c r="DC8" s="1" t="s">
        <v>106</v>
      </c>
      <c r="DD8" s="1" t="s">
        <v>107</v>
      </c>
      <c r="DE8" s="1" t="s">
        <v>108</v>
      </c>
      <c r="DF8" s="1" t="s">
        <v>109</v>
      </c>
      <c r="DG8" s="1" t="s">
        <v>110</v>
      </c>
      <c r="DH8" s="1" t="s">
        <v>111</v>
      </c>
      <c r="DI8" s="1" t="s">
        <v>112</v>
      </c>
      <c r="DJ8" s="1" t="s">
        <v>113</v>
      </c>
      <c r="DK8" s="1" t="s">
        <v>114</v>
      </c>
      <c r="DL8" s="1" t="s">
        <v>115</v>
      </c>
      <c r="DM8" s="1" t="s">
        <v>116</v>
      </c>
      <c r="DN8" s="1" t="s">
        <v>117</v>
      </c>
      <c r="DO8" s="1" t="s">
        <v>118</v>
      </c>
      <c r="DP8" s="1" t="s">
        <v>119</v>
      </c>
      <c r="DQ8" s="1" t="s">
        <v>120</v>
      </c>
      <c r="DR8" s="1" t="s">
        <v>121</v>
      </c>
      <c r="DS8" s="1" t="s">
        <v>122</v>
      </c>
      <c r="DT8" s="1" t="s">
        <v>123</v>
      </c>
      <c r="DU8" s="1" t="s">
        <v>124</v>
      </c>
      <c r="DV8" s="1" t="s">
        <v>125</v>
      </c>
      <c r="DW8" s="1" t="s">
        <v>126</v>
      </c>
      <c r="DX8" s="1" t="s">
        <v>127</v>
      </c>
      <c r="DY8" s="1" t="s">
        <v>128</v>
      </c>
      <c r="DZ8" s="1" t="s">
        <v>129</v>
      </c>
      <c r="EA8" s="1" t="s">
        <v>130</v>
      </c>
      <c r="EB8" s="1" t="s">
        <v>131</v>
      </c>
      <c r="EC8" s="1" t="s">
        <v>132</v>
      </c>
      <c r="ED8" s="1" t="s">
        <v>133</v>
      </c>
      <c r="EE8" s="1" t="s">
        <v>134</v>
      </c>
      <c r="EF8" s="1" t="s">
        <v>135</v>
      </c>
    </row>
    <row r="9" spans="1:137" x14ac:dyDescent="0.3">
      <c r="B9" s="1" t="s">
        <v>137</v>
      </c>
      <c r="C9" s="9">
        <v>0.10910583</v>
      </c>
      <c r="D9" s="9">
        <v>1.457658E-2</v>
      </c>
      <c r="E9" s="9">
        <v>-3.6154400000000003E-2</v>
      </c>
      <c r="F9" s="9">
        <v>-4.7425999999999996E-3</v>
      </c>
      <c r="G9" s="9">
        <v>-5.7478E-3</v>
      </c>
      <c r="H9" s="9">
        <v>4.9378020000000002E-2</v>
      </c>
      <c r="I9" s="9">
        <v>0.18325177000000001</v>
      </c>
      <c r="J9" s="9">
        <v>0.11648631</v>
      </c>
      <c r="K9" s="9">
        <v>-3.0594900000000001E-2</v>
      </c>
      <c r="L9" s="9">
        <v>1.982805E-2</v>
      </c>
      <c r="M9" s="9">
        <v>-2.0999E-2</v>
      </c>
      <c r="N9" s="9">
        <v>0.14977942</v>
      </c>
      <c r="O9" s="9">
        <v>1.546341E-2</v>
      </c>
      <c r="P9" s="9">
        <v>-9.1792299999999993E-2</v>
      </c>
      <c r="Q9" s="9">
        <v>-7.7409000000000006E-2</v>
      </c>
      <c r="R9" s="9">
        <v>5.4776600000000002E-2</v>
      </c>
      <c r="S9" s="9">
        <v>-0.12533440000000001</v>
      </c>
      <c r="T9" s="9">
        <v>-0.1190534</v>
      </c>
      <c r="U9" s="9">
        <v>-3.7770100000000001E-2</v>
      </c>
      <c r="V9" s="9">
        <v>8.1183820000000004E-2</v>
      </c>
      <c r="W9" s="9">
        <v>8.4008970000000002E-2</v>
      </c>
      <c r="X9" s="9">
        <v>0.14701136000000001</v>
      </c>
      <c r="Y9" s="9">
        <v>-0.12536050000000001</v>
      </c>
      <c r="Z9" s="9">
        <v>0.19195355</v>
      </c>
      <c r="AA9" s="9">
        <v>-8.4370799999999996E-2</v>
      </c>
      <c r="AB9" s="9">
        <v>7.2897610000000002E-2</v>
      </c>
      <c r="AC9" s="9">
        <v>0.10260456</v>
      </c>
      <c r="AD9" s="9">
        <v>1.577017E-2</v>
      </c>
      <c r="AE9" s="9">
        <v>-0.15200720000000001</v>
      </c>
      <c r="AF9" s="9">
        <v>5.9250249999999997E-2</v>
      </c>
      <c r="AG9" s="9">
        <v>0.13005884000000001</v>
      </c>
      <c r="AH9" s="9">
        <v>0.11525639999999999</v>
      </c>
      <c r="AI9" s="9">
        <v>3.2606620000000003E-2</v>
      </c>
      <c r="AJ9" s="9">
        <v>2.7999110000000001E-2</v>
      </c>
      <c r="AK9" s="9">
        <v>0.14657042000000001</v>
      </c>
      <c r="AL9" s="9">
        <v>4.0841919999999997E-2</v>
      </c>
      <c r="AM9" s="9">
        <v>0.13137636999999999</v>
      </c>
      <c r="AN9" s="9">
        <v>0.22143296000000001</v>
      </c>
      <c r="AO9" s="9">
        <v>-2.0941000000000001E-2</v>
      </c>
      <c r="AP9" s="9">
        <v>-0.13716</v>
      </c>
      <c r="AQ9" s="9">
        <v>-2.4882899999999999E-2</v>
      </c>
      <c r="AR9" s="9">
        <v>1.551397E-2</v>
      </c>
      <c r="AS9" s="9">
        <v>3.4373040000000001E-2</v>
      </c>
      <c r="AT9" s="9">
        <v>6.3095689999999996E-2</v>
      </c>
      <c r="AU9" s="9">
        <v>4.3237699999999997E-2</v>
      </c>
      <c r="AV9" s="9">
        <v>-7.4230400000000002E-2</v>
      </c>
      <c r="AW9" s="9">
        <v>2.7994829999999998E-2</v>
      </c>
      <c r="AX9" s="9">
        <v>0.11986442</v>
      </c>
      <c r="AY9" s="9">
        <v>7.6559569999999993E-2</v>
      </c>
      <c r="AZ9" s="9">
        <v>-2.17304E-2</v>
      </c>
      <c r="BA9" s="9">
        <v>-1.2465E-3</v>
      </c>
      <c r="BB9" s="9">
        <v>0.10099582</v>
      </c>
      <c r="BC9" s="9">
        <v>2.9826930000000001E-2</v>
      </c>
      <c r="BD9" s="9">
        <v>8.6757699999999993E-3</v>
      </c>
      <c r="BE9" s="9">
        <v>6.8557209999999993E-2</v>
      </c>
      <c r="BF9" s="9">
        <v>0.15691260000000001</v>
      </c>
      <c r="BG9" s="9">
        <v>0.15920372999999999</v>
      </c>
      <c r="BH9" s="9">
        <v>6.1121670000000003E-2</v>
      </c>
      <c r="BI9" s="9">
        <v>9.6912849999999995E-2</v>
      </c>
      <c r="BJ9" s="9">
        <v>-5.4746200000000002E-2</v>
      </c>
      <c r="BK9" s="9">
        <v>-8.7493000000000001E-2</v>
      </c>
      <c r="BL9" s="9">
        <v>9.4426750000000004E-2</v>
      </c>
      <c r="BM9" s="9">
        <v>-2.2191099999999998E-2</v>
      </c>
      <c r="BN9" s="9">
        <v>1.5628610000000001E-2</v>
      </c>
      <c r="BO9" s="9">
        <v>8.1418240000000003E-2</v>
      </c>
      <c r="BP9" s="9">
        <v>-1.8508899999999998E-2</v>
      </c>
      <c r="BQ9" s="9">
        <v>6.8729570000000004E-2</v>
      </c>
      <c r="BR9" s="9">
        <v>3.1023600000000002E-3</v>
      </c>
      <c r="BS9" s="9">
        <v>7.4964420000000004E-2</v>
      </c>
      <c r="BT9" s="9">
        <v>4.520159E-2</v>
      </c>
      <c r="BU9" s="9">
        <v>2.5677330000000002E-2</v>
      </c>
      <c r="BV9" s="9">
        <v>9.1804029999999995E-2</v>
      </c>
      <c r="BW9" s="9">
        <v>-2.6353999999999999E-2</v>
      </c>
      <c r="BX9" s="9">
        <v>1.9394829999999998E-2</v>
      </c>
      <c r="BY9" s="9">
        <v>-7.6838900000000002E-2</v>
      </c>
      <c r="BZ9" s="9">
        <v>0.11330931</v>
      </c>
      <c r="CA9" s="9">
        <v>-0.1073549</v>
      </c>
      <c r="CB9" s="9">
        <v>4.0844789999999999E-2</v>
      </c>
      <c r="CC9" s="9">
        <v>-1.9801699999999998E-2</v>
      </c>
      <c r="CD9" s="9">
        <v>0.18837709</v>
      </c>
      <c r="CE9" s="9">
        <v>5.5574909999999998E-2</v>
      </c>
      <c r="CF9" s="9">
        <v>7.4872069999999999E-2</v>
      </c>
      <c r="CG9" s="9">
        <v>0.10000019</v>
      </c>
      <c r="CH9" s="9">
        <v>0.13602172000000001</v>
      </c>
      <c r="CI9" s="9">
        <v>-9.3741000000000005E-2</v>
      </c>
      <c r="CJ9" s="9">
        <v>3.9306000000000002E-3</v>
      </c>
      <c r="CK9" s="9">
        <v>5.6507780000000001E-2</v>
      </c>
      <c r="CL9" s="9">
        <v>0.26354578000000001</v>
      </c>
      <c r="CM9" s="9">
        <v>-9.5554000000000004E-3</v>
      </c>
      <c r="CN9" s="9">
        <v>-3.1511900000000002E-2</v>
      </c>
      <c r="CO9" s="9">
        <v>-2.2619E-2</v>
      </c>
      <c r="CP9" s="9">
        <v>0.13265561000000001</v>
      </c>
      <c r="CQ9" s="9">
        <v>0.13307278</v>
      </c>
      <c r="CR9" s="9">
        <v>-1.49564E-2</v>
      </c>
      <c r="CS9" s="9">
        <v>-3.3419900000000002E-2</v>
      </c>
      <c r="CT9" s="9">
        <v>1.2281210000000001E-2</v>
      </c>
      <c r="CU9" s="9">
        <v>0.11681498</v>
      </c>
      <c r="CV9" s="9">
        <v>-3.1589000000000001E-3</v>
      </c>
      <c r="CW9" s="9">
        <v>3.8217760000000003E-2</v>
      </c>
      <c r="CX9" s="9">
        <v>0.13917409</v>
      </c>
      <c r="CY9" s="9">
        <v>-2.3712299999999999E-2</v>
      </c>
      <c r="CZ9" s="9">
        <v>0.21835291000000001</v>
      </c>
      <c r="DA9" s="9">
        <v>-5.7967400000000002E-2</v>
      </c>
      <c r="DB9" s="9">
        <v>-1.4104200000000001E-2</v>
      </c>
      <c r="DC9" s="9">
        <v>0.11395608</v>
      </c>
      <c r="DD9" s="9">
        <v>7.4472259999999998E-2</v>
      </c>
      <c r="DE9" s="9">
        <v>-8.9970000000000002E-4</v>
      </c>
      <c r="DF9" s="9">
        <v>9.7707000000000002E-4</v>
      </c>
      <c r="DG9" s="9">
        <v>-7.2980100000000006E-2</v>
      </c>
      <c r="DH9" s="9">
        <v>-2.38453E-2</v>
      </c>
      <c r="DI9" s="9">
        <v>-0.1015307</v>
      </c>
      <c r="DJ9" s="9">
        <v>2.7692540000000002E-2</v>
      </c>
      <c r="DK9" s="9">
        <v>-4.9335200000000003E-2</v>
      </c>
      <c r="DL9" s="9">
        <v>-5.6994000000000003E-3</v>
      </c>
      <c r="DM9" s="9">
        <v>-3.6981800000000002E-2</v>
      </c>
      <c r="DN9" s="9">
        <v>0.10981299</v>
      </c>
      <c r="DO9" s="9">
        <v>4.2036829999999997E-2</v>
      </c>
      <c r="DP9" s="9">
        <v>8.4566669999999997E-2</v>
      </c>
      <c r="DQ9" s="9">
        <v>-0.1102798</v>
      </c>
      <c r="DR9" s="9">
        <v>9.4328709999999996E-2</v>
      </c>
      <c r="DS9" s="9">
        <v>-7.1906899999999996E-2</v>
      </c>
      <c r="DT9" s="9">
        <v>-9.62364E-2</v>
      </c>
      <c r="DU9" s="9">
        <v>2.3455500000000001E-3</v>
      </c>
      <c r="DV9" s="9">
        <v>0.13401742</v>
      </c>
      <c r="DW9" s="9">
        <v>9.4732520000000001E-2</v>
      </c>
      <c r="DX9" s="9">
        <v>-0.1037732</v>
      </c>
      <c r="DY9" s="9">
        <v>7.576215E-2</v>
      </c>
      <c r="DZ9" s="9">
        <v>-3.1829700000000002E-2</v>
      </c>
      <c r="EA9" s="9">
        <v>0.16130802</v>
      </c>
      <c r="EB9" s="9">
        <v>1.0203530000000001E-2</v>
      </c>
      <c r="EC9" s="9">
        <v>7.3988429999999994E-2</v>
      </c>
      <c r="ED9" s="9">
        <v>-0.15737689999999999</v>
      </c>
      <c r="EE9" s="9">
        <v>7.9137550000000001E-2</v>
      </c>
      <c r="EF9" s="9">
        <v>7.2528549999999997E-2</v>
      </c>
      <c r="EG9" s="10">
        <f>CORREL([1]bm補值!EG$2:EG$972,[1]下個月月報酬補值!EG$2:EG$972)</f>
        <v>0.14231065676311483</v>
      </c>
    </row>
    <row r="10" spans="1:137" x14ac:dyDescent="0.3">
      <c r="B10" s="1" t="s">
        <v>138</v>
      </c>
      <c r="C10" s="9">
        <v>-0.24758869999999999</v>
      </c>
      <c r="D10" s="9">
        <v>-0.27469329999999997</v>
      </c>
      <c r="E10" s="9">
        <v>-8.4648399999999999E-2</v>
      </c>
      <c r="F10" s="9">
        <v>2.2644629999999999E-2</v>
      </c>
      <c r="G10" s="9">
        <v>-4.9680000000000002E-2</v>
      </c>
      <c r="H10" s="9">
        <v>-0.1007596</v>
      </c>
      <c r="I10" s="9">
        <v>-1.2522699999999999E-2</v>
      </c>
      <c r="J10" s="9">
        <v>7.8736539999999994E-2</v>
      </c>
      <c r="K10" s="9">
        <v>-3.4185100000000003E-2</v>
      </c>
      <c r="L10" s="9">
        <v>8.8406789999999999E-2</v>
      </c>
      <c r="M10" s="9">
        <v>-3.0634999999999998E-3</v>
      </c>
      <c r="N10" s="9">
        <v>-0.21221799999999999</v>
      </c>
      <c r="O10" s="9">
        <v>-3.6805400000000002E-2</v>
      </c>
      <c r="P10" s="9">
        <v>7.1033120000000005E-2</v>
      </c>
      <c r="Q10" s="9">
        <v>-7.1261099999999994E-2</v>
      </c>
      <c r="R10" s="9">
        <v>2.1560449999999998E-2</v>
      </c>
      <c r="S10" s="9">
        <v>0.10111125999999999</v>
      </c>
      <c r="T10" s="9">
        <v>4.3224730000000003E-2</v>
      </c>
      <c r="U10" s="9">
        <v>1.488195E-2</v>
      </c>
      <c r="V10" s="9">
        <v>6.3260199999999999E-3</v>
      </c>
      <c r="W10" s="9">
        <v>-0.14355299999999999</v>
      </c>
      <c r="X10" s="9">
        <v>-6.4282199999999998E-2</v>
      </c>
      <c r="Y10" s="9">
        <v>-1.9034200000000001E-2</v>
      </c>
      <c r="Z10" s="9">
        <v>-2.0644599999999999E-2</v>
      </c>
      <c r="AA10" s="9">
        <v>3.3059529999999997E-2</v>
      </c>
      <c r="AB10" s="9">
        <v>-1.94182E-2</v>
      </c>
      <c r="AC10" s="9">
        <v>-6.3126799999999997E-2</v>
      </c>
      <c r="AD10" s="9">
        <v>-6.5629699999999999E-2</v>
      </c>
      <c r="AE10" s="9">
        <v>0.13799568000000001</v>
      </c>
      <c r="AF10" s="9">
        <v>-0.1005679</v>
      </c>
      <c r="AG10" s="9">
        <v>-3.7969099999999999E-2</v>
      </c>
      <c r="AH10" s="9">
        <v>-4.5839499999999998E-2</v>
      </c>
      <c r="AI10" s="9">
        <v>-5.1034099999999999E-2</v>
      </c>
      <c r="AJ10" s="9">
        <v>-3.2204E-3</v>
      </c>
      <c r="AK10" s="9">
        <v>4.8952000000000002E-4</v>
      </c>
      <c r="AL10" s="9">
        <v>-0.10644670000000001</v>
      </c>
      <c r="AM10" s="9">
        <v>-1.3724E-2</v>
      </c>
      <c r="AN10" s="9">
        <v>-0.1219647</v>
      </c>
      <c r="AO10" s="9">
        <v>-4.85897E-2</v>
      </c>
      <c r="AP10" s="9">
        <v>-1.9032000000000001E-3</v>
      </c>
      <c r="AQ10" s="9">
        <v>2.9067490000000001E-2</v>
      </c>
      <c r="AR10" s="9">
        <v>5.2635769999999998E-2</v>
      </c>
      <c r="AS10" s="9">
        <v>-1.28933E-2</v>
      </c>
      <c r="AT10" s="9">
        <v>-2.1310999999999999E-3</v>
      </c>
      <c r="AU10" s="9">
        <v>-0.15538440000000001</v>
      </c>
      <c r="AV10" s="9">
        <v>1.268178E-2</v>
      </c>
      <c r="AW10" s="9">
        <v>-1.1942299999999999E-2</v>
      </c>
      <c r="AX10" s="9">
        <v>-4.2538000000000003E-3</v>
      </c>
      <c r="AY10" s="9">
        <v>2.930087E-2</v>
      </c>
      <c r="AZ10" s="9">
        <v>-0.13412750000000001</v>
      </c>
      <c r="BA10" s="9">
        <v>-0.1371115</v>
      </c>
      <c r="BB10" s="9">
        <v>1.7546599999999999E-3</v>
      </c>
      <c r="BC10" s="9">
        <v>2.511712E-2</v>
      </c>
      <c r="BD10" s="9">
        <v>-0.1196019</v>
      </c>
      <c r="BE10" s="9">
        <v>0.13576165000000001</v>
      </c>
      <c r="BF10" s="9">
        <v>4.7091170000000002E-2</v>
      </c>
      <c r="BG10" s="9">
        <v>-2.60501E-2</v>
      </c>
      <c r="BH10" s="9">
        <v>4.3752760000000002E-2</v>
      </c>
      <c r="BI10" s="9">
        <v>-8.13918E-2</v>
      </c>
      <c r="BJ10" s="9">
        <v>-0.1006008</v>
      </c>
      <c r="BK10" s="9">
        <v>9.0490070000000006E-2</v>
      </c>
      <c r="BL10" s="9">
        <v>-3.0898499999999999E-2</v>
      </c>
      <c r="BM10" s="9">
        <v>5.8814169999999999E-2</v>
      </c>
      <c r="BN10" s="9">
        <v>8.1345630000000002E-2</v>
      </c>
      <c r="BO10" s="9">
        <v>-7.7164E-3</v>
      </c>
      <c r="BP10" s="9">
        <v>0.10673487</v>
      </c>
      <c r="BQ10" s="9">
        <v>-2.7156300000000001E-2</v>
      </c>
      <c r="BR10" s="9">
        <v>-5.4431E-2</v>
      </c>
      <c r="BS10" s="9">
        <v>-6.8229300000000007E-2</v>
      </c>
      <c r="BT10" s="9">
        <v>9.861222E-2</v>
      </c>
      <c r="BU10" s="9">
        <v>0.12839854000000001</v>
      </c>
      <c r="BV10" s="9">
        <v>-7.84025E-2</v>
      </c>
      <c r="BW10" s="9">
        <v>-0.1191337</v>
      </c>
      <c r="BX10" s="9">
        <v>-4.6890099999999997E-2</v>
      </c>
      <c r="BY10" s="9">
        <v>0.10169835000000001</v>
      </c>
      <c r="BZ10" s="9">
        <v>-2.5680100000000001E-2</v>
      </c>
      <c r="CA10" s="9">
        <v>-8.3301799999999995E-2</v>
      </c>
      <c r="CB10" s="9">
        <v>-0.15782760000000001</v>
      </c>
      <c r="CC10" s="9">
        <v>-7.1052599999999994E-2</v>
      </c>
      <c r="CD10" s="9">
        <v>-7.3875499999999997E-2</v>
      </c>
      <c r="CE10" s="9">
        <v>-0.23678650000000001</v>
      </c>
      <c r="CF10" s="9">
        <v>3.2627709999999997E-2</v>
      </c>
      <c r="CG10" s="9">
        <v>1.342309E-2</v>
      </c>
      <c r="CH10" s="9">
        <v>-2.7967000000000001E-3</v>
      </c>
      <c r="CI10" s="9">
        <v>4.7925700000000002E-2</v>
      </c>
      <c r="CJ10" s="9">
        <v>-3.2520000000000001E-3</v>
      </c>
      <c r="CK10" s="9">
        <v>-7.5708200000000003E-2</v>
      </c>
      <c r="CL10" s="9">
        <v>-4.4397300000000001E-2</v>
      </c>
      <c r="CM10" s="9">
        <v>0.17898859</v>
      </c>
      <c r="CN10" s="9">
        <v>5.7994270000000001E-2</v>
      </c>
      <c r="CO10" s="9">
        <v>-0.13939019999999999</v>
      </c>
      <c r="CP10" s="9">
        <v>6.4714670000000002E-2</v>
      </c>
      <c r="CQ10" s="9">
        <v>-0.18118790000000001</v>
      </c>
      <c r="CR10" s="9">
        <v>-8.8633500000000004E-2</v>
      </c>
      <c r="CS10" s="9">
        <v>-2.5321799999999998E-2</v>
      </c>
      <c r="CT10" s="9">
        <v>-0.1130791</v>
      </c>
      <c r="CU10" s="9">
        <v>8.0959599999999993E-3</v>
      </c>
      <c r="CV10" s="9">
        <v>-4.5200200000000003E-2</v>
      </c>
      <c r="CW10" s="9">
        <v>-5.8941199999999999E-2</v>
      </c>
      <c r="CX10" s="9">
        <v>-0.1077283</v>
      </c>
      <c r="CY10" s="9">
        <v>-9.6503500000000006E-2</v>
      </c>
      <c r="CZ10" s="9">
        <v>-0.21035429999999999</v>
      </c>
      <c r="DA10" s="9">
        <v>-0.10996110000000001</v>
      </c>
      <c r="DB10" s="9">
        <v>-0.1908205</v>
      </c>
      <c r="DC10" s="9">
        <v>-2.0727300000000001E-2</v>
      </c>
      <c r="DD10" s="9">
        <v>8.7029090000000003E-2</v>
      </c>
      <c r="DE10" s="9">
        <v>8.2024589999999994E-2</v>
      </c>
      <c r="DF10" s="9">
        <v>-0.16687669999999999</v>
      </c>
      <c r="DG10" s="9">
        <v>0.22243809</v>
      </c>
      <c r="DH10" s="9">
        <v>-0.1442978</v>
      </c>
      <c r="DI10" s="9">
        <v>-0.1196199</v>
      </c>
      <c r="DJ10" s="9">
        <v>-0.1015928</v>
      </c>
      <c r="DK10" s="9">
        <v>9.2855060000000003E-2</v>
      </c>
      <c r="DL10" s="9">
        <v>-4.2630500000000002E-2</v>
      </c>
      <c r="DM10" s="9">
        <v>8.2732070000000005E-2</v>
      </c>
      <c r="DN10" s="9">
        <v>-3.1049500000000001E-2</v>
      </c>
      <c r="DO10" s="9">
        <v>-9.8141999999999993E-2</v>
      </c>
      <c r="DP10" s="9">
        <v>-0.13058890000000001</v>
      </c>
      <c r="DQ10" s="9">
        <v>4.865572E-2</v>
      </c>
      <c r="DR10" s="9">
        <v>-3.9251899999999999E-2</v>
      </c>
      <c r="DS10" s="9">
        <v>-0.16103020000000001</v>
      </c>
      <c r="DT10" s="9">
        <v>-7.8883999999999996E-2</v>
      </c>
      <c r="DU10" s="9">
        <v>0.16407715</v>
      </c>
      <c r="DV10" s="9">
        <v>7.5052599999999997E-3</v>
      </c>
      <c r="DW10" s="9">
        <v>-0.1016452</v>
      </c>
      <c r="DX10" s="9">
        <v>-5.6040300000000001E-2</v>
      </c>
      <c r="DY10" s="9">
        <v>-0.10665669999999999</v>
      </c>
      <c r="DZ10" s="9">
        <v>-6.9186600000000001E-2</v>
      </c>
      <c r="EA10" s="9">
        <v>-0.12618869999999999</v>
      </c>
      <c r="EB10" s="9">
        <v>-6.4737100000000006E-2</v>
      </c>
      <c r="EC10" s="9">
        <v>5.1426090000000001E-2</v>
      </c>
      <c r="ED10" s="9">
        <v>3.4496730000000003E-2</v>
      </c>
      <c r="EE10" s="9">
        <v>0.1576776</v>
      </c>
      <c r="EF10" s="9">
        <v>-0.12717999999999999</v>
      </c>
      <c r="EG10" s="10">
        <f>CORREL([2]size補值!EG$2:EG$965,[2]下個月月報酬補值!EG$2:EG$965)</f>
        <v>-0.15895948868776608</v>
      </c>
    </row>
    <row r="11" spans="1:137" x14ac:dyDescent="0.3">
      <c r="B11" s="1" t="s">
        <v>139</v>
      </c>
      <c r="C11" s="9">
        <v>-5.4239999999999997E-2</v>
      </c>
      <c r="D11" s="9">
        <v>4.5377000000000001E-2</v>
      </c>
      <c r="E11" s="9">
        <v>-1.7749999999999998E-2</v>
      </c>
      <c r="F11" s="9">
        <v>-8.7690000000000004E-2</v>
      </c>
      <c r="G11" s="9">
        <v>0.102759</v>
      </c>
      <c r="H11" s="9">
        <v>2.5110000000000002E-3</v>
      </c>
      <c r="I11" s="9">
        <v>-1.83E-2</v>
      </c>
      <c r="J11" s="9">
        <v>2.2110999999999999E-2</v>
      </c>
      <c r="K11" s="9">
        <v>7.7257999999999993E-2</v>
      </c>
      <c r="L11" s="9">
        <v>9.3439999999999999E-3</v>
      </c>
      <c r="M11" s="9">
        <v>5.3601999999999997E-2</v>
      </c>
      <c r="N11" s="9">
        <v>-6.7879999999999996E-2</v>
      </c>
      <c r="O11" s="9">
        <v>6.4930000000000002E-2</v>
      </c>
      <c r="P11" s="9">
        <v>4.8809999999999999E-3</v>
      </c>
      <c r="Q11" s="9">
        <v>1.9198E-2</v>
      </c>
      <c r="R11" s="9">
        <v>-5.47E-3</v>
      </c>
      <c r="S11" s="9">
        <v>3.6551E-2</v>
      </c>
      <c r="T11" s="9">
        <v>0.12918499999999999</v>
      </c>
      <c r="U11" s="9">
        <v>1.3691999999999999E-2</v>
      </c>
      <c r="V11" s="9">
        <v>1.5295E-2</v>
      </c>
      <c r="W11" s="9">
        <v>-0.10469000000000001</v>
      </c>
      <c r="X11" s="9">
        <v>-0.29385</v>
      </c>
      <c r="Y11" s="9">
        <v>5.9212000000000001E-2</v>
      </c>
      <c r="Z11" s="9">
        <v>-0.18495</v>
      </c>
      <c r="AA11" s="9">
        <v>9.8247000000000001E-2</v>
      </c>
      <c r="AB11" s="9">
        <v>-6.6E-4</v>
      </c>
      <c r="AC11" s="9">
        <v>-0.10369</v>
      </c>
      <c r="AD11" s="9">
        <v>3.545E-3</v>
      </c>
      <c r="AE11" s="9">
        <v>0.17560100000000001</v>
      </c>
      <c r="AF11" s="9">
        <v>-0.15503</v>
      </c>
      <c r="AG11" s="9">
        <v>-2.6329999999999999E-2</v>
      </c>
      <c r="AH11" s="9">
        <v>-5.0000000000000001E-3</v>
      </c>
      <c r="AI11" s="9">
        <v>2.8067999999999999E-2</v>
      </c>
      <c r="AJ11" s="9">
        <v>-2.2380000000000001E-2</v>
      </c>
      <c r="AK11" s="9">
        <v>-4.7019999999999999E-2</v>
      </c>
      <c r="AL11" s="9">
        <v>-0.10156</v>
      </c>
      <c r="AM11" s="9">
        <v>2.3525000000000001E-2</v>
      </c>
      <c r="AN11" s="9">
        <v>5.2525000000000002E-2</v>
      </c>
      <c r="AO11" s="9">
        <v>5.8502999999999999E-2</v>
      </c>
      <c r="AP11" s="9">
        <v>3.3446999999999998E-2</v>
      </c>
      <c r="AQ11" s="9">
        <v>1.43E-2</v>
      </c>
      <c r="AR11" s="9">
        <v>3.5903999999999998E-2</v>
      </c>
      <c r="AS11" s="9">
        <v>3.9781999999999998E-2</v>
      </c>
      <c r="AT11" s="9">
        <v>0.148456</v>
      </c>
      <c r="AU11" s="9">
        <v>-4.079E-2</v>
      </c>
      <c r="AV11" s="9">
        <v>0.138959</v>
      </c>
      <c r="AW11" s="9">
        <v>5.9863E-2</v>
      </c>
      <c r="AX11" s="9">
        <v>-0.14979000000000001</v>
      </c>
      <c r="AY11" s="9">
        <v>6.1595999999999998E-2</v>
      </c>
      <c r="AZ11" s="9">
        <v>-6.1949999999999998E-2</v>
      </c>
      <c r="BA11" s="9">
        <v>-2.3900000000000002E-3</v>
      </c>
      <c r="BB11" s="9">
        <v>-0.14887</v>
      </c>
      <c r="BC11" s="9">
        <v>6.0351000000000002E-2</v>
      </c>
      <c r="BD11" s="9">
        <v>-1.469E-2</v>
      </c>
      <c r="BE11" s="9">
        <v>-0.14652000000000001</v>
      </c>
      <c r="BF11" s="9">
        <v>-0.20876</v>
      </c>
      <c r="BG11" s="9">
        <v>-0.20144000000000001</v>
      </c>
      <c r="BH11" s="9">
        <v>-0.11805</v>
      </c>
      <c r="BI11" s="9">
        <v>-7.7030000000000001E-2</v>
      </c>
      <c r="BJ11" s="9">
        <v>-3.6220000000000002E-2</v>
      </c>
      <c r="BK11" s="9">
        <v>-1.891E-2</v>
      </c>
      <c r="BL11" s="9">
        <v>-0.17126</v>
      </c>
      <c r="BM11" s="9">
        <v>0.13291700000000001</v>
      </c>
      <c r="BN11" s="9">
        <v>-3.5909999999999997E-2</v>
      </c>
      <c r="BO11" s="9">
        <v>2.1344999999999999E-2</v>
      </c>
      <c r="BP11" s="9">
        <v>4.9634999999999999E-2</v>
      </c>
      <c r="BQ11" s="9">
        <v>-1.721E-2</v>
      </c>
      <c r="BR11" s="9">
        <v>0.189827</v>
      </c>
      <c r="BS11" s="9">
        <v>-9.7610000000000002E-2</v>
      </c>
      <c r="BT11" s="9">
        <v>3.7830999999999997E-2</v>
      </c>
      <c r="BU11" s="9">
        <v>5.6008000000000002E-2</v>
      </c>
      <c r="BV11" s="9">
        <v>-0.11674</v>
      </c>
      <c r="BW11" s="9">
        <v>-0.14132</v>
      </c>
      <c r="BX11" s="9">
        <v>-3.3800000000000002E-3</v>
      </c>
      <c r="BY11" s="9">
        <v>0.13033600000000001</v>
      </c>
      <c r="BZ11" s="9">
        <v>3.1697999999999997E-2</v>
      </c>
      <c r="CA11" s="9">
        <v>4.0555000000000001E-2</v>
      </c>
      <c r="CB11" s="9">
        <v>-4.2040000000000001E-2</v>
      </c>
      <c r="CC11" s="9">
        <v>5.0014000000000003E-2</v>
      </c>
      <c r="CD11" s="9">
        <v>-6.8459999999999993E-2</v>
      </c>
      <c r="CE11" s="9">
        <v>-8.0829999999999999E-2</v>
      </c>
      <c r="CF11" s="9">
        <v>-1.9499999999999999E-3</v>
      </c>
      <c r="CG11" s="9">
        <v>-0.11821</v>
      </c>
      <c r="CH11" s="9">
        <v>-3.6720000000000003E-2</v>
      </c>
      <c r="CI11" s="9">
        <v>-8.3330000000000001E-2</v>
      </c>
      <c r="CJ11" s="9">
        <v>0.23067299999999999</v>
      </c>
      <c r="CK11" s="9">
        <v>0.13277900000000001</v>
      </c>
      <c r="CL11" s="9">
        <v>0.141287</v>
      </c>
      <c r="CM11" s="9">
        <v>-0.11269</v>
      </c>
      <c r="CN11" s="9">
        <v>0.22348899999999999</v>
      </c>
      <c r="CO11" s="9">
        <v>-0.10442</v>
      </c>
      <c r="CP11" s="9">
        <v>-1.443E-2</v>
      </c>
      <c r="CQ11" s="9">
        <v>-0.20723</v>
      </c>
      <c r="CR11" s="9">
        <v>-0.13486000000000001</v>
      </c>
      <c r="CS11" s="9">
        <v>7.3008000000000003E-2</v>
      </c>
      <c r="CT11" s="9">
        <v>-3.022E-2</v>
      </c>
      <c r="CU11" s="9">
        <v>-0.28688999999999998</v>
      </c>
      <c r="CV11" s="9">
        <v>0.23073099999999999</v>
      </c>
      <c r="CW11" s="9">
        <v>9.1076000000000004E-2</v>
      </c>
      <c r="CX11" s="9">
        <v>-0.12249</v>
      </c>
      <c r="CY11" s="9">
        <v>7.8381999999999993E-2</v>
      </c>
      <c r="CZ11" s="9">
        <v>-4.5949999999999998E-2</v>
      </c>
      <c r="DA11" s="9">
        <v>8.2669999999999993E-2</v>
      </c>
      <c r="DB11" s="9">
        <v>0.14934900000000001</v>
      </c>
      <c r="DC11" s="9">
        <v>-4.7800000000000002E-2</v>
      </c>
      <c r="DD11" s="9">
        <v>-0.16450999999999999</v>
      </c>
      <c r="DE11" s="9">
        <v>-0.11057</v>
      </c>
      <c r="DF11" s="9">
        <v>5.7417000000000003E-2</v>
      </c>
      <c r="DG11" s="9">
        <v>-0.21489</v>
      </c>
      <c r="DH11" s="9">
        <v>6.2996999999999997E-2</v>
      </c>
      <c r="DI11" s="9">
        <v>6.7721000000000003E-2</v>
      </c>
      <c r="DJ11" s="9">
        <v>0.118802</v>
      </c>
      <c r="DK11" s="9">
        <v>7.2830000000000004E-3</v>
      </c>
      <c r="DL11" s="9">
        <v>7.1320999999999996E-2</v>
      </c>
      <c r="DM11" s="9">
        <v>2.1021999999999999E-2</v>
      </c>
      <c r="DN11" s="9">
        <v>-3.04E-2</v>
      </c>
      <c r="DO11" s="9">
        <v>-9.6949999999999995E-2</v>
      </c>
      <c r="DP11" s="9">
        <v>-0.23068</v>
      </c>
      <c r="DQ11" s="9">
        <v>0.23818400000000001</v>
      </c>
      <c r="DR11" s="9">
        <v>3.5750000000000001E-3</v>
      </c>
      <c r="DS11" s="9">
        <v>0.13395599999999999</v>
      </c>
      <c r="DT11" s="9">
        <v>0.115106</v>
      </c>
      <c r="DU11" s="9">
        <v>0.10408000000000001</v>
      </c>
      <c r="DV11" s="9">
        <v>-5.4609999999999999E-2</v>
      </c>
      <c r="DW11" s="9">
        <v>-3.329E-2</v>
      </c>
      <c r="DX11" s="9">
        <v>5.5094999999999998E-2</v>
      </c>
      <c r="DY11" s="9">
        <v>6.8793999999999994E-2</v>
      </c>
      <c r="DZ11" s="9">
        <v>1.4481000000000001E-2</v>
      </c>
      <c r="EA11" s="9">
        <v>-0.29314000000000001</v>
      </c>
      <c r="EB11" s="9">
        <v>-0.14097999999999999</v>
      </c>
      <c r="EC11" s="9">
        <v>-1.221E-2</v>
      </c>
      <c r="ED11" s="9">
        <v>5.8167999999999997E-2</v>
      </c>
      <c r="EE11" s="9">
        <v>-0.1444</v>
      </c>
      <c r="EF11" s="9">
        <v>-9.7009999999999999E-2</v>
      </c>
      <c r="EG11" s="10"/>
    </row>
    <row r="13" spans="1:137" x14ac:dyDescent="0.3">
      <c r="A13" t="s">
        <v>166</v>
      </c>
      <c r="B13" s="1" t="s">
        <v>137</v>
      </c>
      <c r="C13" s="7">
        <f t="shared" ref="C13:AH13" si="0">(C3-C9)^2</f>
        <v>5.1996813799186142E-3</v>
      </c>
      <c r="D13" s="7">
        <f t="shared" si="0"/>
        <v>3.5048473353152922E-4</v>
      </c>
      <c r="E13" s="7">
        <f t="shared" si="0"/>
        <v>2.6600877303294369E-3</v>
      </c>
      <c r="F13" s="7">
        <f t="shared" si="0"/>
        <v>4.4942230431208193E-4</v>
      </c>
      <c r="G13" s="7">
        <f t="shared" si="0"/>
        <v>5.2780517845682137E-4</v>
      </c>
      <c r="H13" s="7">
        <f t="shared" si="0"/>
        <v>4.249333666010586E-4</v>
      </c>
      <c r="I13" s="7">
        <f t="shared" si="0"/>
        <v>2.5272237243023361E-2</v>
      </c>
      <c r="J13" s="7">
        <f t="shared" si="0"/>
        <v>7.9512695322386199E-3</v>
      </c>
      <c r="K13" s="7">
        <f t="shared" si="0"/>
        <v>3.6928597738125064E-3</v>
      </c>
      <c r="L13" s="7">
        <f t="shared" si="0"/>
        <v>2.9249135631848184E-5</v>
      </c>
      <c r="M13" s="7">
        <f t="shared" si="0"/>
        <v>2.8867091128506918E-3</v>
      </c>
      <c r="N13" s="7">
        <f t="shared" si="0"/>
        <v>1.3977069901561058E-2</v>
      </c>
      <c r="O13" s="7">
        <f t="shared" si="0"/>
        <v>3.448408774114424E-4</v>
      </c>
      <c r="P13" s="7">
        <f t="shared" si="0"/>
        <v>1.562630280277811E-2</v>
      </c>
      <c r="Q13" s="7">
        <f t="shared" si="0"/>
        <v>1.1344877534616517E-2</v>
      </c>
      <c r="R13" s="7">
        <f t="shared" si="0"/>
        <v>8.0105680235926418E-4</v>
      </c>
      <c r="S13" s="7">
        <f t="shared" si="0"/>
        <v>2.3602098852003491E-2</v>
      </c>
      <c r="T13" s="7">
        <f t="shared" si="0"/>
        <v>2.0071558564657716E-2</v>
      </c>
      <c r="U13" s="7">
        <f t="shared" si="0"/>
        <v>2.9067309283588561E-3</v>
      </c>
      <c r="V13" s="7">
        <f t="shared" si="0"/>
        <v>3.1528946158744038E-3</v>
      </c>
      <c r="W13" s="7">
        <f t="shared" si="0"/>
        <v>1.4611448880293581E-3</v>
      </c>
      <c r="X13" s="7">
        <f t="shared" si="0"/>
        <v>1.0806339754763725E-2</v>
      </c>
      <c r="Y13" s="7">
        <f t="shared" si="0"/>
        <v>2.6616697436949232E-2</v>
      </c>
      <c r="Z13" s="7">
        <f t="shared" si="0"/>
        <v>2.8175668770913827E-2</v>
      </c>
      <c r="AA13" s="7">
        <f t="shared" si="0"/>
        <v>1.3102288161996168E-2</v>
      </c>
      <c r="AB13" s="7">
        <f t="shared" si="0"/>
        <v>2.0079851069904871E-3</v>
      </c>
      <c r="AC13" s="7">
        <f t="shared" si="0"/>
        <v>4.738049785213477E-3</v>
      </c>
      <c r="AD13" s="7">
        <f t="shared" si="0"/>
        <v>3.3714592500825533E-4</v>
      </c>
      <c r="AE13" s="7">
        <f t="shared" si="0"/>
        <v>3.4651304458888248E-2</v>
      </c>
      <c r="AF13" s="7">
        <f t="shared" si="0"/>
        <v>2.1281899312767453E-3</v>
      </c>
      <c r="AG13" s="7">
        <f t="shared" si="0"/>
        <v>1.106735265388672E-2</v>
      </c>
      <c r="AH13" s="7">
        <f t="shared" si="0"/>
        <v>6.9508830453818516E-3</v>
      </c>
      <c r="AI13" s="7">
        <f t="shared" ref="AI13:BN13" si="1">(AI3-AI9)^2</f>
        <v>1.428190816057953E-5</v>
      </c>
      <c r="AJ13" s="7">
        <f t="shared" si="1"/>
        <v>6.319946996907329E-5</v>
      </c>
      <c r="AK13" s="7">
        <f t="shared" si="1"/>
        <v>1.0627051012025795E-2</v>
      </c>
      <c r="AL13" s="7">
        <f t="shared" si="1"/>
        <v>5.6636500009581251E-6</v>
      </c>
      <c r="AM13" s="7">
        <f t="shared" si="1"/>
        <v>8.4577683009452887E-3</v>
      </c>
      <c r="AN13" s="7">
        <f t="shared" si="1"/>
        <v>2.9134850613342721E-2</v>
      </c>
      <c r="AO13" s="7">
        <f t="shared" si="1"/>
        <v>5.5690117600416585E-3</v>
      </c>
      <c r="AP13" s="7">
        <f t="shared" si="1"/>
        <v>3.4772888090034586E-2</v>
      </c>
      <c r="AQ13" s="7">
        <f t="shared" si="1"/>
        <v>3.3242821077860275E-3</v>
      </c>
      <c r="AR13" s="7">
        <f t="shared" si="1"/>
        <v>1.6336343510028715E-4</v>
      </c>
      <c r="AS13" s="7">
        <f t="shared" si="1"/>
        <v>3.5942871483349788E-5</v>
      </c>
      <c r="AT13" s="7">
        <f t="shared" si="1"/>
        <v>1.6021175433399901E-3</v>
      </c>
      <c r="AU13" s="7">
        <f t="shared" si="1"/>
        <v>1.9156406625396089E-4</v>
      </c>
      <c r="AV13" s="7">
        <f t="shared" si="1"/>
        <v>1.1081404926974067E-2</v>
      </c>
      <c r="AW13" s="7">
        <f t="shared" si="1"/>
        <v>2.879489779995489E-6</v>
      </c>
      <c r="AX13" s="7">
        <f t="shared" si="1"/>
        <v>8.7796166595132258E-3</v>
      </c>
      <c r="AY13" s="7">
        <f t="shared" si="1"/>
        <v>1.9807650166994363E-3</v>
      </c>
      <c r="AZ13" s="7">
        <f t="shared" si="1"/>
        <v>3.1593314819808047E-3</v>
      </c>
      <c r="BA13" s="7">
        <f t="shared" si="1"/>
        <v>9.3503798071668137E-4</v>
      </c>
      <c r="BB13" s="7">
        <f t="shared" si="1"/>
        <v>4.4450052281279333E-3</v>
      </c>
      <c r="BC13" s="7">
        <f t="shared" si="1"/>
        <v>5.7681700020622434E-5</v>
      </c>
      <c r="BD13" s="7">
        <f t="shared" si="1"/>
        <v>5.1701448172159718E-4</v>
      </c>
      <c r="BE13" s="7">
        <f t="shared" si="1"/>
        <v>1.3359609029332763E-3</v>
      </c>
      <c r="BF13" s="7">
        <f t="shared" si="1"/>
        <v>1.6545875574042614E-2</v>
      </c>
      <c r="BG13" s="7">
        <f t="shared" si="1"/>
        <v>1.3947679273956598E-2</v>
      </c>
      <c r="BH13" s="7">
        <f t="shared" si="1"/>
        <v>2.5353844699813971E-4</v>
      </c>
      <c r="BI13" s="7">
        <f t="shared" si="1"/>
        <v>3.0608345589578528E-3</v>
      </c>
      <c r="BJ13" s="7">
        <f t="shared" si="1"/>
        <v>9.1144456194463958E-3</v>
      </c>
      <c r="BK13" s="7">
        <f t="shared" si="1"/>
        <v>1.5331565763291767E-2</v>
      </c>
      <c r="BL13" s="7">
        <f t="shared" si="1"/>
        <v>3.3934770021981134E-3</v>
      </c>
      <c r="BM13" s="7">
        <f t="shared" si="1"/>
        <v>3.5879726004166956E-3</v>
      </c>
      <c r="BN13" s="7">
        <f t="shared" si="1"/>
        <v>2.3059722750382752E-4</v>
      </c>
      <c r="BO13" s="7">
        <f t="shared" ref="BO13:CT13" si="2">(BO3-BO9)^2</f>
        <v>2.5768196525653136E-3</v>
      </c>
      <c r="BP13" s="7">
        <f t="shared" si="2"/>
        <v>2.7993127472971347E-3</v>
      </c>
      <c r="BQ13" s="7">
        <f t="shared" si="2"/>
        <v>1.1465619014837207E-3</v>
      </c>
      <c r="BR13" s="7">
        <f t="shared" si="2"/>
        <v>1.1036800119850543E-3</v>
      </c>
      <c r="BS13" s="7">
        <f t="shared" si="2"/>
        <v>1.5054362677075022E-3</v>
      </c>
      <c r="BT13" s="7">
        <f t="shared" si="2"/>
        <v>4.2676104531932104E-5</v>
      </c>
      <c r="BU13" s="7">
        <f t="shared" si="2"/>
        <v>2.3796622565370565E-4</v>
      </c>
      <c r="BV13" s="7">
        <f t="shared" si="2"/>
        <v>3.9841213406552863E-3</v>
      </c>
      <c r="BW13" s="7">
        <f t="shared" si="2"/>
        <v>3.7909276846222169E-3</v>
      </c>
      <c r="BX13" s="7">
        <f t="shared" si="2"/>
        <v>4.5677820231987691E-4</v>
      </c>
      <c r="BY13" s="7">
        <f t="shared" si="2"/>
        <v>9.6909135501075435E-3</v>
      </c>
      <c r="BZ13" s="7">
        <f t="shared" si="2"/>
        <v>6.8683719042463651E-3</v>
      </c>
      <c r="CA13" s="7">
        <f t="shared" si="2"/>
        <v>2.0928499826830992E-2</v>
      </c>
      <c r="CB13" s="7">
        <f t="shared" si="2"/>
        <v>1.7510532472383292E-4</v>
      </c>
      <c r="CC13" s="7">
        <f t="shared" si="2"/>
        <v>1.5637797193320884E-3</v>
      </c>
      <c r="CD13" s="7">
        <f t="shared" si="2"/>
        <v>3.2611169702490374E-2</v>
      </c>
      <c r="CE13" s="7">
        <f t="shared" si="2"/>
        <v>1.0921771147353616E-3</v>
      </c>
      <c r="CF13" s="7">
        <f t="shared" si="2"/>
        <v>1.607519380586402E-3</v>
      </c>
      <c r="CG13" s="7">
        <f t="shared" si="2"/>
        <v>4.5452983652325089E-3</v>
      </c>
      <c r="CH13" s="7">
        <f t="shared" si="2"/>
        <v>9.0464292745178303E-3</v>
      </c>
      <c r="CI13" s="7">
        <f t="shared" si="2"/>
        <v>1.7633516937132464E-2</v>
      </c>
      <c r="CJ13" s="7">
        <f t="shared" si="2"/>
        <v>4.2565052483562545E-4</v>
      </c>
      <c r="CK13" s="7">
        <f t="shared" si="2"/>
        <v>5.0056536403316875E-4</v>
      </c>
      <c r="CL13" s="7">
        <f t="shared" si="2"/>
        <v>5.1810792684756642E-2</v>
      </c>
      <c r="CM13" s="7">
        <f t="shared" si="2"/>
        <v>2.7062304443338427E-3</v>
      </c>
      <c r="CN13" s="7">
        <f t="shared" si="2"/>
        <v>4.6288709683154905E-3</v>
      </c>
      <c r="CO13" s="7">
        <f t="shared" si="2"/>
        <v>3.6334553157072571E-3</v>
      </c>
      <c r="CP13" s="7">
        <f t="shared" si="2"/>
        <v>8.5928775877290899E-3</v>
      </c>
      <c r="CQ13" s="7">
        <f t="shared" si="2"/>
        <v>1.8951644038637271E-2</v>
      </c>
      <c r="CR13" s="7">
        <f t="shared" si="2"/>
        <v>8.9759144062833047E-4</v>
      </c>
      <c r="CS13" s="7">
        <f t="shared" si="2"/>
        <v>3.1224240084575558E-3</v>
      </c>
      <c r="CT13" s="7">
        <f t="shared" si="2"/>
        <v>8.2317106091032662E-4</v>
      </c>
      <c r="CU13" s="7">
        <f t="shared" ref="CU13:DZ13" si="3">(CU3-CU9)^2</f>
        <v>6.0641428859623484E-3</v>
      </c>
      <c r="CV13" s="7">
        <f t="shared" si="3"/>
        <v>2.1320290874023056E-3</v>
      </c>
      <c r="CW13" s="7">
        <f t="shared" si="3"/>
        <v>2.2166447811572091E-6</v>
      </c>
      <c r="CX13" s="7">
        <f t="shared" si="3"/>
        <v>1.0000613438025059E-2</v>
      </c>
      <c r="CY13" s="7">
        <f t="shared" si="3"/>
        <v>3.4401902182973122E-3</v>
      </c>
      <c r="CZ13" s="7">
        <f t="shared" si="3"/>
        <v>3.3242797906358999E-2</v>
      </c>
      <c r="DA13" s="7">
        <f t="shared" si="3"/>
        <v>1.0501524901709282E-2</v>
      </c>
      <c r="DB13" s="7">
        <f t="shared" si="3"/>
        <v>2.8544547184288158E-3</v>
      </c>
      <c r="DC13" s="7">
        <f t="shared" si="3"/>
        <v>5.7794473643209806E-3</v>
      </c>
      <c r="DD13" s="7">
        <f t="shared" si="3"/>
        <v>1.2529659470906641E-3</v>
      </c>
      <c r="DE13" s="7">
        <f t="shared" si="3"/>
        <v>1.8398674641594676E-3</v>
      </c>
      <c r="DF13" s="7">
        <f t="shared" si="3"/>
        <v>1.6800389933388728E-3</v>
      </c>
      <c r="DG13" s="7">
        <f t="shared" si="3"/>
        <v>1.2851021218355229E-2</v>
      </c>
      <c r="DH13" s="7">
        <f t="shared" si="3"/>
        <v>3.676304924673184E-3</v>
      </c>
      <c r="DI13" s="7">
        <f t="shared" si="3"/>
        <v>1.9156903334821073E-2</v>
      </c>
      <c r="DJ13" s="7">
        <f t="shared" si="3"/>
        <v>3.5874753230731818E-5</v>
      </c>
      <c r="DK13" s="7">
        <f t="shared" si="3"/>
        <v>7.3739390789208901E-3</v>
      </c>
      <c r="DL13" s="7">
        <f t="shared" si="3"/>
        <v>1.3860696400704781E-3</v>
      </c>
      <c r="DM13" s="7">
        <f t="shared" si="3"/>
        <v>4.3091396783038272E-3</v>
      </c>
      <c r="DN13" s="7">
        <f t="shared" si="3"/>
        <v>6.2359839943271003E-3</v>
      </c>
      <c r="DO13" s="7">
        <f t="shared" si="3"/>
        <v>6.9914120169814009E-5</v>
      </c>
      <c r="DP13" s="7">
        <f t="shared" si="3"/>
        <v>2.4467360170529044E-3</v>
      </c>
      <c r="DQ13" s="7">
        <f t="shared" si="3"/>
        <v>2.1605474223694927E-2</v>
      </c>
      <c r="DR13" s="7">
        <f t="shared" si="3"/>
        <v>3.6257605275531149E-3</v>
      </c>
      <c r="DS13" s="7">
        <f t="shared" si="3"/>
        <v>1.1798914078723773E-2</v>
      </c>
      <c r="DT13" s="7">
        <f t="shared" si="3"/>
        <v>1.7177890780536317E-2</v>
      </c>
      <c r="DU13" s="7">
        <f t="shared" si="3"/>
        <v>4.4184154618383183E-4</v>
      </c>
      <c r="DV13" s="7">
        <f t="shared" si="3"/>
        <v>1.1832322834727068E-2</v>
      </c>
      <c r="DW13" s="7">
        <f t="shared" si="3"/>
        <v>3.5489801359718095E-3</v>
      </c>
      <c r="DX13" s="7">
        <f t="shared" si="3"/>
        <v>1.8517266719152714E-2</v>
      </c>
      <c r="DY13" s="7">
        <f t="shared" si="3"/>
        <v>2.7566629698304542E-3</v>
      </c>
      <c r="DZ13" s="7">
        <f t="shared" si="3"/>
        <v>3.616633400846986E-3</v>
      </c>
      <c r="EA13" s="7">
        <f t="shared" ref="EA13:EG13" si="4">(EA3-EA9)^2</f>
        <v>1.6876789500486301E-2</v>
      </c>
      <c r="EB13" s="7">
        <f t="shared" si="4"/>
        <v>7.3047400107600425E-4</v>
      </c>
      <c r="EC13" s="7">
        <f t="shared" si="4"/>
        <v>1.6517997946211668E-3</v>
      </c>
      <c r="ED13" s="7">
        <f t="shared" si="4"/>
        <v>3.6696590205193523E-2</v>
      </c>
      <c r="EE13" s="7">
        <f t="shared" si="4"/>
        <v>2.926419672873294E-3</v>
      </c>
      <c r="EF13" s="7">
        <f t="shared" si="4"/>
        <v>1.4751064845341983E-3</v>
      </c>
      <c r="EG13" s="7">
        <f t="shared" si="4"/>
        <v>2.0252323028349079E-2</v>
      </c>
    </row>
    <row r="14" spans="1:137" x14ac:dyDescent="0.3">
      <c r="B14" s="1" t="s">
        <v>138</v>
      </c>
      <c r="C14" s="7">
        <f t="shared" ref="C14:AH14" si="5">(C4-C10)^2</f>
        <v>3.9175644269373755E-2</v>
      </c>
      <c r="D14" s="7">
        <f t="shared" si="5"/>
        <v>4.4200790352970531E-2</v>
      </c>
      <c r="E14" s="7">
        <f t="shared" si="5"/>
        <v>1.2446813427734085E-4</v>
      </c>
      <c r="F14" s="7">
        <f t="shared" si="5"/>
        <v>9.8682128065271171E-3</v>
      </c>
      <c r="G14" s="7">
        <f t="shared" si="5"/>
        <v>5.3660238871035932E-4</v>
      </c>
      <c r="H14" s="7">
        <f t="shared" si="5"/>
        <v>4.4366190268049083E-3</v>
      </c>
      <c r="I14" s="7">
        <f t="shared" si="5"/>
        <v>1.1335483371339697E-3</v>
      </c>
      <c r="J14" s="7">
        <f t="shared" si="5"/>
        <v>1.5603732868216454E-2</v>
      </c>
      <c r="K14" s="7">
        <f t="shared" si="5"/>
        <v>1.3798751794180235E-4</v>
      </c>
      <c r="L14" s="7">
        <f t="shared" si="5"/>
        <v>1.6697441339335817E-2</v>
      </c>
      <c r="M14" s="7">
        <f t="shared" si="5"/>
        <v>2.4556899043494618E-4</v>
      </c>
      <c r="N14" s="7">
        <f t="shared" si="5"/>
        <v>3.1112308791386926E-2</v>
      </c>
      <c r="O14" s="7">
        <f t="shared" si="5"/>
        <v>4.0874572462974864E-4</v>
      </c>
      <c r="P14" s="7">
        <f t="shared" si="5"/>
        <v>1.2881283911286994E-2</v>
      </c>
      <c r="Q14" s="7">
        <f t="shared" si="5"/>
        <v>1.121503823372956E-3</v>
      </c>
      <c r="R14" s="7">
        <f t="shared" si="5"/>
        <v>2.5188965042704558E-3</v>
      </c>
      <c r="S14" s="7">
        <f t="shared" si="5"/>
        <v>1.745279291590799E-2</v>
      </c>
      <c r="T14" s="7">
        <f t="shared" si="5"/>
        <v>2.4928798988249315E-3</v>
      </c>
      <c r="U14" s="7">
        <f t="shared" si="5"/>
        <v>2.7919212143956646E-3</v>
      </c>
      <c r="V14" s="7">
        <f t="shared" si="5"/>
        <v>1.2836474638295895E-3</v>
      </c>
      <c r="W14" s="7">
        <f t="shared" si="5"/>
        <v>1.0467287615892816E-2</v>
      </c>
      <c r="X14" s="7">
        <f t="shared" si="5"/>
        <v>9.6017843416955958E-5</v>
      </c>
      <c r="Y14" s="7">
        <f t="shared" si="5"/>
        <v>1.4699466732228318E-3</v>
      </c>
      <c r="Z14" s="7">
        <f t="shared" si="5"/>
        <v>8.9902372187629842E-4</v>
      </c>
      <c r="AA14" s="7">
        <f t="shared" si="5"/>
        <v>5.6820194858651545E-3</v>
      </c>
      <c r="AB14" s="7">
        <f t="shared" si="5"/>
        <v>2.2068825013907807E-4</v>
      </c>
      <c r="AC14" s="7">
        <f t="shared" si="5"/>
        <v>6.0868334489718769E-4</v>
      </c>
      <c r="AD14" s="7">
        <f t="shared" si="5"/>
        <v>1.0907460839452304E-3</v>
      </c>
      <c r="AE14" s="7">
        <f t="shared" si="5"/>
        <v>2.9856599119717348E-2</v>
      </c>
      <c r="AF14" s="7">
        <f t="shared" si="5"/>
        <v>9.7868536792326041E-3</v>
      </c>
      <c r="AG14" s="7">
        <f t="shared" si="5"/>
        <v>3.2832331170464627E-5</v>
      </c>
      <c r="AH14" s="7">
        <f t="shared" si="5"/>
        <v>4.0588321407821138E-4</v>
      </c>
      <c r="AI14" s="7">
        <f t="shared" ref="AI14:BN14" si="6">(AI4-AI10)^2</f>
        <v>4.3870203277319476E-4</v>
      </c>
      <c r="AJ14" s="7">
        <f t="shared" si="6"/>
        <v>7.0220362588522135E-4</v>
      </c>
      <c r="AK14" s="7">
        <f t="shared" si="6"/>
        <v>5.3974909681424636E-4</v>
      </c>
      <c r="AL14" s="7">
        <f t="shared" si="6"/>
        <v>6.5811935076129126E-3</v>
      </c>
      <c r="AM14" s="7">
        <f t="shared" si="6"/>
        <v>1.0802205745972615E-4</v>
      </c>
      <c r="AN14" s="7">
        <f t="shared" si="6"/>
        <v>8.9666685151176869E-3</v>
      </c>
      <c r="AO14" s="7">
        <f t="shared" si="6"/>
        <v>4.0830587645303951E-4</v>
      </c>
      <c r="AP14" s="7">
        <f t="shared" si="6"/>
        <v>4.8674703019560767E-4</v>
      </c>
      <c r="AQ14" s="7">
        <f t="shared" si="6"/>
        <v>3.5250293848851527E-3</v>
      </c>
      <c r="AR14" s="7">
        <f t="shared" si="6"/>
        <v>4.9521885777286685E-3</v>
      </c>
      <c r="AS14" s="7">
        <f t="shared" si="6"/>
        <v>4.1856946508117374E-6</v>
      </c>
      <c r="AT14" s="7">
        <f t="shared" si="6"/>
        <v>1.3173546496325774E-4</v>
      </c>
      <c r="AU14" s="7">
        <f t="shared" si="6"/>
        <v>1.9310016760507465E-2</v>
      </c>
      <c r="AV14" s="7">
        <f t="shared" si="6"/>
        <v>1.3484600303550057E-3</v>
      </c>
      <c r="AW14" s="7">
        <f t="shared" si="6"/>
        <v>8.9045707702789815E-5</v>
      </c>
      <c r="AX14" s="7">
        <f t="shared" si="6"/>
        <v>3.53346262780251E-4</v>
      </c>
      <c r="AY14" s="7">
        <f t="shared" si="6"/>
        <v>2.8348395005948711E-3</v>
      </c>
      <c r="AZ14" s="7">
        <f t="shared" si="6"/>
        <v>1.3959226678496167E-2</v>
      </c>
      <c r="BA14" s="7">
        <f t="shared" si="6"/>
        <v>1.1551489377154403E-2</v>
      </c>
      <c r="BB14" s="7">
        <f t="shared" si="6"/>
        <v>1.4959700995582914E-3</v>
      </c>
      <c r="BC14" s="7">
        <f t="shared" si="6"/>
        <v>2.2780406351339513E-3</v>
      </c>
      <c r="BD14" s="7">
        <f t="shared" si="6"/>
        <v>8.5814766124508515E-3</v>
      </c>
      <c r="BE14" s="7">
        <f t="shared" si="6"/>
        <v>2.7795296139707899E-2</v>
      </c>
      <c r="BF14" s="7">
        <f t="shared" si="6"/>
        <v>4.2605715815932409E-3</v>
      </c>
      <c r="BG14" s="7">
        <f t="shared" si="6"/>
        <v>1.0178929410137656E-4</v>
      </c>
      <c r="BH14" s="7">
        <f t="shared" si="6"/>
        <v>4.2394967172838345E-3</v>
      </c>
      <c r="BI14" s="7">
        <f t="shared" si="6"/>
        <v>3.9057563922559801E-3</v>
      </c>
      <c r="BJ14" s="7">
        <f t="shared" si="6"/>
        <v>6.3278817754078252E-3</v>
      </c>
      <c r="BK14" s="7">
        <f t="shared" si="6"/>
        <v>1.3712854958125978E-2</v>
      </c>
      <c r="BL14" s="7">
        <f t="shared" si="6"/>
        <v>1.7746900743427152E-4</v>
      </c>
      <c r="BM14" s="7">
        <f t="shared" si="6"/>
        <v>6.5060688733550491E-3</v>
      </c>
      <c r="BN14" s="7">
        <f t="shared" si="6"/>
        <v>9.0433539745741719E-3</v>
      </c>
      <c r="BO14" s="7">
        <f t="shared" ref="BO14:CT14" si="7">(BO4-BO10)^2</f>
        <v>1.4728522402663308E-6</v>
      </c>
      <c r="BP14" s="7">
        <f t="shared" si="7"/>
        <v>1.4138774864529349E-2</v>
      </c>
      <c r="BQ14" s="7">
        <f t="shared" si="7"/>
        <v>7.4961362961495977E-4</v>
      </c>
      <c r="BR14" s="7">
        <f t="shared" si="7"/>
        <v>2.4192562968297993E-3</v>
      </c>
      <c r="BS14" s="7">
        <f t="shared" si="7"/>
        <v>3.0570806927332135E-3</v>
      </c>
      <c r="BT14" s="7">
        <f t="shared" si="7"/>
        <v>1.3216390094427793E-2</v>
      </c>
      <c r="BU14" s="7">
        <f t="shared" si="7"/>
        <v>1.6933073797895184E-2</v>
      </c>
      <c r="BV14" s="7">
        <f t="shared" si="7"/>
        <v>8.7584359810285988E-3</v>
      </c>
      <c r="BW14" s="7">
        <f t="shared" si="7"/>
        <v>1.3308948800734874E-2</v>
      </c>
      <c r="BX14" s="7">
        <f t="shared" si="7"/>
        <v>9.5140679189656418E-4</v>
      </c>
      <c r="BY14" s="7">
        <f t="shared" si="7"/>
        <v>1.4542656412368878E-2</v>
      </c>
      <c r="BZ14" s="7">
        <f t="shared" si="7"/>
        <v>4.6326044742821823E-4</v>
      </c>
      <c r="CA14" s="7">
        <f t="shared" si="7"/>
        <v>4.2351850997595902E-3</v>
      </c>
      <c r="CB14" s="7">
        <f t="shared" si="7"/>
        <v>1.8366649364414154E-2</v>
      </c>
      <c r="CC14" s="7">
        <f t="shared" si="7"/>
        <v>8.9644665648134494E-4</v>
      </c>
      <c r="CD14" s="7">
        <f t="shared" si="7"/>
        <v>1.7090151074337122E-3</v>
      </c>
      <c r="CE14" s="7">
        <f t="shared" si="7"/>
        <v>4.2627124443387399E-2</v>
      </c>
      <c r="CF14" s="7">
        <f t="shared" si="7"/>
        <v>8.8211064278138525E-3</v>
      </c>
      <c r="CG14" s="7">
        <f t="shared" si="7"/>
        <v>3.3169179063906678E-3</v>
      </c>
      <c r="CH14" s="7">
        <f t="shared" si="7"/>
        <v>5.7954533822292937E-4</v>
      </c>
      <c r="CI14" s="7">
        <f t="shared" si="7"/>
        <v>4.3112919574686617E-3</v>
      </c>
      <c r="CJ14" s="7">
        <f t="shared" si="7"/>
        <v>6.7930092833262665E-5</v>
      </c>
      <c r="CK14" s="7">
        <f t="shared" si="7"/>
        <v>3.5757565783185578E-3</v>
      </c>
      <c r="CL14" s="7">
        <f t="shared" si="7"/>
        <v>8.3294905785859903E-4</v>
      </c>
      <c r="CM14" s="7">
        <f t="shared" si="7"/>
        <v>3.9255579935579994E-2</v>
      </c>
      <c r="CN14" s="7">
        <f t="shared" si="7"/>
        <v>2.4963678379687658E-3</v>
      </c>
      <c r="CO14" s="7">
        <f t="shared" si="7"/>
        <v>2.0613731338723906E-2</v>
      </c>
      <c r="CP14" s="7">
        <f t="shared" si="7"/>
        <v>5.2125630545471592E-3</v>
      </c>
      <c r="CQ14" s="7">
        <f t="shared" si="7"/>
        <v>3.2586458133545347E-2</v>
      </c>
      <c r="CR14" s="7">
        <f t="shared" si="7"/>
        <v>4.8238598039694316E-3</v>
      </c>
      <c r="CS14" s="7">
        <f t="shared" si="7"/>
        <v>3.8989432314765745E-6</v>
      </c>
      <c r="CT14" s="7">
        <f t="shared" si="7"/>
        <v>8.3338596720373571E-3</v>
      </c>
      <c r="CU14" s="7">
        <f t="shared" ref="CU14:DZ14" si="8">(CU4-CU10)^2</f>
        <v>1.4140106131453811E-3</v>
      </c>
      <c r="CV14" s="7">
        <f t="shared" si="8"/>
        <v>4.1360419784279979E-4</v>
      </c>
      <c r="CW14" s="7">
        <f t="shared" si="8"/>
        <v>1.3035996631558103E-3</v>
      </c>
      <c r="CX14" s="7">
        <f t="shared" si="8"/>
        <v>7.3090094521827209E-3</v>
      </c>
      <c r="CY14" s="7">
        <f t="shared" si="8"/>
        <v>5.0291966692893103E-3</v>
      </c>
      <c r="CZ14" s="7">
        <f t="shared" si="8"/>
        <v>3.2444440397064019E-2</v>
      </c>
      <c r="DA14" s="7">
        <f t="shared" si="8"/>
        <v>4.4538504075452212E-3</v>
      </c>
      <c r="DB14" s="7">
        <f t="shared" si="8"/>
        <v>2.1343943092456824E-2</v>
      </c>
      <c r="DC14" s="7">
        <f t="shared" si="8"/>
        <v>2.5032898092659885E-3</v>
      </c>
      <c r="DD14" s="7">
        <f t="shared" si="8"/>
        <v>2.0920422642574737E-2</v>
      </c>
      <c r="DE14" s="7">
        <f t="shared" si="8"/>
        <v>1.3471457365169208E-2</v>
      </c>
      <c r="DF14" s="7">
        <f t="shared" si="8"/>
        <v>1.9514158896816413E-2</v>
      </c>
      <c r="DG14" s="7">
        <f t="shared" si="8"/>
        <v>6.63013835490949E-2</v>
      </c>
      <c r="DH14" s="7">
        <f t="shared" si="8"/>
        <v>1.8460535749105222E-2</v>
      </c>
      <c r="DI14" s="7">
        <f t="shared" si="8"/>
        <v>6.9304296293935608E-3</v>
      </c>
      <c r="DJ14" s="7">
        <f t="shared" si="8"/>
        <v>3.9478447042668252E-3</v>
      </c>
      <c r="DK14" s="7">
        <f t="shared" si="8"/>
        <v>1.4599075620800293E-2</v>
      </c>
      <c r="DL14" s="7">
        <f t="shared" si="8"/>
        <v>6.9484280904047067E-4</v>
      </c>
      <c r="DM14" s="7">
        <f t="shared" si="8"/>
        <v>1.0109860400483563E-2</v>
      </c>
      <c r="DN14" s="7">
        <f t="shared" si="8"/>
        <v>5.2885363016682077E-4</v>
      </c>
      <c r="DO14" s="7">
        <f t="shared" si="8"/>
        <v>5.5659979183301442E-3</v>
      </c>
      <c r="DP14" s="7">
        <f t="shared" si="8"/>
        <v>1.0221529562949253E-2</v>
      </c>
      <c r="DQ14" s="7">
        <f t="shared" si="8"/>
        <v>7.449962936409333E-3</v>
      </c>
      <c r="DR14" s="7">
        <f t="shared" si="8"/>
        <v>9.2233763004232017E-5</v>
      </c>
      <c r="DS14" s="7">
        <f t="shared" si="8"/>
        <v>1.7119260981561159E-2</v>
      </c>
      <c r="DT14" s="7">
        <f t="shared" si="8"/>
        <v>1.4309594095382563E-3</v>
      </c>
      <c r="DU14" s="7">
        <f t="shared" si="8"/>
        <v>4.0557016597374679E-2</v>
      </c>
      <c r="DV14" s="7">
        <f t="shared" si="8"/>
        <v>2.7040590626861564E-4</v>
      </c>
      <c r="DW14" s="7">
        <f t="shared" si="8"/>
        <v>6.9335189314339825E-3</v>
      </c>
      <c r="DX14" s="7">
        <f t="shared" si="8"/>
        <v>6.5815346207697301E-4</v>
      </c>
      <c r="DY14" s="7">
        <f t="shared" si="8"/>
        <v>5.4181294632484594E-3</v>
      </c>
      <c r="DZ14" s="7">
        <f t="shared" si="8"/>
        <v>1.4595696137373736E-3</v>
      </c>
      <c r="EA14" s="7">
        <f t="shared" ref="EA14:EG14" si="9">(EA4-EA10)^2</f>
        <v>8.9357957746704665E-3</v>
      </c>
      <c r="EB14" s="7">
        <f t="shared" si="9"/>
        <v>7.9786177940049886E-4</v>
      </c>
      <c r="EC14" s="7">
        <f t="shared" si="9"/>
        <v>8.5553796447068627E-3</v>
      </c>
      <c r="ED14" s="7">
        <f t="shared" si="9"/>
        <v>4.2904602823733489E-3</v>
      </c>
      <c r="EE14" s="7">
        <f t="shared" si="9"/>
        <v>3.2671846836402833E-2</v>
      </c>
      <c r="EF14" s="7">
        <f t="shared" si="9"/>
        <v>1.3400178420845659E-2</v>
      </c>
      <c r="EG14" s="7">
        <f t="shared" si="9"/>
        <v>2.526811904387603E-2</v>
      </c>
    </row>
    <row r="15" spans="1:137" x14ac:dyDescent="0.3">
      <c r="B15" s="1" t="s">
        <v>139</v>
      </c>
      <c r="C15" s="7">
        <f t="shared" ref="C15:AH15" si="10">(C5-C11)^2</f>
        <v>3.3445774266807797E-3</v>
      </c>
      <c r="D15" s="7">
        <f t="shared" si="10"/>
        <v>1.8054664086030437E-3</v>
      </c>
      <c r="E15" s="7">
        <f t="shared" si="10"/>
        <v>6.6375830113139746E-4</v>
      </c>
      <c r="F15" s="7">
        <f t="shared" si="10"/>
        <v>9.0494721488881286E-3</v>
      </c>
      <c r="G15" s="7">
        <f t="shared" si="10"/>
        <v>1.0594347934893892E-2</v>
      </c>
      <c r="H15" s="7">
        <f t="shared" si="10"/>
        <v>4.3889857583746603E-5</v>
      </c>
      <c r="I15" s="7">
        <f t="shared" si="10"/>
        <v>9.1852463310217376E-4</v>
      </c>
      <c r="J15" s="7">
        <f t="shared" si="10"/>
        <v>2.6129282932566526E-4</v>
      </c>
      <c r="K15" s="7">
        <f t="shared" si="10"/>
        <v>3.6804070853811116E-3</v>
      </c>
      <c r="L15" s="7">
        <f t="shared" si="10"/>
        <v>9.7172651042362474E-5</v>
      </c>
      <c r="M15" s="7">
        <f t="shared" si="10"/>
        <v>1.1492225233322643E-3</v>
      </c>
      <c r="N15" s="7">
        <f t="shared" si="10"/>
        <v>7.7513430173740162E-3</v>
      </c>
      <c r="O15" s="7">
        <f t="shared" si="10"/>
        <v>2.6515058242642512E-3</v>
      </c>
      <c r="P15" s="7">
        <f t="shared" si="10"/>
        <v>1.6274225659941441E-4</v>
      </c>
      <c r="Q15" s="7">
        <f t="shared" si="10"/>
        <v>3.6973425509449717E-5</v>
      </c>
      <c r="R15" s="7">
        <f t="shared" si="10"/>
        <v>3.5822169819186639E-4</v>
      </c>
      <c r="S15" s="7">
        <f t="shared" si="10"/>
        <v>4.0027821594814934E-4</v>
      </c>
      <c r="T15" s="7">
        <f t="shared" si="10"/>
        <v>1.2837734447198887E-2</v>
      </c>
      <c r="U15" s="7">
        <f t="shared" si="10"/>
        <v>1.500202959968062E-4</v>
      </c>
      <c r="V15" s="7">
        <f t="shared" si="10"/>
        <v>1.9233855709457144E-5</v>
      </c>
      <c r="W15" s="7">
        <f t="shared" si="10"/>
        <v>1.8870996976421663E-2</v>
      </c>
      <c r="X15" s="7">
        <f t="shared" si="10"/>
        <v>0.10411550050746329</v>
      </c>
      <c r="Y15" s="7">
        <f t="shared" si="10"/>
        <v>9.083713280516971E-3</v>
      </c>
      <c r="Z15" s="7">
        <f t="shared" si="10"/>
        <v>3.2087745428731392E-2</v>
      </c>
      <c r="AA15" s="7">
        <f t="shared" si="10"/>
        <v>1.2564306816642543E-2</v>
      </c>
      <c r="AB15" s="7">
        <f t="shared" si="10"/>
        <v>2.4282364518411199E-3</v>
      </c>
      <c r="AC15" s="7">
        <f t="shared" si="10"/>
        <v>8.926817581861755E-3</v>
      </c>
      <c r="AD15" s="7">
        <f t="shared" si="10"/>
        <v>4.8304550069429748E-3</v>
      </c>
      <c r="AE15" s="7">
        <f t="shared" si="10"/>
        <v>3.8941554416002042E-2</v>
      </c>
      <c r="AF15" s="7">
        <f t="shared" si="10"/>
        <v>2.6896794555651769E-2</v>
      </c>
      <c r="AG15" s="7">
        <f t="shared" si="10"/>
        <v>2.101634157510987E-4</v>
      </c>
      <c r="AH15" s="7">
        <f t="shared" si="10"/>
        <v>4.1404488440995593E-6</v>
      </c>
      <c r="AI15" s="7">
        <f t="shared" ref="AI15:BN15" si="11">(AI5-AI11)^2</f>
        <v>5.4206397290241495E-4</v>
      </c>
      <c r="AJ15" s="7">
        <f t="shared" si="11"/>
        <v>7.9054923488952036E-4</v>
      </c>
      <c r="AK15" s="7">
        <f t="shared" si="11"/>
        <v>2.9607405422707876E-3</v>
      </c>
      <c r="AL15" s="7">
        <f t="shared" si="11"/>
        <v>9.9372479680188038E-3</v>
      </c>
      <c r="AM15" s="7">
        <f t="shared" si="11"/>
        <v>6.4910418381203142E-4</v>
      </c>
      <c r="AN15" s="7">
        <f t="shared" si="11"/>
        <v>3.1526896347508428E-3</v>
      </c>
      <c r="AO15" s="7">
        <f t="shared" si="11"/>
        <v>4.5783229756529318E-3</v>
      </c>
      <c r="AP15" s="7">
        <f t="shared" si="11"/>
        <v>9.5514986292402257E-4</v>
      </c>
      <c r="AQ15" s="7">
        <f t="shared" si="11"/>
        <v>1.0923650811337983E-4</v>
      </c>
      <c r="AR15" s="7">
        <f t="shared" si="11"/>
        <v>1.0563164667923733E-3</v>
      </c>
      <c r="AS15" s="7">
        <f t="shared" si="11"/>
        <v>1.5151188576839408E-3</v>
      </c>
      <c r="AT15" s="7">
        <f t="shared" si="11"/>
        <v>1.9677657021547636E-2</v>
      </c>
      <c r="AU15" s="7">
        <f t="shared" si="11"/>
        <v>2.5855158135816288E-3</v>
      </c>
      <c r="AV15" s="7">
        <f t="shared" si="11"/>
        <v>1.6338245348061154E-2</v>
      </c>
      <c r="AW15" s="7">
        <f t="shared" si="11"/>
        <v>2.1608302637360914E-3</v>
      </c>
      <c r="AX15" s="7">
        <f t="shared" si="11"/>
        <v>2.6138748985644712E-2</v>
      </c>
      <c r="AY15" s="7">
        <f t="shared" si="11"/>
        <v>3.7948809946807063E-3</v>
      </c>
      <c r="AZ15" s="7">
        <f t="shared" si="11"/>
        <v>4.8683940311457586E-3</v>
      </c>
      <c r="BA15" s="7">
        <f t="shared" si="11"/>
        <v>8.7970058863424144E-5</v>
      </c>
      <c r="BB15" s="7">
        <f t="shared" si="11"/>
        <v>2.435384022378765E-2</v>
      </c>
      <c r="BC15" s="7">
        <f t="shared" si="11"/>
        <v>3.936736049193112E-3</v>
      </c>
      <c r="BD15" s="7">
        <f t="shared" si="11"/>
        <v>2.376649395190964E-4</v>
      </c>
      <c r="BE15" s="7">
        <f t="shared" si="11"/>
        <v>2.0820604248184982E-2</v>
      </c>
      <c r="BF15" s="7">
        <f t="shared" si="11"/>
        <v>4.3145661869509189E-2</v>
      </c>
      <c r="BG15" s="7">
        <f t="shared" si="11"/>
        <v>3.2663034532763847E-2</v>
      </c>
      <c r="BH15" s="7">
        <f t="shared" si="11"/>
        <v>5.4353464337775492E-3</v>
      </c>
      <c r="BI15" s="7">
        <f t="shared" si="11"/>
        <v>3.8768124844020596E-3</v>
      </c>
      <c r="BJ15" s="7">
        <f t="shared" si="11"/>
        <v>1.9438610178895154E-4</v>
      </c>
      <c r="BK15" s="7">
        <f t="shared" si="11"/>
        <v>2.1129429583325377E-5</v>
      </c>
      <c r="BL15" s="7">
        <f t="shared" si="11"/>
        <v>2.3920910173574735E-2</v>
      </c>
      <c r="BM15" s="7">
        <f t="shared" si="11"/>
        <v>2.9132825127745929E-2</v>
      </c>
      <c r="BN15" s="7">
        <f t="shared" si="11"/>
        <v>6.6922890830006234E-4</v>
      </c>
      <c r="BO15" s="7">
        <f t="shared" ref="BO15:CT15" si="12">(BO5-BO11)^2</f>
        <v>8.3168599013039746E-4</v>
      </c>
      <c r="BP15" s="7">
        <f t="shared" si="12"/>
        <v>2.1403162596611543E-3</v>
      </c>
      <c r="BQ15" s="7">
        <f t="shared" si="12"/>
        <v>5.774657014534474E-4</v>
      </c>
      <c r="BR15" s="7">
        <f t="shared" si="12"/>
        <v>3.3939687301992531E-2</v>
      </c>
      <c r="BS15" s="7">
        <f t="shared" si="12"/>
        <v>1.2788384898096637E-2</v>
      </c>
      <c r="BT15" s="7">
        <f t="shared" si="12"/>
        <v>1.2479164126446875E-3</v>
      </c>
      <c r="BU15" s="7">
        <f t="shared" si="12"/>
        <v>2.4110648486338859E-3</v>
      </c>
      <c r="BV15" s="7">
        <f t="shared" si="12"/>
        <v>1.5252129602537818E-2</v>
      </c>
      <c r="BW15" s="7">
        <f t="shared" si="12"/>
        <v>2.152248840096144E-2</v>
      </c>
      <c r="BX15" s="7">
        <f t="shared" si="12"/>
        <v>8.2130938930655052E-6</v>
      </c>
      <c r="BY15" s="7">
        <f t="shared" si="12"/>
        <v>1.8105795794529107E-2</v>
      </c>
      <c r="BZ15" s="7">
        <f t="shared" si="12"/>
        <v>9.2018028752670865E-4</v>
      </c>
      <c r="CA15" s="7">
        <f t="shared" si="12"/>
        <v>7.9607957630029003E-4</v>
      </c>
      <c r="CB15" s="7">
        <f t="shared" si="12"/>
        <v>3.3874008345532937E-3</v>
      </c>
      <c r="CC15" s="7">
        <f t="shared" si="12"/>
        <v>2.2890411845555001E-3</v>
      </c>
      <c r="CD15" s="7">
        <f t="shared" si="12"/>
        <v>5.9071885840278459E-3</v>
      </c>
      <c r="CE15" s="7">
        <f t="shared" si="12"/>
        <v>7.0262074370944947E-3</v>
      </c>
      <c r="CF15" s="7">
        <f t="shared" si="12"/>
        <v>1.2464239991566077E-6</v>
      </c>
      <c r="CG15" s="7">
        <f t="shared" si="12"/>
        <v>1.3799186375289062E-2</v>
      </c>
      <c r="CH15" s="7">
        <f t="shared" si="12"/>
        <v>6.1526903071588534E-4</v>
      </c>
      <c r="CI15" s="7">
        <f t="shared" si="12"/>
        <v>4.7438113673342807E-3</v>
      </c>
      <c r="CJ15" s="7">
        <f t="shared" si="12"/>
        <v>5.6612035000661698E-2</v>
      </c>
      <c r="CK15" s="7">
        <f t="shared" si="12"/>
        <v>1.7975617261428788E-2</v>
      </c>
      <c r="CL15" s="7">
        <f t="shared" si="12"/>
        <v>1.7382733940297865E-2</v>
      </c>
      <c r="CM15" s="7">
        <f t="shared" si="12"/>
        <v>1.3877790570487415E-2</v>
      </c>
      <c r="CN15" s="7">
        <f t="shared" si="12"/>
        <v>4.8671296218745615E-2</v>
      </c>
      <c r="CO15" s="7">
        <f t="shared" si="12"/>
        <v>1.4801271417349085E-2</v>
      </c>
      <c r="CP15" s="7">
        <f t="shared" si="12"/>
        <v>6.6792360757934757E-4</v>
      </c>
      <c r="CQ15" s="7">
        <f t="shared" si="12"/>
        <v>4.6758338125014877E-2</v>
      </c>
      <c r="CR15" s="7">
        <f t="shared" si="12"/>
        <v>1.7629611659978825E-2</v>
      </c>
      <c r="CS15" s="7">
        <f t="shared" si="12"/>
        <v>8.9706984047041964E-3</v>
      </c>
      <c r="CT15" s="7">
        <f t="shared" si="12"/>
        <v>6.1942351292729625E-4</v>
      </c>
      <c r="CU15" s="7">
        <f t="shared" ref="CU15:DZ15" si="13">(CU5-CU11)^2</f>
        <v>8.0203931133498579E-2</v>
      </c>
      <c r="CV15" s="7">
        <f t="shared" si="13"/>
        <v>7.2106562465344665E-2</v>
      </c>
      <c r="CW15" s="7">
        <f t="shared" si="13"/>
        <v>1.1018731683034945E-2</v>
      </c>
      <c r="CX15" s="7">
        <f t="shared" si="13"/>
        <v>1.6671842624490969E-2</v>
      </c>
      <c r="CY15" s="7">
        <f t="shared" si="13"/>
        <v>7.5080455872947507E-3</v>
      </c>
      <c r="CZ15" s="7">
        <f t="shared" si="13"/>
        <v>2.2642905508848885E-3</v>
      </c>
      <c r="DA15" s="7">
        <f t="shared" si="13"/>
        <v>6.7667244806491958E-3</v>
      </c>
      <c r="DB15" s="7">
        <f t="shared" si="13"/>
        <v>2.1005570866122359E-2</v>
      </c>
      <c r="DC15" s="7">
        <f t="shared" si="13"/>
        <v>5.5949916095976481E-3</v>
      </c>
      <c r="DD15" s="7">
        <f t="shared" si="13"/>
        <v>3.0216446848658068E-2</v>
      </c>
      <c r="DE15" s="7">
        <f t="shared" si="13"/>
        <v>1.0562274257460825E-2</v>
      </c>
      <c r="DF15" s="7">
        <f t="shared" si="13"/>
        <v>4.3039402690599905E-3</v>
      </c>
      <c r="DG15" s="7">
        <f t="shared" si="13"/>
        <v>4.8223378571655512E-2</v>
      </c>
      <c r="DH15" s="7">
        <f t="shared" si="13"/>
        <v>5.8773693966677077E-3</v>
      </c>
      <c r="DI15" s="7">
        <f t="shared" si="13"/>
        <v>5.5908054671486469E-3</v>
      </c>
      <c r="DJ15" s="7">
        <f t="shared" si="13"/>
        <v>1.4534920469182819E-2</v>
      </c>
      <c r="DK15" s="7">
        <f t="shared" si="13"/>
        <v>1.5792128908244004E-5</v>
      </c>
      <c r="DL15" s="7">
        <f t="shared" si="13"/>
        <v>4.4166833407060201E-3</v>
      </c>
      <c r="DM15" s="7">
        <f t="shared" si="13"/>
        <v>3.0300033946846971E-4</v>
      </c>
      <c r="DN15" s="7">
        <f t="shared" si="13"/>
        <v>1.3460242828675223E-3</v>
      </c>
      <c r="DO15" s="7">
        <f t="shared" si="13"/>
        <v>1.0100799449732563E-2</v>
      </c>
      <c r="DP15" s="7">
        <f t="shared" si="13"/>
        <v>5.4383301566762111E-2</v>
      </c>
      <c r="DQ15" s="7">
        <f t="shared" si="13"/>
        <v>6.192573299961119E-2</v>
      </c>
      <c r="DR15" s="7">
        <f t="shared" si="13"/>
        <v>5.5051415422837567E-5</v>
      </c>
      <c r="DS15" s="7">
        <f t="shared" si="13"/>
        <v>1.8117402846172841E-2</v>
      </c>
      <c r="DT15" s="7">
        <f t="shared" si="13"/>
        <v>1.3195317902847772E-2</v>
      </c>
      <c r="DU15" s="7">
        <f t="shared" si="13"/>
        <v>9.3530108341017843E-3</v>
      </c>
      <c r="DV15" s="7">
        <f t="shared" si="13"/>
        <v>3.768525240520397E-3</v>
      </c>
      <c r="DW15" s="7">
        <f t="shared" si="13"/>
        <v>8.7135751244992257E-4</v>
      </c>
      <c r="DX15" s="7">
        <f t="shared" si="13"/>
        <v>2.9148659335190416E-3</v>
      </c>
      <c r="DY15" s="7">
        <f t="shared" si="13"/>
        <v>4.2781032468901482E-3</v>
      </c>
      <c r="DZ15" s="7">
        <f t="shared" si="13"/>
        <v>1.2602203824954987E-4</v>
      </c>
      <c r="EA15" s="7">
        <f t="shared" ref="EA15:EG15" si="14">(EA5-EA11)^2</f>
        <v>8.9644207206630799E-2</v>
      </c>
      <c r="EB15" s="7">
        <f t="shared" si="14"/>
        <v>1.5343091243110136E-2</v>
      </c>
      <c r="EC15" s="7">
        <f t="shared" si="14"/>
        <v>7.5284157412192242E-5</v>
      </c>
      <c r="ED15" s="7">
        <f t="shared" si="14"/>
        <v>4.5498816419546955E-3</v>
      </c>
      <c r="EE15" s="7">
        <f t="shared" si="14"/>
        <v>1.7540690875588103E-2</v>
      </c>
      <c r="EF15" s="7">
        <f t="shared" si="14"/>
        <v>6.8703278408362564E-3</v>
      </c>
      <c r="EG15" s="7">
        <f t="shared" si="14"/>
        <v>0</v>
      </c>
    </row>
    <row r="17" spans="1:137" x14ac:dyDescent="0.3">
      <c r="A17" t="s">
        <v>167</v>
      </c>
      <c r="B17" s="1" t="s">
        <v>137</v>
      </c>
      <c r="C17" s="7">
        <f t="shared" ref="C17:AH17" si="15">C9^2</f>
        <v>1.1904082139988901E-2</v>
      </c>
      <c r="D17" s="7">
        <f t="shared" si="15"/>
        <v>2.1247668449640001E-4</v>
      </c>
      <c r="E17" s="7">
        <f t="shared" si="15"/>
        <v>1.3071406393600003E-3</v>
      </c>
      <c r="F17" s="7">
        <f t="shared" si="15"/>
        <v>2.2492254759999996E-5</v>
      </c>
      <c r="G17" s="7">
        <f t="shared" si="15"/>
        <v>3.3037204839999999E-5</v>
      </c>
      <c r="H17" s="7">
        <f t="shared" si="15"/>
        <v>2.4381888591204002E-3</v>
      </c>
      <c r="I17" s="7">
        <f t="shared" si="15"/>
        <v>3.3581211208132906E-2</v>
      </c>
      <c r="J17" s="7">
        <f t="shared" si="15"/>
        <v>1.3569060417416099E-2</v>
      </c>
      <c r="K17" s="7">
        <f t="shared" si="15"/>
        <v>9.3604790601000006E-4</v>
      </c>
      <c r="L17" s="7">
        <f t="shared" si="15"/>
        <v>3.9315156680250001E-4</v>
      </c>
      <c r="M17" s="7">
        <f t="shared" si="15"/>
        <v>4.4095800100000003E-4</v>
      </c>
      <c r="N17" s="7">
        <f t="shared" si="15"/>
        <v>2.2433874655536399E-2</v>
      </c>
      <c r="O17" s="7">
        <f t="shared" si="15"/>
        <v>2.3911704882810002E-4</v>
      </c>
      <c r="P17" s="7">
        <f t="shared" si="15"/>
        <v>8.425826339289998E-3</v>
      </c>
      <c r="Q17" s="7">
        <f t="shared" si="15"/>
        <v>5.9921532810000011E-3</v>
      </c>
      <c r="R17" s="7">
        <f t="shared" si="15"/>
        <v>3.0004759075600001E-3</v>
      </c>
      <c r="S17" s="7">
        <f t="shared" si="15"/>
        <v>1.5708711823360002E-2</v>
      </c>
      <c r="T17" s="7">
        <f t="shared" si="15"/>
        <v>1.4173712051560001E-2</v>
      </c>
      <c r="U17" s="7">
        <f t="shared" si="15"/>
        <v>1.4265804540100002E-3</v>
      </c>
      <c r="V17" s="7">
        <f t="shared" si="15"/>
        <v>6.5908126297924002E-3</v>
      </c>
      <c r="W17" s="7">
        <f t="shared" si="15"/>
        <v>7.0575070404609004E-3</v>
      </c>
      <c r="X17" s="7">
        <f t="shared" si="15"/>
        <v>2.1612339969049602E-2</v>
      </c>
      <c r="Y17" s="7">
        <f t="shared" si="15"/>
        <v>1.5715254960250002E-2</v>
      </c>
      <c r="Z17" s="7">
        <f t="shared" si="15"/>
        <v>3.6846165357602503E-2</v>
      </c>
      <c r="AA17" s="7">
        <f t="shared" si="15"/>
        <v>7.118431892639999E-3</v>
      </c>
      <c r="AB17" s="7">
        <f t="shared" si="15"/>
        <v>5.3140615437121006E-3</v>
      </c>
      <c r="AC17" s="7">
        <f t="shared" si="15"/>
        <v>1.05276957327936E-2</v>
      </c>
      <c r="AD17" s="7">
        <f t="shared" si="15"/>
        <v>2.4869826182889997E-4</v>
      </c>
      <c r="AE17" s="7">
        <f t="shared" si="15"/>
        <v>2.3106188851840001E-2</v>
      </c>
      <c r="AF17" s="7">
        <f t="shared" si="15"/>
        <v>3.5105921250624997E-3</v>
      </c>
      <c r="AG17" s="7">
        <f t="shared" si="15"/>
        <v>1.6915301862145602E-2</v>
      </c>
      <c r="AH17" s="7">
        <f t="shared" si="15"/>
        <v>1.3284037740959998E-2</v>
      </c>
      <c r="AI17" s="7">
        <f t="shared" ref="AI17:BN17" si="16">AI9^2</f>
        <v>1.0631916678244002E-3</v>
      </c>
      <c r="AJ17" s="7">
        <f t="shared" si="16"/>
        <v>7.8395016079210007E-4</v>
      </c>
      <c r="AK17" s="7">
        <f t="shared" si="16"/>
        <v>2.1482888018976402E-2</v>
      </c>
      <c r="AL17" s="7">
        <f t="shared" si="16"/>
        <v>1.6680624292863997E-3</v>
      </c>
      <c r="AM17" s="7">
        <f t="shared" si="16"/>
        <v>1.7259750594376899E-2</v>
      </c>
      <c r="AN17" s="7">
        <f t="shared" si="16"/>
        <v>4.9032555774361608E-2</v>
      </c>
      <c r="AO17" s="7">
        <f t="shared" si="16"/>
        <v>4.3852548100000008E-4</v>
      </c>
      <c r="AP17" s="7">
        <f t="shared" si="16"/>
        <v>1.8812865600000003E-2</v>
      </c>
      <c r="AQ17" s="7">
        <f t="shared" si="16"/>
        <v>6.1915871240999999E-4</v>
      </c>
      <c r="AR17" s="7">
        <f t="shared" si="16"/>
        <v>2.4068326516090002E-4</v>
      </c>
      <c r="AS17" s="7">
        <f t="shared" si="16"/>
        <v>1.1815058788416E-3</v>
      </c>
      <c r="AT17" s="7">
        <f t="shared" si="16"/>
        <v>3.9810660965760997E-3</v>
      </c>
      <c r="AU17" s="7">
        <f t="shared" si="16"/>
        <v>1.8694987012899996E-3</v>
      </c>
      <c r="AV17" s="7">
        <f t="shared" si="16"/>
        <v>5.5101522841600001E-3</v>
      </c>
      <c r="AW17" s="7">
        <f t="shared" si="16"/>
        <v>7.8371050672889991E-4</v>
      </c>
      <c r="AX17" s="7">
        <f t="shared" si="16"/>
        <v>1.4367479181936401E-2</v>
      </c>
      <c r="AY17" s="7">
        <f t="shared" si="16"/>
        <v>5.861367758584899E-3</v>
      </c>
      <c r="AZ17" s="7">
        <f t="shared" si="16"/>
        <v>4.7221028416000004E-4</v>
      </c>
      <c r="BA17" s="7">
        <f t="shared" si="16"/>
        <v>1.5537622499999999E-6</v>
      </c>
      <c r="BB17" s="7">
        <f t="shared" si="16"/>
        <v>1.02001556574724E-2</v>
      </c>
      <c r="BC17" s="7">
        <f t="shared" si="16"/>
        <v>8.8964575322490009E-4</v>
      </c>
      <c r="BD17" s="7">
        <f t="shared" si="16"/>
        <v>7.5268985092899991E-5</v>
      </c>
      <c r="BE17" s="7">
        <f t="shared" si="16"/>
        <v>4.7000910429840989E-3</v>
      </c>
      <c r="BF17" s="7">
        <f t="shared" si="16"/>
        <v>2.4621564038760004E-2</v>
      </c>
      <c r="BG17" s="7">
        <f t="shared" si="16"/>
        <v>2.5345827645912897E-2</v>
      </c>
      <c r="BH17" s="7">
        <f t="shared" si="16"/>
        <v>3.7358585435889003E-3</v>
      </c>
      <c r="BI17" s="7">
        <f t="shared" si="16"/>
        <v>9.392100495122499E-3</v>
      </c>
      <c r="BJ17" s="7">
        <f t="shared" si="16"/>
        <v>2.9971464144400001E-3</v>
      </c>
      <c r="BK17" s="7">
        <f t="shared" si="16"/>
        <v>7.6550250490000004E-3</v>
      </c>
      <c r="BL17" s="7">
        <f t="shared" si="16"/>
        <v>8.9164111155625014E-3</v>
      </c>
      <c r="BM17" s="7">
        <f t="shared" si="16"/>
        <v>4.9244491920999998E-4</v>
      </c>
      <c r="BN17" s="7">
        <f t="shared" si="16"/>
        <v>2.4425345053210001E-4</v>
      </c>
      <c r="BO17" s="7">
        <f t="shared" ref="BO17:CT17" si="17">BO9^2</f>
        <v>6.6289298046976006E-3</v>
      </c>
      <c r="BP17" s="7">
        <f t="shared" si="17"/>
        <v>3.4257937920999991E-4</v>
      </c>
      <c r="BQ17" s="7">
        <f t="shared" si="17"/>
        <v>4.7237537923849006E-3</v>
      </c>
      <c r="BR17" s="7">
        <f t="shared" si="17"/>
        <v>9.6246375696000012E-6</v>
      </c>
      <c r="BS17" s="7">
        <f t="shared" si="17"/>
        <v>5.6196642659364004E-3</v>
      </c>
      <c r="BT17" s="7">
        <f t="shared" si="17"/>
        <v>2.0431837385280999E-3</v>
      </c>
      <c r="BU17" s="7">
        <f t="shared" si="17"/>
        <v>6.5932527592890006E-4</v>
      </c>
      <c r="BV17" s="7">
        <f t="shared" si="17"/>
        <v>8.4279799242408995E-3</v>
      </c>
      <c r="BW17" s="7">
        <f t="shared" si="17"/>
        <v>6.9453331599999993E-4</v>
      </c>
      <c r="BX17" s="7">
        <f t="shared" si="17"/>
        <v>3.7615943072889991E-4</v>
      </c>
      <c r="BY17" s="7">
        <f t="shared" si="17"/>
        <v>5.9042165532099998E-3</v>
      </c>
      <c r="BZ17" s="7">
        <f t="shared" si="17"/>
        <v>1.2838999732676099E-2</v>
      </c>
      <c r="CA17" s="7">
        <f t="shared" si="17"/>
        <v>1.1525074554010001E-2</v>
      </c>
      <c r="CB17" s="7">
        <f t="shared" si="17"/>
        <v>1.6682968701440999E-3</v>
      </c>
      <c r="CC17" s="7">
        <f t="shared" si="17"/>
        <v>3.9210732288999994E-4</v>
      </c>
      <c r="CD17" s="7">
        <f t="shared" si="17"/>
        <v>3.5485928036868099E-2</v>
      </c>
      <c r="CE17" s="7">
        <f t="shared" si="17"/>
        <v>3.0885706215080999E-3</v>
      </c>
      <c r="CF17" s="7">
        <f t="shared" si="17"/>
        <v>5.6058268660848995E-3</v>
      </c>
      <c r="CG17" s="7">
        <f t="shared" si="17"/>
        <v>1.0000038000036101E-2</v>
      </c>
      <c r="CH17" s="7">
        <f t="shared" si="17"/>
        <v>1.8501908311758405E-2</v>
      </c>
      <c r="CI17" s="7">
        <f t="shared" si="17"/>
        <v>8.7873750810000002E-3</v>
      </c>
      <c r="CJ17" s="7">
        <f t="shared" si="17"/>
        <v>1.5449616360000003E-5</v>
      </c>
      <c r="CK17" s="7">
        <f t="shared" si="17"/>
        <v>3.1931292005284002E-3</v>
      </c>
      <c r="CL17" s="7">
        <f t="shared" si="17"/>
        <v>6.9456378155808407E-2</v>
      </c>
      <c r="CM17" s="7">
        <f t="shared" si="17"/>
        <v>9.1305669160000001E-5</v>
      </c>
      <c r="CN17" s="7">
        <f t="shared" si="17"/>
        <v>9.9299984161000006E-4</v>
      </c>
      <c r="CO17" s="7">
        <f t="shared" si="17"/>
        <v>5.1161916100000006E-4</v>
      </c>
      <c r="CP17" s="7">
        <f t="shared" si="17"/>
        <v>1.7597510864472102E-2</v>
      </c>
      <c r="CQ17" s="7">
        <f t="shared" si="17"/>
        <v>1.7708364776928401E-2</v>
      </c>
      <c r="CR17" s="7">
        <f t="shared" si="17"/>
        <v>2.2369390096000001E-4</v>
      </c>
      <c r="CS17" s="7">
        <f t="shared" si="17"/>
        <v>1.1168897160100002E-3</v>
      </c>
      <c r="CT17" s="7">
        <f t="shared" si="17"/>
        <v>1.5082811906410001E-4</v>
      </c>
      <c r="CU17" s="7">
        <f t="shared" ref="CU17:DZ17" si="18">CU9^2</f>
        <v>1.36457395524004E-2</v>
      </c>
      <c r="CV17" s="7">
        <f t="shared" si="18"/>
        <v>9.9786492100000001E-6</v>
      </c>
      <c r="CW17" s="7">
        <f t="shared" si="18"/>
        <v>1.4605971794176002E-3</v>
      </c>
      <c r="CX17" s="7">
        <f t="shared" si="18"/>
        <v>1.93694273273281E-2</v>
      </c>
      <c r="CY17" s="7">
        <f t="shared" si="18"/>
        <v>5.6227317128999994E-4</v>
      </c>
      <c r="CZ17" s="7">
        <f t="shared" si="18"/>
        <v>4.7677993305468104E-2</v>
      </c>
      <c r="DA17" s="7">
        <f t="shared" si="18"/>
        <v>3.3602194627600003E-3</v>
      </c>
      <c r="DB17" s="7">
        <f t="shared" si="18"/>
        <v>1.9892845764000002E-4</v>
      </c>
      <c r="DC17" s="7">
        <f t="shared" si="18"/>
        <v>1.29859881689664E-2</v>
      </c>
      <c r="DD17" s="7">
        <f t="shared" si="18"/>
        <v>5.5461175095075999E-3</v>
      </c>
      <c r="DE17" s="7">
        <f t="shared" si="18"/>
        <v>8.0946009000000001E-7</v>
      </c>
      <c r="DF17" s="7">
        <f t="shared" si="18"/>
        <v>9.5466578489999995E-7</v>
      </c>
      <c r="DG17" s="7">
        <f t="shared" si="18"/>
        <v>5.326094996010001E-3</v>
      </c>
      <c r="DH17" s="7">
        <f t="shared" si="18"/>
        <v>5.6859833208999994E-4</v>
      </c>
      <c r="DI17" s="7">
        <f t="shared" si="18"/>
        <v>1.030848304249E-2</v>
      </c>
      <c r="DJ17" s="7">
        <f t="shared" si="18"/>
        <v>7.6687677165160014E-4</v>
      </c>
      <c r="DK17" s="7">
        <f t="shared" si="18"/>
        <v>2.4339619590400003E-3</v>
      </c>
      <c r="DL17" s="7">
        <f t="shared" si="18"/>
        <v>3.2483160360000005E-5</v>
      </c>
      <c r="DM17" s="7">
        <f t="shared" si="18"/>
        <v>1.3676535312400003E-3</v>
      </c>
      <c r="DN17" s="7">
        <f t="shared" si="18"/>
        <v>1.2058892772740099E-2</v>
      </c>
      <c r="DO17" s="7">
        <f t="shared" si="18"/>
        <v>1.7670950764488997E-3</v>
      </c>
      <c r="DP17" s="7">
        <f t="shared" si="18"/>
        <v>7.1515216748888992E-3</v>
      </c>
      <c r="DQ17" s="7">
        <f t="shared" si="18"/>
        <v>1.2161634288039999E-2</v>
      </c>
      <c r="DR17" s="7">
        <f t="shared" si="18"/>
        <v>8.8979055302640993E-3</v>
      </c>
      <c r="DS17" s="7">
        <f t="shared" si="18"/>
        <v>5.1706022676099991E-3</v>
      </c>
      <c r="DT17" s="7">
        <f t="shared" si="18"/>
        <v>9.2614446849600008E-3</v>
      </c>
      <c r="DU17" s="7">
        <f t="shared" si="18"/>
        <v>5.5016048025000004E-6</v>
      </c>
      <c r="DV17" s="7">
        <f t="shared" si="18"/>
        <v>1.7960668863456399E-2</v>
      </c>
      <c r="DW17" s="7">
        <f t="shared" si="18"/>
        <v>8.9742503455504004E-3</v>
      </c>
      <c r="DX17" s="7">
        <f t="shared" si="18"/>
        <v>1.0768877038239999E-2</v>
      </c>
      <c r="DY17" s="7">
        <f t="shared" si="18"/>
        <v>5.7399033726224999E-3</v>
      </c>
      <c r="DZ17" s="7">
        <f t="shared" si="18"/>
        <v>1.0131298020900001E-3</v>
      </c>
      <c r="EA17" s="7">
        <f t="shared" ref="EA17:EG17" si="19">EA9^2</f>
        <v>2.6020277316320398E-2</v>
      </c>
      <c r="EB17" s="7">
        <f t="shared" si="19"/>
        <v>1.0411202446090002E-4</v>
      </c>
      <c r="EC17" s="7">
        <f t="shared" si="19"/>
        <v>5.4742877738648988E-3</v>
      </c>
      <c r="ED17" s="7">
        <f t="shared" si="19"/>
        <v>2.4767488653609997E-2</v>
      </c>
      <c r="EE17" s="7">
        <f t="shared" si="19"/>
        <v>6.2627518200025004E-3</v>
      </c>
      <c r="EF17" s="7">
        <f t="shared" si="19"/>
        <v>5.2603905651024997E-3</v>
      </c>
      <c r="EG17" s="7">
        <f t="shared" si="19"/>
        <v>2.0252323028349079E-2</v>
      </c>
    </row>
    <row r="18" spans="1:137" x14ac:dyDescent="0.3">
      <c r="B18" s="1" t="s">
        <v>138</v>
      </c>
      <c r="C18" s="7">
        <f t="shared" ref="C18:AH18" si="20">C10^2</f>
        <v>6.1300164367690001E-2</v>
      </c>
      <c r="D18" s="7">
        <f t="shared" si="20"/>
        <v>7.5456409064889984E-2</v>
      </c>
      <c r="E18" s="7">
        <f t="shared" si="20"/>
        <v>7.1653516225599996E-3</v>
      </c>
      <c r="F18" s="7">
        <f t="shared" si="20"/>
        <v>5.127792678369E-4</v>
      </c>
      <c r="G18" s="7">
        <f t="shared" si="20"/>
        <v>2.4681024000000004E-3</v>
      </c>
      <c r="H18" s="7">
        <f t="shared" si="20"/>
        <v>1.015249699216E-2</v>
      </c>
      <c r="I18" s="7">
        <f t="shared" si="20"/>
        <v>1.5681801528999998E-4</v>
      </c>
      <c r="J18" s="7">
        <f t="shared" si="20"/>
        <v>6.1994427311715993E-3</v>
      </c>
      <c r="K18" s="7">
        <f t="shared" si="20"/>
        <v>1.1686210620100001E-3</v>
      </c>
      <c r="L18" s="7">
        <f t="shared" si="20"/>
        <v>7.8157605181040993E-3</v>
      </c>
      <c r="M18" s="7">
        <f t="shared" si="20"/>
        <v>9.385032249999999E-6</v>
      </c>
      <c r="N18" s="7">
        <f t="shared" si="20"/>
        <v>4.5036479523999993E-2</v>
      </c>
      <c r="O18" s="7">
        <f t="shared" si="20"/>
        <v>1.3546374691600002E-3</v>
      </c>
      <c r="P18" s="7">
        <f t="shared" si="20"/>
        <v>5.0457041369344011E-3</v>
      </c>
      <c r="Q18" s="7">
        <f t="shared" si="20"/>
        <v>5.0781443732099991E-3</v>
      </c>
      <c r="R18" s="7">
        <f t="shared" si="20"/>
        <v>4.6485300420249994E-4</v>
      </c>
      <c r="S18" s="7">
        <f t="shared" si="20"/>
        <v>1.0223486898787599E-2</v>
      </c>
      <c r="T18" s="7">
        <f t="shared" si="20"/>
        <v>1.8683772835729002E-3</v>
      </c>
      <c r="U18" s="7">
        <f t="shared" si="20"/>
        <v>2.214724358025E-4</v>
      </c>
      <c r="V18" s="7">
        <f t="shared" si="20"/>
        <v>4.0018529040399998E-5</v>
      </c>
      <c r="W18" s="7">
        <f t="shared" si="20"/>
        <v>2.0607463808999995E-2</v>
      </c>
      <c r="X18" s="7">
        <f t="shared" si="20"/>
        <v>4.1322012368399993E-3</v>
      </c>
      <c r="Y18" s="7">
        <f t="shared" si="20"/>
        <v>3.6230076964000003E-4</v>
      </c>
      <c r="Z18" s="7">
        <f t="shared" si="20"/>
        <v>4.2619950915999996E-4</v>
      </c>
      <c r="AA18" s="7">
        <f t="shared" si="20"/>
        <v>1.0929325238208999E-3</v>
      </c>
      <c r="AB18" s="7">
        <f t="shared" si="20"/>
        <v>3.7706649124000002E-4</v>
      </c>
      <c r="AC18" s="7">
        <f t="shared" si="20"/>
        <v>3.9849928782399995E-3</v>
      </c>
      <c r="AD18" s="7">
        <f t="shared" si="20"/>
        <v>4.3072575220899998E-3</v>
      </c>
      <c r="AE18" s="7">
        <f t="shared" si="20"/>
        <v>1.9042807698662404E-2</v>
      </c>
      <c r="AF18" s="7">
        <f t="shared" si="20"/>
        <v>1.011390251041E-2</v>
      </c>
      <c r="AG18" s="7">
        <f t="shared" si="20"/>
        <v>1.4416525548099999E-3</v>
      </c>
      <c r="AH18" s="7">
        <f t="shared" si="20"/>
        <v>2.10125976025E-3</v>
      </c>
      <c r="AI18" s="7">
        <f t="shared" ref="AI18:BN18" si="21">AI10^2</f>
        <v>2.6044793628099997E-3</v>
      </c>
      <c r="AJ18" s="7">
        <f t="shared" si="21"/>
        <v>1.0370976159999999E-5</v>
      </c>
      <c r="AK18" s="7">
        <f t="shared" si="21"/>
        <v>2.3962983040000003E-7</v>
      </c>
      <c r="AL18" s="7">
        <f t="shared" si="21"/>
        <v>1.1330899940890002E-2</v>
      </c>
      <c r="AM18" s="7">
        <f t="shared" si="21"/>
        <v>1.8834817599999999E-4</v>
      </c>
      <c r="AN18" s="7">
        <f t="shared" si="21"/>
        <v>1.487538804609E-2</v>
      </c>
      <c r="AO18" s="7">
        <f t="shared" si="21"/>
        <v>2.36095894609E-3</v>
      </c>
      <c r="AP18" s="7">
        <f t="shared" si="21"/>
        <v>3.6221702400000003E-6</v>
      </c>
      <c r="AQ18" s="7">
        <f t="shared" si="21"/>
        <v>8.4491897490010005E-4</v>
      </c>
      <c r="AR18" s="7">
        <f t="shared" si="21"/>
        <v>2.7705242834928996E-3</v>
      </c>
      <c r="AS18" s="7">
        <f t="shared" si="21"/>
        <v>1.6623718489E-4</v>
      </c>
      <c r="AT18" s="7">
        <f t="shared" si="21"/>
        <v>4.5415872099999998E-6</v>
      </c>
      <c r="AU18" s="7">
        <f t="shared" si="21"/>
        <v>2.4144311763360002E-2</v>
      </c>
      <c r="AV18" s="7">
        <f t="shared" si="21"/>
        <v>1.608275439684E-4</v>
      </c>
      <c r="AW18" s="7">
        <f t="shared" si="21"/>
        <v>1.4261852928999999E-4</v>
      </c>
      <c r="AX18" s="7">
        <f t="shared" si="21"/>
        <v>1.8094814440000002E-5</v>
      </c>
      <c r="AY18" s="7">
        <f t="shared" si="21"/>
        <v>8.5854098275690003E-4</v>
      </c>
      <c r="AZ18" s="7">
        <f t="shared" si="21"/>
        <v>1.7990186256250002E-2</v>
      </c>
      <c r="BA18" s="7">
        <f t="shared" si="21"/>
        <v>1.8799563432249998E-2</v>
      </c>
      <c r="BB18" s="7">
        <f t="shared" si="21"/>
        <v>3.0788317155999996E-6</v>
      </c>
      <c r="BC18" s="7">
        <f t="shared" si="21"/>
        <v>6.3086971709439997E-4</v>
      </c>
      <c r="BD18" s="7">
        <f t="shared" si="21"/>
        <v>1.4304614483609999E-2</v>
      </c>
      <c r="BE18" s="7">
        <f t="shared" si="21"/>
        <v>1.8431225610722503E-2</v>
      </c>
      <c r="BF18" s="7">
        <f t="shared" si="21"/>
        <v>2.2175782919689E-3</v>
      </c>
      <c r="BG18" s="7">
        <f t="shared" si="21"/>
        <v>6.7860771001000003E-4</v>
      </c>
      <c r="BH18" s="7">
        <f t="shared" si="21"/>
        <v>1.9143040076176E-3</v>
      </c>
      <c r="BI18" s="7">
        <f t="shared" si="21"/>
        <v>6.6246251072400002E-3</v>
      </c>
      <c r="BJ18" s="7">
        <f t="shared" si="21"/>
        <v>1.0120520960640001E-2</v>
      </c>
      <c r="BK18" s="7">
        <f t="shared" si="21"/>
        <v>8.1884527686049008E-3</v>
      </c>
      <c r="BL18" s="7">
        <f t="shared" si="21"/>
        <v>9.5471730224999988E-4</v>
      </c>
      <c r="BM18" s="7">
        <f t="shared" si="21"/>
        <v>3.4591065927889E-3</v>
      </c>
      <c r="BN18" s="7">
        <f t="shared" si="21"/>
        <v>6.6171115200969006E-3</v>
      </c>
      <c r="BO18" s="7">
        <f t="shared" ref="BO18:CT18" si="22">BO10^2</f>
        <v>5.9542828960000002E-5</v>
      </c>
      <c r="BP18" s="7">
        <f t="shared" si="22"/>
        <v>1.1392332473916899E-2</v>
      </c>
      <c r="BQ18" s="7">
        <f t="shared" si="22"/>
        <v>7.3746462969000008E-4</v>
      </c>
      <c r="BR18" s="7">
        <f t="shared" si="22"/>
        <v>2.9627337609999999E-3</v>
      </c>
      <c r="BS18" s="7">
        <f t="shared" si="22"/>
        <v>4.6552373784900011E-3</v>
      </c>
      <c r="BT18" s="7">
        <f t="shared" si="22"/>
        <v>9.7243699333284007E-3</v>
      </c>
      <c r="BU18" s="7">
        <f t="shared" si="22"/>
        <v>1.6486185074131601E-2</v>
      </c>
      <c r="BV18" s="7">
        <f t="shared" si="22"/>
        <v>6.1469520062500003E-3</v>
      </c>
      <c r="BW18" s="7">
        <f t="shared" si="22"/>
        <v>1.4192838475689999E-2</v>
      </c>
      <c r="BX18" s="7">
        <f t="shared" si="22"/>
        <v>2.1986814780099997E-3</v>
      </c>
      <c r="BY18" s="7">
        <f t="shared" si="22"/>
        <v>1.0342554392722501E-2</v>
      </c>
      <c r="BZ18" s="7">
        <f t="shared" si="22"/>
        <v>6.5946753601000001E-4</v>
      </c>
      <c r="CA18" s="7">
        <f t="shared" si="22"/>
        <v>6.9391898832399995E-3</v>
      </c>
      <c r="CB18" s="7">
        <f t="shared" si="22"/>
        <v>2.4909551321760003E-2</v>
      </c>
      <c r="CC18" s="7">
        <f t="shared" si="22"/>
        <v>5.048471966759999E-3</v>
      </c>
      <c r="CD18" s="7">
        <f t="shared" si="22"/>
        <v>5.4575895002499999E-3</v>
      </c>
      <c r="CE18" s="7">
        <f t="shared" si="22"/>
        <v>5.6067846582250003E-2</v>
      </c>
      <c r="CF18" s="7">
        <f t="shared" si="22"/>
        <v>1.0645674598440999E-3</v>
      </c>
      <c r="CG18" s="7">
        <f t="shared" si="22"/>
        <v>1.801793451481E-4</v>
      </c>
      <c r="CH18" s="7">
        <f t="shared" si="22"/>
        <v>7.8215308899999996E-6</v>
      </c>
      <c r="CI18" s="7">
        <f t="shared" si="22"/>
        <v>2.2968727204900003E-3</v>
      </c>
      <c r="CJ18" s="7">
        <f t="shared" si="22"/>
        <v>1.0575504000000002E-5</v>
      </c>
      <c r="CK18" s="7">
        <f t="shared" si="22"/>
        <v>5.7317315472400002E-3</v>
      </c>
      <c r="CL18" s="7">
        <f t="shared" si="22"/>
        <v>1.9711202472899999E-3</v>
      </c>
      <c r="CM18" s="7">
        <f t="shared" si="22"/>
        <v>3.20369153501881E-2</v>
      </c>
      <c r="CN18" s="7">
        <f t="shared" si="22"/>
        <v>3.3633353528328999E-3</v>
      </c>
      <c r="CO18" s="7">
        <f t="shared" si="22"/>
        <v>1.9429627856039997E-2</v>
      </c>
      <c r="CP18" s="7">
        <f t="shared" si="22"/>
        <v>4.1879885132089E-3</v>
      </c>
      <c r="CQ18" s="7">
        <f t="shared" si="22"/>
        <v>3.2829055106410002E-2</v>
      </c>
      <c r="CR18" s="7">
        <f t="shared" si="22"/>
        <v>7.8558973222500016E-3</v>
      </c>
      <c r="CS18" s="7">
        <f t="shared" si="22"/>
        <v>6.4119355523999989E-4</v>
      </c>
      <c r="CT18" s="7">
        <f t="shared" si="22"/>
        <v>1.2786882856810001E-2</v>
      </c>
      <c r="CU18" s="7">
        <f t="shared" ref="CU18:DZ18" si="23">CU10^2</f>
        <v>6.5544568321599994E-5</v>
      </c>
      <c r="CV18" s="7">
        <f t="shared" si="23"/>
        <v>2.0430580800400002E-3</v>
      </c>
      <c r="CW18" s="7">
        <f t="shared" si="23"/>
        <v>3.4740650574399999E-3</v>
      </c>
      <c r="CX18" s="7">
        <f t="shared" si="23"/>
        <v>1.160538662089E-2</v>
      </c>
      <c r="CY18" s="7">
        <f t="shared" si="23"/>
        <v>9.3129255122500008E-3</v>
      </c>
      <c r="CZ18" s="7">
        <f t="shared" si="23"/>
        <v>4.424893152849E-2</v>
      </c>
      <c r="DA18" s="7">
        <f t="shared" si="23"/>
        <v>1.2091443513210001E-2</v>
      </c>
      <c r="DB18" s="7">
        <f t="shared" si="23"/>
        <v>3.6412463220250005E-2</v>
      </c>
      <c r="DC18" s="7">
        <f t="shared" si="23"/>
        <v>4.2962096529000003E-4</v>
      </c>
      <c r="DD18" s="7">
        <f t="shared" si="23"/>
        <v>7.5740625062281006E-3</v>
      </c>
      <c r="DE18" s="7">
        <f t="shared" si="23"/>
        <v>6.7280333646680991E-3</v>
      </c>
      <c r="DF18" s="7">
        <f t="shared" si="23"/>
        <v>2.7847833002889996E-2</v>
      </c>
      <c r="DG18" s="7">
        <f t="shared" si="23"/>
        <v>4.9478703882848099E-2</v>
      </c>
      <c r="DH18" s="7">
        <f t="shared" si="23"/>
        <v>2.082185508484E-2</v>
      </c>
      <c r="DI18" s="7">
        <f t="shared" si="23"/>
        <v>1.430892047601E-2</v>
      </c>
      <c r="DJ18" s="7">
        <f t="shared" si="23"/>
        <v>1.0321097011839999E-2</v>
      </c>
      <c r="DK18" s="7">
        <f t="shared" si="23"/>
        <v>8.6220621676036009E-3</v>
      </c>
      <c r="DL18" s="7">
        <f t="shared" si="23"/>
        <v>1.8173595302500001E-3</v>
      </c>
      <c r="DM18" s="7">
        <f t="shared" si="23"/>
        <v>6.8445954064849006E-3</v>
      </c>
      <c r="DN18" s="7">
        <f t="shared" si="23"/>
        <v>9.6407145025000009E-4</v>
      </c>
      <c r="DO18" s="7">
        <f t="shared" si="23"/>
        <v>9.6318521639999991E-3</v>
      </c>
      <c r="DP18" s="7">
        <f t="shared" si="23"/>
        <v>1.7053460803210001E-2</v>
      </c>
      <c r="DQ18" s="7">
        <f t="shared" si="23"/>
        <v>2.3673790887184E-3</v>
      </c>
      <c r="DR18" s="7">
        <f t="shared" si="23"/>
        <v>1.5407116536099998E-3</v>
      </c>
      <c r="DS18" s="7">
        <f t="shared" si="23"/>
        <v>2.5930725312040003E-2</v>
      </c>
      <c r="DT18" s="7">
        <f t="shared" si="23"/>
        <v>6.2226854559999994E-3</v>
      </c>
      <c r="DU18" s="7">
        <f t="shared" si="23"/>
        <v>2.6921311152122502E-2</v>
      </c>
      <c r="DV18" s="7">
        <f t="shared" si="23"/>
        <v>5.6328927667599998E-5</v>
      </c>
      <c r="DW18" s="7">
        <f t="shared" si="23"/>
        <v>1.0331746683040001E-2</v>
      </c>
      <c r="DX18" s="7">
        <f t="shared" si="23"/>
        <v>3.14051522409E-3</v>
      </c>
      <c r="DY18" s="7">
        <f t="shared" si="23"/>
        <v>1.1375651654889999E-2</v>
      </c>
      <c r="DZ18" s="7">
        <f t="shared" si="23"/>
        <v>4.7867856195600005E-3</v>
      </c>
      <c r="EA18" s="7">
        <f t="shared" ref="EA18:EG18" si="24">EA10^2</f>
        <v>1.5923588007689997E-2</v>
      </c>
      <c r="EB18" s="7">
        <f t="shared" si="24"/>
        <v>4.1908921164100004E-3</v>
      </c>
      <c r="EC18" s="7">
        <f t="shared" si="24"/>
        <v>2.6446427326880999E-3</v>
      </c>
      <c r="ED18" s="7">
        <f t="shared" si="24"/>
        <v>1.1900243806929002E-3</v>
      </c>
      <c r="EE18" s="7">
        <f t="shared" si="24"/>
        <v>2.486222554176E-2</v>
      </c>
      <c r="EF18" s="7">
        <f t="shared" si="24"/>
        <v>1.6174752399999996E-2</v>
      </c>
      <c r="EG18" s="7">
        <f t="shared" si="24"/>
        <v>2.526811904387603E-2</v>
      </c>
    </row>
    <row r="19" spans="1:137" x14ac:dyDescent="0.3">
      <c r="B19" s="1" t="s">
        <v>139</v>
      </c>
      <c r="C19" s="7">
        <f t="shared" ref="C19:AH19" si="25">C11^2</f>
        <v>2.9419775999999995E-3</v>
      </c>
      <c r="D19" s="7">
        <f t="shared" si="25"/>
        <v>2.0590721290000003E-3</v>
      </c>
      <c r="E19" s="7">
        <f t="shared" si="25"/>
        <v>3.1506249999999997E-4</v>
      </c>
      <c r="F19" s="7">
        <f t="shared" si="25"/>
        <v>7.6895361000000008E-3</v>
      </c>
      <c r="G19" s="7">
        <f t="shared" si="25"/>
        <v>1.0559412081000001E-2</v>
      </c>
      <c r="H19" s="7">
        <f t="shared" si="25"/>
        <v>6.3051210000000008E-6</v>
      </c>
      <c r="I19" s="7">
        <f t="shared" si="25"/>
        <v>3.3489000000000001E-4</v>
      </c>
      <c r="J19" s="7">
        <f t="shared" si="25"/>
        <v>4.8889632099999997E-4</v>
      </c>
      <c r="K19" s="7">
        <f t="shared" si="25"/>
        <v>5.9687985639999986E-3</v>
      </c>
      <c r="L19" s="7">
        <f t="shared" si="25"/>
        <v>8.7310336000000002E-5</v>
      </c>
      <c r="M19" s="7">
        <f t="shared" si="25"/>
        <v>2.8731744039999997E-3</v>
      </c>
      <c r="N19" s="7">
        <f t="shared" si="25"/>
        <v>4.6076943999999991E-3</v>
      </c>
      <c r="O19" s="7">
        <f t="shared" si="25"/>
        <v>4.2159049000000002E-3</v>
      </c>
      <c r="P19" s="7">
        <f t="shared" si="25"/>
        <v>2.3824160999999998E-5</v>
      </c>
      <c r="Q19" s="7">
        <f t="shared" si="25"/>
        <v>3.6856320399999997E-4</v>
      </c>
      <c r="R19" s="7">
        <f t="shared" si="25"/>
        <v>2.99209E-5</v>
      </c>
      <c r="S19" s="7">
        <f t="shared" si="25"/>
        <v>1.3359756010000001E-3</v>
      </c>
      <c r="T19" s="7">
        <f t="shared" si="25"/>
        <v>1.6688764225E-2</v>
      </c>
      <c r="U19" s="7">
        <f t="shared" si="25"/>
        <v>1.8747086399999998E-4</v>
      </c>
      <c r="V19" s="7">
        <f t="shared" si="25"/>
        <v>2.3393702499999999E-4</v>
      </c>
      <c r="W19" s="7">
        <f t="shared" si="25"/>
        <v>1.0959996100000001E-2</v>
      </c>
      <c r="X19" s="7">
        <f t="shared" si="25"/>
        <v>8.6347822500000004E-2</v>
      </c>
      <c r="Y19" s="7">
        <f t="shared" si="25"/>
        <v>3.5060609440000002E-3</v>
      </c>
      <c r="Z19" s="7">
        <f t="shared" si="25"/>
        <v>3.4206502499999999E-2</v>
      </c>
      <c r="AA19" s="7">
        <f t="shared" si="25"/>
        <v>9.6524730090000004E-3</v>
      </c>
      <c r="AB19" s="7">
        <f t="shared" si="25"/>
        <v>4.3560000000000001E-7</v>
      </c>
      <c r="AC19" s="7">
        <f t="shared" si="25"/>
        <v>1.0751616100000002E-2</v>
      </c>
      <c r="AD19" s="7">
        <f t="shared" si="25"/>
        <v>1.2567025E-5</v>
      </c>
      <c r="AE19" s="7">
        <f t="shared" si="25"/>
        <v>3.0835711201000003E-2</v>
      </c>
      <c r="AF19" s="7">
        <f t="shared" si="25"/>
        <v>2.40343009E-2</v>
      </c>
      <c r="AG19" s="7">
        <f t="shared" si="25"/>
        <v>6.9326890000000001E-4</v>
      </c>
      <c r="AH19" s="7">
        <f t="shared" si="25"/>
        <v>2.5000000000000001E-5</v>
      </c>
      <c r="AI19" s="7">
        <f t="shared" ref="AI19:BN19" si="26">AI11^2</f>
        <v>7.8781262399999993E-4</v>
      </c>
      <c r="AJ19" s="7">
        <f t="shared" si="26"/>
        <v>5.0086439999999998E-4</v>
      </c>
      <c r="AK19" s="7">
        <f t="shared" si="26"/>
        <v>2.2108803999999998E-3</v>
      </c>
      <c r="AL19" s="7">
        <f t="shared" si="26"/>
        <v>1.0314433599999999E-2</v>
      </c>
      <c r="AM19" s="7">
        <f t="shared" si="26"/>
        <v>5.5342562500000007E-4</v>
      </c>
      <c r="AN19" s="7">
        <f t="shared" si="26"/>
        <v>2.7588756250000001E-3</v>
      </c>
      <c r="AO19" s="7">
        <f t="shared" si="26"/>
        <v>3.4226010089999999E-3</v>
      </c>
      <c r="AP19" s="7">
        <f t="shared" si="26"/>
        <v>1.1187018089999997E-3</v>
      </c>
      <c r="AQ19" s="7">
        <f t="shared" si="26"/>
        <v>2.0449000000000002E-4</v>
      </c>
      <c r="AR19" s="7">
        <f t="shared" si="26"/>
        <v>1.2890972159999999E-3</v>
      </c>
      <c r="AS19" s="7">
        <f t="shared" si="26"/>
        <v>1.5826075239999998E-3</v>
      </c>
      <c r="AT19" s="7">
        <f t="shared" si="26"/>
        <v>2.2039183936E-2</v>
      </c>
      <c r="AU19" s="7">
        <f t="shared" si="26"/>
        <v>1.6638241E-3</v>
      </c>
      <c r="AV19" s="7">
        <f t="shared" si="26"/>
        <v>1.9309603681000001E-2</v>
      </c>
      <c r="AW19" s="7">
        <f t="shared" si="26"/>
        <v>3.583578769E-3</v>
      </c>
      <c r="AX19" s="7">
        <f t="shared" si="26"/>
        <v>2.2437044100000001E-2</v>
      </c>
      <c r="AY19" s="7">
        <f t="shared" si="26"/>
        <v>3.7940672159999999E-3</v>
      </c>
      <c r="AZ19" s="7">
        <f t="shared" si="26"/>
        <v>3.8378024999999997E-3</v>
      </c>
      <c r="BA19" s="7">
        <f t="shared" si="26"/>
        <v>5.7121000000000008E-6</v>
      </c>
      <c r="BB19" s="7">
        <f t="shared" si="26"/>
        <v>2.21622769E-2</v>
      </c>
      <c r="BC19" s="7">
        <f t="shared" si="26"/>
        <v>3.6422432010000004E-3</v>
      </c>
      <c r="BD19" s="7">
        <f t="shared" si="26"/>
        <v>2.1579609999999999E-4</v>
      </c>
      <c r="BE19" s="7">
        <f t="shared" si="26"/>
        <v>2.1468110400000004E-2</v>
      </c>
      <c r="BF19" s="7">
        <f t="shared" si="26"/>
        <v>4.3580737600000002E-2</v>
      </c>
      <c r="BG19" s="7">
        <f t="shared" si="26"/>
        <v>4.05780736E-2</v>
      </c>
      <c r="BH19" s="7">
        <f t="shared" si="26"/>
        <v>1.39358025E-2</v>
      </c>
      <c r="BI19" s="7">
        <f t="shared" si="26"/>
        <v>5.9336209000000004E-3</v>
      </c>
      <c r="BJ19" s="7">
        <f t="shared" si="26"/>
        <v>1.3118884000000001E-3</v>
      </c>
      <c r="BK19" s="7">
        <f t="shared" si="26"/>
        <v>3.5758809999999997E-4</v>
      </c>
      <c r="BL19" s="7">
        <f t="shared" si="26"/>
        <v>2.9329987599999999E-2</v>
      </c>
      <c r="BM19" s="7">
        <f t="shared" si="26"/>
        <v>1.7666928889E-2</v>
      </c>
      <c r="BN19" s="7">
        <f t="shared" si="26"/>
        <v>1.2895280999999999E-3</v>
      </c>
      <c r="BO19" s="7">
        <f t="shared" ref="BO19:CT19" si="27">BO11^2</f>
        <v>4.5560902499999995E-4</v>
      </c>
      <c r="BP19" s="7">
        <f t="shared" si="27"/>
        <v>2.4636332249999998E-3</v>
      </c>
      <c r="BQ19" s="7">
        <f t="shared" si="27"/>
        <v>2.9618409999999999E-4</v>
      </c>
      <c r="BR19" s="7">
        <f t="shared" si="27"/>
        <v>3.6034289928999999E-2</v>
      </c>
      <c r="BS19" s="7">
        <f t="shared" si="27"/>
        <v>9.5277121000000003E-3</v>
      </c>
      <c r="BT19" s="7">
        <f t="shared" si="27"/>
        <v>1.4311845609999998E-3</v>
      </c>
      <c r="BU19" s="7">
        <f t="shared" si="27"/>
        <v>3.1368960640000003E-3</v>
      </c>
      <c r="BV19" s="7">
        <f t="shared" si="27"/>
        <v>1.3628227599999999E-2</v>
      </c>
      <c r="BW19" s="7">
        <f t="shared" si="27"/>
        <v>1.9971342400000001E-2</v>
      </c>
      <c r="BX19" s="7">
        <f t="shared" si="27"/>
        <v>1.1424400000000002E-5</v>
      </c>
      <c r="BY19" s="7">
        <f t="shared" si="27"/>
        <v>1.6987472896000003E-2</v>
      </c>
      <c r="BZ19" s="7">
        <f t="shared" si="27"/>
        <v>1.0047632039999997E-3</v>
      </c>
      <c r="CA19" s="7">
        <f t="shared" si="27"/>
        <v>1.6447080250000001E-3</v>
      </c>
      <c r="CB19" s="7">
        <f t="shared" si="27"/>
        <v>1.7673616E-3</v>
      </c>
      <c r="CC19" s="7">
        <f t="shared" si="27"/>
        <v>2.5014001960000005E-3</v>
      </c>
      <c r="CD19" s="7">
        <f t="shared" si="27"/>
        <v>4.6867715999999986E-3</v>
      </c>
      <c r="CE19" s="7">
        <f t="shared" si="27"/>
        <v>6.5334888999999995E-3</v>
      </c>
      <c r="CF19" s="7">
        <f t="shared" si="27"/>
        <v>3.8024999999999996E-6</v>
      </c>
      <c r="CG19" s="7">
        <f t="shared" si="27"/>
        <v>1.3973604099999998E-2</v>
      </c>
      <c r="CH19" s="7">
        <f t="shared" si="27"/>
        <v>1.3483584000000002E-3</v>
      </c>
      <c r="CI19" s="7">
        <f t="shared" si="27"/>
        <v>6.9438889000000004E-3</v>
      </c>
      <c r="CJ19" s="7">
        <f t="shared" si="27"/>
        <v>5.3210032928999992E-2</v>
      </c>
      <c r="CK19" s="7">
        <f t="shared" si="27"/>
        <v>1.7630262841000003E-2</v>
      </c>
      <c r="CL19" s="7">
        <f t="shared" si="27"/>
        <v>1.9962016369E-2</v>
      </c>
      <c r="CM19" s="7">
        <f t="shared" si="27"/>
        <v>1.26990361E-2</v>
      </c>
      <c r="CN19" s="7">
        <f t="shared" si="27"/>
        <v>4.9947333120999998E-2</v>
      </c>
      <c r="CO19" s="7">
        <f t="shared" si="27"/>
        <v>1.09035364E-2</v>
      </c>
      <c r="CP19" s="7">
        <f t="shared" si="27"/>
        <v>2.082249E-4</v>
      </c>
      <c r="CQ19" s="7">
        <f t="shared" si="27"/>
        <v>4.2944272899999997E-2</v>
      </c>
      <c r="CR19" s="7">
        <f t="shared" si="27"/>
        <v>1.8187219600000002E-2</v>
      </c>
      <c r="CS19" s="7">
        <f t="shared" si="27"/>
        <v>5.3301680640000003E-3</v>
      </c>
      <c r="CT19" s="7">
        <f t="shared" si="27"/>
        <v>9.132484E-4</v>
      </c>
      <c r="CU19" s="7">
        <f t="shared" ref="CU19:DZ19" si="28">CU11^2</f>
        <v>8.2305872099999983E-2</v>
      </c>
      <c r="CV19" s="7">
        <f t="shared" si="28"/>
        <v>5.3236794360999998E-2</v>
      </c>
      <c r="CW19" s="7">
        <f t="shared" si="28"/>
        <v>8.2948377760000015E-3</v>
      </c>
      <c r="CX19" s="7">
        <f t="shared" si="28"/>
        <v>1.5003800100000001E-2</v>
      </c>
      <c r="CY19" s="7">
        <f t="shared" si="28"/>
        <v>6.1437379239999987E-3</v>
      </c>
      <c r="CZ19" s="7">
        <f t="shared" si="28"/>
        <v>2.1114024999999998E-3</v>
      </c>
      <c r="DA19" s="7">
        <f t="shared" si="28"/>
        <v>6.8343288999999988E-3</v>
      </c>
      <c r="DB19" s="7">
        <f t="shared" si="28"/>
        <v>2.2305123801000002E-2</v>
      </c>
      <c r="DC19" s="7">
        <f t="shared" si="28"/>
        <v>2.2848400000000002E-3</v>
      </c>
      <c r="DD19" s="7">
        <f t="shared" si="28"/>
        <v>2.7063540099999995E-2</v>
      </c>
      <c r="DE19" s="7">
        <f t="shared" si="28"/>
        <v>1.22257249E-2</v>
      </c>
      <c r="DF19" s="7">
        <f t="shared" si="28"/>
        <v>3.2967118890000003E-3</v>
      </c>
      <c r="DG19" s="7">
        <f t="shared" si="28"/>
        <v>4.6177712099999997E-2</v>
      </c>
      <c r="DH19" s="7">
        <f t="shared" si="28"/>
        <v>3.9686220089999993E-3</v>
      </c>
      <c r="DI19" s="7">
        <f t="shared" si="28"/>
        <v>4.5861338410000006E-3</v>
      </c>
      <c r="DJ19" s="7">
        <f t="shared" si="28"/>
        <v>1.4113915204E-2</v>
      </c>
      <c r="DK19" s="7">
        <f t="shared" si="28"/>
        <v>5.3042089000000008E-5</v>
      </c>
      <c r="DL19" s="7">
        <f t="shared" si="28"/>
        <v>5.086685040999999E-3</v>
      </c>
      <c r="DM19" s="7">
        <f t="shared" si="28"/>
        <v>4.4192448399999997E-4</v>
      </c>
      <c r="DN19" s="7">
        <f t="shared" si="28"/>
        <v>9.2416000000000004E-4</v>
      </c>
      <c r="DO19" s="7">
        <f t="shared" si="28"/>
        <v>9.3993024999999997E-3</v>
      </c>
      <c r="DP19" s="7">
        <f t="shared" si="28"/>
        <v>5.3213262399999996E-2</v>
      </c>
      <c r="DQ19" s="7">
        <f t="shared" si="28"/>
        <v>5.6731617856000005E-2</v>
      </c>
      <c r="DR19" s="7">
        <f t="shared" si="28"/>
        <v>1.2780625000000001E-5</v>
      </c>
      <c r="DS19" s="7">
        <f t="shared" si="28"/>
        <v>1.7944209935999999E-2</v>
      </c>
      <c r="DT19" s="7">
        <f t="shared" si="28"/>
        <v>1.3249391236E-2</v>
      </c>
      <c r="DU19" s="7">
        <f t="shared" si="28"/>
        <v>1.0832646400000001E-2</v>
      </c>
      <c r="DV19" s="7">
        <f t="shared" si="28"/>
        <v>2.9822520999999999E-3</v>
      </c>
      <c r="DW19" s="7">
        <f t="shared" si="28"/>
        <v>1.1082240999999999E-3</v>
      </c>
      <c r="DX19" s="7">
        <f t="shared" si="28"/>
        <v>3.0354590249999998E-3</v>
      </c>
      <c r="DY19" s="7">
        <f t="shared" si="28"/>
        <v>4.7326144359999996E-3</v>
      </c>
      <c r="DZ19" s="7">
        <f t="shared" si="28"/>
        <v>2.0969936100000003E-4</v>
      </c>
      <c r="EA19" s="7">
        <f t="shared" ref="EA19:EG19" si="29">EA11^2</f>
        <v>8.5931059600000012E-2</v>
      </c>
      <c r="EB19" s="7">
        <f t="shared" si="29"/>
        <v>1.98753604E-2</v>
      </c>
      <c r="EC19" s="7">
        <f t="shared" si="29"/>
        <v>1.4908410000000002E-4</v>
      </c>
      <c r="ED19" s="7">
        <f t="shared" si="29"/>
        <v>3.3835162239999996E-3</v>
      </c>
      <c r="EE19" s="7">
        <f t="shared" si="29"/>
        <v>2.0851359999999999E-2</v>
      </c>
      <c r="EF19" s="7">
        <f t="shared" si="29"/>
        <v>9.4109400999999992E-3</v>
      </c>
      <c r="EG19" s="7">
        <f t="shared" si="29"/>
        <v>0</v>
      </c>
    </row>
    <row r="21" spans="1:137" x14ac:dyDescent="0.3">
      <c r="A21" t="s">
        <v>168</v>
      </c>
      <c r="B21">
        <f>1-SUM(C13:EF15)/SUM(C17:EF19)</f>
        <v>3.509484856089895E-2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預測IC</vt:lpstr>
      <vt:lpstr>夏普比率</vt:lpstr>
      <vt:lpstr>NN1再投資累積報酬</vt:lpstr>
      <vt:lpstr>勝率</vt:lpstr>
      <vt:lpstr>累積報酬</vt:lpstr>
      <vt:lpstr>畫圖</vt:lpstr>
      <vt:lpstr>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2025-06-03T03:20:54Z</dcterms:modified>
</cp:coreProperties>
</file>